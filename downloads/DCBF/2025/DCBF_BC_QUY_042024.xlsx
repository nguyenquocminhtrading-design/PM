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GTO_SSO_FUNDSERVICES_GSSCKL\10. CLIENT PORTFOLIO-NAV recalculation\KYSO\2025\01. Jan\15.01\"/>
    </mc:Choice>
  </mc:AlternateContent>
  <xr:revisionPtr revIDLastSave="0" documentId="13_ncr:1_{7A697317-73F3-41DF-9FD1-F284AF19605A}" xr6:coauthVersionLast="47" xr6:coauthVersionMax="47" xr10:uidLastSave="{00000000-0000-0000-0000-000000000000}"/>
  <bookViews>
    <workbookView xWindow="-110" yWindow="-110" windowWidth="19420" windowHeight="10420" firstSheet="5" activeTab="8"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_06203" sheetId="34" r:id="rId7"/>
    <sheet name="BCTinhHinhTaiChinh_06105" sheetId="42" r:id="rId8"/>
    <sheet name="BCLCGT_06262" sheetId="38" r:id="rId9"/>
    <sheet name="LogoFMS" sheetId="25" state="hidden" r:id="rId10"/>
  </sheets>
  <definedNames>
    <definedName name="_xlnm._FilterDatabase" localSheetId="3" hidden="1">BCDanhMucDauTu_06029!$A$18:$J$18</definedName>
    <definedName name="_xlnm._FilterDatabase" localSheetId="2" hidden="1">BCKetQuaHoatDong_06028!$A$18:$H$89</definedName>
    <definedName name="_xlnm._FilterDatabase" localSheetId="8" hidden="1">BCLCGT_06262!$A$17:$F$61</definedName>
    <definedName name="_xlnm._FilterDatabase" localSheetId="1"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INDEX(LogoFMS!$C$3:$C$76,MATCH(LogoFMS!$D$1,LogoFMS!$A$3:$A$76,0))</definedName>
    <definedName name="_xlnm.Print_Area" localSheetId="8">BCLCGT_06262!$A$1:$E$77</definedName>
    <definedName name="_xlnm.Print_Area" localSheetId="7">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8">BCLCGT_06262!$17:$17</definedName>
    <definedName name="_xlnm.Print_Titles" localSheetId="1">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F16" i="42" l="1"/>
  <c r="E16" i="42"/>
  <c r="C14" i="44" l="1"/>
  <c r="C13" i="44"/>
  <c r="C12" i="44"/>
  <c r="C11" i="44"/>
  <c r="C10" i="44"/>
  <c r="C9" i="44"/>
  <c r="C8" i="44"/>
  <c r="C7" i="44"/>
  <c r="A5" i="44"/>
  <c r="C14" i="42" l="1"/>
  <c r="C13" i="42"/>
  <c r="C12" i="42"/>
  <c r="C11" i="42"/>
  <c r="C10" i="42"/>
  <c r="C9" i="42"/>
  <c r="C8" i="42"/>
  <c r="C7" i="42"/>
  <c r="A5" i="42"/>
  <c r="E17" i="38" l="1"/>
  <c r="D17" i="38"/>
  <c r="B14" i="38"/>
  <c r="B12" i="38"/>
  <c r="B10" i="38"/>
  <c r="B13" i="38"/>
  <c r="B11" i="38"/>
  <c r="B9" i="38"/>
  <c r="B8" i="38"/>
  <c r="B7" i="38"/>
  <c r="A4" i="38"/>
  <c r="D14" i="34" l="1"/>
  <c r="D12" i="34"/>
  <c r="D10" i="34"/>
  <c r="D13" i="34"/>
  <c r="D11" i="34"/>
  <c r="D9" i="34"/>
  <c r="D8" i="34"/>
  <c r="D7" i="34"/>
  <c r="A5" i="34"/>
  <c r="D17" i="34" l="1"/>
  <c r="F19" i="1" l="1"/>
</calcChain>
</file>

<file path=xl/sharedStrings.xml><?xml version="1.0" encoding="utf-8"?>
<sst xmlns="http://schemas.openxmlformats.org/spreadsheetml/2006/main" count="1746" uniqueCount="1328">
  <si>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</si>
  <si>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</si>
  <si>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</si>
  <si>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</si>
  <si>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</si>
  <si>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</si>
  <si>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</si>
  <si>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</si>
  <si>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</si>
  <si>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</si>
  <si>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</si>
  <si>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</si>
  <si>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</si>
  <si>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</si>
  <si>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</si>
  <si>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</si>
  <si>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</si>
  <si>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</si>
  <si>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</si>
  <si>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</si>
  <si>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</si>
  <si>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</si>
  <si>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</si>
  <si>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</si>
  <si>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</si>
  <si>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</si>
  <si>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</si>
  <si>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</si>
  <si>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</si>
  <si>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</si>
  <si>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</si>
  <si>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</si>
  <si>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</si>
  <si>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</si>
  <si>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</si>
  <si>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</si>
  <si>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</si>
  <si>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</si>
  <si>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</si>
  <si>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</si>
  <si>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</si>
  <si>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</si>
  <si>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</si>
  <si>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</si>
  <si>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</si>
  <si>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</si>
  <si>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</si>
  <si>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</si>
  <si>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</si>
  <si>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</si>
  <si>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</si>
  <si>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</si>
  <si>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</si>
  <si>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</si>
  <si>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</si>
  <si>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</si>
  <si>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</si>
  <si>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</si>
  <si>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</si>
  <si>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</si>
  <si>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</si>
  <si>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</si>
  <si>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</si>
  <si>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</si>
  <si>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</si>
  <si>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</si>
  <si>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</si>
  <si>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</si>
  <si>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</si>
  <si>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</si>
  <si>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</si>
  <si>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</si>
  <si>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</si>
  <si>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</si>
  <si>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</si>
  <si>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</si>
  <si>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</si>
  <si>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</si>
  <si>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</si>
  <si>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</si>
  <si>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</si>
  <si>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</si>
  <si>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</si>
  <si>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</si>
  <si>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</si>
  <si>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</si>
  <si>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</si>
  <si>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</si>
  <si>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</si>
  <si>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</si>
  <si>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</si>
  <si>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</si>
  <si>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</si>
  <si>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</si>
  <si>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</si>
  <si>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</si>
  <si>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</si>
  <si>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</si>
  <si>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</si>
  <si>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</si>
  <si>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</si>
  <si>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</si>
  <si>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</si>
  <si>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</si>
  <si>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</si>
  <si>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</si>
  <si>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</si>
  <si>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</si>
  <si>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</si>
  <si>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</si>
  <si>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</si>
  <si>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</si>
  <si>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</si>
  <si>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</si>
  <si>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</si>
  <si>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</si>
  <si>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</si>
  <si>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</si>
  <si>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</si>
  <si>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</si>
  <si>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</si>
  <si>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</si>
  <si>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</si>
  <si>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</si>
  <si>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</si>
  <si>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</si>
  <si>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</si>
  <si>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</si>
  <si>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</si>
  <si>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</si>
  <si>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</si>
  <si>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</si>
  <si>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</si>
  <si>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</si>
  <si>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</si>
  <si>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</si>
  <si>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</si>
  <si>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</si>
  <si>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</si>
  <si>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</si>
  <si>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</si>
  <si>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</si>
  <si>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</si>
  <si>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</si>
  <si>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</si>
  <si>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</si>
  <si>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</si>
  <si>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</si>
  <si>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</si>
  <si>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</si>
  <si>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</si>
  <si>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</si>
  <si>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</si>
  <si>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</si>
  <si>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</si>
  <si>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</si>
  <si>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</si>
  <si>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</si>
  <si>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</si>
  <si>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</si>
  <si>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</si>
  <si>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</si>
  <si>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</si>
  <si>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</si>
  <si>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</si>
  <si>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</si>
  <si>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</si>
  <si>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</si>
  <si>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</si>
  <si>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</si>
  <si>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</si>
  <si>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</si>
  <si>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</si>
  <si>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</si>
  <si>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</si>
  <si>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</si>
  <si>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</si>
  <si>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</si>
  <si>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</si>
  <si>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</si>
  <si>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</si>
  <si>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</si>
  <si>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</si>
  <si>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</si>
  <si>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</si>
  <si>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</si>
  <si>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</si>
  <si>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</si>
  <si>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</si>
  <si>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</si>
  <si>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</si>
  <si>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</si>
  <si>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</si>
  <si>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</si>
  <si>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</si>
  <si>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</si>
  <si>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</si>
  <si>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</si>
  <si>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</si>
  <si>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</si>
  <si>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</si>
  <si>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</si>
  <si>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</si>
  <si>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</si>
  <si>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</si>
  <si>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</si>
  <si>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</si>
  <si>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</si>
  <si>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</si>
  <si>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</si>
  <si>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</si>
  <si>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</si>
  <si>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</si>
  <si>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</si>
  <si>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</si>
  <si>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</si>
  <si>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</si>
  <si>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</si>
  <si>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</si>
  <si>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</si>
  <si>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</si>
  <si>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</si>
  <si>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</si>
  <si>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</si>
  <si>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</si>
  <si>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</si>
  <si>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</si>
  <si>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</si>
  <si>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</si>
  <si>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</si>
  <si>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</si>
  <si>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</si>
  <si>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</si>
  <si>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</si>
  <si>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</si>
  <si>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</si>
  <si>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</si>
  <si>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</si>
  <si>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</si>
  <si>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</si>
  <si>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</si>
  <si>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</si>
  <si>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</si>
  <si>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</si>
  <si>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</si>
  <si>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</si>
  <si>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</si>
  <si>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</si>
  <si>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</si>
  <si>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</si>
  <si>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</si>
  <si>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</si>
  <si>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</si>
  <si>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</si>
  <si>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</si>
  <si>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</si>
  <si>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</si>
  <si>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</si>
  <si>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</si>
  <si>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</si>
  <si>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</si>
  <si>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</si>
  <si>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</si>
  <si>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</si>
  <si>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</si>
  <si>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</si>
  <si>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</si>
  <si>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</si>
  <si>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</si>
  <si>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</si>
  <si>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</si>
  <si>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</si>
  <si>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</si>
  <si>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</si>
  <si>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</si>
  <si>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</si>
  <si>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</si>
  <si>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</si>
  <si>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</si>
  <si>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</si>
  <si>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</si>
  <si>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</si>
  <si>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</si>
  <si>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</si>
  <si>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</si>
  <si>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</si>
  <si>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</si>
  <si>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</si>
  <si>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</si>
  <si>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</si>
  <si>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</si>
  <si>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</si>
  <si>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</si>
  <si>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</si>
  <si>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</si>
  <si>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</si>
  <si>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</si>
  <si>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</si>
  <si>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</si>
  <si>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</si>
  <si>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</si>
  <si>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</si>
  <si>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</si>
  <si>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</si>
  <si>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</si>
  <si>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</si>
  <si>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</si>
  <si>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</si>
  <si>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</si>
  <si>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</si>
  <si>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</si>
  <si>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</si>
  <si>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</si>
  <si>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</si>
  <si>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</si>
  <si>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</si>
  <si>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</si>
  <si>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</si>
  <si>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</si>
  <si>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</si>
  <si>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</si>
  <si>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</si>
  <si>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</si>
  <si>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</si>
  <si>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</si>
  <si>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</si>
  <si>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</si>
  <si>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</si>
  <si>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</si>
  <si>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</si>
  <si>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</si>
  <si>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</si>
  <si>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</si>
  <si>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</si>
  <si>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</si>
  <si>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</si>
  <si>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</si>
  <si>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</si>
  <si>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</si>
  <si>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</si>
  <si>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</si>
  <si>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</si>
  <si>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</si>
  <si>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</si>
  <si>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</si>
  <si>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</si>
  <si>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</si>
  <si>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</si>
  <si>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</si>
  <si>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</si>
  <si>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</si>
  <si>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</si>
  <si>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</si>
  <si>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</si>
  <si>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</si>
  <si>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</si>
  <si>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</si>
  <si>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</si>
  <si>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</si>
  <si>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</si>
  <si>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</si>
  <si>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</si>
  <si>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</si>
  <si>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</si>
  <si>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</si>
  <si>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</si>
  <si>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</si>
  <si>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</si>
  <si>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</si>
  <si>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</si>
  <si>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</si>
  <si>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</si>
  <si>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</si>
  <si>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</si>
  <si>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</si>
  <si>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</si>
  <si>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</si>
  <si>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</si>
  <si>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</si>
  <si>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</si>
  <si>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</si>
  <si>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</si>
  <si>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</si>
  <si>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</si>
  <si>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</si>
  <si>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</si>
  <si>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</si>
  <si>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</si>
  <si>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</si>
  <si>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</si>
  <si>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</si>
  <si>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</si>
  <si>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</si>
  <si>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</si>
  <si>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</si>
  <si>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</si>
  <si>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</si>
  <si>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</si>
  <si>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</si>
  <si>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</si>
  <si>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</si>
  <si>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</si>
  <si>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</si>
  <si>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</si>
  <si>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</si>
  <si>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</si>
  <si>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</si>
  <si>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</si>
  <si>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</si>
  <si>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</si>
  <si>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</si>
  <si>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</si>
  <si>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</si>
  <si>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</si>
  <si>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</si>
  <si>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</si>
  <si>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</si>
  <si>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</si>
  <si>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</si>
  <si>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</si>
  <si>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</si>
  <si>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</si>
  <si>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</si>
  <si>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</si>
  <si>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</si>
  <si>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</si>
  <si>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</si>
  <si>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</si>
  <si>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</si>
  <si>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</si>
  <si>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</si>
  <si>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</si>
  <si>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</si>
  <si>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</si>
  <si>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</si>
  <si>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</si>
  <si>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</si>
  <si>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</si>
  <si>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</si>
  <si>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</si>
  <si>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</si>
  <si>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</si>
  <si>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</si>
  <si>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</si>
  <si>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</si>
  <si>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</si>
  <si>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</si>
  <si>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</si>
  <si>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</si>
  <si>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</si>
  <si>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</si>
  <si>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</si>
  <si>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</si>
  <si>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</si>
  <si>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</si>
  <si>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</si>
  <si>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</si>
  <si>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</si>
  <si>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</si>
  <si>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</si>
  <si>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</si>
  <si>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</si>
  <si>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</si>
  <si>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</si>
  <si>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</si>
  <si>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</si>
  <si>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</si>
  <si>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</si>
  <si>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</si>
  <si>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</si>
  <si>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</si>
  <si>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</si>
  <si>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</si>
  <si>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</si>
  <si>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</si>
  <si>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</si>
  <si>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</si>
  <si>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</si>
  <si>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</si>
  <si>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</si>
  <si>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</si>
  <si>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</si>
  <si>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</si>
  <si>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</si>
  <si>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</si>
  <si>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</si>
  <si>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</si>
  <si>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</si>
  <si>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</si>
  <si>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</si>
  <si>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</si>
  <si>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</si>
  <si>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</si>
  <si>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</si>
  <si>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</si>
  <si>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</si>
  <si>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</si>
  <si>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</si>
  <si>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</si>
  <si>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</si>
  <si>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</si>
  <si>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</si>
  <si>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</si>
  <si>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</si>
  <si>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</si>
  <si>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</si>
  <si>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</si>
  <si>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</si>
  <si>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</si>
  <si>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</si>
  <si>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</si>
  <si>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</si>
  <si>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</si>
  <si>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</si>
  <si>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</si>
  <si>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</si>
  <si>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</si>
  <si>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</si>
  <si>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</si>
  <si>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</si>
  <si>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</si>
  <si>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</si>
  <si>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</si>
  <si>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</si>
  <si>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</si>
  <si>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</si>
  <si>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</si>
  <si>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</si>
  <si>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</si>
  <si>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</si>
  <si>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</si>
  <si>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</si>
  <si>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</si>
  <si>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</si>
  <si>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</si>
  <si>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</si>
  <si>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</si>
  <si>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</si>
  <si>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</si>
  <si>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</si>
  <si>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</si>
  <si>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</si>
  <si>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</si>
  <si>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</si>
  <si>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</si>
  <si>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</si>
  <si>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</si>
  <si>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</si>
  <si>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</si>
  <si>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</si>
  <si>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</si>
  <si>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</si>
  <si>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</si>
  <si>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</si>
  <si>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</si>
  <si>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</si>
  <si>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</si>
  <si>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</si>
  <si>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</si>
  <si>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</si>
  <si>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</si>
  <si>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</si>
  <si>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</si>
  <si>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</si>
  <si>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</si>
  <si>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</si>
  <si>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</si>
  <si>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</si>
  <si>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</si>
  <si>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</si>
  <si>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</si>
  <si>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</si>
  <si>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</si>
  <si>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</si>
  <si>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</si>
  <si>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</si>
  <si>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</si>
  <si>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</si>
  <si>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</si>
  <si>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</si>
  <si>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</si>
  <si>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</si>
  <si>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</si>
  <si>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</si>
  <si>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</si>
  <si>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</si>
  <si>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</si>
  <si>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</si>
  <si>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</si>
  <si>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</si>
  <si>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</si>
  <si>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</si>
  <si>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</si>
  <si>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</si>
  <si>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</si>
  <si>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</si>
  <si>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</si>
  <si>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</si>
  <si>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</si>
  <si>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</si>
  <si>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</si>
  <si>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</si>
  <si>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</si>
  <si>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</si>
  <si>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</si>
  <si>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</si>
  <si>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</si>
  <si>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</si>
  <si>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</si>
  <si>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</si>
  <si>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</si>
  <si>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</si>
  <si>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</si>
  <si>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</si>
  <si>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</si>
  <si>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</si>
  <si>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</si>
  <si>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</si>
  <si>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</si>
  <si>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</si>
  <si>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</si>
  <si>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</si>
  <si>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</si>
  <si>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</si>
  <si>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</si>
  <si>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</si>
  <si>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</si>
  <si>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</si>
  <si>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</si>
  <si>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</si>
  <si>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</si>
  <si>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</si>
  <si>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</si>
  <si>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</si>
  <si>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</si>
  <si>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</si>
  <si>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</si>
  <si>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</si>
  <si>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</si>
  <si>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</si>
  <si>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</si>
  <si>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</si>
  <si>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</si>
  <si>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</si>
  <si>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</si>
  <si>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</si>
  <si>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</si>
  <si>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</si>
  <si>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</si>
  <si>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</si>
  <si>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_______________________________</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</si>
  <si>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</si>
  <si>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</si>
  <si>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</si>
  <si>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</si>
  <si>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</si>
  <si>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</si>
  <si>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</si>
  <si>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</si>
  <si>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</si>
  <si>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</si>
  <si>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</si>
  <si>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</si>
  <si>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</si>
  <si>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</si>
  <si>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</si>
  <si>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</si>
  <si>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</si>
  <si>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</si>
  <si>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</si>
  <si>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</si>
  <si>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</si>
  <si>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</si>
  <si>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</si>
  <si>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</si>
  <si>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</si>
  <si>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</si>
  <si>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</si>
  <si>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</si>
  <si>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</si>
  <si>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</si>
  <si>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</si>
  <si>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</si>
  <si>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</si>
  <si>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</si>
  <si>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</si>
  <si>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</si>
  <si>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</si>
  <si>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</si>
  <si>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</si>
  <si>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</si>
  <si>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</si>
  <si>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</si>
  <si>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</si>
  <si>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</si>
  <si>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</si>
  <si>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</si>
  <si>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</si>
  <si>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</si>
  <si>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</si>
  <si>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</si>
  <si>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</si>
  <si>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</si>
  <si>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</si>
  <si>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</si>
  <si>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</si>
  <si>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</si>
  <si>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</si>
  <si>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</si>
  <si>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</si>
  <si>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</si>
  <si>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</si>
  <si>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</si>
  <si>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</si>
  <si>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</si>
  <si>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</si>
  <si>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</si>
  <si>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</si>
  <si>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</si>
  <si>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</si>
  <si>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</si>
  <si>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</si>
  <si>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</si>
  <si>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</si>
  <si>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</si>
  <si>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</si>
  <si>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</si>
  <si>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</si>
  <si>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</si>
  <si>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</si>
  <si>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</si>
  <si>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</si>
  <si>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</si>
  <si>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</si>
  <si>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</si>
  <si>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</si>
  <si>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</si>
  <si>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</si>
  <si>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</si>
  <si>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</si>
  <si>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</si>
  <si>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</si>
  <si>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</si>
  <si>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</si>
  <si>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</si>
  <si>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</si>
  <si>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</si>
  <si>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</si>
  <si>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</si>
  <si>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</si>
  <si>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</si>
  <si>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</si>
  <si>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</si>
  <si>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</si>
  <si>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</si>
  <si>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</si>
  <si>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</si>
  <si>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</si>
  <si>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</si>
  <si>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</si>
  <si>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</si>
  <si>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</si>
  <si>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</si>
  <si>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</si>
  <si>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</si>
  <si>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</si>
  <si>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</si>
  <si>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VMPF</t>
  </si>
  <si>
    <t>Quỹ Đầu Tư Cổ Phiếu Hiệu Suất Thị Trường Việt Nam VinaCapital (VinaCapital-VMPF)</t>
  </si>
  <si>
    <t>ENF</t>
  </si>
  <si>
    <t>EVESG</t>
  </si>
  <si>
    <t>Công cụ thị trường tiền tệ
Money market instruments</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</si>
  <si>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</si>
  <si>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</si>
  <si>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</si>
  <si>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</si>
  <si>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</si>
  <si>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</si>
  <si>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</si>
  <si>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</si>
  <si>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</si>
  <si>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</si>
  <si>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Tiền phải trả cho Nhà đầu tư về cổ tức và mua lại chứng chỉ quỹ 
Cash at bank for Fund's dividend payment and redemption</t>
  </si>
  <si>
    <t>1.2. Tiền gửi có kỳ hạn không quá ba (03) tháng
Deposit with term up to three (03) months</t>
  </si>
  <si>
    <t xml:space="preserve">Phải thu lãi tiền gửi có kỳ hạn không quá ba (03) tháng
Interest receivables from deposit with term   up to three (03) months	</t>
  </si>
  <si>
    <t>Phải thu lãi Công cụ thị trường tiền tệ
Interest receivables from Money market instruments</t>
  </si>
  <si>
    <t>Dự thu lãi tiền gửi có kỳ hạn không quá ba (03) tháng
Interest accrual from deposits with term up to three (03) months</t>
  </si>
  <si>
    <t>Dự thu lãi Công cụ thị trường tiền tệ
Interest accrual from Money market instruments</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</si>
  <si>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</si>
  <si>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</si>
  <si>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</si>
  <si>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</si>
  <si>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</si>
  <si>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</si>
  <si>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</si>
  <si>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</si>
  <si>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</si>
  <si>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</si>
  <si>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</si>
  <si>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</si>
  <si>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</si>
  <si>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</si>
  <si>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</si>
  <si>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</si>
  <si>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</si>
  <si>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</si>
  <si>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</si>
  <si>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</si>
  <si>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</si>
  <si>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</si>
  <si>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</si>
  <si>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</si>
  <si>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</si>
  <si>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</si>
  <si>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</si>
  <si>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</si>
  <si>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</si>
  <si>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</si>
  <si>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CII124021</t>
  </si>
  <si>
    <t>2251.1.3</t>
  </si>
  <si>
    <t>1.4</t>
  </si>
  <si>
    <t>HDB124006</t>
  </si>
  <si>
    <t>2251.1.4</t>
  </si>
  <si>
    <t>1.5</t>
  </si>
  <si>
    <t>HDB124018</t>
  </si>
  <si>
    <t>2251.1.5</t>
  </si>
  <si>
    <t>1.6</t>
  </si>
  <si>
    <t>MML121021</t>
  </si>
  <si>
    <t>2251.1.6</t>
  </si>
  <si>
    <t>1.7</t>
  </si>
  <si>
    <t>MSN123008</t>
  </si>
  <si>
    <t>2251.1.7</t>
  </si>
  <si>
    <t>1.8</t>
  </si>
  <si>
    <t>MSN123009</t>
  </si>
  <si>
    <t>2251.1.8</t>
  </si>
  <si>
    <t>1.9</t>
  </si>
  <si>
    <t>TNG122017</t>
  </si>
  <si>
    <t>2251.1.9</t>
  </si>
  <si>
    <t>1.10</t>
  </si>
  <si>
    <t>VBA122001</t>
  </si>
  <si>
    <t>2251.1.10</t>
  </si>
  <si>
    <t>1.11</t>
  </si>
  <si>
    <t>VIC123028</t>
  </si>
  <si>
    <t>2251.1.11</t>
  </si>
  <si>
    <t>1.12</t>
  </si>
  <si>
    <t>VND122014</t>
  </si>
  <si>
    <t>2251.1.12</t>
  </si>
  <si>
    <t>1.13</t>
  </si>
  <si>
    <t>VPI124001</t>
  </si>
  <si>
    <t>2251.1.13</t>
  </si>
  <si>
    <t>1.14</t>
  </si>
  <si>
    <t>VRE12007</t>
  </si>
  <si>
    <t>2251.1.14</t>
  </si>
  <si>
    <t>2</t>
  </si>
  <si>
    <t>Trái phiếu chưa niêm yết
Unlisted Bonds</t>
  </si>
  <si>
    <t>2251.2</t>
  </si>
  <si>
    <t>2.1</t>
  </si>
  <si>
    <t>CII12403</t>
  </si>
  <si>
    <t>2251.2.1</t>
  </si>
  <si>
    <t>2.2</t>
  </si>
  <si>
    <t>KBC12401</t>
  </si>
  <si>
    <t>2251.2.2</t>
  </si>
  <si>
    <t>2.3</t>
  </si>
  <si>
    <t>KDH12101</t>
  </si>
  <si>
    <t>2251.2.3</t>
  </si>
  <si>
    <t>2.4</t>
  </si>
  <si>
    <t>KDH12202</t>
  </si>
  <si>
    <t>2251.2.4</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</si>
  <si>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</si>
  <si>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</si>
  <si>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</si>
  <si>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</si>
  <si>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</si>
  <si>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</si>
  <si>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</si>
  <si>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</si>
  <si>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</si>
  <si>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</si>
  <si>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</si>
  <si>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</si>
  <si>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</si>
  <si>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</si>
  <si>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</si>
  <si>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</si>
  <si>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</si>
  <si>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</si>
  <si>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</si>
  <si>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</si>
  <si>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</si>
  <si>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</si>
  <si>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</si>
  <si>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</si>
  <si>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</si>
  <si>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</si>
  <si>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</si>
  <si>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</si>
  <si>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</si>
  <si>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</si>
  <si>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</si>
  <si>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</si>
  <si>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</si>
  <si>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</si>
  <si>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</si>
  <si>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</si>
  <si>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</si>
  <si>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</si>
  <si>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</si>
  <si>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</si>
  <si>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</si>
  <si>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</si>
  <si>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</si>
  <si>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</si>
  <si>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</si>
  <si>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</si>
  <si>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</si>
  <si>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</si>
  <si>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</si>
  <si>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</si>
  <si>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</si>
  <si>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</si>
  <si>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</si>
  <si>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</si>
  <si>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</si>
  <si>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</si>
  <si>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</si>
  <si>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</si>
  <si>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</si>
  <si>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</si>
  <si>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</si>
  <si>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</si>
  <si>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</si>
  <si>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</si>
  <si>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</si>
  <si>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</si>
  <si>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</si>
  <si>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</si>
  <si>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</si>
  <si>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</si>
  <si>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</si>
  <si>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</si>
  <si>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</si>
  <si>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</si>
  <si>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</si>
  <si>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</si>
  <si>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</si>
  <si>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</si>
  <si>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</si>
  <si>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</si>
  <si>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</si>
  <si>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</si>
  <si>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</si>
  <si>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</si>
  <si>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</si>
  <si>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</si>
  <si>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</si>
  <si>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</si>
  <si>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</si>
  <si>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</si>
  <si>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</si>
  <si>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</si>
  <si>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</si>
  <si>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</si>
  <si>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</si>
  <si>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</si>
  <si>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</si>
  <si>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</si>
  <si>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</si>
  <si>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</si>
  <si>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</si>
  <si>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</si>
  <si>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</si>
  <si>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</si>
  <si>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</si>
  <si>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</si>
  <si>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</si>
  <si>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</si>
  <si>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</si>
  <si>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</si>
  <si>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</si>
  <si>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</si>
  <si>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</si>
  <si>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</si>
  <si>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</si>
  <si>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</si>
  <si>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</si>
  <si>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</si>
  <si>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</si>
  <si>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</si>
  <si>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</si>
  <si>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</si>
  <si>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</si>
  <si>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</si>
  <si>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</si>
  <si>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</si>
  <si>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</si>
  <si>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</si>
  <si>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</si>
  <si>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</si>
  <si>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</si>
  <si>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</si>
  <si>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</si>
  <si>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</si>
  <si>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</si>
  <si>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</si>
  <si>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</si>
  <si>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</si>
  <si>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</si>
  <si>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</si>
  <si>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</si>
  <si>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</si>
  <si>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</si>
  <si>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</si>
  <si>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</si>
  <si>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</si>
  <si>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</si>
  <si>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</si>
  <si>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</si>
  <si>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</si>
  <si>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</si>
  <si>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</si>
  <si>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</si>
  <si>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</si>
  <si>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</si>
  <si>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</si>
  <si>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</si>
  <si>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</si>
  <si>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</si>
  <si>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</si>
  <si>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</si>
  <si>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</si>
  <si>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</si>
  <si>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</si>
  <si>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</si>
  <si>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</si>
  <si>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</si>
  <si>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</si>
  <si>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</si>
  <si>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</si>
  <si>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</si>
  <si>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</si>
  <si>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</si>
  <si>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</si>
  <si>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</si>
  <si>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</si>
  <si>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</si>
  <si>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</si>
  <si>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</si>
  <si>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</si>
  <si>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</si>
  <si>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</si>
  <si>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</si>
  <si>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</si>
  <si>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</si>
  <si>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</si>
  <si>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</si>
  <si>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</si>
  <si>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</si>
  <si>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</si>
  <si>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</si>
  <si>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</si>
  <si>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</si>
  <si>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</si>
  <si>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</si>
  <si>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</si>
  <si>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</si>
  <si>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</si>
  <si>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</si>
  <si>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</si>
  <si>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</si>
  <si>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</si>
  <si>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</si>
  <si>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</si>
  <si>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</si>
  <si>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</si>
  <si>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</si>
  <si>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</si>
  <si>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</si>
  <si>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</si>
  <si>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</si>
  <si>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</si>
  <si>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</si>
  <si>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</si>
  <si>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</si>
  <si>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</si>
  <si>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</si>
  <si>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</si>
  <si>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</si>
  <si>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</si>
  <si>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</si>
  <si>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</si>
  <si>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</si>
  <si>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</si>
  <si>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</si>
  <si>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</si>
  <si>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</si>
  <si>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</si>
  <si>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</si>
  <si>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</si>
  <si>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</si>
  <si>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</si>
  <si>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</si>
  <si>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</si>
  <si>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</si>
  <si>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</si>
  <si>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</si>
  <si>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</si>
  <si>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</si>
  <si>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</si>
  <si>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</si>
  <si>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</si>
  <si>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</si>
  <si>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</si>
  <si>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</si>
  <si>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</si>
  <si>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</si>
  <si>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</si>
  <si>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</si>
  <si>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</si>
  <si>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</si>
  <si>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</si>
  <si>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</si>
  <si>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</si>
  <si>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</si>
  <si>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</si>
  <si>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</si>
  <si>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</si>
  <si>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</si>
  <si>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</si>
  <si>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</si>
  <si>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</si>
  <si>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</si>
  <si>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</si>
  <si>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</si>
  <si>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</si>
  <si>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</si>
  <si>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</si>
  <si>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</si>
  <si>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</si>
  <si>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</si>
  <si>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</si>
  <si>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</si>
  <si>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</si>
  <si>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</si>
  <si>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</si>
  <si>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</si>
  <si>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</si>
  <si>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</si>
  <si>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</si>
  <si>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</si>
  <si>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</si>
  <si>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</si>
  <si>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</si>
  <si>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</si>
  <si>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</si>
  <si>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</si>
  <si>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</si>
  <si>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</si>
  <si>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</si>
  <si>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</si>
  <si>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</si>
  <si>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</si>
  <si>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</si>
  <si>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</si>
  <si>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</si>
  <si>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</si>
  <si>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</si>
  <si>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</si>
  <si>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</si>
  <si>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</si>
  <si>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</si>
  <si>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</si>
  <si>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</si>
  <si>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</si>
  <si>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</si>
  <si>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</si>
  <si>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</si>
  <si>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</si>
  <si>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</si>
  <si>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</si>
  <si>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</si>
  <si>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</si>
  <si>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</si>
  <si>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</si>
  <si>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</si>
  <si>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</si>
  <si>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</si>
  <si>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</si>
  <si>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</si>
  <si>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</si>
  <si>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</si>
  <si>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</si>
  <si>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</si>
  <si>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</si>
  <si>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</si>
  <si>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</si>
  <si>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</si>
  <si>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</si>
  <si>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</si>
  <si>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</si>
  <si>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</si>
  <si>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</si>
  <si>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</si>
  <si>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</si>
  <si>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</si>
  <si>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</si>
  <si>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</si>
  <si>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</si>
  <si>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</si>
  <si>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</si>
  <si>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</si>
  <si>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</si>
  <si>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</si>
  <si>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</si>
  <si>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</si>
  <si>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</si>
  <si>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</si>
  <si>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</si>
  <si>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</si>
  <si>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</si>
  <si>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</si>
  <si>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</si>
  <si>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</si>
  <si>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</si>
  <si>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</si>
  <si>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</si>
  <si>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</si>
  <si>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</si>
  <si>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</si>
  <si>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</si>
  <si>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</si>
  <si>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</si>
  <si>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</si>
  <si>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</si>
  <si>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</si>
  <si>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</si>
  <si>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</si>
  <si>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</si>
  <si>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</si>
  <si>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</si>
  <si>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</si>
  <si>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</si>
  <si>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</si>
  <si>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</si>
  <si>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</si>
  <si>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</si>
  <si>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</si>
  <si>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</si>
  <si>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</si>
  <si>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</si>
  <si>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</si>
  <si>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</si>
  <si>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</si>
  <si>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</si>
  <si>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</si>
  <si>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</si>
  <si>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</si>
  <si>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</si>
  <si>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</si>
  <si>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</si>
  <si>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</si>
  <si>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</si>
  <si>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</si>
  <si>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</si>
  <si>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</si>
  <si>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</si>
  <si>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</si>
  <si>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</si>
  <si>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</si>
  <si>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</si>
  <si>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</si>
  <si>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</si>
  <si>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</si>
  <si>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</si>
  <si>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</si>
  <si>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</si>
  <si>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</si>
  <si>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</si>
  <si>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</si>
  <si>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</si>
  <si>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</si>
  <si>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</si>
  <si>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</si>
  <si>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</si>
  <si>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</si>
  <si>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</si>
  <si>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</si>
  <si>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</si>
  <si>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</si>
  <si>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</si>
  <si>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</si>
  <si>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</si>
  <si>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</si>
  <si>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</si>
  <si>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</si>
  <si>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</si>
  <si>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</si>
  <si>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</si>
  <si>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</si>
  <si>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</si>
  <si>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</si>
  <si>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</si>
  <si>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2024
/ As at 31 Dec 2024</t>
  </si>
  <si>
    <t>Quý IV năm 2024
/ Quarter IV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</si>
  <si>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</si>
  <si>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</si>
  <si>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</si>
  <si>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</si>
  <si>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07 tháng 01 năm 2025</t>
  </si>
  <si>
    <t>07 Jan 2025</t>
  </si>
  <si>
    <t>Vũ Quang Phan</t>
  </si>
  <si>
    <t>Lê Hoàng Anh</t>
  </si>
  <si>
    <t>Phó phòng Dịch vụ nghiệp vụ giám sát Quỹ</t>
  </si>
  <si>
    <t>Quyền Giám đốc nghiệp vụ hỗ trợ đầu tư</t>
  </si>
  <si>
    <t>Ngày 31 tháng 12 năm 2024
 As at 31 Dec 2024</t>
  </si>
  <si>
    <t>Ngày 30 tháng 09 năm 2024
 As at 30 Sep 2024</t>
  </si>
  <si>
    <t>Quý IV năm 2024
Quarter IV 2024</t>
  </si>
  <si>
    <t>Quý III năm 2024
Quarter III 2024</t>
  </si>
  <si>
    <t>Năm 2024
Year 2024</t>
  </si>
  <si>
    <t>Năm 2023
Year 2023</t>
  </si>
  <si>
    <t>Quý IV năm  2023
Quarter IV  2023</t>
  </si>
  <si>
    <t>Ninh Thị Tuệ Minh</t>
  </si>
  <si>
    <t>Kế toán Quỹ</t>
  </si>
  <si>
    <t>Trưởng phòng Kế toán Quỹ</t>
  </si>
  <si>
    <t>DC Bond Fund (DCBF)</t>
  </si>
  <si>
    <t>Tỷ lệ nắm giữ chứng chỉ quỹ của nhà đầu tư nước ngoài cuối kỳ
Foreign investors' ownership ratio at the end of the period (***)</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</si>
  <si>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</si>
  <si>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</si>
  <si>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Vương Thị Trâm 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</si>
</sst>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46">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2"/>
      <name val="Tahoma"/>
      <family val="2"/>
    </font>
    <font>
      <sz val="12"/>
      <name val="Tahoma"/>
      <family val="2"/>
    </font>
    <font>
      <i/>
      <sz val="12"/>
      <name val="Tahoma"/>
      <family val="2"/>
    </font>
    <font>
      <sz val="12"/>
      <color theme="1"/>
      <name val="Tahoma"/>
      <family val="2"/>
    </font>
    <font>
      <b/>
      <sz val="12"/>
      <color indexed="30"/>
      <name val="Tahoma"/>
      <family val="2"/>
    </font>
    <font>
      <b/>
      <sz val="12"/>
      <color theme="1"/>
      <name val="Tahoma"/>
      <family val="2"/>
    </font>
    <font>
      <b/>
      <sz val="12"/>
      <color indexed="8"/>
      <name val="Tahoma"/>
      <family val="2"/>
    </font>
    <font>
      <i/>
      <sz val="12"/>
      <color theme="1"/>
      <name val="Tahoma"/>
      <family val="2"/>
    </font>
    <font>
      <sz val="12"/>
      <color indexed="8"/>
      <name val="Tahoma"/>
      <family val="2"/>
    </font>
    <font>
      <b/>
      <sz val="11"/>
      <color theme="1"/>
      <name val="Tahoma"/>
      <family val="2"/>
    </font>
    <font>
      <sz val="11"/>
      <color theme="1"/>
      <name val="Tahoma"/>
      <family val="2"/>
    </font>
    <font>
      <i/>
      <sz val="11"/>
      <color theme="1"/>
      <name val="Tahoma"/>
      <family val="2"/>
    </font>
    <font>
      <b/>
      <sz val="11"/>
      <color indexed="30"/>
      <name val="Tahoma"/>
      <family val="2"/>
    </font>
    <font>
      <b/>
      <sz val="11"/>
      <name val="Tahoma"/>
      <family val="2"/>
    </font>
    <font>
      <sz val="11"/>
      <name val="Tahoma"/>
      <family val="2"/>
    </font>
    <font>
      <sz val="12"/>
      <color theme="1"/>
      <name val="Arial"/>
      <family val="2"/>
    </font>
    <font>
      <sz val="12"/>
      <name val="Arial"/>
      <family val="2"/>
    </font>
    <font>
      <b/>
      <sz val="12"/>
      <color theme="1"/>
      <name val="Arial"/>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1" fillId="5" borderId="0" applyFont="0" applyFill="0" applyBorder="0" applyAlignment="0" applyProtection="0"/>
    <xf numFmtId="0" fontId="4" fillId="5" borderId="0"/>
  </cellStyleXfs>
  <cellXfs count="276">
    <xf numFmtId="0" fontId="0" fillId="0" borderId="0" xfId="0"/>
    <xf numFmtId="0" fontId="6" fillId="0" borderId="0" xfId="0" applyFont="1"/>
    <xf numFmtId="0" fontId="7" fillId="3" borderId="0" xfId="0" applyFont="1" applyFill="1"/>
    <xf numFmtId="0" fontId="8" fillId="3" borderId="0" xfId="0" applyFont="1" applyFill="1"/>
    <xf numFmtId="0" fontId="7" fillId="3" borderId="0" xfId="0" applyFont="1" applyFill="1" applyAlignment="1">
      <alignment vertical="center" wrapText="1"/>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14" fillId="3" borderId="0" xfId="12" applyFont="1" applyFill="1" applyAlignment="1">
      <alignment horizontal="center"/>
    </xf>
    <xf numFmtId="0" fontId="14" fillId="3" borderId="0" xfId="12" applyFont="1" applyFill="1"/>
    <xf numFmtId="0" fontId="14" fillId="3" borderId="0" xfId="16" applyFont="1" applyFill="1" applyAlignment="1">
      <alignment horizontal="center" vertical="center"/>
    </xf>
    <xf numFmtId="0" fontId="14" fillId="3" borderId="0" xfId="16" applyFont="1" applyFill="1" applyAlignment="1">
      <alignment vertical="center"/>
    </xf>
    <xf numFmtId="0" fontId="8" fillId="3" borderId="0" xfId="0" applyFont="1" applyFill="1" applyAlignment="1">
      <alignment horizontal="left" vertical="center" wrapText="1"/>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5"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4" fontId="22" fillId="9" borderId="18" xfId="0" applyNumberFormat="1" applyFont="1" applyFill="1" applyBorder="1" applyAlignment="1" applyProtection="1">
      <alignment horizontal="center" vertical="center" wrapText="1"/>
      <protection locked="0"/>
    </xf>
    <xf numFmtId="10" fontId="23" fillId="11" borderId="20" xfId="0" applyNumberFormat="1" applyFont="1" applyFill="1" applyBorder="1" applyAlignment="1" applyProtection="1">
      <alignment horizontal="right" vertical="center" wrapText="1"/>
      <protection locked="0"/>
    </xf>
    <xf numFmtId="165" fontId="24" fillId="12" borderId="21" xfId="0" applyNumberFormat="1" applyFont="1" applyFill="1" applyBorder="1" applyAlignment="1" applyProtection="1">
      <alignment horizontal="right" vertical="center" wrapText="1"/>
      <protection locked="0"/>
    </xf>
    <xf numFmtId="0" fontId="25" fillId="14" borderId="23" xfId="0" applyNumberFormat="1" applyFont="1" applyFill="1" applyBorder="1" applyAlignment="1" applyProtection="1">
      <alignment horizontal="center" vertical="center" wrapText="1"/>
      <protection locked="0"/>
    </xf>
    <xf numFmtId="10" fontId="26" fillId="15" borderId="24" xfId="0" applyNumberFormat="1" applyFont="1" applyFill="1" applyBorder="1" applyAlignment="1" applyProtection="1">
      <alignment horizontal="right" vertical="center" wrapText="1"/>
      <protection locked="0"/>
    </xf>
    <xf numFmtId="165" fontId="27" fillId="16" borderId="25" xfId="0" applyNumberFormat="1" applyFont="1" applyFill="1" applyBorder="1" applyAlignment="1" applyProtection="1">
      <alignment horizontal="right" vertical="center" wrapText="1"/>
      <protection locked="0"/>
    </xf>
    <xf numFmtId="0" fontId="29" fillId="3" borderId="0" xfId="0" applyFont="1" applyFill="1"/>
    <xf numFmtId="0" fontId="31" fillId="3" borderId="0" xfId="0" applyFont="1" applyFill="1" applyAlignment="1">
      <alignment vertical="center"/>
    </xf>
    <xf numFmtId="0" fontId="31" fillId="3" borderId="0" xfId="0" applyFont="1" applyFill="1"/>
    <xf numFmtId="0" fontId="29" fillId="3" borderId="0" xfId="0" applyFont="1" applyFill="1" applyAlignment="1">
      <alignment vertical="center"/>
    </xf>
    <xf numFmtId="0" fontId="33" fillId="3" borderId="0" xfId="16" applyFont="1" applyFill="1" applyAlignment="1">
      <alignment horizontal="center" vertical="center"/>
    </xf>
    <xf numFmtId="0" fontId="33" fillId="3" borderId="0" xfId="16" applyFont="1" applyFill="1" applyAlignment="1">
      <alignment vertical="center"/>
    </xf>
    <xf numFmtId="0" fontId="28" fillId="3" borderId="0" xfId="16" applyFont="1" applyFill="1" applyAlignment="1">
      <alignment horizontal="center" vertical="center"/>
    </xf>
    <xf numFmtId="0" fontId="28" fillId="3" borderId="0" xfId="16" applyFont="1" applyFill="1" applyAlignment="1">
      <alignment vertical="center"/>
    </xf>
    <xf numFmtId="0" fontId="28" fillId="2" borderId="9" xfId="6" applyFont="1" applyFill="1" applyBorder="1" applyAlignment="1">
      <alignment horizontal="center" vertical="center" wrapText="1"/>
    </xf>
    <xf numFmtId="165" fontId="28" fillId="2" borderId="9" xfId="7" applyNumberFormat="1" applyFont="1" applyFill="1" applyBorder="1" applyAlignment="1" applyProtection="1">
      <alignment horizontal="center" vertical="center" wrapText="1"/>
      <protection locked="0"/>
    </xf>
    <xf numFmtId="165" fontId="28" fillId="2" borderId="9" xfId="10" applyNumberFormat="1" applyFont="1" applyFill="1" applyBorder="1" applyAlignment="1" applyProtection="1">
      <alignment horizontal="center" vertical="center" wrapText="1"/>
    </xf>
    <xf numFmtId="0" fontId="28" fillId="14" borderId="23" xfId="0" applyNumberFormat="1" applyFont="1" applyFill="1" applyBorder="1" applyAlignment="1" applyProtection="1">
      <alignment horizontal="center" vertical="center" wrapText="1"/>
      <protection locked="0"/>
    </xf>
    <xf numFmtId="0" fontId="28" fillId="13" borderId="22" xfId="0" applyNumberFormat="1" applyFont="1" applyFill="1" applyBorder="1" applyAlignment="1" applyProtection="1">
      <alignment horizontal="left" vertical="center" wrapText="1"/>
      <protection locked="0"/>
    </xf>
    <xf numFmtId="165" fontId="28" fillId="16" borderId="25" xfId="0" applyNumberFormat="1" applyFont="1" applyFill="1" applyBorder="1" applyAlignment="1" applyProtection="1">
      <alignment horizontal="right" vertical="center" wrapText="1"/>
      <protection locked="0"/>
    </xf>
    <xf numFmtId="10" fontId="28" fillId="15" borderId="24" xfId="0" applyNumberFormat="1" applyFont="1" applyFill="1" applyBorder="1" applyAlignment="1" applyProtection="1">
      <alignment horizontal="right" vertical="center" wrapText="1"/>
      <protection locked="0"/>
    </xf>
    <xf numFmtId="4" fontId="29" fillId="9" borderId="18" xfId="0" applyNumberFormat="1" applyFont="1" applyFill="1" applyBorder="1" applyAlignment="1" applyProtection="1">
      <alignment horizontal="center" vertical="center" wrapText="1"/>
      <protection locked="0"/>
    </xf>
    <xf numFmtId="4" fontId="29" fillId="8" borderId="17" xfId="0" applyNumberFormat="1" applyFont="1" applyFill="1" applyBorder="1" applyAlignment="1" applyProtection="1">
      <alignment horizontal="left" vertical="center" wrapText="1"/>
      <protection locked="0"/>
    </xf>
    <xf numFmtId="165" fontId="29" fillId="12" borderId="21" xfId="0" applyNumberFormat="1" applyFont="1" applyFill="1" applyBorder="1" applyAlignment="1" applyProtection="1">
      <alignment horizontal="right" vertical="center" wrapText="1"/>
      <protection locked="0"/>
    </xf>
    <xf numFmtId="10" fontId="29" fillId="11" borderId="20" xfId="0" applyNumberFormat="1" applyFont="1" applyFill="1" applyBorder="1" applyAlignment="1" applyProtection="1">
      <alignment horizontal="right" vertical="center" wrapText="1"/>
      <protection locked="0"/>
    </xf>
    <xf numFmtId="43" fontId="29" fillId="17" borderId="26" xfId="0" applyNumberFormat="1" applyFont="1" applyFill="1" applyBorder="1" applyAlignment="1" applyProtection="1">
      <alignment horizontal="right" vertical="center" wrapText="1"/>
      <protection locked="0"/>
    </xf>
    <xf numFmtId="0" fontId="34" fillId="3" borderId="0" xfId="0" applyFont="1" applyFill="1" applyAlignment="1">
      <alignment vertical="center"/>
    </xf>
    <xf numFmtId="0" fontId="29" fillId="3" borderId="0" xfId="0" applyFont="1" applyFill="1" applyAlignment="1">
      <alignment horizontal="left" vertical="center"/>
    </xf>
    <xf numFmtId="0" fontId="30" fillId="3" borderId="0" xfId="1" applyFont="1" applyFill="1" applyAlignment="1">
      <alignment vertical="center"/>
    </xf>
    <xf numFmtId="0" fontId="30" fillId="3" borderId="0" xfId="0" applyFont="1" applyFill="1" applyAlignment="1">
      <alignment horizontal="left" vertical="center"/>
    </xf>
    <xf numFmtId="0" fontId="30" fillId="3" borderId="0" xfId="0" applyFont="1" applyFill="1"/>
    <xf numFmtId="0" fontId="29" fillId="3" borderId="8" xfId="0" applyFont="1" applyFill="1" applyBorder="1" applyAlignment="1">
      <alignment horizontal="left" vertical="center"/>
    </xf>
    <xf numFmtId="0" fontId="28" fillId="3" borderId="5" xfId="0" applyFont="1" applyFill="1" applyBorder="1" applyAlignment="1">
      <alignment horizontal="left" vertical="center"/>
    </xf>
    <xf numFmtId="0" fontId="29" fillId="3" borderId="5" xfId="0" applyFont="1" applyFill="1" applyBorder="1" applyAlignment="1">
      <alignment horizontal="left" vertical="center"/>
    </xf>
    <xf numFmtId="0" fontId="28" fillId="3" borderId="0" xfId="0" applyFont="1" applyFill="1" applyAlignment="1">
      <alignment horizontal="left" vertical="center"/>
    </xf>
    <xf numFmtId="0" fontId="31" fillId="0" borderId="0" xfId="0" applyFont="1" applyAlignment="1">
      <alignment vertical="center"/>
    </xf>
    <xf numFmtId="0" fontId="32" fillId="3" borderId="0" xfId="0" applyFont="1" applyFill="1" applyAlignment="1">
      <alignment horizontal="left" vertical="center"/>
    </xf>
    <xf numFmtId="0" fontId="33" fillId="3" borderId="0" xfId="2" applyFont="1" applyFill="1" applyAlignment="1">
      <alignment horizontal="center" vertical="center"/>
    </xf>
    <xf numFmtId="0" fontId="33" fillId="3" borderId="0" xfId="2" applyFont="1" applyFill="1" applyAlignment="1">
      <alignment vertical="center"/>
    </xf>
    <xf numFmtId="0" fontId="28" fillId="7" borderId="9" xfId="14" applyFont="1" applyFill="1" applyBorder="1" applyAlignment="1">
      <alignment horizontal="center" vertical="center" wrapText="1"/>
    </xf>
    <xf numFmtId="0" fontId="28" fillId="7" borderId="9" xfId="0" applyFont="1" applyFill="1" applyBorder="1" applyAlignment="1">
      <alignment horizontal="center" vertical="center" wrapText="1"/>
    </xf>
    <xf numFmtId="0" fontId="28" fillId="7" borderId="9" xfId="0" applyFont="1" applyFill="1" applyBorder="1" applyAlignment="1">
      <alignment horizontal="center" vertical="center"/>
    </xf>
    <xf numFmtId="49" fontId="28" fillId="7" borderId="9" xfId="14" applyNumberFormat="1" applyFont="1" applyFill="1" applyBorder="1" applyAlignment="1">
      <alignment horizontal="left" vertical="center" wrapText="1"/>
    </xf>
    <xf numFmtId="49" fontId="28" fillId="7" borderId="9" xfId="14" applyNumberFormat="1" applyFont="1" applyFill="1" applyBorder="1" applyAlignment="1">
      <alignment horizontal="center" vertical="center" wrapText="1"/>
    </xf>
    <xf numFmtId="41" fontId="28" fillId="7" borderId="9" xfId="22" applyNumberFormat="1" applyFont="1" applyFill="1" applyBorder="1" applyAlignment="1">
      <alignment horizontal="left"/>
    </xf>
    <xf numFmtId="0" fontId="33" fillId="0" borderId="0" xfId="0" applyFont="1" applyAlignment="1">
      <alignment vertical="center"/>
    </xf>
    <xf numFmtId="0" fontId="29" fillId="5" borderId="9" xfId="15" applyFont="1" applyBorder="1" applyAlignment="1">
      <alignment horizontal="center" vertical="center"/>
    </xf>
    <xf numFmtId="49" fontId="29" fillId="5" borderId="9" xfId="14" applyNumberFormat="1" applyFont="1" applyBorder="1" applyAlignment="1">
      <alignment horizontal="left" vertical="center" wrapText="1"/>
    </xf>
    <xf numFmtId="49" fontId="29" fillId="5" borderId="9" xfId="14" applyNumberFormat="1" applyFont="1" applyBorder="1" applyAlignment="1">
      <alignment horizontal="center" vertical="center" wrapText="1"/>
    </xf>
    <xf numFmtId="41" fontId="29" fillId="5" borderId="9" xfId="22" applyNumberFormat="1" applyFont="1" applyBorder="1"/>
    <xf numFmtId="0" fontId="29" fillId="0" borderId="9" xfId="0" applyFont="1" applyBorder="1" applyAlignment="1">
      <alignment horizontal="left"/>
    </xf>
    <xf numFmtId="41" fontId="29" fillId="0" borderId="9" xfId="0" applyNumberFormat="1" applyFont="1" applyBorder="1" applyAlignment="1">
      <alignment horizontal="left"/>
    </xf>
    <xf numFmtId="0" fontId="30" fillId="5" borderId="9" xfId="15" applyFont="1" applyBorder="1" applyAlignment="1">
      <alignment horizontal="center" vertical="center"/>
    </xf>
    <xf numFmtId="49" fontId="30" fillId="5" borderId="9" xfId="14" applyNumberFormat="1" applyFont="1" applyBorder="1" applyAlignment="1">
      <alignment horizontal="left" vertical="center" wrapText="1"/>
    </xf>
    <xf numFmtId="49" fontId="30" fillId="5" borderId="9" xfId="14" applyNumberFormat="1" applyFont="1" applyBorder="1" applyAlignment="1">
      <alignment horizontal="center" vertical="center" wrapText="1"/>
    </xf>
    <xf numFmtId="0" fontId="30" fillId="3" borderId="9" xfId="15" applyFont="1" applyFill="1" applyBorder="1" applyAlignment="1">
      <alignment horizontal="center" vertical="center"/>
    </xf>
    <xf numFmtId="49" fontId="30" fillId="3" borderId="9" xfId="14" applyNumberFormat="1" applyFont="1" applyFill="1" applyBorder="1" applyAlignment="1">
      <alignment horizontal="left" vertical="center" wrapText="1"/>
    </xf>
    <xf numFmtId="49" fontId="30" fillId="3" borderId="9" xfId="14" applyNumberFormat="1" applyFont="1" applyFill="1" applyBorder="1" applyAlignment="1">
      <alignment horizontal="center" vertical="center" wrapText="1"/>
    </xf>
    <xf numFmtId="41" fontId="28" fillId="7" borderId="9" xfId="22" applyNumberFormat="1" applyFont="1" applyFill="1" applyBorder="1"/>
    <xf numFmtId="0" fontId="29" fillId="3" borderId="9" xfId="15" applyFont="1" applyFill="1" applyBorder="1" applyAlignment="1">
      <alignment horizontal="center" vertical="center"/>
    </xf>
    <xf numFmtId="0" fontId="29" fillId="5" borderId="9" xfId="14" applyFont="1" applyBorder="1" applyAlignment="1">
      <alignment horizontal="left" vertical="center" wrapText="1"/>
    </xf>
    <xf numFmtId="0" fontId="30" fillId="5" borderId="9" xfId="14" applyFont="1" applyBorder="1" applyAlignment="1">
      <alignment horizontal="left" vertical="center" wrapText="1"/>
    </xf>
    <xf numFmtId="0" fontId="30" fillId="0" borderId="9" xfId="4" applyFont="1" applyBorder="1" applyAlignment="1">
      <alignment horizontal="left" vertical="center" wrapText="1"/>
    </xf>
    <xf numFmtId="0" fontId="28" fillId="7" borderId="9" xfId="15" applyFont="1" applyFill="1" applyBorder="1" applyAlignment="1">
      <alignment horizontal="center" vertical="center"/>
    </xf>
    <xf numFmtId="0" fontId="35" fillId="0" borderId="0" xfId="0" applyFont="1" applyAlignment="1">
      <alignment vertical="center"/>
    </xf>
    <xf numFmtId="0" fontId="29" fillId="0" borderId="9" xfId="0" applyFont="1" applyBorder="1" applyAlignment="1">
      <alignment horizontal="center" vertical="center"/>
    </xf>
    <xf numFmtId="0" fontId="33" fillId="3" borderId="5" xfId="0" applyFont="1" applyFill="1" applyBorder="1" applyAlignment="1">
      <alignment vertical="center"/>
    </xf>
    <xf numFmtId="0" fontId="31" fillId="3" borderId="5" xfId="0" applyFont="1" applyFill="1" applyBorder="1" applyAlignment="1">
      <alignment vertical="center"/>
    </xf>
    <xf numFmtId="0" fontId="33" fillId="3" borderId="0" xfId="0" applyFont="1" applyFill="1" applyAlignment="1">
      <alignment vertical="center"/>
    </xf>
    <xf numFmtId="0" fontId="34" fillId="3" borderId="0" xfId="0" applyFont="1" applyFill="1" applyBorder="1" applyAlignment="1">
      <alignment vertical="center"/>
    </xf>
    <xf numFmtId="0" fontId="30" fillId="3" borderId="0" xfId="1" applyFont="1" applyFill="1" applyBorder="1" applyAlignment="1">
      <alignment vertical="center"/>
    </xf>
    <xf numFmtId="0" fontId="31" fillId="3" borderId="0" xfId="0" applyFont="1" applyFill="1" applyBorder="1" applyAlignment="1">
      <alignment vertical="center"/>
    </xf>
    <xf numFmtId="0" fontId="33" fillId="3" borderId="0" xfId="0" applyFont="1" applyFill="1" applyBorder="1" applyAlignment="1">
      <alignment vertical="center"/>
    </xf>
    <xf numFmtId="0" fontId="31" fillId="0" borderId="0" xfId="0" applyFont="1"/>
    <xf numFmtId="0" fontId="33" fillId="2" borderId="9" xfId="0" applyFont="1" applyFill="1" applyBorder="1" applyAlignment="1">
      <alignment horizontal="center" vertical="center" wrapText="1"/>
    </xf>
    <xf numFmtId="0" fontId="29" fillId="10" borderId="19" xfId="0" applyNumberFormat="1" applyFont="1" applyFill="1" applyBorder="1" applyAlignment="1" applyProtection="1">
      <alignment horizontal="center" vertical="center" wrapText="1"/>
      <protection locked="0"/>
    </xf>
    <xf numFmtId="37" fontId="29" fillId="18" borderId="27" xfId="0" applyNumberFormat="1" applyFont="1" applyFill="1" applyBorder="1" applyAlignment="1" applyProtection="1">
      <alignment horizontal="right" vertical="center" wrapText="1"/>
      <protection locked="0"/>
    </xf>
    <xf numFmtId="0" fontId="36" fillId="3" borderId="0" xfId="0" applyFont="1" applyFill="1" applyAlignment="1">
      <alignment vertical="center"/>
    </xf>
    <xf numFmtId="0" fontId="28" fillId="3" borderId="5" xfId="1" applyFont="1" applyFill="1" applyBorder="1" applyAlignment="1">
      <alignment vertical="center"/>
    </xf>
    <xf numFmtId="0" fontId="28" fillId="3" borderId="0" xfId="1" applyFont="1" applyFill="1" applyAlignment="1">
      <alignment vertical="center"/>
    </xf>
    <xf numFmtId="0" fontId="29" fillId="3" borderId="0" xfId="1" applyFont="1" applyFill="1" applyAlignment="1">
      <alignment vertical="center"/>
    </xf>
    <xf numFmtId="0" fontId="14" fillId="3" borderId="5" xfId="17" applyFont="1" applyFill="1" applyBorder="1" applyAlignment="1">
      <alignment vertical="center"/>
    </xf>
    <xf numFmtId="49" fontId="33" fillId="3" borderId="9" xfId="0" applyNumberFormat="1" applyFont="1" applyFill="1" applyBorder="1" applyAlignment="1">
      <alignment horizontal="center" vertical="center"/>
    </xf>
    <xf numFmtId="49" fontId="31" fillId="3" borderId="9" xfId="0" applyNumberFormat="1" applyFont="1" applyFill="1" applyBorder="1" applyAlignment="1">
      <alignment horizontal="center" vertical="center"/>
    </xf>
    <xf numFmtId="0" fontId="31" fillId="3" borderId="8" xfId="0" applyFont="1" applyFill="1" applyBorder="1" applyAlignment="1">
      <alignment vertical="center"/>
    </xf>
    <xf numFmtId="0" fontId="37" fillId="0" borderId="0" xfId="0" applyFont="1" applyAlignment="1">
      <alignment wrapText="1"/>
    </xf>
    <xf numFmtId="0" fontId="38" fillId="0" borderId="0" xfId="0" applyFont="1"/>
    <xf numFmtId="0" fontId="39" fillId="0" borderId="0" xfId="0" applyFont="1" applyAlignment="1">
      <alignment wrapText="1"/>
    </xf>
    <xf numFmtId="0" fontId="39" fillId="0" borderId="0" xfId="0" applyFont="1"/>
    <xf numFmtId="0" fontId="38" fillId="3" borderId="0" xfId="0" applyFont="1" applyFill="1" applyAlignment="1">
      <alignment vertical="center"/>
    </xf>
    <xf numFmtId="0" fontId="40" fillId="3" borderId="0" xfId="0" applyFont="1" applyFill="1" applyAlignment="1">
      <alignment horizontal="left" vertical="center"/>
    </xf>
    <xf numFmtId="0" fontId="37" fillId="3" borderId="0" xfId="16" applyFont="1" applyFill="1" applyAlignment="1">
      <alignment horizontal="center" vertical="center"/>
    </xf>
    <xf numFmtId="0" fontId="37" fillId="3" borderId="0" xfId="16" applyFont="1" applyFill="1" applyAlignment="1">
      <alignment vertical="center"/>
    </xf>
    <xf numFmtId="0" fontId="37" fillId="3" borderId="0" xfId="2" applyFont="1" applyFill="1" applyAlignment="1">
      <alignment horizontal="center" vertical="center"/>
    </xf>
    <xf numFmtId="0" fontId="37" fillId="3" borderId="0" xfId="2" applyFont="1" applyFill="1" applyAlignment="1">
      <alignment vertical="center"/>
    </xf>
    <xf numFmtId="0" fontId="37" fillId="7" borderId="9" xfId="0" applyFont="1" applyFill="1" applyBorder="1" applyAlignment="1">
      <alignment horizontal="center" vertical="center" wrapText="1"/>
    </xf>
    <xf numFmtId="165" fontId="41" fillId="7" borderId="15" xfId="0" applyNumberFormat="1" applyFont="1" applyFill="1" applyBorder="1" applyAlignment="1">
      <alignment horizontal="center" vertical="center" wrapText="1"/>
    </xf>
    <xf numFmtId="49" fontId="37" fillId="3" borderId="9" xfId="0" applyNumberFormat="1" applyFont="1" applyFill="1" applyBorder="1" applyAlignment="1">
      <alignment horizontal="center" vertical="center"/>
    </xf>
    <xf numFmtId="49" fontId="37" fillId="3" borderId="9" xfId="0" applyNumberFormat="1" applyFont="1" applyFill="1" applyBorder="1" applyAlignment="1">
      <alignment horizontal="left" vertical="center" wrapText="1"/>
    </xf>
    <xf numFmtId="49" fontId="37" fillId="3" borderId="9" xfId="15" applyNumberFormat="1" applyFont="1" applyFill="1" applyBorder="1" applyAlignment="1">
      <alignment horizontal="center" vertical="center" wrapText="1"/>
    </xf>
    <xf numFmtId="10" fontId="42" fillId="11" borderId="20" xfId="0" applyNumberFormat="1" applyFont="1" applyFill="1" applyBorder="1" applyAlignment="1" applyProtection="1">
      <alignment horizontal="right" vertical="center" wrapText="1"/>
      <protection locked="0"/>
    </xf>
    <xf numFmtId="0" fontId="37" fillId="0" borderId="0" xfId="0" applyFont="1"/>
    <xf numFmtId="49" fontId="38" fillId="3" borderId="9" xfId="0" applyNumberFormat="1" applyFont="1" applyFill="1" applyBorder="1" applyAlignment="1">
      <alignment horizontal="center" vertical="center"/>
    </xf>
    <xf numFmtId="49" fontId="38" fillId="3" borderId="9" xfId="0" applyNumberFormat="1" applyFont="1" applyFill="1" applyBorder="1" applyAlignment="1">
      <alignment horizontal="left" vertical="center" wrapText="1"/>
    </xf>
    <xf numFmtId="49" fontId="38" fillId="3" borderId="9" xfId="15" applyNumberFormat="1" applyFont="1" applyFill="1" applyBorder="1" applyAlignment="1">
      <alignment horizontal="center" vertical="center" wrapText="1"/>
    </xf>
    <xf numFmtId="43" fontId="42" fillId="3" borderId="14" xfId="7" applyFont="1" applyFill="1" applyBorder="1" applyAlignment="1" applyProtection="1">
      <alignment horizontal="right" vertical="center" wrapText="1"/>
      <protection locked="0"/>
    </xf>
    <xf numFmtId="43" fontId="41" fillId="3" borderId="14" xfId="7" applyFont="1" applyFill="1" applyBorder="1" applyAlignment="1" applyProtection="1">
      <alignment horizontal="right" vertical="center" wrapText="1"/>
      <protection locked="0"/>
    </xf>
    <xf numFmtId="41" fontId="42" fillId="3" borderId="14" xfId="7" applyNumberFormat="1" applyFont="1" applyFill="1" applyBorder="1" applyAlignment="1" applyProtection="1">
      <alignment horizontal="right" vertical="center" wrapText="1"/>
      <protection locked="0"/>
    </xf>
    <xf numFmtId="0" fontId="37" fillId="3" borderId="0" xfId="0" applyFont="1" applyFill="1" applyAlignment="1">
      <alignment vertical="center"/>
    </xf>
    <xf numFmtId="0" fontId="39" fillId="3" borderId="0" xfId="0" applyFont="1" applyFill="1" applyAlignment="1">
      <alignment vertical="center"/>
    </xf>
    <xf numFmtId="0" fontId="38" fillId="3" borderId="8" xfId="0" applyFont="1" applyFill="1" applyBorder="1" applyAlignment="1">
      <alignment vertical="center"/>
    </xf>
    <xf numFmtId="0" fontId="43" fillId="0" borderId="0" xfId="0" applyFont="1"/>
    <xf numFmtId="0" fontId="32" fillId="3" borderId="0" xfId="0" applyFont="1" applyFill="1" applyAlignment="1">
      <alignment horizontal="left" vertical="center" wrapText="1"/>
    </xf>
    <xf numFmtId="0" fontId="31" fillId="3" borderId="0" xfId="0" applyFont="1" applyFill="1" applyAlignment="1">
      <alignment vertical="center" wrapText="1"/>
    </xf>
    <xf numFmtId="0" fontId="28" fillId="2" borderId="9" xfId="0" applyFont="1" applyFill="1" applyBorder="1" applyAlignment="1">
      <alignment horizontal="center" vertical="center" wrapText="1"/>
    </xf>
    <xf numFmtId="49" fontId="28" fillId="2" borderId="9" xfId="0" applyNumberFormat="1" applyFont="1" applyFill="1" applyBorder="1" applyAlignment="1">
      <alignment horizontal="center" vertical="center" wrapText="1"/>
    </xf>
    <xf numFmtId="0" fontId="28" fillId="2" borderId="9" xfId="4" applyFont="1" applyFill="1" applyBorder="1" applyAlignment="1">
      <alignment horizontal="left" vertical="center" wrapText="1"/>
    </xf>
    <xf numFmtId="49" fontId="28" fillId="2" borderId="9" xfId="4" applyNumberFormat="1" applyFont="1" applyFill="1" applyBorder="1" applyAlignment="1">
      <alignment horizontal="center" vertical="center" wrapText="1"/>
    </xf>
    <xf numFmtId="0" fontId="29" fillId="2" borderId="9" xfId="4" applyFont="1" applyFill="1" applyBorder="1" applyAlignment="1">
      <alignment horizontal="center" vertical="center" wrapText="1"/>
    </xf>
    <xf numFmtId="165" fontId="28" fillId="2" borderId="9" xfId="7" applyNumberFormat="1" applyFont="1" applyFill="1" applyBorder="1" applyAlignment="1" applyProtection="1">
      <alignment horizontal="right" vertical="center" wrapText="1"/>
      <protection locked="0"/>
    </xf>
    <xf numFmtId="0" fontId="45" fillId="0" borderId="0" xfId="0" applyFont="1"/>
    <xf numFmtId="0" fontId="29" fillId="3" borderId="9" xfId="4" applyFont="1" applyFill="1" applyBorder="1" applyAlignment="1">
      <alignment horizontal="left" vertical="center" wrapText="1"/>
    </xf>
    <xf numFmtId="49" fontId="29" fillId="0" borderId="9" xfId="4" applyNumberFormat="1" applyFont="1" applyBorder="1" applyAlignment="1">
      <alignment horizontal="center" vertical="center" wrapText="1"/>
    </xf>
    <xf numFmtId="0" fontId="29" fillId="0" borderId="9" xfId="4" applyFont="1" applyBorder="1" applyAlignment="1">
      <alignment horizontal="center" vertical="center" wrapText="1"/>
    </xf>
    <xf numFmtId="165" fontId="29" fillId="3" borderId="9" xfId="7" applyNumberFormat="1" applyFont="1" applyFill="1" applyBorder="1" applyAlignment="1" applyProtection="1">
      <alignment horizontal="right" vertical="center" wrapText="1"/>
      <protection locked="0"/>
    </xf>
    <xf numFmtId="0" fontId="29" fillId="3" borderId="9" xfId="4" applyFont="1" applyFill="1" applyBorder="1" applyAlignment="1">
      <alignment horizontal="center" vertical="center" wrapText="1"/>
    </xf>
    <xf numFmtId="49" fontId="29" fillId="3" borderId="9" xfId="4" applyNumberFormat="1" applyFont="1" applyFill="1" applyBorder="1" applyAlignment="1">
      <alignment horizontal="center" vertical="center" wrapText="1"/>
    </xf>
    <xf numFmtId="0" fontId="29" fillId="0" borderId="9" xfId="4" applyFont="1" applyBorder="1" applyAlignment="1">
      <alignment horizontal="left" vertical="center" wrapText="1"/>
    </xf>
    <xf numFmtId="0" fontId="30" fillId="0" borderId="9" xfId="6" applyFont="1" applyBorder="1" applyAlignment="1">
      <alignment horizontal="left" vertical="center" wrapText="1"/>
    </xf>
    <xf numFmtId="49" fontId="30" fillId="0" borderId="9" xfId="4" applyNumberFormat="1" applyFont="1" applyBorder="1" applyAlignment="1">
      <alignment horizontal="center" vertical="center" wrapText="1"/>
    </xf>
    <xf numFmtId="49" fontId="29" fillId="0" borderId="9" xfId="4" quotePrefix="1" applyNumberFormat="1" applyFont="1" applyBorder="1" applyAlignment="1">
      <alignment horizontal="center" vertical="center" wrapText="1"/>
    </xf>
    <xf numFmtId="49" fontId="30" fillId="0" borderId="9" xfId="4" quotePrefix="1" applyNumberFormat="1" applyFont="1" applyBorder="1" applyAlignment="1">
      <alignment horizontal="center" vertical="center" wrapText="1"/>
    </xf>
    <xf numFmtId="0" fontId="33" fillId="3" borderId="0" xfId="0" applyFont="1" applyFill="1" applyAlignment="1">
      <alignment horizontal="center" vertical="center"/>
    </xf>
    <xf numFmtId="0" fontId="31" fillId="3" borderId="0" xfId="0" applyFont="1" applyFill="1" applyAlignment="1">
      <alignment horizontal="center" vertical="center"/>
    </xf>
    <xf numFmtId="0" fontId="43" fillId="3" borderId="0" xfId="0" applyFont="1" applyFill="1"/>
    <xf numFmtId="0" fontId="28" fillId="2" borderId="9" xfId="0" applyFont="1" applyFill="1" applyBorder="1" applyAlignment="1">
      <alignment horizontal="center" vertical="center"/>
    </xf>
    <xf numFmtId="0" fontId="28" fillId="2" borderId="9" xfId="14" applyFont="1" applyFill="1" applyBorder="1" applyAlignment="1">
      <alignment horizontal="left" vertical="center" wrapText="1"/>
    </xf>
    <xf numFmtId="0" fontId="28" fillId="2" borderId="9" xfId="14" applyFont="1" applyFill="1" applyBorder="1" applyAlignment="1">
      <alignment horizontal="center" vertical="center" wrapText="1"/>
    </xf>
    <xf numFmtId="4" fontId="29" fillId="3" borderId="14" xfId="0" applyNumberFormat="1" applyFont="1" applyFill="1" applyBorder="1" applyAlignment="1" applyProtection="1">
      <alignment horizontal="center" vertical="center" wrapText="1"/>
      <protection locked="0"/>
    </xf>
    <xf numFmtId="4" fontId="29" fillId="3" borderId="14" xfId="0" applyNumberFormat="1" applyFont="1" applyFill="1" applyBorder="1" applyAlignment="1" applyProtection="1">
      <alignment horizontal="left" vertical="center" wrapText="1"/>
      <protection locked="0"/>
    </xf>
    <xf numFmtId="49" fontId="29" fillId="3" borderId="14" xfId="0" applyNumberFormat="1" applyFont="1" applyFill="1" applyBorder="1" applyAlignment="1" applyProtection="1">
      <alignment horizontal="center" vertical="center" wrapText="1"/>
      <protection locked="0"/>
    </xf>
    <xf numFmtId="165" fontId="29" fillId="0" borderId="14" xfId="0" applyNumberFormat="1" applyFont="1" applyBorder="1" applyAlignment="1" applyProtection="1">
      <alignment horizontal="right" vertical="center" wrapText="1"/>
      <protection locked="0"/>
    </xf>
    <xf numFmtId="4" fontId="30" fillId="3" borderId="14" xfId="0" applyNumberFormat="1" applyFont="1" applyFill="1" applyBorder="1" applyAlignment="1" applyProtection="1">
      <alignment horizontal="left" vertical="center" wrapText="1"/>
      <protection locked="0"/>
    </xf>
    <xf numFmtId="49" fontId="30" fillId="3" borderId="14" xfId="0" applyNumberFormat="1" applyFont="1" applyFill="1" applyBorder="1" applyAlignment="1" applyProtection="1">
      <alignment horizontal="center" vertical="center" wrapText="1"/>
      <protection locked="0"/>
    </xf>
    <xf numFmtId="0" fontId="44" fillId="3" borderId="0" xfId="0" applyFont="1" applyFill="1"/>
    <xf numFmtId="0" fontId="44" fillId="0" borderId="0" xfId="0" applyFont="1"/>
    <xf numFmtId="166" fontId="28" fillId="2" borderId="9" xfId="7" applyNumberFormat="1" applyFont="1" applyFill="1" applyBorder="1" applyAlignment="1" applyProtection="1">
      <alignment horizontal="right" vertical="center" wrapText="1"/>
      <protection locked="0"/>
    </xf>
    <xf numFmtId="0" fontId="29" fillId="3" borderId="14" xfId="0" applyFont="1" applyFill="1" applyBorder="1" applyAlignment="1" applyProtection="1">
      <alignment horizontal="center" vertical="center" wrapText="1"/>
      <protection locked="0"/>
    </xf>
    <xf numFmtId="0" fontId="29" fillId="3" borderId="14" xfId="0" applyFont="1" applyFill="1" applyBorder="1" applyAlignment="1" applyProtection="1">
      <alignment horizontal="left" vertical="center" wrapText="1"/>
      <protection locked="0"/>
    </xf>
    <xf numFmtId="166" fontId="29" fillId="3" borderId="14" xfId="0" applyNumberFormat="1" applyFont="1" applyFill="1" applyBorder="1" applyAlignment="1" applyProtection="1">
      <alignment horizontal="right" vertical="center" wrapText="1"/>
      <protection locked="0"/>
    </xf>
    <xf numFmtId="0" fontId="45" fillId="3" borderId="0" xfId="0" applyFont="1" applyFill="1"/>
    <xf numFmtId="0" fontId="33" fillId="3" borderId="9" xfId="0" applyFont="1" applyFill="1" applyBorder="1" applyAlignment="1">
      <alignment vertical="center" wrapText="1"/>
    </xf>
    <xf numFmtId="0" fontId="33" fillId="3" borderId="9" xfId="0" applyFont="1" applyFill="1" applyBorder="1" applyAlignment="1">
      <alignment vertical="center"/>
    </xf>
    <xf numFmtId="0" fontId="31" fillId="3" borderId="9" xfId="0" applyFont="1" applyFill="1" applyBorder="1" applyAlignment="1">
      <alignment vertical="center" wrapText="1"/>
    </xf>
    <xf numFmtId="0" fontId="31" fillId="3" borderId="9" xfId="0" applyFont="1" applyFill="1" applyBorder="1" applyAlignment="1">
      <alignment vertical="center"/>
    </xf>
    <xf numFmtId="41" fontId="31" fillId="3" borderId="9" xfId="0" applyNumberFormat="1" applyFont="1" applyFill="1" applyBorder="1" applyAlignment="1">
      <alignment horizontal="right" vertical="center" wrapText="1"/>
    </xf>
    <xf numFmtId="0" fontId="31" fillId="3" borderId="9" xfId="0" applyFont="1" applyFill="1" applyBorder="1" applyAlignment="1">
      <alignment horizontal="left" vertical="center" wrapText="1"/>
    </xf>
    <xf numFmtId="0" fontId="31" fillId="3" borderId="9" xfId="0" quotePrefix="1" applyFont="1" applyFill="1" applyBorder="1" applyAlignment="1">
      <alignment vertical="center" wrapText="1"/>
    </xf>
    <xf numFmtId="0" fontId="35" fillId="3" borderId="9" xfId="0" applyFont="1" applyFill="1" applyBorder="1" applyAlignment="1">
      <alignment vertical="center" wrapText="1"/>
    </xf>
    <xf numFmtId="49" fontId="35" fillId="3" borderId="9" xfId="0" applyNumberFormat="1" applyFont="1" applyFill="1" applyBorder="1" applyAlignment="1">
      <alignment horizontal="center" vertical="center"/>
    </xf>
    <xf numFmtId="0" fontId="30" fillId="3" borderId="9" xfId="0" applyFont="1" applyFill="1" applyBorder="1" applyAlignment="1">
      <alignment vertical="center" wrapText="1"/>
    </xf>
    <xf numFmtId="0" fontId="33" fillId="3" borderId="0" xfId="24" applyFont="1" applyFill="1" applyAlignment="1">
      <alignment horizontal="center" vertical="center"/>
    </xf>
    <xf numFmtId="0" fontId="31" fillId="3" borderId="0" xfId="24" applyFont="1" applyFill="1" applyAlignment="1">
      <alignment vertical="center" wrapText="1"/>
    </xf>
    <xf numFmtId="0" fontId="31" fillId="3" borderId="8" xfId="0" applyFont="1" applyFill="1" applyBorder="1" applyAlignment="1">
      <alignment horizontal="center" vertical="center"/>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29" fillId="3" borderId="0" xfId="0" applyFont="1" applyFill="1" applyAlignment="1">
      <alignment horizontal="left" vertical="center" wrapText="1"/>
    </xf>
    <xf numFmtId="0" fontId="32" fillId="3" borderId="0" xfId="0" applyFont="1" applyFill="1" applyAlignment="1">
      <alignment horizontal="left" vertical="center" wrapText="1"/>
    </xf>
    <xf numFmtId="0" fontId="28" fillId="3" borderId="0" xfId="0" applyFont="1" applyFill="1" applyAlignment="1">
      <alignment horizontal="right" vertical="center" wrapText="1"/>
    </xf>
    <xf numFmtId="0" fontId="30" fillId="3" borderId="0" xfId="0" applyFont="1" applyFill="1" applyAlignment="1">
      <alignment horizontal="right" vertical="center" wrapText="1"/>
    </xf>
    <xf numFmtId="0" fontId="28" fillId="3" borderId="0" xfId="0" applyFont="1" applyFill="1" applyAlignment="1">
      <alignment horizontal="center" vertical="center" wrapText="1"/>
    </xf>
    <xf numFmtId="0" fontId="30" fillId="3" borderId="0" xfId="0" applyFont="1" applyFill="1" applyAlignment="1">
      <alignment horizontal="center" vertical="center"/>
    </xf>
    <xf numFmtId="0" fontId="31" fillId="3" borderId="0" xfId="0" applyFont="1" applyFill="1" applyAlignment="1">
      <alignment horizontal="left" vertical="center"/>
    </xf>
    <xf numFmtId="0" fontId="33" fillId="3" borderId="0" xfId="0" applyFont="1" applyFill="1" applyAlignment="1">
      <alignment horizontal="right" vertical="center" wrapText="1"/>
    </xf>
    <xf numFmtId="0" fontId="35" fillId="3" borderId="0" xfId="0" applyFont="1" applyFill="1" applyAlignment="1">
      <alignment horizontal="right" vertical="center" wrapText="1"/>
    </xf>
    <xf numFmtId="0" fontId="33" fillId="3" borderId="0" xfId="0" applyFont="1" applyFill="1" applyAlignment="1">
      <alignment horizontal="center" vertical="center" wrapText="1"/>
    </xf>
    <xf numFmtId="0" fontId="35" fillId="3" borderId="0" xfId="0" applyFont="1" applyFill="1" applyAlignment="1">
      <alignment horizontal="center" vertical="center"/>
    </xf>
    <xf numFmtId="0" fontId="32" fillId="3" borderId="0" xfId="0" applyFont="1" applyFill="1" applyAlignment="1">
      <alignment horizontal="left" vertical="center"/>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16" fillId="3" borderId="0" xfId="11" applyFont="1" applyFill="1" applyAlignment="1">
      <alignment horizontal="left" vertical="center" wrapText="1"/>
    </xf>
    <xf numFmtId="0" fontId="8" fillId="3" borderId="0" xfId="11" applyFont="1" applyFill="1" applyAlignment="1">
      <alignment horizontal="left" vertical="center" wrapText="1"/>
    </xf>
    <xf numFmtId="0" fontId="17" fillId="3" borderId="0" xfId="11" applyFont="1" applyFill="1" applyAlignment="1">
      <alignment horizontal="left" vertical="center" wrapText="1"/>
    </xf>
    <xf numFmtId="0" fontId="11" fillId="3" borderId="0" xfId="11" applyFont="1" applyFill="1" applyAlignment="1">
      <alignment horizontal="left" vertical="top"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38" fillId="3" borderId="0" xfId="0" applyFont="1" applyFill="1" applyAlignment="1">
      <alignment horizontal="left" vertical="center"/>
    </xf>
    <xf numFmtId="49" fontId="38" fillId="3" borderId="12" xfId="0" applyNumberFormat="1" applyFont="1" applyFill="1" applyBorder="1" applyAlignment="1">
      <alignment horizontal="center" vertical="center"/>
    </xf>
    <xf numFmtId="49" fontId="38" fillId="3" borderId="16" xfId="0" applyNumberFormat="1" applyFont="1" applyFill="1" applyBorder="1" applyAlignment="1">
      <alignment horizontal="center" vertical="center"/>
    </xf>
    <xf numFmtId="49" fontId="38" fillId="3" borderId="13" xfId="0" applyNumberFormat="1" applyFont="1" applyFill="1" applyBorder="1" applyAlignment="1">
      <alignment horizontal="center" vertical="center"/>
    </xf>
    <xf numFmtId="0" fontId="37" fillId="3" borderId="0" xfId="0" applyFont="1" applyFill="1" applyAlignment="1">
      <alignment horizontal="right" vertical="center" wrapText="1"/>
    </xf>
    <xf numFmtId="0" fontId="39" fillId="3" borderId="0" xfId="0" applyFont="1" applyFill="1" applyAlignment="1">
      <alignment horizontal="right" vertical="center" wrapText="1"/>
    </xf>
    <xf numFmtId="0" fontId="37" fillId="3" borderId="0" xfId="0" applyFont="1" applyFill="1" applyAlignment="1">
      <alignment horizontal="center" vertical="center" wrapText="1"/>
    </xf>
    <xf numFmtId="0" fontId="39" fillId="3" borderId="0" xfId="0" applyFont="1" applyFill="1" applyAlignment="1">
      <alignment horizontal="center" vertical="center"/>
    </xf>
    <xf numFmtId="0" fontId="40" fillId="3" borderId="0" xfId="0" applyFont="1" applyFill="1" applyAlignment="1">
      <alignment horizontal="left" vertical="center"/>
    </xf>
    <xf numFmtId="0" fontId="38" fillId="3" borderId="0" xfId="0" applyFont="1" applyFill="1" applyAlignment="1">
      <alignment horizontal="left" vertical="center" wrapText="1"/>
    </xf>
    <xf numFmtId="49" fontId="38" fillId="3" borderId="9" xfId="0" applyNumberFormat="1" applyFont="1" applyFill="1" applyBorder="1" applyAlignment="1">
      <alignment horizontal="center" vertical="center"/>
    </xf>
    <xf numFmtId="0" fontId="31" fillId="3" borderId="0" xfId="0" applyFont="1" applyFill="1" applyAlignment="1">
      <alignment horizontal="left" vertical="center" wrapText="1"/>
    </xf>
    <xf numFmtId="0" fontId="33" fillId="3" borderId="0" xfId="0" applyFont="1" applyFill="1" applyAlignment="1">
      <alignment horizontal="center" vertical="center"/>
    </xf>
    <xf numFmtId="0" fontId="28" fillId="2" borderId="12" xfId="0" applyFont="1" applyFill="1" applyBorder="1" applyAlignment="1">
      <alignment horizontal="center" vertical="center" wrapText="1"/>
    </xf>
    <xf numFmtId="0" fontId="28" fillId="2" borderId="13" xfId="0" applyFont="1" applyFill="1" applyBorder="1" applyAlignment="1">
      <alignment horizontal="center" vertical="center" wrapText="1"/>
    </xf>
    <xf numFmtId="49" fontId="28" fillId="2" borderId="12" xfId="0" applyNumberFormat="1" applyFont="1" applyFill="1" applyBorder="1" applyAlignment="1">
      <alignment horizontal="center" vertical="center" wrapText="1"/>
    </xf>
    <xf numFmtId="49" fontId="28" fillId="2" borderId="13" xfId="0" applyNumberFormat="1" applyFont="1" applyFill="1" applyBorder="1" applyAlignment="1">
      <alignment horizontal="center" vertical="center" wrapText="1"/>
    </xf>
    <xf numFmtId="0" fontId="44" fillId="2" borderId="13" xfId="0" applyFont="1" applyFill="1" applyBorder="1" applyAlignment="1">
      <alignment vertical="center"/>
    </xf>
    <xf numFmtId="165" fontId="28" fillId="2" borderId="10" xfId="7" applyNumberFormat="1" applyFont="1" applyFill="1" applyBorder="1" applyAlignment="1" applyProtection="1">
      <alignment horizontal="center" vertical="center" wrapText="1"/>
      <protection locked="0"/>
    </xf>
    <xf numFmtId="165" fontId="28" fillId="2" borderId="11" xfId="7" applyNumberFormat="1" applyFont="1" applyFill="1" applyBorder="1" applyAlignment="1" applyProtection="1">
      <alignment horizontal="center" vertical="center" wrapText="1"/>
      <protection locked="0"/>
    </xf>
    <xf numFmtId="0" fontId="31" fillId="3" borderId="0" xfId="0" applyFont="1" applyFill="1" applyAlignment="1">
      <alignment horizontal="center" vertical="center"/>
    </xf>
    <xf numFmtId="0" fontId="33" fillId="3" borderId="0" xfId="24" applyFont="1" applyFill="1" applyAlignment="1">
      <alignment horizontal="center" vertical="center"/>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jpeg"/><Relationship Id="rId3" Type="http://schemas.openxmlformats.org/officeDocument/2006/relationships/image" Target="../media/image7.jpeg"/><Relationship Id="rId7" Type="http://schemas.openxmlformats.org/officeDocument/2006/relationships/image" Target="../media/image11.png"/><Relationship Id="rId12" Type="http://schemas.openxmlformats.org/officeDocument/2006/relationships/image" Target="../media/image16.jpeg"/><Relationship Id="rId2" Type="http://schemas.openxmlformats.org/officeDocument/2006/relationships/image" Target="../media/image6.png"/><Relationship Id="rId16" Type="http://schemas.openxmlformats.org/officeDocument/2006/relationships/image" Target="../media/image19.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jpeg"/><Relationship Id="rId5" Type="http://schemas.openxmlformats.org/officeDocument/2006/relationships/image" Target="../media/image9.jpeg"/><Relationship Id="rId15" Type="http://schemas.openxmlformats.org/officeDocument/2006/relationships/image" Target="cid:image001.png@01D924FE.E96A4810" TargetMode="External"/><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38"/>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60"/>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1" sqref="D11:I11"/>
    </sheetView>
  </sheetViews>
  <sheetFormatPr defaultColWidth="9.1796875" defaultRowHeight="12.5"/>
  <cols>
    <col min="1" max="2" width="9.1796875" style="24"/>
    <col min="3" max="3" width="30.1796875" style="24" customWidth="1"/>
    <col min="4" max="4" width="30.81640625" style="24" customWidth="1"/>
    <col min="5" max="5" width="21.1796875" style="24" customWidth="1"/>
    <col min="6" max="9" width="9.1796875" style="24"/>
    <col min="10" max="10" width="11.81640625" style="24" customWidth="1"/>
    <col min="11" max="11" width="15" style="24" customWidth="1"/>
    <col min="12" max="16384" width="9.1796875" style="24"/>
  </cols>
  <sheetData>
    <row r="1" spans="1:11">
      <c r="A1" s="23" t="s">
        <v>0</v>
      </c>
      <c r="C1" s="222" t="s">
        <v>1301</v>
      </c>
      <c r="D1" s="223"/>
    </row>
    <row r="2" spans="1:11">
      <c r="C2" s="25" t="s">
        <v>1302</v>
      </c>
      <c r="D2" s="26"/>
    </row>
    <row r="3" spans="1:11">
      <c r="D3" s="27"/>
    </row>
    <row r="4" spans="1:11">
      <c r="A4" s="23" t="s">
        <v>1</v>
      </c>
      <c r="D4" s="27"/>
    </row>
    <row r="5" spans="1:11" ht="15" customHeight="1">
      <c r="C5" s="28" t="s">
        <v>2</v>
      </c>
      <c r="D5" s="225" t="s">
        <v>1303</v>
      </c>
      <c r="E5" s="225"/>
      <c r="F5" s="225"/>
      <c r="G5" s="225"/>
      <c r="H5" s="225"/>
      <c r="I5" s="225"/>
    </row>
    <row r="6" spans="1:11">
      <c r="C6" s="22" t="s">
        <v>15</v>
      </c>
      <c r="D6" s="224" t="s">
        <v>1304</v>
      </c>
      <c r="E6" s="224"/>
      <c r="F6" s="224"/>
      <c r="G6" s="224"/>
      <c r="H6" s="224"/>
      <c r="I6" s="224"/>
    </row>
    <row r="7" spans="1:11">
      <c r="C7" s="29" t="s">
        <v>3</v>
      </c>
      <c r="D7" s="225" t="s">
        <v>1305</v>
      </c>
      <c r="E7" s="225"/>
      <c r="F7" s="225"/>
      <c r="G7" s="225"/>
      <c r="H7" s="225"/>
      <c r="I7" s="225"/>
    </row>
    <row r="8" spans="1:11" ht="15" customHeight="1">
      <c r="C8" s="4" t="s">
        <v>4</v>
      </c>
      <c r="D8" s="224" t="s">
        <v>1306</v>
      </c>
      <c r="E8" s="224"/>
      <c r="F8" s="224"/>
      <c r="G8" s="224"/>
      <c r="H8" s="224"/>
      <c r="I8" s="224"/>
    </row>
    <row r="9" spans="1:11" ht="15" customHeight="1">
      <c r="C9" s="29" t="s">
        <v>5</v>
      </c>
      <c r="D9" s="225" t="s">
        <v>754</v>
      </c>
      <c r="E9" s="225"/>
      <c r="F9" s="225"/>
      <c r="G9" s="225"/>
      <c r="H9" s="225"/>
      <c r="I9" s="225"/>
    </row>
    <row r="10" spans="1:11" ht="15" customHeight="1">
      <c r="C10" s="30" t="s">
        <v>6</v>
      </c>
      <c r="D10" s="224" t="s">
        <v>1323</v>
      </c>
      <c r="E10" s="224"/>
      <c r="F10" s="224"/>
      <c r="G10" s="224"/>
      <c r="H10" s="224"/>
      <c r="I10" s="224"/>
    </row>
    <row r="11" spans="1:11">
      <c r="C11" s="31" t="s">
        <v>7</v>
      </c>
      <c r="D11" s="225" t="s">
        <v>1307</v>
      </c>
      <c r="E11" s="225"/>
      <c r="F11" s="225"/>
      <c r="G11" s="225"/>
      <c r="H11" s="225"/>
      <c r="I11" s="225"/>
    </row>
    <row r="12" spans="1:11">
      <c r="C12" s="3" t="s">
        <v>8</v>
      </c>
      <c r="D12" s="224" t="s">
        <v>1308</v>
      </c>
      <c r="E12" s="224"/>
      <c r="F12" s="224"/>
      <c r="G12" s="224"/>
      <c r="H12" s="224"/>
      <c r="I12" s="224"/>
    </row>
    <row r="13" spans="1:11">
      <c r="D13" s="27"/>
    </row>
    <row r="14" spans="1:11">
      <c r="A14" s="23" t="s">
        <v>9</v>
      </c>
      <c r="D14" s="27"/>
    </row>
    <row r="15" spans="1:11">
      <c r="D15" s="27"/>
    </row>
    <row r="16" spans="1:11">
      <c r="C16" s="32" t="s">
        <v>10</v>
      </c>
      <c r="D16" s="33"/>
      <c r="F16" s="32" t="s">
        <v>11</v>
      </c>
      <c r="G16" s="34"/>
      <c r="H16" s="34"/>
      <c r="I16" s="34"/>
      <c r="J16" s="34"/>
      <c r="K16" s="35"/>
    </row>
    <row r="17" spans="3:11">
      <c r="C17" s="36" t="s">
        <v>12</v>
      </c>
      <c r="D17" s="37"/>
      <c r="F17" s="36" t="s">
        <v>13</v>
      </c>
      <c r="G17" s="2"/>
      <c r="H17" s="2"/>
      <c r="I17" s="2"/>
      <c r="J17" s="2"/>
      <c r="K17" s="38"/>
    </row>
    <row r="18" spans="3:11">
      <c r="C18" s="39"/>
      <c r="D18" s="37"/>
      <c r="F18" s="39"/>
      <c r="G18" s="2"/>
      <c r="H18" s="2"/>
      <c r="I18" s="2"/>
      <c r="J18" s="2"/>
      <c r="K18" s="38"/>
    </row>
    <row r="19" spans="3:11">
      <c r="C19" s="40" t="s">
        <v>14</v>
      </c>
      <c r="D19" s="37"/>
      <c r="F19" s="40" t="str">
        <f>D5</f>
        <v>Công ty Cổ phần Quản lý Quỹ Đầu tư Dragon Capital Việt Nam</v>
      </c>
      <c r="G19" s="2"/>
      <c r="H19" s="2"/>
      <c r="I19" s="2"/>
      <c r="J19" s="2"/>
      <c r="K19" s="38"/>
    </row>
    <row r="20" spans="3:11">
      <c r="C20" s="40" t="s">
        <v>1309</v>
      </c>
      <c r="D20" s="37"/>
      <c r="F20" s="40" t="s">
        <v>1310</v>
      </c>
      <c r="G20" s="2"/>
      <c r="H20" s="2"/>
      <c r="I20" s="2"/>
      <c r="J20" s="2"/>
      <c r="K20" s="38"/>
    </row>
    <row r="21" spans="3:11">
      <c r="C21" s="41" t="s">
        <v>1311</v>
      </c>
      <c r="D21" s="26"/>
      <c r="F21" s="41" t="s">
        <v>1312</v>
      </c>
      <c r="G21" s="42"/>
      <c r="H21" s="42"/>
      <c r="I21" s="42"/>
      <c r="J21" s="42"/>
      <c r="K21" s="43"/>
    </row>
    <row r="22" spans="3:11">
      <c r="D22" s="27"/>
    </row>
    <row r="23" spans="3:11">
      <c r="D23" s="27"/>
    </row>
    <row r="24" spans="3:11">
      <c r="D24" s="27"/>
    </row>
    <row r="25" spans="3:11">
      <c r="D25" s="27"/>
    </row>
    <row r="26" spans="3:11">
      <c r="D26" s="27"/>
    </row>
    <row r="27" spans="3:11">
      <c r="D27" s="27"/>
    </row>
    <row r="28" spans="3:11">
      <c r="D28" s="27"/>
    </row>
    <row r="29" spans="3:11">
      <c r="D29" s="27"/>
    </row>
    <row r="30" spans="3:11">
      <c r="D30" s="27"/>
    </row>
    <row r="31" spans="3:11">
      <c r="D31" s="27"/>
    </row>
    <row r="32" spans="3:11">
      <c r="D32" s="27"/>
    </row>
    <row r="33" spans="4:4">
      <c r="D33" s="27"/>
    </row>
    <row r="34" spans="4:4">
      <c r="D34" s="4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6" zoomScale="80" zoomScaleNormal="100" zoomScaleSheetLayoutView="80" workbookViewId="0">
      <selection activeCell="D114" sqref="D114"/>
    </sheetView>
  </sheetViews>
  <sheetFormatPr defaultColWidth="8.7265625" defaultRowHeight="15"/>
  <cols>
    <col min="1" max="1" width="8.7265625" style="66"/>
    <col min="2" max="2" width="44.26953125" style="66" customWidth="1"/>
    <col min="3" max="3" width="10.26953125" style="66" customWidth="1"/>
    <col min="4" max="5" width="41.1796875" style="66" customWidth="1"/>
    <col min="6" max="6" width="37.54296875" style="66" customWidth="1"/>
    <col min="7" max="16384" width="8.7265625" style="66"/>
  </cols>
  <sheetData>
    <row r="1" spans="1:6" s="64" customFormat="1" ht="54.75" customHeight="1">
      <c r="A1" s="228" t="s">
        <v>701</v>
      </c>
      <c r="B1" s="228"/>
      <c r="C1" s="228"/>
      <c r="D1" s="228"/>
      <c r="E1" s="228"/>
      <c r="F1" s="228"/>
    </row>
    <row r="2" spans="1:6" s="64" customFormat="1" ht="50.5" customHeight="1">
      <c r="A2" s="229" t="s">
        <v>702</v>
      </c>
      <c r="B2" s="229"/>
      <c r="C2" s="229"/>
      <c r="D2" s="229"/>
      <c r="E2" s="229"/>
      <c r="F2" s="229"/>
    </row>
    <row r="3" spans="1:6" s="64" customFormat="1">
      <c r="A3" s="230" t="s">
        <v>652</v>
      </c>
      <c r="B3" s="230"/>
      <c r="C3" s="230"/>
      <c r="D3" s="230"/>
      <c r="E3" s="230"/>
      <c r="F3" s="230"/>
    </row>
    <row r="4" spans="1:6" s="64" customFormat="1" ht="32.65" customHeight="1">
      <c r="A4" s="230"/>
      <c r="B4" s="230"/>
      <c r="C4" s="230"/>
      <c r="D4" s="230"/>
      <c r="E4" s="230"/>
      <c r="F4" s="230"/>
    </row>
    <row r="5" spans="1:6" s="64" customFormat="1" ht="16.899999999999999" customHeight="1">
      <c r="A5" s="231" t="s">
        <v>1301</v>
      </c>
      <c r="B5" s="231"/>
      <c r="C5" s="231"/>
      <c r="D5" s="231"/>
      <c r="E5" s="231"/>
      <c r="F5" s="231"/>
    </row>
    <row r="6" spans="1:6">
      <c r="A6" s="65"/>
      <c r="B6" s="65"/>
      <c r="C6" s="65"/>
      <c r="D6" s="65"/>
      <c r="E6" s="65"/>
      <c r="F6" s="65"/>
    </row>
    <row r="7" spans="1:6" ht="16.899999999999999" customHeight="1">
      <c r="A7" s="227" t="s">
        <v>2</v>
      </c>
      <c r="B7" s="227"/>
      <c r="C7" s="227" t="s">
        <v>1303</v>
      </c>
      <c r="D7" s="227"/>
      <c r="E7" s="227"/>
      <c r="F7" s="227"/>
    </row>
    <row r="8" spans="1:6" s="64" customFormat="1" ht="16.899999999999999" customHeight="1">
      <c r="A8" s="226" t="s">
        <v>15</v>
      </c>
      <c r="B8" s="226"/>
      <c r="C8" s="226" t="s">
        <v>1304</v>
      </c>
      <c r="D8" s="226"/>
      <c r="E8" s="226"/>
      <c r="F8" s="226"/>
    </row>
    <row r="9" spans="1:6" ht="16.899999999999999" customHeight="1">
      <c r="A9" s="227" t="s">
        <v>3</v>
      </c>
      <c r="B9" s="227"/>
      <c r="C9" s="227" t="s">
        <v>1305</v>
      </c>
      <c r="D9" s="227"/>
      <c r="E9" s="227"/>
      <c r="F9" s="227"/>
    </row>
    <row r="10" spans="1:6" s="64" customFormat="1" ht="16.899999999999999" customHeight="1">
      <c r="A10" s="226" t="s">
        <v>4</v>
      </c>
      <c r="B10" s="226"/>
      <c r="C10" s="226" t="s">
        <v>1306</v>
      </c>
      <c r="D10" s="226"/>
      <c r="E10" s="226"/>
      <c r="F10" s="226"/>
    </row>
    <row r="11" spans="1:6" ht="16.899999999999999" customHeight="1">
      <c r="A11" s="227" t="s">
        <v>5</v>
      </c>
      <c r="B11" s="227"/>
      <c r="C11" s="227" t="s">
        <v>754</v>
      </c>
      <c r="D11" s="227"/>
      <c r="E11" s="227"/>
      <c r="F11" s="227"/>
    </row>
    <row r="12" spans="1:6" s="64" customFormat="1" ht="16.899999999999999" customHeight="1">
      <c r="A12" s="226" t="s">
        <v>6</v>
      </c>
      <c r="B12" s="226"/>
      <c r="C12" s="226" t="s">
        <v>1323</v>
      </c>
      <c r="D12" s="226"/>
      <c r="E12" s="226"/>
      <c r="F12" s="226"/>
    </row>
    <row r="13" spans="1:6" ht="16.899999999999999" customHeight="1">
      <c r="A13" s="227" t="s">
        <v>7</v>
      </c>
      <c r="B13" s="227"/>
      <c r="C13" s="227" t="s">
        <v>1307</v>
      </c>
      <c r="D13" s="227"/>
      <c r="E13" s="227"/>
      <c r="F13" s="227"/>
    </row>
    <row r="14" spans="1:6" s="64" customFormat="1" ht="16.899999999999999" customHeight="1">
      <c r="A14" s="226" t="s">
        <v>8</v>
      </c>
      <c r="B14" s="226"/>
      <c r="C14" s="226" t="s">
        <v>1308</v>
      </c>
      <c r="D14" s="226"/>
      <c r="E14" s="226"/>
      <c r="F14" s="226"/>
    </row>
    <row r="15" spans="1:6" s="64" customFormat="1" ht="7.5" customHeight="1">
      <c r="A15" s="67"/>
      <c r="B15" s="67"/>
      <c r="C15" s="67"/>
      <c r="D15" s="67"/>
      <c r="E15" s="67"/>
      <c r="F15" s="67"/>
    </row>
    <row r="16" spans="1:6" s="64" customFormat="1" ht="16.899999999999999" customHeight="1">
      <c r="A16" s="68" t="s">
        <v>699</v>
      </c>
      <c r="B16" s="69" t="s">
        <v>700</v>
      </c>
      <c r="C16" s="67"/>
      <c r="D16" s="67"/>
      <c r="E16" s="67"/>
      <c r="F16" s="67"/>
    </row>
    <row r="17" spans="1:6" s="64" customFormat="1" ht="16.899999999999999" customHeight="1">
      <c r="A17" s="70" t="s">
        <v>16</v>
      </c>
      <c r="B17" s="71" t="s">
        <v>653</v>
      </c>
      <c r="C17" s="67"/>
      <c r="D17" s="67"/>
      <c r="E17" s="67"/>
      <c r="F17" s="67"/>
    </row>
    <row r="18" spans="1:6" s="64" customFormat="1" ht="50.65" customHeight="1">
      <c r="A18" s="72" t="s">
        <v>17</v>
      </c>
      <c r="B18" s="72" t="s">
        <v>18</v>
      </c>
      <c r="C18" s="72" t="s">
        <v>19</v>
      </c>
      <c r="D18" s="73" t="s">
        <v>1313</v>
      </c>
      <c r="E18" s="73" t="s">
        <v>1314</v>
      </c>
      <c r="F18" s="74" t="s">
        <v>20</v>
      </c>
    </row>
    <row r="19" spans="1:6" ht="39" customHeight="1">
      <c r="A19" s="75" t="s">
        <v>992</v>
      </c>
      <c r="B19" s="76" t="s">
        <v>993</v>
      </c>
      <c r="C19" s="75" t="s">
        <v>994</v>
      </c>
      <c r="D19" s="77"/>
      <c r="E19" s="77"/>
      <c r="F19" s="78"/>
    </row>
    <row r="20" spans="1:6" ht="39" customHeight="1">
      <c r="A20" s="79" t="s">
        <v>995</v>
      </c>
      <c r="B20" s="80" t="s">
        <v>996</v>
      </c>
      <c r="C20" s="79" t="s">
        <v>997</v>
      </c>
      <c r="D20" s="81">
        <v>260940922040</v>
      </c>
      <c r="E20" s="81">
        <v>156172164816</v>
      </c>
      <c r="F20" s="82">
        <v>3.7632083441245801</v>
      </c>
    </row>
    <row r="21" spans="1:6" ht="39" customHeight="1">
      <c r="A21" s="79" t="s">
        <v>998</v>
      </c>
      <c r="B21" s="80" t="s">
        <v>999</v>
      </c>
      <c r="C21" s="79" t="s">
        <v>1000</v>
      </c>
      <c r="D21" s="81"/>
      <c r="E21" s="81"/>
      <c r="F21" s="82"/>
    </row>
    <row r="22" spans="1:6" ht="39" customHeight="1">
      <c r="A22" s="79" t="s">
        <v>1001</v>
      </c>
      <c r="B22" s="80" t="s">
        <v>1002</v>
      </c>
      <c r="C22" s="79" t="s">
        <v>1003</v>
      </c>
      <c r="D22" s="81" t="s">
        <v>1004</v>
      </c>
      <c r="E22" s="81" t="s">
        <v>1005</v>
      </c>
      <c r="F22" s="82" t="s">
        <v>1006</v>
      </c>
    </row>
    <row r="23" spans="1:6" ht="39" customHeight="1">
      <c r="A23" s="79" t="s">
        <v>1007</v>
      </c>
      <c r="B23" s="80" t="s">
        <v>1008</v>
      </c>
      <c r="C23" s="79" t="s">
        <v>1009</v>
      </c>
      <c r="D23" s="81">
        <v>260940922040</v>
      </c>
      <c r="E23" s="81">
        <v>156172164816</v>
      </c>
      <c r="F23" s="82">
        <v>3.7632083441245801</v>
      </c>
    </row>
    <row r="24" spans="1:6" ht="39" customHeight="1">
      <c r="A24" s="79" t="s">
        <v>1010</v>
      </c>
      <c r="B24" s="80" t="s">
        <v>1011</v>
      </c>
      <c r="C24" s="79" t="s">
        <v>1012</v>
      </c>
      <c r="D24" s="81" t="s">
        <v>1013</v>
      </c>
      <c r="E24" s="81" t="s">
        <v>1014</v>
      </c>
      <c r="F24" s="82" t="s">
        <v>1015</v>
      </c>
    </row>
    <row r="25" spans="1:6" ht="55" customHeight="1">
      <c r="A25" s="79" t="s">
        <v>1016</v>
      </c>
      <c r="B25" s="80" t="s">
        <v>1017</v>
      </c>
      <c r="C25" s="79" t="s">
        <v>1018</v>
      </c>
      <c r="D25" s="81">
        <v>9923142711</v>
      </c>
      <c r="E25" s="81">
        <v>9525444010</v>
      </c>
      <c r="F25" s="82">
        <v>62.736740929385903</v>
      </c>
    </row>
    <row r="26" spans="1:6" ht="70" customHeight="1">
      <c r="A26" s="79" t="s">
        <v>1019</v>
      </c>
      <c r="B26" s="80" t="s">
        <v>1020</v>
      </c>
      <c r="C26" s="79" t="s">
        <v>1021</v>
      </c>
      <c r="D26" s="81">
        <v>4391073</v>
      </c>
      <c r="E26" s="81">
        <v>4391073</v>
      </c>
      <c r="F26" s="82">
        <v>0.41283769439762902</v>
      </c>
    </row>
    <row r="27" spans="1:6" ht="47.5" customHeight="1">
      <c r="A27" s="79" t="s">
        <v>1022</v>
      </c>
      <c r="B27" s="80" t="s">
        <v>1023</v>
      </c>
      <c r="C27" s="79" t="s">
        <v>1024</v>
      </c>
      <c r="D27" s="81">
        <v>2213388256</v>
      </c>
      <c r="E27" s="81">
        <v>842329733</v>
      </c>
      <c r="F27" s="82">
        <v>4.9849731400090601E-2</v>
      </c>
    </row>
    <row r="28" spans="1:6" ht="61.5" customHeight="1">
      <c r="A28" s="79" t="s">
        <v>1025</v>
      </c>
      <c r="B28" s="80" t="s">
        <v>1026</v>
      </c>
      <c r="C28" s="79" t="s">
        <v>1027</v>
      </c>
      <c r="D28" s="81">
        <v>0</v>
      </c>
      <c r="E28" s="81">
        <v>0</v>
      </c>
      <c r="F28" s="82"/>
    </row>
    <row r="29" spans="1:6" ht="39" customHeight="1">
      <c r="A29" s="79" t="s">
        <v>1028</v>
      </c>
      <c r="B29" s="80" t="s">
        <v>1029</v>
      </c>
      <c r="C29" s="79" t="s">
        <v>1030</v>
      </c>
      <c r="D29" s="81">
        <v>248800000000</v>
      </c>
      <c r="E29" s="81">
        <v>145800000000</v>
      </c>
      <c r="F29" s="82">
        <v>10.0444085587404</v>
      </c>
    </row>
    <row r="30" spans="1:6" ht="39" customHeight="1">
      <c r="A30" s="79" t="s">
        <v>1031</v>
      </c>
      <c r="B30" s="80" t="s">
        <v>1032</v>
      </c>
      <c r="C30" s="79" t="s">
        <v>1033</v>
      </c>
      <c r="D30" s="81">
        <v>1383107257612</v>
      </c>
      <c r="E30" s="81">
        <v>1360106253896</v>
      </c>
      <c r="F30" s="82">
        <v>3.3522179052261998</v>
      </c>
    </row>
    <row r="31" spans="1:6" ht="39" customHeight="1">
      <c r="A31" s="79" t="s">
        <v>1034</v>
      </c>
      <c r="B31" s="80" t="s">
        <v>1035</v>
      </c>
      <c r="C31" s="79" t="s">
        <v>1036</v>
      </c>
      <c r="D31" s="81" t="s">
        <v>1037</v>
      </c>
      <c r="E31" s="81" t="s">
        <v>1038</v>
      </c>
      <c r="F31" s="82" t="s">
        <v>1039</v>
      </c>
    </row>
    <row r="32" spans="1:6" ht="44.5" customHeight="1">
      <c r="A32" s="79" t="s">
        <v>1040</v>
      </c>
      <c r="B32" s="80" t="s">
        <v>1041</v>
      </c>
      <c r="C32" s="79" t="s">
        <v>1042</v>
      </c>
      <c r="D32" s="81">
        <v>0</v>
      </c>
      <c r="E32" s="81">
        <v>0</v>
      </c>
      <c r="F32" s="82"/>
    </row>
    <row r="33" spans="1:6" ht="44.5" customHeight="1">
      <c r="A33" s="79" t="s">
        <v>1043</v>
      </c>
      <c r="B33" s="80" t="s">
        <v>1044</v>
      </c>
      <c r="C33" s="79" t="s">
        <v>1045</v>
      </c>
      <c r="D33" s="81">
        <v>0</v>
      </c>
      <c r="E33" s="81">
        <v>0</v>
      </c>
      <c r="F33" s="82"/>
    </row>
    <row r="34" spans="1:6" ht="39" customHeight="1">
      <c r="A34" s="79" t="s">
        <v>1046</v>
      </c>
      <c r="B34" s="80" t="s">
        <v>1047</v>
      </c>
      <c r="C34" s="79" t="s">
        <v>1048</v>
      </c>
      <c r="D34" s="81">
        <v>956884352009</v>
      </c>
      <c r="E34" s="81">
        <v>939006253896</v>
      </c>
      <c r="F34" s="82">
        <v>2.5341574312433002</v>
      </c>
    </row>
    <row r="35" spans="1:6" ht="39" customHeight="1">
      <c r="A35" s="79" t="s">
        <v>1049</v>
      </c>
      <c r="B35" s="80" t="s">
        <v>1050</v>
      </c>
      <c r="C35" s="79" t="s">
        <v>1051</v>
      </c>
      <c r="D35" s="81">
        <v>265122905603</v>
      </c>
      <c r="E35" s="81">
        <v>265000000000</v>
      </c>
      <c r="F35" s="82">
        <v>7.5749401600857098</v>
      </c>
    </row>
    <row r="36" spans="1:6" ht="55" customHeight="1">
      <c r="A36" s="79" t="s">
        <v>1052</v>
      </c>
      <c r="B36" s="80" t="s">
        <v>1053</v>
      </c>
      <c r="C36" s="79" t="s">
        <v>1054</v>
      </c>
      <c r="D36" s="81">
        <v>161100000000</v>
      </c>
      <c r="E36" s="81">
        <v>156100000000</v>
      </c>
      <c r="F36" s="82"/>
    </row>
    <row r="37" spans="1:6" ht="39" customHeight="1">
      <c r="A37" s="79" t="s">
        <v>1055</v>
      </c>
      <c r="B37" s="80" t="s">
        <v>1056</v>
      </c>
      <c r="C37" s="79" t="s">
        <v>1057</v>
      </c>
      <c r="D37" s="81">
        <v>0</v>
      </c>
      <c r="E37" s="81">
        <v>0</v>
      </c>
      <c r="F37" s="82"/>
    </row>
    <row r="38" spans="1:6" ht="39" customHeight="1">
      <c r="A38" s="79" t="s">
        <v>1058</v>
      </c>
      <c r="B38" s="80" t="s">
        <v>1059</v>
      </c>
      <c r="C38" s="79" t="s">
        <v>1060</v>
      </c>
      <c r="D38" s="81">
        <v>0</v>
      </c>
      <c r="E38" s="81">
        <v>0</v>
      </c>
      <c r="F38" s="82"/>
    </row>
    <row r="39" spans="1:6" ht="39" customHeight="1">
      <c r="A39" s="79" t="s">
        <v>1061</v>
      </c>
      <c r="B39" s="80" t="s">
        <v>1062</v>
      </c>
      <c r="C39" s="79" t="s">
        <v>1063</v>
      </c>
      <c r="D39" s="81">
        <v>0</v>
      </c>
      <c r="E39" s="81">
        <v>0</v>
      </c>
      <c r="F39" s="82"/>
    </row>
    <row r="40" spans="1:6" ht="39" customHeight="1">
      <c r="A40" s="79" t="s">
        <v>1064</v>
      </c>
      <c r="B40" s="80" t="s">
        <v>1065</v>
      </c>
      <c r="C40" s="79" t="s">
        <v>1066</v>
      </c>
      <c r="D40" s="81">
        <v>0</v>
      </c>
      <c r="E40" s="81">
        <v>0</v>
      </c>
      <c r="F40" s="82"/>
    </row>
    <row r="41" spans="1:6" ht="66.5" customHeight="1">
      <c r="A41" s="79" t="s">
        <v>1067</v>
      </c>
      <c r="B41" s="80" t="s">
        <v>1068</v>
      </c>
      <c r="C41" s="79" t="s">
        <v>1069</v>
      </c>
      <c r="D41" s="81">
        <v>0</v>
      </c>
      <c r="E41" s="81">
        <v>0</v>
      </c>
      <c r="F41" s="82"/>
    </row>
    <row r="42" spans="1:6" ht="39" customHeight="1">
      <c r="A42" s="79" t="s">
        <v>1070</v>
      </c>
      <c r="B42" s="80" t="s">
        <v>1071</v>
      </c>
      <c r="C42" s="79" t="s">
        <v>1072</v>
      </c>
      <c r="D42" s="81" t="s">
        <v>1073</v>
      </c>
      <c r="E42" s="81" t="s">
        <v>1074</v>
      </c>
      <c r="F42" s="82" t="s">
        <v>1075</v>
      </c>
    </row>
    <row r="43" spans="1:6" ht="39" customHeight="1">
      <c r="A43" s="79" t="s">
        <v>1076</v>
      </c>
      <c r="B43" s="80" t="s">
        <v>1077</v>
      </c>
      <c r="C43" s="79" t="s">
        <v>1078</v>
      </c>
      <c r="D43" s="81">
        <v>30288039815</v>
      </c>
      <c r="E43" s="81">
        <v>15619405291</v>
      </c>
      <c r="F43" s="82">
        <v>2.24536452085575</v>
      </c>
    </row>
    <row r="44" spans="1:6" ht="39" customHeight="1">
      <c r="A44" s="79" t="s">
        <v>1079</v>
      </c>
      <c r="B44" s="80" t="s">
        <v>1080</v>
      </c>
      <c r="C44" s="79" t="s">
        <v>1081</v>
      </c>
      <c r="D44" s="81" t="s">
        <v>1082</v>
      </c>
      <c r="E44" s="81" t="s">
        <v>1083</v>
      </c>
      <c r="F44" s="82" t="s">
        <v>1084</v>
      </c>
    </row>
    <row r="45" spans="1:6" ht="39" customHeight="1">
      <c r="A45" s="79" t="s">
        <v>1085</v>
      </c>
      <c r="B45" s="80" t="s">
        <v>1086</v>
      </c>
      <c r="C45" s="79" t="s">
        <v>1087</v>
      </c>
      <c r="D45" s="81">
        <v>0</v>
      </c>
      <c r="E45" s="81">
        <v>0</v>
      </c>
      <c r="F45" s="82"/>
    </row>
    <row r="46" spans="1:6" ht="39" customHeight="1">
      <c r="A46" s="79" t="s">
        <v>1088</v>
      </c>
      <c r="B46" s="80" t="s">
        <v>1089</v>
      </c>
      <c r="C46" s="79" t="s">
        <v>1090</v>
      </c>
      <c r="D46" s="81">
        <v>30288039815</v>
      </c>
      <c r="E46" s="81">
        <v>15619405291</v>
      </c>
      <c r="F46" s="82">
        <v>2.24536452085575</v>
      </c>
    </row>
    <row r="47" spans="1:6" ht="39" customHeight="1">
      <c r="A47" s="79" t="s">
        <v>1091</v>
      </c>
      <c r="B47" s="80" t="s">
        <v>1092</v>
      </c>
      <c r="C47" s="79" t="s">
        <v>1093</v>
      </c>
      <c r="D47" s="81">
        <v>13444436440</v>
      </c>
      <c r="E47" s="81">
        <v>6671668631</v>
      </c>
      <c r="F47" s="82">
        <v>8.1848375956018504</v>
      </c>
    </row>
    <row r="48" spans="1:6" ht="39" customHeight="1">
      <c r="A48" s="79" t="s">
        <v>1094</v>
      </c>
      <c r="B48" s="80" t="s">
        <v>1095</v>
      </c>
      <c r="C48" s="79" t="s">
        <v>1096</v>
      </c>
      <c r="D48" s="81" t="s">
        <v>1097</v>
      </c>
      <c r="E48" s="81" t="s">
        <v>1098</v>
      </c>
      <c r="F48" s="82" t="s">
        <v>1099</v>
      </c>
    </row>
    <row r="49" spans="1:6" ht="39" customHeight="1">
      <c r="A49" s="79" t="s">
        <v>1100</v>
      </c>
      <c r="B49" s="80" t="s">
        <v>1101</v>
      </c>
      <c r="C49" s="79" t="s">
        <v>1102</v>
      </c>
      <c r="D49" s="81">
        <v>3842326851</v>
      </c>
      <c r="E49" s="81">
        <v>1169257672</v>
      </c>
      <c r="F49" s="82">
        <v>133.566722113114</v>
      </c>
    </row>
    <row r="50" spans="1:6" ht="58" customHeight="1">
      <c r="A50" s="79" t="s">
        <v>1103</v>
      </c>
      <c r="B50" s="80" t="s">
        <v>1104</v>
      </c>
      <c r="C50" s="79" t="s">
        <v>1105</v>
      </c>
      <c r="D50" s="81">
        <v>9602109589</v>
      </c>
      <c r="E50" s="81">
        <v>5502410959</v>
      </c>
      <c r="F50" s="82">
        <v>5.9498684338120302</v>
      </c>
    </row>
    <row r="51" spans="1:6" ht="55.5" customHeight="1">
      <c r="A51" s="79" t="s">
        <v>1106</v>
      </c>
      <c r="B51" s="80" t="s">
        <v>1107</v>
      </c>
      <c r="C51" s="79" t="s">
        <v>1108</v>
      </c>
      <c r="D51" s="81">
        <v>0</v>
      </c>
      <c r="E51" s="81">
        <v>0</v>
      </c>
      <c r="F51" s="82"/>
    </row>
    <row r="52" spans="1:6" ht="71.5" customHeight="1">
      <c r="A52" s="79" t="s">
        <v>1109</v>
      </c>
      <c r="B52" s="80" t="s">
        <v>1110</v>
      </c>
      <c r="C52" s="79" t="s">
        <v>1111</v>
      </c>
      <c r="D52" s="81">
        <v>0</v>
      </c>
      <c r="E52" s="81">
        <v>0</v>
      </c>
      <c r="F52" s="82"/>
    </row>
    <row r="53" spans="1:6" ht="39" customHeight="1">
      <c r="A53" s="79" t="s">
        <v>1112</v>
      </c>
      <c r="B53" s="80" t="s">
        <v>1113</v>
      </c>
      <c r="C53" s="79" t="s">
        <v>1114</v>
      </c>
      <c r="D53" s="81" t="s">
        <v>1115</v>
      </c>
      <c r="E53" s="81" t="s">
        <v>1116</v>
      </c>
      <c r="F53" s="82" t="s">
        <v>1117</v>
      </c>
    </row>
    <row r="54" spans="1:6" ht="48.5" customHeight="1">
      <c r="A54" s="79" t="s">
        <v>1118</v>
      </c>
      <c r="B54" s="80" t="s">
        <v>1119</v>
      </c>
      <c r="C54" s="79" t="s">
        <v>1120</v>
      </c>
      <c r="D54" s="81">
        <v>0</v>
      </c>
      <c r="E54" s="81">
        <v>0</v>
      </c>
      <c r="F54" s="82"/>
    </row>
    <row r="55" spans="1:6" ht="39" customHeight="1">
      <c r="A55" s="79" t="s">
        <v>1121</v>
      </c>
      <c r="B55" s="80" t="s">
        <v>1122</v>
      </c>
      <c r="C55" s="79" t="s">
        <v>1123</v>
      </c>
      <c r="D55" s="81" t="s">
        <v>1124</v>
      </c>
      <c r="E55" s="81" t="s">
        <v>1125</v>
      </c>
      <c r="F55" s="82" t="s">
        <v>1126</v>
      </c>
    </row>
    <row r="56" spans="1:6" ht="44" customHeight="1">
      <c r="A56" s="79" t="s">
        <v>1127</v>
      </c>
      <c r="B56" s="80" t="s">
        <v>1128</v>
      </c>
      <c r="C56" s="79" t="s">
        <v>1129</v>
      </c>
      <c r="D56" s="81">
        <v>0</v>
      </c>
      <c r="E56" s="81">
        <v>0</v>
      </c>
      <c r="F56" s="82"/>
    </row>
    <row r="57" spans="1:6" ht="39" customHeight="1">
      <c r="A57" s="79" t="s">
        <v>1130</v>
      </c>
      <c r="B57" s="80" t="s">
        <v>1131</v>
      </c>
      <c r="C57" s="79" t="s">
        <v>1132</v>
      </c>
      <c r="D57" s="81" t="s">
        <v>1133</v>
      </c>
      <c r="E57" s="81" t="s">
        <v>1134</v>
      </c>
      <c r="F57" s="82" t="s">
        <v>1135</v>
      </c>
    </row>
    <row r="58" spans="1:6" ht="43.5" customHeight="1">
      <c r="A58" s="79" t="s">
        <v>1136</v>
      </c>
      <c r="B58" s="80" t="s">
        <v>1137</v>
      </c>
      <c r="C58" s="79" t="s">
        <v>1138</v>
      </c>
      <c r="D58" s="81">
        <v>0</v>
      </c>
      <c r="E58" s="81">
        <v>0</v>
      </c>
      <c r="F58" s="82"/>
    </row>
    <row r="59" spans="1:6" ht="43.5" customHeight="1">
      <c r="A59" s="79" t="s">
        <v>1139</v>
      </c>
      <c r="B59" s="80" t="s">
        <v>1140</v>
      </c>
      <c r="C59" s="79" t="s">
        <v>1141</v>
      </c>
      <c r="D59" s="81">
        <v>0</v>
      </c>
      <c r="E59" s="81">
        <v>0</v>
      </c>
      <c r="F59" s="82"/>
    </row>
    <row r="60" spans="1:6" ht="43.5" customHeight="1">
      <c r="A60" s="79" t="s">
        <v>1142</v>
      </c>
      <c r="B60" s="80" t="s">
        <v>1143</v>
      </c>
      <c r="C60" s="79" t="s">
        <v>1144</v>
      </c>
      <c r="D60" s="81">
        <v>0</v>
      </c>
      <c r="E60" s="81">
        <v>0</v>
      </c>
      <c r="F60" s="82"/>
    </row>
    <row r="61" spans="1:6" ht="49" customHeight="1">
      <c r="A61" s="79" t="s">
        <v>1145</v>
      </c>
      <c r="B61" s="80" t="s">
        <v>1146</v>
      </c>
      <c r="C61" s="79" t="s">
        <v>1147</v>
      </c>
      <c r="D61" s="81">
        <v>0</v>
      </c>
      <c r="E61" s="81">
        <v>36583558</v>
      </c>
      <c r="F61" s="82"/>
    </row>
    <row r="62" spans="1:6" ht="39" customHeight="1">
      <c r="A62" s="79" t="s">
        <v>1148</v>
      </c>
      <c r="B62" s="80" t="s">
        <v>1149</v>
      </c>
      <c r="C62" s="79" t="s">
        <v>1150</v>
      </c>
      <c r="D62" s="81" t="s">
        <v>1151</v>
      </c>
      <c r="E62" s="81" t="s">
        <v>1152</v>
      </c>
      <c r="F62" s="82" t="s">
        <v>1153</v>
      </c>
    </row>
    <row r="63" spans="1:6" ht="39" customHeight="1">
      <c r="A63" s="75" t="s">
        <v>1154</v>
      </c>
      <c r="B63" s="76" t="s">
        <v>1155</v>
      </c>
      <c r="C63" s="75" t="s">
        <v>1156</v>
      </c>
      <c r="D63" s="77">
        <v>1687780655907</v>
      </c>
      <c r="E63" s="77">
        <v>1538606076192</v>
      </c>
      <c r="F63" s="78">
        <v>3.3954830582717701</v>
      </c>
    </row>
    <row r="64" spans="1:6" ht="39" customHeight="1">
      <c r="A64" s="75" t="s">
        <v>1157</v>
      </c>
      <c r="B64" s="76" t="s">
        <v>1158</v>
      </c>
      <c r="C64" s="75" t="s">
        <v>1159</v>
      </c>
      <c r="D64" s="77"/>
      <c r="E64" s="77"/>
      <c r="F64" s="78"/>
    </row>
    <row r="65" spans="1:6" ht="68" customHeight="1">
      <c r="A65" s="79" t="s">
        <v>1160</v>
      </c>
      <c r="B65" s="80" t="s">
        <v>1161</v>
      </c>
      <c r="C65" s="79" t="s">
        <v>1162</v>
      </c>
      <c r="D65" s="81">
        <v>0</v>
      </c>
      <c r="E65" s="81">
        <v>0</v>
      </c>
      <c r="F65" s="82"/>
    </row>
    <row r="66" spans="1:6" ht="39" customHeight="1">
      <c r="A66" s="79" t="s">
        <v>1163</v>
      </c>
      <c r="B66" s="80" t="s">
        <v>1164</v>
      </c>
      <c r="C66" s="79" t="s">
        <v>1165</v>
      </c>
      <c r="D66" s="81" t="s">
        <v>1166</v>
      </c>
      <c r="E66" s="81" t="s">
        <v>1167</v>
      </c>
      <c r="F66" s="82" t="s">
        <v>1168</v>
      </c>
    </row>
    <row r="67" spans="1:6" ht="39" customHeight="1">
      <c r="A67" s="79" t="s">
        <v>1169</v>
      </c>
      <c r="B67" s="80" t="s">
        <v>1170</v>
      </c>
      <c r="C67" s="79" t="s">
        <v>1171</v>
      </c>
      <c r="D67" s="81">
        <v>0</v>
      </c>
      <c r="E67" s="81">
        <v>0</v>
      </c>
      <c r="F67" s="82">
        <v>0</v>
      </c>
    </row>
    <row r="68" spans="1:6" ht="39" customHeight="1">
      <c r="A68" s="79" t="s">
        <v>1172</v>
      </c>
      <c r="B68" s="80" t="s">
        <v>1173</v>
      </c>
      <c r="C68" s="79" t="s">
        <v>1174</v>
      </c>
      <c r="D68" s="81" t="s">
        <v>1175</v>
      </c>
      <c r="E68" s="81" t="s">
        <v>1176</v>
      </c>
      <c r="F68" s="82" t="s">
        <v>1177</v>
      </c>
    </row>
    <row r="69" spans="1:6" ht="39" customHeight="1">
      <c r="A69" s="79" t="s">
        <v>1178</v>
      </c>
      <c r="B69" s="80" t="s">
        <v>1179</v>
      </c>
      <c r="C69" s="79" t="s">
        <v>1180</v>
      </c>
      <c r="D69" s="81">
        <v>39206607425</v>
      </c>
      <c r="E69" s="81">
        <v>53030897719</v>
      </c>
      <c r="F69" s="82">
        <v>29.483668501836998</v>
      </c>
    </row>
    <row r="70" spans="1:6" ht="39" customHeight="1">
      <c r="A70" s="79" t="s">
        <v>1181</v>
      </c>
      <c r="B70" s="80" t="s">
        <v>1182</v>
      </c>
      <c r="C70" s="79" t="s">
        <v>1183</v>
      </c>
      <c r="D70" s="81" t="s">
        <v>1184</v>
      </c>
      <c r="E70" s="81" t="s">
        <v>1185</v>
      </c>
      <c r="F70" s="82" t="s">
        <v>1186</v>
      </c>
    </row>
    <row r="71" spans="1:6" ht="39" customHeight="1">
      <c r="A71" s="79" t="s">
        <v>1187</v>
      </c>
      <c r="B71" s="80" t="s">
        <v>1188</v>
      </c>
      <c r="C71" s="79" t="s">
        <v>1189</v>
      </c>
      <c r="D71" s="81">
        <v>36492948218</v>
      </c>
      <c r="E71" s="81">
        <v>50683818264</v>
      </c>
      <c r="F71" s="82">
        <v>73.772542350422896</v>
      </c>
    </row>
    <row r="72" spans="1:6" ht="57" customHeight="1">
      <c r="A72" s="79" t="s">
        <v>1190</v>
      </c>
      <c r="B72" s="80" t="s">
        <v>1191</v>
      </c>
      <c r="C72" s="79" t="s">
        <v>1192</v>
      </c>
      <c r="D72" s="81">
        <v>9923142711</v>
      </c>
      <c r="E72" s="81">
        <v>9525444010</v>
      </c>
      <c r="F72" s="82">
        <v>62.736740929385903</v>
      </c>
    </row>
    <row r="73" spans="1:6" ht="56" customHeight="1">
      <c r="A73" s="79" t="s">
        <v>1193</v>
      </c>
      <c r="B73" s="80" t="s">
        <v>1194</v>
      </c>
      <c r="C73" s="79" t="s">
        <v>1195</v>
      </c>
      <c r="D73" s="81">
        <v>0</v>
      </c>
      <c r="E73" s="81">
        <v>0</v>
      </c>
      <c r="F73" s="82"/>
    </row>
    <row r="74" spans="1:6" ht="49" customHeight="1">
      <c r="A74" s="79" t="s">
        <v>1196</v>
      </c>
      <c r="B74" s="80" t="s">
        <v>1197</v>
      </c>
      <c r="C74" s="79" t="s">
        <v>1198</v>
      </c>
      <c r="D74" s="81">
        <v>0</v>
      </c>
      <c r="E74" s="81">
        <v>0</v>
      </c>
      <c r="F74" s="82"/>
    </row>
    <row r="75" spans="1:6" ht="60.5" customHeight="1">
      <c r="A75" s="79" t="s">
        <v>1199</v>
      </c>
      <c r="B75" s="80" t="s">
        <v>1200</v>
      </c>
      <c r="C75" s="79" t="s">
        <v>1201</v>
      </c>
      <c r="D75" s="81">
        <v>26569805507</v>
      </c>
      <c r="E75" s="81">
        <v>41158374254</v>
      </c>
      <c r="F75" s="82">
        <v>78.959940686950503</v>
      </c>
    </row>
    <row r="76" spans="1:6" ht="62" customHeight="1">
      <c r="A76" s="79" t="s">
        <v>1202</v>
      </c>
      <c r="B76" s="80" t="s">
        <v>1203</v>
      </c>
      <c r="C76" s="79" t="s">
        <v>1204</v>
      </c>
      <c r="D76" s="81">
        <v>137193084</v>
      </c>
      <c r="E76" s="81">
        <v>159790129</v>
      </c>
      <c r="F76" s="82">
        <v>25.899923089208599</v>
      </c>
    </row>
    <row r="77" spans="1:6" ht="90" customHeight="1">
      <c r="A77" s="79" t="s">
        <v>1205</v>
      </c>
      <c r="B77" s="80" t="s">
        <v>1206</v>
      </c>
      <c r="C77" s="79" t="s">
        <v>1207</v>
      </c>
      <c r="D77" s="81">
        <v>405658375</v>
      </c>
      <c r="E77" s="81">
        <v>297211309</v>
      </c>
      <c r="F77" s="82">
        <v>36.680522813928</v>
      </c>
    </row>
    <row r="78" spans="1:6" ht="39" customHeight="1">
      <c r="A78" s="79" t="s">
        <v>1208</v>
      </c>
      <c r="B78" s="80" t="s">
        <v>1209</v>
      </c>
      <c r="C78" s="79" t="s">
        <v>1210</v>
      </c>
      <c r="D78" s="81">
        <v>0</v>
      </c>
      <c r="E78" s="81">
        <v>0</v>
      </c>
      <c r="F78" s="82"/>
    </row>
    <row r="79" spans="1:6" ht="55.5" customHeight="1">
      <c r="A79" s="79" t="s">
        <v>1211</v>
      </c>
      <c r="B79" s="80" t="s">
        <v>1212</v>
      </c>
      <c r="C79" s="79" t="s">
        <v>1213</v>
      </c>
      <c r="D79" s="81">
        <v>12000000</v>
      </c>
      <c r="E79" s="81">
        <v>10491803</v>
      </c>
      <c r="F79" s="82">
        <v>1</v>
      </c>
    </row>
    <row r="80" spans="1:6" ht="39" customHeight="1">
      <c r="A80" s="79" t="s">
        <v>1214</v>
      </c>
      <c r="B80" s="80" t="s">
        <v>1215</v>
      </c>
      <c r="C80" s="79" t="s">
        <v>1216</v>
      </c>
      <c r="D80" s="81">
        <v>1650065860</v>
      </c>
      <c r="E80" s="81">
        <v>1435279293</v>
      </c>
      <c r="F80" s="82">
        <v>3.7948064640627801</v>
      </c>
    </row>
    <row r="81" spans="1:6" ht="39" customHeight="1">
      <c r="A81" s="79" t="s">
        <v>1217</v>
      </c>
      <c r="B81" s="80" t="s">
        <v>1218</v>
      </c>
      <c r="C81" s="79" t="s">
        <v>1219</v>
      </c>
      <c r="D81" s="81">
        <v>45376811</v>
      </c>
      <c r="E81" s="81">
        <v>39470179</v>
      </c>
      <c r="F81" s="82">
        <v>3.7948063864606998</v>
      </c>
    </row>
    <row r="82" spans="1:6" ht="39" customHeight="1">
      <c r="A82" s="79" t="s">
        <v>1220</v>
      </c>
      <c r="B82" s="80" t="s">
        <v>1221</v>
      </c>
      <c r="C82" s="79" t="s">
        <v>1222</v>
      </c>
      <c r="D82" s="81">
        <v>60502415</v>
      </c>
      <c r="E82" s="81">
        <v>52626908</v>
      </c>
      <c r="F82" s="82">
        <v>3.6587037905258599</v>
      </c>
    </row>
    <row r="83" spans="1:6" ht="39" customHeight="1">
      <c r="A83" s="79" t="s">
        <v>1223</v>
      </c>
      <c r="B83" s="80" t="s">
        <v>1224</v>
      </c>
      <c r="C83" s="79" t="s">
        <v>1225</v>
      </c>
      <c r="D83" s="81">
        <v>192537125</v>
      </c>
      <c r="E83" s="81">
        <v>192537125</v>
      </c>
      <c r="F83" s="82">
        <v>0.96675476832649399</v>
      </c>
    </row>
    <row r="84" spans="1:6" ht="39" customHeight="1">
      <c r="A84" s="79" t="s">
        <v>1226</v>
      </c>
      <c r="B84" s="80" t="s">
        <v>1227</v>
      </c>
      <c r="C84" s="79" t="s">
        <v>1228</v>
      </c>
      <c r="D84" s="81">
        <v>192537125</v>
      </c>
      <c r="E84" s="81">
        <v>192537125</v>
      </c>
      <c r="F84" s="82">
        <v>0.96675476832649399</v>
      </c>
    </row>
    <row r="85" spans="1:6" ht="53" customHeight="1">
      <c r="A85" s="79" t="s">
        <v>1229</v>
      </c>
      <c r="B85" s="80" t="s">
        <v>1230</v>
      </c>
      <c r="C85" s="79" t="s">
        <v>1231</v>
      </c>
      <c r="D85" s="81">
        <v>0</v>
      </c>
      <c r="E85" s="81">
        <v>0</v>
      </c>
      <c r="F85" s="82"/>
    </row>
    <row r="86" spans="1:6" ht="39" customHeight="1">
      <c r="A86" s="79" t="s">
        <v>1232</v>
      </c>
      <c r="B86" s="80" t="s">
        <v>1233</v>
      </c>
      <c r="C86" s="79" t="s">
        <v>1234</v>
      </c>
      <c r="D86" s="81">
        <v>49976921</v>
      </c>
      <c r="E86" s="81">
        <v>50292643</v>
      </c>
      <c r="F86" s="82">
        <v>2.9956347831288701</v>
      </c>
    </row>
    <row r="87" spans="1:6" ht="39" customHeight="1">
      <c r="A87" s="79" t="s">
        <v>1235</v>
      </c>
      <c r="B87" s="80" t="s">
        <v>1236</v>
      </c>
      <c r="C87" s="79" t="s">
        <v>1237</v>
      </c>
      <c r="D87" s="81">
        <v>48126921</v>
      </c>
      <c r="E87" s="81">
        <v>47842643</v>
      </c>
      <c r="F87" s="82">
        <v>3.2013652537784698</v>
      </c>
    </row>
    <row r="88" spans="1:6" ht="39" customHeight="1">
      <c r="A88" s="79" t="s">
        <v>1238</v>
      </c>
      <c r="B88" s="80" t="s">
        <v>1239</v>
      </c>
      <c r="C88" s="79" t="s">
        <v>1240</v>
      </c>
      <c r="D88" s="81">
        <v>1100000</v>
      </c>
      <c r="E88" s="81">
        <v>1700000</v>
      </c>
      <c r="F88" s="82">
        <v>1.2222222222222201</v>
      </c>
    </row>
    <row r="89" spans="1:6" ht="69.5" customHeight="1">
      <c r="A89" s="79" t="s">
        <v>1241</v>
      </c>
      <c r="B89" s="80" t="s">
        <v>1242</v>
      </c>
      <c r="C89" s="79" t="s">
        <v>1243</v>
      </c>
      <c r="D89" s="81">
        <v>750000</v>
      </c>
      <c r="E89" s="81">
        <v>750000</v>
      </c>
      <c r="F89" s="82">
        <v>1</v>
      </c>
    </row>
    <row r="90" spans="1:6" ht="39" customHeight="1">
      <c r="A90" s="79" t="s">
        <v>1244</v>
      </c>
      <c r="B90" s="80" t="s">
        <v>1245</v>
      </c>
      <c r="C90" s="79" t="s">
        <v>1246</v>
      </c>
      <c r="D90" s="81">
        <v>74480000</v>
      </c>
      <c r="E90" s="81">
        <v>39421164</v>
      </c>
      <c r="F90" s="82">
        <v>0.95</v>
      </c>
    </row>
    <row r="91" spans="1:6" ht="39" customHeight="1">
      <c r="A91" s="79" t="s">
        <v>1247</v>
      </c>
      <c r="B91" s="80" t="s">
        <v>1248</v>
      </c>
      <c r="C91" s="79" t="s">
        <v>1249</v>
      </c>
      <c r="D91" s="81">
        <v>39618616</v>
      </c>
      <c r="E91" s="81">
        <v>22344148</v>
      </c>
      <c r="F91" s="82"/>
    </row>
    <row r="92" spans="1:6" ht="39" customHeight="1">
      <c r="A92" s="79" t="s">
        <v>1250</v>
      </c>
      <c r="B92" s="80" t="s">
        <v>1251</v>
      </c>
      <c r="C92" s="79" t="s">
        <v>1252</v>
      </c>
      <c r="D92" s="81">
        <v>0</v>
      </c>
      <c r="E92" s="81">
        <v>0</v>
      </c>
      <c r="F92" s="82"/>
    </row>
    <row r="93" spans="1:6" ht="39" customHeight="1">
      <c r="A93" s="79" t="s">
        <v>1253</v>
      </c>
      <c r="B93" s="80" t="s">
        <v>1254</v>
      </c>
      <c r="C93" s="79" t="s">
        <v>1255</v>
      </c>
      <c r="D93" s="81">
        <v>11000000</v>
      </c>
      <c r="E93" s="81">
        <v>11000000</v>
      </c>
      <c r="F93" s="82">
        <v>1</v>
      </c>
    </row>
    <row r="94" spans="1:6" ht="73.5" customHeight="1">
      <c r="A94" s="79" t="s">
        <v>1256</v>
      </c>
      <c r="B94" s="80" t="s">
        <v>1257</v>
      </c>
      <c r="C94" s="79" t="s">
        <v>1258</v>
      </c>
      <c r="D94" s="81">
        <v>0</v>
      </c>
      <c r="E94" s="81">
        <v>0</v>
      </c>
      <c r="F94" s="82"/>
    </row>
    <row r="95" spans="1:6" ht="63.5" customHeight="1">
      <c r="A95" s="79" t="s">
        <v>1259</v>
      </c>
      <c r="B95" s="80" t="s">
        <v>1260</v>
      </c>
      <c r="C95" s="79" t="s">
        <v>1261</v>
      </c>
      <c r="D95" s="81">
        <v>0</v>
      </c>
      <c r="E95" s="81">
        <v>0</v>
      </c>
      <c r="F95" s="82"/>
    </row>
    <row r="96" spans="1:6" ht="39" customHeight="1">
      <c r="A96" s="79" t="s">
        <v>1262</v>
      </c>
      <c r="B96" s="80" t="s">
        <v>1263</v>
      </c>
      <c r="C96" s="79" t="s">
        <v>1264</v>
      </c>
      <c r="D96" s="81">
        <v>35250000</v>
      </c>
      <c r="E96" s="81">
        <v>36614754</v>
      </c>
      <c r="F96" s="82">
        <v>0.92298628612574896</v>
      </c>
    </row>
    <row r="97" spans="1:6" ht="39" customHeight="1">
      <c r="A97" s="79" t="s">
        <v>1265</v>
      </c>
      <c r="B97" s="80" t="s">
        <v>1266</v>
      </c>
      <c r="C97" s="79" t="s">
        <v>1267</v>
      </c>
      <c r="D97" s="81">
        <v>35250000</v>
      </c>
      <c r="E97" s="81">
        <v>23500000</v>
      </c>
      <c r="F97" s="82">
        <v>1.5</v>
      </c>
    </row>
    <row r="98" spans="1:6" ht="75" customHeight="1">
      <c r="A98" s="79" t="s">
        <v>1268</v>
      </c>
      <c r="B98" s="80" t="s">
        <v>1269</v>
      </c>
      <c r="C98" s="79" t="s">
        <v>1270</v>
      </c>
      <c r="D98" s="81">
        <v>0</v>
      </c>
      <c r="E98" s="81">
        <v>0</v>
      </c>
      <c r="F98" s="82"/>
    </row>
    <row r="99" spans="1:6" ht="68.5" customHeight="1">
      <c r="A99" s="79" t="s">
        <v>1271</v>
      </c>
      <c r="B99" s="80" t="s">
        <v>1272</v>
      </c>
      <c r="C99" s="79" t="s">
        <v>1273</v>
      </c>
      <c r="D99" s="81">
        <v>0</v>
      </c>
      <c r="E99" s="81">
        <v>13114754</v>
      </c>
      <c r="F99" s="82">
        <v>0</v>
      </c>
    </row>
    <row r="100" spans="1:6" ht="39" customHeight="1">
      <c r="A100" s="79" t="s">
        <v>1274</v>
      </c>
      <c r="B100" s="80" t="s">
        <v>1275</v>
      </c>
      <c r="C100" s="79" t="s">
        <v>1276</v>
      </c>
      <c r="D100" s="81">
        <v>0</v>
      </c>
      <c r="E100" s="81">
        <v>0</v>
      </c>
      <c r="F100" s="82">
        <v>0</v>
      </c>
    </row>
    <row r="101" spans="1:6" ht="39" customHeight="1">
      <c r="A101" s="79" t="s">
        <v>1277</v>
      </c>
      <c r="B101" s="80" t="s">
        <v>1278</v>
      </c>
      <c r="C101" s="79" t="s">
        <v>1279</v>
      </c>
      <c r="D101" s="81">
        <v>0</v>
      </c>
      <c r="E101" s="81">
        <v>0</v>
      </c>
      <c r="F101" s="82"/>
    </row>
    <row r="102" spans="1:6" ht="39" customHeight="1">
      <c r="A102" s="79" t="s">
        <v>1280</v>
      </c>
      <c r="B102" s="80" t="s">
        <v>1281</v>
      </c>
      <c r="C102" s="79" t="s">
        <v>1282</v>
      </c>
      <c r="D102" s="81">
        <v>0</v>
      </c>
      <c r="E102" s="81">
        <v>0</v>
      </c>
      <c r="F102" s="82"/>
    </row>
    <row r="103" spans="1:6" ht="39" customHeight="1">
      <c r="A103" s="79" t="s">
        <v>1283</v>
      </c>
      <c r="B103" s="80" t="s">
        <v>1284</v>
      </c>
      <c r="C103" s="79" t="s">
        <v>1285</v>
      </c>
      <c r="D103" s="81">
        <v>0</v>
      </c>
      <c r="E103" s="81">
        <v>0</v>
      </c>
      <c r="F103" s="82"/>
    </row>
    <row r="104" spans="1:6" ht="39" customHeight="1">
      <c r="A104" s="79" t="s">
        <v>1286</v>
      </c>
      <c r="B104" s="80" t="s">
        <v>1287</v>
      </c>
      <c r="C104" s="79" t="s">
        <v>1288</v>
      </c>
      <c r="D104" s="81">
        <v>0</v>
      </c>
      <c r="E104" s="81">
        <v>0</v>
      </c>
      <c r="F104" s="82"/>
    </row>
    <row r="105" spans="1:6" ht="39" customHeight="1">
      <c r="A105" s="75" t="s">
        <v>1289</v>
      </c>
      <c r="B105" s="76" t="s">
        <v>1290</v>
      </c>
      <c r="C105" s="75" t="s">
        <v>1291</v>
      </c>
      <c r="D105" s="77">
        <v>39206607425</v>
      </c>
      <c r="E105" s="77">
        <v>53030897719</v>
      </c>
      <c r="F105" s="78">
        <v>0.86224890342136595</v>
      </c>
    </row>
    <row r="106" spans="1:6" ht="39" customHeight="1">
      <c r="A106" s="79" t="s">
        <v>1292</v>
      </c>
      <c r="B106" s="80" t="s">
        <v>1293</v>
      </c>
      <c r="C106" s="79" t="s">
        <v>1294</v>
      </c>
      <c r="D106" s="81">
        <v>1648574048482</v>
      </c>
      <c r="E106" s="81">
        <v>1485575178473</v>
      </c>
      <c r="F106" s="82">
        <v>3.65054849433192</v>
      </c>
    </row>
    <row r="107" spans="1:6" ht="39" customHeight="1">
      <c r="A107" s="79" t="s">
        <v>1295</v>
      </c>
      <c r="B107" s="80" t="s">
        <v>1296</v>
      </c>
      <c r="C107" s="79" t="s">
        <v>1297</v>
      </c>
      <c r="D107" s="83">
        <v>60787851.609999999</v>
      </c>
      <c r="E107" s="83">
        <v>55739921.630000003</v>
      </c>
      <c r="F107" s="82">
        <v>3.4176075410664901</v>
      </c>
    </row>
    <row r="108" spans="1:6" ht="39" customHeight="1">
      <c r="A108" s="79" t="s">
        <v>1298</v>
      </c>
      <c r="B108" s="80" t="s">
        <v>1299</v>
      </c>
      <c r="C108" s="79" t="s">
        <v>1300</v>
      </c>
      <c r="D108" s="83">
        <v>27120.12</v>
      </c>
      <c r="E108" s="83">
        <v>26651.9</v>
      </c>
      <c r="F108" s="82">
        <v>1.0681590368336</v>
      </c>
    </row>
    <row r="109" spans="1:6" s="64" customFormat="1" ht="16.899999999999999" customHeight="1"/>
    <row r="110" spans="1:6" s="64" customFormat="1" ht="16.899999999999999" customHeight="1">
      <c r="A110" s="84" t="s">
        <v>10</v>
      </c>
      <c r="B110" s="85"/>
      <c r="C110" s="85"/>
      <c r="E110" s="84" t="s">
        <v>11</v>
      </c>
      <c r="F110" s="85"/>
    </row>
    <row r="111" spans="1:6" s="88" customFormat="1" ht="16.899999999999999" customHeight="1">
      <c r="A111" s="86" t="s">
        <v>12</v>
      </c>
      <c r="B111" s="87"/>
      <c r="C111" s="87"/>
      <c r="E111" s="86" t="s">
        <v>13</v>
      </c>
      <c r="F111" s="87"/>
    </row>
    <row r="112" spans="1:6" s="64" customFormat="1" ht="16.899999999999999" customHeight="1">
      <c r="A112" s="85"/>
      <c r="B112" s="85"/>
      <c r="C112" s="85"/>
      <c r="D112" s="85"/>
      <c r="E112" s="85"/>
      <c r="F112" s="85"/>
    </row>
    <row r="113" spans="1:6" s="64" customFormat="1" ht="16.899999999999999" customHeight="1">
      <c r="A113" s="85"/>
      <c r="B113" s="85"/>
      <c r="C113" s="85"/>
      <c r="D113" s="85"/>
      <c r="E113" s="85"/>
      <c r="F113" s="85"/>
    </row>
    <row r="114" spans="1:6" s="64" customFormat="1" ht="16.899999999999999" customHeight="1">
      <c r="A114" s="85"/>
      <c r="B114" s="85"/>
      <c r="C114" s="85"/>
      <c r="D114" s="85"/>
      <c r="E114" s="85"/>
      <c r="F114" s="85"/>
    </row>
    <row r="115" spans="1:6" s="64" customFormat="1" ht="16.899999999999999" customHeight="1">
      <c r="A115" s="85"/>
      <c r="B115" s="85"/>
      <c r="C115" s="85"/>
      <c r="D115" s="85"/>
      <c r="E115" s="85"/>
      <c r="F115" s="85"/>
    </row>
    <row r="116" spans="1:6" s="64" customFormat="1" ht="16.899999999999999" customHeight="1">
      <c r="A116" s="85"/>
      <c r="B116" s="85"/>
      <c r="C116" s="85"/>
      <c r="D116" s="85"/>
      <c r="E116" s="85"/>
      <c r="F116" s="85"/>
    </row>
    <row r="117" spans="1:6" s="64" customFormat="1" ht="16.899999999999999" customHeight="1">
      <c r="A117" s="85"/>
      <c r="B117" s="85"/>
      <c r="C117" s="85"/>
      <c r="D117" s="85"/>
      <c r="E117" s="85"/>
      <c r="F117" s="85"/>
    </row>
    <row r="118" spans="1:6" s="64" customFormat="1" ht="16.899999999999999" customHeight="1">
      <c r="A118" s="89"/>
      <c r="B118" s="89"/>
      <c r="C118" s="85"/>
      <c r="D118" s="85"/>
      <c r="E118" s="89"/>
      <c r="F118" s="89"/>
    </row>
    <row r="119" spans="1:6" s="64" customFormat="1" ht="16.899999999999999" customHeight="1">
      <c r="A119" s="90" t="s">
        <v>14</v>
      </c>
      <c r="B119" s="91"/>
      <c r="C119" s="85"/>
      <c r="E119" s="90" t="s">
        <v>1303</v>
      </c>
      <c r="F119" s="91"/>
    </row>
    <row r="120" spans="1:6" s="64" customFormat="1" ht="16.899999999999999" customHeight="1">
      <c r="A120" s="92" t="s">
        <v>1309</v>
      </c>
      <c r="B120" s="85"/>
      <c r="C120" s="85"/>
      <c r="E120" s="92" t="s">
        <v>1310</v>
      </c>
      <c r="F120" s="85"/>
    </row>
    <row r="121" spans="1:6" s="64" customFormat="1" ht="16.899999999999999" customHeight="1">
      <c r="A121" s="85" t="s">
        <v>1311</v>
      </c>
      <c r="B121" s="85"/>
      <c r="C121" s="85"/>
      <c r="E121" s="85" t="s">
        <v>1312</v>
      </c>
      <c r="F121" s="8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5" zoomScale="80" zoomScaleNormal="100" zoomScaleSheetLayoutView="80" workbookViewId="0">
      <selection activeCell="B100" sqref="B100"/>
    </sheetView>
  </sheetViews>
  <sheetFormatPr defaultColWidth="8.7265625" defaultRowHeight="15"/>
  <cols>
    <col min="1" max="1" width="8.7265625" style="65"/>
    <col min="2" max="2" width="46.26953125" style="65" customWidth="1"/>
    <col min="3" max="3" width="10.7265625" style="65" bestFit="1" customWidth="1"/>
    <col min="4" max="6" width="36.81640625" style="65" customWidth="1"/>
    <col min="7" max="16384" width="8.7265625" style="93"/>
  </cols>
  <sheetData>
    <row r="1" spans="1:6" ht="54.75" customHeight="1">
      <c r="A1" s="233" t="s">
        <v>701</v>
      </c>
      <c r="B1" s="233"/>
      <c r="C1" s="233"/>
      <c r="D1" s="233"/>
      <c r="E1" s="233"/>
      <c r="F1" s="233"/>
    </row>
    <row r="2" spans="1:6" ht="54.75" customHeight="1">
      <c r="A2" s="234" t="s">
        <v>702</v>
      </c>
      <c r="B2" s="234"/>
      <c r="C2" s="234"/>
      <c r="D2" s="234"/>
      <c r="E2" s="234"/>
      <c r="F2" s="234"/>
    </row>
    <row r="3" spans="1:6" ht="22.5" customHeight="1">
      <c r="A3" s="235" t="s">
        <v>652</v>
      </c>
      <c r="B3" s="235"/>
      <c r="C3" s="235"/>
      <c r="D3" s="235"/>
      <c r="E3" s="235"/>
      <c r="F3" s="235"/>
    </row>
    <row r="4" spans="1:6" ht="21" customHeight="1">
      <c r="A4" s="235"/>
      <c r="B4" s="235"/>
      <c r="C4" s="235"/>
      <c r="D4" s="235"/>
      <c r="E4" s="235"/>
      <c r="F4" s="235"/>
    </row>
    <row r="5" spans="1:6" ht="16.149999999999999" customHeight="1">
      <c r="A5" s="236" t="s">
        <v>1302</v>
      </c>
      <c r="B5" s="236"/>
      <c r="C5" s="236"/>
      <c r="D5" s="236"/>
      <c r="E5" s="236"/>
      <c r="F5" s="236"/>
    </row>
    <row r="7" spans="1:6" ht="16.899999999999999" customHeight="1">
      <c r="A7" s="94" t="s">
        <v>2</v>
      </c>
      <c r="C7" s="237" t="s">
        <v>1303</v>
      </c>
      <c r="D7" s="237"/>
      <c r="E7" s="237"/>
      <c r="F7" s="237"/>
    </row>
    <row r="8" spans="1:6" ht="16.899999999999999" customHeight="1">
      <c r="A8" s="65" t="s">
        <v>15</v>
      </c>
      <c r="C8" s="232" t="s">
        <v>1304</v>
      </c>
      <c r="D8" s="232"/>
      <c r="E8" s="232"/>
      <c r="F8" s="232"/>
    </row>
    <row r="9" spans="1:6" ht="16.899999999999999" customHeight="1">
      <c r="A9" s="94" t="s">
        <v>3</v>
      </c>
      <c r="C9" s="237" t="s">
        <v>1305</v>
      </c>
      <c r="D9" s="237"/>
      <c r="E9" s="237"/>
      <c r="F9" s="237"/>
    </row>
    <row r="10" spans="1:6" ht="16.899999999999999" customHeight="1">
      <c r="A10" s="65" t="s">
        <v>4</v>
      </c>
      <c r="C10" s="232" t="s">
        <v>1306</v>
      </c>
      <c r="D10" s="232"/>
      <c r="E10" s="232"/>
      <c r="F10" s="232"/>
    </row>
    <row r="11" spans="1:6" ht="16.899999999999999" customHeight="1">
      <c r="A11" s="94" t="s">
        <v>5</v>
      </c>
      <c r="C11" s="237" t="s">
        <v>754</v>
      </c>
      <c r="D11" s="237"/>
      <c r="E11" s="237"/>
      <c r="F11" s="237"/>
    </row>
    <row r="12" spans="1:6" ht="16.899999999999999" customHeight="1">
      <c r="A12" s="65" t="s">
        <v>6</v>
      </c>
      <c r="C12" s="232" t="s">
        <v>1323</v>
      </c>
      <c r="D12" s="232"/>
      <c r="E12" s="232"/>
      <c r="F12" s="232"/>
    </row>
    <row r="13" spans="1:6" ht="16.899999999999999" customHeight="1">
      <c r="A13" s="94" t="s">
        <v>7</v>
      </c>
      <c r="C13" s="237" t="s">
        <v>1307</v>
      </c>
      <c r="D13" s="237"/>
      <c r="E13" s="237"/>
      <c r="F13" s="237"/>
    </row>
    <row r="14" spans="1:6" ht="16.899999999999999" customHeight="1">
      <c r="A14" s="65" t="s">
        <v>8</v>
      </c>
      <c r="C14" s="232" t="s">
        <v>1308</v>
      </c>
      <c r="D14" s="232"/>
      <c r="E14" s="232"/>
      <c r="F14" s="232"/>
    </row>
    <row r="15" spans="1:6" ht="16.899999999999999" customHeight="1"/>
    <row r="16" spans="1:6" ht="16.899999999999999" customHeight="1">
      <c r="A16" s="68" t="s">
        <v>699</v>
      </c>
      <c r="B16" s="69" t="s">
        <v>700</v>
      </c>
    </row>
    <row r="17" spans="1:6" ht="16.899999999999999" customHeight="1">
      <c r="A17" s="95" t="s">
        <v>22</v>
      </c>
      <c r="B17" s="96" t="s">
        <v>25</v>
      </c>
    </row>
    <row r="18" spans="1:6" ht="45">
      <c r="A18" s="97" t="s">
        <v>17</v>
      </c>
      <c r="B18" s="97" t="s">
        <v>18</v>
      </c>
      <c r="C18" s="97" t="s">
        <v>19</v>
      </c>
      <c r="D18" s="98" t="s">
        <v>1315</v>
      </c>
      <c r="E18" s="98" t="s">
        <v>1316</v>
      </c>
      <c r="F18" s="98" t="s">
        <v>705</v>
      </c>
    </row>
    <row r="19" spans="1:6" s="103" customFormat="1" ht="37" customHeight="1">
      <c r="A19" s="99" t="s">
        <v>16</v>
      </c>
      <c r="B19" s="100" t="s">
        <v>33</v>
      </c>
      <c r="C19" s="101" t="s">
        <v>50</v>
      </c>
      <c r="D19" s="102">
        <v>31084786669</v>
      </c>
      <c r="E19" s="102">
        <v>26893035688</v>
      </c>
      <c r="F19" s="102">
        <v>94422054315</v>
      </c>
    </row>
    <row r="20" spans="1:6" ht="53" customHeight="1">
      <c r="A20" s="104">
        <v>1</v>
      </c>
      <c r="B20" s="105" t="s">
        <v>656</v>
      </c>
      <c r="C20" s="106" t="s">
        <v>57</v>
      </c>
      <c r="D20" s="107">
        <v>0</v>
      </c>
      <c r="E20" s="107">
        <v>0</v>
      </c>
      <c r="F20" s="107">
        <v>0</v>
      </c>
    </row>
    <row r="21" spans="1:6">
      <c r="A21" s="108" t="s">
        <v>657</v>
      </c>
      <c r="B21" s="108" t="s">
        <v>657</v>
      </c>
      <c r="C21" s="108" t="s">
        <v>657</v>
      </c>
      <c r="D21" s="109" t="s">
        <v>657</v>
      </c>
      <c r="E21" s="109" t="s">
        <v>658</v>
      </c>
      <c r="F21" s="109" t="s">
        <v>658</v>
      </c>
    </row>
    <row r="22" spans="1:6" ht="36.5" customHeight="1">
      <c r="A22" s="104">
        <v>2</v>
      </c>
      <c r="B22" s="105" t="s">
        <v>344</v>
      </c>
      <c r="C22" s="106" t="s">
        <v>51</v>
      </c>
      <c r="D22" s="107">
        <v>21436650554</v>
      </c>
      <c r="E22" s="107">
        <v>18333400700</v>
      </c>
      <c r="F22" s="107">
        <v>64672633442</v>
      </c>
    </row>
    <row r="23" spans="1:6">
      <c r="A23" s="108" t="s">
        <v>657</v>
      </c>
      <c r="B23" s="108" t="s">
        <v>657</v>
      </c>
      <c r="C23" s="108" t="s">
        <v>657</v>
      </c>
      <c r="D23" s="109" t="s">
        <v>657</v>
      </c>
      <c r="E23" s="109" t="s">
        <v>658</v>
      </c>
      <c r="F23" s="109" t="s">
        <v>658</v>
      </c>
    </row>
    <row r="24" spans="1:6" ht="40" customHeight="1">
      <c r="A24" s="110"/>
      <c r="B24" s="111" t="s">
        <v>345</v>
      </c>
      <c r="C24" s="112" t="s">
        <v>52</v>
      </c>
      <c r="D24" s="107">
        <v>0</v>
      </c>
      <c r="E24" s="107">
        <v>0</v>
      </c>
      <c r="F24" s="107">
        <v>0</v>
      </c>
    </row>
    <row r="25" spans="1:6" ht="40" customHeight="1">
      <c r="A25" s="110"/>
      <c r="B25" s="111" t="s">
        <v>346</v>
      </c>
      <c r="C25" s="112" t="s">
        <v>53</v>
      </c>
      <c r="D25" s="107">
        <v>21436650554</v>
      </c>
      <c r="E25" s="107">
        <v>18333400700</v>
      </c>
      <c r="F25" s="107">
        <v>64672633442</v>
      </c>
    </row>
    <row r="26" spans="1:6" ht="34" customHeight="1">
      <c r="A26" s="104">
        <v>3</v>
      </c>
      <c r="B26" s="105" t="s">
        <v>347</v>
      </c>
      <c r="C26" s="106" t="s">
        <v>54</v>
      </c>
      <c r="D26" s="107">
        <v>9648136115</v>
      </c>
      <c r="E26" s="107">
        <v>8559634988</v>
      </c>
      <c r="F26" s="107">
        <v>29749420873</v>
      </c>
    </row>
    <row r="27" spans="1:6">
      <c r="A27" s="108" t="s">
        <v>657</v>
      </c>
      <c r="B27" s="108" t="s">
        <v>657</v>
      </c>
      <c r="C27" s="108" t="s">
        <v>657</v>
      </c>
      <c r="D27" s="109" t="s">
        <v>657</v>
      </c>
      <c r="E27" s="109" t="s">
        <v>657</v>
      </c>
      <c r="F27" s="109" t="s">
        <v>657</v>
      </c>
    </row>
    <row r="28" spans="1:6" ht="40" customHeight="1">
      <c r="A28" s="110"/>
      <c r="B28" s="111" t="s">
        <v>308</v>
      </c>
      <c r="C28" s="112" t="s">
        <v>55</v>
      </c>
      <c r="D28" s="107">
        <v>4691725157</v>
      </c>
      <c r="E28" s="107">
        <v>3231087044</v>
      </c>
      <c r="F28" s="107">
        <v>13238023615</v>
      </c>
    </row>
    <row r="29" spans="1:6" ht="55.5" customHeight="1">
      <c r="A29" s="110"/>
      <c r="B29" s="111" t="s">
        <v>772</v>
      </c>
      <c r="C29" s="112" t="s">
        <v>56</v>
      </c>
      <c r="D29" s="107">
        <v>4956410958</v>
      </c>
      <c r="E29" s="107">
        <v>5328547944</v>
      </c>
      <c r="F29" s="107">
        <v>16511397258</v>
      </c>
    </row>
    <row r="30" spans="1:6" ht="37.5" customHeight="1">
      <c r="A30" s="110"/>
      <c r="B30" s="111" t="s">
        <v>386</v>
      </c>
      <c r="C30" s="112" t="s">
        <v>305</v>
      </c>
      <c r="D30" s="107">
        <v>0</v>
      </c>
      <c r="E30" s="107">
        <v>0</v>
      </c>
      <c r="F30" s="107">
        <v>0</v>
      </c>
    </row>
    <row r="31" spans="1:6" s="103" customFormat="1" ht="37.5" customHeight="1">
      <c r="A31" s="104">
        <v>4</v>
      </c>
      <c r="B31" s="105" t="s">
        <v>348</v>
      </c>
      <c r="C31" s="106" t="s">
        <v>57</v>
      </c>
      <c r="D31" s="107">
        <v>0</v>
      </c>
      <c r="E31" s="107">
        <v>0</v>
      </c>
      <c r="F31" s="107">
        <v>0</v>
      </c>
    </row>
    <row r="32" spans="1:6">
      <c r="A32" s="108" t="s">
        <v>657</v>
      </c>
      <c r="B32" s="108" t="s">
        <v>657</v>
      </c>
      <c r="C32" s="108" t="s">
        <v>657</v>
      </c>
      <c r="D32" s="109" t="s">
        <v>657</v>
      </c>
      <c r="E32" s="109" t="s">
        <v>657</v>
      </c>
      <c r="F32" s="109" t="s">
        <v>657</v>
      </c>
    </row>
    <row r="33" spans="1:6" ht="39" customHeight="1">
      <c r="A33" s="113"/>
      <c r="B33" s="114" t="s">
        <v>349</v>
      </c>
      <c r="C33" s="115" t="s">
        <v>58</v>
      </c>
      <c r="D33" s="107">
        <v>0</v>
      </c>
      <c r="E33" s="107">
        <v>0</v>
      </c>
      <c r="F33" s="107">
        <v>0</v>
      </c>
    </row>
    <row r="34" spans="1:6" ht="39" customHeight="1">
      <c r="A34" s="113"/>
      <c r="B34" s="114" t="s">
        <v>350</v>
      </c>
      <c r="C34" s="115" t="s">
        <v>59</v>
      </c>
      <c r="D34" s="107">
        <v>0</v>
      </c>
      <c r="E34" s="107">
        <v>0</v>
      </c>
      <c r="F34" s="107">
        <v>0</v>
      </c>
    </row>
    <row r="35" spans="1:6" ht="98" customHeight="1">
      <c r="A35" s="113"/>
      <c r="B35" s="114" t="s">
        <v>34</v>
      </c>
      <c r="C35" s="115" t="s">
        <v>60</v>
      </c>
      <c r="D35" s="107">
        <v>0</v>
      </c>
      <c r="E35" s="107">
        <v>0</v>
      </c>
      <c r="F35" s="107">
        <v>0</v>
      </c>
    </row>
    <row r="36" spans="1:6" ht="38" customHeight="1">
      <c r="A36" s="99" t="s">
        <v>22</v>
      </c>
      <c r="B36" s="100" t="s">
        <v>351</v>
      </c>
      <c r="C36" s="101" t="s">
        <v>61</v>
      </c>
      <c r="D36" s="116">
        <v>5704744487</v>
      </c>
      <c r="E36" s="116">
        <v>5247439042</v>
      </c>
      <c r="F36" s="116">
        <v>17785928645</v>
      </c>
    </row>
    <row r="37" spans="1:6" ht="53" customHeight="1">
      <c r="A37" s="104">
        <v>1</v>
      </c>
      <c r="B37" s="105" t="s">
        <v>659</v>
      </c>
      <c r="C37" s="106" t="s">
        <v>62</v>
      </c>
      <c r="D37" s="107">
        <v>4801176409</v>
      </c>
      <c r="E37" s="107">
        <v>4315110065</v>
      </c>
      <c r="F37" s="107">
        <v>14826392925</v>
      </c>
    </row>
    <row r="38" spans="1:6">
      <c r="A38" s="108" t="s">
        <v>657</v>
      </c>
      <c r="B38" s="108" t="s">
        <v>657</v>
      </c>
      <c r="C38" s="108" t="s">
        <v>657</v>
      </c>
      <c r="D38" s="109" t="s">
        <v>657</v>
      </c>
      <c r="E38" s="109" t="s">
        <v>657</v>
      </c>
      <c r="F38" s="109" t="s">
        <v>657</v>
      </c>
    </row>
    <row r="39" spans="1:6" ht="67" customHeight="1">
      <c r="A39" s="104">
        <v>2</v>
      </c>
      <c r="B39" s="105" t="s">
        <v>777</v>
      </c>
      <c r="C39" s="106" t="s">
        <v>63</v>
      </c>
      <c r="D39" s="107">
        <v>326579992</v>
      </c>
      <c r="E39" s="107">
        <v>313273976</v>
      </c>
      <c r="F39" s="107">
        <v>1048321067</v>
      </c>
    </row>
    <row r="40" spans="1:6">
      <c r="A40" s="108" t="s">
        <v>657</v>
      </c>
      <c r="B40" s="108" t="s">
        <v>657</v>
      </c>
      <c r="C40" s="108" t="s">
        <v>657</v>
      </c>
      <c r="D40" s="109" t="s">
        <v>657</v>
      </c>
      <c r="E40" s="109" t="s">
        <v>657</v>
      </c>
      <c r="F40" s="109" t="s">
        <v>657</v>
      </c>
    </row>
    <row r="41" spans="1:6" ht="40.5" customHeight="1">
      <c r="A41" s="117"/>
      <c r="B41" s="111" t="s">
        <v>660</v>
      </c>
      <c r="C41" s="112" t="s">
        <v>64</v>
      </c>
      <c r="D41" s="107">
        <v>140237335</v>
      </c>
      <c r="E41" s="107">
        <v>143837005</v>
      </c>
      <c r="F41" s="107">
        <v>474411221</v>
      </c>
    </row>
    <row r="42" spans="1:6" ht="45">
      <c r="A42" s="117"/>
      <c r="B42" s="111" t="s">
        <v>661</v>
      </c>
      <c r="C42" s="112" t="s">
        <v>65</v>
      </c>
      <c r="D42" s="107">
        <v>6200000</v>
      </c>
      <c r="E42" s="107">
        <v>8500000</v>
      </c>
      <c r="F42" s="107">
        <v>19500000</v>
      </c>
    </row>
    <row r="43" spans="1:6" ht="84" customHeight="1">
      <c r="A43" s="117"/>
      <c r="B43" s="111" t="s">
        <v>778</v>
      </c>
      <c r="C43" s="112" t="s">
        <v>66</v>
      </c>
      <c r="D43" s="107">
        <v>4099523</v>
      </c>
      <c r="E43" s="107">
        <v>2716268</v>
      </c>
      <c r="F43" s="107">
        <v>10775439</v>
      </c>
    </row>
    <row r="44" spans="1:6" ht="39.5" customHeight="1">
      <c r="A44" s="117"/>
      <c r="B44" s="111" t="s">
        <v>662</v>
      </c>
      <c r="C44" s="112" t="s">
        <v>67</v>
      </c>
      <c r="D44" s="107">
        <v>176043134</v>
      </c>
      <c r="E44" s="107">
        <v>158220703</v>
      </c>
      <c r="F44" s="107">
        <v>543634407</v>
      </c>
    </row>
    <row r="45" spans="1:6" ht="85" customHeight="1">
      <c r="A45" s="104">
        <v>3</v>
      </c>
      <c r="B45" s="118" t="s">
        <v>663</v>
      </c>
      <c r="C45" s="106" t="s">
        <v>68</v>
      </c>
      <c r="D45" s="107">
        <v>165032352</v>
      </c>
      <c r="E45" s="107">
        <v>151665523</v>
      </c>
      <c r="F45" s="107">
        <v>539725800</v>
      </c>
    </row>
    <row r="46" spans="1:6">
      <c r="A46" s="108" t="s">
        <v>657</v>
      </c>
      <c r="B46" s="108" t="s">
        <v>657</v>
      </c>
      <c r="C46" s="108" t="s">
        <v>657</v>
      </c>
      <c r="D46" s="109" t="s">
        <v>657</v>
      </c>
      <c r="E46" s="109" t="s">
        <v>657</v>
      </c>
      <c r="F46" s="109" t="s">
        <v>657</v>
      </c>
    </row>
    <row r="47" spans="1:6" ht="37" customHeight="1">
      <c r="A47" s="117"/>
      <c r="B47" s="119" t="s">
        <v>387</v>
      </c>
      <c r="C47" s="112" t="s">
        <v>69</v>
      </c>
      <c r="D47" s="107">
        <v>132032352</v>
      </c>
      <c r="E47" s="107">
        <v>118665523</v>
      </c>
      <c r="F47" s="107">
        <v>407725800</v>
      </c>
    </row>
    <row r="48" spans="1:6" ht="37" customHeight="1">
      <c r="A48" s="117"/>
      <c r="B48" s="119" t="s">
        <v>36</v>
      </c>
      <c r="C48" s="112" t="s">
        <v>70</v>
      </c>
      <c r="D48" s="107">
        <v>33000000</v>
      </c>
      <c r="E48" s="107">
        <v>33000000</v>
      </c>
      <c r="F48" s="107">
        <v>132000000</v>
      </c>
    </row>
    <row r="49" spans="1:6" ht="67.5" customHeight="1">
      <c r="A49" s="117">
        <v>4</v>
      </c>
      <c r="B49" s="119" t="s">
        <v>664</v>
      </c>
      <c r="C49" s="112"/>
      <c r="D49" s="107">
        <v>0</v>
      </c>
      <c r="E49" s="107">
        <v>0</v>
      </c>
      <c r="F49" s="107">
        <v>0</v>
      </c>
    </row>
    <row r="50" spans="1:6">
      <c r="A50" s="108" t="s">
        <v>657</v>
      </c>
      <c r="B50" s="108" t="s">
        <v>657</v>
      </c>
      <c r="C50" s="108" t="s">
        <v>657</v>
      </c>
      <c r="D50" s="109" t="s">
        <v>657</v>
      </c>
      <c r="E50" s="109" t="s">
        <v>657</v>
      </c>
      <c r="F50" s="109" t="s">
        <v>657</v>
      </c>
    </row>
    <row r="51" spans="1:6" ht="65.5" customHeight="1">
      <c r="A51" s="117">
        <v>5</v>
      </c>
      <c r="B51" s="119" t="s">
        <v>665</v>
      </c>
      <c r="C51" s="112"/>
      <c r="D51" s="107">
        <v>0</v>
      </c>
      <c r="E51" s="107">
        <v>0</v>
      </c>
      <c r="F51" s="107">
        <v>0</v>
      </c>
    </row>
    <row r="52" spans="1:6">
      <c r="A52" s="108" t="s">
        <v>657</v>
      </c>
      <c r="B52" s="108" t="s">
        <v>657</v>
      </c>
      <c r="C52" s="108" t="s">
        <v>657</v>
      </c>
      <c r="D52" s="109" t="s">
        <v>657</v>
      </c>
      <c r="E52" s="109" t="s">
        <v>657</v>
      </c>
      <c r="F52" s="109" t="s">
        <v>657</v>
      </c>
    </row>
    <row r="53" spans="1:6" ht="41.5" customHeight="1">
      <c r="A53" s="104">
        <v>6</v>
      </c>
      <c r="B53" s="105" t="s">
        <v>37</v>
      </c>
      <c r="C53" s="106" t="s">
        <v>71</v>
      </c>
      <c r="D53" s="107">
        <v>35058836</v>
      </c>
      <c r="E53" s="107">
        <v>35058836</v>
      </c>
      <c r="F53" s="107">
        <v>145957528</v>
      </c>
    </row>
    <row r="54" spans="1:6">
      <c r="A54" s="108" t="s">
        <v>657</v>
      </c>
      <c r="B54" s="108" t="s">
        <v>657</v>
      </c>
      <c r="C54" s="108" t="s">
        <v>657</v>
      </c>
      <c r="D54" s="109" t="s">
        <v>657</v>
      </c>
      <c r="E54" s="109" t="s">
        <v>657</v>
      </c>
      <c r="F54" s="109" t="s">
        <v>657</v>
      </c>
    </row>
    <row r="55" spans="1:6" ht="97" customHeight="1">
      <c r="A55" s="104">
        <v>7</v>
      </c>
      <c r="B55" s="105" t="s">
        <v>388</v>
      </c>
      <c r="C55" s="106" t="s">
        <v>72</v>
      </c>
      <c r="D55" s="107">
        <v>77441757</v>
      </c>
      <c r="E55" s="107">
        <v>53941755</v>
      </c>
      <c r="F55" s="107">
        <v>238700000</v>
      </c>
    </row>
    <row r="56" spans="1:6">
      <c r="A56" s="108" t="s">
        <v>657</v>
      </c>
      <c r="B56" s="108" t="s">
        <v>657</v>
      </c>
      <c r="C56" s="108" t="s">
        <v>657</v>
      </c>
      <c r="D56" s="109" t="s">
        <v>657</v>
      </c>
      <c r="E56" s="109" t="s">
        <v>657</v>
      </c>
      <c r="F56" s="109" t="s">
        <v>657</v>
      </c>
    </row>
    <row r="57" spans="1:6" ht="51.5" customHeight="1">
      <c r="A57" s="117"/>
      <c r="B57" s="120" t="s">
        <v>389</v>
      </c>
      <c r="C57" s="112" t="s">
        <v>73</v>
      </c>
      <c r="D57" s="107">
        <v>19508197</v>
      </c>
      <c r="E57" s="107">
        <v>19508196</v>
      </c>
      <c r="F57" s="107">
        <v>78000000</v>
      </c>
    </row>
    <row r="58" spans="1:6" ht="39.5" customHeight="1">
      <c r="A58" s="117"/>
      <c r="B58" s="120" t="s">
        <v>352</v>
      </c>
      <c r="C58" s="112" t="s">
        <v>74</v>
      </c>
      <c r="D58" s="107">
        <v>47000000</v>
      </c>
      <c r="E58" s="107">
        <v>23500000</v>
      </c>
      <c r="F58" s="107">
        <v>117500000</v>
      </c>
    </row>
    <row r="59" spans="1:6" ht="39.5" customHeight="1">
      <c r="A59" s="117"/>
      <c r="B59" s="120" t="s">
        <v>39</v>
      </c>
      <c r="C59" s="112" t="s">
        <v>75</v>
      </c>
      <c r="D59" s="107">
        <v>10933560</v>
      </c>
      <c r="E59" s="107">
        <v>10933559</v>
      </c>
      <c r="F59" s="107">
        <v>43200000</v>
      </c>
    </row>
    <row r="60" spans="1:6" ht="210">
      <c r="A60" s="104">
        <v>8</v>
      </c>
      <c r="B60" s="118" t="s">
        <v>390</v>
      </c>
      <c r="C60" s="106" t="s">
        <v>76</v>
      </c>
      <c r="D60" s="107">
        <v>42924466</v>
      </c>
      <c r="E60" s="107">
        <v>46889959</v>
      </c>
      <c r="F60" s="107">
        <v>142737439</v>
      </c>
    </row>
    <row r="61" spans="1:6">
      <c r="A61" s="108" t="s">
        <v>657</v>
      </c>
      <c r="B61" s="108" t="s">
        <v>657</v>
      </c>
      <c r="C61" s="108" t="s">
        <v>657</v>
      </c>
      <c r="D61" s="109" t="s">
        <v>657</v>
      </c>
      <c r="E61" s="109" t="s">
        <v>657</v>
      </c>
      <c r="F61" s="109" t="s">
        <v>657</v>
      </c>
    </row>
    <row r="62" spans="1:6" ht="39" customHeight="1">
      <c r="A62" s="117"/>
      <c r="B62" s="119" t="s">
        <v>353</v>
      </c>
      <c r="C62" s="112" t="s">
        <v>77</v>
      </c>
      <c r="D62" s="107">
        <v>42924466</v>
      </c>
      <c r="E62" s="107">
        <v>46889959</v>
      </c>
      <c r="F62" s="107">
        <v>142737439</v>
      </c>
    </row>
    <row r="63" spans="1:6" ht="39" customHeight="1">
      <c r="A63" s="117"/>
      <c r="B63" s="119" t="s">
        <v>201</v>
      </c>
      <c r="C63" s="112" t="s">
        <v>78</v>
      </c>
      <c r="D63" s="107">
        <v>0</v>
      </c>
      <c r="E63" s="107">
        <v>0</v>
      </c>
      <c r="F63" s="107">
        <v>0</v>
      </c>
    </row>
    <row r="64" spans="1:6" s="103" customFormat="1" ht="54" customHeight="1">
      <c r="A64" s="117"/>
      <c r="B64" s="119" t="s">
        <v>391</v>
      </c>
      <c r="C64" s="112" t="s">
        <v>79</v>
      </c>
      <c r="D64" s="107">
        <v>0</v>
      </c>
      <c r="E64" s="107">
        <v>0</v>
      </c>
      <c r="F64" s="107">
        <v>0</v>
      </c>
    </row>
    <row r="65" spans="1:6" s="103" customFormat="1" ht="45">
      <c r="A65" s="117"/>
      <c r="B65" s="120" t="s">
        <v>354</v>
      </c>
      <c r="C65" s="112" t="s">
        <v>80</v>
      </c>
      <c r="D65" s="107">
        <v>0</v>
      </c>
      <c r="E65" s="107">
        <v>0</v>
      </c>
      <c r="F65" s="107">
        <v>0</v>
      </c>
    </row>
    <row r="66" spans="1:6" ht="39.5" customHeight="1">
      <c r="A66" s="117"/>
      <c r="B66" s="120" t="s">
        <v>666</v>
      </c>
      <c r="C66" s="112" t="s">
        <v>81</v>
      </c>
      <c r="D66" s="107">
        <v>0</v>
      </c>
      <c r="E66" s="107">
        <v>0</v>
      </c>
      <c r="F66" s="107">
        <v>0</v>
      </c>
    </row>
    <row r="67" spans="1:6" ht="70" customHeight="1">
      <c r="A67" s="104">
        <v>9</v>
      </c>
      <c r="B67" s="105" t="s">
        <v>392</v>
      </c>
      <c r="C67" s="106" t="s">
        <v>82</v>
      </c>
      <c r="D67" s="107">
        <v>243539829</v>
      </c>
      <c r="E67" s="107">
        <v>313483432</v>
      </c>
      <c r="F67" s="107">
        <v>770495036</v>
      </c>
    </row>
    <row r="68" spans="1:6" s="103" customFormat="1">
      <c r="A68" s="108" t="s">
        <v>657</v>
      </c>
      <c r="B68" s="108" t="s">
        <v>657</v>
      </c>
      <c r="C68" s="108" t="s">
        <v>657</v>
      </c>
      <c r="D68" s="109" t="s">
        <v>657</v>
      </c>
      <c r="E68" s="109" t="s">
        <v>657</v>
      </c>
      <c r="F68" s="109" t="s">
        <v>657</v>
      </c>
    </row>
    <row r="69" spans="1:6" s="103" customFormat="1" ht="35" customHeight="1">
      <c r="A69" s="117"/>
      <c r="B69" s="111" t="s">
        <v>41</v>
      </c>
      <c r="C69" s="112" t="s">
        <v>83</v>
      </c>
      <c r="D69" s="107">
        <v>241089279</v>
      </c>
      <c r="E69" s="107">
        <v>309729513</v>
      </c>
      <c r="F69" s="107">
        <v>758459498</v>
      </c>
    </row>
    <row r="70" spans="1:6" s="103" customFormat="1" ht="35" customHeight="1">
      <c r="A70" s="117"/>
      <c r="B70" s="111" t="s">
        <v>42</v>
      </c>
      <c r="C70" s="112" t="s">
        <v>84</v>
      </c>
      <c r="D70" s="107">
        <v>2450550</v>
      </c>
      <c r="E70" s="107">
        <v>453919</v>
      </c>
      <c r="F70" s="107">
        <v>3735538</v>
      </c>
    </row>
    <row r="71" spans="1:6" ht="35" customHeight="1">
      <c r="A71" s="117"/>
      <c r="B71" s="111" t="s">
        <v>43</v>
      </c>
      <c r="C71" s="112" t="s">
        <v>85</v>
      </c>
      <c r="D71" s="107">
        <v>0</v>
      </c>
      <c r="E71" s="107">
        <v>3300000</v>
      </c>
      <c r="F71" s="107">
        <v>8300000</v>
      </c>
    </row>
    <row r="72" spans="1:6" ht="35" customHeight="1">
      <c r="A72" s="104">
        <v>10</v>
      </c>
      <c r="B72" s="105" t="s">
        <v>667</v>
      </c>
      <c r="C72" s="106" t="s">
        <v>86</v>
      </c>
      <c r="D72" s="107">
        <v>12990846</v>
      </c>
      <c r="E72" s="107">
        <v>18015496</v>
      </c>
      <c r="F72" s="107">
        <v>73598850</v>
      </c>
    </row>
    <row r="73" spans="1:6">
      <c r="A73" s="108" t="s">
        <v>657</v>
      </c>
      <c r="B73" s="108" t="s">
        <v>657</v>
      </c>
      <c r="C73" s="108" t="s">
        <v>657</v>
      </c>
      <c r="D73" s="109" t="s">
        <v>657</v>
      </c>
      <c r="E73" s="109" t="s">
        <v>657</v>
      </c>
      <c r="F73" s="109" t="s">
        <v>657</v>
      </c>
    </row>
    <row r="74" spans="1:6" ht="35" customHeight="1">
      <c r="A74" s="104"/>
      <c r="B74" s="111" t="s">
        <v>44</v>
      </c>
      <c r="C74" s="112" t="s">
        <v>87</v>
      </c>
      <c r="D74" s="107">
        <v>0</v>
      </c>
      <c r="E74" s="107">
        <v>0</v>
      </c>
      <c r="F74" s="107">
        <v>0</v>
      </c>
    </row>
    <row r="75" spans="1:6" ht="35" customHeight="1">
      <c r="A75" s="104"/>
      <c r="B75" s="111" t="s">
        <v>393</v>
      </c>
      <c r="C75" s="112" t="s">
        <v>88</v>
      </c>
      <c r="D75" s="107">
        <v>0</v>
      </c>
      <c r="E75" s="107">
        <v>0</v>
      </c>
      <c r="F75" s="107">
        <v>0</v>
      </c>
    </row>
    <row r="76" spans="1:6" ht="35" customHeight="1">
      <c r="A76" s="104"/>
      <c r="B76" s="111" t="s">
        <v>45</v>
      </c>
      <c r="C76" s="112" t="s">
        <v>89</v>
      </c>
      <c r="D76" s="107">
        <v>1885246</v>
      </c>
      <c r="E76" s="107">
        <v>1885246</v>
      </c>
      <c r="F76" s="107">
        <v>7500000</v>
      </c>
    </row>
    <row r="77" spans="1:6" ht="35" customHeight="1">
      <c r="A77" s="104"/>
      <c r="B77" s="111" t="s">
        <v>46</v>
      </c>
      <c r="C77" s="112" t="s">
        <v>90</v>
      </c>
      <c r="D77" s="107">
        <v>11105600</v>
      </c>
      <c r="E77" s="107">
        <v>14583250</v>
      </c>
      <c r="F77" s="107">
        <v>63451850</v>
      </c>
    </row>
    <row r="78" spans="1:6" ht="35" customHeight="1">
      <c r="A78" s="104"/>
      <c r="B78" s="111" t="s">
        <v>394</v>
      </c>
      <c r="C78" s="112" t="s">
        <v>91</v>
      </c>
      <c r="D78" s="107">
        <v>0</v>
      </c>
      <c r="E78" s="107">
        <v>0</v>
      </c>
      <c r="F78" s="107">
        <v>0</v>
      </c>
    </row>
    <row r="79" spans="1:6" ht="35" customHeight="1">
      <c r="A79" s="104"/>
      <c r="B79" s="111" t="s">
        <v>43</v>
      </c>
      <c r="C79" s="112" t="s">
        <v>92</v>
      </c>
      <c r="D79" s="107">
        <v>0</v>
      </c>
      <c r="E79" s="107">
        <v>1547000</v>
      </c>
      <c r="F79" s="107">
        <v>1547000</v>
      </c>
    </row>
    <row r="80" spans="1:6" ht="52.5" customHeight="1">
      <c r="A80" s="104"/>
      <c r="B80" s="111" t="s">
        <v>775</v>
      </c>
      <c r="C80" s="112" t="s">
        <v>93</v>
      </c>
      <c r="D80" s="107">
        <v>0</v>
      </c>
      <c r="E80" s="107">
        <v>0</v>
      </c>
      <c r="F80" s="107">
        <v>1100000</v>
      </c>
    </row>
    <row r="81" spans="1:6" ht="67.5" customHeight="1">
      <c r="A81" s="121" t="s">
        <v>26</v>
      </c>
      <c r="B81" s="100" t="s">
        <v>395</v>
      </c>
      <c r="C81" s="101" t="s">
        <v>94</v>
      </c>
      <c r="D81" s="116">
        <v>25380042182</v>
      </c>
      <c r="E81" s="116">
        <v>21645596646</v>
      </c>
      <c r="F81" s="116">
        <v>76636125670</v>
      </c>
    </row>
    <row r="82" spans="1:6" ht="41.5" customHeight="1">
      <c r="A82" s="121" t="s">
        <v>27</v>
      </c>
      <c r="B82" s="100" t="s">
        <v>356</v>
      </c>
      <c r="C82" s="101" t="s">
        <v>95</v>
      </c>
      <c r="D82" s="116">
        <v>2295059007</v>
      </c>
      <c r="E82" s="116">
        <v>-350655931</v>
      </c>
      <c r="F82" s="116">
        <v>5087561936</v>
      </c>
    </row>
    <row r="83" spans="1:6" ht="69" customHeight="1">
      <c r="A83" s="104">
        <v>1</v>
      </c>
      <c r="B83" s="105" t="s">
        <v>668</v>
      </c>
      <c r="C83" s="106" t="s">
        <v>96</v>
      </c>
      <c r="D83" s="107">
        <v>2605392376</v>
      </c>
      <c r="E83" s="107">
        <v>1770599471</v>
      </c>
      <c r="F83" s="107">
        <v>6377328833</v>
      </c>
    </row>
    <row r="84" spans="1:6" ht="53" customHeight="1">
      <c r="A84" s="104">
        <v>2</v>
      </c>
      <c r="B84" s="105" t="s">
        <v>47</v>
      </c>
      <c r="C84" s="106" t="s">
        <v>97</v>
      </c>
      <c r="D84" s="107">
        <v>-310333369</v>
      </c>
      <c r="E84" s="107">
        <v>-2121255402</v>
      </c>
      <c r="F84" s="107">
        <v>-1289766897</v>
      </c>
    </row>
    <row r="85" spans="1:6" ht="119" customHeight="1">
      <c r="A85" s="121" t="s">
        <v>28</v>
      </c>
      <c r="B85" s="100" t="s">
        <v>396</v>
      </c>
      <c r="C85" s="101" t="s">
        <v>98</v>
      </c>
      <c r="D85" s="116">
        <v>27675101189</v>
      </c>
      <c r="E85" s="116">
        <v>21294940715</v>
      </c>
      <c r="F85" s="116">
        <v>81723687606</v>
      </c>
    </row>
    <row r="86" spans="1:6" ht="54.5" customHeight="1">
      <c r="A86" s="121" t="s">
        <v>29</v>
      </c>
      <c r="B86" s="100" t="s">
        <v>48</v>
      </c>
      <c r="C86" s="101" t="s">
        <v>99</v>
      </c>
      <c r="D86" s="116">
        <v>1485575178473</v>
      </c>
      <c r="E86" s="116">
        <v>1344758330774</v>
      </c>
      <c r="F86" s="116">
        <v>451596260409</v>
      </c>
    </row>
    <row r="87" spans="1:6" ht="70" customHeight="1">
      <c r="A87" s="121" t="s">
        <v>30</v>
      </c>
      <c r="B87" s="100" t="s">
        <v>706</v>
      </c>
      <c r="C87" s="101" t="s">
        <v>100</v>
      </c>
      <c r="D87" s="116">
        <v>162998870009</v>
      </c>
      <c r="E87" s="116">
        <v>140816847699</v>
      </c>
      <c r="F87" s="116">
        <v>1196977788073</v>
      </c>
    </row>
    <row r="88" spans="1:6" s="103" customFormat="1" ht="70.5" customHeight="1">
      <c r="A88" s="104">
        <v>1</v>
      </c>
      <c r="B88" s="105" t="s">
        <v>669</v>
      </c>
      <c r="C88" s="106" t="s">
        <v>101</v>
      </c>
      <c r="D88" s="107">
        <v>27675101189</v>
      </c>
      <c r="E88" s="107">
        <v>21294940715</v>
      </c>
      <c r="F88" s="107">
        <v>81723687606</v>
      </c>
    </row>
    <row r="89" spans="1:6" ht="89" customHeight="1">
      <c r="A89" s="104">
        <v>2</v>
      </c>
      <c r="B89" s="105" t="s">
        <v>670</v>
      </c>
      <c r="C89" s="106" t="s">
        <v>102</v>
      </c>
      <c r="D89" s="107">
        <v>0</v>
      </c>
      <c r="E89" s="107">
        <v>0</v>
      </c>
      <c r="F89" s="107">
        <v>0</v>
      </c>
    </row>
    <row r="90" spans="1:6" ht="70" customHeight="1">
      <c r="A90" s="104">
        <v>3</v>
      </c>
      <c r="B90" s="105" t="s">
        <v>671</v>
      </c>
      <c r="C90" s="106" t="s">
        <v>103</v>
      </c>
      <c r="D90" s="107">
        <v>135323768820</v>
      </c>
      <c r="E90" s="107">
        <v>119521906984</v>
      </c>
      <c r="F90" s="107">
        <v>1115254100467</v>
      </c>
    </row>
    <row r="91" spans="1:6" ht="74" customHeight="1">
      <c r="A91" s="104"/>
      <c r="B91" s="105" t="s">
        <v>397</v>
      </c>
      <c r="C91" s="106" t="s">
        <v>672</v>
      </c>
      <c r="D91" s="107">
        <v>512421664397</v>
      </c>
      <c r="E91" s="107">
        <v>426233716431</v>
      </c>
      <c r="F91" s="107">
        <v>2142176039473</v>
      </c>
    </row>
    <row r="92" spans="1:6" ht="70.5" customHeight="1">
      <c r="A92" s="104"/>
      <c r="B92" s="105" t="s">
        <v>398</v>
      </c>
      <c r="C92" s="106" t="s">
        <v>673</v>
      </c>
      <c r="D92" s="107">
        <v>-377097895577</v>
      </c>
      <c r="E92" s="107">
        <v>-306711809447</v>
      </c>
      <c r="F92" s="107">
        <v>-1026921939006</v>
      </c>
    </row>
    <row r="93" spans="1:6" s="122" customFormat="1" ht="45.5" customHeight="1">
      <c r="A93" s="99" t="s">
        <v>31</v>
      </c>
      <c r="B93" s="100" t="s">
        <v>49</v>
      </c>
      <c r="C93" s="101" t="s">
        <v>104</v>
      </c>
      <c r="D93" s="116">
        <v>1648574048482</v>
      </c>
      <c r="E93" s="116">
        <v>1485575178473</v>
      </c>
      <c r="F93" s="116">
        <v>1648574048482</v>
      </c>
    </row>
    <row r="94" spans="1:6" ht="72" customHeight="1">
      <c r="A94" s="99" t="s">
        <v>32</v>
      </c>
      <c r="B94" s="100" t="s">
        <v>357</v>
      </c>
      <c r="C94" s="101" t="s">
        <v>105</v>
      </c>
      <c r="D94" s="116">
        <v>0</v>
      </c>
      <c r="E94" s="116">
        <v>0</v>
      </c>
      <c r="F94" s="116">
        <v>0</v>
      </c>
    </row>
    <row r="95" spans="1:6" ht="69.5" customHeight="1">
      <c r="A95" s="123"/>
      <c r="B95" s="105" t="s">
        <v>358</v>
      </c>
      <c r="C95" s="106" t="s">
        <v>106</v>
      </c>
      <c r="D95" s="82">
        <v>0</v>
      </c>
      <c r="E95" s="82">
        <v>0</v>
      </c>
      <c r="F95" s="82">
        <v>0</v>
      </c>
    </row>
    <row r="96" spans="1:6" ht="16.899999999999999" customHeight="1"/>
    <row r="97" spans="1:6" ht="16.899999999999999" customHeight="1">
      <c r="A97" s="84" t="s">
        <v>10</v>
      </c>
      <c r="D97" s="127"/>
      <c r="E97" s="84" t="s">
        <v>11</v>
      </c>
    </row>
    <row r="98" spans="1:6" ht="16.899999999999999" customHeight="1">
      <c r="A98" s="86" t="s">
        <v>12</v>
      </c>
      <c r="D98" s="128"/>
      <c r="E98" s="86" t="s">
        <v>13</v>
      </c>
    </row>
    <row r="99" spans="1:6" ht="16.899999999999999" customHeight="1">
      <c r="A99" s="86"/>
      <c r="D99" s="128"/>
      <c r="E99" s="86"/>
    </row>
    <row r="100" spans="1:6" ht="16.899999999999999" customHeight="1">
      <c r="A100" s="86"/>
      <c r="D100" s="128"/>
      <c r="E100" s="86"/>
    </row>
    <row r="101" spans="1:6" ht="16.899999999999999" customHeight="1">
      <c r="A101" s="86"/>
      <c r="D101" s="128"/>
      <c r="E101" s="86"/>
    </row>
    <row r="102" spans="1:6" ht="16.899999999999999" customHeight="1">
      <c r="A102" s="86"/>
      <c r="D102" s="128"/>
      <c r="E102" s="86"/>
    </row>
    <row r="103" spans="1:6" ht="16.899999999999999" customHeight="1">
      <c r="D103" s="129"/>
    </row>
    <row r="104" spans="1:6" ht="16.899999999999999" customHeight="1">
      <c r="D104" s="129"/>
    </row>
    <row r="105" spans="1:6" ht="16.899999999999999" customHeight="1">
      <c r="A105" s="124" t="s">
        <v>14</v>
      </c>
      <c r="B105" s="125"/>
      <c r="D105" s="130"/>
      <c r="E105" s="124" t="s">
        <v>1303</v>
      </c>
      <c r="F105" s="125"/>
    </row>
    <row r="106" spans="1:6" ht="16.899999999999999" customHeight="1">
      <c r="A106" s="126" t="s">
        <v>1309</v>
      </c>
      <c r="D106" s="130"/>
      <c r="E106" s="126" t="s">
        <v>1310</v>
      </c>
    </row>
    <row r="107" spans="1:6" ht="16.899999999999999" customHeight="1">
      <c r="A107" s="65" t="s">
        <v>1311</v>
      </c>
      <c r="D107" s="129"/>
      <c r="E107" s="65" t="s">
        <v>1312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90"/>
  <sheetViews>
    <sheetView view="pageBreakPreview" topLeftCell="A74" zoomScale="80" zoomScaleNormal="100" zoomScaleSheetLayoutView="80" workbookViewId="0">
      <selection activeCell="D81" sqref="D81"/>
    </sheetView>
  </sheetViews>
  <sheetFormatPr defaultColWidth="8.7265625" defaultRowHeight="15"/>
  <cols>
    <col min="1" max="1" width="9" style="65" customWidth="1"/>
    <col min="2" max="2" width="39.81640625" style="65" customWidth="1"/>
    <col min="3" max="3" width="9.26953125" style="65" customWidth="1"/>
    <col min="4" max="4" width="28" style="65" customWidth="1"/>
    <col min="5" max="5" width="33.81640625" style="65" customWidth="1"/>
    <col min="6" max="6" width="32.1796875" style="65" customWidth="1"/>
    <col min="7" max="7" width="28.54296875" style="65" customWidth="1"/>
    <col min="8" max="16384" width="8.7265625" style="131"/>
  </cols>
  <sheetData>
    <row r="1" spans="1:7" ht="44.25" customHeight="1">
      <c r="A1" s="233" t="s">
        <v>701</v>
      </c>
      <c r="B1" s="233"/>
      <c r="C1" s="233"/>
      <c r="D1" s="233"/>
      <c r="E1" s="233"/>
      <c r="F1" s="233"/>
      <c r="G1" s="233"/>
    </row>
    <row r="2" spans="1:7" ht="59.25" customHeight="1">
      <c r="A2" s="234" t="s">
        <v>702</v>
      </c>
      <c r="B2" s="234"/>
      <c r="C2" s="234"/>
      <c r="D2" s="234"/>
      <c r="E2" s="234"/>
      <c r="F2" s="234"/>
      <c r="G2" s="234"/>
    </row>
    <row r="3" spans="1:7" ht="15" customHeight="1">
      <c r="A3" s="235" t="s">
        <v>652</v>
      </c>
      <c r="B3" s="235"/>
      <c r="C3" s="235"/>
      <c r="D3" s="235"/>
      <c r="E3" s="235"/>
      <c r="F3" s="235"/>
      <c r="G3" s="235"/>
    </row>
    <row r="4" spans="1:7" ht="27.4" customHeight="1">
      <c r="A4" s="235"/>
      <c r="B4" s="235"/>
      <c r="C4" s="235"/>
      <c r="D4" s="235"/>
      <c r="E4" s="235"/>
      <c r="F4" s="235"/>
      <c r="G4" s="235"/>
    </row>
    <row r="5" spans="1:7" ht="16.899999999999999" customHeight="1">
      <c r="A5" s="236" t="str">
        <f>TONGQUAN!C1</f>
        <v>Tại ngày 31 tháng 12 năm 2024
/ As at 31 Dec 2024</v>
      </c>
      <c r="B5" s="236"/>
      <c r="C5" s="236"/>
      <c r="D5" s="236"/>
      <c r="E5" s="236"/>
      <c r="F5" s="236"/>
      <c r="G5" s="236"/>
    </row>
    <row r="6" spans="1:7" ht="16.899999999999999" customHeight="1"/>
    <row r="7" spans="1:7" ht="16.899999999999999" customHeight="1">
      <c r="A7" s="94" t="s">
        <v>2</v>
      </c>
      <c r="C7" s="237" t="str">
        <f>TONGQUAN!D5</f>
        <v>Công ty Cổ phần Quản lý Quỹ Đầu tư Dragon Capital Việt Nam</v>
      </c>
      <c r="D7" s="237"/>
      <c r="E7" s="237"/>
      <c r="F7" s="237"/>
      <c r="G7" s="237"/>
    </row>
    <row r="8" spans="1:7" ht="16.899999999999999" customHeight="1">
      <c r="A8" s="65" t="s">
        <v>15</v>
      </c>
      <c r="C8" s="232" t="str">
        <f>TONGQUAN!D6</f>
        <v>Dragon Capital Vietfund Management Joint Stock Company</v>
      </c>
      <c r="D8" s="232"/>
      <c r="E8" s="232"/>
      <c r="F8" s="232"/>
      <c r="G8" s="232"/>
    </row>
    <row r="9" spans="1:7" ht="16.899999999999999" customHeight="1">
      <c r="A9" s="94" t="s">
        <v>3</v>
      </c>
      <c r="C9" s="237" t="str">
        <f>TONGQUAN!D7</f>
        <v>Ngân hàng TNHH Một thành viên Standard Chartered (Việt Nam)</v>
      </c>
      <c r="D9" s="237"/>
      <c r="E9" s="237"/>
      <c r="F9" s="237"/>
      <c r="G9" s="237"/>
    </row>
    <row r="10" spans="1:7" ht="16.899999999999999" customHeight="1">
      <c r="A10" s="65" t="s">
        <v>4</v>
      </c>
      <c r="C10" s="232" t="str">
        <f>TONGQUAN!D8</f>
        <v>Standard Chartered Bank (Vietnam) Limited</v>
      </c>
      <c r="D10" s="232"/>
      <c r="E10" s="232"/>
      <c r="F10" s="232"/>
      <c r="G10" s="232"/>
    </row>
    <row r="11" spans="1:7" ht="16.899999999999999" customHeight="1">
      <c r="A11" s="94" t="s">
        <v>5</v>
      </c>
      <c r="C11" s="237" t="str">
        <f>TONGQUAN!D9</f>
        <v>Quỹ Đầu tư Trái phiếu DC</v>
      </c>
      <c r="D11" s="237"/>
      <c r="E11" s="237"/>
      <c r="F11" s="237"/>
      <c r="G11" s="237"/>
    </row>
    <row r="12" spans="1:7" ht="16.899999999999999" customHeight="1">
      <c r="A12" s="65" t="s">
        <v>6</v>
      </c>
      <c r="C12" s="232" t="str">
        <f>TONGQUAN!D10</f>
        <v>DC Bond Fund (DCBF)</v>
      </c>
      <c r="D12" s="232"/>
      <c r="E12" s="232"/>
      <c r="F12" s="232"/>
      <c r="G12" s="232"/>
    </row>
    <row r="13" spans="1:7" ht="16.899999999999999" customHeight="1">
      <c r="A13" s="94" t="s">
        <v>7</v>
      </c>
      <c r="C13" s="237" t="str">
        <f>TONGQUAN!D11</f>
        <v>Ngày 07 tháng 01 năm 2025</v>
      </c>
      <c r="D13" s="237"/>
      <c r="E13" s="237"/>
      <c r="F13" s="237"/>
      <c r="G13" s="237"/>
    </row>
    <row r="14" spans="1:7" ht="16.899999999999999" customHeight="1">
      <c r="A14" s="65" t="s">
        <v>8</v>
      </c>
      <c r="C14" s="232" t="str">
        <f>TONGQUAN!D12</f>
        <v>07 Jan 2025</v>
      </c>
      <c r="D14" s="232"/>
      <c r="E14" s="232"/>
      <c r="F14" s="232"/>
      <c r="G14" s="232"/>
    </row>
    <row r="15" spans="1:7" ht="18" hidden="1" customHeight="1"/>
    <row r="16" spans="1:7" ht="16.899999999999999" customHeight="1">
      <c r="A16" s="68" t="s">
        <v>699</v>
      </c>
      <c r="B16" s="69" t="s">
        <v>700</v>
      </c>
    </row>
    <row r="17" spans="1:7" ht="16.899999999999999" customHeight="1">
      <c r="A17" s="95" t="s">
        <v>26</v>
      </c>
      <c r="B17" s="96" t="s">
        <v>654</v>
      </c>
    </row>
    <row r="18" spans="1:7" ht="75.400000000000006" customHeight="1">
      <c r="A18" s="132" t="s">
        <v>234</v>
      </c>
      <c r="B18" s="132" t="s">
        <v>107</v>
      </c>
      <c r="C18" s="132" t="s">
        <v>19</v>
      </c>
      <c r="D18" s="132" t="s">
        <v>108</v>
      </c>
      <c r="E18" s="132" t="s">
        <v>109</v>
      </c>
      <c r="F18" s="132" t="s">
        <v>110</v>
      </c>
      <c r="G18" s="132" t="s">
        <v>111</v>
      </c>
    </row>
    <row r="19" spans="1:7" ht="74.5" customHeight="1">
      <c r="A19" s="75" t="s">
        <v>791</v>
      </c>
      <c r="B19" s="76" t="s">
        <v>792</v>
      </c>
      <c r="C19" s="75"/>
      <c r="D19" s="77"/>
      <c r="E19" s="77"/>
      <c r="F19" s="77"/>
      <c r="G19" s="78"/>
    </row>
    <row r="20" spans="1:7" ht="39" customHeight="1">
      <c r="A20" s="79"/>
      <c r="B20" s="80"/>
      <c r="C20" s="133"/>
      <c r="D20" s="81"/>
      <c r="E20" s="134"/>
      <c r="F20" s="81"/>
      <c r="G20" s="82"/>
    </row>
    <row r="21" spans="1:7" ht="39" customHeight="1">
      <c r="A21" s="75"/>
      <c r="B21" s="76" t="s">
        <v>793</v>
      </c>
      <c r="C21" s="75" t="s">
        <v>794</v>
      </c>
      <c r="D21" s="77"/>
      <c r="E21" s="77"/>
      <c r="F21" s="77"/>
      <c r="G21" s="78"/>
    </row>
    <row r="22" spans="1:7" ht="103" customHeight="1">
      <c r="A22" s="75" t="s">
        <v>795</v>
      </c>
      <c r="B22" s="76" t="s">
        <v>796</v>
      </c>
      <c r="C22" s="75" t="s">
        <v>797</v>
      </c>
      <c r="D22" s="77"/>
      <c r="E22" s="77"/>
      <c r="F22" s="77"/>
      <c r="G22" s="78"/>
    </row>
    <row r="23" spans="1:7" ht="39" customHeight="1">
      <c r="A23" s="79"/>
      <c r="B23" s="80"/>
      <c r="C23" s="133"/>
      <c r="D23" s="81"/>
      <c r="E23" s="134"/>
      <c r="F23" s="81"/>
      <c r="G23" s="82"/>
    </row>
    <row r="24" spans="1:7" ht="39" customHeight="1">
      <c r="A24" s="75"/>
      <c r="B24" s="76" t="s">
        <v>798</v>
      </c>
      <c r="C24" s="75" t="s">
        <v>799</v>
      </c>
      <c r="D24" s="77"/>
      <c r="E24" s="77"/>
      <c r="F24" s="77"/>
      <c r="G24" s="78"/>
    </row>
    <row r="25" spans="1:7" ht="99.5" customHeight="1">
      <c r="A25" s="75" t="s">
        <v>800</v>
      </c>
      <c r="B25" s="76" t="s">
        <v>801</v>
      </c>
      <c r="C25" s="75" t="s">
        <v>802</v>
      </c>
      <c r="D25" s="77"/>
      <c r="E25" s="77"/>
      <c r="F25" s="77"/>
      <c r="G25" s="78"/>
    </row>
    <row r="26" spans="1:7" ht="39" customHeight="1">
      <c r="A26" s="79"/>
      <c r="B26" s="80"/>
      <c r="C26" s="133"/>
      <c r="D26" s="81"/>
      <c r="E26" s="134"/>
      <c r="F26" s="81"/>
      <c r="G26" s="82"/>
    </row>
    <row r="27" spans="1:7" ht="39" customHeight="1">
      <c r="A27" s="75"/>
      <c r="B27" s="76" t="s">
        <v>803</v>
      </c>
      <c r="C27" s="75" t="s">
        <v>804</v>
      </c>
      <c r="D27" s="77"/>
      <c r="E27" s="77"/>
      <c r="F27" s="77">
        <v>0</v>
      </c>
      <c r="G27" s="78">
        <v>0</v>
      </c>
    </row>
    <row r="28" spans="1:7" ht="39" customHeight="1">
      <c r="A28" s="75" t="s">
        <v>805</v>
      </c>
      <c r="B28" s="76" t="s">
        <v>806</v>
      </c>
      <c r="C28" s="75" t="s">
        <v>807</v>
      </c>
      <c r="D28" s="77"/>
      <c r="E28" s="77"/>
      <c r="F28" s="77"/>
      <c r="G28" s="78"/>
    </row>
    <row r="29" spans="1:7" ht="39" customHeight="1">
      <c r="A29" s="79"/>
      <c r="B29" s="80"/>
      <c r="C29" s="133"/>
      <c r="D29" s="81"/>
      <c r="E29" s="134"/>
      <c r="F29" s="81"/>
      <c r="G29" s="82"/>
    </row>
    <row r="30" spans="1:7" ht="39" customHeight="1">
      <c r="A30" s="79" t="s">
        <v>808</v>
      </c>
      <c r="B30" s="80" t="s">
        <v>809</v>
      </c>
      <c r="C30" s="133" t="s">
        <v>810</v>
      </c>
      <c r="D30" s="81"/>
      <c r="E30" s="134"/>
      <c r="F30" s="81">
        <v>803804814079</v>
      </c>
      <c r="G30" s="82">
        <v>0.476249571451002</v>
      </c>
    </row>
    <row r="31" spans="1:7" ht="34" customHeight="1">
      <c r="A31" s="79" t="s">
        <v>811</v>
      </c>
      <c r="B31" s="80" t="s">
        <v>812</v>
      </c>
      <c r="C31" s="133" t="s">
        <v>813</v>
      </c>
      <c r="D31" s="81">
        <v>390000</v>
      </c>
      <c r="E31" s="134">
        <v>100539.325</v>
      </c>
      <c r="F31" s="81">
        <v>39210336750</v>
      </c>
      <c r="G31" s="82">
        <v>2.32318913081325E-2</v>
      </c>
    </row>
    <row r="32" spans="1:7" ht="34" customHeight="1">
      <c r="A32" s="79" t="s">
        <v>814</v>
      </c>
      <c r="B32" s="80" t="s">
        <v>815</v>
      </c>
      <c r="C32" s="133" t="s">
        <v>816</v>
      </c>
      <c r="D32" s="81">
        <v>452357</v>
      </c>
      <c r="E32" s="134">
        <v>100750.686</v>
      </c>
      <c r="F32" s="81">
        <v>45575278067</v>
      </c>
      <c r="G32" s="82">
        <v>2.7003081180894398E-2</v>
      </c>
    </row>
    <row r="33" spans="1:7" ht="34" customHeight="1">
      <c r="A33" s="79" t="s">
        <v>817</v>
      </c>
      <c r="B33" s="80" t="s">
        <v>818</v>
      </c>
      <c r="C33" s="133" t="s">
        <v>819</v>
      </c>
      <c r="D33" s="81">
        <v>993</v>
      </c>
      <c r="E33" s="134">
        <v>100055449</v>
      </c>
      <c r="F33" s="81">
        <v>99355060857</v>
      </c>
      <c r="G33" s="82">
        <v>5.8867282611203602E-2</v>
      </c>
    </row>
    <row r="34" spans="1:7" ht="34" customHeight="1">
      <c r="A34" s="79" t="s">
        <v>820</v>
      </c>
      <c r="B34" s="80" t="s">
        <v>821</v>
      </c>
      <c r="C34" s="133" t="s">
        <v>822</v>
      </c>
      <c r="D34" s="81">
        <v>100000</v>
      </c>
      <c r="E34" s="134">
        <v>100571.288</v>
      </c>
      <c r="F34" s="81">
        <v>10057128800</v>
      </c>
      <c r="G34" s="82">
        <v>5.9587889959524304E-3</v>
      </c>
    </row>
    <row r="35" spans="1:7" ht="34" customHeight="1">
      <c r="A35" s="79" t="s">
        <v>823</v>
      </c>
      <c r="B35" s="80" t="s">
        <v>824</v>
      </c>
      <c r="C35" s="133" t="s">
        <v>825</v>
      </c>
      <c r="D35" s="81">
        <v>1000000</v>
      </c>
      <c r="E35" s="134">
        <v>99787.479000000007</v>
      </c>
      <c r="F35" s="81">
        <v>99787479000</v>
      </c>
      <c r="G35" s="82">
        <v>5.9123487788983499E-2</v>
      </c>
    </row>
    <row r="36" spans="1:7" ht="34" customHeight="1">
      <c r="A36" s="79" t="s">
        <v>826</v>
      </c>
      <c r="B36" s="80" t="s">
        <v>827</v>
      </c>
      <c r="C36" s="133" t="s">
        <v>828</v>
      </c>
      <c r="D36" s="81">
        <v>400230</v>
      </c>
      <c r="E36" s="134">
        <v>99943.095998999997</v>
      </c>
      <c r="F36" s="81">
        <v>40000225312</v>
      </c>
      <c r="G36" s="82">
        <v>2.36998955829981E-2</v>
      </c>
    </row>
    <row r="37" spans="1:7" ht="34" customHeight="1">
      <c r="A37" s="79" t="s">
        <v>829</v>
      </c>
      <c r="B37" s="80" t="s">
        <v>830</v>
      </c>
      <c r="C37" s="133" t="s">
        <v>831</v>
      </c>
      <c r="D37" s="81">
        <v>500000</v>
      </c>
      <c r="E37" s="134">
        <v>99645.297000000006</v>
      </c>
      <c r="F37" s="81">
        <v>49822648500</v>
      </c>
      <c r="G37" s="82">
        <v>2.9519622899828599E-2</v>
      </c>
    </row>
    <row r="38" spans="1:7" ht="34" customHeight="1">
      <c r="A38" s="79" t="s">
        <v>832</v>
      </c>
      <c r="B38" s="80" t="s">
        <v>833</v>
      </c>
      <c r="C38" s="133" t="s">
        <v>834</v>
      </c>
      <c r="D38" s="81">
        <v>250000</v>
      </c>
      <c r="E38" s="134">
        <v>99644.331999999995</v>
      </c>
      <c r="F38" s="81">
        <v>24911083000</v>
      </c>
      <c r="G38" s="82">
        <v>1.4759668510724199E-2</v>
      </c>
    </row>
    <row r="39" spans="1:7" ht="34" customHeight="1">
      <c r="A39" s="79" t="s">
        <v>835</v>
      </c>
      <c r="B39" s="80" t="s">
        <v>836</v>
      </c>
      <c r="C39" s="133" t="s">
        <v>837</v>
      </c>
      <c r="D39" s="81">
        <v>1100000</v>
      </c>
      <c r="E39" s="134">
        <v>101016.372</v>
      </c>
      <c r="F39" s="81">
        <v>111118009200</v>
      </c>
      <c r="G39" s="82">
        <v>6.58367595404665E-2</v>
      </c>
    </row>
    <row r="40" spans="1:7" ht="34" customHeight="1">
      <c r="A40" s="79" t="s">
        <v>838</v>
      </c>
      <c r="B40" s="80" t="s">
        <v>839</v>
      </c>
      <c r="C40" s="133" t="s">
        <v>840</v>
      </c>
      <c r="D40" s="81">
        <v>220480</v>
      </c>
      <c r="E40" s="134">
        <v>98098.339999000003</v>
      </c>
      <c r="F40" s="81">
        <v>21628722003</v>
      </c>
      <c r="G40" s="82">
        <v>1.2814889142912299E-2</v>
      </c>
    </row>
    <row r="41" spans="1:7" ht="34" customHeight="1">
      <c r="A41" s="79" t="s">
        <v>841</v>
      </c>
      <c r="B41" s="80" t="s">
        <v>842</v>
      </c>
      <c r="C41" s="133" t="s">
        <v>843</v>
      </c>
      <c r="D41" s="81">
        <v>380000</v>
      </c>
      <c r="E41" s="134">
        <v>99662.45</v>
      </c>
      <c r="F41" s="81">
        <v>37871731000</v>
      </c>
      <c r="G41" s="82">
        <v>2.2438775363051E-2</v>
      </c>
    </row>
    <row r="42" spans="1:7" ht="34" customHeight="1">
      <c r="A42" s="79" t="s">
        <v>844</v>
      </c>
      <c r="B42" s="80" t="s">
        <v>845</v>
      </c>
      <c r="C42" s="133" t="s">
        <v>846</v>
      </c>
      <c r="D42" s="81">
        <v>654430</v>
      </c>
      <c r="E42" s="134">
        <v>100317.725999</v>
      </c>
      <c r="F42" s="81">
        <v>65650929426</v>
      </c>
      <c r="G42" s="82">
        <v>3.8897785204629998E-2</v>
      </c>
    </row>
    <row r="43" spans="1:7" ht="34" customHeight="1">
      <c r="A43" s="79" t="s">
        <v>847</v>
      </c>
      <c r="B43" s="80" t="s">
        <v>848</v>
      </c>
      <c r="C43" s="133" t="s">
        <v>849</v>
      </c>
      <c r="D43" s="81">
        <v>1383233</v>
      </c>
      <c r="E43" s="134">
        <v>100328.76700000001</v>
      </c>
      <c r="F43" s="81">
        <v>138778061364</v>
      </c>
      <c r="G43" s="82">
        <v>8.2225175930471697E-2</v>
      </c>
    </row>
    <row r="44" spans="1:7" ht="34" customHeight="1">
      <c r="A44" s="79" t="s">
        <v>850</v>
      </c>
      <c r="B44" s="80" t="s">
        <v>851</v>
      </c>
      <c r="C44" s="133" t="s">
        <v>852</v>
      </c>
      <c r="D44" s="81">
        <v>200000</v>
      </c>
      <c r="E44" s="134">
        <v>100190.60400000001</v>
      </c>
      <c r="F44" s="81">
        <v>20038120800</v>
      </c>
      <c r="G44" s="82">
        <v>1.1872467390753301E-2</v>
      </c>
    </row>
    <row r="45" spans="1:7" ht="39" customHeight="1">
      <c r="A45" s="79" t="s">
        <v>853</v>
      </c>
      <c r="B45" s="80" t="s">
        <v>854</v>
      </c>
      <c r="C45" s="133" t="s">
        <v>855</v>
      </c>
      <c r="D45" s="81"/>
      <c r="E45" s="134"/>
      <c r="F45" s="81">
        <v>153079537930</v>
      </c>
      <c r="G45" s="82">
        <v>9.0698715733139104E-2</v>
      </c>
    </row>
    <row r="46" spans="1:7" ht="34" customHeight="1">
      <c r="A46" s="79" t="s">
        <v>856</v>
      </c>
      <c r="B46" s="80" t="s">
        <v>857</v>
      </c>
      <c r="C46" s="133" t="s">
        <v>858</v>
      </c>
      <c r="D46" s="81">
        <v>360</v>
      </c>
      <c r="E46" s="134">
        <v>99965873</v>
      </c>
      <c r="F46" s="81">
        <v>35987714280</v>
      </c>
      <c r="G46" s="82">
        <v>2.1322506662253701E-2</v>
      </c>
    </row>
    <row r="47" spans="1:7" ht="34" customHeight="1">
      <c r="A47" s="79" t="s">
        <v>859</v>
      </c>
      <c r="B47" s="80" t="s">
        <v>860</v>
      </c>
      <c r="C47" s="133" t="s">
        <v>861</v>
      </c>
      <c r="D47" s="81">
        <v>75</v>
      </c>
      <c r="E47" s="134">
        <v>999709240</v>
      </c>
      <c r="F47" s="81">
        <v>74978193000</v>
      </c>
      <c r="G47" s="82">
        <v>4.4424133395288397E-2</v>
      </c>
    </row>
    <row r="48" spans="1:7" ht="34" customHeight="1">
      <c r="A48" s="79" t="s">
        <v>862</v>
      </c>
      <c r="B48" s="80" t="s">
        <v>863</v>
      </c>
      <c r="C48" s="133" t="s">
        <v>864</v>
      </c>
      <c r="D48" s="81">
        <v>35</v>
      </c>
      <c r="E48" s="134">
        <v>1003246590</v>
      </c>
      <c r="F48" s="81">
        <v>35113630650</v>
      </c>
      <c r="G48" s="82">
        <v>2.0804617310375698E-2</v>
      </c>
    </row>
    <row r="49" spans="1:7" ht="34" customHeight="1">
      <c r="A49" s="79" t="s">
        <v>865</v>
      </c>
      <c r="B49" s="80" t="s">
        <v>866</v>
      </c>
      <c r="C49" s="133" t="s">
        <v>867</v>
      </c>
      <c r="D49" s="81">
        <v>7</v>
      </c>
      <c r="E49" s="134">
        <v>1000000000</v>
      </c>
      <c r="F49" s="81">
        <v>7000000000</v>
      </c>
      <c r="G49" s="82">
        <v>4.1474583652211898E-3</v>
      </c>
    </row>
    <row r="50" spans="1:7" ht="39" customHeight="1">
      <c r="A50" s="75"/>
      <c r="B50" s="76" t="s">
        <v>868</v>
      </c>
      <c r="C50" s="75" t="s">
        <v>869</v>
      </c>
      <c r="D50" s="77"/>
      <c r="E50" s="77"/>
      <c r="F50" s="77">
        <v>956884352009</v>
      </c>
      <c r="G50" s="78">
        <v>0.56694828718414103</v>
      </c>
    </row>
    <row r="51" spans="1:7" ht="39" customHeight="1">
      <c r="A51" s="75" t="s">
        <v>870</v>
      </c>
      <c r="B51" s="76" t="s">
        <v>871</v>
      </c>
      <c r="C51" s="75" t="s">
        <v>872</v>
      </c>
      <c r="D51" s="77"/>
      <c r="E51" s="77"/>
      <c r="F51" s="77"/>
      <c r="G51" s="78"/>
    </row>
    <row r="52" spans="1:7" ht="39" customHeight="1">
      <c r="A52" s="79"/>
      <c r="B52" s="80"/>
      <c r="C52" s="133"/>
      <c r="D52" s="81"/>
      <c r="E52" s="134"/>
      <c r="F52" s="81"/>
      <c r="G52" s="82"/>
    </row>
    <row r="53" spans="1:7" ht="39" customHeight="1">
      <c r="A53" s="79" t="s">
        <v>873</v>
      </c>
      <c r="B53" s="80" t="s">
        <v>874</v>
      </c>
      <c r="C53" s="133" t="s">
        <v>875</v>
      </c>
      <c r="D53" s="81"/>
      <c r="E53" s="134"/>
      <c r="F53" s="81">
        <v>0</v>
      </c>
      <c r="G53" s="82">
        <v>0</v>
      </c>
    </row>
    <row r="54" spans="1:7" ht="39" customHeight="1">
      <c r="A54" s="79" t="s">
        <v>876</v>
      </c>
      <c r="B54" s="80" t="s">
        <v>877</v>
      </c>
      <c r="C54" s="133" t="s">
        <v>878</v>
      </c>
      <c r="D54" s="81"/>
      <c r="E54" s="134"/>
      <c r="F54" s="81">
        <v>0</v>
      </c>
      <c r="G54" s="82">
        <v>0</v>
      </c>
    </row>
    <row r="55" spans="1:7" ht="34" customHeight="1">
      <c r="A55" s="75"/>
      <c r="B55" s="76" t="s">
        <v>879</v>
      </c>
      <c r="C55" s="75" t="s">
        <v>880</v>
      </c>
      <c r="D55" s="77"/>
      <c r="E55" s="77"/>
      <c r="F55" s="77">
        <v>0</v>
      </c>
      <c r="G55" s="78">
        <v>0</v>
      </c>
    </row>
    <row r="56" spans="1:7" ht="39" customHeight="1">
      <c r="A56" s="75"/>
      <c r="B56" s="76" t="s">
        <v>881</v>
      </c>
      <c r="C56" s="75" t="s">
        <v>882</v>
      </c>
      <c r="D56" s="77"/>
      <c r="E56" s="77"/>
      <c r="F56" s="77">
        <v>956884352009</v>
      </c>
      <c r="G56" s="78">
        <v>0.56694828718414103</v>
      </c>
    </row>
    <row r="57" spans="1:7" ht="39" customHeight="1">
      <c r="A57" s="75" t="s">
        <v>883</v>
      </c>
      <c r="B57" s="76" t="s">
        <v>884</v>
      </c>
      <c r="C57" s="75" t="s">
        <v>885</v>
      </c>
      <c r="D57" s="77"/>
      <c r="E57" s="77"/>
      <c r="F57" s="77"/>
      <c r="G57" s="78"/>
    </row>
    <row r="58" spans="1:7" ht="39" customHeight="1">
      <c r="A58" s="79"/>
      <c r="B58" s="80"/>
      <c r="C58" s="133"/>
      <c r="D58" s="81"/>
      <c r="E58" s="134"/>
      <c r="F58" s="81"/>
      <c r="G58" s="82"/>
    </row>
    <row r="59" spans="1:7" ht="39" customHeight="1">
      <c r="A59" s="79" t="s">
        <v>886</v>
      </c>
      <c r="B59" s="80" t="s">
        <v>887</v>
      </c>
      <c r="C59" s="133" t="s">
        <v>888</v>
      </c>
      <c r="D59" s="81"/>
      <c r="E59" s="134"/>
      <c r="F59" s="81">
        <v>0</v>
      </c>
      <c r="G59" s="82">
        <v>0</v>
      </c>
    </row>
    <row r="60" spans="1:7" ht="39" customHeight="1">
      <c r="A60" s="79" t="s">
        <v>889</v>
      </c>
      <c r="B60" s="80" t="s">
        <v>890</v>
      </c>
      <c r="C60" s="133" t="s">
        <v>891</v>
      </c>
      <c r="D60" s="81"/>
      <c r="E60" s="134"/>
      <c r="F60" s="81">
        <v>30288039815</v>
      </c>
      <c r="G60" s="82">
        <v>1.7945483442410599E-2</v>
      </c>
    </row>
    <row r="61" spans="1:7" ht="82.5" customHeight="1">
      <c r="A61" s="79" t="s">
        <v>892</v>
      </c>
      <c r="B61" s="80" t="s">
        <v>893</v>
      </c>
      <c r="C61" s="133" t="s">
        <v>894</v>
      </c>
      <c r="D61" s="81"/>
      <c r="E61" s="134"/>
      <c r="F61" s="81">
        <v>13444436440</v>
      </c>
      <c r="G61" s="82">
        <v>7.9657486255375193E-3</v>
      </c>
    </row>
    <row r="62" spans="1:7" ht="57" customHeight="1">
      <c r="A62" s="79" t="s">
        <v>895</v>
      </c>
      <c r="B62" s="80" t="s">
        <v>896</v>
      </c>
      <c r="C62" s="133" t="s">
        <v>897</v>
      </c>
      <c r="D62" s="81"/>
      <c r="E62" s="134"/>
      <c r="F62" s="81">
        <v>0</v>
      </c>
      <c r="G62" s="82">
        <v>0</v>
      </c>
    </row>
    <row r="63" spans="1:7" ht="72.5" customHeight="1">
      <c r="A63" s="79" t="s">
        <v>898</v>
      </c>
      <c r="B63" s="80" t="s">
        <v>899</v>
      </c>
      <c r="C63" s="133" t="s">
        <v>900</v>
      </c>
      <c r="D63" s="81"/>
      <c r="E63" s="134"/>
      <c r="F63" s="81">
        <v>0</v>
      </c>
      <c r="G63" s="82">
        <v>0</v>
      </c>
    </row>
    <row r="64" spans="1:7" ht="39" customHeight="1">
      <c r="A64" s="79" t="s">
        <v>901</v>
      </c>
      <c r="B64" s="80" t="s">
        <v>902</v>
      </c>
      <c r="C64" s="133" t="s">
        <v>903</v>
      </c>
      <c r="D64" s="81"/>
      <c r="E64" s="134"/>
      <c r="F64" s="81">
        <v>0</v>
      </c>
      <c r="G64" s="82">
        <v>0</v>
      </c>
    </row>
    <row r="65" spans="1:7" ht="39" customHeight="1">
      <c r="A65" s="79" t="s">
        <v>904</v>
      </c>
      <c r="B65" s="80" t="s">
        <v>905</v>
      </c>
      <c r="C65" s="133" t="s">
        <v>906</v>
      </c>
      <c r="D65" s="81"/>
      <c r="E65" s="134"/>
      <c r="F65" s="81">
        <v>0</v>
      </c>
      <c r="G65" s="82">
        <v>0</v>
      </c>
    </row>
    <row r="66" spans="1:7" ht="39" customHeight="1">
      <c r="A66" s="75"/>
      <c r="B66" s="76" t="s">
        <v>907</v>
      </c>
      <c r="C66" s="75" t="s">
        <v>908</v>
      </c>
      <c r="D66" s="77"/>
      <c r="E66" s="77"/>
      <c r="F66" s="77">
        <v>43732476255</v>
      </c>
      <c r="G66" s="78">
        <v>2.5911232067948101E-2</v>
      </c>
    </row>
    <row r="67" spans="1:7" ht="39" customHeight="1">
      <c r="A67" s="75" t="s">
        <v>909</v>
      </c>
      <c r="B67" s="76" t="s">
        <v>910</v>
      </c>
      <c r="C67" s="75" t="s">
        <v>911</v>
      </c>
      <c r="D67" s="77"/>
      <c r="E67" s="77"/>
      <c r="F67" s="77"/>
      <c r="G67" s="78"/>
    </row>
    <row r="68" spans="1:7" ht="39" customHeight="1">
      <c r="A68" s="79" t="s">
        <v>912</v>
      </c>
      <c r="B68" s="80" t="s">
        <v>913</v>
      </c>
      <c r="C68" s="133" t="s">
        <v>914</v>
      </c>
      <c r="D68" s="81"/>
      <c r="E68" s="134"/>
      <c r="F68" s="81">
        <v>260940922040</v>
      </c>
      <c r="G68" s="82">
        <v>0.15460594427761801</v>
      </c>
    </row>
    <row r="69" spans="1:7" ht="39" customHeight="1">
      <c r="A69" s="79"/>
      <c r="B69" s="80"/>
      <c r="C69" s="133"/>
      <c r="D69" s="81"/>
      <c r="E69" s="134"/>
      <c r="F69" s="81"/>
      <c r="G69" s="82"/>
    </row>
    <row r="70" spans="1:7" ht="39" customHeight="1">
      <c r="A70" s="79" t="s">
        <v>915</v>
      </c>
      <c r="B70" s="80" t="s">
        <v>916</v>
      </c>
      <c r="C70" s="133" t="s">
        <v>917</v>
      </c>
      <c r="D70" s="81"/>
      <c r="E70" s="134"/>
      <c r="F70" s="81">
        <v>12140922040</v>
      </c>
      <c r="G70" s="82">
        <v>7.1934240966137703E-3</v>
      </c>
    </row>
    <row r="71" spans="1:7" ht="39" customHeight="1">
      <c r="A71" s="79" t="s">
        <v>918</v>
      </c>
      <c r="B71" s="80" t="s">
        <v>919</v>
      </c>
      <c r="C71" s="133" t="s">
        <v>920</v>
      </c>
      <c r="D71" s="81"/>
      <c r="E71" s="134"/>
      <c r="F71" s="81">
        <v>248800000000</v>
      </c>
      <c r="G71" s="82">
        <v>0.14741252018100501</v>
      </c>
    </row>
    <row r="72" spans="1:7" ht="67" customHeight="1">
      <c r="A72" s="79" t="s">
        <v>921</v>
      </c>
      <c r="B72" s="80" t="s">
        <v>922</v>
      </c>
      <c r="C72" s="133" t="s">
        <v>923</v>
      </c>
      <c r="D72" s="81"/>
      <c r="E72" s="134"/>
      <c r="F72" s="81">
        <v>161100000000</v>
      </c>
      <c r="G72" s="82">
        <v>9.5450791805304899E-2</v>
      </c>
    </row>
    <row r="73" spans="1:7" ht="39" customHeight="1">
      <c r="A73" s="79"/>
      <c r="B73" s="80"/>
      <c r="C73" s="133"/>
      <c r="D73" s="81"/>
      <c r="E73" s="134"/>
      <c r="F73" s="81"/>
      <c r="G73" s="82"/>
    </row>
    <row r="74" spans="1:7" ht="39" customHeight="1">
      <c r="A74" s="79" t="s">
        <v>924</v>
      </c>
      <c r="B74" s="80" t="s">
        <v>925</v>
      </c>
      <c r="C74" s="133" t="s">
        <v>926</v>
      </c>
      <c r="D74" s="81"/>
      <c r="E74" s="134"/>
      <c r="F74" s="81">
        <v>265122905603</v>
      </c>
      <c r="G74" s="82">
        <v>0.15708374466498701</v>
      </c>
    </row>
    <row r="75" spans="1:7" ht="39" customHeight="1">
      <c r="A75" s="75"/>
      <c r="B75" s="76" t="s">
        <v>927</v>
      </c>
      <c r="C75" s="75" t="s">
        <v>928</v>
      </c>
      <c r="D75" s="77"/>
      <c r="E75" s="77"/>
      <c r="F75" s="77">
        <v>687163827643</v>
      </c>
      <c r="G75" s="78">
        <v>0.40714048074791098</v>
      </c>
    </row>
    <row r="76" spans="1:7" ht="39" customHeight="1">
      <c r="A76" s="75" t="s">
        <v>929</v>
      </c>
      <c r="B76" s="76" t="s">
        <v>930</v>
      </c>
      <c r="C76" s="75" t="s">
        <v>931</v>
      </c>
      <c r="D76" s="77"/>
      <c r="E76" s="77"/>
      <c r="F76" s="77">
        <v>1687780655907</v>
      </c>
      <c r="G76" s="78">
        <v>1</v>
      </c>
    </row>
    <row r="77" spans="1:7" ht="16.899999999999999" customHeight="1">
      <c r="A77" s="135"/>
      <c r="E77" s="84"/>
    </row>
    <row r="78" spans="1:7" ht="16.899999999999999" customHeight="1">
      <c r="A78" s="84" t="s">
        <v>10</v>
      </c>
      <c r="E78" s="84" t="s">
        <v>11</v>
      </c>
    </row>
    <row r="79" spans="1:7" ht="16.899999999999999" customHeight="1">
      <c r="A79" s="86" t="s">
        <v>12</v>
      </c>
      <c r="E79" s="86" t="s">
        <v>13</v>
      </c>
    </row>
    <row r="80" spans="1:7" ht="16.899999999999999" customHeight="1"/>
    <row r="81" spans="1:7" ht="16.899999999999999" customHeight="1">
      <c r="A81" s="126"/>
      <c r="E81" s="126"/>
    </row>
    <row r="82" spans="1:7" ht="16.899999999999999" customHeight="1"/>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c r="A88" s="136" t="s">
        <v>14</v>
      </c>
      <c r="B88" s="125"/>
      <c r="C88" s="125"/>
      <c r="E88" s="136" t="s">
        <v>1303</v>
      </c>
      <c r="F88" s="125"/>
      <c r="G88" s="125"/>
    </row>
    <row r="89" spans="1:7" ht="16.899999999999999" customHeight="1">
      <c r="A89" s="137" t="s">
        <v>1309</v>
      </c>
      <c r="E89" s="137" t="s">
        <v>1310</v>
      </c>
    </row>
    <row r="90" spans="1:7" ht="16.899999999999999" customHeight="1">
      <c r="A90" s="138" t="s">
        <v>1311</v>
      </c>
      <c r="E90" s="138" t="s">
        <v>1312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9" zoomScaleNormal="85" zoomScaleSheetLayoutView="100" workbookViewId="0">
      <selection activeCell="B35" sqref="B35"/>
    </sheetView>
  </sheetViews>
  <sheetFormatPr defaultColWidth="9.1796875" defaultRowHeight="13"/>
  <cols>
    <col min="1" max="1" width="4.81640625" style="53" customWidth="1"/>
    <col min="2" max="2" width="34.453125" style="50" customWidth="1"/>
    <col min="3" max="3" width="14.453125" style="50" customWidth="1"/>
    <col min="4" max="4" width="11.81640625" style="50" customWidth="1"/>
    <col min="5" max="5" width="12.26953125" style="50" customWidth="1"/>
    <col min="6" max="6" width="12.54296875" style="50" customWidth="1"/>
    <col min="7" max="7" width="16.453125" style="50" customWidth="1"/>
    <col min="8" max="9" width="19" style="50" customWidth="1"/>
    <col min="10" max="10" width="43.54296875" style="50" customWidth="1"/>
    <col min="11" max="16384" width="9.1796875" style="50"/>
  </cols>
  <sheetData>
    <row r="1" spans="1:10" s="49" customFormat="1" ht="46.5" customHeight="1">
      <c r="A1" s="238" t="s">
        <v>701</v>
      </c>
      <c r="B1" s="238"/>
      <c r="C1" s="238"/>
      <c r="D1" s="238"/>
      <c r="E1" s="238"/>
      <c r="F1" s="238"/>
      <c r="G1" s="238"/>
      <c r="H1" s="238"/>
      <c r="I1" s="238"/>
      <c r="J1" s="238"/>
    </row>
    <row r="2" spans="1:10" ht="49" customHeight="1">
      <c r="A2" s="239" t="s">
        <v>703</v>
      </c>
      <c r="B2" s="239"/>
      <c r="C2" s="239"/>
      <c r="D2" s="239"/>
      <c r="E2" s="239"/>
      <c r="F2" s="239"/>
      <c r="G2" s="239"/>
      <c r="H2" s="239"/>
      <c r="I2" s="239"/>
      <c r="J2" s="239"/>
    </row>
    <row r="3" spans="1:10" ht="19.149999999999999" customHeight="1">
      <c r="A3" s="240" t="s">
        <v>652</v>
      </c>
      <c r="B3" s="240"/>
      <c r="C3" s="240"/>
      <c r="D3" s="240"/>
      <c r="E3" s="240"/>
      <c r="F3" s="240"/>
      <c r="G3" s="240"/>
      <c r="H3" s="240"/>
      <c r="I3" s="240"/>
      <c r="J3" s="240"/>
    </row>
    <row r="4" spans="1:10" ht="21.65" customHeight="1">
      <c r="A4" s="240"/>
      <c r="B4" s="240"/>
      <c r="C4" s="240"/>
      <c r="D4" s="240"/>
      <c r="E4" s="240"/>
      <c r="F4" s="240"/>
      <c r="G4" s="240"/>
      <c r="H4" s="240"/>
      <c r="I4" s="240"/>
      <c r="J4" s="240"/>
    </row>
    <row r="5" spans="1:10">
      <c r="A5" s="241" t="str">
        <f>TONGQUAN!C2</f>
        <v>Quý IV năm 2024
/ Quarter IV 2024</v>
      </c>
      <c r="B5" s="241"/>
      <c r="C5" s="241"/>
      <c r="D5" s="241"/>
      <c r="E5" s="241"/>
      <c r="F5" s="241"/>
      <c r="G5" s="241"/>
      <c r="H5" s="241"/>
      <c r="I5" s="241"/>
      <c r="J5" s="241"/>
    </row>
    <row r="6" spans="1:10">
      <c r="A6" s="45"/>
      <c r="B6" s="45"/>
      <c r="C6" s="45"/>
      <c r="D6" s="45"/>
      <c r="E6" s="45"/>
      <c r="F6" s="5"/>
      <c r="G6" s="51"/>
      <c r="H6" s="51"/>
      <c r="I6" s="51"/>
      <c r="J6" s="51"/>
    </row>
    <row r="7" spans="1:10">
      <c r="A7" s="242" t="s">
        <v>2</v>
      </c>
      <c r="B7" s="243"/>
      <c r="C7" s="51"/>
      <c r="D7" s="51"/>
      <c r="E7" s="51"/>
      <c r="F7" s="51"/>
      <c r="G7" s="244" t="str">
        <f>TONGQUAN!D5</f>
        <v>Công ty Cổ phần Quản lý Quỹ Đầu tư Dragon Capital Việt Nam</v>
      </c>
      <c r="H7" s="244"/>
      <c r="I7" s="244"/>
      <c r="J7" s="244"/>
    </row>
    <row r="8" spans="1:10" ht="15" customHeight="1">
      <c r="A8" s="245" t="s">
        <v>15</v>
      </c>
      <c r="B8" s="245"/>
      <c r="C8" s="51"/>
      <c r="D8" s="51"/>
      <c r="E8" s="51"/>
      <c r="F8" s="51"/>
      <c r="G8" s="246" t="str">
        <f>TONGQUAN!D6</f>
        <v>Dragon Capital Vietfund Management Joint Stock Company</v>
      </c>
      <c r="H8" s="246"/>
      <c r="I8" s="246"/>
      <c r="J8" s="246"/>
    </row>
    <row r="9" spans="1:10">
      <c r="A9" s="247" t="s">
        <v>3</v>
      </c>
      <c r="B9" s="248"/>
      <c r="C9" s="51"/>
      <c r="D9" s="51"/>
      <c r="E9" s="51"/>
      <c r="F9" s="51"/>
      <c r="G9" s="249" t="str">
        <f>TONGQUAN!D7</f>
        <v>Ngân hàng TNHH Một thành viên Standard Chartered (Việt Nam)</v>
      </c>
      <c r="H9" s="249"/>
      <c r="I9" s="249"/>
      <c r="J9" s="249"/>
    </row>
    <row r="10" spans="1:10" ht="15" customHeight="1">
      <c r="A10" s="248" t="s">
        <v>4</v>
      </c>
      <c r="B10" s="248"/>
      <c r="C10" s="51"/>
      <c r="D10" s="51"/>
      <c r="E10" s="51"/>
      <c r="F10" s="51"/>
      <c r="G10" s="246" t="str">
        <f>TONGQUAN!D8</f>
        <v>Standard Chartered Bank (Vietnam) Limited</v>
      </c>
      <c r="H10" s="246"/>
      <c r="I10" s="246"/>
      <c r="J10" s="246"/>
    </row>
    <row r="11" spans="1:10" ht="15" customHeight="1">
      <c r="A11" s="247" t="s">
        <v>5</v>
      </c>
      <c r="B11" s="250"/>
      <c r="C11" s="51"/>
      <c r="D11" s="51"/>
      <c r="E11" s="51"/>
      <c r="F11" s="51"/>
      <c r="G11" s="244" t="str">
        <f>TONGQUAN!D9</f>
        <v>Quỹ Đầu tư Trái phiếu DC</v>
      </c>
      <c r="H11" s="244"/>
      <c r="I11" s="244"/>
      <c r="J11" s="244"/>
    </row>
    <row r="12" spans="1:10" ht="15" customHeight="1">
      <c r="A12" s="6" t="s">
        <v>643</v>
      </c>
      <c r="B12" s="46"/>
      <c r="C12" s="51"/>
      <c r="D12" s="51"/>
      <c r="E12" s="51"/>
      <c r="F12" s="51"/>
      <c r="G12" s="246" t="str">
        <f>TONGQUAN!D10</f>
        <v>DC Bond Fund (DCBF)</v>
      </c>
      <c r="H12" s="246"/>
      <c r="I12" s="246"/>
      <c r="J12" s="246"/>
    </row>
    <row r="13" spans="1:10" ht="15" customHeight="1">
      <c r="A13" s="7" t="s">
        <v>7</v>
      </c>
      <c r="B13" s="8"/>
      <c r="C13" s="51"/>
      <c r="D13" s="51"/>
      <c r="E13" s="51"/>
      <c r="F13" s="51"/>
      <c r="G13" s="244" t="str">
        <f>TONGQUAN!D11</f>
        <v>Ngày 07 tháng 01 năm 2025</v>
      </c>
      <c r="H13" s="244"/>
      <c r="I13" s="244"/>
      <c r="J13" s="244"/>
    </row>
    <row r="14" spans="1:10">
      <c r="A14" s="9" t="s">
        <v>8</v>
      </c>
      <c r="B14" s="9"/>
      <c r="C14" s="11"/>
      <c r="D14" s="11"/>
      <c r="E14" s="11"/>
      <c r="F14" s="11"/>
      <c r="G14" s="251" t="str">
        <f>TONGQUAN!D12</f>
        <v>07 Jan 2025</v>
      </c>
      <c r="H14" s="251"/>
      <c r="I14" s="251"/>
      <c r="J14" s="251"/>
    </row>
    <row r="15" spans="1:10">
      <c r="A15" s="20" t="s">
        <v>699</v>
      </c>
      <c r="B15" s="21" t="s">
        <v>700</v>
      </c>
      <c r="C15" s="11"/>
      <c r="D15" s="11"/>
      <c r="E15" s="11"/>
      <c r="F15" s="11"/>
      <c r="G15" s="47"/>
      <c r="H15" s="47"/>
      <c r="I15" s="47"/>
      <c r="J15" s="47"/>
    </row>
    <row r="16" spans="1:10">
      <c r="A16" s="18" t="s">
        <v>27</v>
      </c>
      <c r="B16" s="19" t="s">
        <v>655</v>
      </c>
      <c r="C16" s="11"/>
      <c r="D16" s="11"/>
      <c r="E16" s="11"/>
      <c r="F16" s="11"/>
      <c r="G16" s="11"/>
      <c r="H16" s="11"/>
      <c r="I16" s="11"/>
      <c r="J16" s="11"/>
    </row>
    <row r="17" spans="1:10" s="10" customFormat="1" ht="36" customHeight="1">
      <c r="A17" s="252" t="s">
        <v>234</v>
      </c>
      <c r="B17" s="252" t="s">
        <v>690</v>
      </c>
      <c r="C17" s="252" t="s">
        <v>691</v>
      </c>
      <c r="D17" s="252" t="s">
        <v>692</v>
      </c>
      <c r="E17" s="252" t="s">
        <v>693</v>
      </c>
      <c r="F17" s="252" t="s">
        <v>694</v>
      </c>
      <c r="G17" s="252" t="s">
        <v>695</v>
      </c>
      <c r="H17" s="253"/>
      <c r="I17" s="252" t="s">
        <v>704</v>
      </c>
      <c r="J17" s="253"/>
    </row>
    <row r="18" spans="1:10" s="10" customFormat="1" ht="87" customHeight="1">
      <c r="A18" s="253"/>
      <c r="B18" s="253"/>
      <c r="C18" s="253"/>
      <c r="D18" s="253"/>
      <c r="E18" s="253"/>
      <c r="F18" s="253"/>
      <c r="G18" s="48" t="s">
        <v>696</v>
      </c>
      <c r="H18" s="48" t="s">
        <v>697</v>
      </c>
      <c r="I18" s="48" t="s">
        <v>696</v>
      </c>
      <c r="J18" s="48" t="s">
        <v>698</v>
      </c>
    </row>
    <row r="19" spans="1:10" s="10" customFormat="1" ht="45.75" customHeight="1">
      <c r="A19" s="58" t="s">
        <v>932</v>
      </c>
      <c r="B19" s="58" t="s">
        <v>933</v>
      </c>
      <c r="C19" s="58"/>
      <c r="D19" s="58"/>
      <c r="E19" s="58"/>
      <c r="F19" s="60"/>
      <c r="G19" s="58"/>
      <c r="H19" s="59"/>
      <c r="I19" s="58"/>
      <c r="J19" s="59"/>
    </row>
    <row r="20" spans="1:10">
      <c r="A20" s="58" t="s">
        <v>934</v>
      </c>
      <c r="B20" s="58" t="s">
        <v>935</v>
      </c>
      <c r="C20" s="58" t="s">
        <v>936</v>
      </c>
      <c r="D20" s="58" t="s">
        <v>937</v>
      </c>
      <c r="E20" s="58" t="s">
        <v>938</v>
      </c>
      <c r="F20" s="60" t="s">
        <v>939</v>
      </c>
      <c r="G20" s="58" t="s">
        <v>940</v>
      </c>
      <c r="H20" s="59" t="s">
        <v>941</v>
      </c>
      <c r="I20" s="58" t="s">
        <v>942</v>
      </c>
      <c r="J20" s="59" t="s">
        <v>943</v>
      </c>
    </row>
    <row r="21" spans="1:10" ht="25">
      <c r="A21" s="61" t="s">
        <v>944</v>
      </c>
      <c r="B21" s="61" t="s">
        <v>945</v>
      </c>
      <c r="C21" s="61"/>
      <c r="D21" s="61"/>
      <c r="E21" s="61"/>
      <c r="F21" s="63">
        <v>0</v>
      </c>
      <c r="G21" s="61"/>
      <c r="H21" s="62">
        <v>0</v>
      </c>
      <c r="I21" s="61"/>
      <c r="J21" s="62">
        <v>0</v>
      </c>
    </row>
    <row r="22" spans="1:10" ht="25">
      <c r="A22" s="58" t="s">
        <v>946</v>
      </c>
      <c r="B22" s="58" t="s">
        <v>947</v>
      </c>
      <c r="C22" s="58"/>
      <c r="D22" s="58"/>
      <c r="E22" s="58"/>
      <c r="F22" s="60"/>
      <c r="G22" s="58"/>
      <c r="H22" s="59"/>
      <c r="I22" s="58"/>
      <c r="J22" s="59"/>
    </row>
    <row r="23" spans="1:10">
      <c r="A23" s="58" t="s">
        <v>948</v>
      </c>
      <c r="B23" s="58" t="s">
        <v>949</v>
      </c>
      <c r="C23" s="58" t="s">
        <v>950</v>
      </c>
      <c r="D23" s="58" t="s">
        <v>951</v>
      </c>
      <c r="E23" s="58" t="s">
        <v>952</v>
      </c>
      <c r="F23" s="60" t="s">
        <v>953</v>
      </c>
      <c r="G23" s="58" t="s">
        <v>954</v>
      </c>
      <c r="H23" s="59" t="s">
        <v>955</v>
      </c>
      <c r="I23" s="58" t="s">
        <v>956</v>
      </c>
      <c r="J23" s="59" t="s">
        <v>957</v>
      </c>
    </row>
    <row r="24" spans="1:10" ht="25">
      <c r="A24" s="61" t="s">
        <v>958</v>
      </c>
      <c r="B24" s="61" t="s">
        <v>959</v>
      </c>
      <c r="C24" s="61"/>
      <c r="D24" s="61"/>
      <c r="E24" s="61"/>
      <c r="F24" s="63">
        <v>0</v>
      </c>
      <c r="G24" s="61"/>
      <c r="H24" s="62">
        <v>0</v>
      </c>
      <c r="I24" s="61"/>
      <c r="J24" s="62">
        <v>0</v>
      </c>
    </row>
    <row r="25" spans="1:10" ht="25">
      <c r="A25" s="61" t="s">
        <v>960</v>
      </c>
      <c r="B25" s="61" t="s">
        <v>961</v>
      </c>
      <c r="C25" s="61"/>
      <c r="D25" s="61"/>
      <c r="E25" s="61"/>
      <c r="F25" s="63">
        <v>0</v>
      </c>
      <c r="G25" s="61"/>
      <c r="H25" s="62">
        <v>0</v>
      </c>
      <c r="I25" s="61"/>
      <c r="J25" s="62">
        <v>0</v>
      </c>
    </row>
    <row r="26" spans="1:10" ht="25">
      <c r="A26" s="58" t="s">
        <v>962</v>
      </c>
      <c r="B26" s="58" t="s">
        <v>963</v>
      </c>
      <c r="C26" s="58"/>
      <c r="D26" s="58"/>
      <c r="E26" s="58"/>
      <c r="F26" s="60"/>
      <c r="G26" s="58"/>
      <c r="H26" s="59"/>
      <c r="I26" s="58"/>
      <c r="J26" s="59"/>
    </row>
    <row r="27" spans="1:10">
      <c r="A27" s="58" t="s">
        <v>964</v>
      </c>
      <c r="B27" s="58" t="s">
        <v>965</v>
      </c>
      <c r="C27" s="58" t="s">
        <v>966</v>
      </c>
      <c r="D27" s="58" t="s">
        <v>967</v>
      </c>
      <c r="E27" s="58" t="s">
        <v>968</v>
      </c>
      <c r="F27" s="60" t="s">
        <v>969</v>
      </c>
      <c r="G27" s="58" t="s">
        <v>970</v>
      </c>
      <c r="H27" s="59" t="s">
        <v>971</v>
      </c>
      <c r="I27" s="58" t="s">
        <v>972</v>
      </c>
      <c r="J27" s="59" t="s">
        <v>973</v>
      </c>
    </row>
    <row r="28" spans="1:10" ht="25">
      <c r="A28" s="61" t="s">
        <v>974</v>
      </c>
      <c r="B28" s="61" t="s">
        <v>975</v>
      </c>
      <c r="C28" s="61"/>
      <c r="D28" s="61"/>
      <c r="E28" s="61"/>
      <c r="F28" s="63">
        <v>0</v>
      </c>
      <c r="G28" s="61"/>
      <c r="H28" s="62">
        <v>0</v>
      </c>
      <c r="I28" s="61"/>
      <c r="J28" s="62">
        <v>0</v>
      </c>
    </row>
    <row r="29" spans="1:10" ht="25">
      <c r="A29" s="58" t="s">
        <v>976</v>
      </c>
      <c r="B29" s="58" t="s">
        <v>977</v>
      </c>
      <c r="C29" s="58"/>
      <c r="D29" s="58"/>
      <c r="E29" s="58"/>
      <c r="F29" s="60"/>
      <c r="G29" s="58"/>
      <c r="H29" s="59"/>
      <c r="I29" s="58"/>
      <c r="J29" s="59"/>
    </row>
    <row r="30" spans="1:10">
      <c r="A30" s="58" t="s">
        <v>978</v>
      </c>
      <c r="B30" s="58" t="s">
        <v>979</v>
      </c>
      <c r="C30" s="58" t="s">
        <v>980</v>
      </c>
      <c r="D30" s="58" t="s">
        <v>981</v>
      </c>
      <c r="E30" s="58" t="s">
        <v>982</v>
      </c>
      <c r="F30" s="60" t="s">
        <v>983</v>
      </c>
      <c r="G30" s="58" t="s">
        <v>984</v>
      </c>
      <c r="H30" s="59" t="s">
        <v>985</v>
      </c>
      <c r="I30" s="58" t="s">
        <v>986</v>
      </c>
      <c r="J30" s="59" t="s">
        <v>987</v>
      </c>
    </row>
    <row r="31" spans="1:10" ht="25">
      <c r="A31" s="61" t="s">
        <v>988</v>
      </c>
      <c r="B31" s="61" t="s">
        <v>989</v>
      </c>
      <c r="C31" s="61"/>
      <c r="D31" s="61"/>
      <c r="E31" s="61"/>
      <c r="F31" s="63">
        <v>0</v>
      </c>
      <c r="G31" s="61"/>
      <c r="H31" s="62">
        <v>0</v>
      </c>
      <c r="I31" s="61"/>
      <c r="J31" s="62">
        <v>0</v>
      </c>
    </row>
    <row r="32" spans="1:10" ht="25">
      <c r="A32" s="61" t="s">
        <v>990</v>
      </c>
      <c r="B32" s="61" t="s">
        <v>991</v>
      </c>
      <c r="C32" s="61"/>
      <c r="D32" s="61"/>
      <c r="E32" s="61"/>
      <c r="F32" s="63">
        <v>0</v>
      </c>
      <c r="G32" s="61"/>
      <c r="H32" s="62">
        <v>0</v>
      </c>
      <c r="I32" s="61"/>
      <c r="J32" s="62">
        <v>0</v>
      </c>
    </row>
    <row r="33" spans="1:10" s="52" customFormat="1" ht="45.75" customHeight="1">
      <c r="A33" s="12" t="s">
        <v>10</v>
      </c>
      <c r="B33" s="13"/>
      <c r="C33" s="14"/>
      <c r="D33" s="11"/>
      <c r="E33" s="11"/>
      <c r="F33" s="11"/>
      <c r="G33" s="11"/>
      <c r="H33" s="11"/>
      <c r="I33" s="15" t="s">
        <v>11</v>
      </c>
      <c r="J33" s="11"/>
    </row>
    <row r="34" spans="1:10">
      <c r="A34" s="16" t="s">
        <v>12</v>
      </c>
      <c r="B34" s="13"/>
      <c r="C34" s="14"/>
      <c r="D34" s="11"/>
      <c r="E34" s="11"/>
      <c r="F34" s="11"/>
      <c r="G34" s="11"/>
      <c r="H34" s="11"/>
      <c r="I34" s="17" t="s">
        <v>13</v>
      </c>
      <c r="J34" s="11"/>
    </row>
    <row r="35" spans="1:10" ht="29" customHeight="1">
      <c r="A35" s="13"/>
      <c r="B35" s="13"/>
      <c r="C35" s="14"/>
      <c r="D35" s="51"/>
      <c r="E35" s="51"/>
      <c r="F35" s="51"/>
      <c r="G35" s="51"/>
      <c r="H35" s="51"/>
      <c r="I35" s="14"/>
      <c r="J35" s="51"/>
    </row>
    <row r="36" spans="1:10" ht="22.5" customHeight="1">
      <c r="A36" s="54"/>
      <c r="B36" s="51"/>
      <c r="C36" s="51"/>
      <c r="D36" s="51"/>
      <c r="E36" s="51"/>
      <c r="F36" s="51"/>
      <c r="G36" s="11"/>
      <c r="H36" s="51"/>
      <c r="I36" s="51"/>
      <c r="J36" s="51"/>
    </row>
    <row r="37" spans="1:10">
      <c r="A37" s="54"/>
      <c r="B37" s="51"/>
      <c r="C37" s="51"/>
      <c r="D37" s="51"/>
      <c r="E37" s="51"/>
      <c r="F37" s="51"/>
      <c r="G37" s="51"/>
      <c r="H37" s="51"/>
      <c r="I37" s="51"/>
      <c r="J37" s="51"/>
    </row>
    <row r="38" spans="1:10">
      <c r="A38" s="54"/>
      <c r="B38" s="51"/>
      <c r="C38" s="51"/>
      <c r="D38" s="51"/>
      <c r="E38" s="51"/>
      <c r="F38" s="51"/>
      <c r="G38" s="51"/>
      <c r="H38" s="51"/>
      <c r="I38" s="51"/>
      <c r="J38" s="51"/>
    </row>
    <row r="39" spans="1:10">
      <c r="A39" s="54"/>
      <c r="B39" s="51"/>
      <c r="C39" s="51"/>
      <c r="D39" s="51"/>
      <c r="E39" s="51"/>
      <c r="F39" s="51"/>
      <c r="G39" s="51"/>
      <c r="H39" s="51"/>
      <c r="I39" s="51"/>
      <c r="J39" s="51"/>
    </row>
    <row r="40" spans="1:10" s="10" customFormat="1" ht="12.5">
      <c r="A40" s="139" t="s">
        <v>14</v>
      </c>
      <c r="B40" s="139"/>
      <c r="C40" s="57"/>
      <c r="D40" s="11"/>
      <c r="E40" s="11"/>
      <c r="F40" s="11"/>
      <c r="G40" s="11"/>
      <c r="H40" s="11"/>
      <c r="I40" s="56" t="s">
        <v>1303</v>
      </c>
      <c r="J40" s="57"/>
    </row>
    <row r="41" spans="1:10" s="10" customFormat="1" ht="12.5">
      <c r="A41" s="19" t="s">
        <v>1309</v>
      </c>
      <c r="B41" s="11"/>
      <c r="C41" s="11"/>
      <c r="D41" s="11"/>
      <c r="E41" s="11"/>
      <c r="F41" s="11"/>
      <c r="G41" s="11"/>
      <c r="H41" s="11"/>
      <c r="I41" s="19" t="s">
        <v>1310</v>
      </c>
      <c r="J41" s="11"/>
    </row>
    <row r="42" spans="1:10" s="10" customFormat="1" ht="12.5">
      <c r="A42" s="11" t="s">
        <v>1311</v>
      </c>
      <c r="B42" s="11"/>
      <c r="C42" s="11"/>
      <c r="D42" s="11"/>
      <c r="E42" s="11"/>
      <c r="F42" s="11"/>
      <c r="G42" s="11"/>
      <c r="H42" s="11"/>
      <c r="I42" s="11" t="s">
        <v>1312</v>
      </c>
      <c r="J42" s="11"/>
    </row>
    <row r="43" spans="1:10" s="10" customFormat="1" ht="12.5">
      <c r="A43" s="55"/>
      <c r="B43" s="11"/>
      <c r="C43" s="11"/>
      <c r="D43" s="11"/>
      <c r="E43" s="11"/>
      <c r="F43" s="11"/>
      <c r="G43" s="11"/>
      <c r="H43" s="11"/>
      <c r="I43" s="11"/>
      <c r="J43" s="11"/>
    </row>
    <row r="44" spans="1:10" s="10" customFormat="1" ht="12.5">
      <c r="A44" s="55"/>
      <c r="B44" s="11"/>
      <c r="C44" s="11"/>
      <c r="D44" s="11"/>
      <c r="E44" s="11"/>
      <c r="F44" s="11"/>
      <c r="G44" s="11"/>
      <c r="H44" s="11"/>
      <c r="I44" s="11"/>
      <c r="J44" s="11"/>
    </row>
    <row r="45" spans="1:10">
      <c r="A45" s="54"/>
      <c r="B45" s="51"/>
      <c r="C45" s="51"/>
      <c r="D45" s="51"/>
      <c r="E45" s="51"/>
      <c r="F45" s="51"/>
      <c r="G45" s="51"/>
      <c r="H45" s="51"/>
      <c r="I45" s="51"/>
      <c r="J45" s="51"/>
    </row>
    <row r="46" spans="1:10">
      <c r="A46" s="54"/>
      <c r="B46" s="51"/>
      <c r="C46" s="51"/>
      <c r="D46" s="51"/>
      <c r="E46" s="51"/>
      <c r="F46" s="51"/>
      <c r="G46" s="51"/>
      <c r="H46" s="51"/>
      <c r="I46" s="51"/>
      <c r="J46" s="51"/>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51"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topLeftCell="A67" zoomScale="90" zoomScaleNormal="100" zoomScaleSheetLayoutView="90" workbookViewId="0">
      <selection activeCell="A46" sqref="A46:XFD46"/>
    </sheetView>
  </sheetViews>
  <sheetFormatPr defaultColWidth="8.7265625" defaultRowHeight="53.25" customHeight="1"/>
  <cols>
    <col min="1" max="1" width="8.7265625" style="147"/>
    <col min="2" max="2" width="63.54296875" style="147" customWidth="1"/>
    <col min="3" max="3" width="10.7265625" style="147" bestFit="1" customWidth="1"/>
    <col min="4" max="4" width="41.7265625" style="147" customWidth="1"/>
    <col min="5" max="5" width="39.54296875" style="147" customWidth="1"/>
    <col min="6" max="6" width="8.453125" style="144" customWidth="1"/>
    <col min="7" max="16384" width="8.7265625" style="144"/>
  </cols>
  <sheetData>
    <row r="1" spans="1:6" ht="53.25" customHeight="1">
      <c r="A1" s="258" t="s">
        <v>701</v>
      </c>
      <c r="B1" s="258"/>
      <c r="C1" s="258"/>
      <c r="D1" s="258"/>
      <c r="E1" s="258"/>
      <c r="F1" s="143"/>
    </row>
    <row r="2" spans="1:6" ht="66" customHeight="1">
      <c r="A2" s="259" t="s">
        <v>702</v>
      </c>
      <c r="B2" s="259"/>
      <c r="C2" s="259"/>
      <c r="D2" s="259"/>
      <c r="E2" s="259"/>
      <c r="F2" s="145"/>
    </row>
    <row r="3" spans="1:6" ht="40.5" customHeight="1">
      <c r="A3" s="260" t="s">
        <v>652</v>
      </c>
      <c r="B3" s="260"/>
      <c r="C3" s="260"/>
      <c r="D3" s="260"/>
      <c r="E3" s="260"/>
      <c r="F3" s="143"/>
    </row>
    <row r="4" spans="1:6" ht="14" hidden="1">
      <c r="A4" s="260"/>
      <c r="B4" s="260"/>
      <c r="C4" s="260"/>
      <c r="D4" s="260"/>
      <c r="E4" s="260"/>
      <c r="F4" s="143"/>
    </row>
    <row r="5" spans="1:6" ht="14">
      <c r="A5" s="261" t="s">
        <v>1302</v>
      </c>
      <c r="B5" s="261"/>
      <c r="C5" s="261"/>
      <c r="D5" s="261"/>
      <c r="E5" s="261"/>
      <c r="F5" s="146"/>
    </row>
    <row r="6" spans="1:6" ht="14"/>
    <row r="7" spans="1:6" ht="14">
      <c r="A7" s="148" t="s">
        <v>2</v>
      </c>
      <c r="C7" s="262" t="s">
        <v>1303</v>
      </c>
      <c r="D7" s="262"/>
      <c r="E7" s="262"/>
    </row>
    <row r="8" spans="1:6" ht="14">
      <c r="A8" s="147" t="s">
        <v>15</v>
      </c>
      <c r="C8" s="254" t="s">
        <v>1304</v>
      </c>
      <c r="D8" s="254"/>
      <c r="E8" s="254"/>
    </row>
    <row r="9" spans="1:6" ht="14">
      <c r="A9" s="148" t="s">
        <v>3</v>
      </c>
      <c r="C9" s="262" t="s">
        <v>1305</v>
      </c>
      <c r="D9" s="262"/>
      <c r="E9" s="262"/>
    </row>
    <row r="10" spans="1:6" ht="14">
      <c r="A10" s="147" t="s">
        <v>4</v>
      </c>
      <c r="C10" s="254" t="s">
        <v>1306</v>
      </c>
      <c r="D10" s="254"/>
      <c r="E10" s="254"/>
    </row>
    <row r="11" spans="1:6" ht="14">
      <c r="A11" s="148" t="s">
        <v>5</v>
      </c>
      <c r="C11" s="262" t="s">
        <v>754</v>
      </c>
      <c r="D11" s="262"/>
      <c r="E11" s="262"/>
    </row>
    <row r="12" spans="1:6" ht="14">
      <c r="A12" s="147" t="s">
        <v>6</v>
      </c>
      <c r="C12" s="254" t="s">
        <v>1323</v>
      </c>
      <c r="D12" s="254"/>
      <c r="E12" s="254"/>
    </row>
    <row r="13" spans="1:6" ht="14">
      <c r="A13" s="148" t="s">
        <v>7</v>
      </c>
      <c r="C13" s="262" t="s">
        <v>1307</v>
      </c>
      <c r="D13" s="262"/>
      <c r="E13" s="262"/>
    </row>
    <row r="14" spans="1:6" ht="14">
      <c r="A14" s="147" t="s">
        <v>8</v>
      </c>
      <c r="C14" s="254" t="s">
        <v>1308</v>
      </c>
      <c r="D14" s="254"/>
      <c r="E14" s="254"/>
    </row>
    <row r="15" spans="1:6" ht="14"/>
    <row r="16" spans="1:6" ht="14">
      <c r="A16" s="149" t="s">
        <v>699</v>
      </c>
      <c r="B16" s="150" t="s">
        <v>700</v>
      </c>
    </row>
    <row r="17" spans="1:5" ht="14">
      <c r="A17" s="151" t="s">
        <v>28</v>
      </c>
      <c r="B17" s="152" t="s">
        <v>399</v>
      </c>
    </row>
    <row r="18" spans="1:5" ht="42">
      <c r="A18" s="153" t="s">
        <v>17</v>
      </c>
      <c r="B18" s="153" t="s">
        <v>689</v>
      </c>
      <c r="C18" s="153" t="s">
        <v>19</v>
      </c>
      <c r="D18" s="154" t="s">
        <v>1315</v>
      </c>
      <c r="E18" s="154" t="s">
        <v>1316</v>
      </c>
    </row>
    <row r="19" spans="1:5" s="159" customFormat="1" ht="38.5" customHeight="1">
      <c r="A19" s="155" t="s">
        <v>16</v>
      </c>
      <c r="B19" s="156" t="s">
        <v>112</v>
      </c>
      <c r="C19" s="157" t="s">
        <v>113</v>
      </c>
      <c r="D19" s="158"/>
      <c r="E19" s="158"/>
    </row>
    <row r="20" spans="1:5" ht="68" customHeight="1">
      <c r="A20" s="160">
        <v>1</v>
      </c>
      <c r="B20" s="161" t="s">
        <v>674</v>
      </c>
      <c r="C20" s="162" t="s">
        <v>114</v>
      </c>
      <c r="D20" s="158">
        <v>1.2067296082132599E-2</v>
      </c>
      <c r="E20" s="158">
        <v>1.20676212013452E-2</v>
      </c>
    </row>
    <row r="21" spans="1:5" ht="74" customHeight="1">
      <c r="A21" s="160">
        <v>2</v>
      </c>
      <c r="B21" s="161" t="s">
        <v>675</v>
      </c>
      <c r="C21" s="162" t="s">
        <v>115</v>
      </c>
      <c r="D21" s="158">
        <v>8.1052370682178497E-4</v>
      </c>
      <c r="E21" s="158">
        <v>8.6850456300052302E-4</v>
      </c>
    </row>
    <row r="22" spans="1:5" ht="93.5" customHeight="1">
      <c r="A22" s="160">
        <v>3</v>
      </c>
      <c r="B22" s="161" t="s">
        <v>676</v>
      </c>
      <c r="C22" s="162" t="s">
        <v>116</v>
      </c>
      <c r="D22" s="158">
        <v>4.2509673435980601E-4</v>
      </c>
      <c r="E22" s="158">
        <v>4.3174355835886398E-4</v>
      </c>
    </row>
    <row r="23" spans="1:5" ht="65.5" customHeight="1">
      <c r="A23" s="160">
        <v>4</v>
      </c>
      <c r="B23" s="161" t="s">
        <v>400</v>
      </c>
      <c r="C23" s="162" t="s">
        <v>117</v>
      </c>
      <c r="D23" s="158">
        <v>8.81170193025768E-5</v>
      </c>
      <c r="E23" s="158">
        <v>9.8045413960509399E-5</v>
      </c>
    </row>
    <row r="24" spans="1:5" ht="68.5" customHeight="1">
      <c r="A24" s="160">
        <v>5</v>
      </c>
      <c r="B24" s="161" t="s">
        <v>677</v>
      </c>
      <c r="C24" s="162" t="s">
        <v>678</v>
      </c>
      <c r="D24" s="163"/>
      <c r="E24" s="163"/>
    </row>
    <row r="25" spans="1:5" ht="76" customHeight="1">
      <c r="A25" s="160">
        <v>6</v>
      </c>
      <c r="B25" s="161" t="s">
        <v>679</v>
      </c>
      <c r="C25" s="162"/>
      <c r="D25" s="163"/>
      <c r="E25" s="163"/>
    </row>
    <row r="26" spans="1:5" ht="95.5" customHeight="1">
      <c r="A26" s="160">
        <v>7</v>
      </c>
      <c r="B26" s="161" t="s">
        <v>401</v>
      </c>
      <c r="C26" s="162" t="s">
        <v>118</v>
      </c>
      <c r="D26" s="158">
        <v>1.94642423279383E-4</v>
      </c>
      <c r="E26" s="158">
        <v>1.50853316942165E-4</v>
      </c>
    </row>
    <row r="27" spans="1:5" ht="36.5" customHeight="1">
      <c r="A27" s="160">
        <v>8</v>
      </c>
      <c r="B27" s="161" t="s">
        <v>680</v>
      </c>
      <c r="C27" s="162" t="s">
        <v>119</v>
      </c>
      <c r="D27" s="158">
        <v>1.3651614748104E-2</v>
      </c>
      <c r="E27" s="158">
        <v>1.37232917490219E-2</v>
      </c>
    </row>
    <row r="28" spans="1:5" ht="36.5" customHeight="1">
      <c r="A28" s="160">
        <v>9</v>
      </c>
      <c r="B28" s="161" t="s">
        <v>763</v>
      </c>
      <c r="C28" s="162" t="s">
        <v>120</v>
      </c>
      <c r="D28" s="158">
        <v>1.78539308532777</v>
      </c>
      <c r="E28" s="158">
        <v>1.7217115251714299</v>
      </c>
    </row>
    <row r="29" spans="1:5" ht="76" customHeight="1">
      <c r="A29" s="160">
        <v>10</v>
      </c>
      <c r="B29" s="161" t="s">
        <v>681</v>
      </c>
      <c r="C29" s="162" t="s">
        <v>644</v>
      </c>
      <c r="D29" s="163"/>
      <c r="E29" s="163"/>
    </row>
    <row r="30" spans="1:5" s="159" customFormat="1" ht="36" customHeight="1">
      <c r="A30" s="155" t="s">
        <v>22</v>
      </c>
      <c r="B30" s="156" t="s">
        <v>121</v>
      </c>
      <c r="C30" s="157" t="s">
        <v>122</v>
      </c>
      <c r="D30" s="164"/>
      <c r="E30" s="164"/>
    </row>
    <row r="31" spans="1:5" ht="49.5" customHeight="1">
      <c r="A31" s="255">
        <v>1</v>
      </c>
      <c r="B31" s="161" t="s">
        <v>123</v>
      </c>
      <c r="C31" s="162" t="s">
        <v>124</v>
      </c>
      <c r="D31" s="165">
        <v>557399216300</v>
      </c>
      <c r="E31" s="165">
        <v>512141120400</v>
      </c>
    </row>
    <row r="32" spans="1:5" ht="49.5" customHeight="1">
      <c r="A32" s="256"/>
      <c r="B32" s="161" t="s">
        <v>125</v>
      </c>
      <c r="C32" s="162" t="s">
        <v>126</v>
      </c>
      <c r="D32" s="165">
        <v>557399216300</v>
      </c>
      <c r="E32" s="165">
        <v>512141120400</v>
      </c>
    </row>
    <row r="33" spans="1:5" ht="49.5" customHeight="1">
      <c r="A33" s="257"/>
      <c r="B33" s="161" t="s">
        <v>682</v>
      </c>
      <c r="C33" s="162" t="s">
        <v>127</v>
      </c>
      <c r="D33" s="163">
        <v>55739921.630000003</v>
      </c>
      <c r="E33" s="163">
        <v>51214112.039999999</v>
      </c>
    </row>
    <row r="34" spans="1:5" ht="65.5" customHeight="1">
      <c r="A34" s="264">
        <v>2</v>
      </c>
      <c r="B34" s="161" t="s">
        <v>128</v>
      </c>
      <c r="C34" s="162" t="s">
        <v>129</v>
      </c>
      <c r="D34" s="165">
        <v>50479299800</v>
      </c>
      <c r="E34" s="165">
        <v>45258095900</v>
      </c>
    </row>
    <row r="35" spans="1:5" ht="38.5" customHeight="1">
      <c r="A35" s="264"/>
      <c r="B35" s="161" t="s">
        <v>130</v>
      </c>
      <c r="C35" s="162" t="s">
        <v>683</v>
      </c>
      <c r="D35" s="163">
        <v>5047929.9800000004</v>
      </c>
      <c r="E35" s="163">
        <v>4525809.59</v>
      </c>
    </row>
    <row r="36" spans="1:5" ht="50" customHeight="1">
      <c r="A36" s="264"/>
      <c r="B36" s="161" t="s">
        <v>131</v>
      </c>
      <c r="C36" s="162" t="s">
        <v>684</v>
      </c>
      <c r="D36" s="165">
        <v>50479299800</v>
      </c>
      <c r="E36" s="165">
        <v>45258095900</v>
      </c>
    </row>
    <row r="37" spans="1:5" ht="36" customHeight="1">
      <c r="A37" s="264"/>
      <c r="B37" s="161" t="s">
        <v>685</v>
      </c>
      <c r="C37" s="162" t="s">
        <v>132</v>
      </c>
      <c r="D37" s="163">
        <v>19074808.66</v>
      </c>
      <c r="E37" s="163">
        <v>16096108.09</v>
      </c>
    </row>
    <row r="38" spans="1:5" ht="28">
      <c r="A38" s="264"/>
      <c r="B38" s="161" t="s">
        <v>359</v>
      </c>
      <c r="C38" s="162" t="s">
        <v>133</v>
      </c>
      <c r="D38" s="165">
        <v>190748086600</v>
      </c>
      <c r="E38" s="165">
        <v>160961080900</v>
      </c>
    </row>
    <row r="39" spans="1:5" ht="37" customHeight="1">
      <c r="A39" s="264"/>
      <c r="B39" s="161" t="s">
        <v>707</v>
      </c>
      <c r="C39" s="162" t="s">
        <v>134</v>
      </c>
      <c r="D39" s="163">
        <v>-14026878.68</v>
      </c>
      <c r="E39" s="163">
        <v>-11570298.5</v>
      </c>
    </row>
    <row r="40" spans="1:5" ht="42">
      <c r="A40" s="264"/>
      <c r="B40" s="161" t="s">
        <v>360</v>
      </c>
      <c r="C40" s="162" t="s">
        <v>135</v>
      </c>
      <c r="D40" s="165">
        <v>-140268786800</v>
      </c>
      <c r="E40" s="165">
        <v>-115702985000</v>
      </c>
    </row>
    <row r="41" spans="1:5" ht="37" customHeight="1">
      <c r="A41" s="264">
        <v>3</v>
      </c>
      <c r="B41" s="161" t="s">
        <v>361</v>
      </c>
      <c r="C41" s="162" t="s">
        <v>136</v>
      </c>
      <c r="D41" s="165">
        <v>607878516100</v>
      </c>
      <c r="E41" s="165">
        <v>557399216300</v>
      </c>
    </row>
    <row r="42" spans="1:5" ht="69" customHeight="1">
      <c r="A42" s="264"/>
      <c r="B42" s="161" t="s">
        <v>686</v>
      </c>
      <c r="C42" s="162" t="s">
        <v>137</v>
      </c>
      <c r="D42" s="165">
        <v>607878516100</v>
      </c>
      <c r="E42" s="165">
        <v>557399216300</v>
      </c>
    </row>
    <row r="43" spans="1:5" ht="44" customHeight="1">
      <c r="A43" s="264"/>
      <c r="B43" s="161" t="s">
        <v>687</v>
      </c>
      <c r="C43" s="162" t="s">
        <v>138</v>
      </c>
      <c r="D43" s="163">
        <v>60787851.609999999</v>
      </c>
      <c r="E43" s="163">
        <v>55739921.630000003</v>
      </c>
    </row>
    <row r="44" spans="1:5" ht="69" customHeight="1">
      <c r="A44" s="160">
        <v>4</v>
      </c>
      <c r="B44" s="161" t="s">
        <v>139</v>
      </c>
      <c r="C44" s="162" t="s">
        <v>140</v>
      </c>
      <c r="D44" s="158">
        <v>6.89474934381548E-5</v>
      </c>
      <c r="E44" s="158">
        <v>7.5191530189454994E-5</v>
      </c>
    </row>
    <row r="45" spans="1:5" ht="42.5" customHeight="1">
      <c r="A45" s="160">
        <v>5</v>
      </c>
      <c r="B45" s="161" t="s">
        <v>141</v>
      </c>
      <c r="C45" s="162" t="s">
        <v>142</v>
      </c>
      <c r="D45" s="158">
        <v>0.28310000000000002</v>
      </c>
      <c r="E45" s="158">
        <v>0.28399999999999997</v>
      </c>
    </row>
    <row r="46" spans="1:5" ht="45" customHeight="1">
      <c r="A46" s="160">
        <v>6</v>
      </c>
      <c r="B46" s="161" t="s">
        <v>1324</v>
      </c>
      <c r="C46" s="162" t="s">
        <v>143</v>
      </c>
      <c r="D46" s="158">
        <v>8.0999999999999996E-3</v>
      </c>
      <c r="E46" s="158">
        <v>7.7999999999999996E-3</v>
      </c>
    </row>
    <row r="47" spans="1:5" ht="39" customHeight="1">
      <c r="A47" s="160">
        <v>7</v>
      </c>
      <c r="B47" s="161" t="s">
        <v>144</v>
      </c>
      <c r="C47" s="162" t="s">
        <v>145</v>
      </c>
      <c r="D47" s="165">
        <v>11859</v>
      </c>
      <c r="E47" s="165">
        <v>11566</v>
      </c>
    </row>
    <row r="48" spans="1:5" ht="36.5" customHeight="1">
      <c r="A48" s="160">
        <v>8</v>
      </c>
      <c r="B48" s="161" t="s">
        <v>362</v>
      </c>
      <c r="C48" s="162" t="s">
        <v>146</v>
      </c>
      <c r="D48" s="163">
        <v>27120.12</v>
      </c>
      <c r="E48" s="163">
        <v>26651.9</v>
      </c>
    </row>
    <row r="49" spans="1:5" ht="64.5" customHeight="1">
      <c r="A49" s="160">
        <v>9</v>
      </c>
      <c r="B49" s="161" t="s">
        <v>688</v>
      </c>
      <c r="C49" s="162" t="s">
        <v>645</v>
      </c>
      <c r="D49" s="163"/>
      <c r="E49" s="163"/>
    </row>
    <row r="50" spans="1:5" ht="31.5" customHeight="1">
      <c r="A50" s="263" t="s">
        <v>758</v>
      </c>
      <c r="B50" s="254"/>
      <c r="C50" s="254"/>
      <c r="D50" s="254"/>
      <c r="E50" s="254"/>
    </row>
    <row r="51" spans="1:5" ht="95.25" customHeight="1">
      <c r="A51" s="263" t="s">
        <v>1325</v>
      </c>
      <c r="B51" s="254"/>
      <c r="C51" s="254"/>
      <c r="D51" s="254"/>
      <c r="E51" s="254"/>
    </row>
    <row r="52" spans="1:5" ht="90" customHeight="1">
      <c r="A52" s="263" t="s">
        <v>1326</v>
      </c>
      <c r="B52" s="263"/>
      <c r="C52" s="263"/>
      <c r="D52" s="263"/>
      <c r="E52" s="263"/>
    </row>
    <row r="53" spans="1:5" ht="14">
      <c r="A53" s="166" t="s">
        <v>10</v>
      </c>
      <c r="D53" s="166" t="s">
        <v>11</v>
      </c>
    </row>
    <row r="54" spans="1:5" s="146" customFormat="1" ht="14">
      <c r="A54" s="167" t="s">
        <v>12</v>
      </c>
      <c r="B54" s="167"/>
      <c r="C54" s="167"/>
      <c r="D54" s="167" t="s">
        <v>13</v>
      </c>
      <c r="E54" s="167"/>
    </row>
    <row r="55" spans="1:5" ht="14"/>
    <row r="56" spans="1:5" ht="14"/>
    <row r="57" spans="1:5" ht="14"/>
    <row r="58" spans="1:5" ht="14"/>
    <row r="59" spans="1:5" ht="14"/>
    <row r="60" spans="1:5" ht="14"/>
    <row r="61" spans="1:5" ht="14"/>
    <row r="62" spans="1:5" ht="14"/>
    <row r="63" spans="1:5" ht="14">
      <c r="A63" s="168"/>
      <c r="B63" s="168"/>
      <c r="D63" s="168"/>
      <c r="E63" s="168"/>
    </row>
    <row r="64" spans="1:5" ht="14">
      <c r="A64" s="166" t="s">
        <v>14</v>
      </c>
      <c r="D64" s="166" t="s">
        <v>1303</v>
      </c>
    </row>
    <row r="65" spans="1:4" ht="14">
      <c r="A65" s="166" t="s">
        <v>1309</v>
      </c>
      <c r="D65" s="166" t="s">
        <v>1310</v>
      </c>
    </row>
    <row r="66" spans="1:4" ht="14">
      <c r="A66" s="147" t="s">
        <v>1311</v>
      </c>
      <c r="D66" s="147" t="s">
        <v>1312</v>
      </c>
    </row>
  </sheetData>
  <mergeCells count="18">
    <mergeCell ref="A52:E52"/>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59" fitToHeight="0" orientation="portrait" r:id="rId1"/>
  <headerFooter>
    <oddHeader>&amp;L&amp;"Arial"&amp;9&amp;KA80000CONFIDENTIAL&amp;1#</oddHeader>
  </headerFooter>
  <rowBreaks count="1" manualBreakCount="1">
    <brk id="32" max="4"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88" zoomScale="90" zoomScaleNormal="100" zoomScaleSheetLayoutView="90" workbookViewId="0">
      <selection activeCell="A94" sqref="A94:XFD95"/>
    </sheetView>
  </sheetViews>
  <sheetFormatPr defaultColWidth="8.7265625" defaultRowHeight="15.5"/>
  <cols>
    <col min="1" max="1" width="69.81640625" style="65" customWidth="1"/>
    <col min="2" max="2" width="12" style="65" customWidth="1"/>
    <col min="3" max="3" width="12.54296875" style="65" customWidth="1"/>
    <col min="4" max="4" width="28" style="65" customWidth="1"/>
    <col min="5" max="5" width="25.54296875" style="65" customWidth="1"/>
    <col min="6" max="6" width="27.7265625" style="65" customWidth="1"/>
    <col min="7" max="7" width="28.81640625" style="65" customWidth="1"/>
    <col min="8" max="16384" width="8.7265625" style="169"/>
  </cols>
  <sheetData>
    <row r="1" spans="1:7" ht="57" customHeight="1">
      <c r="A1" s="233" t="s">
        <v>762</v>
      </c>
      <c r="B1" s="233"/>
      <c r="C1" s="233"/>
      <c r="D1" s="233"/>
      <c r="E1" s="233"/>
      <c r="F1" s="233"/>
      <c r="G1" s="233"/>
    </row>
    <row r="2" spans="1:7" ht="57" customHeight="1">
      <c r="A2" s="234" t="s">
        <v>761</v>
      </c>
      <c r="B2" s="234"/>
      <c r="C2" s="234"/>
      <c r="D2" s="234"/>
      <c r="E2" s="234"/>
      <c r="F2" s="234"/>
      <c r="G2" s="234"/>
    </row>
    <row r="3" spans="1:7" ht="43.9" customHeight="1">
      <c r="A3" s="235" t="s">
        <v>147</v>
      </c>
      <c r="B3" s="235"/>
      <c r="C3" s="235"/>
      <c r="D3" s="235"/>
      <c r="E3" s="235"/>
      <c r="F3" s="235"/>
      <c r="G3" s="235"/>
    </row>
    <row r="4" spans="1:7" ht="9.4" customHeight="1"/>
    <row r="5" spans="1:7">
      <c r="A5" s="236" t="str">
        <f>TONGQUAN!C2</f>
        <v>Quý IV năm 2024
/ Quarter IV 2024</v>
      </c>
      <c r="B5" s="236"/>
      <c r="C5" s="236"/>
      <c r="D5" s="236"/>
      <c r="E5" s="236"/>
      <c r="F5" s="236"/>
      <c r="G5" s="236"/>
    </row>
    <row r="7" spans="1:7" ht="16.899999999999999" customHeight="1">
      <c r="A7" s="170" t="s">
        <v>2</v>
      </c>
      <c r="D7" s="227" t="str">
        <f>TONGQUAN!D5</f>
        <v>Công ty Cổ phần Quản lý Quỹ Đầu tư Dragon Capital Việt Nam</v>
      </c>
      <c r="E7" s="227"/>
      <c r="F7" s="227"/>
      <c r="G7" s="227"/>
    </row>
    <row r="8" spans="1:7" ht="16.899999999999999" customHeight="1">
      <c r="A8" s="171" t="s">
        <v>15</v>
      </c>
      <c r="D8" s="265" t="str">
        <f>TONGQUAN!D6</f>
        <v>Dragon Capital Vietfund Management Joint Stock Company</v>
      </c>
      <c r="E8" s="265"/>
      <c r="F8" s="265"/>
      <c r="G8" s="265"/>
    </row>
    <row r="9" spans="1:7" ht="16.899999999999999" customHeight="1">
      <c r="A9" s="170" t="s">
        <v>3</v>
      </c>
      <c r="D9" s="227" t="str">
        <f>TONGQUAN!D7</f>
        <v>Ngân hàng TNHH Một thành viên Standard Chartered (Việt Nam)</v>
      </c>
      <c r="E9" s="227"/>
      <c r="F9" s="227"/>
      <c r="G9" s="227"/>
    </row>
    <row r="10" spans="1:7" ht="16.899999999999999" customHeight="1">
      <c r="A10" s="171" t="s">
        <v>4</v>
      </c>
      <c r="D10" s="265" t="str">
        <f>TONGQUAN!D8</f>
        <v>Standard Chartered Bank (Vietnam) Limited</v>
      </c>
      <c r="E10" s="265"/>
      <c r="F10" s="265"/>
      <c r="G10" s="265"/>
    </row>
    <row r="11" spans="1:7" ht="16.899999999999999" customHeight="1">
      <c r="A11" s="170" t="s">
        <v>5</v>
      </c>
      <c r="D11" s="227" t="str">
        <f>TONGQUAN!D9</f>
        <v>Quỹ Đầu tư Trái phiếu DC</v>
      </c>
      <c r="E11" s="227"/>
      <c r="F11" s="227"/>
      <c r="G11" s="227"/>
    </row>
    <row r="12" spans="1:7" ht="16.899999999999999" customHeight="1">
      <c r="A12" s="171" t="s">
        <v>6</v>
      </c>
      <c r="D12" s="265" t="str">
        <f>TONGQUAN!D10</f>
        <v>DC Bond Fund (DCBF)</v>
      </c>
      <c r="E12" s="265"/>
      <c r="F12" s="265"/>
      <c r="G12" s="265"/>
    </row>
    <row r="13" spans="1:7" ht="16.899999999999999" customHeight="1">
      <c r="A13" s="170" t="s">
        <v>7</v>
      </c>
      <c r="D13" s="227" t="str">
        <f>TONGQUAN!D11</f>
        <v>Ngày 07 tháng 01 năm 2025</v>
      </c>
      <c r="E13" s="227"/>
      <c r="F13" s="227"/>
      <c r="G13" s="227"/>
    </row>
    <row r="14" spans="1:7" ht="16.899999999999999" customHeight="1">
      <c r="A14" s="171" t="s">
        <v>8</v>
      </c>
      <c r="D14" s="265" t="str">
        <f>TONGQUAN!D12</f>
        <v>07 Jan 2025</v>
      </c>
      <c r="E14" s="265"/>
      <c r="F14" s="265"/>
      <c r="G14" s="265"/>
    </row>
    <row r="16" spans="1:7" ht="39" customHeight="1">
      <c r="A16" s="267" t="s">
        <v>148</v>
      </c>
      <c r="B16" s="269" t="s">
        <v>149</v>
      </c>
      <c r="C16" s="269" t="s">
        <v>150</v>
      </c>
      <c r="D16" s="272" t="s">
        <v>1317</v>
      </c>
      <c r="E16" s="273"/>
      <c r="F16" s="272" t="s">
        <v>1318</v>
      </c>
      <c r="G16" s="273"/>
    </row>
    <row r="17" spans="1:10" ht="39" customHeight="1">
      <c r="A17" s="268"/>
      <c r="B17" s="270"/>
      <c r="C17" s="271"/>
      <c r="D17" s="172" t="str">
        <f>BCKetQuaHoatDong_06028!D18</f>
        <v>Quý IV năm 2024
Quarter IV 2024</v>
      </c>
      <c r="E17" s="173" t="s">
        <v>151</v>
      </c>
      <c r="F17" s="73" t="s">
        <v>1319</v>
      </c>
      <c r="G17" s="173" t="s">
        <v>151</v>
      </c>
    </row>
    <row r="18" spans="1:10" s="178" customFormat="1" ht="37" customHeight="1">
      <c r="A18" s="174" t="s">
        <v>402</v>
      </c>
      <c r="B18" s="175" t="s">
        <v>152</v>
      </c>
      <c r="C18" s="176"/>
      <c r="D18" s="177">
        <v>33379845676</v>
      </c>
      <c r="E18" s="177">
        <v>99509616251</v>
      </c>
      <c r="F18" s="177">
        <v>12330419193</v>
      </c>
      <c r="G18" s="177">
        <v>41092208650</v>
      </c>
    </row>
    <row r="19" spans="1:10" ht="37" customHeight="1">
      <c r="A19" s="179" t="s">
        <v>403</v>
      </c>
      <c r="B19" s="180" t="s">
        <v>153</v>
      </c>
      <c r="C19" s="181"/>
      <c r="D19" s="182">
        <v>0</v>
      </c>
      <c r="E19" s="182">
        <v>0</v>
      </c>
      <c r="F19" s="182">
        <v>0</v>
      </c>
      <c r="G19" s="182">
        <v>0</v>
      </c>
      <c r="J19" s="178"/>
    </row>
    <row r="20" spans="1:10" ht="37" customHeight="1">
      <c r="A20" s="179" t="s">
        <v>404</v>
      </c>
      <c r="B20" s="180" t="s">
        <v>154</v>
      </c>
      <c r="C20" s="183"/>
      <c r="D20" s="182">
        <v>31084786669</v>
      </c>
      <c r="E20" s="182">
        <v>94422054315</v>
      </c>
      <c r="F20" s="182">
        <v>10074642133</v>
      </c>
      <c r="G20" s="182">
        <v>37966620921</v>
      </c>
      <c r="J20" s="178"/>
    </row>
    <row r="21" spans="1:10" ht="37" customHeight="1">
      <c r="A21" s="179" t="s">
        <v>308</v>
      </c>
      <c r="B21" s="180" t="s">
        <v>155</v>
      </c>
      <c r="C21" s="183"/>
      <c r="D21" s="182">
        <v>4691725157</v>
      </c>
      <c r="E21" s="182">
        <v>13238023615</v>
      </c>
      <c r="F21" s="182">
        <v>128065761</v>
      </c>
      <c r="G21" s="182">
        <v>3206997455</v>
      </c>
      <c r="J21" s="178"/>
    </row>
    <row r="22" spans="1:10" ht="37" customHeight="1">
      <c r="A22" s="179" t="s">
        <v>772</v>
      </c>
      <c r="B22" s="180" t="s">
        <v>156</v>
      </c>
      <c r="C22" s="183"/>
      <c r="D22" s="182">
        <v>4956410958</v>
      </c>
      <c r="E22" s="182">
        <v>16511397258</v>
      </c>
      <c r="F22" s="182">
        <v>970410958</v>
      </c>
      <c r="G22" s="182">
        <v>1909726027</v>
      </c>
      <c r="J22" s="178"/>
    </row>
    <row r="23" spans="1:10" ht="37" customHeight="1">
      <c r="A23" s="179" t="s">
        <v>405</v>
      </c>
      <c r="B23" s="180" t="s">
        <v>268</v>
      </c>
      <c r="C23" s="183"/>
      <c r="D23" s="182">
        <v>21436650554</v>
      </c>
      <c r="E23" s="182">
        <v>64672633442</v>
      </c>
      <c r="F23" s="182">
        <v>8976165414</v>
      </c>
      <c r="G23" s="182">
        <v>32849897439</v>
      </c>
      <c r="J23" s="178"/>
    </row>
    <row r="24" spans="1:10" ht="37" customHeight="1">
      <c r="A24" s="179" t="s">
        <v>307</v>
      </c>
      <c r="B24" s="180" t="s">
        <v>306</v>
      </c>
      <c r="C24" s="183"/>
      <c r="D24" s="182">
        <v>0</v>
      </c>
      <c r="E24" s="182">
        <v>0</v>
      </c>
      <c r="F24" s="182">
        <v>0</v>
      </c>
      <c r="G24" s="182">
        <v>0</v>
      </c>
      <c r="J24" s="178"/>
    </row>
    <row r="25" spans="1:10" ht="37" customHeight="1">
      <c r="A25" s="179" t="s">
        <v>309</v>
      </c>
      <c r="B25" s="184" t="s">
        <v>157</v>
      </c>
      <c r="C25" s="183"/>
      <c r="D25" s="182">
        <v>2605392376</v>
      </c>
      <c r="E25" s="182">
        <v>6377328833</v>
      </c>
      <c r="F25" s="182">
        <v>1242797289</v>
      </c>
      <c r="G25" s="182">
        <v>2062879766</v>
      </c>
      <c r="J25" s="178"/>
    </row>
    <row r="26" spans="1:10" ht="51.5" customHeight="1">
      <c r="A26" s="179" t="s">
        <v>310</v>
      </c>
      <c r="B26" s="184" t="s">
        <v>158</v>
      </c>
      <c r="C26" s="183"/>
      <c r="D26" s="182">
        <v>-310333369</v>
      </c>
      <c r="E26" s="182">
        <v>-1289766897</v>
      </c>
      <c r="F26" s="182">
        <v>1012979771</v>
      </c>
      <c r="G26" s="182">
        <v>1062707963</v>
      </c>
      <c r="J26" s="178"/>
    </row>
    <row r="27" spans="1:10" ht="36.5" customHeight="1">
      <c r="A27" s="179" t="s">
        <v>406</v>
      </c>
      <c r="B27" s="184" t="s">
        <v>159</v>
      </c>
      <c r="C27" s="183"/>
      <c r="D27" s="182">
        <v>0</v>
      </c>
      <c r="E27" s="182">
        <v>0</v>
      </c>
      <c r="F27" s="182">
        <v>0</v>
      </c>
      <c r="G27" s="182">
        <v>0</v>
      </c>
      <c r="J27" s="178"/>
    </row>
    <row r="28" spans="1:10" ht="36.5" customHeight="1">
      <c r="A28" s="179" t="s">
        <v>311</v>
      </c>
      <c r="B28" s="184" t="s">
        <v>160</v>
      </c>
      <c r="C28" s="183"/>
      <c r="D28" s="182">
        <v>0</v>
      </c>
      <c r="E28" s="182">
        <v>0</v>
      </c>
      <c r="F28" s="182">
        <v>0</v>
      </c>
      <c r="G28" s="182">
        <v>0</v>
      </c>
      <c r="J28" s="178"/>
    </row>
    <row r="29" spans="1:10" ht="36.5" customHeight="1">
      <c r="A29" s="179" t="s">
        <v>407</v>
      </c>
      <c r="B29" s="184" t="s">
        <v>161</v>
      </c>
      <c r="C29" s="183"/>
      <c r="D29" s="182">
        <v>0</v>
      </c>
      <c r="E29" s="182">
        <v>0</v>
      </c>
      <c r="F29" s="182">
        <v>0</v>
      </c>
      <c r="G29" s="182">
        <v>0</v>
      </c>
      <c r="J29" s="178"/>
    </row>
    <row r="30" spans="1:10" ht="70.5" customHeight="1">
      <c r="A30" s="179" t="s">
        <v>408</v>
      </c>
      <c r="B30" s="184" t="s">
        <v>162</v>
      </c>
      <c r="C30" s="183"/>
      <c r="D30" s="182">
        <v>0</v>
      </c>
      <c r="E30" s="182">
        <v>0</v>
      </c>
      <c r="F30" s="182">
        <v>0</v>
      </c>
      <c r="G30" s="182">
        <v>0</v>
      </c>
      <c r="J30" s="178"/>
    </row>
    <row r="31" spans="1:10" s="178" customFormat="1" ht="35" customHeight="1">
      <c r="A31" s="174" t="s">
        <v>363</v>
      </c>
      <c r="B31" s="175" t="s">
        <v>163</v>
      </c>
      <c r="C31" s="176"/>
      <c r="D31" s="177">
        <v>243539829</v>
      </c>
      <c r="E31" s="177">
        <v>770495036</v>
      </c>
      <c r="F31" s="177">
        <v>35277760</v>
      </c>
      <c r="G31" s="177">
        <v>251243720</v>
      </c>
    </row>
    <row r="32" spans="1:10" ht="35" customHeight="1">
      <c r="A32" s="179" t="s">
        <v>164</v>
      </c>
      <c r="B32" s="184" t="s">
        <v>165</v>
      </c>
      <c r="C32" s="183"/>
      <c r="D32" s="182">
        <v>243539829</v>
      </c>
      <c r="E32" s="182">
        <v>762195036</v>
      </c>
      <c r="F32" s="182">
        <v>35277760</v>
      </c>
      <c r="G32" s="182">
        <v>204157744</v>
      </c>
      <c r="J32" s="178"/>
    </row>
    <row r="33" spans="1:10" ht="35" customHeight="1">
      <c r="A33" s="185" t="s">
        <v>773</v>
      </c>
      <c r="B33" s="180" t="s">
        <v>166</v>
      </c>
      <c r="C33" s="181"/>
      <c r="D33" s="182">
        <v>241089279</v>
      </c>
      <c r="E33" s="182">
        <v>758459498</v>
      </c>
      <c r="F33" s="182">
        <v>35247760</v>
      </c>
      <c r="G33" s="182">
        <v>202454553</v>
      </c>
      <c r="J33" s="178"/>
    </row>
    <row r="34" spans="1:10" ht="35" customHeight="1">
      <c r="A34" s="185" t="s">
        <v>42</v>
      </c>
      <c r="B34" s="180" t="s">
        <v>167</v>
      </c>
      <c r="C34" s="181"/>
      <c r="D34" s="182">
        <v>2450550</v>
      </c>
      <c r="E34" s="182">
        <v>3735538</v>
      </c>
      <c r="F34" s="182">
        <v>30000</v>
      </c>
      <c r="G34" s="182">
        <v>1703191</v>
      </c>
      <c r="J34" s="178"/>
    </row>
    <row r="35" spans="1:10" ht="53.5" customHeight="1">
      <c r="A35" s="185" t="s">
        <v>168</v>
      </c>
      <c r="B35" s="180" t="s">
        <v>169</v>
      </c>
      <c r="C35" s="183"/>
      <c r="D35" s="182">
        <v>0</v>
      </c>
      <c r="E35" s="182">
        <v>0</v>
      </c>
      <c r="F35" s="182">
        <v>0</v>
      </c>
      <c r="G35" s="182">
        <v>0</v>
      </c>
      <c r="J35" s="178"/>
    </row>
    <row r="36" spans="1:10" ht="41" customHeight="1">
      <c r="A36" s="185" t="s">
        <v>170</v>
      </c>
      <c r="B36" s="180" t="s">
        <v>171</v>
      </c>
      <c r="C36" s="183"/>
      <c r="D36" s="182">
        <v>0</v>
      </c>
      <c r="E36" s="182">
        <v>0</v>
      </c>
      <c r="F36" s="182">
        <v>0</v>
      </c>
      <c r="G36" s="182">
        <v>0</v>
      </c>
      <c r="J36" s="178"/>
    </row>
    <row r="37" spans="1:10" ht="54" customHeight="1">
      <c r="A37" s="185" t="s">
        <v>172</v>
      </c>
      <c r="B37" s="180" t="s">
        <v>173</v>
      </c>
      <c r="C37" s="183"/>
      <c r="D37" s="182">
        <v>0</v>
      </c>
      <c r="E37" s="182">
        <v>0</v>
      </c>
      <c r="F37" s="182">
        <v>0</v>
      </c>
      <c r="G37" s="182">
        <v>0</v>
      </c>
      <c r="J37" s="178"/>
    </row>
    <row r="38" spans="1:10" ht="36" customHeight="1">
      <c r="A38" s="185" t="s">
        <v>364</v>
      </c>
      <c r="B38" s="180" t="s">
        <v>174</v>
      </c>
      <c r="C38" s="183"/>
      <c r="D38" s="182">
        <v>0</v>
      </c>
      <c r="E38" s="182">
        <v>8300000</v>
      </c>
      <c r="F38" s="182">
        <v>0</v>
      </c>
      <c r="G38" s="182">
        <v>47085976</v>
      </c>
      <c r="J38" s="178"/>
    </row>
    <row r="39" spans="1:10" s="178" customFormat="1" ht="37" customHeight="1">
      <c r="A39" s="174" t="s">
        <v>365</v>
      </c>
      <c r="B39" s="175" t="s">
        <v>175</v>
      </c>
      <c r="C39" s="176"/>
      <c r="D39" s="177">
        <v>5461204658</v>
      </c>
      <c r="E39" s="177">
        <v>17015433609</v>
      </c>
      <c r="F39" s="177">
        <v>1539450757</v>
      </c>
      <c r="G39" s="177">
        <v>5950476469</v>
      </c>
    </row>
    <row r="40" spans="1:10" ht="37" customHeight="1">
      <c r="A40" s="185" t="s">
        <v>409</v>
      </c>
      <c r="B40" s="180" t="s">
        <v>176</v>
      </c>
      <c r="C40" s="183"/>
      <c r="D40" s="182">
        <v>4801176409</v>
      </c>
      <c r="E40" s="182">
        <v>14826392925</v>
      </c>
      <c r="F40" s="182">
        <v>1250165620</v>
      </c>
      <c r="G40" s="182">
        <v>4816539131</v>
      </c>
      <c r="J40" s="178"/>
    </row>
    <row r="41" spans="1:10" ht="37" customHeight="1">
      <c r="A41" s="185" t="s">
        <v>177</v>
      </c>
      <c r="B41" s="180" t="s">
        <v>178</v>
      </c>
      <c r="C41" s="181"/>
      <c r="D41" s="182">
        <v>150536858</v>
      </c>
      <c r="E41" s="182">
        <v>504686660</v>
      </c>
      <c r="F41" s="182">
        <v>48726172</v>
      </c>
      <c r="G41" s="182">
        <v>196831180</v>
      </c>
      <c r="J41" s="178"/>
    </row>
    <row r="42" spans="1:10" ht="37" customHeight="1">
      <c r="A42" s="186" t="s">
        <v>23</v>
      </c>
      <c r="B42" s="187" t="s">
        <v>179</v>
      </c>
      <c r="C42" s="181"/>
      <c r="D42" s="182">
        <v>140237335</v>
      </c>
      <c r="E42" s="182">
        <v>474411221</v>
      </c>
      <c r="F42" s="182">
        <v>45033249</v>
      </c>
      <c r="G42" s="182">
        <v>180033249</v>
      </c>
      <c r="J42" s="178"/>
    </row>
    <row r="43" spans="1:10" ht="37" customHeight="1">
      <c r="A43" s="186" t="s">
        <v>24</v>
      </c>
      <c r="B43" s="187" t="s">
        <v>180</v>
      </c>
      <c r="C43" s="181"/>
      <c r="D43" s="182">
        <v>6200000</v>
      </c>
      <c r="E43" s="182">
        <v>19500000</v>
      </c>
      <c r="F43" s="182">
        <v>2100000</v>
      </c>
      <c r="G43" s="182">
        <v>9800000</v>
      </c>
      <c r="J43" s="178"/>
    </row>
    <row r="44" spans="1:10" ht="68.5" customHeight="1">
      <c r="A44" s="186" t="s">
        <v>774</v>
      </c>
      <c r="B44" s="187" t="s">
        <v>181</v>
      </c>
      <c r="C44" s="181"/>
      <c r="D44" s="182">
        <v>4099523</v>
      </c>
      <c r="E44" s="182">
        <v>10775439</v>
      </c>
      <c r="F44" s="182">
        <v>1592923</v>
      </c>
      <c r="G44" s="182">
        <v>6997931</v>
      </c>
      <c r="J44" s="178"/>
    </row>
    <row r="45" spans="1:10" ht="37" customHeight="1">
      <c r="A45" s="185" t="s">
        <v>182</v>
      </c>
      <c r="B45" s="180" t="s">
        <v>183</v>
      </c>
      <c r="C45" s="181"/>
      <c r="D45" s="182">
        <v>176043134</v>
      </c>
      <c r="E45" s="182">
        <v>543634407</v>
      </c>
      <c r="F45" s="182">
        <v>49536571</v>
      </c>
      <c r="G45" s="182">
        <v>198036571</v>
      </c>
      <c r="J45" s="178"/>
    </row>
    <row r="46" spans="1:10" ht="37" customHeight="1">
      <c r="A46" s="185" t="s">
        <v>184</v>
      </c>
      <c r="B46" s="180" t="s">
        <v>185</v>
      </c>
      <c r="C46" s="181"/>
      <c r="D46" s="182">
        <v>132032352</v>
      </c>
      <c r="E46" s="182">
        <v>407725800</v>
      </c>
      <c r="F46" s="182">
        <v>34405201</v>
      </c>
      <c r="G46" s="182">
        <v>134625836</v>
      </c>
      <c r="J46" s="178"/>
    </row>
    <row r="47" spans="1:10" ht="37" customHeight="1">
      <c r="A47" s="185" t="s">
        <v>186</v>
      </c>
      <c r="B47" s="180" t="s">
        <v>187</v>
      </c>
      <c r="C47" s="181"/>
      <c r="D47" s="182">
        <v>33000000</v>
      </c>
      <c r="E47" s="182">
        <v>132000000</v>
      </c>
      <c r="F47" s="182">
        <v>33000000</v>
      </c>
      <c r="G47" s="182">
        <v>132000000</v>
      </c>
      <c r="J47" s="178"/>
    </row>
    <row r="48" spans="1:10" ht="37" customHeight="1">
      <c r="A48" s="185" t="s">
        <v>188</v>
      </c>
      <c r="B48" s="180" t="s">
        <v>189</v>
      </c>
      <c r="C48" s="181"/>
      <c r="D48" s="182">
        <v>0</v>
      </c>
      <c r="E48" s="182">
        <v>0</v>
      </c>
      <c r="F48" s="182">
        <v>0</v>
      </c>
      <c r="G48" s="182">
        <v>0</v>
      </c>
      <c r="J48" s="178"/>
    </row>
    <row r="49" spans="1:10" ht="51" customHeight="1">
      <c r="A49" s="120" t="s">
        <v>410</v>
      </c>
      <c r="B49" s="187" t="s">
        <v>190</v>
      </c>
      <c r="C49" s="181"/>
      <c r="D49" s="182">
        <v>0</v>
      </c>
      <c r="E49" s="182">
        <v>0</v>
      </c>
      <c r="F49" s="182">
        <v>0</v>
      </c>
      <c r="G49" s="182">
        <v>0</v>
      </c>
      <c r="J49" s="178"/>
    </row>
    <row r="50" spans="1:10" ht="35" customHeight="1">
      <c r="A50" s="120" t="s">
        <v>411</v>
      </c>
      <c r="B50" s="187" t="s">
        <v>191</v>
      </c>
      <c r="C50" s="181"/>
      <c r="D50" s="182">
        <v>0</v>
      </c>
      <c r="E50" s="182">
        <v>0</v>
      </c>
      <c r="F50" s="182">
        <v>0</v>
      </c>
      <c r="G50" s="182">
        <v>0</v>
      </c>
      <c r="J50" s="178"/>
    </row>
    <row r="51" spans="1:10" ht="35" customHeight="1">
      <c r="A51" s="185" t="s">
        <v>192</v>
      </c>
      <c r="B51" s="180" t="s">
        <v>193</v>
      </c>
      <c r="C51" s="181"/>
      <c r="D51" s="182">
        <v>42924466</v>
      </c>
      <c r="E51" s="182">
        <v>142737439</v>
      </c>
      <c r="F51" s="182">
        <v>8125165</v>
      </c>
      <c r="G51" s="182">
        <v>19585052</v>
      </c>
      <c r="J51" s="178"/>
    </row>
    <row r="52" spans="1:10" ht="35" customHeight="1">
      <c r="A52" s="185" t="s">
        <v>366</v>
      </c>
      <c r="B52" s="180" t="s">
        <v>194</v>
      </c>
      <c r="C52" s="181"/>
      <c r="D52" s="182">
        <v>35058836</v>
      </c>
      <c r="E52" s="182">
        <v>145957528</v>
      </c>
      <c r="F52" s="182">
        <v>45311838</v>
      </c>
      <c r="G52" s="182">
        <v>159103949</v>
      </c>
      <c r="J52" s="178"/>
    </row>
    <row r="53" spans="1:10" ht="35" customHeight="1">
      <c r="A53" s="185" t="s">
        <v>195</v>
      </c>
      <c r="B53" s="180" t="s">
        <v>196</v>
      </c>
      <c r="C53" s="181"/>
      <c r="D53" s="182">
        <v>0</v>
      </c>
      <c r="E53" s="182">
        <v>0</v>
      </c>
      <c r="F53" s="182">
        <v>0</v>
      </c>
      <c r="G53" s="182">
        <v>0</v>
      </c>
      <c r="J53" s="178"/>
    </row>
    <row r="54" spans="1:10" ht="35" customHeight="1">
      <c r="A54" s="185" t="s">
        <v>367</v>
      </c>
      <c r="B54" s="188" t="s">
        <v>197</v>
      </c>
      <c r="C54" s="181"/>
      <c r="D54" s="182">
        <v>90432603</v>
      </c>
      <c r="E54" s="182">
        <v>312298850</v>
      </c>
      <c r="F54" s="182">
        <v>70180190</v>
      </c>
      <c r="G54" s="182">
        <v>293754750</v>
      </c>
      <c r="J54" s="178"/>
    </row>
    <row r="55" spans="1:10" ht="35" customHeight="1">
      <c r="A55" s="120" t="s">
        <v>38</v>
      </c>
      <c r="B55" s="189" t="s">
        <v>198</v>
      </c>
      <c r="C55" s="181"/>
      <c r="D55" s="182">
        <v>19508197</v>
      </c>
      <c r="E55" s="182">
        <v>78000000</v>
      </c>
      <c r="F55" s="182">
        <v>19512329</v>
      </c>
      <c r="G55" s="182">
        <v>78000000</v>
      </c>
      <c r="J55" s="178"/>
    </row>
    <row r="56" spans="1:10" ht="35" customHeight="1">
      <c r="A56" s="120" t="s">
        <v>199</v>
      </c>
      <c r="B56" s="189" t="s">
        <v>200</v>
      </c>
      <c r="C56" s="181"/>
      <c r="D56" s="182">
        <v>0</v>
      </c>
      <c r="E56" s="182">
        <v>0</v>
      </c>
      <c r="F56" s="182">
        <v>0</v>
      </c>
      <c r="G56" s="182">
        <v>0</v>
      </c>
      <c r="J56" s="178"/>
    </row>
    <row r="57" spans="1:10" ht="35" customHeight="1">
      <c r="A57" s="120" t="s">
        <v>201</v>
      </c>
      <c r="B57" s="189" t="s">
        <v>202</v>
      </c>
      <c r="C57" s="183"/>
      <c r="D57" s="182">
        <v>0</v>
      </c>
      <c r="E57" s="182">
        <v>0</v>
      </c>
      <c r="F57" s="182">
        <v>0</v>
      </c>
      <c r="G57" s="182">
        <v>0</v>
      </c>
      <c r="J57" s="178"/>
    </row>
    <row r="58" spans="1:10" ht="35" customHeight="1">
      <c r="A58" s="120" t="s">
        <v>368</v>
      </c>
      <c r="B58" s="189" t="s">
        <v>203</v>
      </c>
      <c r="C58" s="181"/>
      <c r="D58" s="182">
        <v>47000000</v>
      </c>
      <c r="E58" s="182">
        <v>117500000</v>
      </c>
      <c r="F58" s="182">
        <v>23500000</v>
      </c>
      <c r="G58" s="182">
        <v>94000000</v>
      </c>
      <c r="J58" s="178"/>
    </row>
    <row r="59" spans="1:10" ht="35" customHeight="1">
      <c r="A59" s="120" t="s">
        <v>39</v>
      </c>
      <c r="B59" s="189" t="s">
        <v>204</v>
      </c>
      <c r="C59" s="183"/>
      <c r="D59" s="182">
        <v>10933560</v>
      </c>
      <c r="E59" s="182">
        <v>43200000</v>
      </c>
      <c r="F59" s="182">
        <v>0</v>
      </c>
      <c r="G59" s="182">
        <v>0</v>
      </c>
      <c r="J59" s="178"/>
    </row>
    <row r="60" spans="1:10" ht="35" customHeight="1">
      <c r="A60" s="120" t="s">
        <v>369</v>
      </c>
      <c r="B60" s="189" t="s">
        <v>205</v>
      </c>
      <c r="C60" s="183"/>
      <c r="D60" s="182">
        <v>0</v>
      </c>
      <c r="E60" s="182">
        <v>0</v>
      </c>
      <c r="F60" s="182">
        <v>0</v>
      </c>
      <c r="G60" s="182">
        <v>0</v>
      </c>
      <c r="J60" s="178"/>
    </row>
    <row r="61" spans="1:10" ht="35" customHeight="1">
      <c r="A61" s="120" t="s">
        <v>370</v>
      </c>
      <c r="B61" s="189" t="s">
        <v>206</v>
      </c>
      <c r="C61" s="183"/>
      <c r="D61" s="182">
        <v>1885246</v>
      </c>
      <c r="E61" s="182">
        <v>7500000</v>
      </c>
      <c r="F61" s="182">
        <v>1890411</v>
      </c>
      <c r="G61" s="182">
        <v>12500000</v>
      </c>
      <c r="J61" s="178"/>
    </row>
    <row r="62" spans="1:10" ht="35" customHeight="1">
      <c r="A62" s="120" t="s">
        <v>46</v>
      </c>
      <c r="B62" s="189" t="s">
        <v>207</v>
      </c>
      <c r="C62" s="183"/>
      <c r="D62" s="182">
        <v>11105600</v>
      </c>
      <c r="E62" s="182">
        <v>63451850</v>
      </c>
      <c r="F62" s="182">
        <v>25277450</v>
      </c>
      <c r="G62" s="182">
        <v>108154750</v>
      </c>
      <c r="J62" s="178"/>
    </row>
    <row r="63" spans="1:10" ht="35" customHeight="1">
      <c r="A63" s="120" t="s">
        <v>40</v>
      </c>
      <c r="B63" s="189" t="s">
        <v>208</v>
      </c>
      <c r="C63" s="183"/>
      <c r="D63" s="182">
        <v>0</v>
      </c>
      <c r="E63" s="182">
        <v>0</v>
      </c>
      <c r="F63" s="182">
        <v>0</v>
      </c>
      <c r="G63" s="182">
        <v>0</v>
      </c>
      <c r="J63" s="178"/>
    </row>
    <row r="64" spans="1:10" ht="35" customHeight="1">
      <c r="A64" s="120" t="s">
        <v>355</v>
      </c>
      <c r="B64" s="189" t="s">
        <v>209</v>
      </c>
      <c r="C64" s="181"/>
      <c r="D64" s="182">
        <v>0</v>
      </c>
      <c r="E64" s="182">
        <v>0</v>
      </c>
      <c r="F64" s="182">
        <v>0</v>
      </c>
      <c r="G64" s="182">
        <v>0</v>
      </c>
      <c r="J64" s="178"/>
    </row>
    <row r="65" spans="1:10" ht="35" customHeight="1">
      <c r="A65" s="120" t="s">
        <v>775</v>
      </c>
      <c r="B65" s="189" t="s">
        <v>210</v>
      </c>
      <c r="C65" s="181"/>
      <c r="D65" s="182">
        <v>0</v>
      </c>
      <c r="E65" s="182">
        <v>1100000</v>
      </c>
      <c r="F65" s="182">
        <v>0</v>
      </c>
      <c r="G65" s="182">
        <v>1100000</v>
      </c>
      <c r="J65" s="178"/>
    </row>
    <row r="66" spans="1:10" ht="35" customHeight="1">
      <c r="A66" s="120" t="s">
        <v>776</v>
      </c>
      <c r="B66" s="189" t="s">
        <v>211</v>
      </c>
      <c r="C66" s="181"/>
      <c r="D66" s="182">
        <v>0</v>
      </c>
      <c r="E66" s="182">
        <v>0</v>
      </c>
      <c r="F66" s="182">
        <v>0</v>
      </c>
      <c r="G66" s="182">
        <v>0</v>
      </c>
      <c r="J66" s="178"/>
    </row>
    <row r="67" spans="1:10" ht="35" customHeight="1">
      <c r="A67" s="120" t="s">
        <v>371</v>
      </c>
      <c r="B67" s="189" t="s">
        <v>212</v>
      </c>
      <c r="C67" s="181"/>
      <c r="D67" s="182">
        <v>0</v>
      </c>
      <c r="E67" s="182">
        <v>0</v>
      </c>
      <c r="F67" s="182">
        <v>0</v>
      </c>
      <c r="G67" s="182">
        <v>0</v>
      </c>
      <c r="J67" s="178"/>
    </row>
    <row r="68" spans="1:10" ht="35" customHeight="1">
      <c r="A68" s="120" t="s">
        <v>213</v>
      </c>
      <c r="B68" s="189" t="s">
        <v>214</v>
      </c>
      <c r="C68" s="181"/>
      <c r="D68" s="182">
        <v>0</v>
      </c>
      <c r="E68" s="182">
        <v>1547000</v>
      </c>
      <c r="F68" s="182">
        <v>0</v>
      </c>
      <c r="G68" s="182">
        <v>0</v>
      </c>
      <c r="J68" s="178"/>
    </row>
    <row r="69" spans="1:10" s="178" customFormat="1" ht="52" customHeight="1">
      <c r="A69" s="174" t="s">
        <v>215</v>
      </c>
      <c r="B69" s="175" t="s">
        <v>216</v>
      </c>
      <c r="C69" s="176"/>
      <c r="D69" s="177">
        <v>27675101189</v>
      </c>
      <c r="E69" s="177">
        <v>81723687606</v>
      </c>
      <c r="F69" s="177">
        <v>10755690676</v>
      </c>
      <c r="G69" s="177">
        <v>34890488461</v>
      </c>
    </row>
    <row r="70" spans="1:10" s="178" customFormat="1" ht="36" customHeight="1">
      <c r="A70" s="174" t="s">
        <v>217</v>
      </c>
      <c r="B70" s="175" t="s">
        <v>218</v>
      </c>
      <c r="C70" s="176"/>
      <c r="D70" s="177">
        <v>0</v>
      </c>
      <c r="E70" s="177">
        <v>0</v>
      </c>
      <c r="F70" s="177">
        <v>0</v>
      </c>
      <c r="G70" s="177">
        <v>0</v>
      </c>
    </row>
    <row r="71" spans="1:10" ht="36" customHeight="1">
      <c r="A71" s="179" t="s">
        <v>412</v>
      </c>
      <c r="B71" s="184" t="s">
        <v>219</v>
      </c>
      <c r="C71" s="183"/>
      <c r="D71" s="182">
        <v>0</v>
      </c>
      <c r="E71" s="182">
        <v>0</v>
      </c>
      <c r="F71" s="182">
        <v>0</v>
      </c>
      <c r="G71" s="182">
        <v>0</v>
      </c>
      <c r="J71" s="178"/>
    </row>
    <row r="72" spans="1:10" ht="36" customHeight="1">
      <c r="A72" s="179" t="s">
        <v>372</v>
      </c>
      <c r="B72" s="184" t="s">
        <v>220</v>
      </c>
      <c r="C72" s="183"/>
      <c r="D72" s="182">
        <v>0</v>
      </c>
      <c r="E72" s="182">
        <v>0</v>
      </c>
      <c r="F72" s="182">
        <v>0</v>
      </c>
      <c r="G72" s="182">
        <v>0</v>
      </c>
      <c r="J72" s="178"/>
    </row>
    <row r="73" spans="1:10" s="178" customFormat="1" ht="50.5" customHeight="1">
      <c r="A73" s="174" t="s">
        <v>221</v>
      </c>
      <c r="B73" s="175" t="s">
        <v>222</v>
      </c>
      <c r="C73" s="176"/>
      <c r="D73" s="177">
        <v>27675101189</v>
      </c>
      <c r="E73" s="177">
        <v>81723687606</v>
      </c>
      <c r="F73" s="177">
        <v>10755690676</v>
      </c>
      <c r="G73" s="177">
        <v>34890488461</v>
      </c>
    </row>
    <row r="74" spans="1:10" ht="33.5" customHeight="1">
      <c r="A74" s="185" t="s">
        <v>223</v>
      </c>
      <c r="B74" s="180" t="s">
        <v>224</v>
      </c>
      <c r="C74" s="183"/>
      <c r="D74" s="182">
        <v>27985434558</v>
      </c>
      <c r="E74" s="182">
        <v>83013454503</v>
      </c>
      <c r="F74" s="182">
        <v>9742710905</v>
      </c>
      <c r="G74" s="182">
        <v>33827780498</v>
      </c>
      <c r="J74" s="178"/>
    </row>
    <row r="75" spans="1:10" ht="33.5" customHeight="1">
      <c r="A75" s="185" t="s">
        <v>225</v>
      </c>
      <c r="B75" s="180" t="s">
        <v>226</v>
      </c>
      <c r="C75" s="183"/>
      <c r="D75" s="182">
        <v>-310333369</v>
      </c>
      <c r="E75" s="182">
        <v>-1289766897</v>
      </c>
      <c r="F75" s="182">
        <v>1012979771</v>
      </c>
      <c r="G75" s="182">
        <v>1062707963</v>
      </c>
      <c r="J75" s="178"/>
    </row>
    <row r="76" spans="1:10" s="178" customFormat="1" ht="33.5" customHeight="1">
      <c r="A76" s="174" t="s">
        <v>227</v>
      </c>
      <c r="B76" s="175" t="s">
        <v>228</v>
      </c>
      <c r="C76" s="176"/>
      <c r="D76" s="177">
        <v>0</v>
      </c>
      <c r="E76" s="177">
        <v>0</v>
      </c>
      <c r="F76" s="177">
        <v>0</v>
      </c>
      <c r="G76" s="177">
        <v>0</v>
      </c>
    </row>
    <row r="77" spans="1:10" s="178" customFormat="1" ht="49.5" customHeight="1">
      <c r="A77" s="174" t="s">
        <v>229</v>
      </c>
      <c r="B77" s="175" t="s">
        <v>230</v>
      </c>
      <c r="C77" s="176"/>
      <c r="D77" s="177">
        <v>27675101189</v>
      </c>
      <c r="E77" s="177">
        <v>81723687606</v>
      </c>
      <c r="F77" s="177">
        <v>10755690676</v>
      </c>
      <c r="G77" s="177">
        <v>34890488461</v>
      </c>
    </row>
    <row r="80" spans="1:10" s="178" customFormat="1" ht="16.899999999999999" customHeight="1">
      <c r="A80" s="190" t="s">
        <v>231</v>
      </c>
      <c r="B80" s="266" t="s">
        <v>232</v>
      </c>
      <c r="C80" s="266"/>
      <c r="D80" s="266"/>
      <c r="E80" s="266"/>
      <c r="F80" s="266"/>
      <c r="G80" s="266"/>
    </row>
    <row r="93" spans="1:7">
      <c r="A93" s="65" t="s">
        <v>646</v>
      </c>
      <c r="B93" s="274" t="s">
        <v>647</v>
      </c>
      <c r="C93" s="274"/>
      <c r="D93" s="274"/>
      <c r="E93" s="274"/>
      <c r="F93" s="274" t="s">
        <v>648</v>
      </c>
      <c r="G93" s="274"/>
    </row>
    <row r="94" spans="1:7" ht="16.899999999999999" customHeight="1">
      <c r="A94" s="190" t="s">
        <v>1327</v>
      </c>
      <c r="B94" s="266" t="s">
        <v>1320</v>
      </c>
      <c r="C94" s="266"/>
      <c r="D94" s="266"/>
      <c r="E94" s="266"/>
      <c r="F94" s="266" t="s">
        <v>1310</v>
      </c>
      <c r="G94" s="266"/>
    </row>
    <row r="95" spans="1:7" ht="16.899999999999999" customHeight="1">
      <c r="A95" s="191" t="s">
        <v>1321</v>
      </c>
      <c r="B95" s="274" t="s">
        <v>1322</v>
      </c>
      <c r="C95" s="274"/>
      <c r="D95" s="274"/>
      <c r="E95" s="274"/>
      <c r="F95" s="274" t="s">
        <v>1312</v>
      </c>
      <c r="G95" s="274"/>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&amp;L&amp;"Arial"&amp;9&amp;KA80000CONFIDENTIAL&amp;1#</oddHeader>
  </headerFooter>
  <rowBreaks count="1" manualBreakCount="1">
    <brk id="46" max="6"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20" zoomScale="80" zoomScaleNormal="100" zoomScaleSheetLayoutView="80" workbookViewId="0">
      <selection activeCell="A137" sqref="A137:B137"/>
    </sheetView>
  </sheetViews>
  <sheetFormatPr defaultColWidth="8.7265625" defaultRowHeight="15.5"/>
  <cols>
    <col min="1" max="1" width="7.1796875" style="65" customWidth="1"/>
    <col min="2" max="2" width="84" style="65" customWidth="1"/>
    <col min="3" max="3" width="10.54296875" style="65" customWidth="1"/>
    <col min="4" max="4" width="15.1796875" style="65" customWidth="1"/>
    <col min="5" max="5" width="27.81640625" style="65" customWidth="1"/>
    <col min="6" max="6" width="40.81640625" style="65" customWidth="1"/>
    <col min="7" max="7" width="8.7265625" style="192"/>
    <col min="8" max="16384" width="8.7265625" style="169"/>
  </cols>
  <sheetData>
    <row r="1" spans="1:6" ht="65.25" customHeight="1">
      <c r="A1" s="233" t="s">
        <v>759</v>
      </c>
      <c r="B1" s="233"/>
      <c r="C1" s="233"/>
      <c r="D1" s="233"/>
      <c r="E1" s="233"/>
      <c r="F1" s="233"/>
    </row>
    <row r="2" spans="1:6" ht="64.5" customHeight="1">
      <c r="A2" s="234" t="s">
        <v>760</v>
      </c>
      <c r="B2" s="234"/>
      <c r="C2" s="234"/>
      <c r="D2" s="234"/>
      <c r="E2" s="234"/>
      <c r="F2" s="234"/>
    </row>
    <row r="3" spans="1:6" ht="31.15" customHeight="1">
      <c r="A3" s="235" t="s">
        <v>233</v>
      </c>
      <c r="B3" s="235"/>
      <c r="C3" s="235"/>
      <c r="D3" s="235"/>
      <c r="E3" s="235"/>
      <c r="F3" s="235"/>
    </row>
    <row r="4" spans="1:6" ht="6" customHeight="1"/>
    <row r="5" spans="1:6" ht="16.899999999999999" customHeight="1">
      <c r="A5" s="236" t="str">
        <f>TONGQUAN!C1</f>
        <v>Tại ngày 31 tháng 12 năm 2024
/ As at 31 Dec 2024</v>
      </c>
      <c r="B5" s="236"/>
      <c r="C5" s="236"/>
      <c r="D5" s="236"/>
      <c r="E5" s="236"/>
      <c r="F5" s="236"/>
    </row>
    <row r="6" spans="1:6" ht="16.899999999999999" customHeight="1"/>
    <row r="7" spans="1:6" ht="16.899999999999999" customHeight="1">
      <c r="A7" s="94" t="s">
        <v>2</v>
      </c>
      <c r="C7" s="227" t="str">
        <f>TONGQUAN!D5</f>
        <v>Công ty Cổ phần Quản lý Quỹ Đầu tư Dragon Capital Việt Nam</v>
      </c>
      <c r="D7" s="227"/>
      <c r="E7" s="227"/>
      <c r="F7" s="227"/>
    </row>
    <row r="8" spans="1:6" ht="16.899999999999999" customHeight="1">
      <c r="A8" s="65" t="s">
        <v>15</v>
      </c>
      <c r="C8" s="265" t="str">
        <f>TONGQUAN!D6</f>
        <v>Dragon Capital Vietfund Management Joint Stock Company</v>
      </c>
      <c r="D8" s="265"/>
      <c r="E8" s="265"/>
      <c r="F8" s="265"/>
    </row>
    <row r="9" spans="1:6" ht="16.899999999999999" customHeight="1">
      <c r="A9" s="94" t="s">
        <v>3</v>
      </c>
      <c r="C9" s="227" t="str">
        <f>TONGQUAN!D7</f>
        <v>Ngân hàng TNHH Một thành viên Standard Chartered (Việt Nam)</v>
      </c>
      <c r="D9" s="227"/>
      <c r="E9" s="227"/>
      <c r="F9" s="227"/>
    </row>
    <row r="10" spans="1:6" ht="16.899999999999999" customHeight="1">
      <c r="A10" s="65" t="s">
        <v>4</v>
      </c>
      <c r="C10" s="265" t="str">
        <f>TONGQUAN!D8</f>
        <v>Standard Chartered Bank (Vietnam) Limited</v>
      </c>
      <c r="D10" s="265"/>
      <c r="E10" s="265"/>
      <c r="F10" s="265"/>
    </row>
    <row r="11" spans="1:6" ht="16.899999999999999" customHeight="1">
      <c r="A11" s="94" t="s">
        <v>5</v>
      </c>
      <c r="C11" s="227" t="str">
        <f>TONGQUAN!D9</f>
        <v>Quỹ Đầu tư Trái phiếu DC</v>
      </c>
      <c r="D11" s="227"/>
      <c r="E11" s="227"/>
      <c r="F11" s="227"/>
    </row>
    <row r="12" spans="1:6" ht="16.899999999999999" customHeight="1">
      <c r="A12" s="65" t="s">
        <v>6</v>
      </c>
      <c r="C12" s="265" t="str">
        <f>TONGQUAN!D10</f>
        <v>DC Bond Fund (DCBF)</v>
      </c>
      <c r="D12" s="265"/>
      <c r="E12" s="265"/>
      <c r="F12" s="265"/>
    </row>
    <row r="13" spans="1:6" ht="16.899999999999999" customHeight="1">
      <c r="A13" s="94" t="s">
        <v>7</v>
      </c>
      <c r="C13" s="227" t="str">
        <f>TONGQUAN!D11</f>
        <v>Ngày 07 tháng 01 năm 2025</v>
      </c>
      <c r="D13" s="227"/>
      <c r="E13" s="227"/>
      <c r="F13" s="227"/>
    </row>
    <row r="14" spans="1:6" ht="16.899999999999999" customHeight="1">
      <c r="A14" s="65" t="s">
        <v>8</v>
      </c>
      <c r="C14" s="265" t="str">
        <f>TONGQUAN!D12</f>
        <v>07 Jan 2025</v>
      </c>
      <c r="D14" s="265"/>
      <c r="E14" s="265"/>
      <c r="F14" s="265"/>
    </row>
    <row r="15" spans="1:6" ht="16.899999999999999" customHeight="1"/>
    <row r="16" spans="1:6" ht="46.9" customHeight="1">
      <c r="A16" s="132" t="s">
        <v>234</v>
      </c>
      <c r="B16" s="132" t="s">
        <v>148</v>
      </c>
      <c r="C16" s="132" t="s">
        <v>149</v>
      </c>
      <c r="D16" s="132" t="s">
        <v>150</v>
      </c>
      <c r="E16" s="132" t="str">
        <f>BCTaiSan_06027!D18</f>
        <v>Ngày 31 tháng 12 năm 2024
 As at 31 Dec 2024</v>
      </c>
      <c r="F16" s="132" t="str">
        <f>BCTaiSan_06027!E18</f>
        <v>Ngày 30 tháng 09 năm 2024
 As at 30 Sep 2024</v>
      </c>
    </row>
    <row r="17" spans="1:7" ht="36.5" customHeight="1">
      <c r="A17" s="193" t="s">
        <v>16</v>
      </c>
      <c r="B17" s="194" t="s">
        <v>444</v>
      </c>
      <c r="C17" s="195" t="s">
        <v>16</v>
      </c>
      <c r="D17" s="177"/>
      <c r="E17" s="177"/>
      <c r="F17" s="177"/>
    </row>
    <row r="18" spans="1:7" ht="36.5" customHeight="1">
      <c r="A18" s="196" t="s">
        <v>445</v>
      </c>
      <c r="B18" s="197" t="s">
        <v>446</v>
      </c>
      <c r="C18" s="198" t="s">
        <v>447</v>
      </c>
      <c r="D18" s="196"/>
      <c r="E18" s="199">
        <v>260940922040</v>
      </c>
      <c r="F18" s="199">
        <v>156172164816</v>
      </c>
    </row>
    <row r="19" spans="1:7" ht="36.5" customHeight="1">
      <c r="A19" s="196" t="s">
        <v>448</v>
      </c>
      <c r="B19" s="197" t="s">
        <v>449</v>
      </c>
      <c r="C19" s="198" t="s">
        <v>450</v>
      </c>
      <c r="D19" s="196"/>
      <c r="E19" s="199">
        <v>12140922040</v>
      </c>
      <c r="F19" s="199">
        <v>10372164816</v>
      </c>
    </row>
    <row r="20" spans="1:7" s="203" customFormat="1" ht="36.5" customHeight="1">
      <c r="A20" s="196" t="s">
        <v>451</v>
      </c>
      <c r="B20" s="200" t="s">
        <v>452</v>
      </c>
      <c r="C20" s="201" t="s">
        <v>453</v>
      </c>
      <c r="D20" s="196"/>
      <c r="E20" s="199">
        <v>9923142711</v>
      </c>
      <c r="F20" s="199">
        <v>9525444010</v>
      </c>
      <c r="G20" s="202"/>
    </row>
    <row r="21" spans="1:7" s="203" customFormat="1" ht="36.5" customHeight="1">
      <c r="A21" s="196" t="s">
        <v>451</v>
      </c>
      <c r="B21" s="200" t="s">
        <v>782</v>
      </c>
      <c r="C21" s="201" t="s">
        <v>454</v>
      </c>
      <c r="D21" s="196"/>
      <c r="E21" s="199">
        <v>4391073</v>
      </c>
      <c r="F21" s="199">
        <v>4391073</v>
      </c>
      <c r="G21" s="202"/>
    </row>
    <row r="22" spans="1:7" s="203" customFormat="1" ht="36.5" customHeight="1">
      <c r="A22" s="196" t="s">
        <v>451</v>
      </c>
      <c r="B22" s="200" t="s">
        <v>455</v>
      </c>
      <c r="C22" s="201" t="s">
        <v>456</v>
      </c>
      <c r="D22" s="196"/>
      <c r="E22" s="199">
        <v>2213388256</v>
      </c>
      <c r="F22" s="199">
        <v>842329733</v>
      </c>
      <c r="G22" s="202"/>
    </row>
    <row r="23" spans="1:7" ht="36.5" customHeight="1">
      <c r="A23" s="196" t="s">
        <v>451</v>
      </c>
      <c r="B23" s="200" t="s">
        <v>21</v>
      </c>
      <c r="C23" s="201" t="s">
        <v>457</v>
      </c>
      <c r="D23" s="196"/>
      <c r="E23" s="199">
        <v>0</v>
      </c>
      <c r="F23" s="199">
        <v>0</v>
      </c>
    </row>
    <row r="24" spans="1:7" ht="36.5" customHeight="1">
      <c r="A24" s="196" t="s">
        <v>458</v>
      </c>
      <c r="B24" s="197" t="s">
        <v>783</v>
      </c>
      <c r="C24" s="198" t="s">
        <v>459</v>
      </c>
      <c r="D24" s="196"/>
      <c r="E24" s="199">
        <v>248800000000</v>
      </c>
      <c r="F24" s="199">
        <v>145800000000</v>
      </c>
    </row>
    <row r="25" spans="1:7" ht="36.5" customHeight="1">
      <c r="A25" s="196" t="s">
        <v>460</v>
      </c>
      <c r="B25" s="197" t="s">
        <v>461</v>
      </c>
      <c r="C25" s="198" t="s">
        <v>462</v>
      </c>
      <c r="D25" s="196"/>
      <c r="E25" s="199">
        <v>1383107257612</v>
      </c>
      <c r="F25" s="199">
        <v>1360106253896</v>
      </c>
    </row>
    <row r="26" spans="1:7" ht="36.5" customHeight="1">
      <c r="A26" s="196" t="s">
        <v>463</v>
      </c>
      <c r="B26" s="197" t="s">
        <v>464</v>
      </c>
      <c r="C26" s="198" t="s">
        <v>465</v>
      </c>
      <c r="D26" s="196"/>
      <c r="E26" s="199">
        <v>1383107257612</v>
      </c>
      <c r="F26" s="199">
        <v>1360106253896</v>
      </c>
    </row>
    <row r="27" spans="1:7" ht="36.5" customHeight="1">
      <c r="A27" s="196" t="s">
        <v>451</v>
      </c>
      <c r="B27" s="200" t="s">
        <v>764</v>
      </c>
      <c r="C27" s="201" t="s">
        <v>466</v>
      </c>
      <c r="D27" s="196"/>
      <c r="E27" s="199">
        <v>0</v>
      </c>
      <c r="F27" s="199">
        <v>0</v>
      </c>
    </row>
    <row r="28" spans="1:7" ht="36.5" customHeight="1">
      <c r="A28" s="196" t="s">
        <v>451</v>
      </c>
      <c r="B28" s="200" t="s">
        <v>765</v>
      </c>
      <c r="C28" s="201" t="s">
        <v>467</v>
      </c>
      <c r="D28" s="196"/>
      <c r="E28" s="199">
        <v>0</v>
      </c>
      <c r="F28" s="199">
        <v>0</v>
      </c>
    </row>
    <row r="29" spans="1:7" ht="36.5" customHeight="1">
      <c r="A29" s="196" t="s">
        <v>451</v>
      </c>
      <c r="B29" s="200" t="s">
        <v>468</v>
      </c>
      <c r="C29" s="201" t="s">
        <v>469</v>
      </c>
      <c r="D29" s="196"/>
      <c r="E29" s="199">
        <v>803804814079</v>
      </c>
      <c r="F29" s="199">
        <v>796657988636</v>
      </c>
    </row>
    <row r="30" spans="1:7" ht="36.5" customHeight="1">
      <c r="A30" s="196" t="s">
        <v>451</v>
      </c>
      <c r="B30" s="200" t="s">
        <v>470</v>
      </c>
      <c r="C30" s="201" t="s">
        <v>471</v>
      </c>
      <c r="D30" s="196"/>
      <c r="E30" s="199">
        <v>153079537930</v>
      </c>
      <c r="F30" s="199">
        <v>142348265260</v>
      </c>
    </row>
    <row r="31" spans="1:7" ht="36.5" customHeight="1">
      <c r="A31" s="196" t="s">
        <v>451</v>
      </c>
      <c r="B31" s="200" t="s">
        <v>771</v>
      </c>
      <c r="C31" s="201" t="s">
        <v>472</v>
      </c>
      <c r="D31" s="196"/>
      <c r="E31" s="199">
        <v>265122905603</v>
      </c>
      <c r="F31" s="199">
        <v>265000000000</v>
      </c>
    </row>
    <row r="32" spans="1:7" ht="36.5" customHeight="1">
      <c r="A32" s="196" t="s">
        <v>451</v>
      </c>
      <c r="B32" s="200" t="s">
        <v>431</v>
      </c>
      <c r="C32" s="201" t="s">
        <v>473</v>
      </c>
      <c r="D32" s="196"/>
      <c r="E32" s="199">
        <v>161100000000</v>
      </c>
      <c r="F32" s="199">
        <v>156100000000</v>
      </c>
    </row>
    <row r="33" spans="1:6" ht="36.5" customHeight="1">
      <c r="A33" s="196" t="s">
        <v>451</v>
      </c>
      <c r="B33" s="200" t="s">
        <v>432</v>
      </c>
      <c r="C33" s="201" t="s">
        <v>474</v>
      </c>
      <c r="D33" s="196"/>
      <c r="E33" s="199">
        <v>0</v>
      </c>
      <c r="F33" s="199">
        <v>0</v>
      </c>
    </row>
    <row r="34" spans="1:6" ht="36.5" customHeight="1">
      <c r="A34" s="196" t="s">
        <v>451</v>
      </c>
      <c r="B34" s="200" t="s">
        <v>433</v>
      </c>
      <c r="C34" s="201" t="s">
        <v>475</v>
      </c>
      <c r="D34" s="196"/>
      <c r="E34" s="199">
        <v>0</v>
      </c>
      <c r="F34" s="199">
        <v>0</v>
      </c>
    </row>
    <row r="35" spans="1:6" ht="36.5" customHeight="1">
      <c r="A35" s="196" t="s">
        <v>451</v>
      </c>
      <c r="B35" s="200" t="s">
        <v>476</v>
      </c>
      <c r="C35" s="201" t="s">
        <v>477</v>
      </c>
      <c r="D35" s="196"/>
      <c r="E35" s="199">
        <v>0</v>
      </c>
      <c r="F35" s="199">
        <v>0</v>
      </c>
    </row>
    <row r="36" spans="1:6" ht="36.5" customHeight="1">
      <c r="A36" s="196" t="s">
        <v>451</v>
      </c>
      <c r="B36" s="200" t="s">
        <v>434</v>
      </c>
      <c r="C36" s="201" t="s">
        <v>478</v>
      </c>
      <c r="D36" s="196"/>
      <c r="E36" s="199">
        <v>0</v>
      </c>
      <c r="F36" s="199">
        <v>0</v>
      </c>
    </row>
    <row r="37" spans="1:6" ht="36.5" customHeight="1">
      <c r="A37" s="196" t="s">
        <v>479</v>
      </c>
      <c r="B37" s="197" t="s">
        <v>480</v>
      </c>
      <c r="C37" s="198" t="s">
        <v>481</v>
      </c>
      <c r="D37" s="196"/>
      <c r="E37" s="199">
        <v>0</v>
      </c>
      <c r="F37" s="199">
        <v>0</v>
      </c>
    </row>
    <row r="38" spans="1:6" ht="36.5" customHeight="1">
      <c r="A38" s="196" t="s">
        <v>482</v>
      </c>
      <c r="B38" s="197" t="s">
        <v>483</v>
      </c>
      <c r="C38" s="198" t="s">
        <v>484</v>
      </c>
      <c r="D38" s="196"/>
      <c r="E38" s="199">
        <v>43732476255</v>
      </c>
      <c r="F38" s="199">
        <v>22327657480</v>
      </c>
    </row>
    <row r="39" spans="1:6" ht="36.5" customHeight="1">
      <c r="A39" s="196" t="s">
        <v>485</v>
      </c>
      <c r="B39" s="197" t="s">
        <v>486</v>
      </c>
      <c r="C39" s="198" t="s">
        <v>487</v>
      </c>
      <c r="D39" s="196"/>
      <c r="E39" s="199">
        <v>0</v>
      </c>
      <c r="F39" s="199">
        <v>0</v>
      </c>
    </row>
    <row r="40" spans="1:6" ht="36.5" customHeight="1">
      <c r="A40" s="196" t="s">
        <v>451</v>
      </c>
      <c r="B40" s="200" t="s">
        <v>488</v>
      </c>
      <c r="C40" s="201" t="s">
        <v>489</v>
      </c>
      <c r="D40" s="196"/>
      <c r="E40" s="199">
        <v>0</v>
      </c>
      <c r="F40" s="199">
        <v>0</v>
      </c>
    </row>
    <row r="41" spans="1:6" ht="36.5" customHeight="1">
      <c r="A41" s="196" t="s">
        <v>490</v>
      </c>
      <c r="B41" s="197" t="s">
        <v>491</v>
      </c>
      <c r="C41" s="198" t="s">
        <v>492</v>
      </c>
      <c r="D41" s="196"/>
      <c r="E41" s="199">
        <v>43732476255</v>
      </c>
      <c r="F41" s="199">
        <v>22291073922</v>
      </c>
    </row>
    <row r="42" spans="1:6" ht="36.5" customHeight="1">
      <c r="A42" s="196" t="s">
        <v>493</v>
      </c>
      <c r="B42" s="197" t="s">
        <v>494</v>
      </c>
      <c r="C42" s="198" t="s">
        <v>495</v>
      </c>
      <c r="D42" s="196"/>
      <c r="E42" s="199">
        <v>0</v>
      </c>
      <c r="F42" s="199">
        <v>0</v>
      </c>
    </row>
    <row r="43" spans="1:6" ht="36.5" customHeight="1">
      <c r="A43" s="196" t="s">
        <v>451</v>
      </c>
      <c r="B43" s="200" t="s">
        <v>435</v>
      </c>
      <c r="C43" s="201" t="s">
        <v>496</v>
      </c>
      <c r="D43" s="196"/>
      <c r="E43" s="199">
        <v>0</v>
      </c>
      <c r="F43" s="199">
        <v>0</v>
      </c>
    </row>
    <row r="44" spans="1:6" ht="36.5" customHeight="1">
      <c r="A44" s="196" t="s">
        <v>451</v>
      </c>
      <c r="B44" s="200" t="s">
        <v>436</v>
      </c>
      <c r="C44" s="201" t="s">
        <v>497</v>
      </c>
      <c r="D44" s="196"/>
      <c r="E44" s="199">
        <v>0</v>
      </c>
      <c r="F44" s="199">
        <v>0</v>
      </c>
    </row>
    <row r="45" spans="1:6" ht="36.5" customHeight="1">
      <c r="A45" s="196" t="s">
        <v>451</v>
      </c>
      <c r="B45" s="200" t="s">
        <v>784</v>
      </c>
      <c r="C45" s="201" t="s">
        <v>498</v>
      </c>
      <c r="D45" s="196"/>
      <c r="E45" s="199">
        <v>0</v>
      </c>
      <c r="F45" s="199">
        <v>0</v>
      </c>
    </row>
    <row r="46" spans="1:6" ht="36.5" customHeight="1">
      <c r="A46" s="196" t="s">
        <v>451</v>
      </c>
      <c r="B46" s="200" t="s">
        <v>499</v>
      </c>
      <c r="C46" s="201" t="s">
        <v>500</v>
      </c>
      <c r="D46" s="196"/>
      <c r="E46" s="199">
        <v>0</v>
      </c>
      <c r="F46" s="199">
        <v>0</v>
      </c>
    </row>
    <row r="47" spans="1:6" ht="36.5" customHeight="1">
      <c r="A47" s="196" t="s">
        <v>451</v>
      </c>
      <c r="B47" s="200" t="s">
        <v>785</v>
      </c>
      <c r="C47" s="201" t="s">
        <v>501</v>
      </c>
      <c r="D47" s="196"/>
      <c r="E47" s="199">
        <v>0</v>
      </c>
      <c r="F47" s="199">
        <v>0</v>
      </c>
    </row>
    <row r="48" spans="1:6" ht="36.5" customHeight="1">
      <c r="A48" s="196" t="s">
        <v>451</v>
      </c>
      <c r="B48" s="197" t="s">
        <v>502</v>
      </c>
      <c r="C48" s="198" t="s">
        <v>503</v>
      </c>
      <c r="D48" s="196"/>
      <c r="E48" s="199">
        <v>0</v>
      </c>
      <c r="F48" s="199">
        <v>0</v>
      </c>
    </row>
    <row r="49" spans="1:7" ht="36.5" customHeight="1">
      <c r="A49" s="196" t="s">
        <v>504</v>
      </c>
      <c r="B49" s="197" t="s">
        <v>505</v>
      </c>
      <c r="C49" s="198" t="s">
        <v>506</v>
      </c>
      <c r="D49" s="196"/>
      <c r="E49" s="199">
        <v>43732476255</v>
      </c>
      <c r="F49" s="199">
        <v>22291073922</v>
      </c>
    </row>
    <row r="50" spans="1:7" ht="36.5" customHeight="1">
      <c r="A50" s="196" t="s">
        <v>451</v>
      </c>
      <c r="B50" s="200" t="s">
        <v>507</v>
      </c>
      <c r="C50" s="201" t="s">
        <v>508</v>
      </c>
      <c r="D50" s="196"/>
      <c r="E50" s="199">
        <v>0</v>
      </c>
      <c r="F50" s="199">
        <v>0</v>
      </c>
    </row>
    <row r="51" spans="1:7" ht="36.5" customHeight="1">
      <c r="A51" s="196" t="s">
        <v>451</v>
      </c>
      <c r="B51" s="200" t="s">
        <v>509</v>
      </c>
      <c r="C51" s="201" t="s">
        <v>510</v>
      </c>
      <c r="D51" s="196"/>
      <c r="E51" s="199">
        <v>30288039815</v>
      </c>
      <c r="F51" s="199">
        <v>15619405291</v>
      </c>
    </row>
    <row r="52" spans="1:7" ht="36.5" customHeight="1">
      <c r="A52" s="196" t="s">
        <v>451</v>
      </c>
      <c r="B52" s="200" t="s">
        <v>786</v>
      </c>
      <c r="C52" s="201" t="s">
        <v>511</v>
      </c>
      <c r="D52" s="196"/>
      <c r="E52" s="199">
        <v>592969865</v>
      </c>
      <c r="F52" s="199">
        <v>339010274</v>
      </c>
    </row>
    <row r="53" spans="1:7" ht="36.5" customHeight="1">
      <c r="A53" s="196" t="s">
        <v>451</v>
      </c>
      <c r="B53" s="200" t="s">
        <v>512</v>
      </c>
      <c r="C53" s="201" t="s">
        <v>513</v>
      </c>
      <c r="D53" s="196"/>
      <c r="E53" s="199">
        <v>3249356986</v>
      </c>
      <c r="F53" s="199">
        <v>830247398</v>
      </c>
    </row>
    <row r="54" spans="1:7" ht="36.5" customHeight="1">
      <c r="A54" s="196" t="s">
        <v>451</v>
      </c>
      <c r="B54" s="200" t="s">
        <v>787</v>
      </c>
      <c r="C54" s="201" t="s">
        <v>514</v>
      </c>
      <c r="D54" s="196"/>
      <c r="E54" s="199">
        <v>9602109589</v>
      </c>
      <c r="F54" s="199">
        <v>5502410959</v>
      </c>
    </row>
    <row r="55" spans="1:7" ht="36.5" customHeight="1">
      <c r="A55" s="196" t="s">
        <v>451</v>
      </c>
      <c r="B55" s="200" t="s">
        <v>515</v>
      </c>
      <c r="C55" s="201" t="s">
        <v>516</v>
      </c>
      <c r="D55" s="196"/>
      <c r="E55" s="199">
        <v>0</v>
      </c>
      <c r="F55" s="199">
        <v>0</v>
      </c>
    </row>
    <row r="56" spans="1:7" ht="36.5" customHeight="1">
      <c r="A56" s="196" t="s">
        <v>517</v>
      </c>
      <c r="B56" s="197" t="s">
        <v>518</v>
      </c>
      <c r="C56" s="198" t="s">
        <v>519</v>
      </c>
      <c r="D56" s="196"/>
      <c r="E56" s="199">
        <v>0</v>
      </c>
      <c r="F56" s="199">
        <v>36583558</v>
      </c>
    </row>
    <row r="57" spans="1:7" s="203" customFormat="1" ht="36.5" customHeight="1">
      <c r="A57" s="196" t="s">
        <v>451</v>
      </c>
      <c r="B57" s="200" t="s">
        <v>520</v>
      </c>
      <c r="C57" s="201" t="s">
        <v>521</v>
      </c>
      <c r="D57" s="196"/>
      <c r="E57" s="199">
        <v>0</v>
      </c>
      <c r="F57" s="199">
        <v>0</v>
      </c>
      <c r="G57" s="202"/>
    </row>
    <row r="58" spans="1:7" ht="36.5" customHeight="1">
      <c r="A58" s="196" t="s">
        <v>451</v>
      </c>
      <c r="B58" s="200" t="s">
        <v>522</v>
      </c>
      <c r="C58" s="201" t="s">
        <v>523</v>
      </c>
      <c r="D58" s="196"/>
      <c r="E58" s="199">
        <v>0</v>
      </c>
      <c r="F58" s="199">
        <v>36583558</v>
      </c>
    </row>
    <row r="59" spans="1:7" ht="36.5" customHeight="1">
      <c r="A59" s="196" t="s">
        <v>451</v>
      </c>
      <c r="B59" s="200" t="s">
        <v>524</v>
      </c>
      <c r="C59" s="201" t="s">
        <v>525</v>
      </c>
      <c r="D59" s="196"/>
      <c r="E59" s="199">
        <v>0</v>
      </c>
      <c r="F59" s="199">
        <v>0</v>
      </c>
    </row>
    <row r="60" spans="1:7" ht="36.5" customHeight="1">
      <c r="A60" s="196" t="s">
        <v>526</v>
      </c>
      <c r="B60" s="197" t="s">
        <v>527</v>
      </c>
      <c r="C60" s="198" t="s">
        <v>528</v>
      </c>
      <c r="D60" s="196"/>
      <c r="E60" s="199">
        <v>0</v>
      </c>
      <c r="F60" s="199">
        <v>0</v>
      </c>
    </row>
    <row r="61" spans="1:7" ht="36.5" customHeight="1">
      <c r="A61" s="193" t="s">
        <v>451</v>
      </c>
      <c r="B61" s="194" t="s">
        <v>437</v>
      </c>
      <c r="C61" s="195" t="s">
        <v>529</v>
      </c>
      <c r="D61" s="177"/>
      <c r="E61" s="177">
        <v>1687780655907</v>
      </c>
      <c r="F61" s="177">
        <v>1538606076192</v>
      </c>
    </row>
    <row r="62" spans="1:7" ht="36.5" customHeight="1">
      <c r="A62" s="193" t="s">
        <v>22</v>
      </c>
      <c r="B62" s="194" t="s">
        <v>530</v>
      </c>
      <c r="C62" s="195" t="s">
        <v>22</v>
      </c>
      <c r="D62" s="177"/>
      <c r="E62" s="177"/>
      <c r="F62" s="177"/>
    </row>
    <row r="63" spans="1:7" ht="36.5" customHeight="1">
      <c r="A63" s="196" t="s">
        <v>445</v>
      </c>
      <c r="B63" s="197" t="s">
        <v>531</v>
      </c>
      <c r="C63" s="198" t="s">
        <v>532</v>
      </c>
      <c r="D63" s="196"/>
      <c r="E63" s="199">
        <v>0</v>
      </c>
      <c r="F63" s="199">
        <v>0</v>
      </c>
    </row>
    <row r="64" spans="1:7" ht="36.5" customHeight="1">
      <c r="A64" s="196" t="s">
        <v>451</v>
      </c>
      <c r="B64" s="200" t="s">
        <v>533</v>
      </c>
      <c r="C64" s="201" t="s">
        <v>534</v>
      </c>
      <c r="D64" s="196"/>
      <c r="E64" s="199">
        <v>0</v>
      </c>
      <c r="F64" s="199">
        <v>0</v>
      </c>
    </row>
    <row r="65" spans="1:6" ht="36.5" customHeight="1">
      <c r="A65" s="196" t="s">
        <v>451</v>
      </c>
      <c r="B65" s="200" t="s">
        <v>535</v>
      </c>
      <c r="C65" s="201" t="s">
        <v>536</v>
      </c>
      <c r="D65" s="196"/>
      <c r="E65" s="199">
        <v>0</v>
      </c>
      <c r="F65" s="199">
        <v>0</v>
      </c>
    </row>
    <row r="66" spans="1:6" ht="36.5" customHeight="1">
      <c r="A66" s="196" t="s">
        <v>460</v>
      </c>
      <c r="B66" s="197" t="s">
        <v>537</v>
      </c>
      <c r="C66" s="198" t="s">
        <v>538</v>
      </c>
      <c r="D66" s="196"/>
      <c r="E66" s="199">
        <v>0</v>
      </c>
      <c r="F66" s="199">
        <v>0</v>
      </c>
    </row>
    <row r="67" spans="1:6" ht="68" customHeight="1">
      <c r="A67" s="196" t="s">
        <v>482</v>
      </c>
      <c r="B67" s="197" t="s">
        <v>539</v>
      </c>
      <c r="C67" s="198" t="s">
        <v>540</v>
      </c>
      <c r="D67" s="196"/>
      <c r="E67" s="199">
        <v>405658375</v>
      </c>
      <c r="F67" s="199">
        <v>297211309</v>
      </c>
    </row>
    <row r="68" spans="1:6" ht="35.5" customHeight="1">
      <c r="A68" s="196" t="s">
        <v>451</v>
      </c>
      <c r="B68" s="200" t="s">
        <v>541</v>
      </c>
      <c r="C68" s="201" t="s">
        <v>542</v>
      </c>
      <c r="D68" s="196"/>
      <c r="E68" s="199">
        <v>0</v>
      </c>
      <c r="F68" s="199">
        <v>0</v>
      </c>
    </row>
    <row r="69" spans="1:6" ht="35.5" customHeight="1">
      <c r="A69" s="196" t="s">
        <v>451</v>
      </c>
      <c r="B69" s="200" t="s">
        <v>543</v>
      </c>
      <c r="C69" s="201" t="s">
        <v>544</v>
      </c>
      <c r="D69" s="196"/>
      <c r="E69" s="199">
        <v>405658375</v>
      </c>
      <c r="F69" s="199">
        <v>297211309</v>
      </c>
    </row>
    <row r="70" spans="1:6" ht="35.5" customHeight="1">
      <c r="A70" s="196" t="s">
        <v>545</v>
      </c>
      <c r="B70" s="197" t="s">
        <v>546</v>
      </c>
      <c r="C70" s="198" t="s">
        <v>547</v>
      </c>
      <c r="D70" s="196"/>
      <c r="E70" s="199">
        <v>137193084</v>
      </c>
      <c r="F70" s="199">
        <v>159790129</v>
      </c>
    </row>
    <row r="71" spans="1:6" ht="35.5" customHeight="1">
      <c r="A71" s="196" t="s">
        <v>548</v>
      </c>
      <c r="B71" s="197" t="s">
        <v>549</v>
      </c>
      <c r="C71" s="198" t="s">
        <v>550</v>
      </c>
      <c r="D71" s="196"/>
      <c r="E71" s="199">
        <v>0</v>
      </c>
      <c r="F71" s="199">
        <v>0</v>
      </c>
    </row>
    <row r="72" spans="1:6" ht="35.5" customHeight="1">
      <c r="A72" s="196" t="s">
        <v>551</v>
      </c>
      <c r="B72" s="197" t="s">
        <v>552</v>
      </c>
      <c r="C72" s="198" t="s">
        <v>553</v>
      </c>
      <c r="D72" s="196"/>
      <c r="E72" s="199">
        <v>318635741</v>
      </c>
      <c r="F72" s="199">
        <v>264794240</v>
      </c>
    </row>
    <row r="73" spans="1:6" ht="35.5" customHeight="1">
      <c r="A73" s="196" t="s">
        <v>451</v>
      </c>
      <c r="B73" s="200" t="s">
        <v>440</v>
      </c>
      <c r="C73" s="201" t="s">
        <v>554</v>
      </c>
      <c r="D73" s="196"/>
      <c r="E73" s="199">
        <v>192537125</v>
      </c>
      <c r="F73" s="199">
        <v>192537125</v>
      </c>
    </row>
    <row r="74" spans="1:6" ht="35.5" customHeight="1">
      <c r="A74" s="196" t="s">
        <v>451</v>
      </c>
      <c r="B74" s="200" t="s">
        <v>555</v>
      </c>
      <c r="C74" s="201" t="s">
        <v>556</v>
      </c>
      <c r="D74" s="196"/>
      <c r="E74" s="199">
        <v>192537125</v>
      </c>
      <c r="F74" s="199">
        <v>192537125</v>
      </c>
    </row>
    <row r="75" spans="1:6" ht="35.5" customHeight="1">
      <c r="A75" s="196" t="s">
        <v>451</v>
      </c>
      <c r="B75" s="200" t="s">
        <v>557</v>
      </c>
      <c r="C75" s="201" t="s">
        <v>558</v>
      </c>
      <c r="D75" s="196"/>
      <c r="E75" s="199">
        <v>0</v>
      </c>
      <c r="F75" s="199">
        <v>0</v>
      </c>
    </row>
    <row r="76" spans="1:6" ht="35.5" customHeight="1">
      <c r="A76" s="196" t="s">
        <v>451</v>
      </c>
      <c r="B76" s="200" t="s">
        <v>559</v>
      </c>
      <c r="C76" s="201" t="s">
        <v>560</v>
      </c>
      <c r="D76" s="196"/>
      <c r="E76" s="199">
        <v>74480000</v>
      </c>
      <c r="F76" s="199">
        <v>39421164</v>
      </c>
    </row>
    <row r="77" spans="1:6" ht="35.5" customHeight="1">
      <c r="A77" s="196" t="s">
        <v>451</v>
      </c>
      <c r="B77" s="200" t="s">
        <v>561</v>
      </c>
      <c r="C77" s="201" t="s">
        <v>562</v>
      </c>
      <c r="D77" s="196"/>
      <c r="E77" s="199">
        <v>39618616</v>
      </c>
      <c r="F77" s="199">
        <v>22344148</v>
      </c>
    </row>
    <row r="78" spans="1:6" ht="35.5" customHeight="1">
      <c r="A78" s="196" t="s">
        <v>451</v>
      </c>
      <c r="B78" s="200" t="s">
        <v>563</v>
      </c>
      <c r="C78" s="201" t="s">
        <v>564</v>
      </c>
      <c r="D78" s="196"/>
      <c r="E78" s="199">
        <v>0</v>
      </c>
      <c r="F78" s="199">
        <v>0</v>
      </c>
    </row>
    <row r="79" spans="1:6" ht="35.5" customHeight="1">
      <c r="A79" s="196" t="s">
        <v>451</v>
      </c>
      <c r="B79" s="200" t="s">
        <v>565</v>
      </c>
      <c r="C79" s="201" t="s">
        <v>566</v>
      </c>
      <c r="D79" s="196"/>
      <c r="E79" s="199">
        <v>12000000</v>
      </c>
      <c r="F79" s="199">
        <v>10491803</v>
      </c>
    </row>
    <row r="80" spans="1:6" ht="35.5" customHeight="1">
      <c r="A80" s="196" t="s">
        <v>451</v>
      </c>
      <c r="B80" s="200" t="s">
        <v>567</v>
      </c>
      <c r="C80" s="201" t="s">
        <v>568</v>
      </c>
      <c r="D80" s="196"/>
      <c r="E80" s="199">
        <v>0</v>
      </c>
      <c r="F80" s="199">
        <v>0</v>
      </c>
    </row>
    <row r="81" spans="1:6" ht="35.5" customHeight="1">
      <c r="A81" s="196" t="s">
        <v>451</v>
      </c>
      <c r="B81" s="200" t="s">
        <v>569</v>
      </c>
      <c r="C81" s="201" t="s">
        <v>570</v>
      </c>
      <c r="D81" s="196"/>
      <c r="E81" s="199">
        <v>0</v>
      </c>
      <c r="F81" s="199">
        <v>0</v>
      </c>
    </row>
    <row r="82" spans="1:6" ht="35.5" customHeight="1">
      <c r="A82" s="196" t="s">
        <v>571</v>
      </c>
      <c r="B82" s="197" t="s">
        <v>572</v>
      </c>
      <c r="C82" s="198" t="s">
        <v>573</v>
      </c>
      <c r="D82" s="196"/>
      <c r="E82" s="199">
        <v>9923142711</v>
      </c>
      <c r="F82" s="199">
        <v>9525444010</v>
      </c>
    </row>
    <row r="83" spans="1:6" ht="35.5" customHeight="1">
      <c r="A83" s="196" t="s">
        <v>451</v>
      </c>
      <c r="B83" s="200" t="s">
        <v>438</v>
      </c>
      <c r="C83" s="201" t="s">
        <v>574</v>
      </c>
      <c r="D83" s="196"/>
      <c r="E83" s="199">
        <v>9923142711</v>
      </c>
      <c r="F83" s="199">
        <v>9525444010</v>
      </c>
    </row>
    <row r="84" spans="1:6" ht="35.5" customHeight="1">
      <c r="A84" s="196" t="s">
        <v>451</v>
      </c>
      <c r="B84" s="200" t="s">
        <v>439</v>
      </c>
      <c r="C84" s="201" t="s">
        <v>575</v>
      </c>
      <c r="D84" s="196"/>
      <c r="E84" s="199">
        <v>0</v>
      </c>
      <c r="F84" s="199">
        <v>0</v>
      </c>
    </row>
    <row r="85" spans="1:6" ht="35.5" customHeight="1">
      <c r="A85" s="196" t="s">
        <v>576</v>
      </c>
      <c r="B85" s="197" t="s">
        <v>577</v>
      </c>
      <c r="C85" s="198" t="s">
        <v>578</v>
      </c>
      <c r="D85" s="196"/>
      <c r="E85" s="199">
        <v>26569805507</v>
      </c>
      <c r="F85" s="199">
        <v>41158374254</v>
      </c>
    </row>
    <row r="86" spans="1:6" ht="35.5" customHeight="1">
      <c r="A86" s="196" t="s">
        <v>579</v>
      </c>
      <c r="B86" s="197" t="s">
        <v>580</v>
      </c>
      <c r="C86" s="198" t="s">
        <v>581</v>
      </c>
      <c r="D86" s="196"/>
      <c r="E86" s="199">
        <v>1816922007</v>
      </c>
      <c r="F86" s="199">
        <v>1588669023</v>
      </c>
    </row>
    <row r="87" spans="1:6" ht="35.5" customHeight="1">
      <c r="A87" s="196" t="s">
        <v>451</v>
      </c>
      <c r="B87" s="200" t="s">
        <v>582</v>
      </c>
      <c r="C87" s="201" t="s">
        <v>583</v>
      </c>
      <c r="D87" s="196"/>
      <c r="E87" s="199">
        <v>1650065860</v>
      </c>
      <c r="F87" s="199">
        <v>1435279293</v>
      </c>
    </row>
    <row r="88" spans="1:6" ht="35.5" customHeight="1">
      <c r="A88" s="196" t="s">
        <v>451</v>
      </c>
      <c r="B88" s="200" t="s">
        <v>584</v>
      </c>
      <c r="C88" s="201" t="s">
        <v>585</v>
      </c>
      <c r="D88" s="196"/>
      <c r="E88" s="199">
        <v>49976921</v>
      </c>
      <c r="F88" s="199">
        <v>50292643</v>
      </c>
    </row>
    <row r="89" spans="1:6" ht="35.5" customHeight="1">
      <c r="A89" s="196" t="s">
        <v>451</v>
      </c>
      <c r="B89" s="200" t="s">
        <v>23</v>
      </c>
      <c r="C89" s="201" t="s">
        <v>586</v>
      </c>
      <c r="D89" s="196"/>
      <c r="E89" s="199">
        <v>48126921</v>
      </c>
      <c r="F89" s="199">
        <v>47842643</v>
      </c>
    </row>
    <row r="90" spans="1:6" ht="35.5" customHeight="1">
      <c r="A90" s="196" t="s">
        <v>451</v>
      </c>
      <c r="B90" s="200" t="s">
        <v>35</v>
      </c>
      <c r="C90" s="201" t="s">
        <v>587</v>
      </c>
      <c r="D90" s="196"/>
      <c r="E90" s="199">
        <v>1100000</v>
      </c>
      <c r="F90" s="199">
        <v>1700000</v>
      </c>
    </row>
    <row r="91" spans="1:6" ht="70" customHeight="1">
      <c r="A91" s="196" t="s">
        <v>451</v>
      </c>
      <c r="B91" s="200" t="s">
        <v>774</v>
      </c>
      <c r="C91" s="201" t="s">
        <v>588</v>
      </c>
      <c r="D91" s="196"/>
      <c r="E91" s="199">
        <v>750000</v>
      </c>
      <c r="F91" s="199">
        <v>750000</v>
      </c>
    </row>
    <row r="92" spans="1:6" ht="35.5" customHeight="1">
      <c r="A92" s="196" t="s">
        <v>451</v>
      </c>
      <c r="B92" s="200" t="s">
        <v>589</v>
      </c>
      <c r="C92" s="201" t="s">
        <v>590</v>
      </c>
      <c r="D92" s="196"/>
      <c r="E92" s="199">
        <v>45376811</v>
      </c>
      <c r="F92" s="199">
        <v>39470179</v>
      </c>
    </row>
    <row r="93" spans="1:6" ht="35.5" customHeight="1">
      <c r="A93" s="196" t="s">
        <v>451</v>
      </c>
      <c r="B93" s="200" t="s">
        <v>591</v>
      </c>
      <c r="C93" s="201" t="s">
        <v>592</v>
      </c>
      <c r="D93" s="196"/>
      <c r="E93" s="199">
        <v>60502415</v>
      </c>
      <c r="F93" s="199">
        <v>52626908</v>
      </c>
    </row>
    <row r="94" spans="1:6" ht="35.5" customHeight="1">
      <c r="A94" s="196" t="s">
        <v>451</v>
      </c>
      <c r="B94" s="200" t="s">
        <v>593</v>
      </c>
      <c r="C94" s="201" t="s">
        <v>594</v>
      </c>
      <c r="D94" s="196"/>
      <c r="E94" s="199">
        <v>11000000</v>
      </c>
      <c r="F94" s="199">
        <v>11000000</v>
      </c>
    </row>
    <row r="95" spans="1:6" ht="35.5" customHeight="1">
      <c r="A95" s="196" t="s">
        <v>451</v>
      </c>
      <c r="B95" s="200" t="s">
        <v>595</v>
      </c>
      <c r="C95" s="201" t="s">
        <v>596</v>
      </c>
      <c r="D95" s="196"/>
      <c r="E95" s="199">
        <v>0</v>
      </c>
      <c r="F95" s="199">
        <v>0</v>
      </c>
    </row>
    <row r="96" spans="1:6" ht="35.5" customHeight="1">
      <c r="A96" s="196" t="s">
        <v>451</v>
      </c>
      <c r="B96" s="200" t="s">
        <v>597</v>
      </c>
      <c r="C96" s="201" t="s">
        <v>598</v>
      </c>
      <c r="D96" s="196"/>
      <c r="E96" s="199">
        <v>0</v>
      </c>
      <c r="F96" s="199">
        <v>0</v>
      </c>
    </row>
    <row r="97" spans="1:6" ht="35.5" customHeight="1">
      <c r="A97" s="196" t="s">
        <v>163</v>
      </c>
      <c r="B97" s="197" t="s">
        <v>599</v>
      </c>
      <c r="C97" s="198" t="s">
        <v>600</v>
      </c>
      <c r="D97" s="196"/>
      <c r="E97" s="199">
        <v>35250000</v>
      </c>
      <c r="F97" s="199">
        <v>36614754</v>
      </c>
    </row>
    <row r="98" spans="1:6" ht="35.5" customHeight="1">
      <c r="A98" s="196" t="s">
        <v>451</v>
      </c>
      <c r="B98" s="200" t="s">
        <v>442</v>
      </c>
      <c r="C98" s="201" t="s">
        <v>601</v>
      </c>
      <c r="D98" s="196"/>
      <c r="E98" s="199">
        <v>35250000</v>
      </c>
      <c r="F98" s="199">
        <v>23500000</v>
      </c>
    </row>
    <row r="99" spans="1:6" ht="35.5" customHeight="1">
      <c r="A99" s="196" t="s">
        <v>451</v>
      </c>
      <c r="B99" s="200" t="s">
        <v>443</v>
      </c>
      <c r="C99" s="201" t="s">
        <v>602</v>
      </c>
      <c r="D99" s="196"/>
      <c r="E99" s="199">
        <v>0</v>
      </c>
      <c r="F99" s="199">
        <v>0</v>
      </c>
    </row>
    <row r="100" spans="1:6" ht="35.5" customHeight="1">
      <c r="A100" s="196" t="s">
        <v>451</v>
      </c>
      <c r="B100" s="200" t="s">
        <v>603</v>
      </c>
      <c r="C100" s="201" t="s">
        <v>604</v>
      </c>
      <c r="D100" s="196"/>
      <c r="E100" s="199">
        <v>0</v>
      </c>
      <c r="F100" s="199">
        <v>13114754</v>
      </c>
    </row>
    <row r="101" spans="1:6" ht="35.5" customHeight="1">
      <c r="A101" s="196" t="s">
        <v>451</v>
      </c>
      <c r="B101" s="200" t="s">
        <v>605</v>
      </c>
      <c r="C101" s="201" t="s">
        <v>606</v>
      </c>
      <c r="D101" s="196"/>
      <c r="E101" s="199">
        <v>0</v>
      </c>
      <c r="F101" s="199">
        <v>0</v>
      </c>
    </row>
    <row r="102" spans="1:6" ht="35.5" customHeight="1">
      <c r="A102" s="196" t="s">
        <v>451</v>
      </c>
      <c r="B102" s="200" t="s">
        <v>441</v>
      </c>
      <c r="C102" s="201" t="s">
        <v>607</v>
      </c>
      <c r="D102" s="196"/>
      <c r="E102" s="199">
        <v>0</v>
      </c>
      <c r="F102" s="199">
        <v>0</v>
      </c>
    </row>
    <row r="103" spans="1:6" ht="35.5" customHeight="1">
      <c r="A103" s="193" t="s">
        <v>451</v>
      </c>
      <c r="B103" s="194" t="s">
        <v>608</v>
      </c>
      <c r="C103" s="195" t="s">
        <v>609</v>
      </c>
      <c r="D103" s="177"/>
      <c r="E103" s="177">
        <v>39206607425</v>
      </c>
      <c r="F103" s="177">
        <v>53030897719</v>
      </c>
    </row>
    <row r="104" spans="1:6" ht="52.5" customHeight="1">
      <c r="A104" s="193" t="s">
        <v>26</v>
      </c>
      <c r="B104" s="194" t="s">
        <v>610</v>
      </c>
      <c r="C104" s="195" t="s">
        <v>611</v>
      </c>
      <c r="D104" s="177"/>
      <c r="E104" s="177">
        <v>1648574048482</v>
      </c>
      <c r="F104" s="177">
        <v>1485575178473</v>
      </c>
    </row>
    <row r="105" spans="1:6" ht="37" customHeight="1">
      <c r="A105" s="196" t="s">
        <v>445</v>
      </c>
      <c r="B105" s="197" t="s">
        <v>612</v>
      </c>
      <c r="C105" s="198" t="s">
        <v>613</v>
      </c>
      <c r="D105" s="196"/>
      <c r="E105" s="199">
        <v>607878516100</v>
      </c>
      <c r="F105" s="199">
        <v>557399216300</v>
      </c>
    </row>
    <row r="106" spans="1:6" ht="37" customHeight="1">
      <c r="A106" s="196" t="s">
        <v>448</v>
      </c>
      <c r="B106" s="197" t="s">
        <v>614</v>
      </c>
      <c r="C106" s="198" t="s">
        <v>615</v>
      </c>
      <c r="D106" s="196"/>
      <c r="E106" s="199">
        <v>3056779267500</v>
      </c>
      <c r="F106" s="199">
        <v>2866031180900</v>
      </c>
    </row>
    <row r="107" spans="1:6" ht="37" customHeight="1">
      <c r="A107" s="196" t="s">
        <v>458</v>
      </c>
      <c r="B107" s="197" t="s">
        <v>616</v>
      </c>
      <c r="C107" s="198" t="s">
        <v>617</v>
      </c>
      <c r="D107" s="196"/>
      <c r="E107" s="199">
        <v>-2448900751400</v>
      </c>
      <c r="F107" s="199">
        <v>-2308631964600</v>
      </c>
    </row>
    <row r="108" spans="1:6" ht="37" customHeight="1">
      <c r="A108" s="196" t="s">
        <v>460</v>
      </c>
      <c r="B108" s="197" t="s">
        <v>618</v>
      </c>
      <c r="C108" s="198" t="s">
        <v>619</v>
      </c>
      <c r="D108" s="196"/>
      <c r="E108" s="199">
        <v>605549518629</v>
      </c>
      <c r="F108" s="199">
        <v>520705049609</v>
      </c>
    </row>
    <row r="109" spans="1:6" ht="37" customHeight="1">
      <c r="A109" s="196" t="s">
        <v>482</v>
      </c>
      <c r="B109" s="197" t="s">
        <v>620</v>
      </c>
      <c r="C109" s="198" t="s">
        <v>621</v>
      </c>
      <c r="D109" s="196"/>
      <c r="E109" s="199">
        <v>435146013753</v>
      </c>
      <c r="F109" s="199">
        <v>407470912564</v>
      </c>
    </row>
    <row r="110" spans="1:6" ht="37" customHeight="1">
      <c r="A110" s="196" t="s">
        <v>485</v>
      </c>
      <c r="B110" s="197" t="s">
        <v>622</v>
      </c>
      <c r="C110" s="198" t="s">
        <v>623</v>
      </c>
      <c r="D110" s="196"/>
      <c r="E110" s="199">
        <v>407470912564</v>
      </c>
      <c r="F110" s="199">
        <v>386175971849</v>
      </c>
    </row>
    <row r="111" spans="1:6" ht="37" customHeight="1">
      <c r="A111" s="196" t="s">
        <v>490</v>
      </c>
      <c r="B111" s="197" t="s">
        <v>624</v>
      </c>
      <c r="C111" s="198" t="s">
        <v>625</v>
      </c>
      <c r="D111" s="196"/>
      <c r="E111" s="199">
        <v>27675101189</v>
      </c>
      <c r="F111" s="199">
        <v>21294940715</v>
      </c>
    </row>
    <row r="112" spans="1:6" ht="53" customHeight="1">
      <c r="A112" s="193" t="s">
        <v>27</v>
      </c>
      <c r="B112" s="194" t="s">
        <v>626</v>
      </c>
      <c r="C112" s="195" t="s">
        <v>627</v>
      </c>
      <c r="D112" s="177"/>
      <c r="E112" s="204">
        <v>27120.12</v>
      </c>
      <c r="F112" s="204">
        <v>26651.9</v>
      </c>
    </row>
    <row r="113" spans="1:7" ht="37" customHeight="1">
      <c r="A113" s="193" t="s">
        <v>28</v>
      </c>
      <c r="B113" s="194" t="s">
        <v>628</v>
      </c>
      <c r="C113" s="195" t="s">
        <v>629</v>
      </c>
      <c r="D113" s="177"/>
      <c r="E113" s="177">
        <v>0</v>
      </c>
      <c r="F113" s="177">
        <v>0</v>
      </c>
    </row>
    <row r="114" spans="1:7" ht="37" customHeight="1">
      <c r="A114" s="196" t="s">
        <v>445</v>
      </c>
      <c r="B114" s="197" t="s">
        <v>630</v>
      </c>
      <c r="C114" s="198" t="s">
        <v>631</v>
      </c>
      <c r="D114" s="196"/>
      <c r="E114" s="199">
        <v>0</v>
      </c>
      <c r="F114" s="199">
        <v>0</v>
      </c>
    </row>
    <row r="115" spans="1:7" ht="54.5" customHeight="1">
      <c r="A115" s="196" t="s">
        <v>460</v>
      </c>
      <c r="B115" s="197" t="s">
        <v>632</v>
      </c>
      <c r="C115" s="198" t="s">
        <v>633</v>
      </c>
      <c r="D115" s="196"/>
      <c r="E115" s="199">
        <v>0</v>
      </c>
      <c r="F115" s="199">
        <v>0</v>
      </c>
    </row>
    <row r="116" spans="1:7" ht="37.5" customHeight="1">
      <c r="A116" s="193" t="s">
        <v>29</v>
      </c>
      <c r="B116" s="194" t="s">
        <v>634</v>
      </c>
      <c r="C116" s="195" t="s">
        <v>29</v>
      </c>
      <c r="D116" s="177"/>
      <c r="E116" s="177"/>
      <c r="F116" s="177"/>
    </row>
    <row r="117" spans="1:7" ht="37.5" customHeight="1">
      <c r="A117" s="196" t="s">
        <v>445</v>
      </c>
      <c r="B117" s="197" t="s">
        <v>635</v>
      </c>
      <c r="C117" s="198" t="s">
        <v>636</v>
      </c>
      <c r="D117" s="196"/>
      <c r="E117" s="199">
        <v>0</v>
      </c>
      <c r="F117" s="199">
        <v>0</v>
      </c>
    </row>
    <row r="118" spans="1:7" ht="37.5" customHeight="1">
      <c r="A118" s="196" t="s">
        <v>460</v>
      </c>
      <c r="B118" s="197" t="s">
        <v>637</v>
      </c>
      <c r="C118" s="198" t="s">
        <v>638</v>
      </c>
      <c r="D118" s="196"/>
      <c r="E118" s="199">
        <v>0</v>
      </c>
      <c r="F118" s="199">
        <v>0</v>
      </c>
    </row>
    <row r="119" spans="1:7" ht="37.5" customHeight="1">
      <c r="A119" s="196" t="s">
        <v>482</v>
      </c>
      <c r="B119" s="197" t="s">
        <v>639</v>
      </c>
      <c r="C119" s="198" t="s">
        <v>640</v>
      </c>
      <c r="D119" s="196"/>
      <c r="E119" s="199">
        <v>0</v>
      </c>
      <c r="F119" s="199">
        <v>0</v>
      </c>
    </row>
    <row r="120" spans="1:7" ht="37.5" customHeight="1">
      <c r="A120" s="205" t="s">
        <v>545</v>
      </c>
      <c r="B120" s="206" t="s">
        <v>641</v>
      </c>
      <c r="C120" s="198" t="s">
        <v>642</v>
      </c>
      <c r="D120" s="205"/>
      <c r="E120" s="207">
        <v>60787851.609999999</v>
      </c>
      <c r="F120" s="207">
        <v>55739921.630000003</v>
      </c>
    </row>
    <row r="121" spans="1:7" s="178" customFormat="1">
      <c r="A121" s="65"/>
      <c r="B121" s="65"/>
      <c r="C121" s="65"/>
      <c r="D121" s="65"/>
      <c r="E121" s="65"/>
      <c r="F121" s="65"/>
      <c r="G121" s="208"/>
    </row>
    <row r="123" spans="1:7" ht="16.899999999999999" customHeight="1">
      <c r="A123" s="266" t="s">
        <v>231</v>
      </c>
      <c r="B123" s="266"/>
      <c r="C123" s="266" t="s">
        <v>232</v>
      </c>
      <c r="D123" s="266"/>
      <c r="E123" s="266"/>
      <c r="F123" s="266"/>
    </row>
    <row r="136" spans="1:6">
      <c r="A136" s="274" t="s">
        <v>648</v>
      </c>
      <c r="B136" s="274"/>
      <c r="C136" s="274" t="s">
        <v>649</v>
      </c>
      <c r="D136" s="274"/>
      <c r="E136" s="274"/>
      <c r="F136" s="142"/>
    </row>
    <row r="137" spans="1:6" ht="16.899999999999999" customHeight="1">
      <c r="A137" s="266" t="s">
        <v>1327</v>
      </c>
      <c r="B137" s="266"/>
      <c r="C137" s="266" t="s">
        <v>1320</v>
      </c>
      <c r="D137" s="266"/>
      <c r="E137" s="266"/>
      <c r="F137" s="190" t="s">
        <v>1310</v>
      </c>
    </row>
    <row r="138" spans="1:6" ht="16.899999999999999" customHeight="1">
      <c r="A138" s="274" t="s">
        <v>1321</v>
      </c>
      <c r="B138" s="274"/>
      <c r="C138" s="274" t="s">
        <v>1322</v>
      </c>
      <c r="D138" s="274"/>
      <c r="E138" s="274"/>
      <c r="F138" s="191" t="s">
        <v>1312</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2"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tabSelected="1" view="pageBreakPreview" zoomScale="90" zoomScaleNormal="100" zoomScaleSheetLayoutView="90" workbookViewId="0">
      <selection activeCell="A54" sqref="A54:XFD54"/>
    </sheetView>
  </sheetViews>
  <sheetFormatPr defaultColWidth="8.7265625" defaultRowHeight="15.5"/>
  <cols>
    <col min="1" max="1" width="52.1796875" style="65" customWidth="1"/>
    <col min="2" max="2" width="9.453125" style="65" customWidth="1"/>
    <col min="3" max="3" width="13.81640625" style="65" customWidth="1"/>
    <col min="4" max="4" width="33.54296875" style="65" customWidth="1"/>
    <col min="5" max="5" width="42.1796875" style="65" customWidth="1"/>
    <col min="6" max="6" width="1.6328125" style="169" customWidth="1"/>
    <col min="7" max="16384" width="8.7265625" style="169"/>
  </cols>
  <sheetData>
    <row r="1" spans="1:5" ht="55.5" customHeight="1">
      <c r="A1" s="233" t="s">
        <v>766</v>
      </c>
      <c r="B1" s="233"/>
      <c r="C1" s="233"/>
      <c r="D1" s="233"/>
      <c r="E1" s="233"/>
    </row>
    <row r="2" spans="1:5" ht="67.5" customHeight="1">
      <c r="A2" s="234" t="s">
        <v>761</v>
      </c>
      <c r="B2" s="234"/>
      <c r="C2" s="234"/>
      <c r="D2" s="234"/>
      <c r="E2" s="234"/>
    </row>
    <row r="3" spans="1:5" ht="39.4" customHeight="1">
      <c r="A3" s="235" t="s">
        <v>235</v>
      </c>
      <c r="B3" s="235"/>
      <c r="C3" s="235"/>
      <c r="D3" s="235"/>
      <c r="E3" s="235"/>
    </row>
    <row r="4" spans="1:5" ht="16.899999999999999" customHeight="1">
      <c r="A4" s="236" t="str">
        <f>TONGQUAN!C2</f>
        <v>Quý IV năm 2024
/ Quarter IV 2024</v>
      </c>
      <c r="B4" s="236"/>
      <c r="C4" s="236"/>
      <c r="D4" s="236"/>
      <c r="E4" s="236"/>
    </row>
    <row r="5" spans="1:5" ht="0.4" customHeight="1"/>
    <row r="7" spans="1:5" ht="16.899999999999999" customHeight="1">
      <c r="A7" s="170" t="s">
        <v>2</v>
      </c>
      <c r="B7" s="227" t="str">
        <f>TONGQUAN!D5</f>
        <v>Công ty Cổ phần Quản lý Quỹ Đầu tư Dragon Capital Việt Nam</v>
      </c>
      <c r="C7" s="227"/>
      <c r="D7" s="227"/>
      <c r="E7" s="227"/>
    </row>
    <row r="8" spans="1:5" ht="16.899999999999999" customHeight="1">
      <c r="A8" s="65" t="s">
        <v>15</v>
      </c>
      <c r="B8" s="265" t="str">
        <f>TONGQUAN!D6</f>
        <v>Dragon Capital Vietfund Management Joint Stock Company</v>
      </c>
      <c r="C8" s="265"/>
      <c r="D8" s="265"/>
      <c r="E8" s="265"/>
    </row>
    <row r="9" spans="1:5" ht="16.899999999999999" customHeight="1">
      <c r="A9" s="170" t="s">
        <v>3</v>
      </c>
      <c r="B9" s="227" t="str">
        <f>TONGQUAN!D7</f>
        <v>Ngân hàng TNHH Một thành viên Standard Chartered (Việt Nam)</v>
      </c>
      <c r="C9" s="227"/>
      <c r="D9" s="227"/>
      <c r="E9" s="227"/>
    </row>
    <row r="10" spans="1:5" ht="16.899999999999999" customHeight="1">
      <c r="A10" s="65" t="s">
        <v>4</v>
      </c>
      <c r="B10" s="265" t="str">
        <f>TONGQUAN!D8</f>
        <v>Standard Chartered Bank (Vietnam) Limited</v>
      </c>
      <c r="C10" s="265"/>
      <c r="D10" s="265"/>
      <c r="E10" s="265"/>
    </row>
    <row r="11" spans="1:5" ht="16.899999999999999" customHeight="1">
      <c r="A11" s="170" t="s">
        <v>5</v>
      </c>
      <c r="B11" s="227" t="str">
        <f>TONGQUAN!D9</f>
        <v>Quỹ Đầu tư Trái phiếu DC</v>
      </c>
      <c r="C11" s="227"/>
      <c r="D11" s="227"/>
      <c r="E11" s="227"/>
    </row>
    <row r="12" spans="1:5" ht="16.899999999999999" customHeight="1">
      <c r="A12" s="65" t="s">
        <v>6</v>
      </c>
      <c r="B12" s="265" t="str">
        <f>TONGQUAN!D10</f>
        <v>DC Bond Fund (DCBF)</v>
      </c>
      <c r="C12" s="265"/>
      <c r="D12" s="265"/>
      <c r="E12" s="265"/>
    </row>
    <row r="13" spans="1:5" ht="16.899999999999999" customHeight="1">
      <c r="A13" s="170" t="s">
        <v>7</v>
      </c>
      <c r="B13" s="227" t="str">
        <f>TONGQUAN!D11</f>
        <v>Ngày 07 tháng 01 năm 2025</v>
      </c>
      <c r="C13" s="227"/>
      <c r="D13" s="227"/>
      <c r="E13" s="227"/>
    </row>
    <row r="14" spans="1:5" ht="16.899999999999999" customHeight="1">
      <c r="A14" s="65" t="s">
        <v>8</v>
      </c>
      <c r="B14" s="265" t="str">
        <f>TONGQUAN!D12</f>
        <v>07 Jan 2025</v>
      </c>
      <c r="C14" s="265"/>
      <c r="D14" s="265"/>
      <c r="E14" s="265"/>
    </row>
    <row r="17" spans="1:6" ht="41.25" customHeight="1">
      <c r="A17" s="132" t="s">
        <v>148</v>
      </c>
      <c r="B17" s="132" t="s">
        <v>149</v>
      </c>
      <c r="C17" s="132" t="s">
        <v>150</v>
      </c>
      <c r="D17" s="132" t="str">
        <f>BCKetQuaHoatDong_06028!D18</f>
        <v>Quý IV năm 2024
Quarter IV 2024</v>
      </c>
      <c r="E17" s="132" t="str">
        <f>BCKetQuaHoatDong_06028!E18</f>
        <v>Quý III năm 2024
Quarter III 2024</v>
      </c>
    </row>
    <row r="18" spans="1:6" s="178" customFormat="1" ht="39" customHeight="1">
      <c r="A18" s="209" t="s">
        <v>788</v>
      </c>
      <c r="B18" s="140" t="s">
        <v>16</v>
      </c>
      <c r="C18" s="210"/>
      <c r="D18" s="77"/>
      <c r="E18" s="77"/>
    </row>
    <row r="19" spans="1:6" ht="39" customHeight="1">
      <c r="A19" s="211" t="s">
        <v>373</v>
      </c>
      <c r="B19" s="141" t="s">
        <v>152</v>
      </c>
      <c r="C19" s="212"/>
      <c r="D19" s="77">
        <v>27675101189</v>
      </c>
      <c r="E19" s="77">
        <v>21294940715</v>
      </c>
      <c r="F19" s="178"/>
    </row>
    <row r="20" spans="1:6" ht="52.5" customHeight="1">
      <c r="A20" s="211" t="s">
        <v>236</v>
      </c>
      <c r="B20" s="141" t="s">
        <v>153</v>
      </c>
      <c r="C20" s="212"/>
      <c r="D20" s="77">
        <v>361301919</v>
      </c>
      <c r="E20" s="77">
        <v>2103653951</v>
      </c>
      <c r="F20" s="178"/>
    </row>
    <row r="21" spans="1:6" ht="64.5" customHeight="1">
      <c r="A21" s="211" t="s">
        <v>413</v>
      </c>
      <c r="B21" s="141" t="s">
        <v>154</v>
      </c>
      <c r="C21" s="212"/>
      <c r="D21" s="213">
        <v>310333369</v>
      </c>
      <c r="E21" s="213">
        <v>2121255402</v>
      </c>
      <c r="F21" s="178"/>
    </row>
    <row r="22" spans="1:6" ht="40" customHeight="1">
      <c r="A22" s="211" t="s">
        <v>414</v>
      </c>
      <c r="B22" s="141" t="s">
        <v>157</v>
      </c>
      <c r="C22" s="212"/>
      <c r="D22" s="213">
        <v>50968550</v>
      </c>
      <c r="E22" s="213">
        <v>-17601451</v>
      </c>
      <c r="F22" s="178"/>
    </row>
    <row r="23" spans="1:6" ht="68" customHeight="1">
      <c r="A23" s="211" t="s">
        <v>237</v>
      </c>
      <c r="B23" s="141" t="s">
        <v>158</v>
      </c>
      <c r="C23" s="212"/>
      <c r="D23" s="77">
        <v>28036403108</v>
      </c>
      <c r="E23" s="77">
        <v>23398594666</v>
      </c>
      <c r="F23" s="178"/>
    </row>
    <row r="24" spans="1:6" ht="40.5" customHeight="1">
      <c r="A24" s="211" t="s">
        <v>415</v>
      </c>
      <c r="B24" s="141" t="s">
        <v>175</v>
      </c>
      <c r="C24" s="212"/>
      <c r="D24" s="213">
        <v>-23311337085</v>
      </c>
      <c r="E24" s="213">
        <v>-394164813916</v>
      </c>
      <c r="F24" s="178"/>
    </row>
    <row r="25" spans="1:6" ht="59.5" customHeight="1">
      <c r="A25" s="211" t="s">
        <v>238</v>
      </c>
      <c r="B25" s="141" t="s">
        <v>159</v>
      </c>
      <c r="C25" s="212"/>
      <c r="D25" s="213">
        <v>0</v>
      </c>
      <c r="E25" s="213">
        <v>0</v>
      </c>
      <c r="F25" s="178"/>
    </row>
    <row r="26" spans="1:6" ht="68" customHeight="1">
      <c r="A26" s="211" t="s">
        <v>239</v>
      </c>
      <c r="B26" s="141" t="s">
        <v>160</v>
      </c>
      <c r="C26" s="212"/>
      <c r="D26" s="213">
        <v>-21441402333</v>
      </c>
      <c r="E26" s="213">
        <v>998881763</v>
      </c>
      <c r="F26" s="178"/>
    </row>
    <row r="27" spans="1:6" ht="35" customHeight="1">
      <c r="A27" s="211" t="s">
        <v>374</v>
      </c>
      <c r="B27" s="141" t="s">
        <v>161</v>
      </c>
      <c r="C27" s="212"/>
      <c r="D27" s="213">
        <v>36583558</v>
      </c>
      <c r="E27" s="213">
        <v>10933561</v>
      </c>
      <c r="F27" s="178"/>
    </row>
    <row r="28" spans="1:6" ht="35" customHeight="1">
      <c r="A28" s="211" t="s">
        <v>416</v>
      </c>
      <c r="B28" s="141" t="s">
        <v>162</v>
      </c>
      <c r="C28" s="212"/>
      <c r="D28" s="213">
        <v>0</v>
      </c>
      <c r="E28" s="213">
        <v>0</v>
      </c>
      <c r="F28" s="178"/>
    </row>
    <row r="29" spans="1:6" ht="54" customHeight="1">
      <c r="A29" s="211" t="s">
        <v>240</v>
      </c>
      <c r="B29" s="141" t="s">
        <v>163</v>
      </c>
      <c r="C29" s="212"/>
      <c r="D29" s="213">
        <v>0</v>
      </c>
      <c r="E29" s="213">
        <v>0</v>
      </c>
      <c r="F29" s="178"/>
    </row>
    <row r="30" spans="1:6" ht="85.5" customHeight="1">
      <c r="A30" s="211" t="s">
        <v>241</v>
      </c>
      <c r="B30" s="141" t="s">
        <v>165</v>
      </c>
      <c r="C30" s="212"/>
      <c r="D30" s="213">
        <v>108447066</v>
      </c>
      <c r="E30" s="213">
        <v>16555281</v>
      </c>
      <c r="F30" s="178"/>
    </row>
    <row r="31" spans="1:6" ht="60">
      <c r="A31" s="211" t="s">
        <v>417</v>
      </c>
      <c r="B31" s="141" t="s">
        <v>169</v>
      </c>
      <c r="C31" s="212"/>
      <c r="D31" s="213">
        <v>0</v>
      </c>
      <c r="E31" s="213">
        <v>0</v>
      </c>
      <c r="F31" s="178"/>
    </row>
    <row r="32" spans="1:6" ht="68" customHeight="1">
      <c r="A32" s="211" t="s">
        <v>418</v>
      </c>
      <c r="B32" s="141" t="s">
        <v>171</v>
      </c>
      <c r="C32" s="212"/>
      <c r="D32" s="213">
        <v>-22597045</v>
      </c>
      <c r="E32" s="213">
        <v>129080322</v>
      </c>
      <c r="F32" s="178"/>
    </row>
    <row r="33" spans="1:6" ht="67.5" customHeight="1">
      <c r="A33" s="211" t="s">
        <v>419</v>
      </c>
      <c r="B33" s="141" t="s">
        <v>173</v>
      </c>
      <c r="C33" s="212"/>
      <c r="D33" s="213">
        <v>397698701</v>
      </c>
      <c r="E33" s="213">
        <v>6427855845</v>
      </c>
      <c r="F33" s="178"/>
    </row>
    <row r="34" spans="1:6" ht="65.5" customHeight="1">
      <c r="A34" s="211" t="s">
        <v>420</v>
      </c>
      <c r="B34" s="141" t="s">
        <v>174</v>
      </c>
      <c r="C34" s="212"/>
      <c r="D34" s="213">
        <v>-14588568747</v>
      </c>
      <c r="E34" s="213">
        <v>35984975421</v>
      </c>
      <c r="F34" s="178"/>
    </row>
    <row r="35" spans="1:6" s="178" customFormat="1" ht="47" customHeight="1">
      <c r="A35" s="211" t="s">
        <v>421</v>
      </c>
      <c r="B35" s="141" t="s">
        <v>242</v>
      </c>
      <c r="C35" s="212"/>
      <c r="D35" s="213">
        <v>1508197</v>
      </c>
      <c r="E35" s="213">
        <v>916946</v>
      </c>
    </row>
    <row r="36" spans="1:6" s="178" customFormat="1" ht="53.5" customHeight="1">
      <c r="A36" s="214" t="s">
        <v>422</v>
      </c>
      <c r="B36" s="141" t="s">
        <v>243</v>
      </c>
      <c r="C36" s="212"/>
      <c r="D36" s="213">
        <v>228252984</v>
      </c>
      <c r="E36" s="213">
        <v>184384442</v>
      </c>
    </row>
    <row r="37" spans="1:6" ht="57" customHeight="1">
      <c r="A37" s="211" t="s">
        <v>244</v>
      </c>
      <c r="B37" s="141" t="s">
        <v>245</v>
      </c>
      <c r="C37" s="212"/>
      <c r="D37" s="213">
        <v>0</v>
      </c>
      <c r="E37" s="213">
        <v>0</v>
      </c>
      <c r="F37" s="178"/>
    </row>
    <row r="38" spans="1:6" ht="52.5" customHeight="1">
      <c r="A38" s="209" t="s">
        <v>375</v>
      </c>
      <c r="B38" s="140" t="s">
        <v>246</v>
      </c>
      <c r="C38" s="210"/>
      <c r="D38" s="77">
        <v>-30555011596</v>
      </c>
      <c r="E38" s="77">
        <v>-327012635669</v>
      </c>
      <c r="F38" s="178"/>
    </row>
    <row r="39" spans="1:6" ht="41" customHeight="1">
      <c r="A39" s="209" t="s">
        <v>376</v>
      </c>
      <c r="B39" s="140" t="s">
        <v>22</v>
      </c>
      <c r="C39" s="210"/>
      <c r="D39" s="77"/>
      <c r="E39" s="77"/>
      <c r="F39" s="178"/>
    </row>
    <row r="40" spans="1:6" ht="41" customHeight="1">
      <c r="A40" s="211" t="s">
        <v>423</v>
      </c>
      <c r="B40" s="141" t="s">
        <v>224</v>
      </c>
      <c r="C40" s="212"/>
      <c r="D40" s="213">
        <v>512421664397</v>
      </c>
      <c r="E40" s="213">
        <v>426233716431</v>
      </c>
      <c r="F40" s="178"/>
    </row>
    <row r="41" spans="1:6" ht="41" customHeight="1">
      <c r="A41" s="211" t="s">
        <v>424</v>
      </c>
      <c r="B41" s="141" t="s">
        <v>226</v>
      </c>
      <c r="C41" s="212"/>
      <c r="D41" s="213">
        <v>-377097895577</v>
      </c>
      <c r="E41" s="213">
        <v>-306711809447</v>
      </c>
      <c r="F41" s="178"/>
    </row>
    <row r="42" spans="1:6" ht="41" customHeight="1">
      <c r="A42" s="211" t="s">
        <v>377</v>
      </c>
      <c r="B42" s="141" t="s">
        <v>247</v>
      </c>
      <c r="C42" s="212"/>
      <c r="D42" s="213">
        <v>0</v>
      </c>
      <c r="E42" s="213">
        <v>0</v>
      </c>
      <c r="F42" s="178"/>
    </row>
    <row r="43" spans="1:6" s="178" customFormat="1" ht="41" customHeight="1">
      <c r="A43" s="211" t="s">
        <v>378</v>
      </c>
      <c r="B43" s="141" t="s">
        <v>248</v>
      </c>
      <c r="C43" s="212"/>
      <c r="D43" s="213">
        <v>0</v>
      </c>
      <c r="E43" s="213">
        <v>0</v>
      </c>
    </row>
    <row r="44" spans="1:6" s="178" customFormat="1" ht="41" customHeight="1">
      <c r="A44" s="211" t="s">
        <v>425</v>
      </c>
      <c r="B44" s="141" t="s">
        <v>249</v>
      </c>
      <c r="C44" s="212"/>
      <c r="D44" s="213">
        <v>0</v>
      </c>
      <c r="E44" s="213">
        <v>0</v>
      </c>
    </row>
    <row r="45" spans="1:6" ht="61.5" customHeight="1">
      <c r="A45" s="209" t="s">
        <v>426</v>
      </c>
      <c r="B45" s="140" t="s">
        <v>222</v>
      </c>
      <c r="C45" s="212"/>
      <c r="D45" s="77">
        <v>135323768820</v>
      </c>
      <c r="E45" s="77">
        <v>119521906984</v>
      </c>
      <c r="F45" s="178"/>
    </row>
    <row r="46" spans="1:6" ht="56.5" customHeight="1">
      <c r="A46" s="209" t="s">
        <v>379</v>
      </c>
      <c r="B46" s="140" t="s">
        <v>228</v>
      </c>
      <c r="C46" s="210"/>
      <c r="D46" s="77">
        <v>104768757224</v>
      </c>
      <c r="E46" s="77">
        <v>-207490728685</v>
      </c>
      <c r="F46" s="178"/>
    </row>
    <row r="47" spans="1:6" ht="60">
      <c r="A47" s="209" t="s">
        <v>380</v>
      </c>
      <c r="B47" s="140" t="s">
        <v>250</v>
      </c>
      <c r="C47" s="210"/>
      <c r="D47" s="77">
        <v>156172164816</v>
      </c>
      <c r="E47" s="77">
        <v>363662893501</v>
      </c>
      <c r="F47" s="178"/>
    </row>
    <row r="48" spans="1:6" ht="36.5" customHeight="1">
      <c r="A48" s="211" t="s">
        <v>427</v>
      </c>
      <c r="B48" s="141" t="s">
        <v>251</v>
      </c>
      <c r="C48" s="212"/>
      <c r="D48" s="213">
        <v>156172164816</v>
      </c>
      <c r="E48" s="213">
        <v>363662893501</v>
      </c>
      <c r="F48" s="178"/>
    </row>
    <row r="49" spans="1:6" ht="44.5" customHeight="1">
      <c r="A49" s="215" t="s">
        <v>428</v>
      </c>
      <c r="B49" s="141" t="s">
        <v>252</v>
      </c>
      <c r="C49" s="212"/>
      <c r="D49" s="213">
        <v>146642329733</v>
      </c>
      <c r="E49" s="213">
        <v>360560914263</v>
      </c>
      <c r="F49" s="178"/>
    </row>
    <row r="50" spans="1:6" ht="37" customHeight="1">
      <c r="A50" s="216" t="s">
        <v>429</v>
      </c>
      <c r="B50" s="217" t="s">
        <v>253</v>
      </c>
      <c r="C50" s="212"/>
      <c r="D50" s="213">
        <v>842329733</v>
      </c>
      <c r="E50" s="213">
        <v>460914263</v>
      </c>
      <c r="F50" s="178"/>
    </row>
    <row r="51" spans="1:6" ht="37" customHeight="1">
      <c r="A51" s="218" t="s">
        <v>789</v>
      </c>
      <c r="B51" s="217" t="s">
        <v>254</v>
      </c>
      <c r="C51" s="212"/>
      <c r="D51" s="213">
        <v>145800000000</v>
      </c>
      <c r="E51" s="213">
        <v>360100000000</v>
      </c>
      <c r="F51" s="178"/>
    </row>
    <row r="52" spans="1:6" s="178" customFormat="1" ht="51.5" customHeight="1">
      <c r="A52" s="216" t="s">
        <v>21</v>
      </c>
      <c r="B52" s="217" t="s">
        <v>255</v>
      </c>
      <c r="C52" s="212"/>
      <c r="D52" s="213">
        <v>0</v>
      </c>
      <c r="E52" s="213">
        <v>0</v>
      </c>
    </row>
    <row r="53" spans="1:6" ht="63" customHeight="1">
      <c r="A53" s="215" t="s">
        <v>790</v>
      </c>
      <c r="B53" s="141" t="s">
        <v>256</v>
      </c>
      <c r="C53" s="212"/>
      <c r="D53" s="213">
        <v>9529835083</v>
      </c>
      <c r="E53" s="213">
        <v>3101979238</v>
      </c>
      <c r="F53" s="178"/>
    </row>
    <row r="54" spans="1:6" ht="38" customHeight="1">
      <c r="A54" s="211" t="s">
        <v>381</v>
      </c>
      <c r="B54" s="141" t="s">
        <v>257</v>
      </c>
      <c r="C54" s="212"/>
      <c r="D54" s="213">
        <v>0</v>
      </c>
      <c r="E54" s="213">
        <v>0</v>
      </c>
      <c r="F54" s="178"/>
    </row>
    <row r="55" spans="1:6" ht="68" customHeight="1">
      <c r="A55" s="209" t="s">
        <v>382</v>
      </c>
      <c r="B55" s="140" t="s">
        <v>258</v>
      </c>
      <c r="C55" s="210"/>
      <c r="D55" s="77">
        <v>260940922040</v>
      </c>
      <c r="E55" s="77">
        <v>156172164816</v>
      </c>
      <c r="F55" s="178"/>
    </row>
    <row r="56" spans="1:6" ht="32.5" customHeight="1">
      <c r="A56" s="211" t="s">
        <v>430</v>
      </c>
      <c r="B56" s="141" t="s">
        <v>259</v>
      </c>
      <c r="C56" s="212"/>
      <c r="D56" s="213">
        <v>260940922040</v>
      </c>
      <c r="E56" s="213">
        <v>156172164816</v>
      </c>
      <c r="F56" s="178"/>
    </row>
    <row r="57" spans="1:6" ht="60">
      <c r="A57" s="211" t="s">
        <v>428</v>
      </c>
      <c r="B57" s="141" t="s">
        <v>260</v>
      </c>
      <c r="C57" s="212"/>
      <c r="D57" s="213">
        <v>251013388256</v>
      </c>
      <c r="E57" s="213">
        <v>146642329733</v>
      </c>
      <c r="F57" s="178"/>
    </row>
    <row r="58" spans="1:6" ht="41.5" customHeight="1">
      <c r="A58" s="216" t="s">
        <v>429</v>
      </c>
      <c r="B58" s="217" t="s">
        <v>261</v>
      </c>
      <c r="C58" s="212"/>
      <c r="D58" s="213">
        <v>2213388256</v>
      </c>
      <c r="E58" s="213">
        <v>842329733</v>
      </c>
      <c r="F58" s="178"/>
    </row>
    <row r="59" spans="1:6" ht="41.5" customHeight="1">
      <c r="A59" s="218" t="s">
        <v>789</v>
      </c>
      <c r="B59" s="217" t="s">
        <v>262</v>
      </c>
      <c r="C59" s="212"/>
      <c r="D59" s="213">
        <v>248800000000</v>
      </c>
      <c r="E59" s="213">
        <v>145800000000</v>
      </c>
      <c r="F59" s="178"/>
    </row>
    <row r="60" spans="1:6" s="178" customFormat="1" ht="54" customHeight="1">
      <c r="A60" s="216" t="s">
        <v>21</v>
      </c>
      <c r="B60" s="217" t="s">
        <v>263</v>
      </c>
      <c r="C60" s="212"/>
      <c r="D60" s="213">
        <v>0</v>
      </c>
      <c r="E60" s="213">
        <v>0</v>
      </c>
    </row>
    <row r="61" spans="1:6" s="178" customFormat="1" ht="68" customHeight="1">
      <c r="A61" s="215" t="s">
        <v>790</v>
      </c>
      <c r="B61" s="141" t="s">
        <v>264</v>
      </c>
      <c r="C61" s="212"/>
      <c r="D61" s="213">
        <v>9927533784</v>
      </c>
      <c r="E61" s="213">
        <v>9529835083</v>
      </c>
    </row>
    <row r="62" spans="1:6" ht="39.5" customHeight="1">
      <c r="A62" s="211" t="s">
        <v>383</v>
      </c>
      <c r="B62" s="141" t="s">
        <v>265</v>
      </c>
      <c r="C62" s="212"/>
      <c r="D62" s="213">
        <v>0</v>
      </c>
      <c r="E62" s="213">
        <v>0</v>
      </c>
    </row>
    <row r="63" spans="1:6" ht="61" customHeight="1">
      <c r="A63" s="209" t="s">
        <v>384</v>
      </c>
      <c r="B63" s="140" t="s">
        <v>266</v>
      </c>
      <c r="C63" s="210"/>
      <c r="D63" s="77">
        <v>104768757224</v>
      </c>
      <c r="E63" s="77">
        <v>-207490728685</v>
      </c>
    </row>
    <row r="64" spans="1:6" ht="36.5" customHeight="1">
      <c r="A64" s="209" t="s">
        <v>385</v>
      </c>
      <c r="B64" s="140" t="s">
        <v>267</v>
      </c>
      <c r="C64" s="210"/>
      <c r="D64" s="77">
        <v>0</v>
      </c>
      <c r="E64" s="77">
        <v>0</v>
      </c>
    </row>
    <row r="65" spans="1:5">
      <c r="A65" s="191"/>
      <c r="B65" s="191"/>
      <c r="C65" s="191"/>
      <c r="D65" s="191"/>
      <c r="E65" s="191"/>
    </row>
    <row r="66" spans="1:5">
      <c r="A66" s="191"/>
      <c r="B66" s="191"/>
      <c r="C66" s="191"/>
      <c r="D66" s="191"/>
      <c r="E66" s="191"/>
    </row>
    <row r="67" spans="1:5">
      <c r="A67" s="219" t="s">
        <v>231</v>
      </c>
      <c r="B67" s="220"/>
      <c r="C67" s="275" t="s">
        <v>232</v>
      </c>
      <c r="D67" s="275"/>
      <c r="E67" s="275"/>
    </row>
    <row r="68" spans="1:5">
      <c r="A68" s="191"/>
      <c r="B68" s="191"/>
      <c r="C68" s="191"/>
      <c r="D68" s="191"/>
      <c r="E68" s="191"/>
    </row>
    <row r="69" spans="1:5">
      <c r="A69" s="191"/>
      <c r="B69" s="191"/>
      <c r="C69" s="191"/>
      <c r="D69" s="191"/>
      <c r="E69" s="191"/>
    </row>
    <row r="70" spans="1:5">
      <c r="A70" s="191"/>
      <c r="B70" s="191"/>
      <c r="C70" s="191"/>
      <c r="D70" s="191"/>
      <c r="E70" s="191"/>
    </row>
    <row r="71" spans="1:5">
      <c r="A71" s="191"/>
      <c r="B71" s="191"/>
      <c r="C71" s="191"/>
      <c r="D71" s="191"/>
      <c r="E71" s="191"/>
    </row>
    <row r="72" spans="1:5">
      <c r="A72" s="191"/>
      <c r="B72" s="191"/>
      <c r="C72" s="191"/>
      <c r="D72" s="191"/>
      <c r="E72" s="191"/>
    </row>
    <row r="73" spans="1:5">
      <c r="A73" s="191"/>
      <c r="B73" s="191"/>
      <c r="C73" s="191"/>
      <c r="D73" s="191"/>
      <c r="E73" s="191"/>
    </row>
    <row r="74" spans="1:5">
      <c r="A74" s="191"/>
      <c r="B74" s="191"/>
      <c r="C74" s="191"/>
      <c r="D74" s="191"/>
      <c r="E74" s="191"/>
    </row>
    <row r="75" spans="1:5">
      <c r="A75" s="191" t="s">
        <v>650</v>
      </c>
      <c r="B75" s="274" t="s">
        <v>649</v>
      </c>
      <c r="C75" s="274"/>
      <c r="D75" s="274"/>
      <c r="E75" s="221"/>
    </row>
    <row r="76" spans="1:5" ht="16.899999999999999" customHeight="1">
      <c r="A76" s="190" t="s">
        <v>1327</v>
      </c>
      <c r="B76" s="235" t="s">
        <v>1320</v>
      </c>
      <c r="C76" s="235"/>
      <c r="D76" s="235"/>
      <c r="E76" s="190" t="s">
        <v>1310</v>
      </c>
    </row>
    <row r="77" spans="1:5" ht="16.899999999999999" customHeight="1">
      <c r="A77" s="191" t="s">
        <v>1321</v>
      </c>
      <c r="B77" s="274" t="s">
        <v>1322</v>
      </c>
      <c r="C77" s="274"/>
      <c r="D77" s="274"/>
      <c r="E77" s="191" t="s">
        <v>1312</v>
      </c>
    </row>
  </sheetData>
  <mergeCells count="16">
    <mergeCell ref="B8:E8"/>
    <mergeCell ref="A1:E1"/>
    <mergeCell ref="A2:E2"/>
    <mergeCell ref="A3:E3"/>
    <mergeCell ref="A4:E4"/>
    <mergeCell ref="B7:E7"/>
    <mergeCell ref="B77:D77"/>
    <mergeCell ref="B76:D76"/>
    <mergeCell ref="B9:E9"/>
    <mergeCell ref="B10:E10"/>
    <mergeCell ref="B11:E11"/>
    <mergeCell ref="B12:E12"/>
    <mergeCell ref="B13:E13"/>
    <mergeCell ref="B14:E14"/>
    <mergeCell ref="B75:D75"/>
    <mergeCell ref="C67:E67"/>
  </mergeCells>
  <printOptions horizontalCentered="1"/>
  <pageMargins left="0.3" right="0.3" top="0.8" bottom="0.75" header="0.3" footer="0.3"/>
  <pageSetup paperSize="9" scale="64" fitToHeight="0" orientation="portrait" r:id="rId1"/>
  <headerFooter>
    <oddHeader>&amp;L&amp;"Arial"&amp;9&amp;KA80000CONFIDENTIAL&amp;1#</oddHead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276</v>
      </c>
    </row>
    <row r="2" spans="1:4" s="1" customFormat="1" ht="61.5" customHeight="1">
      <c r="A2" s="1" t="s">
        <v>269</v>
      </c>
      <c r="B2" s="1" t="s">
        <v>270</v>
      </c>
      <c r="C2" s="1" t="s">
        <v>271</v>
      </c>
    </row>
    <row r="3" spans="1:4" ht="57" customHeight="1">
      <c r="A3" t="s">
        <v>651</v>
      </c>
      <c r="B3" t="s">
        <v>756</v>
      </c>
    </row>
    <row r="4" spans="1:4" ht="52.5" customHeight="1">
      <c r="A4" t="s">
        <v>272</v>
      </c>
      <c r="B4" t="s">
        <v>752</v>
      </c>
    </row>
    <row r="5" spans="1:4" ht="57.75" customHeight="1">
      <c r="A5" t="s">
        <v>273</v>
      </c>
      <c r="B5" t="s">
        <v>753</v>
      </c>
    </row>
    <row r="6" spans="1:4" ht="61.5" customHeight="1">
      <c r="A6" t="s">
        <v>274</v>
      </c>
      <c r="B6" t="s">
        <v>275</v>
      </c>
    </row>
    <row r="7" spans="1:4" ht="61.5" customHeight="1">
      <c r="A7" t="s">
        <v>276</v>
      </c>
      <c r="B7" t="s">
        <v>754</v>
      </c>
    </row>
    <row r="8" spans="1:4" ht="61.5" customHeight="1">
      <c r="A8" t="s">
        <v>277</v>
      </c>
      <c r="B8" t="s">
        <v>755</v>
      </c>
    </row>
    <row r="9" spans="1:4" ht="61.5" customHeight="1">
      <c r="A9" t="s">
        <v>279</v>
      </c>
      <c r="B9" t="s">
        <v>280</v>
      </c>
    </row>
    <row r="10" spans="1:4" ht="61.5" customHeight="1">
      <c r="A10" t="s">
        <v>278</v>
      </c>
      <c r="B10" t="s">
        <v>280</v>
      </c>
    </row>
    <row r="11" spans="1:4" ht="61.5" customHeight="1">
      <c r="A11" t="s">
        <v>281</v>
      </c>
      <c r="B11" t="s">
        <v>282</v>
      </c>
    </row>
    <row r="12" spans="1:4" ht="61.5" customHeight="1">
      <c r="A12" t="s">
        <v>283</v>
      </c>
      <c r="B12" t="s">
        <v>284</v>
      </c>
    </row>
    <row r="13" spans="1:4" ht="61.5" customHeight="1">
      <c r="A13" t="s">
        <v>285</v>
      </c>
      <c r="B13" t="s">
        <v>286</v>
      </c>
    </row>
    <row r="14" spans="1:4" ht="61.5" customHeight="1">
      <c r="A14" t="s">
        <v>287</v>
      </c>
      <c r="B14" t="s">
        <v>288</v>
      </c>
    </row>
    <row r="15" spans="1:4" ht="61.5" customHeight="1">
      <c r="A15" t="s">
        <v>289</v>
      </c>
      <c r="B15" t="s">
        <v>290</v>
      </c>
    </row>
    <row r="16" spans="1:4" ht="61.5" customHeight="1">
      <c r="A16" t="s">
        <v>291</v>
      </c>
      <c r="B16" t="s">
        <v>292</v>
      </c>
    </row>
    <row r="17" spans="1:2" ht="61.5" customHeight="1">
      <c r="A17" t="s">
        <v>293</v>
      </c>
      <c r="B17" t="s">
        <v>294</v>
      </c>
    </row>
    <row r="18" spans="1:2" ht="61.5" customHeight="1">
      <c r="A18" t="s">
        <v>295</v>
      </c>
      <c r="B18" t="s">
        <v>296</v>
      </c>
    </row>
    <row r="19" spans="1:2" ht="61.5" customHeight="1">
      <c r="A19" t="s">
        <v>297</v>
      </c>
      <c r="B19" t="s">
        <v>298</v>
      </c>
    </row>
    <row r="20" spans="1:2" ht="61.5" customHeight="1">
      <c r="A20" t="s">
        <v>299</v>
      </c>
      <c r="B20" t="s">
        <v>300</v>
      </c>
    </row>
    <row r="21" spans="1:2" ht="61.5" customHeight="1">
      <c r="A21" t="s">
        <v>301</v>
      </c>
      <c r="B21" t="s">
        <v>302</v>
      </c>
    </row>
    <row r="22" spans="1:2" ht="61.5" customHeight="1">
      <c r="A22" t="s">
        <v>312</v>
      </c>
      <c r="B22" t="s">
        <v>313</v>
      </c>
    </row>
    <row r="23" spans="1:2" ht="61.5" customHeight="1">
      <c r="A23" t="s">
        <v>314</v>
      </c>
      <c r="B23" t="s">
        <v>315</v>
      </c>
    </row>
    <row r="24" spans="1:2" ht="61.5" customHeight="1">
      <c r="A24" t="s">
        <v>316</v>
      </c>
      <c r="B24" t="s">
        <v>317</v>
      </c>
    </row>
    <row r="25" spans="1:2" ht="61.5" customHeight="1">
      <c r="A25" t="s">
        <v>318</v>
      </c>
      <c r="B25" t="s">
        <v>319</v>
      </c>
    </row>
    <row r="26" spans="1:2" ht="61.5" customHeight="1">
      <c r="A26" t="s">
        <v>320</v>
      </c>
      <c r="B26" t="s">
        <v>321</v>
      </c>
    </row>
    <row r="27" spans="1:2" ht="61.5" customHeight="1">
      <c r="A27" t="s">
        <v>322</v>
      </c>
      <c r="B27" t="s">
        <v>323</v>
      </c>
    </row>
    <row r="28" spans="1:2" ht="61.5" customHeight="1">
      <c r="A28" t="s">
        <v>324</v>
      </c>
      <c r="B28" t="s">
        <v>325</v>
      </c>
    </row>
    <row r="29" spans="1:2" ht="61.5" customHeight="1">
      <c r="A29" t="s">
        <v>326</v>
      </c>
      <c r="B29" t="s">
        <v>327</v>
      </c>
    </row>
    <row r="30" spans="1:2" ht="61.5" customHeight="1">
      <c r="A30" t="s">
        <v>328</v>
      </c>
      <c r="B30" t="s">
        <v>329</v>
      </c>
    </row>
    <row r="31" spans="1:2" ht="61.5" customHeight="1">
      <c r="A31" t="s">
        <v>303</v>
      </c>
      <c r="B31" t="s">
        <v>304</v>
      </c>
    </row>
    <row r="32" spans="1:2" ht="61.5" customHeight="1">
      <c r="A32" t="s">
        <v>331</v>
      </c>
      <c r="B32" t="s">
        <v>332</v>
      </c>
    </row>
    <row r="33" spans="1:2" ht="61.5" customHeight="1">
      <c r="A33" t="s">
        <v>333</v>
      </c>
      <c r="B33" t="s">
        <v>334</v>
      </c>
    </row>
    <row r="34" spans="1:2" ht="61.5" customHeight="1">
      <c r="A34" t="s">
        <v>335</v>
      </c>
      <c r="B34" t="s">
        <v>330</v>
      </c>
    </row>
    <row r="35" spans="1:2" ht="61.5" customHeight="1">
      <c r="A35" t="s">
        <v>336</v>
      </c>
      <c r="B35" t="s">
        <v>337</v>
      </c>
    </row>
    <row r="36" spans="1:2" ht="61.5" customHeight="1">
      <c r="A36" t="s">
        <v>338</v>
      </c>
      <c r="B36" t="s">
        <v>339</v>
      </c>
    </row>
    <row r="37" spans="1:2" ht="61.5" customHeight="1">
      <c r="A37" t="s">
        <v>340</v>
      </c>
      <c r="B37" t="s">
        <v>341</v>
      </c>
    </row>
    <row r="38" spans="1:2" ht="61.5" customHeight="1">
      <c r="A38" t="s">
        <v>328</v>
      </c>
      <c r="B38" t="s">
        <v>329</v>
      </c>
    </row>
    <row r="39" spans="1:2" ht="61.5" customHeight="1">
      <c r="A39" t="s">
        <v>342</v>
      </c>
      <c r="B39" t="s">
        <v>343</v>
      </c>
    </row>
    <row r="40" spans="1:2" ht="61.5" customHeight="1">
      <c r="A40" t="s">
        <v>708</v>
      </c>
      <c r="B40" t="s">
        <v>709</v>
      </c>
    </row>
    <row r="41" spans="1:2" ht="61.5" customHeight="1">
      <c r="A41" t="s">
        <v>710</v>
      </c>
      <c r="B41" t="s">
        <v>711</v>
      </c>
    </row>
    <row r="42" spans="1:2" ht="61.5" customHeight="1">
      <c r="A42" t="s">
        <v>712</v>
      </c>
      <c r="B42" t="s">
        <v>713</v>
      </c>
    </row>
    <row r="43" spans="1:2" ht="61.5" customHeight="1">
      <c r="A43" t="s">
        <v>714</v>
      </c>
      <c r="B43" t="s">
        <v>715</v>
      </c>
    </row>
    <row r="44" spans="1:2" ht="61.5" customHeight="1">
      <c r="A44" t="s">
        <v>716</v>
      </c>
      <c r="B44" t="s">
        <v>717</v>
      </c>
    </row>
    <row r="45" spans="1:2" ht="61.5" customHeight="1">
      <c r="A45" t="s">
        <v>718</v>
      </c>
      <c r="B45" t="s">
        <v>719</v>
      </c>
    </row>
    <row r="46" spans="1:2" ht="61.5" customHeight="1">
      <c r="A46" t="s">
        <v>720</v>
      </c>
      <c r="B46" t="s">
        <v>721</v>
      </c>
    </row>
    <row r="47" spans="1:2" ht="61.5" customHeight="1">
      <c r="A47" t="s">
        <v>722</v>
      </c>
      <c r="B47" t="s">
        <v>723</v>
      </c>
    </row>
    <row r="48" spans="1:2" ht="61.5" customHeight="1">
      <c r="A48" t="s">
        <v>724</v>
      </c>
      <c r="B48" t="s">
        <v>725</v>
      </c>
    </row>
    <row r="49" spans="1:2" ht="61.5" customHeight="1">
      <c r="A49" t="s">
        <v>726</v>
      </c>
      <c r="B49" t="s">
        <v>727</v>
      </c>
    </row>
    <row r="50" spans="1:2" ht="61.5" customHeight="1">
      <c r="A50" t="s">
        <v>728</v>
      </c>
      <c r="B50" t="s">
        <v>757</v>
      </c>
    </row>
    <row r="51" spans="1:2" ht="61.5" customHeight="1">
      <c r="A51" t="s">
        <v>729</v>
      </c>
      <c r="B51" t="s">
        <v>730</v>
      </c>
    </row>
    <row r="52" spans="1:2" ht="61.5" customHeight="1">
      <c r="A52" t="s">
        <v>731</v>
      </c>
      <c r="B52" t="s">
        <v>732</v>
      </c>
    </row>
    <row r="53" spans="1:2" ht="61.5" customHeight="1">
      <c r="A53" t="s">
        <v>733</v>
      </c>
    </row>
    <row r="54" spans="1:2" ht="61.5" customHeight="1">
      <c r="A54" t="s">
        <v>734</v>
      </c>
    </row>
    <row r="55" spans="1:2" ht="61.5" customHeight="1">
      <c r="A55" t="s">
        <v>735</v>
      </c>
    </row>
    <row r="56" spans="1:2" ht="61.5" customHeight="1">
      <c r="A56" t="s">
        <v>736</v>
      </c>
      <c r="B56" t="s">
        <v>737</v>
      </c>
    </row>
    <row r="57" spans="1:2" ht="61.5" customHeight="1">
      <c r="A57" t="s">
        <v>738</v>
      </c>
    </row>
    <row r="58" spans="1:2" ht="61.5" customHeight="1">
      <c r="A58" t="s">
        <v>739</v>
      </c>
    </row>
    <row r="59" spans="1:2" ht="61.5" customHeight="1">
      <c r="A59" t="s">
        <v>740</v>
      </c>
    </row>
    <row r="60" spans="1:2" ht="61.5" customHeight="1">
      <c r="A60" t="s">
        <v>741</v>
      </c>
    </row>
    <row r="61" spans="1:2" ht="61.5" customHeight="1">
      <c r="A61" t="s">
        <v>742</v>
      </c>
    </row>
    <row r="62" spans="1:2" ht="61.5" customHeight="1">
      <c r="A62" t="s">
        <v>743</v>
      </c>
    </row>
    <row r="63" spans="1:2" ht="61.5" customHeight="1">
      <c r="A63" t="s">
        <v>744</v>
      </c>
    </row>
    <row r="64" spans="1:2" ht="61.5" customHeight="1">
      <c r="A64" t="s">
        <v>745</v>
      </c>
    </row>
    <row r="65" spans="1:2" ht="61.5" customHeight="1">
      <c r="A65" t="s">
        <v>746</v>
      </c>
    </row>
    <row r="66" spans="1:2" ht="61.5" customHeight="1">
      <c r="A66" t="s">
        <v>747</v>
      </c>
    </row>
    <row r="67" spans="1:2" ht="61.5" customHeight="1">
      <c r="A67" t="s">
        <v>748</v>
      </c>
    </row>
    <row r="68" spans="1:2" ht="61.5" customHeight="1">
      <c r="A68" t="s">
        <v>749</v>
      </c>
    </row>
    <row r="69" spans="1:2" ht="61.5" customHeight="1">
      <c r="A69" t="s">
        <v>750</v>
      </c>
    </row>
    <row r="70" spans="1:2" ht="61.5" customHeight="1">
      <c r="A70" t="s">
        <v>751</v>
      </c>
    </row>
    <row r="71" spans="1:2" ht="61.5" customHeight="1">
      <c r="A71" t="s">
        <v>767</v>
      </c>
      <c r="B71" t="s">
        <v>768</v>
      </c>
    </row>
    <row r="72" spans="1:2" ht="61.5" customHeight="1">
      <c r="A72" t="s">
        <v>769</v>
      </c>
    </row>
    <row r="73" spans="1:2" ht="61.5" customHeight="1">
      <c r="A73" t="s">
        <v>770</v>
      </c>
    </row>
    <row r="74" spans="1:2" ht="61.5" customHeight="1">
      <c r="A74" t="s">
        <v>779</v>
      </c>
    </row>
    <row r="75" spans="1:2" ht="61.5" customHeight="1">
      <c r="A75" t="s">
        <v>780</v>
      </c>
    </row>
    <row r="76" spans="1:2" ht="61.5" customHeight="1">
      <c r="A76" t="s">
        <v>781</v>
      </c>
    </row>
  </sheetData>
  <conditionalFormatting sqref="A38:A70 A1:A21 A72:A73 A76:A1048576">
    <cfRule type="duplicateValues" dxfId="10" priority="26"/>
    <cfRule type="duplicateValues" dxfId="9" priority="29"/>
  </conditionalFormatting>
  <conditionalFormatting sqref="A71">
    <cfRule type="duplicateValues" dxfId="8" priority="5"/>
    <cfRule type="duplicateValues" dxfId="7" priority="6"/>
  </conditionalFormatting>
  <conditionalFormatting sqref="A74">
    <cfRule type="duplicateValues" dxfId="6" priority="3"/>
    <cfRule type="duplicateValues" dxfId="5" priority="4"/>
  </conditionalFormatting>
  <conditionalFormatting sqref="A75">
    <cfRule type="duplicateValues" dxfId="4" priority="1"/>
    <cfRule type="duplicateValues" dxfId="3" priority="2"/>
  </conditionalFormatting>
  <conditionalFormatting sqref="A22:B37 B39">
    <cfRule type="duplicateValues" dxfId="2" priority="41"/>
  </conditionalFormatting>
  <conditionalFormatting sqref="D1">
    <cfRule type="duplicateValues" dxfId="1" priority="13"/>
    <cfRule type="duplicateValues" dxfId="0" priority="14"/>
  </conditionalFormatting>
  <pageMargins left="0.7" right="0.7" top="0.75" bottom="0.75" header="0.3" footer="0.3"/>
  <pageSetup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1S2A4H8WkT+VttFYhOHxkjcpVjCnPKfoRTI7bmEx12g=</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miOHUUM9ITZnsullYckAJmTq2HiP4UKyomda1d/5Ir0=</DigestValue>
    </Reference>
  </SignedInfo>
  <SignatureValue>XgFQd9p0yrYDyBxWDxPZgFNLJl9RRyrCLMM3b9GBJhLrUjDLEszRkY5tMNoDpRH5wcYKdwOZLDS+
A8rQv4zQfAY3CG5Ezt4VO2YdeFqqf6FDBaS1UCM9Z07gGfJYlzNEAAIB8MfuJ+R5BdlXmV9hlDvv
T8RsqjJEKhoqHIi5E7KdXS/lwf/0CRrLxoxaeAkbwsnP7VyhGOLnG0IBcOqiYSV+U9nnmq4sqfpZ
GnT5NbRLJ2D05uBwS0Oe/HNRMk253XtgIP8gsebvvQneF50KjUD6wFCiBS8/esNWbAvVE0fdqeRK
yjHm3Rz6W+PgNmDzxAF2Gqg+PfqbiuOQh42zCw==</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Lu1yItisNNGJhgWhQl1iUPcngwGk/nf15/JFfeUoIJY=</DigestValue>
      </Reference>
      <Reference URI="/xl/calcChain.xml?ContentType=application/vnd.openxmlformats-officedocument.spreadsheetml.calcChain+xml">
        <DigestMethod Algorithm="http://www.w3.org/2001/04/xmlenc#sha256"/>
        <DigestValue>5oOYZUBQDAYdif20sCbnPzt1GmpJlq8MJat+8Uc6jmo=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27YXyh4rcOcAdehOJe6WKvrIx5yq+XvCMTl7FmFEy68=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gK/Kq+gqZZnJJyAPNbw+G8hpSXVZau28KQMCatenRjU=</DigestValue>
      </Reference>
      <Reference URI="/xl/drawings/drawing2.xml?ContentType=application/vnd.openxmlformats-officedocument.drawing+xml">
        <DigestMethod Algorithm="http://www.w3.org/2001/04/xmlenc#sha256"/>
        <DigestValue>xBumhwe+SMHQ1KvRj3aIfSBHs65RRGZR72X6GgXGbnQ=</DigestValue>
      </Reference>
      <Reference URI="/xl/drawings/drawing3.xml?ContentType=application/vnd.openxmlformats-officedocument.drawing+xml">
        <DigestMethod Algorithm="http://www.w3.org/2001/04/xmlenc#sha256"/>
        <DigestValue>WTdttv9a0gwpFYdlcVqhMWsEKWxPMinxbpN6Gb1XhzY=</DigestValue>
      </Reference>
      <Reference URI="/xl/drawings/drawing4.xml?ContentType=application/vnd.openxmlformats-officedocument.drawing+xml">
        <DigestMethod Algorithm="http://www.w3.org/2001/04/xmlenc#sha256"/>
        <DigestValue>HMfhZ3QHlmovUxkl0Egojk/eshqmPbmf3nGc3R/2qVU=</DigestValue>
      </Reference>
      <Reference URI="/xl/drawings/drawing5.xml?ContentType=application/vnd.openxmlformats-officedocument.drawing+xml">
        <DigestMethod Algorithm="http://www.w3.org/2001/04/xmlenc#sha256"/>
        <DigestValue>1cVP49+a06U/6GowbZa4lSJSH8WuqJhoU31NvDRh5j4=</DigestValue>
      </Reference>
      <Reference URI="/xl/drawings/drawing6.xml?ContentType=application/vnd.openxmlformats-officedocument.drawing+xml">
        <DigestMethod Algorithm="http://www.w3.org/2001/04/xmlenc#sha256"/>
        <DigestValue>WBUKBN1RY4BCRsZMYHFsoUmvwZQ1AlFSmUHC7Pf8hlM=</DigestValue>
      </Reference>
      <Reference URI="/xl/drawings/drawing7.xml?ContentType=application/vnd.openxmlformats-officedocument.drawing+xml">
        <DigestMethod Algorithm="http://www.w3.org/2001/04/xmlenc#sha256"/>
        <DigestValue>8lSIof+SWWuDLN63hWBAe6PPhjwbduHy2ZR/mwQKELM=</DigestValue>
      </Reference>
      <Reference URI="/xl/drawings/drawing8.xml?ContentType=application/vnd.openxmlformats-officedocument.drawing+xml">
        <DigestMethod Algorithm="http://www.w3.org/2001/04/xmlenc#sha256"/>
        <DigestValue>RG8n2sxE8ImouZPHHIF3k17pE0vXSYAeMQhqsd/08h4=</DigestValue>
      </Reference>
      <Reference URI="/xl/drawings/drawing9.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V6GDsgdYKRb5wcQZqGcYMz1treZWioCMkjeDCqsaDs0=</DigestValue>
      </Reference>
      <Reference URI="/xl/drawings/vmlDrawing2.vml?ContentType=application/vnd.openxmlformats-officedocument.vmlDrawing">
        <DigestMethod Algorithm="http://www.w3.org/2001/04/xmlenc#sha256"/>
        <DigestValue>tgpZ7MgnV9r3fjB7ZTP0Tbvd7u0OKOFKhRotz9cTx+w=</DigestValue>
      </Reference>
      <Reference URI="/xl/drawings/vmlDrawing3.vml?ContentType=application/vnd.openxmlformats-officedocument.vmlDrawing">
        <DigestMethod Algorithm="http://www.w3.org/2001/04/xmlenc#sha256"/>
        <DigestValue>qutuQEbVlSq76uCacBXcKzJPxUpNlkaIalHMEhWKBnY=</DigestValue>
      </Reference>
      <Reference URI="/xl/drawings/vmlDrawing4.vml?ContentType=application/vnd.openxmlformats-officedocument.vmlDrawing">
        <DigestMethod Algorithm="http://www.w3.org/2001/04/xmlenc#sha256"/>
        <DigestValue>ByDq8VVBMJNQGldJSnn7qB2Mey1wSiovXhD97v2Vn5M=</DigestValue>
      </Reference>
      <Reference URI="/xl/drawings/vmlDrawing5.vml?ContentType=application/vnd.openxmlformats-officedocument.vmlDrawing">
        <DigestMethod Algorithm="http://www.w3.org/2001/04/xmlenc#sha256"/>
        <DigestValue>tEm6wUEWwwgMbzVINFPq2Z7ypYaIpGcYoJSqkBv43oo=</DigestValue>
      </Reference>
      <Reference URI="/xl/drawings/vmlDrawing6.vml?ContentType=application/vnd.openxmlformats-officedocument.vmlDrawing">
        <DigestMethod Algorithm="http://www.w3.org/2001/04/xmlenc#sha256"/>
        <DigestValue>eNmv8s3HZ2H60cAoRxVzC9bCEKOu26abJwD9Eo846y8=</DigestValue>
      </Reference>
      <Reference URI="/xl/drawings/vmlDrawing7.vml?ContentType=application/vnd.openxmlformats-officedocument.vmlDrawing">
        <DigestMethod Algorithm="http://www.w3.org/2001/04/xmlenc#sha256"/>
        <DigestValue>L4R8C+J7OdiNkXvZiPZWmA7ICgGgUbHW5x8D6juL07k=</DigestValue>
      </Reference>
      <Reference URI="/xl/drawings/vmlDrawing8.vml?ContentType=application/vnd.openxmlformats-officedocument.vmlDrawing">
        <DigestMethod Algorithm="http://www.w3.org/2001/04/xmlenc#sha256"/>
        <DigestValue>pZJq5+qJPozDNQue2uR7jebM69tbzpq0kinWVUW6uk4=</DigestValue>
      </Reference>
      <Reference URI="/xl/media/image1.emf?ContentType=image/x-emf">
        <DigestMethod Algorithm="http://www.w3.org/2001/04/xmlenc#sha256"/>
        <DigestValue>9at+SxN84FgxxFQ9J3roreGPKbJY3EWvJdOFgl0RtXk=</DigestValue>
      </Reference>
      <Reference URI="/xl/media/image10.png?ContentType=image/png">
        <DigestMethod Algorithm="http://www.w3.org/2001/04/xmlenc#sha256"/>
        <DigestValue>ZAdetHgtteZB1XilMQsHJFgDMLNGPPl+fVxeCb02eWA=</DigestValue>
      </Reference>
      <Reference URI="/xl/media/image11.png?ContentType=image/png">
        <DigestMethod Algorithm="http://www.w3.org/2001/04/xmlenc#sha256"/>
        <DigestValue>9mlgneoHMIJFBiBt9idi29PyzEtQryIcH8mytcR8HuQ=</DigestValue>
      </Reference>
      <Reference URI="/xl/media/image12.png?ContentType=image/png">
        <DigestMethod Algorithm="http://www.w3.org/2001/04/xmlenc#sha256"/>
        <DigestValue>SF6lIEP1cWrixGLlmKbDwtfQEVVVSqyr4UGAExXHkRI=</DigestValue>
      </Reference>
      <Reference URI="/xl/media/image13.png?ContentType=image/png">
        <DigestMethod Algorithm="http://www.w3.org/2001/04/xmlenc#sha256"/>
        <DigestValue>nm7L/P9WE9GNscuDnBKAar5SNauglawjFq/j/r/Q3Y0=</DigestValue>
      </Reference>
      <Reference URI="/xl/media/image14.png?ContentType=image/png">
        <DigestMethod Algorithm="http://www.w3.org/2001/04/xmlenc#sha256"/>
        <DigestValue>RTP7uLdrbjo2BTyctwZo7RYHvZa5BeSgClbeqqlfBa4=</DigestValue>
      </Reference>
      <Reference URI="/xl/media/image15.jpeg?ContentType=image/jpeg">
        <DigestMethod Algorithm="http://www.w3.org/2001/04/xmlenc#sha256"/>
        <DigestValue>iIytnUqpm1OstWpGPvo3d9ZyLo1HT/gkVsavSoNMx/0=</DigestValue>
      </Reference>
      <Reference URI="/xl/media/image16.jpeg?ContentType=image/jpeg">
        <DigestMethod Algorithm="http://www.w3.org/2001/04/xmlenc#sha256"/>
        <DigestValue>p0cj4QWkXd7goU0cJIoMMYvkHzp5h8sNoH6P0OF3thM=</DigestValue>
      </Reference>
      <Reference URI="/xl/media/image17.jpeg?ContentType=image/jpeg">
        <DigestMethod Algorithm="http://www.w3.org/2001/04/xmlenc#sha256"/>
        <DigestValue>JrspNEDe+jYbcdSixaxxOarORGrZkGqSTV3XwCn1Z+g=</DigestValue>
      </Reference>
      <Reference URI="/xl/media/image18.png?ContentType=image/png">
        <DigestMethod Algorithm="http://www.w3.org/2001/04/xmlenc#sha256"/>
        <DigestValue>i/PXx/R/9nHm50D6GxNe6CcA3SrZA5u15aqMWRgWAcg=</DigestValue>
      </Reference>
      <Reference URI="/xl/media/image19.png?ContentType=image/png">
        <DigestMethod Algorithm="http://www.w3.org/2001/04/xmlenc#sha256"/>
        <DigestValue>4KCN1qWg6RjwirJ67bKzplrsu6pXfpywX+kyFPWsH70=</DigestValue>
      </Reference>
      <Reference URI="/xl/media/image2.emf?ContentType=image/x-emf">
        <DigestMethod Algorithm="http://www.w3.org/2001/04/xmlenc#sha256"/>
        <DigestValue>9at+SxN84FgxxFQ9J3roreGPKbJY3EWvJdOFgl0RtXk=</DigestValue>
      </Reference>
      <Reference URI="/xl/media/image3.emf?ContentType=image/x-emf">
        <DigestMethod Algorithm="http://www.w3.org/2001/04/xmlenc#sha256"/>
        <DigestValue>8lFbXtSZsfSAJs4cKro3Wwc2/NMH2EulovsLWpMWyMA=</DigestValue>
      </Reference>
      <Reference URI="/xl/media/image4.emf?ContentType=image/x-emf">
        <DigestMethod Algorithm="http://www.w3.org/2001/04/xmlenc#sha256"/>
        <DigestValue>8lFbXtSZsfSAJs4cKro3Wwc2/NMH2EulovsLWpMWyMA=</DigestValue>
      </Reference>
      <Reference URI="/xl/media/image5.png?ContentType=image/png">
        <DigestMethod Algorithm="http://www.w3.org/2001/04/xmlenc#sha256"/>
        <DigestValue>087Yfkclt1EWim42tzxri9gvbNwr0tHdA5eGfJE27Rc=</DigestValue>
      </Reference>
      <Reference URI="/xl/media/image6.png?ContentType=image/png">
        <DigestMethod Algorithm="http://www.w3.org/2001/04/xmlenc#sha256"/>
        <DigestValue>nW2hOUOanxbHMRg2qIT6c6+JIUDHq5OoSjtxS1q6nNs=</DigestValue>
      </Reference>
      <Reference URI="/xl/media/image7.jpeg?ContentType=image/jpeg">
        <DigestMethod Algorithm="http://www.w3.org/2001/04/xmlenc#sha256"/>
        <DigestValue>0M8VOz7RUZ2vQENMoLLx5pJ3bci0svbUb1Yo1a4j7pk=</DigestValue>
      </Reference>
      <Reference URI="/xl/media/image8.png?ContentType=image/png">
        <DigestMethod Algorithm="http://www.w3.org/2001/04/xmlenc#sha256"/>
        <DigestValue>gw8E7gkqw3ghkRPZhJ33JzMUW5xh5PkuKoWt7H0R+9Q=</DigestValue>
      </Reference>
      <Reference URI="/xl/media/image9.jpeg?ContentType=image/jpeg">
        <DigestMethod Algorithm="http://www.w3.org/2001/04/xmlenc#sha256"/>
        <DigestValue>6xAH77ExkRKub6MvxU8ZySJxevPGibTT7vYIq8OWz2o=</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10.bin?ContentType=application/vnd.openxmlformats-officedocument.spreadsheetml.printerSettings">
        <DigestMethod Algorithm="http://www.w3.org/2001/04/xmlenc#sha256"/>
        <DigestValue>dVFifNrZHTmdHzpDWXItWzUtA0LfpyKgBKr32UVgWR4=</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syRRG4a5+Dq+1F5BRjCog/CG0znwV49H/fSN1S4CYGo=</DigestValue>
      </Reference>
      <Reference URI="/xl/printerSettings/printerSettings9.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UCOr198EuE4U5sDEJCGnG5vXl1wxcJ661gI5KCkezMQ=</DigestValue>
      </Reference>
      <Reference URI="/xl/styles.xml?ContentType=application/vnd.openxmlformats-officedocument.spreadsheetml.styles+xml">
        <DigestMethod Algorithm="http://www.w3.org/2001/04/xmlenc#sha256"/>
        <DigestValue>PezRtZ/Si7l/2Dk+lBJqDLkUb9KtLMJaNKQ8NUbts80=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KzGaRlHm2bHdu417msVFqJptnCH6LSKasfhXPSwkUgc=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iK1cCeJyE0nh61Ysaws+TMA/tgQJwUsR5g0ps2rJkns=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9vIlovsTRJRnT0GUImJ3sOQdVy2bNaYOig/RWIRLJfw=</DigestValue>
      </Reference>
      <Reference URI="/xl/worksheets/sheet10.xml?ContentType=application/vnd.openxmlformats-officedocument.spreadsheetml.worksheet+xml">
        <DigestMethod Algorithm="http://www.w3.org/2001/04/xmlenc#sha256"/>
        <DigestValue>OnDGfhDI0fl23Zzawt8jHHGJwgWC6Cwz2BE2ffIBCfU=</DigestValue>
      </Reference>
      <Reference URI="/xl/worksheets/sheet2.xml?ContentType=application/vnd.openxmlformats-officedocument.spreadsheetml.worksheet+xml">
        <DigestMethod Algorithm="http://www.w3.org/2001/04/xmlenc#sha256"/>
        <DigestValue>FUnha4XYycKSuZQNxMahGZXEKX8y4x7wTDejPF+MGos=</DigestValue>
      </Reference>
      <Reference URI="/xl/worksheets/sheet3.xml?ContentType=application/vnd.openxmlformats-officedocument.spreadsheetml.worksheet+xml">
        <DigestMethod Algorithm="http://www.w3.org/2001/04/xmlenc#sha256"/>
        <DigestValue>Fp/uWdQS55c6UFabEONTqNQiDRDyFAEEst7kDxDeVjs=</DigestValue>
      </Reference>
      <Reference URI="/xl/worksheets/sheet4.xml?ContentType=application/vnd.openxmlformats-officedocument.spreadsheetml.worksheet+xml">
        <DigestMethod Algorithm="http://www.w3.org/2001/04/xmlenc#sha256"/>
        <DigestValue>v8UpirpkEGcSDsCHDYjdur0WOzpzQBORVj6E5TbhP+0=</DigestValue>
      </Reference>
      <Reference URI="/xl/worksheets/sheet5.xml?ContentType=application/vnd.openxmlformats-officedocument.spreadsheetml.worksheet+xml">
        <DigestMethod Algorithm="http://www.w3.org/2001/04/xmlenc#sha256"/>
        <DigestValue>bRSduTJRivImLayC9dAL8cche8ntCQeCEjaygpNe4NU=</DigestValue>
      </Reference>
      <Reference URI="/xl/worksheets/sheet6.xml?ContentType=application/vnd.openxmlformats-officedocument.spreadsheetml.worksheet+xml">
        <DigestMethod Algorithm="http://www.w3.org/2001/04/xmlenc#sha256"/>
        <DigestValue>/55wcbuuAUX6myUmYrwMa0svEw0d/hBInkIw1Nxq7DQ=</DigestValue>
      </Reference>
      <Reference URI="/xl/worksheets/sheet7.xml?ContentType=application/vnd.openxmlformats-officedocument.spreadsheetml.worksheet+xml">
        <DigestMethod Algorithm="http://www.w3.org/2001/04/xmlenc#sha256"/>
        <DigestValue>OHlIdQWBEmifZM2SQGF+k594HOCZ/LP7BHu6vKMTbVk=</DigestValue>
      </Reference>
      <Reference URI="/xl/worksheets/sheet8.xml?ContentType=application/vnd.openxmlformats-officedocument.spreadsheetml.worksheet+xml">
        <DigestMethod Algorithm="http://www.w3.org/2001/04/xmlenc#sha256"/>
        <DigestValue>b6sYinydoxbuUtoLIZZd0XoYLaQs9nHkfnWdtGtfHO4=</DigestValue>
      </Reference>
      <Reference URI="/xl/worksheets/sheet9.xml?ContentType=application/vnd.openxmlformats-officedocument.spreadsheetml.worksheet+xml">
        <DigestMethod Algorithm="http://www.w3.org/2001/04/xmlenc#sha256"/>
        <DigestValue>5pRZBiHVd0lVs1IEVqKuAvsXmZri7Jo4Xi8klq/LgtY=</DigestValue>
      </Reference>
    </Manifest>
    <SignatureProperties>
      <SignatureProperty Id="idSignatureTime" Target="#idPackageSignature">
        <mdssi:SignatureTime xmlns:mdssi="http://schemas.openxmlformats.org/package/2006/digital-signature">
          <mdssi:Format>YYYY-MM-DDThh:mm:ssTZD</mdssi:Format>
          <mdssi:Value>2025-01-15T04:10:08Z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2025-01-15T04:10:08Z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TONGQUAN</vt:lpstr>
      <vt:lpstr>BCTaiSan_06027</vt:lpstr>
      <vt:lpstr>BCKetQuaHoatDong_06028</vt:lpstr>
      <vt:lpstr>BCDanhMucDauTu_06029</vt:lpstr>
      <vt:lpstr>BCHoatDongVay_06026</vt:lpstr>
      <vt:lpstr>Khac_06030</vt:lpstr>
      <vt:lpstr>BCThuNhap_06203</vt:lpstr>
      <vt:lpstr>BCTinhHinhTaiChinh_06105</vt:lpstr>
      <vt:lpstr>BCLCGT_06262</vt:lpstr>
      <vt:lpstr>LogoFMS</vt:lpstr>
      <vt:lpstr>BCLCGT_06262!Print_Area</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2025-01-13T04:18:59Z</cp:lastPrinted>
  <dcterms:created xsi:type="dcterms:W3CDTF">2019-03-13T13:30:00Z</dcterms:created>
  <dcterms:modified xsi:type="dcterms:W3CDTF">2025-01-15T04:10:05Z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