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W:\GTO_SSO_FUNDSERVICES_GSSCKL\10. CLIENT PORTFOLIO-NAV recalculation\KYSO\2025\06. June\05.06\"/>
    </mc:Choice>
  </mc:AlternateContent>
  <xr:revisionPtr revIDLastSave="0" documentId="13_ncr:1_{98D62FF9-97E7-4FCE-A597-426548886DE2}" xr6:coauthVersionLast="47" xr6:coauthVersionMax="47" xr10:uidLastSave="{00000000-0000-0000-0000-000000000000}"/>
  <bookViews>
    <workbookView xWindow="-108" yWindow="-108" windowWidth="23256" windowHeight="12576" firstSheet="2" activeTab="5" xr2:uid="{00000000-000D-0000-FFFF-FFFF00000000}"/>
  </bookViews>
  <sheets>
    <sheet name="TONGQUAN" sheetId="1" r:id="rId1"/>
    <sheet name="BCTaiSan_06027" sheetId="43" r:id="rId2"/>
    <sheet name="BCKetQuaHoatDong_06028" sheetId="29" r:id="rId3"/>
    <sheet name="BCDanhMucDauTu_06029" sheetId="44" r:id="rId4"/>
    <sheet name="BCHoatDongVay_06026" sheetId="45" r:id="rId5"/>
    <sheet name="Khac_06030" sheetId="32" r:id="rId6"/>
    <sheet name="LogoFMS" sheetId="25" state="hidden" r:id="rId7"/>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5" hidden="1">Khac_06030!$A$18:$F$18</definedName>
    <definedName name="addlogo">INDEX(LogoFMS!$C$3:$C$76,MATCH(LogoFMS!$D$1,LogoFMS!$A$3:$A$76,0))</definedName>
    <definedName name="_xlnm.Print_Area" localSheetId="4">BCHoatDongVay_06026!$A$1:$J$50</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45" l="1"/>
  <c r="G14" i="45" l="1"/>
  <c r="G13" i="45"/>
  <c r="G12" i="45"/>
  <c r="G10" i="45"/>
  <c r="G9" i="45"/>
  <c r="G8" i="45"/>
  <c r="G7" i="45"/>
  <c r="A5" i="45"/>
  <c r="C14" i="44" l="1"/>
  <c r="C13" i="44"/>
  <c r="C12" i="44"/>
  <c r="C11" i="44"/>
  <c r="C10" i="44"/>
  <c r="C9" i="44"/>
  <c r="C8" i="44"/>
  <c r="C7" i="44"/>
  <c r="A5" i="44"/>
  <c r="C14" i="43" l="1"/>
  <c r="C13" i="43"/>
  <c r="C12" i="43"/>
  <c r="C11" i="43"/>
  <c r="C10" i="43"/>
  <c r="C9" i="43"/>
  <c r="C8" i="43"/>
  <c r="C7" i="43"/>
  <c r="A5" i="43"/>
  <c r="D65" i="32" l="1"/>
  <c r="D64" i="32"/>
  <c r="A65" i="32"/>
  <c r="A64" i="32"/>
  <c r="A63" i="32"/>
  <c r="D53" i="32"/>
  <c r="D52" i="32"/>
  <c r="A53" i="32"/>
  <c r="A52" i="32"/>
  <c r="C14" i="32"/>
  <c r="C12" i="32"/>
  <c r="C10" i="32"/>
  <c r="C13" i="32"/>
  <c r="C11" i="32"/>
  <c r="C9" i="32"/>
  <c r="C8" i="32"/>
  <c r="C7" i="32"/>
  <c r="A5" i="32"/>
  <c r="A107" i="29" l="1"/>
  <c r="A106" i="29"/>
  <c r="A105" i="29"/>
  <c r="C14" i="29"/>
  <c r="C12" i="29"/>
  <c r="C10" i="29"/>
  <c r="C13" i="29"/>
  <c r="C11" i="29"/>
  <c r="C9" i="29"/>
  <c r="A5" i="29"/>
  <c r="C8" i="29"/>
  <c r="C7" i="29"/>
  <c r="F19" i="1" l="1"/>
  <c r="D63" i="32" l="1"/>
</calcChain>
</file>

<file path=xl/sharedStrings.xml><?xml version="1.0" encoding="utf-8"?>
<sst xmlns="http://schemas.openxmlformats.org/spreadsheetml/2006/main" count="1094" uniqueCount="893">
  <si>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</si>
  <si>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</si>
  <si>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</si>
  <si>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</si>
  <si>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</si>
  <si>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</si>
  <si>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</si>
  <si>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</si>
  <si>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</si>
  <si>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</si>
  <si>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</si>
  <si>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</si>
  <si>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</si>
  <si>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</si>
  <si>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</si>
  <si>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</si>
  <si>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</si>
  <si>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</si>
  <si>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</si>
  <si>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</si>
  <si>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</si>
  <si>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</si>
  <si>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</si>
  <si>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</si>
  <si>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</si>
  <si>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</si>
  <si>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</si>
  <si>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</si>
  <si>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</si>
  <si>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</si>
  <si>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</si>
  <si>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</si>
  <si>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</si>
  <si>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</si>
  <si>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</si>
  <si>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</si>
  <si>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</si>
  <si>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</si>
  <si>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</si>
  <si>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</si>
  <si>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</si>
  <si>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</si>
  <si>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</si>
  <si>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</si>
  <si>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</si>
  <si>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</si>
  <si>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</si>
  <si>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</si>
  <si>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</si>
  <si>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</si>
  <si>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</si>
  <si>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</si>
  <si>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</si>
  <si>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</si>
  <si>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</si>
  <si>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</si>
  <si>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</si>
  <si>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</si>
  <si>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</si>
  <si>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</si>
  <si>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</si>
  <si>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</si>
  <si>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</si>
  <si>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</si>
  <si>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</si>
  <si>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</si>
  <si>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</si>
  <si>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</si>
  <si>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</si>
  <si>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</si>
  <si>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</si>
  <si>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</si>
  <si>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</si>
  <si>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</si>
  <si>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</si>
  <si>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</si>
  <si>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</si>
  <si>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</si>
  <si>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</si>
  <si>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</si>
  <si>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</si>
  <si>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</si>
  <si>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</si>
  <si>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</si>
  <si>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</si>
  <si>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</si>
  <si>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</si>
  <si>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</si>
  <si>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</si>
  <si>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</si>
  <si>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</si>
  <si>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</si>
  <si>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</si>
  <si>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</si>
  <si>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</si>
  <si>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</si>
  <si>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</si>
  <si>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</si>
  <si>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</si>
  <si>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</si>
  <si>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</si>
  <si>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</si>
  <si>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</si>
  <si>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</si>
  <si>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</si>
  <si>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</si>
  <si>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</si>
  <si>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</si>
  <si>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</si>
  <si>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</si>
  <si>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</si>
  <si>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</si>
  <si>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</si>
  <si>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</si>
  <si>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</si>
  <si>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</si>
  <si>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</si>
  <si>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</si>
  <si>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</si>
  <si>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</si>
  <si>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</si>
  <si>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</si>
  <si>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</si>
  <si>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</si>
  <si>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</si>
  <si>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</si>
  <si>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</si>
  <si>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</si>
  <si>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</si>
  <si>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</si>
  <si>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</si>
  <si>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</si>
  <si>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</si>
  <si>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</si>
  <si>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</si>
  <si>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</si>
  <si>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</si>
  <si>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</si>
  <si>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</si>
  <si>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</si>
  <si>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</si>
  <si>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</si>
  <si>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</si>
  <si>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</si>
  <si>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FUNDCODE</t>
  </si>
  <si>
    <t>FUNDNAME</t>
  </si>
  <si>
    <t>LOGO</t>
  </si>
  <si>
    <t>VFMVF1</t>
  </si>
  <si>
    <t>VFMVF4</t>
  </si>
  <si>
    <t>VFMVFA</t>
  </si>
  <si>
    <t>Quỹ Đầu tư Năng Động Việt Nam</t>
  </si>
  <si>
    <t>VFMVFB</t>
  </si>
  <si>
    <t>VFMVFC</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</si>
  <si>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</si>
  <si>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</si>
  <si>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</si>
  <si>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</si>
  <si>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</si>
  <si>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</si>
  <si>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</si>
  <si>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</si>
  <si>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</si>
  <si>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</si>
  <si>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</si>
  <si>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</si>
  <si>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</si>
  <si>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</si>
  <si>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</si>
  <si>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</si>
  <si>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</si>
  <si>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</si>
  <si>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</si>
  <si>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</si>
  <si>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</si>
  <si>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</si>
  <si>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</si>
  <si>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</si>
  <si>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</si>
  <si>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</si>
  <si>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</si>
  <si>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2222.3</t>
  </si>
  <si>
    <t>Lãi tiền gửi ngân hàng
Interest income from bank deposits</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</si>
  <si>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</si>
  <si>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</si>
  <si>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</si>
  <si>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</si>
  <si>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</si>
  <si>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</si>
  <si>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</si>
  <si>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</si>
  <si>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</si>
  <si>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</si>
  <si>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</si>
  <si>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</si>
  <si>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</si>
  <si>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</si>
  <si>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</si>
  <si>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</si>
  <si>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</si>
  <si>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</si>
  <si>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</si>
  <si>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</si>
  <si>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</si>
  <si>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</si>
  <si>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</si>
  <si>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</si>
  <si>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</si>
  <si>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</si>
  <si>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</si>
  <si>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</si>
  <si>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</si>
  <si>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</si>
  <si>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</si>
  <si>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</si>
  <si>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</si>
  <si>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</si>
  <si>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</si>
  <si>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</si>
  <si>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</si>
  <si>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</si>
  <si>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</si>
  <si>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</si>
  <si>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</si>
  <si>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</si>
  <si>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</si>
  <si>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</si>
  <si>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</si>
  <si>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</si>
  <si>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</si>
  <si>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</si>
  <si>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</si>
  <si>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</si>
  <si>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</si>
  <si>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</si>
  <si>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</si>
  <si>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</si>
  <si>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</si>
  <si>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</si>
  <si>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</si>
  <si>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</si>
  <si>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</si>
  <si>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</si>
  <si>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</si>
  <si>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</si>
  <si>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</si>
  <si>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</si>
  <si>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</si>
  <si>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</si>
  <si>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</si>
  <si>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</si>
  <si>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</si>
  <si>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VFMVSF</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</si>
  <si>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</si>
  <si>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</si>
  <si>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</si>
  <si>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</si>
  <si>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Vũ Hương Giang</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</si>
  <si>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</si>
  <si>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</si>
  <si>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</si>
  <si>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</si>
  <si>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</si>
  <si>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</si>
  <si>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</si>
  <si>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</si>
  <si>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</si>
  <si>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</si>
  <si>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</si>
  <si>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</si>
  <si>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</si>
  <si>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</si>
  <si>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</si>
  <si>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</si>
  <si>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</si>
  <si>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</si>
  <si>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</si>
  <si>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</si>
  <si>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</si>
  <si>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</si>
  <si>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</si>
  <si>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</si>
  <si>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</si>
  <si>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</si>
  <si>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</si>
  <si>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</si>
  <si>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</si>
  <si>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</si>
  <si>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</si>
  <si>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</si>
  <si>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</si>
  <si>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</si>
  <si>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</si>
  <si>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</si>
  <si>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</si>
  <si>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</si>
  <si>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</si>
  <si>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</si>
  <si>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</si>
  <si>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</si>
  <si>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</si>
  <si>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</si>
  <si>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</si>
  <si>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</si>
  <si>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</si>
  <si>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</si>
  <si>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</si>
  <si>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</si>
  <si>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</si>
  <si>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</si>
  <si>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L0021</t>
  </si>
  <si>
    <t>Quỹ cổ phiếu hàng đầu</t>
  </si>
  <si>
    <t>L0022</t>
  </si>
  <si>
    <t>Quỹ tăng trưởng</t>
  </si>
  <si>
    <t>L0023</t>
  </si>
  <si>
    <t>Quỹ Bền vững</t>
  </si>
  <si>
    <t>PA1</t>
  </si>
  <si>
    <t>Quỹ hưu trí tự nguyện Phúc An</t>
  </si>
  <si>
    <t>TA1</t>
  </si>
  <si>
    <t>Quỹ hưu trí tự nguyện Thịnh An</t>
  </si>
  <si>
    <t>VA1</t>
  </si>
  <si>
    <t>Quỹ hưu trí tự nguyện Vĩnh An</t>
  </si>
  <si>
    <t>MAAF</t>
  </si>
  <si>
    <t>Quỹ Tăng Trưởng</t>
  </si>
  <si>
    <t>MABF</t>
  </si>
  <si>
    <t>Quỹ cân bằng</t>
  </si>
  <si>
    <t>MAPF</t>
  </si>
  <si>
    <t>Quỹ bền vững</t>
  </si>
  <si>
    <t>VLGF</t>
  </si>
  <si>
    <t>Quỹ Đầu tư Tăng Trưởng Dài Hạn Việt Nam</t>
  </si>
  <si>
    <t>UVEEF</t>
  </si>
  <si>
    <t>VFMMID</t>
  </si>
  <si>
    <t>Quỹ ETF DCVFMVNMIDCAP</t>
  </si>
  <si>
    <t>VCBMGF</t>
  </si>
  <si>
    <t>Quỹ Đầu Tư Cổ phiếu Tăng trưởng VCBF</t>
  </si>
  <si>
    <t>AM33</t>
  </si>
  <si>
    <t>AM34</t>
  </si>
  <si>
    <t>AM35</t>
  </si>
  <si>
    <t>AM36</t>
  </si>
  <si>
    <t>Tổng công ty cổ phần bảo hiểm Petrolimex - PJICO EQUITY PORTFOLIO 04</t>
  </si>
  <si>
    <t>AM37</t>
  </si>
  <si>
    <t>AM38</t>
  </si>
  <si>
    <t>AM39</t>
  </si>
  <si>
    <t>AM40</t>
  </si>
  <si>
    <t>AM41</t>
  </si>
  <si>
    <t>AM42</t>
  </si>
  <si>
    <t>AM43</t>
  </si>
  <si>
    <t>AM44</t>
  </si>
  <si>
    <t>AM45</t>
  </si>
  <si>
    <t>AM46</t>
  </si>
  <si>
    <t>AM47</t>
  </si>
  <si>
    <t>AM48</t>
  </si>
  <si>
    <t>AM49</t>
  </si>
  <si>
    <t>AM50</t>
  </si>
  <si>
    <t>Quỹ Đầu tư Chứng khoán Năng động DC</t>
  </si>
  <si>
    <t>Quỹ Đầu tư Doanh nghiệp Hàng đầu DC</t>
  </si>
  <si>
    <t>Quỹ Đầu tư Trái phiếu DC</t>
  </si>
  <si>
    <t>Quỹ Đầu tư Trái phiếu Gia tăng Thu nhập Cố định DC</t>
  </si>
  <si>
    <t>Quỹ Đầu Tư Cổ Phiếu Việt Nam Chọn Lọc</t>
  </si>
  <si>
    <t>QUỸ ĐẦU TƯ CỔ PHIẾU UNITED ESG VIỆT NAM</t>
  </si>
  <si>
    <t>Ghi chú:
Note:</t>
  </si>
  <si>
    <t>Tốc độ vòng quay danh mục trong kỳ (%)/Portfolio turnover rate (%)</t>
  </si>
  <si>
    <t>VMPF</t>
  </si>
  <si>
    <t>Quỹ Đầu Tư Cổ Phiếu Hiệu Suất Thị Trường Việt Nam VinaCapital (VinaCapital-VMPF)</t>
  </si>
  <si>
    <t>ENF</t>
  </si>
  <si>
    <t>EVESG</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</si>
  <si>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</si>
  <si>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</si>
  <si>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</si>
  <si>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</si>
  <si>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UVDIF</t>
  </si>
  <si>
    <t>VDEF</t>
  </si>
  <si>
    <t>VCBAIF</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</si>
  <si>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</si>
  <si>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</si>
  <si>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</si>
  <si>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</si>
  <si>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</si>
  <si>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</si>
  <si>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</si>
  <si>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</si>
  <si>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</si>
  <si>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</si>
  <si>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</si>
  <si>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</si>
  <si>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</si>
  <si>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</si>
  <si>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</si>
  <si>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</si>
  <si>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</si>
  <si>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</si>
  <si>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</si>
  <si>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</si>
  <si>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</si>
  <si>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</si>
  <si>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</si>
  <si>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</si>
  <si>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t>
  </si>
  <si>
    <t>2251.1.2</t>
  </si>
  <si>
    <t>1.3</t>
  </si>
  <si>
    <t>CII124021</t>
  </si>
  <si>
    <t>2251.1.3</t>
  </si>
  <si>
    <t>1.4</t>
  </si>
  <si>
    <t>HDB124006</t>
  </si>
  <si>
    <t>2251.1.4</t>
  </si>
  <si>
    <t>1.5</t>
  </si>
  <si>
    <t>HDB124018</t>
  </si>
  <si>
    <t>2251.1.5</t>
  </si>
  <si>
    <t>1.6</t>
  </si>
  <si>
    <t>MML121021</t>
  </si>
  <si>
    <t>2251.1.6</t>
  </si>
  <si>
    <t>1.7</t>
  </si>
  <si>
    <t>MSN123008</t>
  </si>
  <si>
    <t>2251.1.7</t>
  </si>
  <si>
    <t>1.8</t>
  </si>
  <si>
    <t>MSN123009</t>
  </si>
  <si>
    <t>2251.1.8</t>
  </si>
  <si>
    <t>1.9</t>
  </si>
  <si>
    <t>TCX124013</t>
  </si>
  <si>
    <t>2251.1.9</t>
  </si>
  <si>
    <t>1.10</t>
  </si>
  <si>
    <t>TNG122017</t>
  </si>
  <si>
    <t>2251.1.10</t>
  </si>
  <si>
    <t>1.11</t>
  </si>
  <si>
    <t>VBA122001</t>
  </si>
  <si>
    <t>2251.1.11</t>
  </si>
  <si>
    <t>1.12</t>
  </si>
  <si>
    <t>VIC123028</t>
  </si>
  <si>
    <t>2251.1.12</t>
  </si>
  <si>
    <t>1.13</t>
  </si>
  <si>
    <t>VPI124001</t>
  </si>
  <si>
    <t>2251.1.13</t>
  </si>
  <si>
    <t>1.14</t>
  </si>
  <si>
    <t>VRE12007</t>
  </si>
  <si>
    <t>2251.1.14</t>
  </si>
  <si>
    <t>2</t>
  </si>
  <si>
    <t>Trái phiếu chưa niêm yết
Unlisted Bonds</t>
  </si>
  <si>
    <t>2251.2</t>
  </si>
  <si>
    <t>2.1</t>
  </si>
  <si>
    <t>CII12403</t>
  </si>
  <si>
    <t>2251.2.1</t>
  </si>
  <si>
    <t>2.2</t>
  </si>
  <si>
    <t>KBC12401</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</si>
  <si>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</si>
  <si>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</si>
  <si>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</si>
  <si>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</si>
  <si>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</si>
  <si>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</si>
  <si>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</si>
  <si>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</si>
  <si>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</si>
  <si>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</si>
  <si>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</si>
  <si>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</si>
  <si>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</si>
  <si>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</si>
  <si>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</si>
  <si>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</si>
  <si>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</si>
  <si>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</si>
  <si>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</si>
  <si>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</si>
  <si>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</si>
  <si>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</si>
  <si>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</si>
  <si>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</si>
  <si>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</si>
  <si>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</si>
  <si>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</si>
  <si>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</si>
  <si>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</si>
  <si>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</si>
  <si>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</si>
  <si>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</si>
  <si>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</si>
  <si>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</si>
  <si>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</si>
  <si>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</si>
  <si>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</si>
  <si>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</si>
  <si>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</si>
  <si>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</si>
  <si>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</si>
  <si>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</si>
  <si>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</si>
  <si>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</si>
  <si>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</si>
  <si>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</si>
  <si>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</si>
  <si>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</si>
  <si>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</si>
  <si>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</si>
  <si>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</si>
  <si>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</si>
  <si>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</si>
  <si>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</si>
  <si>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</si>
  <si>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</si>
  <si>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</si>
  <si>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</si>
  <si>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</si>
  <si>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</si>
  <si>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</si>
  <si>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</si>
  <si>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</si>
  <si>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</si>
  <si>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</si>
  <si>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</si>
  <si>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</si>
  <si>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</si>
  <si>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</si>
  <si>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</si>
  <si>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</si>
  <si>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</si>
  <si>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</si>
  <si>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</si>
  <si>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</si>
  <si>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</si>
  <si>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</si>
  <si>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</si>
  <si>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</si>
  <si>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</si>
  <si>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</si>
  <si>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</si>
  <si>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</si>
  <si>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</si>
  <si>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</si>
  <si>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</si>
  <si>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</si>
  <si>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</si>
  <si>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</si>
  <si>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</si>
  <si>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</si>
  <si>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</si>
  <si>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</si>
  <si>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</si>
  <si>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</si>
  <si>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</si>
  <si>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</si>
  <si>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</si>
  <si>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</si>
  <si>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</si>
  <si>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</si>
  <si>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</si>
  <si>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</si>
  <si>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</si>
  <si>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</si>
  <si>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</si>
  <si>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</si>
  <si>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</si>
  <si>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</si>
  <si>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</si>
  <si>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</si>
  <si>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</si>
  <si>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</si>
  <si>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</si>
  <si>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</si>
  <si>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</si>
  <si>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</si>
  <si>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</si>
  <si>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</si>
  <si>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</si>
  <si>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</si>
  <si>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</si>
  <si>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</si>
  <si>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</si>
  <si>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</si>
  <si>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</si>
  <si>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</si>
  <si>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</si>
  <si>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</si>
  <si>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</si>
  <si>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</si>
  <si>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</si>
  <si>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</si>
  <si>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</si>
  <si>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</si>
  <si>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</si>
  <si>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</si>
  <si>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</si>
  <si>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</si>
  <si>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</si>
  <si>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</si>
  <si>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</si>
  <si>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</si>
  <si>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</si>
  <si>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</si>
  <si>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</si>
  <si>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</si>
  <si>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</si>
  <si>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</si>
  <si>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</si>
  <si>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</si>
  <si>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</si>
  <si>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</si>
  <si>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</si>
  <si>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</si>
  <si>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</si>
  <si>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</si>
  <si>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</si>
  <si>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</si>
  <si>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</si>
  <si>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</si>
  <si>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</si>
  <si>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</si>
  <si>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</si>
  <si>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</si>
  <si>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</si>
  <si>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</si>
  <si>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</si>
  <si>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</si>
  <si>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</si>
  <si>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</si>
  <si>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</si>
  <si>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</si>
  <si>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</si>
  <si>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</si>
  <si>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</si>
  <si>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</si>
  <si>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</si>
  <si>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</si>
  <si>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</si>
  <si>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</si>
  <si>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</si>
  <si>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</si>
  <si>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</si>
  <si>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</si>
  <si>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</si>
  <si>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</si>
  <si>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</si>
  <si>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</si>
  <si>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</si>
  <si>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</si>
  <si>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</si>
  <si>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</si>
  <si>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</si>
  <si>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</si>
  <si>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</si>
  <si>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</si>
  <si>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</si>
  <si>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</si>
  <si>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</si>
  <si>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</si>
  <si>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</si>
  <si>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</si>
  <si>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</si>
  <si>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</si>
  <si>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</si>
  <si>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</si>
  <si>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</si>
  <si>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</si>
  <si>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</si>
  <si>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</si>
  <si>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</si>
  <si>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</si>
  <si>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</si>
  <si>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</si>
  <si>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</si>
  <si>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</si>
  <si>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</si>
  <si>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</si>
  <si>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</si>
  <si>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</si>
  <si>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</si>
  <si>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</si>
  <si>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</si>
  <si>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</si>
  <si>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</si>
  <si>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</si>
  <si>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</si>
  <si>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</si>
  <si>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</si>
  <si>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</si>
  <si>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</si>
  <si>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</si>
  <si>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</si>
  <si>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</si>
  <si>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</si>
  <si>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</si>
  <si>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</si>
  <si>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</si>
  <si>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</si>
  <si>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</si>
  <si>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</si>
  <si>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</si>
  <si>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</si>
  <si>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</si>
  <si>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</si>
  <si>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</si>
  <si>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</si>
  <si>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</si>
  <si>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</si>
  <si>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</si>
  <si>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</si>
  <si>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</si>
  <si>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</si>
  <si>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</si>
  <si>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</si>
  <si>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</si>
  <si>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</si>
  <si>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</si>
  <si>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</si>
  <si>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</si>
  <si>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</si>
  <si>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</si>
  <si>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</si>
  <si>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</si>
  <si>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</si>
  <si>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</si>
  <si>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</si>
  <si>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</si>
  <si>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</si>
  <si>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</si>
  <si>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</si>
  <si>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</si>
  <si>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</si>
  <si>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</si>
  <si>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</si>
  <si>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</si>
  <si>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</si>
  <si>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</si>
  <si>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</si>
  <si>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</si>
  <si>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</si>
  <si>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</si>
  <si>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</si>
  <si>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</si>
  <si>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</si>
  <si>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</si>
  <si>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</si>
  <si>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</si>
  <si>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</si>
  <si>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</si>
  <si>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</si>
  <si>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</si>
  <si>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</si>
  <si>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</si>
  <si>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</si>
  <si>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</si>
  <si>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</si>
  <si>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</si>
  <si>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</si>
  <si>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</si>
  <si>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</si>
  <si>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</si>
  <si>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</si>
  <si>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</si>
  <si>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</si>
  <si>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</si>
  <si>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</si>
  <si>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</si>
  <si>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</si>
  <si>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</si>
  <si>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</si>
  <si>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</si>
  <si>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</si>
  <si>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</si>
  <si>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</si>
  <si>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</si>
  <si>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</si>
  <si>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</si>
  <si>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</si>
  <si>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</si>
  <si>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</si>
  <si>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</si>
  <si>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</si>
  <si>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</si>
  <si>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</si>
  <si>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</si>
  <si>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</si>
  <si>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</si>
  <si>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</si>
  <si>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</si>
  <si>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</si>
  <si>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</si>
  <si>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</si>
  <si>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</si>
  <si>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</si>
  <si>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</si>
  <si>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</si>
  <si>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</si>
  <si>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</si>
  <si>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</si>
  <si>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</si>
  <si>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</si>
  <si>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</si>
  <si>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</si>
  <si>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</si>
  <si>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</si>
  <si>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</si>
  <si>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</si>
  <si>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</si>
  <si>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</si>
  <si>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</si>
  <si>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</si>
  <si>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</si>
  <si>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</si>
  <si>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</si>
  <si>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</si>
  <si>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</si>
  <si>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</si>
  <si>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</si>
  <si>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</si>
  <si>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</si>
  <si>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</si>
  <si>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</si>
  <si>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</si>
  <si>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</si>
  <si>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</si>
  <si>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</si>
  <si>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</si>
  <si>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</si>
  <si>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</si>
  <si>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</si>
  <si>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</si>
  <si>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</si>
  <si>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</si>
  <si>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</si>
  <si>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</si>
  <si>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</si>
  <si>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</si>
  <si>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</si>
  <si>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</si>
  <si>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</si>
  <si>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</si>
  <si>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</si>
  <si>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</si>
  <si>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</si>
  <si>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</si>
  <si>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</si>
  <si>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</si>
  <si>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</si>
  <si>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</si>
  <si>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</si>
  <si>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</si>
  <si>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</si>
  <si>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</si>
  <si>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</si>
  <si>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</si>
  <si>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</si>
  <si>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</si>
  <si>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</si>
  <si>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</si>
  <si>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</si>
  <si>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</si>
  <si>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</si>
  <si>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</si>
  <si>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</si>
  <si>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</si>
  <si>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</si>
  <si>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</si>
  <si>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</si>
  <si>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</si>
  <si>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</si>
  <si>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</si>
  <si>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</si>
  <si>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</si>
  <si>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</si>
  <si>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</si>
  <si>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</si>
  <si>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</si>
  <si>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</si>
  <si>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</si>
  <si>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</si>
  <si>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</si>
  <si>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</si>
  <si>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</si>
  <si>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</si>
  <si>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</si>
  <si>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</si>
  <si>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</si>
  <si>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</si>
  <si>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</si>
  <si>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</si>
  <si>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</si>
  <si>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</si>
  <si>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05 năm 2025
/ As at 31 May 2025</t>
  </si>
  <si>
    <t>Tháng 05 năm 2025
/ May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</si>
  <si>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</si>
  <si>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</si>
  <si>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</si>
  <si>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</si>
  <si>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02 tháng 06 năm 2025</t>
  </si>
  <si>
    <t>02 Jun 2025</t>
  </si>
  <si>
    <t>Lê Hoàng Anh</t>
  </si>
  <si>
    <t>Trưởng phòng Nghiệp vụ và Dịch vụ Quỹ</t>
  </si>
  <si>
    <t>Quyền Giám đốc nghiệp vụ hỗ trợ đầu tư</t>
  </si>
  <si>
    <t>Ngày 31 tháng 05 năm 2025
 As at 31 May 2025</t>
  </si>
  <si>
    <t>Ngày 30 tháng 04 năm 2025
 As at 30 Apr 2025</t>
  </si>
  <si>
    <t>Tháng 05 năm 2025
May 2025</t>
  </si>
  <si>
    <t>Tháng 04 năm 2025
Apr 2025</t>
  </si>
  <si>
    <t>DC Bond Fund (DCBF)</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</si>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</sst>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6">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b/>
      <sz val="12"/>
      <name val="Tahoma"/>
      <family val="2"/>
    </font>
    <font>
      <sz val="12"/>
      <name val="Tahoma"/>
      <family val="2"/>
    </font>
    <font>
      <i/>
      <sz val="12"/>
      <name val="Tahoma"/>
      <family val="2"/>
    </font>
    <font>
      <sz val="12"/>
      <color theme="1"/>
      <name val="Tahoma"/>
      <family val="2"/>
    </font>
    <font>
      <b/>
      <sz val="12"/>
      <color indexed="30"/>
      <name val="Tahoma"/>
      <family val="2"/>
    </font>
    <font>
      <b/>
      <sz val="12"/>
      <color theme="1"/>
      <name val="Tahoma"/>
      <family val="2"/>
    </font>
    <font>
      <b/>
      <sz val="12"/>
      <color indexed="8"/>
      <name val="Tahoma"/>
      <family val="2"/>
    </font>
    <font>
      <i/>
      <sz val="12"/>
      <color theme="1"/>
      <name val="Tahoma"/>
      <family val="2"/>
    </font>
    <font>
      <sz val="12"/>
      <color indexed="8"/>
      <name val="Tahoma"/>
      <family val="2"/>
    </font>
    <font>
      <b/>
      <sz val="12"/>
      <color theme="1" tint="4.9989318521683403E-2"/>
      <name val="Tahoma"/>
      <family val="2"/>
    </font>
    <font>
      <sz val="12"/>
      <color theme="1"/>
      <name val="Calibri"/>
      <family val="2"/>
      <scheme val="minor"/>
    </font>
    <font>
      <i/>
      <sz val="12"/>
      <color indexed="8"/>
      <name val="Tahoma"/>
      <family val="2"/>
    </font>
    <font>
      <b/>
      <sz val="12"/>
      <color rgb="FF0070C0"/>
      <name val="Tahoma"/>
      <family val="2"/>
    </font>
    <font>
      <sz val="12"/>
      <color theme="1" tint="4.9989318521683403E-2"/>
      <name val="Tahoma"/>
      <family val="2"/>
    </font>
    <font>
      <b/>
      <sz val="11"/>
      <color theme="1"/>
      <name val="Tahoma"/>
      <family val="2"/>
    </font>
    <font>
      <sz val="11"/>
      <color theme="1"/>
      <name val="Tahoma"/>
      <family val="2"/>
    </font>
    <font>
      <i/>
      <sz val="11"/>
      <color theme="1"/>
      <name val="Tahoma"/>
      <family val="2"/>
    </font>
    <font>
      <b/>
      <sz val="11"/>
      <color indexed="30"/>
      <name val="Tahoma"/>
      <family val="2"/>
    </font>
    <font>
      <b/>
      <sz val="11"/>
      <name val="Tahoma"/>
      <family val="2"/>
    </font>
    <font>
      <sz val="11"/>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03">
    <xf numFmtId="0" fontId="0" fillId="0" borderId="0" xfId="0"/>
    <xf numFmtId="0" fontId="5" fillId="0" borderId="0" xfId="0" applyFont="1"/>
    <xf numFmtId="0" fontId="6" fillId="3" borderId="0" xfId="0" applyFont="1" applyFill="1"/>
    <xf numFmtId="0" fontId="7" fillId="3" borderId="0" xfId="0" applyFont="1" applyFill="1"/>
    <xf numFmtId="0" fontId="6" fillId="3" borderId="0" xfId="0" applyFont="1" applyFill="1" applyAlignment="1">
      <alignment vertical="center" wrapText="1"/>
    </xf>
    <xf numFmtId="0" fontId="7" fillId="3" borderId="0" xfId="0" applyFont="1" applyFill="1" applyAlignment="1">
      <alignment horizontal="left" vertical="center" wrapText="1"/>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Font="1" applyFill="1" applyBorder="1" applyAlignment="1">
      <alignment vertical="center"/>
    </xf>
    <xf numFmtId="0" fontId="12" fillId="3" borderId="7" xfId="0" applyFont="1" applyFill="1" applyBorder="1"/>
    <xf numFmtId="0" fontId="6" fillId="3" borderId="7" xfId="0" applyFont="1" applyFill="1" applyBorder="1"/>
    <xf numFmtId="0" fontId="6" fillId="3" borderId="6" xfId="0" applyFont="1" applyFill="1" applyBorder="1"/>
    <xf numFmtId="0" fontId="8" fillId="3" borderId="6" xfId="1" applyFont="1" applyFill="1" applyBorder="1" applyAlignment="1">
      <alignment vertical="center"/>
    </xf>
    <xf numFmtId="0" fontId="7" fillId="3" borderId="3" xfId="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17" fillId="3" borderId="0" xfId="0" applyFont="1" applyFill="1"/>
    <xf numFmtId="0" fontId="19" fillId="3" borderId="0" xfId="0" applyFont="1" applyFill="1" applyAlignment="1">
      <alignment vertical="center"/>
    </xf>
    <xf numFmtId="0" fontId="19" fillId="3" borderId="0" xfId="0" applyFont="1" applyFill="1"/>
    <xf numFmtId="0" fontId="17" fillId="3" borderId="0" xfId="0" applyFont="1" applyFill="1" applyAlignment="1">
      <alignment vertical="center"/>
    </xf>
    <xf numFmtId="0" fontId="21" fillId="3" borderId="0" xfId="16" applyFont="1" applyFill="1" applyAlignment="1">
      <alignment horizontal="center" vertical="center"/>
    </xf>
    <xf numFmtId="0" fontId="21" fillId="3" borderId="0" xfId="16" applyFont="1" applyFill="1" applyAlignment="1">
      <alignment vertical="center"/>
    </xf>
    <xf numFmtId="0" fontId="16" fillId="3" borderId="0" xfId="16" applyFont="1" applyFill="1" applyAlignment="1">
      <alignment horizontal="center" vertical="center"/>
    </xf>
    <xf numFmtId="0" fontId="16" fillId="3" borderId="0" xfId="16" applyFont="1" applyFill="1" applyAlignment="1">
      <alignment vertical="center"/>
    </xf>
    <xf numFmtId="0" fontId="16" fillId="2" borderId="9" xfId="6" applyFont="1" applyFill="1" applyBorder="1" applyAlignment="1">
      <alignment horizontal="center" vertical="center" wrapText="1"/>
    </xf>
    <xf numFmtId="165" fontId="16" fillId="2" borderId="9" xfId="7" applyNumberFormat="1" applyFont="1" applyFill="1" applyBorder="1" applyAlignment="1" applyProtection="1">
      <alignment horizontal="center" vertical="center" wrapText="1"/>
      <protection locked="0"/>
    </xf>
    <xf numFmtId="165" fontId="16" fillId="2" borderId="9" xfId="10" applyNumberFormat="1" applyFont="1" applyFill="1" applyBorder="1" applyAlignment="1" applyProtection="1">
      <alignment horizontal="center" vertical="center" wrapText="1"/>
    </xf>
    <xf numFmtId="0" fontId="16" fillId="14" borderId="21" xfId="0" applyNumberFormat="1" applyFont="1" applyFill="1" applyBorder="1" applyAlignment="1" applyProtection="1">
      <alignment horizontal="center" vertical="center" wrapText="1"/>
      <protection locked="0"/>
    </xf>
    <xf numFmtId="0" fontId="16" fillId="13" borderId="20" xfId="0" applyNumberFormat="1" applyFont="1" applyFill="1" applyBorder="1" applyAlignment="1" applyProtection="1">
      <alignment horizontal="left" vertical="center" wrapText="1"/>
      <protection locked="0"/>
    </xf>
    <xf numFmtId="165" fontId="16" fillId="16" borderId="23" xfId="0" applyNumberFormat="1" applyFont="1" applyFill="1" applyBorder="1" applyAlignment="1" applyProtection="1">
      <alignment horizontal="right" vertical="center" wrapText="1"/>
      <protection locked="0"/>
    </xf>
    <xf numFmtId="10" fontId="16" fillId="15" borderId="22" xfId="0" applyNumberFormat="1" applyFont="1" applyFill="1" applyBorder="1" applyAlignment="1" applyProtection="1">
      <alignment horizontal="right" vertical="center" wrapText="1"/>
      <protection locked="0"/>
    </xf>
    <xf numFmtId="4" fontId="17" fillId="9" borderId="16" xfId="0" applyNumberFormat="1" applyFont="1" applyFill="1" applyBorder="1" applyAlignment="1" applyProtection="1">
      <alignment horizontal="center" vertical="center" wrapText="1"/>
      <protection locked="0"/>
    </xf>
    <xf numFmtId="4" fontId="17" fillId="8" borderId="15" xfId="0" applyNumberFormat="1" applyFont="1" applyFill="1" applyBorder="1" applyAlignment="1" applyProtection="1">
      <alignment horizontal="left" vertical="center" wrapText="1"/>
      <protection locked="0"/>
    </xf>
    <xf numFmtId="165" fontId="17" fillId="12" borderId="19" xfId="0" applyNumberFormat="1" applyFont="1" applyFill="1" applyBorder="1" applyAlignment="1" applyProtection="1">
      <alignment horizontal="right" vertical="center" wrapText="1"/>
      <protection locked="0"/>
    </xf>
    <xf numFmtId="10" fontId="17" fillId="11" borderId="18" xfId="0" applyNumberFormat="1" applyFont="1" applyFill="1" applyBorder="1" applyAlignment="1" applyProtection="1">
      <alignment horizontal="right" vertical="center" wrapText="1"/>
      <protection locked="0"/>
    </xf>
    <xf numFmtId="43" fontId="17" fillId="17" borderId="24" xfId="0" applyNumberFormat="1" applyFont="1" applyFill="1" applyBorder="1" applyAlignment="1" applyProtection="1">
      <alignment horizontal="right" vertical="center" wrapText="1"/>
      <protection locked="0"/>
    </xf>
    <xf numFmtId="0" fontId="22" fillId="3" borderId="0" xfId="0" applyFont="1" applyFill="1" applyAlignment="1">
      <alignment vertical="center"/>
    </xf>
    <xf numFmtId="0" fontId="17" fillId="3" borderId="0" xfId="0" applyFont="1" applyFill="1" applyAlignment="1">
      <alignment horizontal="left" vertical="center"/>
    </xf>
    <xf numFmtId="0" fontId="18" fillId="3" borderId="0" xfId="1" applyFont="1" applyFill="1" applyAlignment="1">
      <alignment vertical="center"/>
    </xf>
    <xf numFmtId="0" fontId="18" fillId="3" borderId="0" xfId="0" applyFont="1" applyFill="1" applyAlignment="1">
      <alignment horizontal="left" vertical="center"/>
    </xf>
    <xf numFmtId="0" fontId="18" fillId="3" borderId="0" xfId="0" applyFont="1" applyFill="1"/>
    <xf numFmtId="0" fontId="17" fillId="3" borderId="8" xfId="0" applyFont="1" applyFill="1" applyBorder="1" applyAlignment="1">
      <alignment horizontal="left" vertical="center"/>
    </xf>
    <xf numFmtId="0" fontId="16" fillId="3" borderId="5" xfId="0" applyFont="1" applyFill="1" applyBorder="1" applyAlignment="1">
      <alignment horizontal="left" vertical="center"/>
    </xf>
    <xf numFmtId="0" fontId="17" fillId="3" borderId="5" xfId="0" applyFont="1" applyFill="1" applyBorder="1" applyAlignment="1">
      <alignment horizontal="left" vertical="center"/>
    </xf>
    <xf numFmtId="0" fontId="16" fillId="3" borderId="0" xfId="0" applyFont="1" applyFill="1" applyAlignment="1">
      <alignment horizontal="left" vertical="center"/>
    </xf>
    <xf numFmtId="0" fontId="19" fillId="0" borderId="0" xfId="0" applyFont="1" applyAlignment="1">
      <alignment vertical="center"/>
    </xf>
    <xf numFmtId="0" fontId="20" fillId="3" borderId="0" xfId="0" applyFont="1" applyFill="1" applyAlignment="1">
      <alignment horizontal="left" vertical="center"/>
    </xf>
    <xf numFmtId="0" fontId="21" fillId="3" borderId="0" xfId="2" applyFont="1" applyFill="1" applyAlignment="1">
      <alignment horizontal="center" vertical="center"/>
    </xf>
    <xf numFmtId="0" fontId="21" fillId="3" borderId="0" xfId="2" applyFont="1" applyFill="1" applyAlignment="1">
      <alignment vertical="center"/>
    </xf>
    <xf numFmtId="0" fontId="16" fillId="7" borderId="9" xfId="14" applyFont="1" applyFill="1" applyBorder="1" applyAlignment="1">
      <alignment horizontal="center" vertical="center" wrapText="1"/>
    </xf>
    <xf numFmtId="0" fontId="16" fillId="7" borderId="9" xfId="0" applyFont="1" applyFill="1" applyBorder="1" applyAlignment="1">
      <alignment horizontal="center" vertical="center" wrapText="1"/>
    </xf>
    <xf numFmtId="0" fontId="16" fillId="7" borderId="9" xfId="0" applyFont="1" applyFill="1" applyBorder="1" applyAlignment="1">
      <alignment horizontal="center" vertical="center"/>
    </xf>
    <xf numFmtId="49" fontId="16" fillId="7" borderId="9" xfId="14" applyNumberFormat="1" applyFont="1" applyFill="1" applyBorder="1" applyAlignment="1">
      <alignment horizontal="left" vertical="center" wrapText="1"/>
    </xf>
    <xf numFmtId="49" fontId="16" fillId="7" borderId="9" xfId="14" applyNumberFormat="1" applyFont="1" applyFill="1" applyBorder="1" applyAlignment="1">
      <alignment horizontal="center" vertical="center" wrapText="1"/>
    </xf>
    <xf numFmtId="41" fontId="16" fillId="7" borderId="9" xfId="22" applyNumberFormat="1" applyFont="1" applyFill="1" applyBorder="1" applyAlignment="1">
      <alignment horizontal="left"/>
    </xf>
    <xf numFmtId="0" fontId="21" fillId="0" borderId="0" xfId="0" applyFont="1" applyAlignment="1">
      <alignment vertical="center"/>
    </xf>
    <xf numFmtId="0" fontId="17" fillId="5" borderId="9" xfId="15" applyFont="1" applyBorder="1" applyAlignment="1">
      <alignment horizontal="center" vertical="center"/>
    </xf>
    <xf numFmtId="49" fontId="17" fillId="5" borderId="9" xfId="14" applyNumberFormat="1" applyFont="1" applyBorder="1" applyAlignment="1">
      <alignment horizontal="left" vertical="center" wrapText="1"/>
    </xf>
    <xf numFmtId="49" fontId="17" fillId="5" borderId="9" xfId="14" applyNumberFormat="1" applyFont="1" applyBorder="1" applyAlignment="1">
      <alignment horizontal="center" vertical="center" wrapText="1"/>
    </xf>
    <xf numFmtId="41" fontId="17" fillId="5" borderId="9" xfId="22" applyNumberFormat="1" applyFont="1" applyBorder="1"/>
    <xf numFmtId="0" fontId="17" fillId="0" borderId="9" xfId="0" applyFont="1" applyBorder="1" applyAlignment="1">
      <alignment horizontal="left"/>
    </xf>
    <xf numFmtId="41" fontId="17" fillId="0" borderId="9" xfId="0" applyNumberFormat="1" applyFont="1" applyBorder="1" applyAlignment="1">
      <alignment horizontal="left"/>
    </xf>
    <xf numFmtId="0" fontId="18" fillId="5" borderId="9" xfId="15" applyFont="1" applyBorder="1" applyAlignment="1">
      <alignment horizontal="center" vertical="center"/>
    </xf>
    <xf numFmtId="49" fontId="18" fillId="5" borderId="9" xfId="14" applyNumberFormat="1" applyFont="1" applyBorder="1" applyAlignment="1">
      <alignment horizontal="left" vertical="center" wrapText="1"/>
    </xf>
    <xf numFmtId="49" fontId="18" fillId="5" borderId="9" xfId="14" applyNumberFormat="1" applyFont="1" applyBorder="1" applyAlignment="1">
      <alignment horizontal="center" vertical="center" wrapText="1"/>
    </xf>
    <xf numFmtId="0" fontId="18" fillId="3" borderId="9" xfId="15" applyFont="1" applyFill="1" applyBorder="1" applyAlignment="1">
      <alignment horizontal="center" vertical="center"/>
    </xf>
    <xf numFmtId="49" fontId="18" fillId="3" borderId="9" xfId="14" applyNumberFormat="1" applyFont="1" applyFill="1" applyBorder="1" applyAlignment="1">
      <alignment horizontal="left" vertical="center" wrapText="1"/>
    </xf>
    <xf numFmtId="49" fontId="18" fillId="3" borderId="9" xfId="14" applyNumberFormat="1" applyFont="1" applyFill="1" applyBorder="1" applyAlignment="1">
      <alignment horizontal="center" vertical="center" wrapText="1"/>
    </xf>
    <xf numFmtId="41" fontId="16" fillId="7" borderId="9" xfId="22" applyNumberFormat="1" applyFont="1" applyFill="1" applyBorder="1"/>
    <xf numFmtId="0" fontId="17" fillId="3" borderId="9" xfId="15" applyFont="1" applyFill="1" applyBorder="1" applyAlignment="1">
      <alignment horizontal="center" vertical="center"/>
    </xf>
    <xf numFmtId="0" fontId="17" fillId="5" borderId="9" xfId="14" applyFont="1" applyBorder="1" applyAlignment="1">
      <alignment horizontal="left" vertical="center" wrapText="1"/>
    </xf>
    <xf numFmtId="0" fontId="18" fillId="5" borderId="9" xfId="14" applyFont="1" applyBorder="1" applyAlignment="1">
      <alignment horizontal="left" vertical="center" wrapText="1"/>
    </xf>
    <xf numFmtId="0" fontId="18" fillId="0" borderId="9" xfId="4" applyFont="1" applyBorder="1" applyAlignment="1">
      <alignment horizontal="left" vertical="center" wrapText="1"/>
    </xf>
    <xf numFmtId="0" fontId="16" fillId="7" borderId="9" xfId="15" applyFont="1" applyFill="1" applyBorder="1" applyAlignment="1">
      <alignment horizontal="center" vertical="center"/>
    </xf>
    <xf numFmtId="0" fontId="23" fillId="0" borderId="0" xfId="0" applyFont="1" applyAlignment="1">
      <alignment vertical="center"/>
    </xf>
    <xf numFmtId="0" fontId="17" fillId="0" borderId="9" xfId="0" applyFont="1" applyBorder="1" applyAlignment="1">
      <alignment horizontal="center" vertical="center"/>
    </xf>
    <xf numFmtId="0" fontId="21" fillId="3" borderId="5" xfId="0" applyFont="1" applyFill="1" applyBorder="1" applyAlignment="1">
      <alignment vertical="center"/>
    </xf>
    <xf numFmtId="0" fontId="19" fillId="3" borderId="5" xfId="0" applyFont="1" applyFill="1" applyBorder="1" applyAlignment="1">
      <alignment vertical="center"/>
    </xf>
    <xf numFmtId="0" fontId="21" fillId="3" borderId="0" xfId="0" applyFont="1" applyFill="1" applyAlignment="1">
      <alignment vertical="center"/>
    </xf>
    <xf numFmtId="0" fontId="22" fillId="3" borderId="0" xfId="0" applyFont="1" applyFill="1" applyBorder="1" applyAlignment="1">
      <alignment vertical="center"/>
    </xf>
    <xf numFmtId="0" fontId="18" fillId="3" borderId="0" xfId="1" applyFont="1" applyFill="1" applyBorder="1" applyAlignment="1">
      <alignment vertical="center"/>
    </xf>
    <xf numFmtId="0" fontId="19" fillId="3" borderId="0" xfId="0" applyFont="1" applyFill="1" applyBorder="1" applyAlignment="1">
      <alignment vertical="center"/>
    </xf>
    <xf numFmtId="0" fontId="21" fillId="3" borderId="0" xfId="0" applyFont="1" applyFill="1" applyBorder="1" applyAlignment="1">
      <alignment vertical="center"/>
    </xf>
    <xf numFmtId="0" fontId="19" fillId="0" borderId="0" xfId="0" applyFont="1"/>
    <xf numFmtId="0" fontId="21" fillId="2" borderId="9" xfId="0" applyFont="1" applyFill="1" applyBorder="1" applyAlignment="1">
      <alignment horizontal="center" vertical="center" wrapText="1"/>
    </xf>
    <xf numFmtId="0" fontId="17" fillId="10" borderId="17" xfId="0" applyNumberFormat="1" applyFont="1" applyFill="1" applyBorder="1" applyAlignment="1" applyProtection="1">
      <alignment horizontal="center" vertical="center" wrapText="1"/>
      <protection locked="0"/>
    </xf>
    <xf numFmtId="37" fontId="17" fillId="18" borderId="25" xfId="0" applyNumberFormat="1" applyFont="1" applyFill="1" applyBorder="1" applyAlignment="1" applyProtection="1">
      <alignment horizontal="right" vertical="center" wrapText="1"/>
      <protection locked="0"/>
    </xf>
    <xf numFmtId="0" fontId="24" fillId="3" borderId="0" xfId="0" applyFont="1" applyFill="1" applyAlignment="1">
      <alignment vertical="center"/>
    </xf>
    <xf numFmtId="0" fontId="16" fillId="3" borderId="5" xfId="1" applyFont="1" applyFill="1" applyBorder="1" applyAlignment="1">
      <alignment vertical="center"/>
    </xf>
    <xf numFmtId="0" fontId="16" fillId="3" borderId="0" xfId="1" applyFont="1" applyFill="1" applyAlignment="1">
      <alignment vertical="center"/>
    </xf>
    <xf numFmtId="0" fontId="17" fillId="3" borderId="0" xfId="1" applyFont="1" applyFill="1" applyAlignment="1">
      <alignment vertical="center"/>
    </xf>
    <xf numFmtId="0" fontId="26" fillId="4" borderId="0" xfId="12" applyFont="1" applyFill="1" applyAlignment="1">
      <alignment vertical="center"/>
    </xf>
    <xf numFmtId="0" fontId="26" fillId="4" borderId="0" xfId="12" applyFont="1" applyFill="1"/>
    <xf numFmtId="0" fontId="18" fillId="3" borderId="0" xfId="11" applyFont="1" applyFill="1" applyAlignment="1">
      <alignment horizontal="center" vertical="center"/>
    </xf>
    <xf numFmtId="0" fontId="17" fillId="3" borderId="0" xfId="11" applyFont="1" applyFill="1"/>
    <xf numFmtId="0" fontId="26" fillId="3" borderId="0" xfId="12" applyFont="1" applyFill="1"/>
    <xf numFmtId="0" fontId="24" fillId="3" borderId="0" xfId="11" applyFont="1" applyFill="1" applyAlignment="1">
      <alignment horizontal="left" vertical="top"/>
    </xf>
    <xf numFmtId="0" fontId="24" fillId="3" borderId="0" xfId="11" applyFont="1" applyFill="1" applyAlignment="1">
      <alignment horizontal="left" vertical="top" wrapText="1"/>
    </xf>
    <xf numFmtId="0" fontId="28" fillId="3" borderId="0" xfId="11" applyFont="1" applyFill="1" applyAlignment="1">
      <alignment horizontal="left" vertical="top"/>
    </xf>
    <xf numFmtId="0" fontId="17" fillId="3" borderId="0" xfId="11" applyFont="1" applyFill="1" applyAlignment="1">
      <alignment horizontal="left" vertical="top"/>
    </xf>
    <xf numFmtId="0" fontId="19" fillId="3" borderId="0" xfId="11" applyFont="1" applyFill="1" applyAlignment="1">
      <alignment horizontal="left" vertical="top"/>
    </xf>
    <xf numFmtId="0" fontId="19" fillId="3" borderId="0" xfId="12" applyFont="1" applyFill="1"/>
    <xf numFmtId="37" fontId="17" fillId="3" borderId="0" xfId="11" applyNumberFormat="1" applyFont="1" applyFill="1" applyAlignment="1">
      <alignment horizontal="left"/>
    </xf>
    <xf numFmtId="0" fontId="21" fillId="3" borderId="0" xfId="12" applyFont="1" applyFill="1" applyAlignment="1">
      <alignment horizontal="center"/>
    </xf>
    <xf numFmtId="0" fontId="21" fillId="3" borderId="0" xfId="12" applyFont="1" applyFill="1"/>
    <xf numFmtId="0" fontId="19" fillId="4" borderId="0" xfId="12" applyFont="1" applyFill="1"/>
    <xf numFmtId="0" fontId="16" fillId="6" borderId="13" xfId="0" applyFont="1" applyFill="1" applyBorder="1" applyAlignment="1">
      <alignment horizontal="center" vertical="center" wrapText="1"/>
    </xf>
    <xf numFmtId="0" fontId="21" fillId="3" borderId="0" xfId="11" applyFont="1" applyFill="1"/>
    <xf numFmtId="0" fontId="19" fillId="3" borderId="0" xfId="11" applyFont="1" applyFill="1"/>
    <xf numFmtId="165" fontId="19" fillId="3" borderId="0" xfId="13" applyNumberFormat="1" applyFont="1" applyFill="1">
      <protection locked="0"/>
    </xf>
    <xf numFmtId="165" fontId="21" fillId="3" borderId="0" xfId="13" applyNumberFormat="1" applyFont="1" applyFill="1">
      <protection locked="0"/>
    </xf>
    <xf numFmtId="0" fontId="26" fillId="0" borderId="0" xfId="0" applyFont="1"/>
    <xf numFmtId="0" fontId="23" fillId="3" borderId="0" xfId="11" applyFont="1" applyFill="1"/>
    <xf numFmtId="165" fontId="23" fillId="3" borderId="0" xfId="13" applyNumberFormat="1" applyFont="1" applyFill="1">
      <protection locked="0"/>
    </xf>
    <xf numFmtId="0" fontId="26" fillId="3" borderId="0" xfId="12" applyFont="1" applyFill="1" applyAlignment="1">
      <alignment horizontal="center"/>
    </xf>
    <xf numFmtId="0" fontId="21" fillId="3" borderId="5" xfId="12" applyFont="1" applyFill="1" applyBorder="1"/>
    <xf numFmtId="0" fontId="19" fillId="3" borderId="5" xfId="12" applyFont="1" applyFill="1" applyBorder="1"/>
    <xf numFmtId="0" fontId="19" fillId="3" borderId="0" xfId="12" applyFont="1" applyFill="1" applyAlignment="1">
      <alignment horizontal="center"/>
    </xf>
    <xf numFmtId="0" fontId="26" fillId="4" borderId="0" xfId="12" applyFont="1" applyFill="1" applyAlignment="1">
      <alignment horizontal="center"/>
    </xf>
    <xf numFmtId="0" fontId="21" fillId="3" borderId="0" xfId="17" applyFont="1" applyFill="1" applyBorder="1" applyAlignment="1">
      <alignment vertical="center"/>
    </xf>
    <xf numFmtId="0" fontId="26" fillId="3" borderId="8" xfId="12" applyFont="1" applyFill="1" applyBorder="1" applyAlignment="1">
      <alignment horizontal="center"/>
    </xf>
    <xf numFmtId="0" fontId="26" fillId="3" borderId="8" xfId="12" applyFont="1" applyFill="1" applyBorder="1"/>
    <xf numFmtId="0" fontId="30" fillId="0" borderId="0" xfId="0" applyFont="1" applyAlignment="1">
      <alignment wrapText="1"/>
    </xf>
    <xf numFmtId="0" fontId="31" fillId="0" borderId="0" xfId="0" applyFont="1"/>
    <xf numFmtId="0" fontId="32" fillId="0" borderId="0" xfId="0" applyFont="1" applyAlignment="1">
      <alignment wrapText="1"/>
    </xf>
    <xf numFmtId="0" fontId="32" fillId="0" borderId="0" xfId="0" applyFont="1"/>
    <xf numFmtId="0" fontId="31" fillId="3" borderId="0" xfId="0" applyFont="1" applyFill="1" applyAlignment="1">
      <alignment vertical="center"/>
    </xf>
    <xf numFmtId="0" fontId="33" fillId="3" borderId="0" xfId="0" applyFont="1" applyFill="1" applyAlignment="1">
      <alignment horizontal="left" vertical="center"/>
    </xf>
    <xf numFmtId="0" fontId="30" fillId="3" borderId="0" xfId="16" applyFont="1" applyFill="1" applyAlignment="1">
      <alignment horizontal="center" vertical="center"/>
    </xf>
    <xf numFmtId="0" fontId="30" fillId="3" borderId="0" xfId="16" applyFont="1" applyFill="1" applyAlignment="1">
      <alignment vertical="center"/>
    </xf>
    <xf numFmtId="0" fontId="30" fillId="3" borderId="0" xfId="2" applyFont="1" applyFill="1" applyAlignment="1">
      <alignment horizontal="center" vertical="center"/>
    </xf>
    <xf numFmtId="0" fontId="30" fillId="3" borderId="0" xfId="2" applyFont="1" applyFill="1" applyAlignment="1">
      <alignment vertical="center"/>
    </xf>
    <xf numFmtId="0" fontId="30" fillId="7" borderId="9" xfId="0" applyFont="1" applyFill="1" applyBorder="1" applyAlignment="1">
      <alignment horizontal="center" vertical="center" wrapText="1"/>
    </xf>
    <xf numFmtId="4" fontId="34" fillId="7" borderId="13" xfId="0" applyNumberFormat="1" applyFont="1" applyFill="1" applyBorder="1" applyAlignment="1">
      <alignment horizontal="center" vertical="center" wrapText="1"/>
    </xf>
    <xf numFmtId="49" fontId="30" fillId="3" borderId="9" xfId="0" applyNumberFormat="1" applyFont="1" applyFill="1" applyBorder="1" applyAlignment="1">
      <alignment horizontal="center" vertical="center"/>
    </xf>
    <xf numFmtId="49" fontId="30" fillId="3" borderId="9" xfId="0" applyNumberFormat="1" applyFont="1" applyFill="1" applyBorder="1" applyAlignment="1">
      <alignment horizontal="left" vertical="center" wrapText="1"/>
    </xf>
    <xf numFmtId="49" fontId="30" fillId="3" borderId="9" xfId="15" applyNumberFormat="1" applyFont="1" applyFill="1" applyBorder="1" applyAlignment="1">
      <alignment horizontal="center" vertical="center" wrapText="1"/>
    </xf>
    <xf numFmtId="10" fontId="35" fillId="11" borderId="18" xfId="0" applyNumberFormat="1" applyFont="1" applyFill="1" applyBorder="1" applyAlignment="1" applyProtection="1">
      <alignment horizontal="right" vertical="center" wrapText="1"/>
      <protection locked="0"/>
    </xf>
    <xf numFmtId="0" fontId="30" fillId="0" borderId="0" xfId="0" applyFont="1"/>
    <xf numFmtId="49" fontId="31" fillId="3" borderId="9" xfId="0" applyNumberFormat="1" applyFont="1" applyFill="1" applyBorder="1" applyAlignment="1">
      <alignment horizontal="center" vertical="center"/>
    </xf>
    <xf numFmtId="49" fontId="31" fillId="3" borderId="9" xfId="0" applyNumberFormat="1" applyFont="1" applyFill="1" applyBorder="1" applyAlignment="1">
      <alignment horizontal="left" vertical="center" wrapText="1"/>
    </xf>
    <xf numFmtId="49" fontId="31" fillId="3" borderId="9" xfId="15" applyNumberFormat="1" applyFont="1" applyFill="1" applyBorder="1" applyAlignment="1">
      <alignment horizontal="center" vertical="center" wrapText="1"/>
    </xf>
    <xf numFmtId="43" fontId="35" fillId="3" borderId="12" xfId="7" applyFont="1" applyFill="1" applyBorder="1" applyAlignment="1" applyProtection="1">
      <alignment horizontal="right" vertical="center" wrapText="1"/>
      <protection locked="0"/>
    </xf>
    <xf numFmtId="43" fontId="34" fillId="3" borderId="12" xfId="7" applyFont="1" applyFill="1" applyBorder="1" applyAlignment="1" applyProtection="1">
      <alignment horizontal="right" vertical="center" wrapText="1"/>
      <protection locked="0"/>
    </xf>
    <xf numFmtId="41" fontId="35" fillId="3" borderId="12" xfId="7" applyNumberFormat="1" applyFont="1" applyFill="1" applyBorder="1" applyAlignment="1" applyProtection="1">
      <alignment horizontal="right" vertical="center" wrapText="1"/>
      <protection locked="0"/>
    </xf>
    <xf numFmtId="0" fontId="30" fillId="3" borderId="0" xfId="0" applyFont="1" applyFill="1" applyAlignment="1">
      <alignment vertical="center"/>
    </xf>
    <xf numFmtId="0" fontId="32" fillId="3" borderId="0" xfId="0" applyFont="1" applyFill="1" applyAlignment="1">
      <alignment vertical="center"/>
    </xf>
    <xf numFmtId="0" fontId="31" fillId="3" borderId="8" xfId="0" applyFont="1" applyFill="1" applyBorder="1" applyAlignment="1">
      <alignment vertical="center"/>
    </xf>
    <xf numFmtId="0" fontId="6" fillId="3" borderId="1" xfId="0" applyFont="1" applyFill="1" applyBorder="1"/>
    <xf numFmtId="0" fontId="6" fillId="3" borderId="2" xfId="0" applyFont="1" applyFill="1" applyBorder="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17" fillId="3" borderId="0" xfId="0" applyFont="1" applyFill="1" applyAlignment="1">
      <alignment horizontal="left" vertical="center" wrapText="1"/>
    </xf>
    <xf numFmtId="0" fontId="20" fillId="3" borderId="0" xfId="0" applyFont="1" applyFill="1" applyAlignment="1">
      <alignment horizontal="left" vertical="center" wrapText="1"/>
    </xf>
    <xf numFmtId="0" fontId="16" fillId="3" borderId="0" xfId="0" applyFont="1" applyFill="1" applyAlignment="1">
      <alignment horizontal="right" vertical="center" wrapText="1"/>
    </xf>
    <xf numFmtId="0" fontId="18" fillId="3" borderId="0" xfId="0" applyFont="1" applyFill="1" applyAlignment="1">
      <alignment horizontal="right" vertical="center" wrapText="1"/>
    </xf>
    <xf numFmtId="0" fontId="16" fillId="3" borderId="0" xfId="0" applyFont="1" applyFill="1" applyAlignment="1">
      <alignment horizontal="center" vertical="center" wrapText="1"/>
    </xf>
    <xf numFmtId="0" fontId="18" fillId="3" borderId="0" xfId="0" applyFont="1" applyFill="1" applyAlignment="1">
      <alignment horizontal="center" vertical="center"/>
    </xf>
    <xf numFmtId="0" fontId="19" fillId="3" borderId="0" xfId="0" applyFont="1" applyFill="1" applyAlignment="1">
      <alignment horizontal="left" vertical="center"/>
    </xf>
    <xf numFmtId="0" fontId="21" fillId="3" borderId="0" xfId="0" applyFont="1" applyFill="1" applyAlignment="1">
      <alignment horizontal="right" vertical="center" wrapText="1"/>
    </xf>
    <xf numFmtId="0" fontId="23" fillId="3" borderId="0" xfId="0" applyFont="1" applyFill="1" applyAlignment="1">
      <alignment horizontal="right" vertical="center" wrapText="1"/>
    </xf>
    <xf numFmtId="0" fontId="21"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5" fillId="0" borderId="0" xfId="11" applyFont="1" applyAlignment="1">
      <alignment horizontal="right" vertical="center" wrapText="1"/>
    </xf>
    <xf numFmtId="0" fontId="27" fillId="3" borderId="0" xfId="11" applyFont="1" applyFill="1" applyAlignment="1">
      <alignment horizontal="right" vertical="center" wrapText="1"/>
    </xf>
    <xf numFmtId="0" fontId="16" fillId="0" borderId="0" xfId="11" applyFont="1" applyAlignment="1">
      <alignment horizontal="center" vertical="center" wrapText="1"/>
    </xf>
    <xf numFmtId="0" fontId="18" fillId="3" borderId="0" xfId="11" applyFont="1" applyFill="1" applyAlignment="1">
      <alignment horizontal="center" vertical="center"/>
    </xf>
    <xf numFmtId="0" fontId="20" fillId="3" borderId="0" xfId="11" applyFont="1" applyFill="1" applyAlignment="1">
      <alignment horizontal="left" vertical="center" wrapText="1"/>
    </xf>
    <xf numFmtId="0" fontId="16" fillId="3" borderId="0" xfId="11" applyFont="1" applyFill="1" applyAlignment="1">
      <alignment horizontal="left" vertical="center"/>
    </xf>
    <xf numFmtId="0" fontId="28" fillId="3" borderId="0" xfId="11" applyFont="1" applyFill="1" applyAlignment="1">
      <alignment horizontal="left" vertical="center" wrapText="1"/>
    </xf>
    <xf numFmtId="0" fontId="17" fillId="3" borderId="0" xfId="11" applyFont="1" applyFill="1" applyAlignment="1">
      <alignment horizontal="left" vertical="center" wrapText="1"/>
    </xf>
    <xf numFmtId="0" fontId="29" fillId="3" borderId="0" xfId="11" applyFont="1" applyFill="1" applyAlignment="1">
      <alignment horizontal="left" vertical="center" wrapText="1"/>
    </xf>
    <xf numFmtId="0" fontId="20" fillId="3" borderId="0" xfId="11" applyFont="1" applyFill="1" applyAlignment="1">
      <alignment horizontal="left" vertical="top" wrapText="1"/>
    </xf>
    <xf numFmtId="0" fontId="19" fillId="3" borderId="0" xfId="11" applyFont="1" applyFill="1" applyAlignment="1">
      <alignment horizontal="left" vertical="top" wrapText="1"/>
    </xf>
    <xf numFmtId="0" fontId="28" fillId="3" borderId="0" xfId="11" applyFont="1" applyFill="1" applyAlignment="1">
      <alignment horizontal="left" vertical="top" wrapText="1"/>
    </xf>
    <xf numFmtId="0" fontId="24" fillId="3" borderId="0" xfId="11" applyFont="1" applyFill="1" applyAlignment="1">
      <alignment horizontal="left" vertical="top" wrapText="1"/>
    </xf>
    <xf numFmtId="37" fontId="17" fillId="3" borderId="0" xfId="11" applyNumberFormat="1" applyFont="1" applyFill="1" applyAlignment="1">
      <alignment horizontal="left"/>
    </xf>
    <xf numFmtId="0" fontId="16" fillId="6" borderId="13" xfId="0" applyFont="1" applyFill="1" applyBorder="1" applyAlignment="1">
      <alignment horizontal="center" vertical="center" wrapText="1"/>
    </xf>
    <xf numFmtId="0" fontId="16" fillId="6" borderId="13" xfId="0" applyFont="1" applyFill="1" applyBorder="1" applyAlignment="1">
      <alignment horizontal="center" vertical="center"/>
    </xf>
    <xf numFmtId="0" fontId="33" fillId="3" borderId="0" xfId="0" applyFont="1" applyFill="1" applyAlignment="1">
      <alignment horizontal="left" vertical="center"/>
    </xf>
    <xf numFmtId="0" fontId="31" fillId="3" borderId="0" xfId="0" applyFont="1" applyFill="1" applyAlignment="1">
      <alignment horizontal="left" vertical="center"/>
    </xf>
    <xf numFmtId="0" fontId="30" fillId="3" borderId="0" xfId="0" applyFont="1" applyFill="1" applyAlignment="1">
      <alignment horizontal="right" vertical="center" wrapText="1"/>
    </xf>
    <xf numFmtId="0" fontId="32" fillId="3" borderId="0" xfId="0" applyFont="1" applyFill="1" applyAlignment="1">
      <alignment horizontal="right" vertical="center" wrapText="1"/>
    </xf>
    <xf numFmtId="0" fontId="30" fillId="3" borderId="0" xfId="0" applyFont="1" applyFill="1" applyAlignment="1">
      <alignment horizontal="center" vertical="center" wrapText="1"/>
    </xf>
    <xf numFmtId="0" fontId="32" fillId="3" borderId="0" xfId="0" applyFont="1" applyFill="1" applyAlignment="1">
      <alignment horizontal="center" vertical="center"/>
    </xf>
    <xf numFmtId="0" fontId="31" fillId="3" borderId="0" xfId="0" applyFont="1" applyFill="1" applyAlignment="1">
      <alignment horizontal="left" vertical="center" wrapText="1"/>
    </xf>
    <xf numFmtId="49" fontId="31" fillId="3" borderId="9" xfId="0" applyNumberFormat="1" applyFont="1" applyFill="1" applyBorder="1" applyAlignment="1">
      <alignment horizontal="center" vertical="center"/>
    </xf>
    <xf numFmtId="49" fontId="31" fillId="3" borderId="10" xfId="0" applyNumberFormat="1" applyFont="1" applyFill="1" applyBorder="1" applyAlignment="1">
      <alignment horizontal="center" vertical="center"/>
    </xf>
    <xf numFmtId="49" fontId="31" fillId="3" borderId="14" xfId="0" applyNumberFormat="1" applyFont="1" applyFill="1" applyBorder="1" applyAlignment="1">
      <alignment horizontal="center" vertical="center"/>
    </xf>
    <xf numFmtId="49" fontId="31"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jpeg"/><Relationship Id="rId3" Type="http://schemas.openxmlformats.org/officeDocument/2006/relationships/image" Target="../media/image5.jpeg"/><Relationship Id="rId7" Type="http://schemas.openxmlformats.org/officeDocument/2006/relationships/image" Target="../media/image9.png"/><Relationship Id="rId12" Type="http://schemas.openxmlformats.org/officeDocument/2006/relationships/image" Target="../media/image14.jpeg"/><Relationship Id="rId2" Type="http://schemas.openxmlformats.org/officeDocument/2006/relationships/image" Target="../media/image4.png"/><Relationship Id="rId16" Type="http://schemas.openxmlformats.org/officeDocument/2006/relationships/image" Target="../media/image17.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jpeg"/><Relationship Id="rId5" Type="http://schemas.openxmlformats.org/officeDocument/2006/relationships/image" Target="../media/image7.jpeg"/><Relationship Id="rId15" Type="http://schemas.openxmlformats.org/officeDocument/2006/relationships/image" Target="cid:image001.png@01D924FE.E96A4810" TargetMode="External"/><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1"/>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7"/>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1"/>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1"/>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0"/>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twoCellAnchor editAs="oneCell">
    <xdr:from>
      <xdr:col>2</xdr:col>
      <xdr:colOff>285751</xdr:colOff>
      <xdr:row>8</xdr:row>
      <xdr:rowOff>238125</xdr:rowOff>
    </xdr:from>
    <xdr:to>
      <xdr:col>3</xdr:col>
      <xdr:colOff>6921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5"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5"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5"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5"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8"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9"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00000000-0008-0000-0D00-000029000000}"/>
            </a:ext>
          </a:extLst>
        </xdr:cNvPr>
        <xdr:cNvPicPr>
          <a:picLocks noChangeAspect="1"/>
        </xdr:cNvPicPr>
      </xdr:nvPicPr>
      <xdr:blipFill>
        <a:blip xmlns:r="http://schemas.openxmlformats.org/officeDocument/2006/relationships" r:embed="rId8" cstate="print"/>
        <a:stretch>
          <a:fillRect/>
        </a:stretch>
      </xdr:blipFill>
      <xdr:spPr>
        <a:xfrm>
          <a:off x="7163189" y="21139668"/>
          <a:ext cx="1308230" cy="745179"/>
        </a:xfrm>
        <a:prstGeom prst="rect">
          <a:avLst/>
        </a:prstGeom>
      </xdr:spPr>
    </xdr:pic>
    <xdr:clientData/>
  </xdr:twoCellAnchor>
  <xdr:twoCellAnchor editAs="oneCell">
    <xdr:from>
      <xdr:col>2</xdr:col>
      <xdr:colOff>182842</xdr:colOff>
      <xdr:row>10</xdr:row>
      <xdr:rowOff>37089</xdr:rowOff>
    </xdr:from>
    <xdr:to>
      <xdr:col>2</xdr:col>
      <xdr:colOff>2089747</xdr:colOff>
      <xdr:row>10</xdr:row>
      <xdr:rowOff>599064</xdr:rowOff>
    </xdr:to>
    <xdr:pic>
      <xdr:nvPicPr>
        <xdr:cNvPr id="42" name="Picture 41">
          <a:extLst>
            <a:ext uri="{FF2B5EF4-FFF2-40B4-BE49-F238E27FC236}">
              <a16:creationId xmlns:a16="http://schemas.microsoft.com/office/drawing/2014/main" id="{00000000-0008-0000-0D00-00002A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21184" y="6393569"/>
          <a:ext cx="1906905" cy="561975"/>
        </a:xfrm>
        <a:prstGeom prst="rect">
          <a:avLst/>
        </a:prstGeom>
      </xdr:spPr>
    </xdr:pic>
    <xdr:clientData/>
  </xdr:twoCellAnchor>
  <xdr:twoCellAnchor editAs="oneCell">
    <xdr:from>
      <xdr:col>2</xdr:col>
      <xdr:colOff>179732</xdr:colOff>
      <xdr:row>11</xdr:row>
      <xdr:rowOff>14540</xdr:rowOff>
    </xdr:from>
    <xdr:to>
      <xdr:col>2</xdr:col>
      <xdr:colOff>2086637</xdr:colOff>
      <xdr:row>11</xdr:row>
      <xdr:rowOff>576515</xdr:rowOff>
    </xdr:to>
    <xdr:pic>
      <xdr:nvPicPr>
        <xdr:cNvPr id="43" name="Picture 42">
          <a:extLst>
            <a:ext uri="{FF2B5EF4-FFF2-40B4-BE49-F238E27FC236}">
              <a16:creationId xmlns:a16="http://schemas.microsoft.com/office/drawing/2014/main" id="{00000000-0008-0000-0D00-00002B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18074" y="7148571"/>
          <a:ext cx="1906905" cy="561975"/>
        </a:xfrm>
        <a:prstGeom prst="rect">
          <a:avLst/>
        </a:prstGeom>
      </xdr:spPr>
    </xdr:pic>
    <xdr:clientData/>
  </xdr:twoCellAnchor>
  <xdr:oneCellAnchor>
    <xdr:from>
      <xdr:col>2</xdr:col>
      <xdr:colOff>349898</xdr:colOff>
      <xdr:row>39</xdr:row>
      <xdr:rowOff>194388</xdr:rowOff>
    </xdr:from>
    <xdr:ext cx="1396763" cy="466634"/>
    <xdr:pic>
      <xdr:nvPicPr>
        <xdr:cNvPr id="44" name="Picture 43">
          <a:extLst>
            <a:ext uri="{FF2B5EF4-FFF2-40B4-BE49-F238E27FC236}">
              <a16:creationId xmlns:a16="http://schemas.microsoft.com/office/drawing/2014/main" id="{00000000-0008-0000-0D00-00002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88240" y="29099847"/>
          <a:ext cx="1396763" cy="466634"/>
        </a:xfrm>
        <a:prstGeom prst="rect">
          <a:avLst/>
        </a:prstGeom>
      </xdr:spPr>
    </xdr:pic>
    <xdr:clientData/>
  </xdr:oneCellAnchor>
  <xdr:oneCellAnchor>
    <xdr:from>
      <xdr:col>2</xdr:col>
      <xdr:colOff>367393</xdr:colOff>
      <xdr:row>40</xdr:row>
      <xdr:rowOff>217714</xdr:rowOff>
    </xdr:from>
    <xdr:ext cx="1396763" cy="466634"/>
    <xdr:pic>
      <xdr:nvPicPr>
        <xdr:cNvPr id="45" name="Picture 44">
          <a:extLst>
            <a:ext uri="{FF2B5EF4-FFF2-40B4-BE49-F238E27FC236}">
              <a16:creationId xmlns:a16="http://schemas.microsoft.com/office/drawing/2014/main" id="{00000000-0008-0000-0D00-00002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07679" y="29826857"/>
          <a:ext cx="1396763" cy="466634"/>
        </a:xfrm>
        <a:prstGeom prst="rect">
          <a:avLst/>
        </a:prstGeom>
      </xdr:spPr>
    </xdr:pic>
    <xdr:clientData/>
  </xdr:oneCellAnchor>
  <xdr:oneCellAnchor>
    <xdr:from>
      <xdr:col>2</xdr:col>
      <xdr:colOff>449036</xdr:colOff>
      <xdr:row>41</xdr:row>
      <xdr:rowOff>95251</xdr:rowOff>
    </xdr:from>
    <xdr:ext cx="1396763" cy="466634"/>
    <xdr:pic>
      <xdr:nvPicPr>
        <xdr:cNvPr id="46" name="Picture 45">
          <a:extLst>
            <a:ext uri="{FF2B5EF4-FFF2-40B4-BE49-F238E27FC236}">
              <a16:creationId xmlns:a16="http://schemas.microsoft.com/office/drawing/2014/main" id="{00000000-0008-0000-0D00-00002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89322" y="30480001"/>
          <a:ext cx="1396763" cy="466634"/>
        </a:xfrm>
        <a:prstGeom prst="rect">
          <a:avLst/>
        </a:prstGeom>
      </xdr:spPr>
    </xdr:pic>
    <xdr:clientData/>
  </xdr:oneCellAnchor>
  <xdr:oneCellAnchor>
    <xdr:from>
      <xdr:col>2</xdr:col>
      <xdr:colOff>0</xdr:colOff>
      <xdr:row>42</xdr:row>
      <xdr:rowOff>0</xdr:rowOff>
    </xdr:from>
    <xdr:ext cx="1396763" cy="466634"/>
    <xdr:pic>
      <xdr:nvPicPr>
        <xdr:cNvPr id="47" name="Picture 46">
          <a:extLst>
            <a:ext uri="{FF2B5EF4-FFF2-40B4-BE49-F238E27FC236}">
              <a16:creationId xmlns:a16="http://schemas.microsoft.com/office/drawing/2014/main" id="{00000000-0008-0000-0D00-00002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160357"/>
          <a:ext cx="1396763" cy="466634"/>
        </a:xfrm>
        <a:prstGeom prst="rect">
          <a:avLst/>
        </a:prstGeom>
      </xdr:spPr>
    </xdr:pic>
    <xdr:clientData/>
  </xdr:oneCellAnchor>
  <xdr:oneCellAnchor>
    <xdr:from>
      <xdr:col>2</xdr:col>
      <xdr:colOff>0</xdr:colOff>
      <xdr:row>43</xdr:row>
      <xdr:rowOff>0</xdr:rowOff>
    </xdr:from>
    <xdr:ext cx="1396763" cy="466634"/>
    <xdr:pic>
      <xdr:nvPicPr>
        <xdr:cNvPr id="48" name="Picture 47">
          <a:extLst>
            <a:ext uri="{FF2B5EF4-FFF2-40B4-BE49-F238E27FC236}">
              <a16:creationId xmlns:a16="http://schemas.microsoft.com/office/drawing/2014/main" id="{00000000-0008-0000-0D00-00003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935964"/>
          <a:ext cx="1396763" cy="466634"/>
        </a:xfrm>
        <a:prstGeom prst="rect">
          <a:avLst/>
        </a:prstGeom>
      </xdr:spPr>
    </xdr:pic>
    <xdr:clientData/>
  </xdr:oneCellAnchor>
  <xdr:oneCellAnchor>
    <xdr:from>
      <xdr:col>2</xdr:col>
      <xdr:colOff>0</xdr:colOff>
      <xdr:row>44</xdr:row>
      <xdr:rowOff>0</xdr:rowOff>
    </xdr:from>
    <xdr:ext cx="1396763" cy="466634"/>
    <xdr:pic>
      <xdr:nvPicPr>
        <xdr:cNvPr id="49" name="Picture 48">
          <a:extLst>
            <a:ext uri="{FF2B5EF4-FFF2-40B4-BE49-F238E27FC236}">
              <a16:creationId xmlns:a16="http://schemas.microsoft.com/office/drawing/2014/main" id="{00000000-0008-0000-0D00-00003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2711571"/>
          <a:ext cx="1396763" cy="466634"/>
        </a:xfrm>
        <a:prstGeom prst="rect">
          <a:avLst/>
        </a:prstGeom>
      </xdr:spPr>
    </xdr:pic>
    <xdr:clientData/>
  </xdr:oneCellAnchor>
  <xdr:oneCellAnchor>
    <xdr:from>
      <xdr:col>2</xdr:col>
      <xdr:colOff>0</xdr:colOff>
      <xdr:row>45</xdr:row>
      <xdr:rowOff>0</xdr:rowOff>
    </xdr:from>
    <xdr:ext cx="1396763" cy="466634"/>
    <xdr:pic>
      <xdr:nvPicPr>
        <xdr:cNvPr id="50" name="Picture 49">
          <a:extLst>
            <a:ext uri="{FF2B5EF4-FFF2-40B4-BE49-F238E27FC236}">
              <a16:creationId xmlns:a16="http://schemas.microsoft.com/office/drawing/2014/main" id="{00000000-0008-0000-0D00-00003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3487179"/>
          <a:ext cx="1396763" cy="466634"/>
        </a:xfrm>
        <a:prstGeom prst="rect">
          <a:avLst/>
        </a:prstGeom>
      </xdr:spPr>
    </xdr:pic>
    <xdr:clientData/>
  </xdr:oneCellAnchor>
  <xdr:oneCellAnchor>
    <xdr:from>
      <xdr:col>2</xdr:col>
      <xdr:colOff>0</xdr:colOff>
      <xdr:row>46</xdr:row>
      <xdr:rowOff>0</xdr:rowOff>
    </xdr:from>
    <xdr:ext cx="1396763" cy="466634"/>
    <xdr:pic>
      <xdr:nvPicPr>
        <xdr:cNvPr id="51" name="Picture 50">
          <a:extLst>
            <a:ext uri="{FF2B5EF4-FFF2-40B4-BE49-F238E27FC236}">
              <a16:creationId xmlns:a16="http://schemas.microsoft.com/office/drawing/2014/main" id="{00000000-0008-0000-0D00-00003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4262786"/>
          <a:ext cx="1396763" cy="466634"/>
        </a:xfrm>
        <a:prstGeom prst="rect">
          <a:avLst/>
        </a:prstGeom>
      </xdr:spPr>
    </xdr:pic>
    <xdr:clientData/>
  </xdr:oneCellAnchor>
  <xdr:oneCellAnchor>
    <xdr:from>
      <xdr:col>2</xdr:col>
      <xdr:colOff>0</xdr:colOff>
      <xdr:row>47</xdr:row>
      <xdr:rowOff>0</xdr:rowOff>
    </xdr:from>
    <xdr:ext cx="1396763" cy="466634"/>
    <xdr:pic>
      <xdr:nvPicPr>
        <xdr:cNvPr id="52" name="Picture 51">
          <a:extLst>
            <a:ext uri="{FF2B5EF4-FFF2-40B4-BE49-F238E27FC236}">
              <a16:creationId xmlns:a16="http://schemas.microsoft.com/office/drawing/2014/main" id="{00000000-0008-0000-0D00-00003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5038393"/>
          <a:ext cx="1396763" cy="466634"/>
        </a:xfrm>
        <a:prstGeom prst="rect">
          <a:avLst/>
        </a:prstGeom>
      </xdr:spPr>
    </xdr:pic>
    <xdr:clientData/>
  </xdr:oneCellAnchor>
  <xdr:oneCellAnchor>
    <xdr:from>
      <xdr:col>2</xdr:col>
      <xdr:colOff>0</xdr:colOff>
      <xdr:row>52</xdr:row>
      <xdr:rowOff>0</xdr:rowOff>
    </xdr:from>
    <xdr:ext cx="1396763" cy="466634"/>
    <xdr:pic>
      <xdr:nvPicPr>
        <xdr:cNvPr id="57" name="Picture 56">
          <a:extLst>
            <a:ext uri="{FF2B5EF4-FFF2-40B4-BE49-F238E27FC236}">
              <a16:creationId xmlns:a16="http://schemas.microsoft.com/office/drawing/2014/main" id="{00000000-0008-0000-0D00-00003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8916429"/>
          <a:ext cx="1396763" cy="466634"/>
        </a:xfrm>
        <a:prstGeom prst="rect">
          <a:avLst/>
        </a:prstGeom>
      </xdr:spPr>
    </xdr:pic>
    <xdr:clientData/>
  </xdr:oneCellAnchor>
  <xdr:oneCellAnchor>
    <xdr:from>
      <xdr:col>2</xdr:col>
      <xdr:colOff>0</xdr:colOff>
      <xdr:row>53</xdr:row>
      <xdr:rowOff>0</xdr:rowOff>
    </xdr:from>
    <xdr:ext cx="1396763" cy="466634"/>
    <xdr:pic>
      <xdr:nvPicPr>
        <xdr:cNvPr id="58" name="Picture 57">
          <a:extLst>
            <a:ext uri="{FF2B5EF4-FFF2-40B4-BE49-F238E27FC236}">
              <a16:creationId xmlns:a16="http://schemas.microsoft.com/office/drawing/2014/main" id="{00000000-0008-0000-0D00-00003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9692036"/>
          <a:ext cx="1396763" cy="466634"/>
        </a:xfrm>
        <a:prstGeom prst="rect">
          <a:avLst/>
        </a:prstGeom>
      </xdr:spPr>
    </xdr:pic>
    <xdr:clientData/>
  </xdr:oneCellAnchor>
  <xdr:oneCellAnchor>
    <xdr:from>
      <xdr:col>2</xdr:col>
      <xdr:colOff>0</xdr:colOff>
      <xdr:row>54</xdr:row>
      <xdr:rowOff>0</xdr:rowOff>
    </xdr:from>
    <xdr:ext cx="1396763" cy="466634"/>
    <xdr:pic>
      <xdr:nvPicPr>
        <xdr:cNvPr id="59" name="Picture 58">
          <a:extLst>
            <a:ext uri="{FF2B5EF4-FFF2-40B4-BE49-F238E27FC236}">
              <a16:creationId xmlns:a16="http://schemas.microsoft.com/office/drawing/2014/main" id="{00000000-0008-0000-0D00-00003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0467643"/>
          <a:ext cx="1396763" cy="466634"/>
        </a:xfrm>
        <a:prstGeom prst="rect">
          <a:avLst/>
        </a:prstGeom>
      </xdr:spPr>
    </xdr:pic>
    <xdr:clientData/>
  </xdr:oneCellAnchor>
  <xdr:oneCellAnchor>
    <xdr:from>
      <xdr:col>2</xdr:col>
      <xdr:colOff>0</xdr:colOff>
      <xdr:row>55</xdr:row>
      <xdr:rowOff>0</xdr:rowOff>
    </xdr:from>
    <xdr:ext cx="1396763" cy="466634"/>
    <xdr:pic>
      <xdr:nvPicPr>
        <xdr:cNvPr id="60" name="Picture 59">
          <a:extLst>
            <a:ext uri="{FF2B5EF4-FFF2-40B4-BE49-F238E27FC236}">
              <a16:creationId xmlns:a16="http://schemas.microsoft.com/office/drawing/2014/main" id="{00000000-0008-0000-0D00-00003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1243250"/>
          <a:ext cx="1396763" cy="466634"/>
        </a:xfrm>
        <a:prstGeom prst="rect">
          <a:avLst/>
        </a:prstGeom>
      </xdr:spPr>
    </xdr:pic>
    <xdr:clientData/>
  </xdr:oneCellAnchor>
  <xdr:oneCellAnchor>
    <xdr:from>
      <xdr:col>2</xdr:col>
      <xdr:colOff>0</xdr:colOff>
      <xdr:row>56</xdr:row>
      <xdr:rowOff>0</xdr:rowOff>
    </xdr:from>
    <xdr:ext cx="1396763" cy="466634"/>
    <xdr:pic>
      <xdr:nvPicPr>
        <xdr:cNvPr id="61" name="Picture 60">
          <a:extLst>
            <a:ext uri="{FF2B5EF4-FFF2-40B4-BE49-F238E27FC236}">
              <a16:creationId xmlns:a16="http://schemas.microsoft.com/office/drawing/2014/main" id="{00000000-0008-0000-0D00-00003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018857"/>
          <a:ext cx="1396763" cy="466634"/>
        </a:xfrm>
        <a:prstGeom prst="rect">
          <a:avLst/>
        </a:prstGeom>
      </xdr:spPr>
    </xdr:pic>
    <xdr:clientData/>
  </xdr:oneCellAnchor>
  <xdr:oneCellAnchor>
    <xdr:from>
      <xdr:col>2</xdr:col>
      <xdr:colOff>0</xdr:colOff>
      <xdr:row>57</xdr:row>
      <xdr:rowOff>0</xdr:rowOff>
    </xdr:from>
    <xdr:ext cx="1396763" cy="466634"/>
    <xdr:pic>
      <xdr:nvPicPr>
        <xdr:cNvPr id="62" name="Picture 61">
          <a:extLst>
            <a:ext uri="{FF2B5EF4-FFF2-40B4-BE49-F238E27FC236}">
              <a16:creationId xmlns:a16="http://schemas.microsoft.com/office/drawing/2014/main" id="{00000000-0008-0000-0D00-00003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794464"/>
          <a:ext cx="1396763" cy="466634"/>
        </a:xfrm>
        <a:prstGeom prst="rect">
          <a:avLst/>
        </a:prstGeom>
      </xdr:spPr>
    </xdr:pic>
    <xdr:clientData/>
  </xdr:oneCellAnchor>
  <xdr:oneCellAnchor>
    <xdr:from>
      <xdr:col>2</xdr:col>
      <xdr:colOff>0</xdr:colOff>
      <xdr:row>58</xdr:row>
      <xdr:rowOff>0</xdr:rowOff>
    </xdr:from>
    <xdr:ext cx="1396763" cy="466634"/>
    <xdr:pic>
      <xdr:nvPicPr>
        <xdr:cNvPr id="63" name="Picture 62">
          <a:extLst>
            <a:ext uri="{FF2B5EF4-FFF2-40B4-BE49-F238E27FC236}">
              <a16:creationId xmlns:a16="http://schemas.microsoft.com/office/drawing/2014/main" id="{00000000-0008-0000-0D00-00003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3570071"/>
          <a:ext cx="1396763" cy="466634"/>
        </a:xfrm>
        <a:prstGeom prst="rect">
          <a:avLst/>
        </a:prstGeom>
      </xdr:spPr>
    </xdr:pic>
    <xdr:clientData/>
  </xdr:oneCellAnchor>
  <xdr:oneCellAnchor>
    <xdr:from>
      <xdr:col>2</xdr:col>
      <xdr:colOff>0</xdr:colOff>
      <xdr:row>59</xdr:row>
      <xdr:rowOff>0</xdr:rowOff>
    </xdr:from>
    <xdr:ext cx="1396763" cy="466634"/>
    <xdr:pic>
      <xdr:nvPicPr>
        <xdr:cNvPr id="64" name="Picture 63">
          <a:extLst>
            <a:ext uri="{FF2B5EF4-FFF2-40B4-BE49-F238E27FC236}">
              <a16:creationId xmlns:a16="http://schemas.microsoft.com/office/drawing/2014/main" id="{00000000-0008-0000-0D00-00004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4345679"/>
          <a:ext cx="1396763" cy="466634"/>
        </a:xfrm>
        <a:prstGeom prst="rect">
          <a:avLst/>
        </a:prstGeom>
      </xdr:spPr>
    </xdr:pic>
    <xdr:clientData/>
  </xdr:oneCellAnchor>
  <xdr:oneCellAnchor>
    <xdr:from>
      <xdr:col>2</xdr:col>
      <xdr:colOff>0</xdr:colOff>
      <xdr:row>60</xdr:row>
      <xdr:rowOff>0</xdr:rowOff>
    </xdr:from>
    <xdr:ext cx="1396763" cy="466634"/>
    <xdr:pic>
      <xdr:nvPicPr>
        <xdr:cNvPr id="65" name="Picture 64">
          <a:extLst>
            <a:ext uri="{FF2B5EF4-FFF2-40B4-BE49-F238E27FC236}">
              <a16:creationId xmlns:a16="http://schemas.microsoft.com/office/drawing/2014/main" id="{00000000-0008-0000-0D00-00004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121286"/>
          <a:ext cx="1396763" cy="466634"/>
        </a:xfrm>
        <a:prstGeom prst="rect">
          <a:avLst/>
        </a:prstGeom>
      </xdr:spPr>
    </xdr:pic>
    <xdr:clientData/>
  </xdr:oneCellAnchor>
  <xdr:oneCellAnchor>
    <xdr:from>
      <xdr:col>2</xdr:col>
      <xdr:colOff>0</xdr:colOff>
      <xdr:row>61</xdr:row>
      <xdr:rowOff>0</xdr:rowOff>
    </xdr:from>
    <xdr:ext cx="1396763" cy="466634"/>
    <xdr:pic>
      <xdr:nvPicPr>
        <xdr:cNvPr id="66" name="Picture 65">
          <a:extLst>
            <a:ext uri="{FF2B5EF4-FFF2-40B4-BE49-F238E27FC236}">
              <a16:creationId xmlns:a16="http://schemas.microsoft.com/office/drawing/2014/main" id="{00000000-0008-0000-0D00-00004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896893"/>
          <a:ext cx="1396763" cy="466634"/>
        </a:xfrm>
        <a:prstGeom prst="rect">
          <a:avLst/>
        </a:prstGeom>
      </xdr:spPr>
    </xdr:pic>
    <xdr:clientData/>
  </xdr:oneCellAnchor>
  <xdr:oneCellAnchor>
    <xdr:from>
      <xdr:col>2</xdr:col>
      <xdr:colOff>0</xdr:colOff>
      <xdr:row>62</xdr:row>
      <xdr:rowOff>0</xdr:rowOff>
    </xdr:from>
    <xdr:ext cx="1396763" cy="466634"/>
    <xdr:pic>
      <xdr:nvPicPr>
        <xdr:cNvPr id="67" name="Picture 66">
          <a:extLst>
            <a:ext uri="{FF2B5EF4-FFF2-40B4-BE49-F238E27FC236}">
              <a16:creationId xmlns:a16="http://schemas.microsoft.com/office/drawing/2014/main" id="{00000000-0008-0000-0D00-00004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6672500"/>
          <a:ext cx="1396763" cy="466634"/>
        </a:xfrm>
        <a:prstGeom prst="rect">
          <a:avLst/>
        </a:prstGeom>
      </xdr:spPr>
    </xdr:pic>
    <xdr:clientData/>
  </xdr:oneCellAnchor>
  <xdr:oneCellAnchor>
    <xdr:from>
      <xdr:col>2</xdr:col>
      <xdr:colOff>0</xdr:colOff>
      <xdr:row>63</xdr:row>
      <xdr:rowOff>0</xdr:rowOff>
    </xdr:from>
    <xdr:ext cx="1396763" cy="466634"/>
    <xdr:pic>
      <xdr:nvPicPr>
        <xdr:cNvPr id="68" name="Picture 67">
          <a:extLst>
            <a:ext uri="{FF2B5EF4-FFF2-40B4-BE49-F238E27FC236}">
              <a16:creationId xmlns:a16="http://schemas.microsoft.com/office/drawing/2014/main" id="{00000000-0008-0000-0D00-00004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7448107"/>
          <a:ext cx="1396763" cy="466634"/>
        </a:xfrm>
        <a:prstGeom prst="rect">
          <a:avLst/>
        </a:prstGeom>
      </xdr:spPr>
    </xdr:pic>
    <xdr:clientData/>
  </xdr:oneCellAnchor>
  <xdr:oneCellAnchor>
    <xdr:from>
      <xdr:col>2</xdr:col>
      <xdr:colOff>0</xdr:colOff>
      <xdr:row>64</xdr:row>
      <xdr:rowOff>0</xdr:rowOff>
    </xdr:from>
    <xdr:ext cx="1396763" cy="466634"/>
    <xdr:pic>
      <xdr:nvPicPr>
        <xdr:cNvPr id="69" name="Picture 68">
          <a:extLst>
            <a:ext uri="{FF2B5EF4-FFF2-40B4-BE49-F238E27FC236}">
              <a16:creationId xmlns:a16="http://schemas.microsoft.com/office/drawing/2014/main" id="{00000000-0008-0000-0D00-00004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223714"/>
          <a:ext cx="1396763" cy="466634"/>
        </a:xfrm>
        <a:prstGeom prst="rect">
          <a:avLst/>
        </a:prstGeom>
      </xdr:spPr>
    </xdr:pic>
    <xdr:clientData/>
  </xdr:oneCellAnchor>
  <xdr:oneCellAnchor>
    <xdr:from>
      <xdr:col>2</xdr:col>
      <xdr:colOff>0</xdr:colOff>
      <xdr:row>65</xdr:row>
      <xdr:rowOff>0</xdr:rowOff>
    </xdr:from>
    <xdr:ext cx="1396763" cy="466634"/>
    <xdr:pic>
      <xdr:nvPicPr>
        <xdr:cNvPr id="70" name="Picture 69">
          <a:extLst>
            <a:ext uri="{FF2B5EF4-FFF2-40B4-BE49-F238E27FC236}">
              <a16:creationId xmlns:a16="http://schemas.microsoft.com/office/drawing/2014/main" id="{00000000-0008-0000-0D00-00004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999321"/>
          <a:ext cx="1396763" cy="466634"/>
        </a:xfrm>
        <a:prstGeom prst="rect">
          <a:avLst/>
        </a:prstGeom>
      </xdr:spPr>
    </xdr:pic>
    <xdr:clientData/>
  </xdr:oneCellAnchor>
  <xdr:oneCellAnchor>
    <xdr:from>
      <xdr:col>2</xdr:col>
      <xdr:colOff>0</xdr:colOff>
      <xdr:row>66</xdr:row>
      <xdr:rowOff>0</xdr:rowOff>
    </xdr:from>
    <xdr:ext cx="1396763" cy="466634"/>
    <xdr:pic>
      <xdr:nvPicPr>
        <xdr:cNvPr id="71" name="Picture 70">
          <a:extLst>
            <a:ext uri="{FF2B5EF4-FFF2-40B4-BE49-F238E27FC236}">
              <a16:creationId xmlns:a16="http://schemas.microsoft.com/office/drawing/2014/main" id="{00000000-0008-0000-0D00-00004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9774929"/>
          <a:ext cx="1396763" cy="466634"/>
        </a:xfrm>
        <a:prstGeom prst="rect">
          <a:avLst/>
        </a:prstGeom>
      </xdr:spPr>
    </xdr:pic>
    <xdr:clientData/>
  </xdr:oneCellAnchor>
  <xdr:oneCellAnchor>
    <xdr:from>
      <xdr:col>2</xdr:col>
      <xdr:colOff>0</xdr:colOff>
      <xdr:row>67</xdr:row>
      <xdr:rowOff>0</xdr:rowOff>
    </xdr:from>
    <xdr:ext cx="1396763" cy="466634"/>
    <xdr:pic>
      <xdr:nvPicPr>
        <xdr:cNvPr id="72" name="Picture 71">
          <a:extLst>
            <a:ext uri="{FF2B5EF4-FFF2-40B4-BE49-F238E27FC236}">
              <a16:creationId xmlns:a16="http://schemas.microsoft.com/office/drawing/2014/main" id="{00000000-0008-0000-0D00-00004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0550536"/>
          <a:ext cx="1396763" cy="466634"/>
        </a:xfrm>
        <a:prstGeom prst="rect">
          <a:avLst/>
        </a:prstGeom>
      </xdr:spPr>
    </xdr:pic>
    <xdr:clientData/>
  </xdr:oneCellAnchor>
  <xdr:oneCellAnchor>
    <xdr:from>
      <xdr:col>2</xdr:col>
      <xdr:colOff>0</xdr:colOff>
      <xdr:row>68</xdr:row>
      <xdr:rowOff>0</xdr:rowOff>
    </xdr:from>
    <xdr:ext cx="1396763" cy="466634"/>
    <xdr:pic>
      <xdr:nvPicPr>
        <xdr:cNvPr id="73" name="Picture 72">
          <a:extLst>
            <a:ext uri="{FF2B5EF4-FFF2-40B4-BE49-F238E27FC236}">
              <a16:creationId xmlns:a16="http://schemas.microsoft.com/office/drawing/2014/main" id="{00000000-0008-0000-0D00-00004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1326143"/>
          <a:ext cx="1396763" cy="466634"/>
        </a:xfrm>
        <a:prstGeom prst="rect">
          <a:avLst/>
        </a:prstGeom>
      </xdr:spPr>
    </xdr:pic>
    <xdr:clientData/>
  </xdr:oneCellAnchor>
  <xdr:oneCellAnchor>
    <xdr:from>
      <xdr:col>2</xdr:col>
      <xdr:colOff>0</xdr:colOff>
      <xdr:row>69</xdr:row>
      <xdr:rowOff>0</xdr:rowOff>
    </xdr:from>
    <xdr:ext cx="1396763" cy="466634"/>
    <xdr:pic>
      <xdr:nvPicPr>
        <xdr:cNvPr id="74" name="Picture 73">
          <a:extLst>
            <a:ext uri="{FF2B5EF4-FFF2-40B4-BE49-F238E27FC236}">
              <a16:creationId xmlns:a16="http://schemas.microsoft.com/office/drawing/2014/main" id="{00000000-0008-0000-0D00-00004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2101750"/>
          <a:ext cx="1396763" cy="466634"/>
        </a:xfrm>
        <a:prstGeom prst="rect">
          <a:avLst/>
        </a:prstGeom>
      </xdr:spPr>
    </xdr:pic>
    <xdr:clientData/>
  </xdr:oneCellAnchor>
  <xdr:twoCellAnchor editAs="oneCell">
    <xdr:from>
      <xdr:col>2</xdr:col>
      <xdr:colOff>387117</xdr:colOff>
      <xdr:row>48</xdr:row>
      <xdr:rowOff>93760</xdr:rowOff>
    </xdr:from>
    <xdr:to>
      <xdr:col>2</xdr:col>
      <xdr:colOff>1708854</xdr:colOff>
      <xdr:row>48</xdr:row>
      <xdr:rowOff>557893</xdr:rowOff>
    </xdr:to>
    <xdr:pic>
      <xdr:nvPicPr>
        <xdr:cNvPr id="75" name="Picture 74">
          <a:extLst>
            <a:ext uri="{FF2B5EF4-FFF2-40B4-BE49-F238E27FC236}">
              <a16:creationId xmlns:a16="http://schemas.microsoft.com/office/drawing/2014/main" id="{00000000-0008-0000-0D00-00004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07760" y="35907760"/>
          <a:ext cx="1321737" cy="464133"/>
        </a:xfrm>
        <a:prstGeom prst="rect">
          <a:avLst/>
        </a:prstGeom>
      </xdr:spPr>
    </xdr:pic>
    <xdr:clientData/>
  </xdr:twoCellAnchor>
  <xdr:oneCellAnchor>
    <xdr:from>
      <xdr:col>2</xdr:col>
      <xdr:colOff>408215</xdr:colOff>
      <xdr:row>51</xdr:row>
      <xdr:rowOff>163285</xdr:rowOff>
    </xdr:from>
    <xdr:ext cx="1234440" cy="462564"/>
    <xdr:pic>
      <xdr:nvPicPr>
        <xdr:cNvPr id="76" name="Picture 75">
          <a:extLst>
            <a:ext uri="{FF2B5EF4-FFF2-40B4-BE49-F238E27FC236}">
              <a16:creationId xmlns:a16="http://schemas.microsoft.com/office/drawing/2014/main" id="{00000000-0008-0000-0D00-00004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728858" y="38304106"/>
          <a:ext cx="1234440" cy="462564"/>
        </a:xfrm>
        <a:prstGeom prst="rect">
          <a:avLst/>
        </a:prstGeom>
        <a:noFill/>
        <a:ln w="1">
          <a:noFill/>
          <a:miter lim="800000"/>
          <a:headEnd/>
          <a:tailEnd type="none" w="med" len="med"/>
        </a:ln>
        <a:effectLst/>
      </xdr:spPr>
    </xdr:pic>
    <xdr:clientData/>
  </xdr:oneCellAnchor>
  <xdr:twoCellAnchor editAs="oneCell">
    <xdr:from>
      <xdr:col>2</xdr:col>
      <xdr:colOff>503465</xdr:colOff>
      <xdr:row>50</xdr:row>
      <xdr:rowOff>98650</xdr:rowOff>
    </xdr:from>
    <xdr:to>
      <xdr:col>2</xdr:col>
      <xdr:colOff>1673679</xdr:colOff>
      <xdr:row>50</xdr:row>
      <xdr:rowOff>755899</xdr:rowOff>
    </xdr:to>
    <xdr:pic>
      <xdr:nvPicPr>
        <xdr:cNvPr id="77" name="Picture 76">
          <a:extLst>
            <a:ext uri="{FF2B5EF4-FFF2-40B4-BE49-F238E27FC236}">
              <a16:creationId xmlns:a16="http://schemas.microsoft.com/office/drawing/2014/main" id="{00000000-0008-0000-0D00-00004D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824108" y="37463864"/>
          <a:ext cx="1170214" cy="657249"/>
        </a:xfrm>
        <a:prstGeom prst="rect">
          <a:avLst/>
        </a:prstGeom>
      </xdr:spPr>
    </xdr:pic>
    <xdr:clientData/>
  </xdr:twoCellAnchor>
  <xdr:oneCellAnchor>
    <xdr:from>
      <xdr:col>2</xdr:col>
      <xdr:colOff>619369</xdr:colOff>
      <xdr:row>3</xdr:row>
      <xdr:rowOff>49951</xdr:rowOff>
    </xdr:from>
    <xdr:ext cx="976068" cy="546468"/>
    <xdr:pic>
      <xdr:nvPicPr>
        <xdr:cNvPr id="80" name="Picture 79">
          <a:extLst>
            <a:ext uri="{FF2B5EF4-FFF2-40B4-BE49-F238E27FC236}">
              <a16:creationId xmlns:a16="http://schemas.microsoft.com/office/drawing/2014/main" id="{00000000-0008-0000-0D00-000050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29807" y="1573951"/>
          <a:ext cx="976068" cy="546468"/>
        </a:xfrm>
        <a:prstGeom prst="rect">
          <a:avLst/>
        </a:prstGeom>
      </xdr:spPr>
    </xdr:pic>
    <xdr:clientData/>
  </xdr:oneCellAnchor>
  <xdr:oneCellAnchor>
    <xdr:from>
      <xdr:col>2</xdr:col>
      <xdr:colOff>642937</xdr:colOff>
      <xdr:row>4</xdr:row>
      <xdr:rowOff>95250</xdr:rowOff>
    </xdr:from>
    <xdr:ext cx="976068" cy="546468"/>
    <xdr:pic>
      <xdr:nvPicPr>
        <xdr:cNvPr id="81" name="Picture 80">
          <a:extLst>
            <a:ext uri="{FF2B5EF4-FFF2-40B4-BE49-F238E27FC236}">
              <a16:creationId xmlns:a16="http://schemas.microsoft.com/office/drawing/2014/main" id="{00000000-0008-0000-0D00-000051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5" y="2286000"/>
          <a:ext cx="976068" cy="546468"/>
        </a:xfrm>
        <a:prstGeom prst="rect">
          <a:avLst/>
        </a:prstGeom>
      </xdr:spPr>
    </xdr:pic>
    <xdr:clientData/>
  </xdr:oneCellAnchor>
  <xdr:oneCellAnchor>
    <xdr:from>
      <xdr:col>2</xdr:col>
      <xdr:colOff>642938</xdr:colOff>
      <xdr:row>6</xdr:row>
      <xdr:rowOff>142875</xdr:rowOff>
    </xdr:from>
    <xdr:ext cx="976068" cy="546468"/>
    <xdr:pic>
      <xdr:nvPicPr>
        <xdr:cNvPr id="82" name="Picture 81">
          <a:extLst>
            <a:ext uri="{FF2B5EF4-FFF2-40B4-BE49-F238E27FC236}">
              <a16:creationId xmlns:a16="http://schemas.microsoft.com/office/drawing/2014/main" id="{00000000-0008-0000-0D00-000052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6" y="3857625"/>
          <a:ext cx="976068" cy="546468"/>
        </a:xfrm>
        <a:prstGeom prst="rect">
          <a:avLst/>
        </a:prstGeom>
      </xdr:spPr>
    </xdr:pic>
    <xdr:clientData/>
  </xdr:oneCellAnchor>
  <xdr:oneCellAnchor>
    <xdr:from>
      <xdr:col>2</xdr:col>
      <xdr:colOff>631031</xdr:colOff>
      <xdr:row>7</xdr:row>
      <xdr:rowOff>119062</xdr:rowOff>
    </xdr:from>
    <xdr:ext cx="976068" cy="546468"/>
    <xdr:pic>
      <xdr:nvPicPr>
        <xdr:cNvPr id="83" name="Picture 82">
          <a:extLst>
            <a:ext uri="{FF2B5EF4-FFF2-40B4-BE49-F238E27FC236}">
              <a16:creationId xmlns:a16="http://schemas.microsoft.com/office/drawing/2014/main" id="{00000000-0008-0000-0D00-000053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41469" y="4619625"/>
          <a:ext cx="976068" cy="546468"/>
        </a:xfrm>
        <a:prstGeom prst="rect">
          <a:avLst/>
        </a:prstGeom>
      </xdr:spPr>
    </xdr:pic>
    <xdr:clientData/>
  </xdr:oneCellAnchor>
  <xdr:oneCellAnchor>
    <xdr:from>
      <xdr:col>2</xdr:col>
      <xdr:colOff>678656</xdr:colOff>
      <xdr:row>2</xdr:row>
      <xdr:rowOff>142874</xdr:rowOff>
    </xdr:from>
    <xdr:ext cx="976068" cy="546468"/>
    <xdr:pic>
      <xdr:nvPicPr>
        <xdr:cNvPr id="84" name="Picture 83">
          <a:extLst>
            <a:ext uri="{FF2B5EF4-FFF2-40B4-BE49-F238E27FC236}">
              <a16:creationId xmlns:a16="http://schemas.microsoft.com/office/drawing/2014/main" id="{00000000-0008-0000-0D00-000054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89094" y="1131093"/>
          <a:ext cx="976068" cy="546468"/>
        </a:xfrm>
        <a:prstGeom prst="rect">
          <a:avLst/>
        </a:prstGeom>
      </xdr:spPr>
    </xdr:pic>
    <xdr:clientData/>
  </xdr:oneCellAnchor>
  <xdr:twoCellAnchor editAs="oneCell">
    <xdr:from>
      <xdr:col>4</xdr:col>
      <xdr:colOff>0</xdr:colOff>
      <xdr:row>29</xdr:row>
      <xdr:rowOff>0</xdr:rowOff>
    </xdr:from>
    <xdr:to>
      <xdr:col>6</xdr:col>
      <xdr:colOff>175182</xdr:colOff>
      <xdr:row>29</xdr:row>
      <xdr:rowOff>469809</xdr:rowOff>
    </xdr:to>
    <xdr:pic>
      <xdr:nvPicPr>
        <xdr:cNvPr id="96" name="Picture 95">
          <a:extLst>
            <a:ext uri="{FF2B5EF4-FFF2-40B4-BE49-F238E27FC236}">
              <a16:creationId xmlns:a16="http://schemas.microsoft.com/office/drawing/2014/main" id="{00000000-0008-0000-0D00-00006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581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98" name="Picture 97">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8105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4" name="Picture 103">
          <a:extLst>
            <a:ext uri="{FF2B5EF4-FFF2-40B4-BE49-F238E27FC236}">
              <a16:creationId xmlns:a16="http://schemas.microsoft.com/office/drawing/2014/main" id="{00000000-0008-0000-0D00-00006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96614"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5" name="Picture 104">
          <a:extLst>
            <a:ext uri="{FF2B5EF4-FFF2-40B4-BE49-F238E27FC236}">
              <a16:creationId xmlns:a16="http://schemas.microsoft.com/office/drawing/2014/main" id="{00000000-0008-0000-0D00-00006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75907"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6" name="Picture 105">
          <a:extLst>
            <a:ext uri="{FF2B5EF4-FFF2-40B4-BE49-F238E27FC236}">
              <a16:creationId xmlns:a16="http://schemas.microsoft.com/office/drawing/2014/main" id="{00000000-0008-0000-0D00-00006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9809"/>
        </a:xfrm>
        <a:prstGeom prst="rect">
          <a:avLst/>
        </a:prstGeom>
      </xdr:spPr>
    </xdr:pic>
    <xdr:clientData/>
  </xdr:twoCellAnchor>
  <xdr:oneCellAnchor>
    <xdr:from>
      <xdr:col>4</xdr:col>
      <xdr:colOff>0</xdr:colOff>
      <xdr:row>29</xdr:row>
      <xdr:rowOff>0</xdr:rowOff>
    </xdr:from>
    <xdr:ext cx="1396763" cy="466634"/>
    <xdr:pic>
      <xdr:nvPicPr>
        <xdr:cNvPr id="116" name="Picture 115">
          <a:extLst>
            <a:ext uri="{FF2B5EF4-FFF2-40B4-BE49-F238E27FC236}">
              <a16:creationId xmlns:a16="http://schemas.microsoft.com/office/drawing/2014/main" id="{00000000-0008-0000-0D00-00007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7" name="Picture 116">
          <a:extLst>
            <a:ext uri="{FF2B5EF4-FFF2-40B4-BE49-F238E27FC236}">
              <a16:creationId xmlns:a16="http://schemas.microsoft.com/office/drawing/2014/main" id="{00000000-0008-0000-0D00-00007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8" name="Picture 117">
          <a:extLst>
            <a:ext uri="{FF2B5EF4-FFF2-40B4-BE49-F238E27FC236}">
              <a16:creationId xmlns:a16="http://schemas.microsoft.com/office/drawing/2014/main" id="{00000000-0008-0000-0D00-00007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32</xdr:row>
      <xdr:rowOff>0</xdr:rowOff>
    </xdr:from>
    <xdr:ext cx="1396763" cy="466634"/>
    <xdr:pic>
      <xdr:nvPicPr>
        <xdr:cNvPr id="119" name="Picture 118">
          <a:extLst>
            <a:ext uri="{FF2B5EF4-FFF2-40B4-BE49-F238E27FC236}">
              <a16:creationId xmlns:a16="http://schemas.microsoft.com/office/drawing/2014/main" id="{00000000-0008-0000-0D00-00007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0" name="Picture 119">
          <a:extLst>
            <a:ext uri="{FF2B5EF4-FFF2-40B4-BE49-F238E27FC236}">
              <a16:creationId xmlns:a16="http://schemas.microsoft.com/office/drawing/2014/main" id="{00000000-0008-0000-0D00-00007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1" name="Picture 120">
          <a:extLst>
            <a:ext uri="{FF2B5EF4-FFF2-40B4-BE49-F238E27FC236}">
              <a16:creationId xmlns:a16="http://schemas.microsoft.com/office/drawing/2014/main" id="{00000000-0008-0000-0D00-00007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2" name="Picture 121">
          <a:extLst>
            <a:ext uri="{FF2B5EF4-FFF2-40B4-BE49-F238E27FC236}">
              <a16:creationId xmlns:a16="http://schemas.microsoft.com/office/drawing/2014/main" id="{00000000-0008-0000-0D00-00007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3" name="Picture 122">
          <a:extLst>
            <a:ext uri="{FF2B5EF4-FFF2-40B4-BE49-F238E27FC236}">
              <a16:creationId xmlns:a16="http://schemas.microsoft.com/office/drawing/2014/main" id="{00000000-0008-0000-0D00-00007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4" name="Picture 123">
          <a:extLst>
            <a:ext uri="{FF2B5EF4-FFF2-40B4-BE49-F238E27FC236}">
              <a16:creationId xmlns:a16="http://schemas.microsoft.com/office/drawing/2014/main" id="{00000000-0008-0000-0D00-00007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twoCellAnchor editAs="oneCell">
    <xdr:from>
      <xdr:col>2</xdr:col>
      <xdr:colOff>559594</xdr:colOff>
      <xdr:row>30</xdr:row>
      <xdr:rowOff>23813</xdr:rowOff>
    </xdr:from>
    <xdr:to>
      <xdr:col>2</xdr:col>
      <xdr:colOff>1825625</xdr:colOff>
      <xdr:row>30</xdr:row>
      <xdr:rowOff>742064</xdr:rowOff>
    </xdr:to>
    <xdr:pic>
      <xdr:nvPicPr>
        <xdr:cNvPr id="139" name="Picture 138">
          <a:extLst>
            <a:ext uri="{FF2B5EF4-FFF2-40B4-BE49-F238E27FC236}">
              <a16:creationId xmlns:a16="http://schemas.microsoft.com/office/drawing/2014/main" id="{00000000-0008-0000-0D00-00008B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870032" y="22788563"/>
          <a:ext cx="1266031" cy="718251"/>
        </a:xfrm>
        <a:prstGeom prst="rect">
          <a:avLst/>
        </a:prstGeom>
      </xdr:spPr>
    </xdr:pic>
    <xdr:clientData/>
  </xdr:twoCellAnchor>
  <xdr:twoCellAnchor editAs="oneCell">
    <xdr:from>
      <xdr:col>2</xdr:col>
      <xdr:colOff>0</xdr:colOff>
      <xdr:row>49</xdr:row>
      <xdr:rowOff>202406</xdr:rowOff>
    </xdr:from>
    <xdr:to>
      <xdr:col>2</xdr:col>
      <xdr:colOff>2114550</xdr:colOff>
      <xdr:row>49</xdr:row>
      <xdr:rowOff>538956</xdr:rowOff>
    </xdr:to>
    <xdr:pic>
      <xdr:nvPicPr>
        <xdr:cNvPr id="85" name="Picture 84">
          <a:extLst>
            <a:ext uri="{FF2B5EF4-FFF2-40B4-BE49-F238E27FC236}">
              <a16:creationId xmlns:a16="http://schemas.microsoft.com/office/drawing/2014/main" id="{464EFE4E-F3CA-4CA4-9A28-267BF73F09A1}"/>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0438" y="37897594"/>
          <a:ext cx="2114550" cy="336550"/>
        </a:xfrm>
        <a:prstGeom prst="rect">
          <a:avLst/>
        </a:prstGeom>
        <a:noFill/>
        <a:ln>
          <a:noFill/>
        </a:ln>
      </xdr:spPr>
    </xdr:pic>
    <xdr:clientData/>
  </xdr:twoCellAnchor>
  <xdr:oneCellAnchor>
    <xdr:from>
      <xdr:col>2</xdr:col>
      <xdr:colOff>276225</xdr:colOff>
      <xdr:row>70</xdr:row>
      <xdr:rowOff>228600</xdr:rowOff>
    </xdr:from>
    <xdr:ext cx="1845945" cy="328436"/>
    <xdr:pic>
      <xdr:nvPicPr>
        <xdr:cNvPr id="3" name="Picture 2" descr="6098e4vinacapital-010.jpg">
          <a:extLst>
            <a:ext uri="{FF2B5EF4-FFF2-40B4-BE49-F238E27FC236}">
              <a16:creationId xmlns:a16="http://schemas.microsoft.com/office/drawing/2014/main" id="{7F20A50F-4012-4E3F-992F-F26BFF14E829}"/>
            </a:ext>
          </a:extLst>
        </xdr:cNvPr>
        <xdr:cNvPicPr>
          <a:picLocks noChangeAspect="1"/>
        </xdr:cNvPicPr>
      </xdr:nvPicPr>
      <xdr:blipFill>
        <a:blip xmlns:r="http://schemas.openxmlformats.org/officeDocument/2006/relationships" r:embed="rId5" cstate="print"/>
        <a:stretch>
          <a:fillRect/>
        </a:stretch>
      </xdr:blipFill>
      <xdr:spPr>
        <a:xfrm>
          <a:off x="7586663" y="12777788"/>
          <a:ext cx="1845945" cy="328436"/>
        </a:xfrm>
        <a:prstGeom prst="rect">
          <a:avLst/>
        </a:prstGeom>
      </xdr:spPr>
    </xdr:pic>
    <xdr:clientData/>
  </xdr:oneCellAnchor>
  <xdr:twoCellAnchor editAs="oneCell">
    <xdr:from>
      <xdr:col>2</xdr:col>
      <xdr:colOff>523876</xdr:colOff>
      <xdr:row>71</xdr:row>
      <xdr:rowOff>73745</xdr:rowOff>
    </xdr:from>
    <xdr:to>
      <xdr:col>2</xdr:col>
      <xdr:colOff>1752600</xdr:colOff>
      <xdr:row>71</xdr:row>
      <xdr:rowOff>707947</xdr:rowOff>
    </xdr:to>
    <xdr:pic>
      <xdr:nvPicPr>
        <xdr:cNvPr id="6" name="Picture 5">
          <a:extLst>
            <a:ext uri="{FF2B5EF4-FFF2-40B4-BE49-F238E27FC236}">
              <a16:creationId xmlns:a16="http://schemas.microsoft.com/office/drawing/2014/main" id="{9B4627AF-52DC-4523-B6DD-B881A7656E11}"/>
            </a:ext>
          </a:extLst>
        </xdr:cNvPr>
        <xdr:cNvPicPr>
          <a:picLocks noChangeAspect="1"/>
        </xdr:cNvPicPr>
      </xdr:nvPicPr>
      <xdr:blipFill>
        <a:blip xmlns:r="http://schemas.openxmlformats.org/officeDocument/2006/relationships" r:embed="rId16"/>
        <a:stretch>
          <a:fillRect/>
        </a:stretch>
      </xdr:blipFill>
      <xdr:spPr>
        <a:xfrm>
          <a:off x="7839076" y="54728195"/>
          <a:ext cx="1228724" cy="634202"/>
        </a:xfrm>
        <a:prstGeom prst="rect">
          <a:avLst/>
        </a:prstGeom>
      </xdr:spPr>
    </xdr:pic>
    <xdr:clientData/>
  </xdr:twoCellAnchor>
  <xdr:twoCellAnchor editAs="oneCell">
    <xdr:from>
      <xdr:col>2</xdr:col>
      <xdr:colOff>476250</xdr:colOff>
      <xdr:row>72</xdr:row>
      <xdr:rowOff>47625</xdr:rowOff>
    </xdr:from>
    <xdr:to>
      <xdr:col>2</xdr:col>
      <xdr:colOff>1704974</xdr:colOff>
      <xdr:row>72</xdr:row>
      <xdr:rowOff>681827</xdr:rowOff>
    </xdr:to>
    <xdr:pic>
      <xdr:nvPicPr>
        <xdr:cNvPr id="7" name="Picture 6">
          <a:extLst>
            <a:ext uri="{FF2B5EF4-FFF2-40B4-BE49-F238E27FC236}">
              <a16:creationId xmlns:a16="http://schemas.microsoft.com/office/drawing/2014/main" id="{A43FD6C1-6DC0-4ACE-BDC4-1780F6CD779F}"/>
            </a:ext>
          </a:extLst>
        </xdr:cNvPr>
        <xdr:cNvPicPr>
          <a:picLocks noChangeAspect="1"/>
        </xdr:cNvPicPr>
      </xdr:nvPicPr>
      <xdr:blipFill>
        <a:blip xmlns:r="http://schemas.openxmlformats.org/officeDocument/2006/relationships" r:embed="rId16"/>
        <a:stretch>
          <a:fillRect/>
        </a:stretch>
      </xdr:blipFill>
      <xdr:spPr>
        <a:xfrm>
          <a:off x="7791450" y="55483125"/>
          <a:ext cx="1228724" cy="634202"/>
        </a:xfrm>
        <a:prstGeom prst="rect">
          <a:avLst/>
        </a:prstGeom>
      </xdr:spPr>
    </xdr:pic>
    <xdr:clientData/>
  </xdr:twoCellAnchor>
  <xdr:oneCellAnchor>
    <xdr:from>
      <xdr:col>2</xdr:col>
      <xdr:colOff>0</xdr:colOff>
      <xdr:row>73</xdr:row>
      <xdr:rowOff>202406</xdr:rowOff>
    </xdr:from>
    <xdr:ext cx="2114550" cy="336550"/>
    <xdr:pic>
      <xdr:nvPicPr>
        <xdr:cNvPr id="4" name="Picture 3">
          <a:extLst>
            <a:ext uri="{FF2B5EF4-FFF2-40B4-BE49-F238E27FC236}">
              <a16:creationId xmlns:a16="http://schemas.microsoft.com/office/drawing/2014/main" id="{DB9149FE-8687-47F6-9F57-F8FC08B0926E}"/>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5200" y="37673756"/>
          <a:ext cx="2114550" cy="336550"/>
        </a:xfrm>
        <a:prstGeom prst="rect">
          <a:avLst/>
        </a:prstGeom>
        <a:noFill/>
        <a:ln>
          <a:noFill/>
        </a:ln>
      </xdr:spPr>
    </xdr:pic>
    <xdr:clientData/>
  </xdr:oneCellAnchor>
  <xdr:oneCellAnchor>
    <xdr:from>
      <xdr:col>2</xdr:col>
      <xdr:colOff>276225</xdr:colOff>
      <xdr:row>74</xdr:row>
      <xdr:rowOff>228600</xdr:rowOff>
    </xdr:from>
    <xdr:ext cx="1845945" cy="328436"/>
    <xdr:pic>
      <xdr:nvPicPr>
        <xdr:cNvPr id="5" name="Picture 4" descr="6098e4vinacapital-010.jpg">
          <a:extLst>
            <a:ext uri="{FF2B5EF4-FFF2-40B4-BE49-F238E27FC236}">
              <a16:creationId xmlns:a16="http://schemas.microsoft.com/office/drawing/2014/main" id="{54C173D7-A0E9-42EC-8DBD-998A3DD7168D}"/>
            </a:ext>
          </a:extLst>
        </xdr:cNvPr>
        <xdr:cNvPicPr>
          <a:picLocks noChangeAspect="1"/>
        </xdr:cNvPicPr>
      </xdr:nvPicPr>
      <xdr:blipFill>
        <a:blip xmlns:r="http://schemas.openxmlformats.org/officeDocument/2006/relationships" r:embed="rId5" cstate="print"/>
        <a:stretch>
          <a:fillRect/>
        </a:stretch>
      </xdr:blipFill>
      <xdr:spPr>
        <a:xfrm>
          <a:off x="7591425" y="12706350"/>
          <a:ext cx="1845945" cy="328436"/>
        </a:xfrm>
        <a:prstGeom prst="rect">
          <a:avLst/>
        </a:prstGeom>
      </xdr:spPr>
    </xdr:pic>
    <xdr:clientData/>
  </xdr:oneCellAnchor>
  <xdr:oneCellAnchor>
    <xdr:from>
      <xdr:col>2</xdr:col>
      <xdr:colOff>533401</xdr:colOff>
      <xdr:row>75</xdr:row>
      <xdr:rowOff>142875</xdr:rowOff>
    </xdr:from>
    <xdr:ext cx="1234440" cy="462564"/>
    <xdr:pic>
      <xdr:nvPicPr>
        <xdr:cNvPr id="8" name="Picture 7">
          <a:extLst>
            <a:ext uri="{FF2B5EF4-FFF2-40B4-BE49-F238E27FC236}">
              <a16:creationId xmlns:a16="http://schemas.microsoft.com/office/drawing/2014/main" id="{AE9032C8-E780-42C4-94FB-6AFBBF99008D}"/>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848601" y="10277475"/>
          <a:ext cx="1234440" cy="462564"/>
        </a:xfrm>
        <a:prstGeom prst="rect">
          <a:avLst/>
        </a:prstGeom>
        <a:noFill/>
        <a:ln w="1">
          <a:noFill/>
          <a:miter lim="800000"/>
          <a:headEnd/>
          <a:tailEnd type="none" w="med" len="med"/>
        </a:ln>
        <a:effec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D8" sqref="D8:I8"/>
    </sheetView>
  </sheetViews>
  <sheetFormatPr defaultColWidth="9.21875" defaultRowHeight="13.2"/>
  <cols>
    <col min="1" max="2" width="9.21875" style="7"/>
    <col min="3" max="3" width="30.21875" style="7" customWidth="1"/>
    <col min="4" max="4" width="30.77734375" style="7" customWidth="1"/>
    <col min="5" max="5" width="21.21875" style="7" customWidth="1"/>
    <col min="6" max="9" width="9.21875" style="7"/>
    <col min="10" max="10" width="11.77734375" style="7" customWidth="1"/>
    <col min="11" max="11" width="15" style="7" customWidth="1"/>
    <col min="12" max="16384" width="9.21875" style="7"/>
  </cols>
  <sheetData>
    <row r="1" spans="1:11">
      <c r="A1" s="6" t="s">
        <v>0</v>
      </c>
      <c r="C1" s="160" t="s">
        <v>876</v>
      </c>
      <c r="D1" s="161"/>
    </row>
    <row r="2" spans="1:11">
      <c r="C2" s="8" t="s">
        <v>877</v>
      </c>
      <c r="D2" s="9"/>
    </row>
    <row r="3" spans="1:11">
      <c r="D3" s="10"/>
    </row>
    <row r="4" spans="1:11">
      <c r="A4" s="6" t="s">
        <v>1</v>
      </c>
      <c r="D4" s="10"/>
    </row>
    <row r="5" spans="1:11" ht="15" customHeight="1">
      <c r="C5" s="11" t="s">
        <v>2</v>
      </c>
      <c r="D5" s="163" t="s">
        <v>878</v>
      </c>
      <c r="E5" s="163"/>
      <c r="F5" s="163"/>
      <c r="G5" s="163"/>
      <c r="H5" s="163"/>
      <c r="I5" s="163"/>
    </row>
    <row r="6" spans="1:11">
      <c r="C6" s="5" t="s">
        <v>15</v>
      </c>
      <c r="D6" s="162" t="s">
        <v>879</v>
      </c>
      <c r="E6" s="162"/>
      <c r="F6" s="162"/>
      <c r="G6" s="162"/>
      <c r="H6" s="162"/>
      <c r="I6" s="162"/>
    </row>
    <row r="7" spans="1:11">
      <c r="C7" s="12" t="s">
        <v>3</v>
      </c>
      <c r="D7" s="163" t="s">
        <v>880</v>
      </c>
      <c r="E7" s="163"/>
      <c r="F7" s="163"/>
      <c r="G7" s="163"/>
      <c r="H7" s="163"/>
      <c r="I7" s="163"/>
    </row>
    <row r="8" spans="1:11" ht="15" customHeight="1">
      <c r="C8" s="4" t="s">
        <v>4</v>
      </c>
      <c r="D8" s="162" t="s">
        <v>881</v>
      </c>
      <c r="E8" s="162"/>
      <c r="F8" s="162"/>
      <c r="G8" s="162"/>
      <c r="H8" s="162"/>
      <c r="I8" s="162"/>
    </row>
    <row r="9" spans="1:11" ht="15" customHeight="1">
      <c r="C9" s="12" t="s">
        <v>5</v>
      </c>
      <c r="D9" s="163" t="s">
        <v>355</v>
      </c>
      <c r="E9" s="163"/>
      <c r="F9" s="163"/>
      <c r="G9" s="163"/>
      <c r="H9" s="163"/>
      <c r="I9" s="163"/>
    </row>
    <row r="10" spans="1:11" ht="15" customHeight="1">
      <c r="C10" s="13" t="s">
        <v>6</v>
      </c>
      <c r="D10" s="162" t="s">
        <v>891</v>
      </c>
      <c r="E10" s="162"/>
      <c r="F10" s="162"/>
      <c r="G10" s="162"/>
      <c r="H10" s="162"/>
      <c r="I10" s="162"/>
    </row>
    <row r="11" spans="1:11">
      <c r="C11" s="14" t="s">
        <v>7</v>
      </c>
      <c r="D11" s="163" t="s">
        <v>882</v>
      </c>
      <c r="E11" s="163"/>
      <c r="F11" s="163"/>
      <c r="G11" s="163"/>
      <c r="H11" s="163"/>
      <c r="I11" s="163"/>
    </row>
    <row r="12" spans="1:11">
      <c r="C12" s="3" t="s">
        <v>8</v>
      </c>
      <c r="D12" s="162" t="s">
        <v>883</v>
      </c>
      <c r="E12" s="162"/>
      <c r="F12" s="162"/>
      <c r="G12" s="162"/>
      <c r="H12" s="162"/>
      <c r="I12" s="162"/>
    </row>
    <row r="13" spans="1:11">
      <c r="D13" s="10"/>
    </row>
    <row r="14" spans="1:11">
      <c r="A14" s="6" t="s">
        <v>9</v>
      </c>
      <c r="D14" s="10"/>
    </row>
    <row r="15" spans="1:11">
      <c r="D15" s="10"/>
    </row>
    <row r="16" spans="1:11">
      <c r="C16" s="15" t="s">
        <v>10</v>
      </c>
      <c r="D16" s="16"/>
      <c r="F16" s="15" t="s">
        <v>11</v>
      </c>
      <c r="G16" s="17"/>
      <c r="H16" s="17"/>
      <c r="I16" s="17"/>
      <c r="J16" s="17"/>
      <c r="K16" s="18"/>
    </row>
    <row r="17" spans="3:11">
      <c r="C17" s="19" t="s">
        <v>12</v>
      </c>
      <c r="D17" s="20"/>
      <c r="F17" s="19" t="s">
        <v>13</v>
      </c>
      <c r="G17" s="2"/>
      <c r="H17" s="2"/>
      <c r="I17" s="2"/>
      <c r="J17" s="2"/>
      <c r="K17" s="21"/>
    </row>
    <row r="18" spans="3:11">
      <c r="C18" s="22"/>
      <c r="D18" s="20"/>
      <c r="F18" s="22"/>
      <c r="G18" s="2"/>
      <c r="H18" s="2"/>
      <c r="I18" s="2"/>
      <c r="J18" s="2"/>
      <c r="K18" s="21"/>
    </row>
    <row r="19" spans="3:11">
      <c r="C19" s="23" t="s">
        <v>14</v>
      </c>
      <c r="D19" s="20"/>
      <c r="F19" s="23" t="str">
        <f>D5</f>
        <v>Công ty Cổ phần Quản lý Quỹ Đầu tư Dragon Capital Việt Nam</v>
      </c>
      <c r="G19" s="2"/>
      <c r="H19" s="2"/>
      <c r="I19" s="2"/>
      <c r="J19" s="2"/>
      <c r="K19" s="21"/>
    </row>
    <row r="20" spans="3:11">
      <c r="C20" s="23" t="s">
        <v>256</v>
      </c>
      <c r="D20" s="20"/>
      <c r="F20" s="23" t="s">
        <v>884</v>
      </c>
      <c r="G20" s="2"/>
      <c r="H20" s="2"/>
      <c r="I20" s="2"/>
      <c r="J20" s="2"/>
      <c r="K20" s="21"/>
    </row>
    <row r="21" spans="3:11">
      <c r="C21" s="24" t="s">
        <v>885</v>
      </c>
      <c r="D21" s="9"/>
      <c r="F21" s="24" t="s">
        <v>886</v>
      </c>
      <c r="G21" s="25"/>
      <c r="H21" s="25"/>
      <c r="I21" s="25"/>
      <c r="J21" s="25"/>
      <c r="K21" s="26"/>
    </row>
    <row r="22" spans="3:11">
      <c r="D22" s="10"/>
    </row>
    <row r="23" spans="3:11">
      <c r="D23" s="10"/>
    </row>
    <row r="24" spans="3:11">
      <c r="D24" s="10"/>
    </row>
    <row r="25" spans="3:11">
      <c r="D25" s="10"/>
    </row>
    <row r="26" spans="3:11">
      <c r="D26" s="10"/>
    </row>
    <row r="27" spans="3:11">
      <c r="D27" s="10"/>
    </row>
    <row r="28" spans="3:11">
      <c r="D28" s="10"/>
    </row>
    <row r="29" spans="3:11">
      <c r="D29" s="10"/>
    </row>
    <row r="30" spans="3:11">
      <c r="D30" s="10"/>
    </row>
    <row r="31" spans="3:11">
      <c r="D31" s="10"/>
    </row>
    <row r="32" spans="3:11">
      <c r="D32" s="10"/>
    </row>
    <row r="33" spans="4:4">
      <c r="D33" s="10"/>
    </row>
    <row r="34" spans="4:4">
      <c r="D34" s="27"/>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7" zoomScale="80" zoomScaleNormal="100" zoomScaleSheetLayoutView="80" workbookViewId="0">
      <selection activeCell="A99" sqref="A99:XFD99"/>
    </sheetView>
  </sheetViews>
  <sheetFormatPr defaultColWidth="8.77734375" defaultRowHeight="15"/>
  <cols>
    <col min="1" max="1" width="8.77734375" style="30"/>
    <col min="2" max="2" width="44.21875" style="30" customWidth="1"/>
    <col min="3" max="3" width="10.21875" style="30" customWidth="1"/>
    <col min="4" max="5" width="41.21875" style="30" customWidth="1"/>
    <col min="6" max="6" width="37.5546875" style="30" customWidth="1"/>
    <col min="7" max="16384" width="8.77734375" style="30"/>
  </cols>
  <sheetData>
    <row r="1" spans="1:6" s="28" customFormat="1" ht="54.75" customHeight="1">
      <c r="A1" s="166" t="s">
        <v>302</v>
      </c>
      <c r="B1" s="166"/>
      <c r="C1" s="166"/>
      <c r="D1" s="166"/>
      <c r="E1" s="166"/>
      <c r="F1" s="166"/>
    </row>
    <row r="2" spans="1:6" s="28" customFormat="1" ht="50.55" customHeight="1">
      <c r="A2" s="167" t="s">
        <v>303</v>
      </c>
      <c r="B2" s="167"/>
      <c r="C2" s="167"/>
      <c r="D2" s="167"/>
      <c r="E2" s="167"/>
      <c r="F2" s="167"/>
    </row>
    <row r="3" spans="1:6" s="28" customFormat="1">
      <c r="A3" s="168" t="s">
        <v>252</v>
      </c>
      <c r="B3" s="168"/>
      <c r="C3" s="168"/>
      <c r="D3" s="168"/>
      <c r="E3" s="168"/>
      <c r="F3" s="168"/>
    </row>
    <row r="4" spans="1:6" s="28" customFormat="1" ht="32.700000000000003" customHeight="1">
      <c r="A4" s="168"/>
      <c r="B4" s="168"/>
      <c r="C4" s="168"/>
      <c r="D4" s="168"/>
      <c r="E4" s="168"/>
      <c r="F4" s="168"/>
    </row>
    <row r="5" spans="1:6" s="28" customFormat="1" ht="16.95" customHeight="1">
      <c r="A5" s="169" t="str">
        <f>TONGQUAN!C1</f>
        <v>Tại ngày 31 tháng 05 năm 2025
/ As at 31 May 2025</v>
      </c>
      <c r="B5" s="169"/>
      <c r="C5" s="169"/>
      <c r="D5" s="169"/>
      <c r="E5" s="169"/>
      <c r="F5" s="169"/>
    </row>
    <row r="6" spans="1:6">
      <c r="A6" s="29"/>
      <c r="B6" s="29"/>
      <c r="C6" s="29"/>
      <c r="D6" s="29"/>
      <c r="E6" s="29"/>
      <c r="F6" s="29"/>
    </row>
    <row r="7" spans="1:6" ht="16.95" customHeight="1">
      <c r="A7" s="165" t="s">
        <v>2</v>
      </c>
      <c r="B7" s="165"/>
      <c r="C7" s="165" t="str">
        <f>TONGQUAN!D5</f>
        <v>Công ty Cổ phần Quản lý Quỹ Đầu tư Dragon Capital Việt Nam</v>
      </c>
      <c r="D7" s="165"/>
      <c r="E7" s="165"/>
      <c r="F7" s="165"/>
    </row>
    <row r="8" spans="1:6" s="28" customFormat="1" ht="16.95" customHeight="1">
      <c r="A8" s="164" t="s">
        <v>15</v>
      </c>
      <c r="B8" s="164"/>
      <c r="C8" s="164" t="str">
        <f>TONGQUAN!D6</f>
        <v>Dragon Capital Vietfund Management Joint Stock Company</v>
      </c>
      <c r="D8" s="164"/>
      <c r="E8" s="164"/>
      <c r="F8" s="164"/>
    </row>
    <row r="9" spans="1:6" ht="16.95" customHeight="1">
      <c r="A9" s="165" t="s">
        <v>3</v>
      </c>
      <c r="B9" s="165"/>
      <c r="C9" s="165" t="str">
        <f>TONGQUAN!D7</f>
        <v>Ngân hàng TNHH Một thành viên Standard Chartered (Việt Nam)</v>
      </c>
      <c r="D9" s="165"/>
      <c r="E9" s="165"/>
      <c r="F9" s="165"/>
    </row>
    <row r="10" spans="1:6" s="28" customFormat="1" ht="16.95" customHeight="1">
      <c r="A10" s="164" t="s">
        <v>4</v>
      </c>
      <c r="B10" s="164"/>
      <c r="C10" s="164" t="str">
        <f>TONGQUAN!D8</f>
        <v>Standard Chartered Bank (Vietnam) Limited</v>
      </c>
      <c r="D10" s="164"/>
      <c r="E10" s="164"/>
      <c r="F10" s="164"/>
    </row>
    <row r="11" spans="1:6" ht="16.95" customHeight="1">
      <c r="A11" s="165" t="s">
        <v>5</v>
      </c>
      <c r="B11" s="165"/>
      <c r="C11" s="165" t="str">
        <f>TONGQUAN!D9</f>
        <v>Quỹ Đầu tư Trái phiếu DC</v>
      </c>
      <c r="D11" s="165"/>
      <c r="E11" s="165"/>
      <c r="F11" s="165"/>
    </row>
    <row r="12" spans="1:6" s="28" customFormat="1" ht="16.95" customHeight="1">
      <c r="A12" s="164" t="s">
        <v>6</v>
      </c>
      <c r="B12" s="164"/>
      <c r="C12" s="164" t="str">
        <f>TONGQUAN!D10</f>
        <v>DC Bond Fund (DCBF)</v>
      </c>
      <c r="D12" s="164"/>
      <c r="E12" s="164"/>
      <c r="F12" s="164"/>
    </row>
    <row r="13" spans="1:6" ht="16.95" customHeight="1">
      <c r="A13" s="165" t="s">
        <v>7</v>
      </c>
      <c r="B13" s="165"/>
      <c r="C13" s="165" t="str">
        <f>TONGQUAN!D11</f>
        <v>Ngày 02 tháng 06 năm 2025</v>
      </c>
      <c r="D13" s="165"/>
      <c r="E13" s="165"/>
      <c r="F13" s="165"/>
    </row>
    <row r="14" spans="1:6" s="28" customFormat="1" ht="16.95" customHeight="1">
      <c r="A14" s="164" t="s">
        <v>8</v>
      </c>
      <c r="B14" s="164"/>
      <c r="C14" s="164" t="str">
        <f>TONGQUAN!D12</f>
        <v>02 Jun 2025</v>
      </c>
      <c r="D14" s="164"/>
      <c r="E14" s="164"/>
      <c r="F14" s="164"/>
    </row>
    <row r="15" spans="1:6" s="28" customFormat="1" ht="7.5" customHeight="1">
      <c r="A15" s="31"/>
      <c r="B15" s="31"/>
      <c r="C15" s="31"/>
      <c r="D15" s="31"/>
      <c r="E15" s="31"/>
      <c r="F15" s="31"/>
    </row>
    <row r="16" spans="1:6" s="28" customFormat="1" ht="16.95" customHeight="1">
      <c r="A16" s="32" t="s">
        <v>300</v>
      </c>
      <c r="B16" s="33" t="s">
        <v>301</v>
      </c>
      <c r="C16" s="31"/>
      <c r="D16" s="31"/>
      <c r="E16" s="31"/>
      <c r="F16" s="31"/>
    </row>
    <row r="17" spans="1:6" s="28" customFormat="1" ht="16.95" customHeight="1">
      <c r="A17" s="34" t="s">
        <v>16</v>
      </c>
      <c r="B17" s="35" t="s">
        <v>253</v>
      </c>
      <c r="C17" s="31"/>
      <c r="D17" s="31"/>
      <c r="E17" s="31"/>
      <c r="F17" s="31"/>
    </row>
    <row r="18" spans="1:6" s="28" customFormat="1" ht="50.7" customHeight="1">
      <c r="A18" s="36" t="s">
        <v>17</v>
      </c>
      <c r="B18" s="36" t="s">
        <v>18</v>
      </c>
      <c r="C18" s="36" t="s">
        <v>19</v>
      </c>
      <c r="D18" s="37" t="s">
        <v>887</v>
      </c>
      <c r="E18" s="37" t="s">
        <v>888</v>
      </c>
      <c r="F18" s="38" t="s">
        <v>20</v>
      </c>
    </row>
    <row r="19" spans="1:6" ht="39" customHeight="1">
      <c r="A19" s="39" t="s">
        <v>567</v>
      </c>
      <c r="B19" s="40" t="s">
        <v>568</v>
      </c>
      <c r="C19" s="39" t="s">
        <v>569</v>
      </c>
      <c r="D19" s="41"/>
      <c r="E19" s="41"/>
      <c r="F19" s="42"/>
    </row>
    <row r="20" spans="1:6" ht="39" customHeight="1">
      <c r="A20" s="43" t="s">
        <v>570</v>
      </c>
      <c r="B20" s="44" t="s">
        <v>571</v>
      </c>
      <c r="C20" s="43" t="s">
        <v>572</v>
      </c>
      <c r="D20" s="45">
        <v>184529769434</v>
      </c>
      <c r="E20" s="45">
        <v>188378281284</v>
      </c>
      <c r="F20" s="46">
        <v>0.54758351712378905</v>
      </c>
    </row>
    <row r="21" spans="1:6" ht="39" customHeight="1">
      <c r="A21" s="43" t="s">
        <v>573</v>
      </c>
      <c r="B21" s="44" t="s">
        <v>574</v>
      </c>
      <c r="C21" s="43" t="s">
        <v>575</v>
      </c>
      <c r="D21" s="45"/>
      <c r="E21" s="45"/>
      <c r="F21" s="46"/>
    </row>
    <row r="22" spans="1:6" ht="39" customHeight="1">
      <c r="A22" s="43" t="s">
        <v>576</v>
      </c>
      <c r="B22" s="44" t="s">
        <v>577</v>
      </c>
      <c r="C22" s="43" t="s">
        <v>578</v>
      </c>
      <c r="D22" s="45" t="s">
        <v>579</v>
      </c>
      <c r="E22" s="45" t="s">
        <v>580</v>
      </c>
      <c r="F22" s="46" t="s">
        <v>581</v>
      </c>
    </row>
    <row r="23" spans="1:6" ht="39" customHeight="1">
      <c r="A23" s="43" t="s">
        <v>582</v>
      </c>
      <c r="B23" s="44" t="s">
        <v>583</v>
      </c>
      <c r="C23" s="43" t="s">
        <v>584</v>
      </c>
      <c r="D23" s="45">
        <v>184529769434</v>
      </c>
      <c r="E23" s="45">
        <v>188378281284</v>
      </c>
      <c r="F23" s="46">
        <v>0.54758351712378905</v>
      </c>
    </row>
    <row r="24" spans="1:6" ht="39" customHeight="1">
      <c r="A24" s="43" t="s">
        <v>585</v>
      </c>
      <c r="B24" s="44" t="s">
        <v>586</v>
      </c>
      <c r="C24" s="43" t="s">
        <v>587</v>
      </c>
      <c r="D24" s="45" t="s">
        <v>588</v>
      </c>
      <c r="E24" s="45" t="s">
        <v>589</v>
      </c>
      <c r="F24" s="46" t="s">
        <v>590</v>
      </c>
    </row>
    <row r="25" spans="1:6" ht="55.95" customHeight="1">
      <c r="A25" s="43" t="s">
        <v>591</v>
      </c>
      <c r="B25" s="44" t="s">
        <v>592</v>
      </c>
      <c r="C25" s="43" t="s">
        <v>593</v>
      </c>
      <c r="D25" s="45">
        <v>3516166419</v>
      </c>
      <c r="E25" s="45">
        <v>8327834663</v>
      </c>
      <c r="F25" s="46">
        <v>0.68385948921470097</v>
      </c>
    </row>
    <row r="26" spans="1:6" ht="75.45" customHeight="1">
      <c r="A26" s="43" t="s">
        <v>594</v>
      </c>
      <c r="B26" s="44" t="s">
        <v>595</v>
      </c>
      <c r="C26" s="43" t="s">
        <v>596</v>
      </c>
      <c r="D26" s="45">
        <v>13788858</v>
      </c>
      <c r="E26" s="45">
        <v>13794073</v>
      </c>
      <c r="F26" s="46">
        <v>1.3267079676806799</v>
      </c>
    </row>
    <row r="27" spans="1:6" ht="42" customHeight="1">
      <c r="A27" s="43" t="s">
        <v>597</v>
      </c>
      <c r="B27" s="44" t="s">
        <v>598</v>
      </c>
      <c r="C27" s="43" t="s">
        <v>599</v>
      </c>
      <c r="D27" s="45">
        <v>399814157</v>
      </c>
      <c r="E27" s="45">
        <v>5536652548</v>
      </c>
      <c r="F27" s="46">
        <v>2.91354898268674</v>
      </c>
    </row>
    <row r="28" spans="1:6" ht="55.5" customHeight="1">
      <c r="A28" s="43" t="s">
        <v>600</v>
      </c>
      <c r="B28" s="44" t="s">
        <v>601</v>
      </c>
      <c r="C28" s="43" t="s">
        <v>602</v>
      </c>
      <c r="D28" s="45">
        <v>0</v>
      </c>
      <c r="E28" s="45">
        <v>0</v>
      </c>
      <c r="F28" s="46"/>
    </row>
    <row r="29" spans="1:6" ht="39" customHeight="1">
      <c r="A29" s="43" t="s">
        <v>603</v>
      </c>
      <c r="B29" s="44" t="s">
        <v>604</v>
      </c>
      <c r="C29" s="43" t="s">
        <v>605</v>
      </c>
      <c r="D29" s="45">
        <v>180600000000</v>
      </c>
      <c r="E29" s="45">
        <v>174500000000</v>
      </c>
      <c r="F29" s="46">
        <v>0.544467892674103</v>
      </c>
    </row>
    <row r="30" spans="1:6" ht="39" customHeight="1">
      <c r="A30" s="43" t="s">
        <v>606</v>
      </c>
      <c r="B30" s="44" t="s">
        <v>607</v>
      </c>
      <c r="C30" s="43" t="s">
        <v>608</v>
      </c>
      <c r="D30" s="45">
        <v>1357282526937</v>
      </c>
      <c r="E30" s="45">
        <v>1355153282293</v>
      </c>
      <c r="F30" s="46">
        <v>1.5245382827803</v>
      </c>
    </row>
    <row r="31" spans="1:6" ht="39" customHeight="1">
      <c r="A31" s="43" t="s">
        <v>609</v>
      </c>
      <c r="B31" s="44" t="s">
        <v>610</v>
      </c>
      <c r="C31" s="43" t="s">
        <v>611</v>
      </c>
      <c r="D31" s="45" t="s">
        <v>612</v>
      </c>
      <c r="E31" s="45" t="s">
        <v>613</v>
      </c>
      <c r="F31" s="46" t="s">
        <v>614</v>
      </c>
    </row>
    <row r="32" spans="1:6" ht="39" customHeight="1">
      <c r="A32" s="43" t="s">
        <v>615</v>
      </c>
      <c r="B32" s="44" t="s">
        <v>616</v>
      </c>
      <c r="C32" s="43" t="s">
        <v>617</v>
      </c>
      <c r="D32" s="45">
        <v>0</v>
      </c>
      <c r="E32" s="45">
        <v>0</v>
      </c>
      <c r="F32" s="46"/>
    </row>
    <row r="33" spans="1:6" ht="39" customHeight="1">
      <c r="A33" s="43" t="s">
        <v>618</v>
      </c>
      <c r="B33" s="44" t="s">
        <v>619</v>
      </c>
      <c r="C33" s="43" t="s">
        <v>620</v>
      </c>
      <c r="D33" s="45">
        <v>0</v>
      </c>
      <c r="E33" s="45">
        <v>0</v>
      </c>
      <c r="F33" s="46"/>
    </row>
    <row r="34" spans="1:6" ht="39" customHeight="1">
      <c r="A34" s="43" t="s">
        <v>621</v>
      </c>
      <c r="B34" s="44" t="s">
        <v>622</v>
      </c>
      <c r="C34" s="43" t="s">
        <v>623</v>
      </c>
      <c r="D34" s="45">
        <v>1040692531891</v>
      </c>
      <c r="E34" s="45">
        <v>1038549117909</v>
      </c>
      <c r="F34" s="46">
        <v>1.94895432078549</v>
      </c>
    </row>
    <row r="35" spans="1:6" ht="39" customHeight="1">
      <c r="A35" s="43" t="s">
        <v>624</v>
      </c>
      <c r="B35" s="44" t="s">
        <v>625</v>
      </c>
      <c r="C35" s="43" t="s">
        <v>626</v>
      </c>
      <c r="D35" s="45">
        <v>224985830662</v>
      </c>
      <c r="E35" s="45">
        <v>225000000000</v>
      </c>
      <c r="F35" s="46">
        <v>0.91544711981833105</v>
      </c>
    </row>
    <row r="36" spans="1:6" ht="57" customHeight="1">
      <c r="A36" s="43" t="s">
        <v>627</v>
      </c>
      <c r="B36" s="44" t="s">
        <v>628</v>
      </c>
      <c r="C36" s="43" t="s">
        <v>629</v>
      </c>
      <c r="D36" s="45">
        <v>91604164384</v>
      </c>
      <c r="E36" s="45">
        <v>91604164384</v>
      </c>
      <c r="F36" s="46">
        <v>0.82862202066033497</v>
      </c>
    </row>
    <row r="37" spans="1:6" ht="39" customHeight="1">
      <c r="A37" s="43" t="s">
        <v>630</v>
      </c>
      <c r="B37" s="44" t="s">
        <v>631</v>
      </c>
      <c r="C37" s="43" t="s">
        <v>632</v>
      </c>
      <c r="D37" s="45">
        <v>0</v>
      </c>
      <c r="E37" s="45">
        <v>0</v>
      </c>
      <c r="F37" s="46"/>
    </row>
    <row r="38" spans="1:6" ht="39" customHeight="1">
      <c r="A38" s="43" t="s">
        <v>633</v>
      </c>
      <c r="B38" s="44" t="s">
        <v>634</v>
      </c>
      <c r="C38" s="43" t="s">
        <v>635</v>
      </c>
      <c r="D38" s="45">
        <v>0</v>
      </c>
      <c r="E38" s="45">
        <v>0</v>
      </c>
      <c r="F38" s="46"/>
    </row>
    <row r="39" spans="1:6" ht="39" customHeight="1">
      <c r="A39" s="43" t="s">
        <v>636</v>
      </c>
      <c r="B39" s="44" t="s">
        <v>637</v>
      </c>
      <c r="C39" s="43" t="s">
        <v>638</v>
      </c>
      <c r="D39" s="45">
        <v>0</v>
      </c>
      <c r="E39" s="45">
        <v>0</v>
      </c>
      <c r="F39" s="46"/>
    </row>
    <row r="40" spans="1:6" ht="39" customHeight="1">
      <c r="A40" s="43" t="s">
        <v>639</v>
      </c>
      <c r="B40" s="44" t="s">
        <v>640</v>
      </c>
      <c r="C40" s="43" t="s">
        <v>641</v>
      </c>
      <c r="D40" s="45">
        <v>0</v>
      </c>
      <c r="E40" s="45">
        <v>0</v>
      </c>
      <c r="F40" s="46"/>
    </row>
    <row r="41" spans="1:6" ht="69" customHeight="1">
      <c r="A41" s="43" t="s">
        <v>642</v>
      </c>
      <c r="B41" s="44" t="s">
        <v>643</v>
      </c>
      <c r="C41" s="43" t="s">
        <v>644</v>
      </c>
      <c r="D41" s="45">
        <v>0</v>
      </c>
      <c r="E41" s="45">
        <v>0</v>
      </c>
      <c r="F41" s="46"/>
    </row>
    <row r="42" spans="1:6" ht="39" customHeight="1">
      <c r="A42" s="43" t="s">
        <v>645</v>
      </c>
      <c r="B42" s="44" t="s">
        <v>646</v>
      </c>
      <c r="C42" s="43" t="s">
        <v>647</v>
      </c>
      <c r="D42" s="45" t="s">
        <v>648</v>
      </c>
      <c r="E42" s="45" t="s">
        <v>649</v>
      </c>
      <c r="F42" s="46" t="s">
        <v>650</v>
      </c>
    </row>
    <row r="43" spans="1:6" ht="39" customHeight="1">
      <c r="A43" s="43" t="s">
        <v>651</v>
      </c>
      <c r="B43" s="44" t="s">
        <v>652</v>
      </c>
      <c r="C43" s="43" t="s">
        <v>653</v>
      </c>
      <c r="D43" s="45">
        <v>25023604350</v>
      </c>
      <c r="E43" s="45">
        <v>21388543708</v>
      </c>
      <c r="F43" s="46">
        <v>1.9262170457313501</v>
      </c>
    </row>
    <row r="44" spans="1:6" ht="39" customHeight="1">
      <c r="A44" s="43" t="s">
        <v>654</v>
      </c>
      <c r="B44" s="44" t="s">
        <v>655</v>
      </c>
      <c r="C44" s="43" t="s">
        <v>656</v>
      </c>
      <c r="D44" s="45" t="s">
        <v>657</v>
      </c>
      <c r="E44" s="45" t="s">
        <v>658</v>
      </c>
      <c r="F44" s="46" t="s">
        <v>659</v>
      </c>
    </row>
    <row r="45" spans="1:6" ht="39" customHeight="1">
      <c r="A45" s="43" t="s">
        <v>660</v>
      </c>
      <c r="B45" s="44" t="s">
        <v>661</v>
      </c>
      <c r="C45" s="43" t="s">
        <v>662</v>
      </c>
      <c r="D45" s="45">
        <v>0</v>
      </c>
      <c r="E45" s="45">
        <v>0</v>
      </c>
      <c r="F45" s="46"/>
    </row>
    <row r="46" spans="1:6" ht="39" customHeight="1">
      <c r="A46" s="43" t="s">
        <v>663</v>
      </c>
      <c r="B46" s="44" t="s">
        <v>664</v>
      </c>
      <c r="C46" s="43" t="s">
        <v>665</v>
      </c>
      <c r="D46" s="45">
        <v>25023604350</v>
      </c>
      <c r="E46" s="45">
        <v>21388543708</v>
      </c>
      <c r="F46" s="46">
        <v>1.9262170457313501</v>
      </c>
    </row>
    <row r="47" spans="1:6" ht="39" customHeight="1">
      <c r="A47" s="43" t="s">
        <v>666</v>
      </c>
      <c r="B47" s="44" t="s">
        <v>667</v>
      </c>
      <c r="C47" s="43" t="s">
        <v>668</v>
      </c>
      <c r="D47" s="45">
        <v>5873278742</v>
      </c>
      <c r="E47" s="45">
        <v>4589647248</v>
      </c>
      <c r="F47" s="46">
        <v>0.59681853148649999</v>
      </c>
    </row>
    <row r="48" spans="1:6" ht="39" customHeight="1">
      <c r="A48" s="43" t="s">
        <v>669</v>
      </c>
      <c r="B48" s="44" t="s">
        <v>670</v>
      </c>
      <c r="C48" s="43" t="s">
        <v>671</v>
      </c>
      <c r="D48" s="45" t="s">
        <v>672</v>
      </c>
      <c r="E48" s="45" t="s">
        <v>673</v>
      </c>
      <c r="F48" s="46" t="s">
        <v>674</v>
      </c>
    </row>
    <row r="49" spans="1:6" ht="39" customHeight="1">
      <c r="A49" s="43" t="s">
        <v>675</v>
      </c>
      <c r="B49" s="44" t="s">
        <v>676</v>
      </c>
      <c r="C49" s="43" t="s">
        <v>677</v>
      </c>
      <c r="D49" s="45">
        <v>1364717098</v>
      </c>
      <c r="E49" s="45">
        <v>1108859576</v>
      </c>
      <c r="F49" s="46">
        <v>0.77715264782401705</v>
      </c>
    </row>
    <row r="50" spans="1:6" ht="61.5" customHeight="1">
      <c r="A50" s="43" t="s">
        <v>678</v>
      </c>
      <c r="B50" s="44" t="s">
        <v>679</v>
      </c>
      <c r="C50" s="43" t="s">
        <v>680</v>
      </c>
      <c r="D50" s="45">
        <v>4508561644</v>
      </c>
      <c r="E50" s="45">
        <v>3480787672</v>
      </c>
      <c r="F50" s="46">
        <v>0.557649949179712</v>
      </c>
    </row>
    <row r="51" spans="1:6" ht="58.95" customHeight="1">
      <c r="A51" s="43" t="s">
        <v>681</v>
      </c>
      <c r="B51" s="44" t="s">
        <v>682</v>
      </c>
      <c r="C51" s="43" t="s">
        <v>683</v>
      </c>
      <c r="D51" s="45">
        <v>0</v>
      </c>
      <c r="E51" s="45">
        <v>0</v>
      </c>
      <c r="F51" s="46"/>
    </row>
    <row r="52" spans="1:6" ht="67.5" customHeight="1">
      <c r="A52" s="43" t="s">
        <v>684</v>
      </c>
      <c r="B52" s="44" t="s">
        <v>685</v>
      </c>
      <c r="C52" s="43" t="s">
        <v>686</v>
      </c>
      <c r="D52" s="45">
        <v>0</v>
      </c>
      <c r="E52" s="45">
        <v>0</v>
      </c>
      <c r="F52" s="46"/>
    </row>
    <row r="53" spans="1:6" ht="39" customHeight="1">
      <c r="A53" s="43" t="s">
        <v>687</v>
      </c>
      <c r="B53" s="44" t="s">
        <v>688</v>
      </c>
      <c r="C53" s="43" t="s">
        <v>689</v>
      </c>
      <c r="D53" s="45" t="s">
        <v>690</v>
      </c>
      <c r="E53" s="45" t="s">
        <v>691</v>
      </c>
      <c r="F53" s="46" t="s">
        <v>692</v>
      </c>
    </row>
    <row r="54" spans="1:6" ht="46.05" customHeight="1">
      <c r="A54" s="43" t="s">
        <v>693</v>
      </c>
      <c r="B54" s="44" t="s">
        <v>694</v>
      </c>
      <c r="C54" s="43" t="s">
        <v>695</v>
      </c>
      <c r="D54" s="45">
        <v>0</v>
      </c>
      <c r="E54" s="45">
        <v>0</v>
      </c>
      <c r="F54" s="46"/>
    </row>
    <row r="55" spans="1:6" ht="39" customHeight="1">
      <c r="A55" s="43" t="s">
        <v>696</v>
      </c>
      <c r="B55" s="44" t="s">
        <v>697</v>
      </c>
      <c r="C55" s="43" t="s">
        <v>698</v>
      </c>
      <c r="D55" s="45" t="s">
        <v>699</v>
      </c>
      <c r="E55" s="45" t="s">
        <v>700</v>
      </c>
      <c r="F55" s="46" t="s">
        <v>701</v>
      </c>
    </row>
    <row r="56" spans="1:6" ht="49.05" customHeight="1">
      <c r="A56" s="43" t="s">
        <v>702</v>
      </c>
      <c r="B56" s="44" t="s">
        <v>703</v>
      </c>
      <c r="C56" s="43" t="s">
        <v>704</v>
      </c>
      <c r="D56" s="45">
        <v>0</v>
      </c>
      <c r="E56" s="45">
        <v>0</v>
      </c>
      <c r="F56" s="46"/>
    </row>
    <row r="57" spans="1:6" ht="39" customHeight="1">
      <c r="A57" s="43" t="s">
        <v>705</v>
      </c>
      <c r="B57" s="44" t="s">
        <v>706</v>
      </c>
      <c r="C57" s="43" t="s">
        <v>707</v>
      </c>
      <c r="D57" s="45" t="s">
        <v>708</v>
      </c>
      <c r="E57" s="45" t="s">
        <v>709</v>
      </c>
      <c r="F57" s="46" t="s">
        <v>710</v>
      </c>
    </row>
    <row r="58" spans="1:6" ht="46.5" customHeight="1">
      <c r="A58" s="43" t="s">
        <v>711</v>
      </c>
      <c r="B58" s="44" t="s">
        <v>712</v>
      </c>
      <c r="C58" s="43" t="s">
        <v>713</v>
      </c>
      <c r="D58" s="45">
        <v>0</v>
      </c>
      <c r="E58" s="45">
        <v>0</v>
      </c>
      <c r="F58" s="46"/>
    </row>
    <row r="59" spans="1:6" ht="43.95" customHeight="1">
      <c r="A59" s="43" t="s">
        <v>714</v>
      </c>
      <c r="B59" s="44" t="s">
        <v>715</v>
      </c>
      <c r="C59" s="43" t="s">
        <v>716</v>
      </c>
      <c r="D59" s="45">
        <v>0</v>
      </c>
      <c r="E59" s="45">
        <v>0</v>
      </c>
      <c r="F59" s="46"/>
    </row>
    <row r="60" spans="1:6" ht="39" customHeight="1">
      <c r="A60" s="43" t="s">
        <v>717</v>
      </c>
      <c r="B60" s="44" t="s">
        <v>718</v>
      </c>
      <c r="C60" s="43" t="s">
        <v>719</v>
      </c>
      <c r="D60" s="45">
        <v>0</v>
      </c>
      <c r="E60" s="45">
        <v>0</v>
      </c>
      <c r="F60" s="46"/>
    </row>
    <row r="61" spans="1:6" ht="39" customHeight="1">
      <c r="A61" s="43" t="s">
        <v>720</v>
      </c>
      <c r="B61" s="44" t="s">
        <v>721</v>
      </c>
      <c r="C61" s="43" t="s">
        <v>722</v>
      </c>
      <c r="D61" s="45">
        <v>40689565</v>
      </c>
      <c r="E61" s="45">
        <v>46583848</v>
      </c>
      <c r="F61" s="46">
        <v>0.79654748082559201</v>
      </c>
    </row>
    <row r="62" spans="1:6" ht="39" customHeight="1">
      <c r="A62" s="43" t="s">
        <v>723</v>
      </c>
      <c r="B62" s="44" t="s">
        <v>724</v>
      </c>
      <c r="C62" s="43" t="s">
        <v>725</v>
      </c>
      <c r="D62" s="45" t="s">
        <v>726</v>
      </c>
      <c r="E62" s="45" t="s">
        <v>727</v>
      </c>
      <c r="F62" s="46" t="s">
        <v>728</v>
      </c>
    </row>
    <row r="63" spans="1:6" ht="39" customHeight="1">
      <c r="A63" s="39" t="s">
        <v>729</v>
      </c>
      <c r="B63" s="40" t="s">
        <v>730</v>
      </c>
      <c r="C63" s="39" t="s">
        <v>731</v>
      </c>
      <c r="D63" s="41">
        <v>1572749869028</v>
      </c>
      <c r="E63" s="41">
        <v>1569556338381</v>
      </c>
      <c r="F63" s="42">
        <v>1.2580355745045</v>
      </c>
    </row>
    <row r="64" spans="1:6" ht="39" customHeight="1">
      <c r="A64" s="39" t="s">
        <v>732</v>
      </c>
      <c r="B64" s="40" t="s">
        <v>733</v>
      </c>
      <c r="C64" s="39" t="s">
        <v>734</v>
      </c>
      <c r="D64" s="41"/>
      <c r="E64" s="41"/>
      <c r="F64" s="42"/>
    </row>
    <row r="65" spans="1:6" ht="55.5" customHeight="1">
      <c r="A65" s="43" t="s">
        <v>735</v>
      </c>
      <c r="B65" s="44" t="s">
        <v>736</v>
      </c>
      <c r="C65" s="43" t="s">
        <v>737</v>
      </c>
      <c r="D65" s="45">
        <v>0</v>
      </c>
      <c r="E65" s="45">
        <v>0</v>
      </c>
      <c r="F65" s="46"/>
    </row>
    <row r="66" spans="1:6" ht="39" customHeight="1">
      <c r="A66" s="43" t="s">
        <v>738</v>
      </c>
      <c r="B66" s="44" t="s">
        <v>739</v>
      </c>
      <c r="C66" s="43" t="s">
        <v>740</v>
      </c>
      <c r="D66" s="45" t="s">
        <v>741</v>
      </c>
      <c r="E66" s="45" t="s">
        <v>742</v>
      </c>
      <c r="F66" s="46" t="s">
        <v>743</v>
      </c>
    </row>
    <row r="67" spans="1:6" ht="39" customHeight="1">
      <c r="A67" s="43" t="s">
        <v>744</v>
      </c>
      <c r="B67" s="44" t="s">
        <v>745</v>
      </c>
      <c r="C67" s="43" t="s">
        <v>746</v>
      </c>
      <c r="D67" s="45">
        <v>0</v>
      </c>
      <c r="E67" s="45">
        <v>0</v>
      </c>
      <c r="F67" s="46"/>
    </row>
    <row r="68" spans="1:6" ht="39" customHeight="1">
      <c r="A68" s="43" t="s">
        <v>747</v>
      </c>
      <c r="B68" s="44" t="s">
        <v>748</v>
      </c>
      <c r="C68" s="43" t="s">
        <v>749</v>
      </c>
      <c r="D68" s="45" t="s">
        <v>750</v>
      </c>
      <c r="E68" s="45" t="s">
        <v>751</v>
      </c>
      <c r="F68" s="46" t="s">
        <v>752</v>
      </c>
    </row>
    <row r="69" spans="1:6" ht="39" customHeight="1">
      <c r="A69" s="43" t="s">
        <v>753</v>
      </c>
      <c r="B69" s="44" t="s">
        <v>754</v>
      </c>
      <c r="C69" s="43" t="s">
        <v>755</v>
      </c>
      <c r="D69" s="45">
        <v>24611175644</v>
      </c>
      <c r="E69" s="45">
        <v>31670455563</v>
      </c>
      <c r="F69" s="46">
        <v>2.1120842388812</v>
      </c>
    </row>
    <row r="70" spans="1:6" ht="39" customHeight="1">
      <c r="A70" s="43" t="s">
        <v>756</v>
      </c>
      <c r="B70" s="44" t="s">
        <v>757</v>
      </c>
      <c r="C70" s="43" t="s">
        <v>758</v>
      </c>
      <c r="D70" s="45" t="s">
        <v>759</v>
      </c>
      <c r="E70" s="45" t="s">
        <v>760</v>
      </c>
      <c r="F70" s="46" t="s">
        <v>761</v>
      </c>
    </row>
    <row r="71" spans="1:6" ht="39" customHeight="1">
      <c r="A71" s="43" t="s">
        <v>762</v>
      </c>
      <c r="B71" s="44" t="s">
        <v>763</v>
      </c>
      <c r="C71" s="43" t="s">
        <v>764</v>
      </c>
      <c r="D71" s="45">
        <v>22200850723</v>
      </c>
      <c r="E71" s="45">
        <v>29028569993</v>
      </c>
      <c r="F71" s="46">
        <v>2.2403062722924498</v>
      </c>
    </row>
    <row r="72" spans="1:6" ht="54.45" customHeight="1">
      <c r="A72" s="43" t="s">
        <v>765</v>
      </c>
      <c r="B72" s="44" t="s">
        <v>766</v>
      </c>
      <c r="C72" s="43" t="s">
        <v>767</v>
      </c>
      <c r="D72" s="45">
        <v>3516166419</v>
      </c>
      <c r="E72" s="45">
        <v>8327834663</v>
      </c>
      <c r="F72" s="46">
        <v>0.68385948921470097</v>
      </c>
    </row>
    <row r="73" spans="1:6" ht="48" customHeight="1">
      <c r="A73" s="43" t="s">
        <v>768</v>
      </c>
      <c r="B73" s="44" t="s">
        <v>769</v>
      </c>
      <c r="C73" s="43" t="s">
        <v>770</v>
      </c>
      <c r="D73" s="45">
        <v>0</v>
      </c>
      <c r="E73" s="45">
        <v>0</v>
      </c>
      <c r="F73" s="46"/>
    </row>
    <row r="74" spans="1:6" ht="39" customHeight="1">
      <c r="A74" s="43" t="s">
        <v>771</v>
      </c>
      <c r="B74" s="44" t="s">
        <v>772</v>
      </c>
      <c r="C74" s="43" t="s">
        <v>773</v>
      </c>
      <c r="D74" s="45">
        <v>0</v>
      </c>
      <c r="E74" s="45">
        <v>0</v>
      </c>
      <c r="F74" s="46"/>
    </row>
    <row r="75" spans="1:6" ht="51.45" customHeight="1">
      <c r="A75" s="43" t="s">
        <v>774</v>
      </c>
      <c r="B75" s="44" t="s">
        <v>775</v>
      </c>
      <c r="C75" s="43" t="s">
        <v>776</v>
      </c>
      <c r="D75" s="45">
        <v>18684684304</v>
      </c>
      <c r="E75" s="45">
        <v>20700735330</v>
      </c>
      <c r="F75" s="46">
        <v>3.9186947620899</v>
      </c>
    </row>
    <row r="76" spans="1:6" ht="58.95" customHeight="1">
      <c r="A76" s="43" t="s">
        <v>777</v>
      </c>
      <c r="B76" s="44" t="s">
        <v>778</v>
      </c>
      <c r="C76" s="43" t="s">
        <v>779</v>
      </c>
      <c r="D76" s="45">
        <v>200457495</v>
      </c>
      <c r="E76" s="45">
        <v>194968165</v>
      </c>
      <c r="F76" s="46">
        <v>3.05513047723682</v>
      </c>
    </row>
    <row r="77" spans="1:6" ht="83.55" customHeight="1">
      <c r="A77" s="43" t="s">
        <v>780</v>
      </c>
      <c r="B77" s="44" t="s">
        <v>781</v>
      </c>
      <c r="C77" s="43" t="s">
        <v>782</v>
      </c>
      <c r="D77" s="45">
        <v>199766350</v>
      </c>
      <c r="E77" s="45">
        <v>482452402</v>
      </c>
      <c r="F77" s="46">
        <v>2.1730724287602801</v>
      </c>
    </row>
    <row r="78" spans="1:6" ht="39" customHeight="1">
      <c r="A78" s="43" t="s">
        <v>783</v>
      </c>
      <c r="B78" s="44" t="s">
        <v>784</v>
      </c>
      <c r="C78" s="43" t="s">
        <v>785</v>
      </c>
      <c r="D78" s="45">
        <v>0</v>
      </c>
      <c r="E78" s="45">
        <v>0</v>
      </c>
      <c r="F78" s="46"/>
    </row>
    <row r="79" spans="1:6" ht="54.45" customHeight="1">
      <c r="A79" s="43" t="s">
        <v>786</v>
      </c>
      <c r="B79" s="44" t="s">
        <v>787</v>
      </c>
      <c r="C79" s="43" t="s">
        <v>788</v>
      </c>
      <c r="D79" s="45">
        <v>8482192</v>
      </c>
      <c r="E79" s="45">
        <v>7972603</v>
      </c>
      <c r="F79" s="46">
        <v>0.99886820266555898</v>
      </c>
    </row>
    <row r="80" spans="1:6" ht="39" customHeight="1">
      <c r="A80" s="43" t="s">
        <v>789</v>
      </c>
      <c r="B80" s="44" t="s">
        <v>790</v>
      </c>
      <c r="C80" s="43" t="s">
        <v>791</v>
      </c>
      <c r="D80" s="45">
        <v>1546311036</v>
      </c>
      <c r="E80" s="45">
        <v>1519006721</v>
      </c>
      <c r="F80" s="46">
        <v>1.32451696886341</v>
      </c>
    </row>
    <row r="81" spans="1:6" ht="39" customHeight="1">
      <c r="A81" s="43" t="s">
        <v>792</v>
      </c>
      <c r="B81" s="44" t="s">
        <v>793</v>
      </c>
      <c r="C81" s="43" t="s">
        <v>794</v>
      </c>
      <c r="D81" s="45">
        <v>42523554</v>
      </c>
      <c r="E81" s="45">
        <v>41772685</v>
      </c>
      <c r="F81" s="46">
        <v>1.32451701919744</v>
      </c>
    </row>
    <row r="82" spans="1:6" ht="39" customHeight="1">
      <c r="A82" s="43" t="s">
        <v>795</v>
      </c>
      <c r="B82" s="44" t="s">
        <v>796</v>
      </c>
      <c r="C82" s="43" t="s">
        <v>797</v>
      </c>
      <c r="D82" s="45">
        <v>56698071</v>
      </c>
      <c r="E82" s="45">
        <v>55696913</v>
      </c>
      <c r="F82" s="46">
        <v>1.3245169442667499</v>
      </c>
    </row>
    <row r="83" spans="1:6" ht="39" customHeight="1">
      <c r="A83" s="43" t="s">
        <v>798</v>
      </c>
      <c r="B83" s="44" t="s">
        <v>799</v>
      </c>
      <c r="C83" s="43" t="s">
        <v>800</v>
      </c>
      <c r="D83" s="45">
        <v>192537125</v>
      </c>
      <c r="E83" s="45">
        <v>192537125</v>
      </c>
      <c r="F83" s="46">
        <v>1</v>
      </c>
    </row>
    <row r="84" spans="1:6" ht="39" customHeight="1">
      <c r="A84" s="43" t="s">
        <v>801</v>
      </c>
      <c r="B84" s="44" t="s">
        <v>802</v>
      </c>
      <c r="C84" s="43" t="s">
        <v>803</v>
      </c>
      <c r="D84" s="45">
        <v>192537125</v>
      </c>
      <c r="E84" s="45">
        <v>192537125</v>
      </c>
      <c r="F84" s="46">
        <v>1</v>
      </c>
    </row>
    <row r="85" spans="1:6" ht="55.95" customHeight="1">
      <c r="A85" s="43" t="s">
        <v>804</v>
      </c>
      <c r="B85" s="44" t="s">
        <v>805</v>
      </c>
      <c r="C85" s="43" t="s">
        <v>806</v>
      </c>
      <c r="D85" s="45">
        <v>0</v>
      </c>
      <c r="E85" s="45">
        <v>0</v>
      </c>
      <c r="F85" s="46"/>
    </row>
    <row r="86" spans="1:6" ht="39" customHeight="1">
      <c r="A86" s="43" t="s">
        <v>807</v>
      </c>
      <c r="B86" s="44" t="s">
        <v>808</v>
      </c>
      <c r="C86" s="43" t="s">
        <v>809</v>
      </c>
      <c r="D86" s="45">
        <v>48902960</v>
      </c>
      <c r="E86" s="45">
        <v>47079730</v>
      </c>
      <c r="F86" s="46">
        <v>1.22364181102639</v>
      </c>
    </row>
    <row r="87" spans="1:6" ht="39" customHeight="1">
      <c r="A87" s="43" t="s">
        <v>810</v>
      </c>
      <c r="B87" s="44" t="s">
        <v>811</v>
      </c>
      <c r="C87" s="43" t="s">
        <v>812</v>
      </c>
      <c r="D87" s="45">
        <v>47952960</v>
      </c>
      <c r="E87" s="45">
        <v>45329730</v>
      </c>
      <c r="F87" s="46">
        <v>1.2322457707541501</v>
      </c>
    </row>
    <row r="88" spans="1:6" ht="39" customHeight="1">
      <c r="A88" s="43" t="s">
        <v>813</v>
      </c>
      <c r="B88" s="44" t="s">
        <v>814</v>
      </c>
      <c r="C88" s="43" t="s">
        <v>815</v>
      </c>
      <c r="D88" s="45">
        <v>200000</v>
      </c>
      <c r="E88" s="45">
        <v>1000000</v>
      </c>
      <c r="F88" s="46">
        <v>0.66666666666666696</v>
      </c>
    </row>
    <row r="89" spans="1:6" ht="69.45" customHeight="1">
      <c r="A89" s="43" t="s">
        <v>816</v>
      </c>
      <c r="B89" s="44" t="s">
        <v>817</v>
      </c>
      <c r="C89" s="43" t="s">
        <v>818</v>
      </c>
      <c r="D89" s="45">
        <v>750000</v>
      </c>
      <c r="E89" s="45">
        <v>750000</v>
      </c>
      <c r="F89" s="46">
        <v>1</v>
      </c>
    </row>
    <row r="90" spans="1:6" ht="39" customHeight="1">
      <c r="A90" s="43" t="s">
        <v>819</v>
      </c>
      <c r="B90" s="44" t="s">
        <v>820</v>
      </c>
      <c r="C90" s="43" t="s">
        <v>821</v>
      </c>
      <c r="D90" s="45">
        <v>60524110</v>
      </c>
      <c r="E90" s="45">
        <v>48098630</v>
      </c>
      <c r="F90" s="46">
        <v>0.94633562512793901</v>
      </c>
    </row>
    <row r="91" spans="1:6" ht="39" customHeight="1">
      <c r="A91" s="43" t="s">
        <v>822</v>
      </c>
      <c r="B91" s="44" t="s">
        <v>823</v>
      </c>
      <c r="C91" s="43" t="s">
        <v>824</v>
      </c>
      <c r="D91" s="45">
        <v>16390167</v>
      </c>
      <c r="E91" s="45">
        <v>27213964</v>
      </c>
      <c r="F91" s="46"/>
    </row>
    <row r="92" spans="1:6" ht="39" customHeight="1">
      <c r="A92" s="43" t="s">
        <v>825</v>
      </c>
      <c r="B92" s="44" t="s">
        <v>826</v>
      </c>
      <c r="C92" s="43" t="s">
        <v>827</v>
      </c>
      <c r="D92" s="45">
        <v>0</v>
      </c>
      <c r="E92" s="45">
        <v>0</v>
      </c>
      <c r="F92" s="46"/>
    </row>
    <row r="93" spans="1:6" ht="39" customHeight="1">
      <c r="A93" s="43" t="s">
        <v>828</v>
      </c>
      <c r="B93" s="44" t="s">
        <v>829</v>
      </c>
      <c r="C93" s="43" t="s">
        <v>830</v>
      </c>
      <c r="D93" s="45">
        <v>11000000</v>
      </c>
      <c r="E93" s="45">
        <v>11000000</v>
      </c>
      <c r="F93" s="46">
        <v>1</v>
      </c>
    </row>
    <row r="94" spans="1:6" ht="75" customHeight="1">
      <c r="A94" s="43" t="s">
        <v>831</v>
      </c>
      <c r="B94" s="44" t="s">
        <v>832</v>
      </c>
      <c r="C94" s="43" t="s">
        <v>833</v>
      </c>
      <c r="D94" s="45">
        <v>0</v>
      </c>
      <c r="E94" s="45">
        <v>0</v>
      </c>
      <c r="F94" s="46"/>
    </row>
    <row r="95" spans="1:6" ht="64.05" customHeight="1">
      <c r="A95" s="43" t="s">
        <v>834</v>
      </c>
      <c r="B95" s="44" t="s">
        <v>835</v>
      </c>
      <c r="C95" s="43" t="s">
        <v>836</v>
      </c>
      <c r="D95" s="45">
        <v>0</v>
      </c>
      <c r="E95" s="45">
        <v>0</v>
      </c>
      <c r="F95" s="46"/>
    </row>
    <row r="96" spans="1:6" ht="39" customHeight="1">
      <c r="A96" s="43" t="s">
        <v>837</v>
      </c>
      <c r="B96" s="44" t="s">
        <v>838</v>
      </c>
      <c r="C96" s="43" t="s">
        <v>839</v>
      </c>
      <c r="D96" s="45">
        <v>26731861</v>
      </c>
      <c r="E96" s="45">
        <v>14086632</v>
      </c>
      <c r="F96" s="46">
        <v>0.99158380890865505</v>
      </c>
    </row>
    <row r="97" spans="1:6" ht="39" customHeight="1">
      <c r="A97" s="43" t="s">
        <v>840</v>
      </c>
      <c r="B97" s="44" t="s">
        <v>841</v>
      </c>
      <c r="C97" s="43" t="s">
        <v>842</v>
      </c>
      <c r="D97" s="45">
        <v>23629121</v>
      </c>
      <c r="E97" s="45">
        <v>11620879</v>
      </c>
      <c r="F97" s="46">
        <v>1.5000000317405</v>
      </c>
    </row>
    <row r="98" spans="1:6" ht="73.05" customHeight="1">
      <c r="A98" s="43" t="s">
        <v>843</v>
      </c>
      <c r="B98" s="44" t="s">
        <v>844</v>
      </c>
      <c r="C98" s="43" t="s">
        <v>845</v>
      </c>
      <c r="D98" s="45">
        <v>0</v>
      </c>
      <c r="E98" s="45">
        <v>0</v>
      </c>
      <c r="F98" s="46"/>
    </row>
    <row r="99" spans="1:6" ht="70.5" customHeight="1">
      <c r="A99" s="43" t="s">
        <v>846</v>
      </c>
      <c r="B99" s="44" t="s">
        <v>847</v>
      </c>
      <c r="C99" s="43" t="s">
        <v>848</v>
      </c>
      <c r="D99" s="45">
        <v>3102740</v>
      </c>
      <c r="E99" s="45">
        <v>2465753</v>
      </c>
      <c r="F99" s="46">
        <v>0.292304466029076</v>
      </c>
    </row>
    <row r="100" spans="1:6" ht="39" customHeight="1">
      <c r="A100" s="43" t="s">
        <v>849</v>
      </c>
      <c r="B100" s="44" t="s">
        <v>850</v>
      </c>
      <c r="C100" s="43" t="s">
        <v>851</v>
      </c>
      <c r="D100" s="45">
        <v>0</v>
      </c>
      <c r="E100" s="45">
        <v>0</v>
      </c>
      <c r="F100" s="46">
        <v>0</v>
      </c>
    </row>
    <row r="101" spans="1:6" ht="39" customHeight="1">
      <c r="A101" s="43" t="s">
        <v>852</v>
      </c>
      <c r="B101" s="44" t="s">
        <v>853</v>
      </c>
      <c r="C101" s="43" t="s">
        <v>854</v>
      </c>
      <c r="D101" s="45">
        <v>0</v>
      </c>
      <c r="E101" s="45">
        <v>0</v>
      </c>
      <c r="F101" s="46"/>
    </row>
    <row r="102" spans="1:6" ht="39" customHeight="1">
      <c r="A102" s="43" t="s">
        <v>855</v>
      </c>
      <c r="B102" s="44" t="s">
        <v>856</v>
      </c>
      <c r="C102" s="43" t="s">
        <v>857</v>
      </c>
      <c r="D102" s="45">
        <v>0</v>
      </c>
      <c r="E102" s="45">
        <v>0</v>
      </c>
      <c r="F102" s="46"/>
    </row>
    <row r="103" spans="1:6" ht="39" customHeight="1">
      <c r="A103" s="43" t="s">
        <v>858</v>
      </c>
      <c r="B103" s="44" t="s">
        <v>859</v>
      </c>
      <c r="C103" s="43" t="s">
        <v>860</v>
      </c>
      <c r="D103" s="45">
        <v>0</v>
      </c>
      <c r="E103" s="45">
        <v>0</v>
      </c>
      <c r="F103" s="46"/>
    </row>
    <row r="104" spans="1:6" ht="39" customHeight="1">
      <c r="A104" s="43" t="s">
        <v>861</v>
      </c>
      <c r="B104" s="44" t="s">
        <v>862</v>
      </c>
      <c r="C104" s="43" t="s">
        <v>863</v>
      </c>
      <c r="D104" s="45">
        <v>0</v>
      </c>
      <c r="E104" s="45">
        <v>0</v>
      </c>
      <c r="F104" s="46"/>
    </row>
    <row r="105" spans="1:6" ht="39" customHeight="1">
      <c r="A105" s="39" t="s">
        <v>864</v>
      </c>
      <c r="B105" s="40" t="s">
        <v>865</v>
      </c>
      <c r="C105" s="39" t="s">
        <v>866</v>
      </c>
      <c r="D105" s="41">
        <v>24611175644</v>
      </c>
      <c r="E105" s="41">
        <v>31670455563</v>
      </c>
      <c r="F105" s="42">
        <v>2.1120842388812</v>
      </c>
    </row>
    <row r="106" spans="1:6" ht="39" customHeight="1">
      <c r="A106" s="43" t="s">
        <v>867</v>
      </c>
      <c r="B106" s="44" t="s">
        <v>868</v>
      </c>
      <c r="C106" s="43" t="s">
        <v>869</v>
      </c>
      <c r="D106" s="45">
        <v>1548138693384</v>
      </c>
      <c r="E106" s="45">
        <v>1537885882818</v>
      </c>
      <c r="F106" s="46">
        <v>1.2500002397740699</v>
      </c>
    </row>
    <row r="107" spans="1:6" ht="39" customHeight="1">
      <c r="A107" s="43" t="s">
        <v>870</v>
      </c>
      <c r="B107" s="44" t="s">
        <v>871</v>
      </c>
      <c r="C107" s="43" t="s">
        <v>872</v>
      </c>
      <c r="D107" s="47">
        <v>55573850.43</v>
      </c>
      <c r="E107" s="47">
        <v>55504193.590000004</v>
      </c>
      <c r="F107" s="46">
        <v>1.1708908805623901</v>
      </c>
    </row>
    <row r="108" spans="1:6" ht="39" customHeight="1">
      <c r="A108" s="43" t="s">
        <v>873</v>
      </c>
      <c r="B108" s="44" t="s">
        <v>874</v>
      </c>
      <c r="C108" s="43" t="s">
        <v>875</v>
      </c>
      <c r="D108" s="47">
        <v>27857.32</v>
      </c>
      <c r="E108" s="47">
        <v>27707.56</v>
      </c>
      <c r="F108" s="46">
        <v>1.0675634142322299</v>
      </c>
    </row>
    <row r="109" spans="1:6" s="28" customFormat="1" ht="16.95" customHeight="1"/>
    <row r="110" spans="1:6" s="28" customFormat="1" ht="16.95" customHeight="1">
      <c r="A110" s="48" t="s">
        <v>10</v>
      </c>
      <c r="B110" s="49"/>
      <c r="C110" s="49"/>
      <c r="E110" s="48" t="s">
        <v>11</v>
      </c>
      <c r="F110" s="49"/>
    </row>
    <row r="111" spans="1:6" s="52" customFormat="1" ht="16.95" customHeight="1">
      <c r="A111" s="50" t="s">
        <v>12</v>
      </c>
      <c r="B111" s="51"/>
      <c r="C111" s="51"/>
      <c r="E111" s="50" t="s">
        <v>13</v>
      </c>
      <c r="F111" s="51"/>
    </row>
    <row r="112" spans="1:6" s="28" customFormat="1" ht="16.95" customHeight="1">
      <c r="A112" s="49"/>
      <c r="B112" s="49"/>
      <c r="C112" s="49"/>
      <c r="D112" s="49"/>
      <c r="E112" s="49"/>
      <c r="F112" s="49"/>
    </row>
    <row r="113" spans="1:6" s="28" customFormat="1" ht="16.95" customHeight="1">
      <c r="A113" s="49"/>
      <c r="B113" s="49"/>
      <c r="C113" s="49"/>
      <c r="D113" s="49"/>
      <c r="E113" s="49"/>
      <c r="F113" s="49"/>
    </row>
    <row r="114" spans="1:6" s="28" customFormat="1" ht="16.95" customHeight="1">
      <c r="A114" s="49"/>
      <c r="B114" s="49"/>
      <c r="C114" s="49"/>
      <c r="D114" s="49"/>
      <c r="E114" s="49"/>
      <c r="F114" s="49"/>
    </row>
    <row r="115" spans="1:6" s="28" customFormat="1" ht="16.95" customHeight="1">
      <c r="A115" s="49"/>
      <c r="B115" s="49"/>
      <c r="C115" s="49"/>
      <c r="D115" s="49"/>
      <c r="E115" s="49"/>
      <c r="F115" s="49"/>
    </row>
    <row r="116" spans="1:6" s="28" customFormat="1" ht="16.95" customHeight="1">
      <c r="A116" s="49"/>
      <c r="B116" s="49"/>
      <c r="C116" s="49"/>
      <c r="D116" s="49"/>
      <c r="E116" s="49"/>
      <c r="F116" s="49"/>
    </row>
    <row r="117" spans="1:6" s="28" customFormat="1" ht="16.95" customHeight="1">
      <c r="A117" s="49"/>
      <c r="B117" s="49"/>
      <c r="C117" s="49"/>
      <c r="D117" s="49"/>
      <c r="E117" s="49"/>
      <c r="F117" s="49"/>
    </row>
    <row r="118" spans="1:6" s="28" customFormat="1" ht="16.95" customHeight="1">
      <c r="A118" s="53"/>
      <c r="B118" s="53"/>
      <c r="C118" s="49"/>
      <c r="D118" s="49"/>
      <c r="E118" s="53"/>
      <c r="F118" s="53"/>
    </row>
    <row r="119" spans="1:6" s="28" customFormat="1" ht="16.95" customHeight="1">
      <c r="A119" s="54" t="s">
        <v>14</v>
      </c>
      <c r="B119" s="55"/>
      <c r="C119" s="49"/>
      <c r="E119" s="54" t="s">
        <v>878</v>
      </c>
      <c r="F119" s="55"/>
    </row>
    <row r="120" spans="1:6" s="28" customFormat="1" ht="16.95" customHeight="1">
      <c r="A120" s="56" t="s">
        <v>256</v>
      </c>
      <c r="B120" s="49"/>
      <c r="C120" s="49"/>
      <c r="E120" s="56" t="s">
        <v>884</v>
      </c>
      <c r="F120" s="49"/>
    </row>
    <row r="121" spans="1:6" s="28" customFormat="1" ht="16.95" customHeight="1">
      <c r="A121" s="49" t="s">
        <v>885</v>
      </c>
      <c r="B121" s="49"/>
      <c r="C121" s="49"/>
      <c r="E121" s="49" t="s">
        <v>886</v>
      </c>
      <c r="F121" s="49"/>
    </row>
    <row r="122" spans="1:6" ht="16.95"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70" zoomScaleNormal="100" zoomScaleSheetLayoutView="70" workbookViewId="0">
      <selection activeCell="B104" sqref="B104"/>
    </sheetView>
  </sheetViews>
  <sheetFormatPr defaultColWidth="8.77734375" defaultRowHeight="15"/>
  <cols>
    <col min="1" max="1" width="8.77734375" style="29"/>
    <col min="2" max="2" width="46.21875" style="29" customWidth="1"/>
    <col min="3" max="3" width="10.77734375" style="29" bestFit="1" customWidth="1"/>
    <col min="4" max="6" width="36.77734375" style="29" customWidth="1"/>
    <col min="7" max="16384" width="8.77734375" style="57"/>
  </cols>
  <sheetData>
    <row r="1" spans="1:6" ht="54.75" customHeight="1">
      <c r="A1" s="171" t="s">
        <v>302</v>
      </c>
      <c r="B1" s="171"/>
      <c r="C1" s="171"/>
      <c r="D1" s="171"/>
      <c r="E1" s="171"/>
      <c r="F1" s="171"/>
    </row>
    <row r="2" spans="1:6" ht="54.75" customHeight="1">
      <c r="A2" s="172" t="s">
        <v>303</v>
      </c>
      <c r="B2" s="172"/>
      <c r="C2" s="172"/>
      <c r="D2" s="172"/>
      <c r="E2" s="172"/>
      <c r="F2" s="172"/>
    </row>
    <row r="3" spans="1:6" ht="22.5" customHeight="1">
      <c r="A3" s="173" t="s">
        <v>252</v>
      </c>
      <c r="B3" s="173"/>
      <c r="C3" s="173"/>
      <c r="D3" s="173"/>
      <c r="E3" s="173"/>
      <c r="F3" s="173"/>
    </row>
    <row r="4" spans="1:6" ht="21" customHeight="1">
      <c r="A4" s="173"/>
      <c r="B4" s="173"/>
      <c r="C4" s="173"/>
      <c r="D4" s="173"/>
      <c r="E4" s="173"/>
      <c r="F4" s="173"/>
    </row>
    <row r="5" spans="1:6" ht="16.2" customHeight="1">
      <c r="A5" s="174" t="str">
        <f>TONGQUAN!C2</f>
        <v>Tháng 05 năm 2025
/ May 2025</v>
      </c>
      <c r="B5" s="174"/>
      <c r="C5" s="174"/>
      <c r="D5" s="174"/>
      <c r="E5" s="174"/>
      <c r="F5" s="174"/>
    </row>
    <row r="7" spans="1:6" ht="16.95" customHeight="1">
      <c r="A7" s="58" t="s">
        <v>2</v>
      </c>
      <c r="C7" s="175" t="str">
        <f>TONGQUAN!D5</f>
        <v>Công ty Cổ phần Quản lý Quỹ Đầu tư Dragon Capital Việt Nam</v>
      </c>
      <c r="D7" s="175"/>
      <c r="E7" s="175"/>
      <c r="F7" s="175"/>
    </row>
    <row r="8" spans="1:6" ht="16.95" customHeight="1">
      <c r="A8" s="29" t="s">
        <v>15</v>
      </c>
      <c r="C8" s="170" t="str">
        <f>TONGQUAN!D6</f>
        <v>Dragon Capital Vietfund Management Joint Stock Company</v>
      </c>
      <c r="D8" s="170"/>
      <c r="E8" s="170"/>
      <c r="F8" s="170"/>
    </row>
    <row r="9" spans="1:6" ht="16.95" customHeight="1">
      <c r="A9" s="58" t="s">
        <v>3</v>
      </c>
      <c r="C9" s="175" t="str">
        <f>TONGQUAN!D7</f>
        <v>Ngân hàng TNHH Một thành viên Standard Chartered (Việt Nam)</v>
      </c>
      <c r="D9" s="175"/>
      <c r="E9" s="175"/>
      <c r="F9" s="175"/>
    </row>
    <row r="10" spans="1:6" ht="16.95" customHeight="1">
      <c r="A10" s="29" t="s">
        <v>4</v>
      </c>
      <c r="C10" s="170" t="str">
        <f>TONGQUAN!D8</f>
        <v>Standard Chartered Bank (Vietnam) Limited</v>
      </c>
      <c r="D10" s="170"/>
      <c r="E10" s="170"/>
      <c r="F10" s="170"/>
    </row>
    <row r="11" spans="1:6" ht="16.95" customHeight="1">
      <c r="A11" s="58" t="s">
        <v>5</v>
      </c>
      <c r="C11" s="175" t="str">
        <f>TONGQUAN!D9</f>
        <v>Quỹ Đầu tư Trái phiếu DC</v>
      </c>
      <c r="D11" s="175"/>
      <c r="E11" s="175"/>
      <c r="F11" s="175"/>
    </row>
    <row r="12" spans="1:6" ht="16.95" customHeight="1">
      <c r="A12" s="29" t="s">
        <v>6</v>
      </c>
      <c r="C12" s="170" t="str">
        <f>TONGQUAN!D10</f>
        <v>DC Bond Fund (DCBF)</v>
      </c>
      <c r="D12" s="170"/>
      <c r="E12" s="170"/>
      <c r="F12" s="170"/>
    </row>
    <row r="13" spans="1:6" ht="16.95" customHeight="1">
      <c r="A13" s="58" t="s">
        <v>7</v>
      </c>
      <c r="C13" s="175" t="str">
        <f>TONGQUAN!D11</f>
        <v>Ngày 02 tháng 06 năm 2025</v>
      </c>
      <c r="D13" s="175"/>
      <c r="E13" s="175"/>
      <c r="F13" s="175"/>
    </row>
    <row r="14" spans="1:6" ht="16.95" customHeight="1">
      <c r="A14" s="29" t="s">
        <v>8</v>
      </c>
      <c r="C14" s="170" t="str">
        <f>TONGQUAN!D12</f>
        <v>02 Jun 2025</v>
      </c>
      <c r="D14" s="170"/>
      <c r="E14" s="170"/>
      <c r="F14" s="170"/>
    </row>
    <row r="15" spans="1:6" ht="16.95" customHeight="1"/>
    <row r="16" spans="1:6" ht="16.95" customHeight="1">
      <c r="A16" s="32" t="s">
        <v>300</v>
      </c>
      <c r="B16" s="33" t="s">
        <v>301</v>
      </c>
    </row>
    <row r="17" spans="1:6" ht="16.95" customHeight="1">
      <c r="A17" s="59" t="s">
        <v>21</v>
      </c>
      <c r="B17" s="60" t="s">
        <v>22</v>
      </c>
    </row>
    <row r="18" spans="1:6" ht="45">
      <c r="A18" s="61" t="s">
        <v>17</v>
      </c>
      <c r="B18" s="61" t="s">
        <v>18</v>
      </c>
      <c r="C18" s="61" t="s">
        <v>19</v>
      </c>
      <c r="D18" s="62" t="s">
        <v>889</v>
      </c>
      <c r="E18" s="62" t="s">
        <v>890</v>
      </c>
      <c r="F18" s="62" t="s">
        <v>306</v>
      </c>
    </row>
    <row r="19" spans="1:6" s="67" customFormat="1" ht="40.049999999999997" customHeight="1">
      <c r="A19" s="63" t="s">
        <v>16</v>
      </c>
      <c r="B19" s="64" t="s">
        <v>30</v>
      </c>
      <c r="C19" s="65" t="s">
        <v>44</v>
      </c>
      <c r="D19" s="66">
        <v>10601509770</v>
      </c>
      <c r="E19" s="66">
        <v>10364036260</v>
      </c>
      <c r="F19" s="66">
        <v>53604413927</v>
      </c>
    </row>
    <row r="20" spans="1:6" ht="60">
      <c r="A20" s="68">
        <v>1</v>
      </c>
      <c r="B20" s="69" t="s">
        <v>257</v>
      </c>
      <c r="C20" s="70" t="s">
        <v>51</v>
      </c>
      <c r="D20" s="71">
        <v>0</v>
      </c>
      <c r="E20" s="71">
        <v>0</v>
      </c>
      <c r="F20" s="71">
        <v>0</v>
      </c>
    </row>
    <row r="21" spans="1:6">
      <c r="A21" s="72" t="s">
        <v>258</v>
      </c>
      <c r="B21" s="72" t="s">
        <v>258</v>
      </c>
      <c r="C21" s="72" t="s">
        <v>258</v>
      </c>
      <c r="D21" s="73" t="s">
        <v>258</v>
      </c>
      <c r="E21" s="73" t="s">
        <v>259</v>
      </c>
      <c r="F21" s="73" t="s">
        <v>259</v>
      </c>
    </row>
    <row r="22" spans="1:6" ht="50.55" customHeight="1">
      <c r="A22" s="68">
        <v>2</v>
      </c>
      <c r="B22" s="69" t="s">
        <v>214</v>
      </c>
      <c r="C22" s="70" t="s">
        <v>45</v>
      </c>
      <c r="D22" s="71">
        <v>8174289634</v>
      </c>
      <c r="E22" s="71">
        <v>7875361286</v>
      </c>
      <c r="F22" s="71">
        <v>40773771222</v>
      </c>
    </row>
    <row r="23" spans="1:6">
      <c r="A23" s="72" t="s">
        <v>258</v>
      </c>
      <c r="B23" s="72" t="s">
        <v>258</v>
      </c>
      <c r="C23" s="72" t="s">
        <v>258</v>
      </c>
      <c r="D23" s="73" t="s">
        <v>258</v>
      </c>
      <c r="E23" s="73" t="s">
        <v>259</v>
      </c>
      <c r="F23" s="73" t="s">
        <v>259</v>
      </c>
    </row>
    <row r="24" spans="1:6" ht="40.049999999999997" customHeight="1">
      <c r="A24" s="74"/>
      <c r="B24" s="75" t="s">
        <v>215</v>
      </c>
      <c r="C24" s="76" t="s">
        <v>46</v>
      </c>
      <c r="D24" s="71">
        <v>0</v>
      </c>
      <c r="E24" s="71">
        <v>0</v>
      </c>
      <c r="F24" s="71">
        <v>0</v>
      </c>
    </row>
    <row r="25" spans="1:6" ht="40.049999999999997" customHeight="1">
      <c r="A25" s="74"/>
      <c r="B25" s="75" t="s">
        <v>216</v>
      </c>
      <c r="C25" s="76" t="s">
        <v>47</v>
      </c>
      <c r="D25" s="71">
        <v>8174289634</v>
      </c>
      <c r="E25" s="71">
        <v>7875361286</v>
      </c>
      <c r="F25" s="71">
        <v>40773771222</v>
      </c>
    </row>
    <row r="26" spans="1:6" ht="40.049999999999997" customHeight="1">
      <c r="A26" s="68">
        <v>3</v>
      </c>
      <c r="B26" s="69" t="s">
        <v>217</v>
      </c>
      <c r="C26" s="70" t="s">
        <v>48</v>
      </c>
      <c r="D26" s="71">
        <v>2427220136</v>
      </c>
      <c r="E26" s="71">
        <v>2488674974</v>
      </c>
      <c r="F26" s="71">
        <v>12830642705</v>
      </c>
    </row>
    <row r="27" spans="1:6">
      <c r="A27" s="72" t="s">
        <v>258</v>
      </c>
      <c r="B27" s="72" t="s">
        <v>258</v>
      </c>
      <c r="C27" s="72" t="s">
        <v>258</v>
      </c>
      <c r="D27" s="73" t="s">
        <v>258</v>
      </c>
      <c r="E27" s="73" t="s">
        <v>258</v>
      </c>
      <c r="F27" s="73" t="s">
        <v>258</v>
      </c>
    </row>
    <row r="28" spans="1:6" ht="45" customHeight="1">
      <c r="A28" s="74"/>
      <c r="B28" s="75" t="s">
        <v>181</v>
      </c>
      <c r="C28" s="76" t="s">
        <v>49</v>
      </c>
      <c r="D28" s="71">
        <v>1114925616</v>
      </c>
      <c r="E28" s="71">
        <v>980216070</v>
      </c>
      <c r="F28" s="71">
        <v>5283259143</v>
      </c>
    </row>
    <row r="29" spans="1:6" ht="58.05" customHeight="1">
      <c r="A29" s="74"/>
      <c r="B29" s="75" t="s">
        <v>365</v>
      </c>
      <c r="C29" s="76" t="s">
        <v>50</v>
      </c>
      <c r="D29" s="71">
        <v>1312294520</v>
      </c>
      <c r="E29" s="71">
        <v>1508458904</v>
      </c>
      <c r="F29" s="71">
        <v>7547383562</v>
      </c>
    </row>
    <row r="30" spans="1:6" ht="43.05" customHeight="1">
      <c r="A30" s="74"/>
      <c r="B30" s="75" t="s">
        <v>232</v>
      </c>
      <c r="C30" s="76" t="s">
        <v>180</v>
      </c>
      <c r="D30" s="71">
        <v>0</v>
      </c>
      <c r="E30" s="71">
        <v>0</v>
      </c>
      <c r="F30" s="71">
        <v>0</v>
      </c>
    </row>
    <row r="31" spans="1:6" s="67" customFormat="1" ht="43.05" customHeight="1">
      <c r="A31" s="68">
        <v>4</v>
      </c>
      <c r="B31" s="69" t="s">
        <v>218</v>
      </c>
      <c r="C31" s="70" t="s">
        <v>51</v>
      </c>
      <c r="D31" s="71">
        <v>0</v>
      </c>
      <c r="E31" s="71">
        <v>0</v>
      </c>
      <c r="F31" s="71">
        <v>0</v>
      </c>
    </row>
    <row r="32" spans="1:6">
      <c r="A32" s="72" t="s">
        <v>258</v>
      </c>
      <c r="B32" s="72" t="s">
        <v>258</v>
      </c>
      <c r="C32" s="72" t="s">
        <v>258</v>
      </c>
      <c r="D32" s="73" t="s">
        <v>258</v>
      </c>
      <c r="E32" s="73" t="s">
        <v>258</v>
      </c>
      <c r="F32" s="73" t="s">
        <v>258</v>
      </c>
    </row>
    <row r="33" spans="1:6" ht="43.05" customHeight="1">
      <c r="A33" s="77"/>
      <c r="B33" s="78" t="s">
        <v>219</v>
      </c>
      <c r="C33" s="79" t="s">
        <v>52</v>
      </c>
      <c r="D33" s="71">
        <v>0</v>
      </c>
      <c r="E33" s="71">
        <v>0</v>
      </c>
      <c r="F33" s="71">
        <v>0</v>
      </c>
    </row>
    <row r="34" spans="1:6" ht="43.05" customHeight="1">
      <c r="A34" s="77"/>
      <c r="B34" s="78" t="s">
        <v>220</v>
      </c>
      <c r="C34" s="79" t="s">
        <v>53</v>
      </c>
      <c r="D34" s="71">
        <v>0</v>
      </c>
      <c r="E34" s="71">
        <v>0</v>
      </c>
      <c r="F34" s="71">
        <v>0</v>
      </c>
    </row>
    <row r="35" spans="1:6" ht="106.5" customHeight="1">
      <c r="A35" s="77"/>
      <c r="B35" s="78" t="s">
        <v>31</v>
      </c>
      <c r="C35" s="79" t="s">
        <v>54</v>
      </c>
      <c r="D35" s="71">
        <v>0</v>
      </c>
      <c r="E35" s="71">
        <v>0</v>
      </c>
      <c r="F35" s="71">
        <v>0</v>
      </c>
    </row>
    <row r="36" spans="1:6" ht="46.95" customHeight="1">
      <c r="A36" s="63" t="s">
        <v>21</v>
      </c>
      <c r="B36" s="64" t="s">
        <v>221</v>
      </c>
      <c r="C36" s="65" t="s">
        <v>55</v>
      </c>
      <c r="D36" s="80">
        <v>1757171577</v>
      </c>
      <c r="E36" s="80">
        <v>1745300137</v>
      </c>
      <c r="F36" s="80">
        <v>9088897019</v>
      </c>
    </row>
    <row r="37" spans="1:6" ht="53.55" customHeight="1">
      <c r="A37" s="68">
        <v>1</v>
      </c>
      <c r="B37" s="69" t="s">
        <v>260</v>
      </c>
      <c r="C37" s="70" t="s">
        <v>56</v>
      </c>
      <c r="D37" s="71">
        <v>1546311036</v>
      </c>
      <c r="E37" s="71">
        <v>1519006721</v>
      </c>
      <c r="F37" s="71">
        <v>7946134320</v>
      </c>
    </row>
    <row r="38" spans="1:6">
      <c r="A38" s="72" t="s">
        <v>258</v>
      </c>
      <c r="B38" s="72" t="s">
        <v>258</v>
      </c>
      <c r="C38" s="72" t="s">
        <v>258</v>
      </c>
      <c r="D38" s="73" t="s">
        <v>258</v>
      </c>
      <c r="E38" s="73" t="s">
        <v>258</v>
      </c>
      <c r="F38" s="73" t="s">
        <v>258</v>
      </c>
    </row>
    <row r="39" spans="1:6" ht="74.55" customHeight="1">
      <c r="A39" s="68">
        <v>2</v>
      </c>
      <c r="B39" s="69" t="s">
        <v>367</v>
      </c>
      <c r="C39" s="70" t="s">
        <v>57</v>
      </c>
      <c r="D39" s="71">
        <v>106990229</v>
      </c>
      <c r="E39" s="71">
        <v>103685664</v>
      </c>
      <c r="F39" s="71">
        <v>540630337</v>
      </c>
    </row>
    <row r="40" spans="1:6">
      <c r="A40" s="72" t="s">
        <v>258</v>
      </c>
      <c r="B40" s="72" t="s">
        <v>258</v>
      </c>
      <c r="C40" s="72" t="s">
        <v>258</v>
      </c>
      <c r="D40" s="73" t="s">
        <v>258</v>
      </c>
      <c r="E40" s="73" t="s">
        <v>258</v>
      </c>
      <c r="F40" s="73" t="s">
        <v>258</v>
      </c>
    </row>
    <row r="41" spans="1:6" ht="43.05" customHeight="1">
      <c r="A41" s="81"/>
      <c r="B41" s="75" t="s">
        <v>261</v>
      </c>
      <c r="C41" s="76" t="s">
        <v>58</v>
      </c>
      <c r="D41" s="71">
        <v>47952960</v>
      </c>
      <c r="E41" s="71">
        <v>45329730</v>
      </c>
      <c r="F41" s="71">
        <v>235639841</v>
      </c>
    </row>
    <row r="42" spans="1:6" ht="45">
      <c r="A42" s="81"/>
      <c r="B42" s="75" t="s">
        <v>262</v>
      </c>
      <c r="C42" s="76" t="s">
        <v>59</v>
      </c>
      <c r="D42" s="71">
        <v>700000</v>
      </c>
      <c r="E42" s="71">
        <v>1200000</v>
      </c>
      <c r="F42" s="71">
        <v>6400000</v>
      </c>
    </row>
    <row r="43" spans="1:6" ht="86.55" customHeight="1">
      <c r="A43" s="81"/>
      <c r="B43" s="75" t="s">
        <v>368</v>
      </c>
      <c r="C43" s="76" t="s">
        <v>60</v>
      </c>
      <c r="D43" s="71">
        <v>1639198</v>
      </c>
      <c r="E43" s="71">
        <v>1459021</v>
      </c>
      <c r="F43" s="71">
        <v>7232238</v>
      </c>
    </row>
    <row r="44" spans="1:6" ht="44.55" customHeight="1">
      <c r="A44" s="81"/>
      <c r="B44" s="75" t="s">
        <v>263</v>
      </c>
      <c r="C44" s="76" t="s">
        <v>61</v>
      </c>
      <c r="D44" s="71">
        <v>56698071</v>
      </c>
      <c r="E44" s="71">
        <v>55696913</v>
      </c>
      <c r="F44" s="71">
        <v>291358258</v>
      </c>
    </row>
    <row r="45" spans="1:6" ht="85.5" customHeight="1">
      <c r="A45" s="68">
        <v>3</v>
      </c>
      <c r="B45" s="82" t="s">
        <v>264</v>
      </c>
      <c r="C45" s="70" t="s">
        <v>62</v>
      </c>
      <c r="D45" s="71">
        <v>53523554</v>
      </c>
      <c r="E45" s="71">
        <v>52772685</v>
      </c>
      <c r="F45" s="71">
        <v>273518695</v>
      </c>
    </row>
    <row r="46" spans="1:6">
      <c r="A46" s="72" t="s">
        <v>258</v>
      </c>
      <c r="B46" s="72" t="s">
        <v>258</v>
      </c>
      <c r="C46" s="72" t="s">
        <v>258</v>
      </c>
      <c r="D46" s="73" t="s">
        <v>258</v>
      </c>
      <c r="E46" s="73" t="s">
        <v>258</v>
      </c>
      <c r="F46" s="73" t="s">
        <v>258</v>
      </c>
    </row>
    <row r="47" spans="1:6" ht="37.5" customHeight="1">
      <c r="A47" s="81"/>
      <c r="B47" s="83" t="s">
        <v>233</v>
      </c>
      <c r="C47" s="76" t="s">
        <v>63</v>
      </c>
      <c r="D47" s="71">
        <v>42523554</v>
      </c>
      <c r="E47" s="71">
        <v>41772685</v>
      </c>
      <c r="F47" s="71">
        <v>218518695</v>
      </c>
    </row>
    <row r="48" spans="1:6" ht="37.5" customHeight="1">
      <c r="A48" s="81"/>
      <c r="B48" s="83" t="s">
        <v>32</v>
      </c>
      <c r="C48" s="76" t="s">
        <v>64</v>
      </c>
      <c r="D48" s="71">
        <v>11000000</v>
      </c>
      <c r="E48" s="71">
        <v>11000000</v>
      </c>
      <c r="F48" s="71">
        <v>55000000</v>
      </c>
    </row>
    <row r="49" spans="1:6" ht="67.95" customHeight="1">
      <c r="A49" s="81">
        <v>4</v>
      </c>
      <c r="B49" s="83" t="s">
        <v>265</v>
      </c>
      <c r="C49" s="76"/>
      <c r="D49" s="71">
        <v>0</v>
      </c>
      <c r="E49" s="71">
        <v>0</v>
      </c>
      <c r="F49" s="71">
        <v>0</v>
      </c>
    </row>
    <row r="50" spans="1:6">
      <c r="A50" s="72" t="s">
        <v>258</v>
      </c>
      <c r="B50" s="72" t="s">
        <v>258</v>
      </c>
      <c r="C50" s="72" t="s">
        <v>258</v>
      </c>
      <c r="D50" s="73" t="s">
        <v>258</v>
      </c>
      <c r="E50" s="73" t="s">
        <v>258</v>
      </c>
      <c r="F50" s="73" t="s">
        <v>258</v>
      </c>
    </row>
    <row r="51" spans="1:6" ht="69.45" customHeight="1">
      <c r="A51" s="81">
        <v>5</v>
      </c>
      <c r="B51" s="83" t="s">
        <v>266</v>
      </c>
      <c r="C51" s="76"/>
      <c r="D51" s="71">
        <v>0</v>
      </c>
      <c r="E51" s="71">
        <v>0</v>
      </c>
      <c r="F51" s="71">
        <v>0</v>
      </c>
    </row>
    <row r="52" spans="1:6">
      <c r="A52" s="72" t="s">
        <v>258</v>
      </c>
      <c r="B52" s="72" t="s">
        <v>258</v>
      </c>
      <c r="C52" s="72" t="s">
        <v>258</v>
      </c>
      <c r="D52" s="73" t="s">
        <v>258</v>
      </c>
      <c r="E52" s="73" t="s">
        <v>258</v>
      </c>
      <c r="F52" s="73" t="s">
        <v>258</v>
      </c>
    </row>
    <row r="53" spans="1:6" ht="44.55" customHeight="1">
      <c r="A53" s="68">
        <v>6</v>
      </c>
      <c r="B53" s="69" t="s">
        <v>33</v>
      </c>
      <c r="C53" s="70" t="s">
        <v>65</v>
      </c>
      <c r="D53" s="71">
        <v>12425480</v>
      </c>
      <c r="E53" s="71">
        <v>12024657</v>
      </c>
      <c r="F53" s="71">
        <v>60625473</v>
      </c>
    </row>
    <row r="54" spans="1:6">
      <c r="A54" s="72" t="s">
        <v>258</v>
      </c>
      <c r="B54" s="72" t="s">
        <v>258</v>
      </c>
      <c r="C54" s="72" t="s">
        <v>258</v>
      </c>
      <c r="D54" s="73" t="s">
        <v>258</v>
      </c>
      <c r="E54" s="73" t="s">
        <v>258</v>
      </c>
      <c r="F54" s="73" t="s">
        <v>258</v>
      </c>
    </row>
    <row r="55" spans="1:6" ht="97.05" customHeight="1">
      <c r="A55" s="68">
        <v>7</v>
      </c>
      <c r="B55" s="69" t="s">
        <v>234</v>
      </c>
      <c r="C55" s="70" t="s">
        <v>66</v>
      </c>
      <c r="D55" s="71">
        <v>24412114</v>
      </c>
      <c r="E55" s="71">
        <v>20966102</v>
      </c>
      <c r="F55" s="71">
        <v>100107668</v>
      </c>
    </row>
    <row r="56" spans="1:6">
      <c r="A56" s="72" t="s">
        <v>258</v>
      </c>
      <c r="B56" s="72" t="s">
        <v>258</v>
      </c>
      <c r="C56" s="72" t="s">
        <v>258</v>
      </c>
      <c r="D56" s="73" t="s">
        <v>258</v>
      </c>
      <c r="E56" s="73" t="s">
        <v>258</v>
      </c>
      <c r="F56" s="73" t="s">
        <v>258</v>
      </c>
    </row>
    <row r="57" spans="1:6" ht="59.55" customHeight="1">
      <c r="A57" s="81"/>
      <c r="B57" s="84" t="s">
        <v>235</v>
      </c>
      <c r="C57" s="76" t="s">
        <v>67</v>
      </c>
      <c r="D57" s="71">
        <v>6509589</v>
      </c>
      <c r="E57" s="71">
        <v>6493151</v>
      </c>
      <c r="F57" s="71">
        <v>32482192</v>
      </c>
    </row>
    <row r="58" spans="1:6" ht="40.5" customHeight="1">
      <c r="A58" s="81"/>
      <c r="B58" s="84" t="s">
        <v>222</v>
      </c>
      <c r="C58" s="76" t="s">
        <v>68</v>
      </c>
      <c r="D58" s="71">
        <v>12008242</v>
      </c>
      <c r="E58" s="71">
        <v>11620879</v>
      </c>
      <c r="F58" s="71">
        <v>58879121</v>
      </c>
    </row>
    <row r="59" spans="1:6" ht="40.5" customHeight="1">
      <c r="A59" s="81"/>
      <c r="B59" s="84" t="s">
        <v>34</v>
      </c>
      <c r="C59" s="76" t="s">
        <v>69</v>
      </c>
      <c r="D59" s="71">
        <v>5894283</v>
      </c>
      <c r="E59" s="71">
        <v>2852072</v>
      </c>
      <c r="F59" s="71">
        <v>8746355</v>
      </c>
    </row>
    <row r="60" spans="1:6" ht="210">
      <c r="A60" s="68">
        <v>8</v>
      </c>
      <c r="B60" s="82" t="s">
        <v>236</v>
      </c>
      <c r="C60" s="70" t="s">
        <v>70</v>
      </c>
      <c r="D60" s="71">
        <v>8011943</v>
      </c>
      <c r="E60" s="71">
        <v>3256324</v>
      </c>
      <c r="F60" s="71">
        <v>21037241</v>
      </c>
    </row>
    <row r="61" spans="1:6">
      <c r="A61" s="72" t="s">
        <v>258</v>
      </c>
      <c r="B61" s="72" t="s">
        <v>258</v>
      </c>
      <c r="C61" s="72" t="s">
        <v>258</v>
      </c>
      <c r="D61" s="73" t="s">
        <v>258</v>
      </c>
      <c r="E61" s="73" t="s">
        <v>258</v>
      </c>
      <c r="F61" s="73" t="s">
        <v>258</v>
      </c>
    </row>
    <row r="62" spans="1:6" ht="40.5" customHeight="1">
      <c r="A62" s="81"/>
      <c r="B62" s="83" t="s">
        <v>223</v>
      </c>
      <c r="C62" s="76" t="s">
        <v>71</v>
      </c>
      <c r="D62" s="71">
        <v>8011943</v>
      </c>
      <c r="E62" s="71">
        <v>3256324</v>
      </c>
      <c r="F62" s="71">
        <v>21037241</v>
      </c>
    </row>
    <row r="63" spans="1:6" ht="40.5" customHeight="1">
      <c r="A63" s="81"/>
      <c r="B63" s="83" t="s">
        <v>142</v>
      </c>
      <c r="C63" s="76" t="s">
        <v>72</v>
      </c>
      <c r="D63" s="71">
        <v>0</v>
      </c>
      <c r="E63" s="71">
        <v>0</v>
      </c>
      <c r="F63" s="71">
        <v>0</v>
      </c>
    </row>
    <row r="64" spans="1:6" s="67" customFormat="1" ht="55.05" customHeight="1">
      <c r="A64" s="81"/>
      <c r="B64" s="83" t="s">
        <v>237</v>
      </c>
      <c r="C64" s="76" t="s">
        <v>73</v>
      </c>
      <c r="D64" s="71">
        <v>0</v>
      </c>
      <c r="E64" s="71">
        <v>0</v>
      </c>
      <c r="F64" s="71">
        <v>0</v>
      </c>
    </row>
    <row r="65" spans="1:6" s="67" customFormat="1" ht="45">
      <c r="A65" s="81"/>
      <c r="B65" s="84" t="s">
        <v>224</v>
      </c>
      <c r="C65" s="76" t="s">
        <v>74</v>
      </c>
      <c r="D65" s="71">
        <v>0</v>
      </c>
      <c r="E65" s="71">
        <v>0</v>
      </c>
      <c r="F65" s="71">
        <v>0</v>
      </c>
    </row>
    <row r="66" spans="1:6" ht="44.55" customHeight="1">
      <c r="A66" s="81"/>
      <c r="B66" s="84" t="s">
        <v>267</v>
      </c>
      <c r="C66" s="76" t="s">
        <v>75</v>
      </c>
      <c r="D66" s="71">
        <v>0</v>
      </c>
      <c r="E66" s="71">
        <v>0</v>
      </c>
      <c r="F66" s="71">
        <v>0</v>
      </c>
    </row>
    <row r="67" spans="1:6" ht="71.55" customHeight="1">
      <c r="A67" s="68">
        <v>9</v>
      </c>
      <c r="B67" s="69" t="s">
        <v>238</v>
      </c>
      <c r="C67" s="70" t="s">
        <v>76</v>
      </c>
      <c r="D67" s="71">
        <v>2896734</v>
      </c>
      <c r="E67" s="71">
        <v>28416446</v>
      </c>
      <c r="F67" s="71">
        <v>125917245</v>
      </c>
    </row>
    <row r="68" spans="1:6" s="67" customFormat="1">
      <c r="A68" s="72" t="s">
        <v>258</v>
      </c>
      <c r="B68" s="72" t="s">
        <v>258</v>
      </c>
      <c r="C68" s="72" t="s">
        <v>258</v>
      </c>
      <c r="D68" s="73" t="s">
        <v>258</v>
      </c>
      <c r="E68" s="73" t="s">
        <v>258</v>
      </c>
      <c r="F68" s="73" t="s">
        <v>258</v>
      </c>
    </row>
    <row r="69" spans="1:6" s="67" customFormat="1" ht="41.55" customHeight="1">
      <c r="A69" s="81"/>
      <c r="B69" s="75" t="s">
        <v>35</v>
      </c>
      <c r="C69" s="76" t="s">
        <v>77</v>
      </c>
      <c r="D69" s="71">
        <v>2646232</v>
      </c>
      <c r="E69" s="71">
        <v>27996438</v>
      </c>
      <c r="F69" s="71">
        <v>124483744</v>
      </c>
    </row>
    <row r="70" spans="1:6" s="67" customFormat="1" ht="41.55" customHeight="1">
      <c r="A70" s="81"/>
      <c r="B70" s="75" t="s">
        <v>36</v>
      </c>
      <c r="C70" s="76" t="s">
        <v>78</v>
      </c>
      <c r="D70" s="71">
        <v>250502</v>
      </c>
      <c r="E70" s="71">
        <v>420008</v>
      </c>
      <c r="F70" s="71">
        <v>1433501</v>
      </c>
    </row>
    <row r="71" spans="1:6" ht="41.55" customHeight="1">
      <c r="A71" s="81"/>
      <c r="B71" s="75" t="s">
        <v>37</v>
      </c>
      <c r="C71" s="76" t="s">
        <v>79</v>
      </c>
      <c r="D71" s="71">
        <v>0</v>
      </c>
      <c r="E71" s="71">
        <v>0</v>
      </c>
      <c r="F71" s="71">
        <v>0</v>
      </c>
    </row>
    <row r="72" spans="1:6" ht="41.55" customHeight="1">
      <c r="A72" s="68">
        <v>10</v>
      </c>
      <c r="B72" s="69" t="s">
        <v>268</v>
      </c>
      <c r="C72" s="70" t="s">
        <v>80</v>
      </c>
      <c r="D72" s="71">
        <v>2600487</v>
      </c>
      <c r="E72" s="71">
        <v>5171538</v>
      </c>
      <c r="F72" s="71">
        <v>20926040</v>
      </c>
    </row>
    <row r="73" spans="1:6">
      <c r="A73" s="72" t="s">
        <v>258</v>
      </c>
      <c r="B73" s="72" t="s">
        <v>258</v>
      </c>
      <c r="C73" s="72" t="s">
        <v>258</v>
      </c>
      <c r="D73" s="73" t="s">
        <v>258</v>
      </c>
      <c r="E73" s="73" t="s">
        <v>258</v>
      </c>
      <c r="F73" s="73" t="s">
        <v>258</v>
      </c>
    </row>
    <row r="74" spans="1:6" ht="41.55" customHeight="1">
      <c r="A74" s="68"/>
      <c r="B74" s="75" t="s">
        <v>38</v>
      </c>
      <c r="C74" s="76" t="s">
        <v>81</v>
      </c>
      <c r="D74" s="71">
        <v>0</v>
      </c>
      <c r="E74" s="71">
        <v>0</v>
      </c>
      <c r="F74" s="71">
        <v>0</v>
      </c>
    </row>
    <row r="75" spans="1:6" ht="41.55" customHeight="1">
      <c r="A75" s="68"/>
      <c r="B75" s="75" t="s">
        <v>239</v>
      </c>
      <c r="C75" s="76" t="s">
        <v>82</v>
      </c>
      <c r="D75" s="71">
        <v>0</v>
      </c>
      <c r="E75" s="71">
        <v>0</v>
      </c>
      <c r="F75" s="71">
        <v>0</v>
      </c>
    </row>
    <row r="76" spans="1:6" ht="41.55" customHeight="1">
      <c r="A76" s="68"/>
      <c r="B76" s="75" t="s">
        <v>39</v>
      </c>
      <c r="C76" s="76" t="s">
        <v>83</v>
      </c>
      <c r="D76" s="71">
        <v>636987</v>
      </c>
      <c r="E76" s="71">
        <v>616438</v>
      </c>
      <c r="F76" s="71">
        <v>3102740</v>
      </c>
    </row>
    <row r="77" spans="1:6" ht="41.55" customHeight="1">
      <c r="A77" s="68"/>
      <c r="B77" s="75" t="s">
        <v>40</v>
      </c>
      <c r="C77" s="76" t="s">
        <v>84</v>
      </c>
      <c r="D77" s="71">
        <v>1963500</v>
      </c>
      <c r="E77" s="71">
        <v>3455100</v>
      </c>
      <c r="F77" s="71">
        <v>16723300</v>
      </c>
    </row>
    <row r="78" spans="1:6" ht="41.55" customHeight="1">
      <c r="A78" s="68"/>
      <c r="B78" s="75" t="s">
        <v>240</v>
      </c>
      <c r="C78" s="76" t="s">
        <v>85</v>
      </c>
      <c r="D78" s="71">
        <v>0</v>
      </c>
      <c r="E78" s="71">
        <v>0</v>
      </c>
      <c r="F78" s="71">
        <v>0</v>
      </c>
    </row>
    <row r="79" spans="1:6" ht="41.55" customHeight="1">
      <c r="A79" s="68"/>
      <c r="B79" s="75" t="s">
        <v>37</v>
      </c>
      <c r="C79" s="76" t="s">
        <v>86</v>
      </c>
      <c r="D79" s="71">
        <v>0</v>
      </c>
      <c r="E79" s="71">
        <v>0</v>
      </c>
      <c r="F79" s="71">
        <v>0</v>
      </c>
    </row>
    <row r="80" spans="1:6" ht="59.55" customHeight="1">
      <c r="A80" s="68"/>
      <c r="B80" s="75" t="s">
        <v>366</v>
      </c>
      <c r="C80" s="76" t="s">
        <v>87</v>
      </c>
      <c r="D80" s="71">
        <v>0</v>
      </c>
      <c r="E80" s="71">
        <v>1100000</v>
      </c>
      <c r="F80" s="71">
        <v>1100000</v>
      </c>
    </row>
    <row r="81" spans="1:6" ht="78.45" customHeight="1">
      <c r="A81" s="85" t="s">
        <v>23</v>
      </c>
      <c r="B81" s="64" t="s">
        <v>241</v>
      </c>
      <c r="C81" s="65" t="s">
        <v>88</v>
      </c>
      <c r="D81" s="80">
        <v>8844338193</v>
      </c>
      <c r="E81" s="80">
        <v>8618736123</v>
      </c>
      <c r="F81" s="80">
        <v>44515516908</v>
      </c>
    </row>
    <row r="82" spans="1:6" ht="48" customHeight="1">
      <c r="A82" s="85" t="s">
        <v>24</v>
      </c>
      <c r="B82" s="64" t="s">
        <v>225</v>
      </c>
      <c r="C82" s="65" t="s">
        <v>89</v>
      </c>
      <c r="D82" s="80">
        <v>-708905219</v>
      </c>
      <c r="E82" s="80">
        <v>-83618877</v>
      </c>
      <c r="F82" s="80">
        <v>-1773120732</v>
      </c>
    </row>
    <row r="83" spans="1:6" ht="73.5" customHeight="1">
      <c r="A83" s="68">
        <v>1</v>
      </c>
      <c r="B83" s="69" t="s">
        <v>269</v>
      </c>
      <c r="C83" s="70" t="s">
        <v>90</v>
      </c>
      <c r="D83" s="71">
        <v>130790167</v>
      </c>
      <c r="E83" s="71">
        <v>360459617</v>
      </c>
      <c r="F83" s="71">
        <v>628929608</v>
      </c>
    </row>
    <row r="84" spans="1:6" ht="53.55" customHeight="1">
      <c r="A84" s="68">
        <v>2</v>
      </c>
      <c r="B84" s="69" t="s">
        <v>41</v>
      </c>
      <c r="C84" s="70" t="s">
        <v>91</v>
      </c>
      <c r="D84" s="71">
        <v>-839695386</v>
      </c>
      <c r="E84" s="71">
        <v>-444078494</v>
      </c>
      <c r="F84" s="71">
        <v>-2402050340</v>
      </c>
    </row>
    <row r="85" spans="1:6" ht="115.05" customHeight="1">
      <c r="A85" s="85" t="s">
        <v>25</v>
      </c>
      <c r="B85" s="64" t="s">
        <v>242</v>
      </c>
      <c r="C85" s="65" t="s">
        <v>92</v>
      </c>
      <c r="D85" s="80">
        <v>8135432974</v>
      </c>
      <c r="E85" s="80">
        <v>8535117246</v>
      </c>
      <c r="F85" s="80">
        <v>42742396176</v>
      </c>
    </row>
    <row r="86" spans="1:6" ht="59.55" customHeight="1">
      <c r="A86" s="85" t="s">
        <v>26</v>
      </c>
      <c r="B86" s="64" t="s">
        <v>42</v>
      </c>
      <c r="C86" s="65" t="s">
        <v>93</v>
      </c>
      <c r="D86" s="80">
        <v>1537885882818</v>
      </c>
      <c r="E86" s="80">
        <v>1581110770975</v>
      </c>
      <c r="F86" s="80">
        <v>1648574048482</v>
      </c>
    </row>
    <row r="87" spans="1:6" ht="72.45" customHeight="1">
      <c r="A87" s="85" t="s">
        <v>27</v>
      </c>
      <c r="B87" s="64" t="s">
        <v>307</v>
      </c>
      <c r="C87" s="65" t="s">
        <v>94</v>
      </c>
      <c r="D87" s="80">
        <v>10252810566</v>
      </c>
      <c r="E87" s="80">
        <v>-43224888157</v>
      </c>
      <c r="F87" s="80">
        <v>-100435355098</v>
      </c>
    </row>
    <row r="88" spans="1:6" s="67" customFormat="1" ht="70.05" customHeight="1">
      <c r="A88" s="68">
        <v>1</v>
      </c>
      <c r="B88" s="69" t="s">
        <v>270</v>
      </c>
      <c r="C88" s="70" t="s">
        <v>95</v>
      </c>
      <c r="D88" s="71">
        <v>8135432974</v>
      </c>
      <c r="E88" s="71">
        <v>8535117246</v>
      </c>
      <c r="F88" s="71">
        <v>42742396176</v>
      </c>
    </row>
    <row r="89" spans="1:6" ht="88.05" customHeight="1">
      <c r="A89" s="68">
        <v>2</v>
      </c>
      <c r="B89" s="69" t="s">
        <v>271</v>
      </c>
      <c r="C89" s="70" t="s">
        <v>96</v>
      </c>
      <c r="D89" s="71">
        <v>0</v>
      </c>
      <c r="E89" s="71">
        <v>0</v>
      </c>
      <c r="F89" s="71">
        <v>0</v>
      </c>
    </row>
    <row r="90" spans="1:6" ht="73.05" customHeight="1">
      <c r="A90" s="68">
        <v>3</v>
      </c>
      <c r="B90" s="69" t="s">
        <v>272</v>
      </c>
      <c r="C90" s="70" t="s">
        <v>97</v>
      </c>
      <c r="D90" s="71">
        <v>2117377592</v>
      </c>
      <c r="E90" s="71">
        <v>-51760005403</v>
      </c>
      <c r="F90" s="71">
        <v>-143177751274</v>
      </c>
    </row>
    <row r="91" spans="1:6" ht="73.05" customHeight="1">
      <c r="A91" s="68"/>
      <c r="B91" s="69" t="s">
        <v>243</v>
      </c>
      <c r="C91" s="70" t="s">
        <v>273</v>
      </c>
      <c r="D91" s="71">
        <v>202695894014</v>
      </c>
      <c r="E91" s="71">
        <v>143208148820</v>
      </c>
      <c r="F91" s="71">
        <v>695083307915</v>
      </c>
    </row>
    <row r="92" spans="1:6" ht="74.55" customHeight="1">
      <c r="A92" s="68"/>
      <c r="B92" s="69" t="s">
        <v>244</v>
      </c>
      <c r="C92" s="70" t="s">
        <v>274</v>
      </c>
      <c r="D92" s="71">
        <v>-200578516422</v>
      </c>
      <c r="E92" s="71">
        <v>-194968154223</v>
      </c>
      <c r="F92" s="71">
        <v>-838261059189</v>
      </c>
    </row>
    <row r="93" spans="1:6" s="86" customFormat="1" ht="39.450000000000003" customHeight="1">
      <c r="A93" s="63" t="s">
        <v>28</v>
      </c>
      <c r="B93" s="64" t="s">
        <v>43</v>
      </c>
      <c r="C93" s="65" t="s">
        <v>98</v>
      </c>
      <c r="D93" s="80">
        <v>1548138693384</v>
      </c>
      <c r="E93" s="80">
        <v>1537885882818</v>
      </c>
      <c r="F93" s="80">
        <v>1548138693384</v>
      </c>
    </row>
    <row r="94" spans="1:6" ht="68.55" customHeight="1">
      <c r="A94" s="63" t="s">
        <v>29</v>
      </c>
      <c r="B94" s="64" t="s">
        <v>226</v>
      </c>
      <c r="C94" s="65" t="s">
        <v>99</v>
      </c>
      <c r="D94" s="80">
        <v>0</v>
      </c>
      <c r="E94" s="80">
        <v>0</v>
      </c>
      <c r="F94" s="80">
        <v>0</v>
      </c>
    </row>
    <row r="95" spans="1:6" ht="74.55" customHeight="1">
      <c r="A95" s="87"/>
      <c r="B95" s="69" t="s">
        <v>227</v>
      </c>
      <c r="C95" s="70" t="s">
        <v>100</v>
      </c>
      <c r="D95" s="46">
        <v>0</v>
      </c>
      <c r="E95" s="46">
        <v>0</v>
      </c>
      <c r="F95" s="46">
        <v>0</v>
      </c>
    </row>
    <row r="96" spans="1:6" ht="16.95" customHeight="1"/>
    <row r="97" spans="1:6" ht="16.95" customHeight="1">
      <c r="A97" s="48" t="s">
        <v>10</v>
      </c>
      <c r="D97" s="91"/>
      <c r="E97" s="48" t="s">
        <v>11</v>
      </c>
    </row>
    <row r="98" spans="1:6" ht="16.95" customHeight="1">
      <c r="A98" s="50" t="s">
        <v>12</v>
      </c>
      <c r="D98" s="92"/>
      <c r="E98" s="50" t="s">
        <v>13</v>
      </c>
    </row>
    <row r="99" spans="1:6" ht="16.95" customHeight="1">
      <c r="A99" s="50"/>
      <c r="D99" s="92"/>
      <c r="E99" s="50"/>
    </row>
    <row r="100" spans="1:6" ht="16.95" customHeight="1">
      <c r="A100" s="50"/>
      <c r="D100" s="92"/>
      <c r="E100" s="50"/>
    </row>
    <row r="101" spans="1:6" ht="16.95" customHeight="1">
      <c r="A101" s="50"/>
      <c r="D101" s="92"/>
      <c r="E101" s="50"/>
    </row>
    <row r="102" spans="1:6" ht="16.95" customHeight="1">
      <c r="A102" s="50"/>
      <c r="D102" s="92"/>
      <c r="E102" s="50"/>
    </row>
    <row r="103" spans="1:6" ht="16.95" customHeight="1">
      <c r="D103" s="93"/>
    </row>
    <row r="104" spans="1:6" ht="16.95" customHeight="1">
      <c r="D104" s="93"/>
    </row>
    <row r="105" spans="1:6" ht="16.95" customHeight="1">
      <c r="A105" s="88" t="str">
        <f>TONGQUAN!C19</f>
        <v>Ngân hàng TNHH MTV Standard Chartered (Việt Nam)</v>
      </c>
      <c r="B105" s="89"/>
      <c r="D105" s="94"/>
      <c r="E105" s="88" t="s">
        <v>878</v>
      </c>
      <c r="F105" s="89"/>
    </row>
    <row r="106" spans="1:6" ht="16.95" customHeight="1">
      <c r="A106" s="90" t="str">
        <f>TONGQUAN!C20</f>
        <v>Vũ Hương Giang</v>
      </c>
      <c r="D106" s="94"/>
      <c r="E106" s="90" t="s">
        <v>884</v>
      </c>
    </row>
    <row r="107" spans="1:6" ht="16.95" customHeight="1">
      <c r="A107" s="29" t="str">
        <f>TONGQUAN!C21</f>
        <v>Trưởng phòng Nghiệp vụ và Dịch vụ Quỹ</v>
      </c>
      <c r="D107" s="93"/>
      <c r="E107" s="29" t="s">
        <v>886</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8"/>
  <sheetViews>
    <sheetView view="pageBreakPreview" zoomScale="80" zoomScaleNormal="100" zoomScaleSheetLayoutView="80" workbookViewId="0">
      <selection activeCell="D84" sqref="D84"/>
    </sheetView>
  </sheetViews>
  <sheetFormatPr defaultColWidth="8.77734375" defaultRowHeight="15"/>
  <cols>
    <col min="1" max="1" width="9" style="29" customWidth="1"/>
    <col min="2" max="2" width="39.77734375" style="29" customWidth="1"/>
    <col min="3" max="3" width="9.21875" style="29" customWidth="1"/>
    <col min="4" max="4" width="28" style="29" customWidth="1"/>
    <col min="5" max="5" width="33.77734375" style="29" customWidth="1"/>
    <col min="6" max="6" width="32.21875" style="29" customWidth="1"/>
    <col min="7" max="7" width="28.5546875" style="29" customWidth="1"/>
    <col min="8" max="16384" width="8.77734375" style="95"/>
  </cols>
  <sheetData>
    <row r="1" spans="1:7" ht="44.25" customHeight="1">
      <c r="A1" s="171" t="s">
        <v>302</v>
      </c>
      <c r="B1" s="171"/>
      <c r="C1" s="171"/>
      <c r="D1" s="171"/>
      <c r="E1" s="171"/>
      <c r="F1" s="171"/>
      <c r="G1" s="171"/>
    </row>
    <row r="2" spans="1:7" ht="59.25" customHeight="1">
      <c r="A2" s="172" t="s">
        <v>303</v>
      </c>
      <c r="B2" s="172"/>
      <c r="C2" s="172"/>
      <c r="D2" s="172"/>
      <c r="E2" s="172"/>
      <c r="F2" s="172"/>
      <c r="G2" s="172"/>
    </row>
    <row r="3" spans="1:7" ht="15" customHeight="1">
      <c r="A3" s="173" t="s">
        <v>252</v>
      </c>
      <c r="B3" s="173"/>
      <c r="C3" s="173"/>
      <c r="D3" s="173"/>
      <c r="E3" s="173"/>
      <c r="F3" s="173"/>
      <c r="G3" s="173"/>
    </row>
    <row r="4" spans="1:7" ht="27.45" customHeight="1">
      <c r="A4" s="173"/>
      <c r="B4" s="173"/>
      <c r="C4" s="173"/>
      <c r="D4" s="173"/>
      <c r="E4" s="173"/>
      <c r="F4" s="173"/>
      <c r="G4" s="173"/>
    </row>
    <row r="5" spans="1:7" ht="16.95" customHeight="1">
      <c r="A5" s="174" t="str">
        <f>TONGQUAN!C1</f>
        <v>Tại ngày 31 tháng 05 năm 2025
/ As at 31 May 2025</v>
      </c>
      <c r="B5" s="174"/>
      <c r="C5" s="174"/>
      <c r="D5" s="174"/>
      <c r="E5" s="174"/>
      <c r="F5" s="174"/>
      <c r="G5" s="174"/>
    </row>
    <row r="6" spans="1:7" ht="16.95" customHeight="1"/>
    <row r="7" spans="1:7" ht="16.95" customHeight="1">
      <c r="A7" s="58" t="s">
        <v>2</v>
      </c>
      <c r="C7" s="175" t="str">
        <f>TONGQUAN!D5</f>
        <v>Công ty Cổ phần Quản lý Quỹ Đầu tư Dragon Capital Việt Nam</v>
      </c>
      <c r="D7" s="175"/>
      <c r="E7" s="175"/>
      <c r="F7" s="175"/>
      <c r="G7" s="175"/>
    </row>
    <row r="8" spans="1:7" ht="16.95" customHeight="1">
      <c r="A8" s="29" t="s">
        <v>15</v>
      </c>
      <c r="C8" s="170" t="str">
        <f>TONGQUAN!D6</f>
        <v>Dragon Capital Vietfund Management Joint Stock Company</v>
      </c>
      <c r="D8" s="170"/>
      <c r="E8" s="170"/>
      <c r="F8" s="170"/>
      <c r="G8" s="170"/>
    </row>
    <row r="9" spans="1:7" ht="16.95" customHeight="1">
      <c r="A9" s="58" t="s">
        <v>3</v>
      </c>
      <c r="C9" s="175" t="str">
        <f>TONGQUAN!D7</f>
        <v>Ngân hàng TNHH Một thành viên Standard Chartered (Việt Nam)</v>
      </c>
      <c r="D9" s="175"/>
      <c r="E9" s="175"/>
      <c r="F9" s="175"/>
      <c r="G9" s="175"/>
    </row>
    <row r="10" spans="1:7" ht="16.95" customHeight="1">
      <c r="A10" s="29" t="s">
        <v>4</v>
      </c>
      <c r="C10" s="170" t="str">
        <f>TONGQUAN!D8</f>
        <v>Standard Chartered Bank (Vietnam) Limited</v>
      </c>
      <c r="D10" s="170"/>
      <c r="E10" s="170"/>
      <c r="F10" s="170"/>
      <c r="G10" s="170"/>
    </row>
    <row r="11" spans="1:7" ht="16.95" customHeight="1">
      <c r="A11" s="58" t="s">
        <v>5</v>
      </c>
      <c r="C11" s="175" t="str">
        <f>TONGQUAN!D9</f>
        <v>Quỹ Đầu tư Trái phiếu DC</v>
      </c>
      <c r="D11" s="175"/>
      <c r="E11" s="175"/>
      <c r="F11" s="175"/>
      <c r="G11" s="175"/>
    </row>
    <row r="12" spans="1:7" ht="16.95" customHeight="1">
      <c r="A12" s="29" t="s">
        <v>6</v>
      </c>
      <c r="C12" s="170" t="str">
        <f>TONGQUAN!D10</f>
        <v>DC Bond Fund (DCBF)</v>
      </c>
      <c r="D12" s="170"/>
      <c r="E12" s="170"/>
      <c r="F12" s="170"/>
      <c r="G12" s="170"/>
    </row>
    <row r="13" spans="1:7" ht="16.95" customHeight="1">
      <c r="A13" s="58" t="s">
        <v>7</v>
      </c>
      <c r="C13" s="175" t="str">
        <f>TONGQUAN!D11</f>
        <v>Ngày 02 tháng 06 năm 2025</v>
      </c>
      <c r="D13" s="175"/>
      <c r="E13" s="175"/>
      <c r="F13" s="175"/>
      <c r="G13" s="175"/>
    </row>
    <row r="14" spans="1:7" ht="16.95" customHeight="1">
      <c r="A14" s="29" t="s">
        <v>8</v>
      </c>
      <c r="C14" s="170" t="str">
        <f>TONGQUAN!D12</f>
        <v>02 Jun 2025</v>
      </c>
      <c r="D14" s="170"/>
      <c r="E14" s="170"/>
      <c r="F14" s="170"/>
      <c r="G14" s="170"/>
    </row>
    <row r="15" spans="1:7" ht="18" hidden="1" customHeight="1"/>
    <row r="16" spans="1:7" ht="16.95" customHeight="1">
      <c r="A16" s="32" t="s">
        <v>300</v>
      </c>
      <c r="B16" s="33" t="s">
        <v>301</v>
      </c>
    </row>
    <row r="17" spans="1:7" ht="16.95" customHeight="1">
      <c r="A17" s="59" t="s">
        <v>23</v>
      </c>
      <c r="B17" s="60" t="s">
        <v>254</v>
      </c>
    </row>
    <row r="18" spans="1:7" ht="75.45" customHeight="1">
      <c r="A18" s="96" t="s">
        <v>143</v>
      </c>
      <c r="B18" s="96" t="s">
        <v>101</v>
      </c>
      <c r="C18" s="96" t="s">
        <v>19</v>
      </c>
      <c r="D18" s="96" t="s">
        <v>102</v>
      </c>
      <c r="E18" s="96" t="s">
        <v>103</v>
      </c>
      <c r="F18" s="96" t="s">
        <v>104</v>
      </c>
      <c r="G18" s="96" t="s">
        <v>105</v>
      </c>
    </row>
    <row r="19" spans="1:7" ht="72.45" customHeight="1">
      <c r="A19" s="39" t="s">
        <v>372</v>
      </c>
      <c r="B19" s="40" t="s">
        <v>373</v>
      </c>
      <c r="C19" s="39"/>
      <c r="D19" s="41"/>
      <c r="E19" s="41"/>
      <c r="F19" s="41"/>
      <c r="G19" s="42"/>
    </row>
    <row r="20" spans="1:7" ht="39" customHeight="1">
      <c r="A20" s="43"/>
      <c r="B20" s="44"/>
      <c r="C20" s="97"/>
      <c r="D20" s="45"/>
      <c r="E20" s="98"/>
      <c r="F20" s="45"/>
      <c r="G20" s="46"/>
    </row>
    <row r="21" spans="1:7" ht="39" customHeight="1">
      <c r="A21" s="39"/>
      <c r="B21" s="40" t="s">
        <v>374</v>
      </c>
      <c r="C21" s="39" t="s">
        <v>375</v>
      </c>
      <c r="D21" s="41"/>
      <c r="E21" s="41"/>
      <c r="F21" s="41"/>
      <c r="G21" s="42"/>
    </row>
    <row r="22" spans="1:7" ht="99" customHeight="1">
      <c r="A22" s="39" t="s">
        <v>376</v>
      </c>
      <c r="B22" s="40" t="s">
        <v>377</v>
      </c>
      <c r="C22" s="39" t="s">
        <v>378</v>
      </c>
      <c r="D22" s="41"/>
      <c r="E22" s="41"/>
      <c r="F22" s="41"/>
      <c r="G22" s="42"/>
    </row>
    <row r="23" spans="1:7" ht="39" customHeight="1">
      <c r="A23" s="43"/>
      <c r="B23" s="44"/>
      <c r="C23" s="97"/>
      <c r="D23" s="45"/>
      <c r="E23" s="98"/>
      <c r="F23" s="45"/>
      <c r="G23" s="46"/>
    </row>
    <row r="24" spans="1:7" ht="39" customHeight="1">
      <c r="A24" s="39"/>
      <c r="B24" s="40" t="s">
        <v>379</v>
      </c>
      <c r="C24" s="39" t="s">
        <v>380</v>
      </c>
      <c r="D24" s="41"/>
      <c r="E24" s="41"/>
      <c r="F24" s="41"/>
      <c r="G24" s="42"/>
    </row>
    <row r="25" spans="1:7" ht="101.55" customHeight="1">
      <c r="A25" s="39" t="s">
        <v>381</v>
      </c>
      <c r="B25" s="40" t="s">
        <v>382</v>
      </c>
      <c r="C25" s="39" t="s">
        <v>383</v>
      </c>
      <c r="D25" s="41"/>
      <c r="E25" s="41"/>
      <c r="F25" s="41"/>
      <c r="G25" s="42"/>
    </row>
    <row r="26" spans="1:7" ht="39" customHeight="1">
      <c r="A26" s="43"/>
      <c r="B26" s="44"/>
      <c r="C26" s="97"/>
      <c r="D26" s="45"/>
      <c r="E26" s="98"/>
      <c r="F26" s="45"/>
      <c r="G26" s="46"/>
    </row>
    <row r="27" spans="1:7" ht="39" customHeight="1">
      <c r="A27" s="39"/>
      <c r="B27" s="40" t="s">
        <v>384</v>
      </c>
      <c r="C27" s="39" t="s">
        <v>385</v>
      </c>
      <c r="D27" s="41"/>
      <c r="E27" s="41"/>
      <c r="F27" s="41">
        <v>0</v>
      </c>
      <c r="G27" s="42">
        <v>0</v>
      </c>
    </row>
    <row r="28" spans="1:7" ht="39" customHeight="1">
      <c r="A28" s="39" t="s">
        <v>386</v>
      </c>
      <c r="B28" s="40" t="s">
        <v>387</v>
      </c>
      <c r="C28" s="39" t="s">
        <v>388</v>
      </c>
      <c r="D28" s="41"/>
      <c r="E28" s="41"/>
      <c r="F28" s="41"/>
      <c r="G28" s="42"/>
    </row>
    <row r="29" spans="1:7" ht="39" customHeight="1">
      <c r="A29" s="43"/>
      <c r="B29" s="44"/>
      <c r="C29" s="97"/>
      <c r="D29" s="45"/>
      <c r="E29" s="98"/>
      <c r="F29" s="45"/>
      <c r="G29" s="46"/>
    </row>
    <row r="30" spans="1:7" ht="39" customHeight="1">
      <c r="A30" s="43" t="s">
        <v>389</v>
      </c>
      <c r="B30" s="44" t="s">
        <v>390</v>
      </c>
      <c r="C30" s="97" t="s">
        <v>391</v>
      </c>
      <c r="D30" s="45"/>
      <c r="E30" s="98"/>
      <c r="F30" s="45">
        <v>904412753981</v>
      </c>
      <c r="G30" s="46">
        <v>0.57505187047953799</v>
      </c>
    </row>
    <row r="31" spans="1:7" ht="34.049999999999997" customHeight="1">
      <c r="A31" s="43" t="s">
        <v>392</v>
      </c>
      <c r="B31" s="44" t="s">
        <v>393</v>
      </c>
      <c r="C31" s="97" t="s">
        <v>394</v>
      </c>
      <c r="D31" s="45">
        <v>690000</v>
      </c>
      <c r="E31" s="98">
        <v>100051.818</v>
      </c>
      <c r="F31" s="45">
        <v>69035754420</v>
      </c>
      <c r="G31" s="46">
        <v>4.3894935729777498E-2</v>
      </c>
    </row>
    <row r="32" spans="1:7" ht="34.049999999999997" customHeight="1">
      <c r="A32" s="43" t="s">
        <v>395</v>
      </c>
      <c r="B32" s="44" t="s">
        <v>396</v>
      </c>
      <c r="C32" s="97" t="s">
        <v>397</v>
      </c>
      <c r="D32" s="45">
        <v>452357</v>
      </c>
      <c r="E32" s="98">
        <v>100488.299999</v>
      </c>
      <c r="F32" s="45">
        <v>45456585923</v>
      </c>
      <c r="G32" s="46">
        <v>2.8902616250792199E-2</v>
      </c>
    </row>
    <row r="33" spans="1:7" ht="34.049999999999997" customHeight="1">
      <c r="A33" s="43" t="s">
        <v>398</v>
      </c>
      <c r="B33" s="44" t="s">
        <v>399</v>
      </c>
      <c r="C33" s="97" t="s">
        <v>400</v>
      </c>
      <c r="D33" s="45">
        <v>993</v>
      </c>
      <c r="E33" s="98">
        <v>99992284</v>
      </c>
      <c r="F33" s="45">
        <v>99292338012</v>
      </c>
      <c r="G33" s="46">
        <v>6.3132949471084804E-2</v>
      </c>
    </row>
    <row r="34" spans="1:7" ht="34.049999999999997" customHeight="1">
      <c r="A34" s="43" t="s">
        <v>401</v>
      </c>
      <c r="B34" s="44" t="s">
        <v>402</v>
      </c>
      <c r="C34" s="97" t="s">
        <v>403</v>
      </c>
      <c r="D34" s="45">
        <v>100000</v>
      </c>
      <c r="E34" s="98">
        <v>99961.347999999998</v>
      </c>
      <c r="F34" s="45">
        <v>9996134800</v>
      </c>
      <c r="G34" s="46">
        <v>6.3558325432752196E-3</v>
      </c>
    </row>
    <row r="35" spans="1:7" ht="34.049999999999997" customHeight="1">
      <c r="A35" s="43" t="s">
        <v>404</v>
      </c>
      <c r="B35" s="44" t="s">
        <v>405</v>
      </c>
      <c r="C35" s="97" t="s">
        <v>406</v>
      </c>
      <c r="D35" s="45">
        <v>1000000</v>
      </c>
      <c r="E35" s="98">
        <v>99958.388999999996</v>
      </c>
      <c r="F35" s="45">
        <v>99958389000</v>
      </c>
      <c r="G35" s="46">
        <v>6.35564440146969E-2</v>
      </c>
    </row>
    <row r="36" spans="1:7" ht="34.049999999999997" customHeight="1">
      <c r="A36" s="43" t="s">
        <v>407</v>
      </c>
      <c r="B36" s="44" t="s">
        <v>408</v>
      </c>
      <c r="C36" s="97" t="s">
        <v>409</v>
      </c>
      <c r="D36" s="45">
        <v>400230</v>
      </c>
      <c r="E36" s="98">
        <v>99977.506999999998</v>
      </c>
      <c r="F36" s="45">
        <v>40013997627</v>
      </c>
      <c r="G36" s="46">
        <v>2.5442060695722499E-2</v>
      </c>
    </row>
    <row r="37" spans="1:7" ht="34.049999999999997" customHeight="1">
      <c r="A37" s="43" t="s">
        <v>410</v>
      </c>
      <c r="B37" s="44" t="s">
        <v>411</v>
      </c>
      <c r="C37" s="97" t="s">
        <v>412</v>
      </c>
      <c r="D37" s="45">
        <v>1050000</v>
      </c>
      <c r="E37" s="98">
        <v>99679.346000000005</v>
      </c>
      <c r="F37" s="45">
        <v>104663313300</v>
      </c>
      <c r="G37" s="46">
        <v>6.6547971397819705E-2</v>
      </c>
    </row>
    <row r="38" spans="1:7" ht="34.049999999999997" customHeight="1">
      <c r="A38" s="43" t="s">
        <v>413</v>
      </c>
      <c r="B38" s="44" t="s">
        <v>414</v>
      </c>
      <c r="C38" s="97" t="s">
        <v>415</v>
      </c>
      <c r="D38" s="45">
        <v>250000</v>
      </c>
      <c r="E38" s="98">
        <v>99678.744000000006</v>
      </c>
      <c r="F38" s="45">
        <v>24919686000</v>
      </c>
      <c r="G38" s="46">
        <v>1.5844659402452201E-2</v>
      </c>
    </row>
    <row r="39" spans="1:7" ht="34.049999999999997" customHeight="1">
      <c r="A39" s="43" t="s">
        <v>416</v>
      </c>
      <c r="B39" s="44" t="s">
        <v>417</v>
      </c>
      <c r="C39" s="97" t="s">
        <v>418</v>
      </c>
      <c r="D39" s="45">
        <v>563794</v>
      </c>
      <c r="E39" s="98">
        <v>99999.493998999998</v>
      </c>
      <c r="F39" s="45">
        <v>56379114720</v>
      </c>
      <c r="G39" s="46">
        <v>3.5847476976643297E-2</v>
      </c>
    </row>
    <row r="40" spans="1:7" ht="34.049999999999997" customHeight="1">
      <c r="A40" s="43" t="s">
        <v>419</v>
      </c>
      <c r="B40" s="44" t="s">
        <v>420</v>
      </c>
      <c r="C40" s="97" t="s">
        <v>421</v>
      </c>
      <c r="D40" s="45">
        <v>815000</v>
      </c>
      <c r="E40" s="98">
        <v>100724.60400000001</v>
      </c>
      <c r="F40" s="45">
        <v>82090552260</v>
      </c>
      <c r="G40" s="46">
        <v>5.2195554980865498E-2</v>
      </c>
    </row>
    <row r="41" spans="1:7" ht="34.049999999999997" customHeight="1">
      <c r="A41" s="43" t="s">
        <v>422</v>
      </c>
      <c r="B41" s="44" t="s">
        <v>423</v>
      </c>
      <c r="C41" s="97" t="s">
        <v>424</v>
      </c>
      <c r="D41" s="45">
        <v>220480</v>
      </c>
      <c r="E41" s="98">
        <v>98285.375</v>
      </c>
      <c r="F41" s="45">
        <v>21669959480</v>
      </c>
      <c r="G41" s="46">
        <v>1.3778388990356501E-2</v>
      </c>
    </row>
    <row r="42" spans="1:7" ht="34.049999999999997" customHeight="1">
      <c r="A42" s="43" t="s">
        <v>425</v>
      </c>
      <c r="B42" s="44" t="s">
        <v>426</v>
      </c>
      <c r="C42" s="97" t="s">
        <v>427</v>
      </c>
      <c r="D42" s="45">
        <v>280000</v>
      </c>
      <c r="E42" s="98">
        <v>99004.55</v>
      </c>
      <c r="F42" s="45">
        <v>27721274000</v>
      </c>
      <c r="G42" s="46">
        <v>1.7625990340811502E-2</v>
      </c>
    </row>
    <row r="43" spans="1:7" ht="34.049999999999997" customHeight="1">
      <c r="A43" s="43" t="s">
        <v>428</v>
      </c>
      <c r="B43" s="44" t="s">
        <v>429</v>
      </c>
      <c r="C43" s="97" t="s">
        <v>430</v>
      </c>
      <c r="D43" s="45">
        <v>1533233</v>
      </c>
      <c r="E43" s="98">
        <v>99759.739998999998</v>
      </c>
      <c r="F43" s="45">
        <v>152954925439</v>
      </c>
      <c r="G43" s="46">
        <v>9.7253179574912405E-2</v>
      </c>
    </row>
    <row r="44" spans="1:7" ht="34.049999999999997" customHeight="1">
      <c r="A44" s="43" t="s">
        <v>431</v>
      </c>
      <c r="B44" s="44" t="s">
        <v>432</v>
      </c>
      <c r="C44" s="97" t="s">
        <v>433</v>
      </c>
      <c r="D44" s="45">
        <v>700000</v>
      </c>
      <c r="E44" s="98">
        <v>100372.47</v>
      </c>
      <c r="F44" s="45">
        <v>70260729000</v>
      </c>
      <c r="G44" s="46">
        <v>4.4673810110327901E-2</v>
      </c>
    </row>
    <row r="45" spans="1:7" ht="39" customHeight="1">
      <c r="A45" s="43" t="s">
        <v>434</v>
      </c>
      <c r="B45" s="44" t="s">
        <v>435</v>
      </c>
      <c r="C45" s="97" t="s">
        <v>436</v>
      </c>
      <c r="D45" s="45"/>
      <c r="E45" s="98"/>
      <c r="F45" s="45">
        <v>136279777910</v>
      </c>
      <c r="G45" s="46">
        <v>8.6650636947262605E-2</v>
      </c>
    </row>
    <row r="46" spans="1:7" ht="34.049999999999997" customHeight="1">
      <c r="A46" s="43" t="s">
        <v>437</v>
      </c>
      <c r="B46" s="44" t="s">
        <v>438</v>
      </c>
      <c r="C46" s="97" t="s">
        <v>439</v>
      </c>
      <c r="D46" s="45">
        <v>360</v>
      </c>
      <c r="E46" s="98">
        <v>97916016</v>
      </c>
      <c r="F46" s="45">
        <v>35249765760</v>
      </c>
      <c r="G46" s="46">
        <v>2.2412823840694599E-2</v>
      </c>
    </row>
    <row r="47" spans="1:7" ht="34.049999999999997" customHeight="1">
      <c r="A47" s="43" t="s">
        <v>440</v>
      </c>
      <c r="B47" s="44" t="s">
        <v>441</v>
      </c>
      <c r="C47" s="97" t="s">
        <v>442</v>
      </c>
      <c r="D47" s="45">
        <v>101</v>
      </c>
      <c r="E47" s="98">
        <v>1000297150</v>
      </c>
      <c r="F47" s="45">
        <v>101030012150</v>
      </c>
      <c r="G47" s="46">
        <v>6.4237813106567995E-2</v>
      </c>
    </row>
    <row r="48" spans="1:7" ht="39" customHeight="1">
      <c r="A48" s="39"/>
      <c r="B48" s="40" t="s">
        <v>443</v>
      </c>
      <c r="C48" s="39" t="s">
        <v>444</v>
      </c>
      <c r="D48" s="41"/>
      <c r="E48" s="41"/>
      <c r="F48" s="41">
        <v>1040692531891</v>
      </c>
      <c r="G48" s="42">
        <v>0.66170250742680103</v>
      </c>
    </row>
    <row r="49" spans="1:7" ht="39" customHeight="1">
      <c r="A49" s="39" t="s">
        <v>445</v>
      </c>
      <c r="B49" s="40" t="s">
        <v>446</v>
      </c>
      <c r="C49" s="39" t="s">
        <v>447</v>
      </c>
      <c r="D49" s="41"/>
      <c r="E49" s="41"/>
      <c r="F49" s="41"/>
      <c r="G49" s="42"/>
    </row>
    <row r="50" spans="1:7" ht="39" customHeight="1">
      <c r="A50" s="43"/>
      <c r="B50" s="44"/>
      <c r="C50" s="97"/>
      <c r="D50" s="45"/>
      <c r="E50" s="98"/>
      <c r="F50" s="45"/>
      <c r="G50" s="46"/>
    </row>
    <row r="51" spans="1:7" ht="39" customHeight="1">
      <c r="A51" s="43" t="s">
        <v>448</v>
      </c>
      <c r="B51" s="44" t="s">
        <v>449</v>
      </c>
      <c r="C51" s="97" t="s">
        <v>450</v>
      </c>
      <c r="D51" s="45"/>
      <c r="E51" s="98"/>
      <c r="F51" s="45">
        <v>0</v>
      </c>
      <c r="G51" s="46">
        <v>0</v>
      </c>
    </row>
    <row r="52" spans="1:7" ht="39" customHeight="1">
      <c r="A52" s="43" t="s">
        <v>451</v>
      </c>
      <c r="B52" s="44" t="s">
        <v>452</v>
      </c>
      <c r="C52" s="97" t="s">
        <v>453</v>
      </c>
      <c r="D52" s="45"/>
      <c r="E52" s="98"/>
      <c r="F52" s="45">
        <v>0</v>
      </c>
      <c r="G52" s="46">
        <v>0</v>
      </c>
    </row>
    <row r="53" spans="1:7" ht="34.049999999999997" customHeight="1">
      <c r="A53" s="39"/>
      <c r="B53" s="40" t="s">
        <v>454</v>
      </c>
      <c r="C53" s="39" t="s">
        <v>455</v>
      </c>
      <c r="D53" s="41"/>
      <c r="E53" s="41"/>
      <c r="F53" s="41">
        <v>0</v>
      </c>
      <c r="G53" s="42">
        <v>0</v>
      </c>
    </row>
    <row r="54" spans="1:7" ht="39" customHeight="1">
      <c r="A54" s="39"/>
      <c r="B54" s="40" t="s">
        <v>456</v>
      </c>
      <c r="C54" s="39" t="s">
        <v>457</v>
      </c>
      <c r="D54" s="41"/>
      <c r="E54" s="41"/>
      <c r="F54" s="41">
        <v>1040692531891</v>
      </c>
      <c r="G54" s="42">
        <v>0.66170250742680103</v>
      </c>
    </row>
    <row r="55" spans="1:7" ht="39" customHeight="1">
      <c r="A55" s="39" t="s">
        <v>458</v>
      </c>
      <c r="B55" s="40" t="s">
        <v>459</v>
      </c>
      <c r="C55" s="39" t="s">
        <v>460</v>
      </c>
      <c r="D55" s="41"/>
      <c r="E55" s="41"/>
      <c r="F55" s="41"/>
      <c r="G55" s="42"/>
    </row>
    <row r="56" spans="1:7" ht="39" customHeight="1">
      <c r="A56" s="43"/>
      <c r="B56" s="44"/>
      <c r="C56" s="97"/>
      <c r="D56" s="45"/>
      <c r="E56" s="98"/>
      <c r="F56" s="45"/>
      <c r="G56" s="46"/>
    </row>
    <row r="57" spans="1:7" ht="39" customHeight="1">
      <c r="A57" s="43" t="s">
        <v>461</v>
      </c>
      <c r="B57" s="44" t="s">
        <v>462</v>
      </c>
      <c r="C57" s="97" t="s">
        <v>463</v>
      </c>
      <c r="D57" s="45"/>
      <c r="E57" s="98"/>
      <c r="F57" s="45">
        <v>0</v>
      </c>
      <c r="G57" s="46">
        <v>0</v>
      </c>
    </row>
    <row r="58" spans="1:7" ht="39" customHeight="1">
      <c r="A58" s="43" t="s">
        <v>464</v>
      </c>
      <c r="B58" s="44" t="s">
        <v>465</v>
      </c>
      <c r="C58" s="97" t="s">
        <v>466</v>
      </c>
      <c r="D58" s="45"/>
      <c r="E58" s="98"/>
      <c r="F58" s="45">
        <v>25023604350</v>
      </c>
      <c r="G58" s="46">
        <v>1.5910733704568799E-2</v>
      </c>
    </row>
    <row r="59" spans="1:7" ht="81.45" customHeight="1">
      <c r="A59" s="43" t="s">
        <v>467</v>
      </c>
      <c r="B59" s="44" t="s">
        <v>468</v>
      </c>
      <c r="C59" s="97" t="s">
        <v>469</v>
      </c>
      <c r="D59" s="45"/>
      <c r="E59" s="98"/>
      <c r="F59" s="45">
        <v>5873278742</v>
      </c>
      <c r="G59" s="46">
        <v>3.7344010371018698E-3</v>
      </c>
    </row>
    <row r="60" spans="1:7" ht="55.5" customHeight="1">
      <c r="A60" s="43" t="s">
        <v>470</v>
      </c>
      <c r="B60" s="44" t="s">
        <v>471</v>
      </c>
      <c r="C60" s="97" t="s">
        <v>472</v>
      </c>
      <c r="D60" s="45"/>
      <c r="E60" s="98"/>
      <c r="F60" s="45">
        <v>0</v>
      </c>
      <c r="G60" s="46">
        <v>0</v>
      </c>
    </row>
    <row r="61" spans="1:7" ht="73.5" customHeight="1">
      <c r="A61" s="43" t="s">
        <v>473</v>
      </c>
      <c r="B61" s="44" t="s">
        <v>474</v>
      </c>
      <c r="C61" s="97" t="s">
        <v>475</v>
      </c>
      <c r="D61" s="45"/>
      <c r="E61" s="98"/>
      <c r="F61" s="45">
        <v>0</v>
      </c>
      <c r="G61" s="46">
        <v>0</v>
      </c>
    </row>
    <row r="62" spans="1:7" ht="39" customHeight="1">
      <c r="A62" s="43" t="s">
        <v>476</v>
      </c>
      <c r="B62" s="44" t="s">
        <v>477</v>
      </c>
      <c r="C62" s="97" t="s">
        <v>478</v>
      </c>
      <c r="D62" s="45"/>
      <c r="E62" s="98"/>
      <c r="F62" s="45">
        <v>0</v>
      </c>
      <c r="G62" s="46">
        <v>0</v>
      </c>
    </row>
    <row r="63" spans="1:7" ht="39" customHeight="1">
      <c r="A63" s="43" t="s">
        <v>479</v>
      </c>
      <c r="B63" s="44" t="s">
        <v>480</v>
      </c>
      <c r="C63" s="97" t="s">
        <v>481</v>
      </c>
      <c r="D63" s="45"/>
      <c r="E63" s="98"/>
      <c r="F63" s="45">
        <v>40689565</v>
      </c>
      <c r="G63" s="46">
        <v>2.5871606033035099E-5</v>
      </c>
    </row>
    <row r="64" spans="1:7" ht="39" customHeight="1">
      <c r="A64" s="39"/>
      <c r="B64" s="40" t="s">
        <v>482</v>
      </c>
      <c r="C64" s="39" t="s">
        <v>483</v>
      </c>
      <c r="D64" s="41"/>
      <c r="E64" s="41"/>
      <c r="F64" s="41">
        <v>30937572657</v>
      </c>
      <c r="G64" s="42">
        <v>1.96710063477037E-2</v>
      </c>
    </row>
    <row r="65" spans="1:7" ht="39" customHeight="1">
      <c r="A65" s="39" t="s">
        <v>484</v>
      </c>
      <c r="B65" s="40" t="s">
        <v>485</v>
      </c>
      <c r="C65" s="39" t="s">
        <v>486</v>
      </c>
      <c r="D65" s="41"/>
      <c r="E65" s="41"/>
      <c r="F65" s="41"/>
      <c r="G65" s="42"/>
    </row>
    <row r="66" spans="1:7" ht="39" customHeight="1">
      <c r="A66" s="43" t="s">
        <v>487</v>
      </c>
      <c r="B66" s="44" t="s">
        <v>488</v>
      </c>
      <c r="C66" s="97" t="s">
        <v>489</v>
      </c>
      <c r="D66" s="45"/>
      <c r="E66" s="98"/>
      <c r="F66" s="45">
        <v>184529769434</v>
      </c>
      <c r="G66" s="46">
        <v>0.117329381529718</v>
      </c>
    </row>
    <row r="67" spans="1:7" ht="39" customHeight="1">
      <c r="A67" s="43"/>
      <c r="B67" s="44"/>
      <c r="C67" s="97"/>
      <c r="D67" s="45"/>
      <c r="E67" s="98"/>
      <c r="F67" s="45"/>
      <c r="G67" s="46"/>
    </row>
    <row r="68" spans="1:7" ht="39" customHeight="1">
      <c r="A68" s="43" t="s">
        <v>490</v>
      </c>
      <c r="B68" s="44" t="s">
        <v>491</v>
      </c>
      <c r="C68" s="97" t="s">
        <v>492</v>
      </c>
      <c r="D68" s="45"/>
      <c r="E68" s="98"/>
      <c r="F68" s="45">
        <v>3929769434</v>
      </c>
      <c r="G68" s="46">
        <v>2.4986614282337801E-3</v>
      </c>
    </row>
    <row r="69" spans="1:7" ht="39" customHeight="1">
      <c r="A69" s="43" t="s">
        <v>493</v>
      </c>
      <c r="B69" s="44" t="s">
        <v>494</v>
      </c>
      <c r="C69" s="97" t="s">
        <v>495</v>
      </c>
      <c r="D69" s="45"/>
      <c r="E69" s="98"/>
      <c r="F69" s="45">
        <v>180600000000</v>
      </c>
      <c r="G69" s="46">
        <v>0.114830720101484</v>
      </c>
    </row>
    <row r="70" spans="1:7" ht="70.95" customHeight="1">
      <c r="A70" s="43" t="s">
        <v>496</v>
      </c>
      <c r="B70" s="44" t="s">
        <v>497</v>
      </c>
      <c r="C70" s="97" t="s">
        <v>498</v>
      </c>
      <c r="D70" s="45"/>
      <c r="E70" s="98"/>
      <c r="F70" s="45">
        <v>91604164384</v>
      </c>
      <c r="G70" s="46">
        <v>5.8244585606364599E-2</v>
      </c>
    </row>
    <row r="71" spans="1:7" ht="39" customHeight="1">
      <c r="A71" s="43"/>
      <c r="B71" s="44"/>
      <c r="C71" s="97"/>
      <c r="D71" s="45"/>
      <c r="E71" s="98"/>
      <c r="F71" s="45"/>
      <c r="G71" s="46"/>
    </row>
    <row r="72" spans="1:7" ht="39" customHeight="1">
      <c r="A72" s="43" t="s">
        <v>499</v>
      </c>
      <c r="B72" s="44" t="s">
        <v>500</v>
      </c>
      <c r="C72" s="97" t="s">
        <v>501</v>
      </c>
      <c r="D72" s="45"/>
      <c r="E72" s="98"/>
      <c r="F72" s="45">
        <v>224985830662</v>
      </c>
      <c r="G72" s="46">
        <v>0.14305251908941299</v>
      </c>
    </row>
    <row r="73" spans="1:7" ht="39" customHeight="1">
      <c r="A73" s="39"/>
      <c r="B73" s="40" t="s">
        <v>502</v>
      </c>
      <c r="C73" s="39" t="s">
        <v>503</v>
      </c>
      <c r="D73" s="41"/>
      <c r="E73" s="41"/>
      <c r="F73" s="41">
        <v>501119764480</v>
      </c>
      <c r="G73" s="42">
        <v>0.318626486225496</v>
      </c>
    </row>
    <row r="74" spans="1:7" ht="39" customHeight="1">
      <c r="A74" s="39" t="s">
        <v>504</v>
      </c>
      <c r="B74" s="40" t="s">
        <v>505</v>
      </c>
      <c r="C74" s="39" t="s">
        <v>506</v>
      </c>
      <c r="D74" s="41"/>
      <c r="E74" s="41"/>
      <c r="F74" s="41">
        <v>1572749869028</v>
      </c>
      <c r="G74" s="42">
        <v>1</v>
      </c>
    </row>
    <row r="75" spans="1:7" ht="16.95" customHeight="1">
      <c r="A75" s="99"/>
      <c r="E75" s="48"/>
    </row>
    <row r="76" spans="1:7" ht="16.95" customHeight="1">
      <c r="A76" s="48" t="s">
        <v>10</v>
      </c>
      <c r="E76" s="48" t="s">
        <v>11</v>
      </c>
    </row>
    <row r="77" spans="1:7" ht="16.95" customHeight="1">
      <c r="A77" s="50" t="s">
        <v>12</v>
      </c>
      <c r="E77" s="50" t="s">
        <v>13</v>
      </c>
    </row>
    <row r="78" spans="1:7" ht="16.95" customHeight="1"/>
    <row r="79" spans="1:7" ht="16.95" customHeight="1">
      <c r="A79" s="90"/>
      <c r="E79" s="90"/>
    </row>
    <row r="80" spans="1:7" ht="16.95" customHeight="1"/>
    <row r="81" spans="1:7" ht="16.95" customHeight="1"/>
    <row r="82" spans="1:7" ht="16.95" customHeight="1"/>
    <row r="83" spans="1:7" ht="16.95" customHeight="1"/>
    <row r="84" spans="1:7" ht="16.95" customHeight="1"/>
    <row r="85" spans="1:7" ht="16.95" customHeight="1"/>
    <row r="86" spans="1:7" ht="16.95" customHeight="1">
      <c r="A86" s="100" t="s">
        <v>14</v>
      </c>
      <c r="B86" s="89"/>
      <c r="C86" s="89"/>
      <c r="E86" s="100" t="s">
        <v>878</v>
      </c>
      <c r="F86" s="89"/>
      <c r="G86" s="89"/>
    </row>
    <row r="87" spans="1:7" ht="16.95" customHeight="1">
      <c r="A87" s="101" t="s">
        <v>256</v>
      </c>
      <c r="E87" s="101" t="s">
        <v>884</v>
      </c>
    </row>
    <row r="88" spans="1:7" ht="16.95" customHeight="1">
      <c r="A88" s="102" t="s">
        <v>885</v>
      </c>
      <c r="E88" s="102" t="s">
        <v>886</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50"/>
  <sheetViews>
    <sheetView view="pageBreakPreview" zoomScale="70" zoomScaleNormal="85" zoomScaleSheetLayoutView="70" workbookViewId="0">
      <selection activeCell="A35" sqref="A35:XFD38"/>
    </sheetView>
  </sheetViews>
  <sheetFormatPr defaultColWidth="9.21875" defaultRowHeight="15.6"/>
  <cols>
    <col min="1" max="1" width="4.77734375" style="130" customWidth="1"/>
    <col min="2" max="2" width="34.44140625" style="104" customWidth="1"/>
    <col min="3" max="3" width="14.44140625" style="104" customWidth="1"/>
    <col min="4" max="4" width="11.77734375" style="104" customWidth="1"/>
    <col min="5" max="5" width="12.21875" style="104" customWidth="1"/>
    <col min="6" max="6" width="12.5546875" style="104" customWidth="1"/>
    <col min="7" max="7" width="16.44140625" style="104" customWidth="1"/>
    <col min="8" max="9" width="19" style="104" customWidth="1"/>
    <col min="10" max="10" width="50.5546875" style="104" customWidth="1"/>
    <col min="11" max="16384" width="9.21875" style="104"/>
  </cols>
  <sheetData>
    <row r="1" spans="1:10" s="103" customFormat="1" ht="46.5" customHeight="1">
      <c r="A1" s="176" t="s">
        <v>302</v>
      </c>
      <c r="B1" s="176"/>
      <c r="C1" s="176"/>
      <c r="D1" s="176"/>
      <c r="E1" s="176"/>
      <c r="F1" s="176"/>
      <c r="G1" s="176"/>
      <c r="H1" s="176"/>
      <c r="I1" s="176"/>
      <c r="J1" s="176"/>
    </row>
    <row r="2" spans="1:10" ht="49.05" customHeight="1">
      <c r="A2" s="177" t="s">
        <v>304</v>
      </c>
      <c r="B2" s="177"/>
      <c r="C2" s="177"/>
      <c r="D2" s="177"/>
      <c r="E2" s="177"/>
      <c r="F2" s="177"/>
      <c r="G2" s="177"/>
      <c r="H2" s="177"/>
      <c r="I2" s="177"/>
      <c r="J2" s="177"/>
    </row>
    <row r="3" spans="1:10" ht="19.2" customHeight="1">
      <c r="A3" s="178" t="s">
        <v>252</v>
      </c>
      <c r="B3" s="178"/>
      <c r="C3" s="178"/>
      <c r="D3" s="178"/>
      <c r="E3" s="178"/>
      <c r="F3" s="178"/>
      <c r="G3" s="178"/>
      <c r="H3" s="178"/>
      <c r="I3" s="178"/>
      <c r="J3" s="178"/>
    </row>
    <row r="4" spans="1:10" ht="21.6" customHeight="1">
      <c r="A4" s="178"/>
      <c r="B4" s="178"/>
      <c r="C4" s="178"/>
      <c r="D4" s="178"/>
      <c r="E4" s="178"/>
      <c r="F4" s="178"/>
      <c r="G4" s="178"/>
      <c r="H4" s="178"/>
      <c r="I4" s="178"/>
      <c r="J4" s="178"/>
    </row>
    <row r="5" spans="1:10">
      <c r="A5" s="179" t="str">
        <f>TONGQUAN!C2</f>
        <v>Tháng 05 năm 2025
/ May 2025</v>
      </c>
      <c r="B5" s="179"/>
      <c r="C5" s="179"/>
      <c r="D5" s="179"/>
      <c r="E5" s="179"/>
      <c r="F5" s="179"/>
      <c r="G5" s="179"/>
      <c r="H5" s="179"/>
      <c r="I5" s="179"/>
      <c r="J5" s="179"/>
    </row>
    <row r="6" spans="1:10">
      <c r="A6" s="105"/>
      <c r="B6" s="105"/>
      <c r="C6" s="105"/>
      <c r="D6" s="105"/>
      <c r="E6" s="105"/>
      <c r="F6" s="106"/>
      <c r="G6" s="107"/>
      <c r="H6" s="107"/>
      <c r="I6" s="107"/>
      <c r="J6" s="107"/>
    </row>
    <row r="7" spans="1:10">
      <c r="A7" s="180" t="s">
        <v>2</v>
      </c>
      <c r="B7" s="181"/>
      <c r="C7" s="107"/>
      <c r="D7" s="107"/>
      <c r="E7" s="107"/>
      <c r="F7" s="107"/>
      <c r="G7" s="182" t="str">
        <f>TONGQUAN!D5</f>
        <v>Công ty Cổ phần Quản lý Quỹ Đầu tư Dragon Capital Việt Nam</v>
      </c>
      <c r="H7" s="182"/>
      <c r="I7" s="182"/>
      <c r="J7" s="182"/>
    </row>
    <row r="8" spans="1:10" ht="15" customHeight="1">
      <c r="A8" s="183" t="s">
        <v>15</v>
      </c>
      <c r="B8" s="183"/>
      <c r="C8" s="107"/>
      <c r="D8" s="107"/>
      <c r="E8" s="107"/>
      <c r="F8" s="107"/>
      <c r="G8" s="184" t="str">
        <f>TONGQUAN!D6</f>
        <v>Dragon Capital Vietfund Management Joint Stock Company</v>
      </c>
      <c r="H8" s="184"/>
      <c r="I8" s="184"/>
      <c r="J8" s="184"/>
    </row>
    <row r="9" spans="1:10">
      <c r="A9" s="185" t="s">
        <v>3</v>
      </c>
      <c r="B9" s="186"/>
      <c r="C9" s="107"/>
      <c r="D9" s="107"/>
      <c r="E9" s="107"/>
      <c r="F9" s="107"/>
      <c r="G9" s="187" t="str">
        <f>TONGQUAN!D7</f>
        <v>Ngân hàng TNHH Một thành viên Standard Chartered (Việt Nam)</v>
      </c>
      <c r="H9" s="187"/>
      <c r="I9" s="187"/>
      <c r="J9" s="187"/>
    </row>
    <row r="10" spans="1:10" ht="15" customHeight="1">
      <c r="A10" s="186" t="s">
        <v>4</v>
      </c>
      <c r="B10" s="186"/>
      <c r="C10" s="107"/>
      <c r="D10" s="107"/>
      <c r="E10" s="107"/>
      <c r="F10" s="107"/>
      <c r="G10" s="184" t="str">
        <f>TONGQUAN!D8</f>
        <v>Standard Chartered Bank (Vietnam) Limited</v>
      </c>
      <c r="H10" s="184"/>
      <c r="I10" s="184"/>
      <c r="J10" s="184"/>
    </row>
    <row r="11" spans="1:10" ht="15" customHeight="1">
      <c r="A11" s="185" t="s">
        <v>5</v>
      </c>
      <c r="B11" s="188"/>
      <c r="C11" s="107"/>
      <c r="D11" s="107"/>
      <c r="E11" s="107"/>
      <c r="F11" s="107"/>
      <c r="G11" s="182" t="str">
        <f>TONGQUAN!D9</f>
        <v>Quỹ Đầu tư Trái phiếu DC</v>
      </c>
      <c r="H11" s="182"/>
      <c r="I11" s="182"/>
      <c r="J11" s="182"/>
    </row>
    <row r="12" spans="1:10" ht="15" customHeight="1">
      <c r="A12" s="108" t="s">
        <v>248</v>
      </c>
      <c r="B12" s="109"/>
      <c r="C12" s="107"/>
      <c r="D12" s="107"/>
      <c r="E12" s="107"/>
      <c r="F12" s="107"/>
      <c r="G12" s="184" t="str">
        <f>TONGQUAN!D10</f>
        <v>DC Bond Fund (DCBF)</v>
      </c>
      <c r="H12" s="184"/>
      <c r="I12" s="184"/>
      <c r="J12" s="184"/>
    </row>
    <row r="13" spans="1:10" ht="15" customHeight="1">
      <c r="A13" s="110" t="s">
        <v>7</v>
      </c>
      <c r="B13" s="111"/>
      <c r="C13" s="107"/>
      <c r="D13" s="107"/>
      <c r="E13" s="107"/>
      <c r="F13" s="107"/>
      <c r="G13" s="182" t="str">
        <f>TONGQUAN!D11</f>
        <v>Ngày 02 tháng 06 năm 2025</v>
      </c>
      <c r="H13" s="182"/>
      <c r="I13" s="182"/>
      <c r="J13" s="182"/>
    </row>
    <row r="14" spans="1:10">
      <c r="A14" s="112" t="s">
        <v>8</v>
      </c>
      <c r="B14" s="112"/>
      <c r="C14" s="113"/>
      <c r="D14" s="113"/>
      <c r="E14" s="113"/>
      <c r="F14" s="113"/>
      <c r="G14" s="189" t="str">
        <f>TONGQUAN!D12</f>
        <v>02 Jun 2025</v>
      </c>
      <c r="H14" s="189"/>
      <c r="I14" s="189"/>
      <c r="J14" s="189"/>
    </row>
    <row r="15" spans="1:10">
      <c r="A15" s="32" t="s">
        <v>300</v>
      </c>
      <c r="B15" s="33" t="s">
        <v>301</v>
      </c>
      <c r="C15" s="113"/>
      <c r="D15" s="113"/>
      <c r="E15" s="113"/>
      <c r="F15" s="113"/>
      <c r="G15" s="114"/>
      <c r="H15" s="114"/>
      <c r="I15" s="114"/>
      <c r="J15" s="114"/>
    </row>
    <row r="16" spans="1:10">
      <c r="A16" s="115" t="s">
        <v>24</v>
      </c>
      <c r="B16" s="116" t="s">
        <v>255</v>
      </c>
      <c r="C16" s="113"/>
      <c r="D16" s="113"/>
      <c r="E16" s="113"/>
      <c r="F16" s="113"/>
      <c r="G16" s="113"/>
      <c r="H16" s="113"/>
      <c r="I16" s="113"/>
      <c r="J16" s="113"/>
    </row>
    <row r="17" spans="1:10" s="117" customFormat="1" ht="36" customHeight="1">
      <c r="A17" s="190" t="s">
        <v>143</v>
      </c>
      <c r="B17" s="190" t="s">
        <v>291</v>
      </c>
      <c r="C17" s="190" t="s">
        <v>292</v>
      </c>
      <c r="D17" s="190" t="s">
        <v>293</v>
      </c>
      <c r="E17" s="190" t="s">
        <v>294</v>
      </c>
      <c r="F17" s="190" t="s">
        <v>295</v>
      </c>
      <c r="G17" s="190" t="s">
        <v>296</v>
      </c>
      <c r="H17" s="191"/>
      <c r="I17" s="190" t="s">
        <v>305</v>
      </c>
      <c r="J17" s="191"/>
    </row>
    <row r="18" spans="1:10" s="117" customFormat="1" ht="87" customHeight="1">
      <c r="A18" s="191"/>
      <c r="B18" s="191"/>
      <c r="C18" s="191"/>
      <c r="D18" s="191"/>
      <c r="E18" s="191"/>
      <c r="F18" s="191"/>
      <c r="G18" s="118" t="s">
        <v>297</v>
      </c>
      <c r="H18" s="118" t="s">
        <v>298</v>
      </c>
      <c r="I18" s="118" t="s">
        <v>297</v>
      </c>
      <c r="J18" s="118" t="s">
        <v>299</v>
      </c>
    </row>
    <row r="19" spans="1:10" s="117" customFormat="1" ht="45.75" customHeight="1">
      <c r="A19" s="43" t="s">
        <v>507</v>
      </c>
      <c r="B19" s="43" t="s">
        <v>508</v>
      </c>
      <c r="C19" s="43"/>
      <c r="D19" s="43"/>
      <c r="E19" s="43"/>
      <c r="F19" s="45"/>
      <c r="G19" s="43"/>
      <c r="H19" s="46"/>
      <c r="I19" s="43"/>
      <c r="J19" s="46"/>
    </row>
    <row r="20" spans="1:10">
      <c r="A20" s="43" t="s">
        <v>509</v>
      </c>
      <c r="B20" s="43" t="s">
        <v>510</v>
      </c>
      <c r="C20" s="43" t="s">
        <v>511</v>
      </c>
      <c r="D20" s="43" t="s">
        <v>512</v>
      </c>
      <c r="E20" s="43" t="s">
        <v>513</v>
      </c>
      <c r="F20" s="45" t="s">
        <v>514</v>
      </c>
      <c r="G20" s="43" t="s">
        <v>515</v>
      </c>
      <c r="H20" s="46" t="s">
        <v>516</v>
      </c>
      <c r="I20" s="43" t="s">
        <v>517</v>
      </c>
      <c r="J20" s="46" t="s">
        <v>518</v>
      </c>
    </row>
    <row r="21" spans="1:10" ht="39" customHeight="1">
      <c r="A21" s="39" t="s">
        <v>519</v>
      </c>
      <c r="B21" s="39" t="s">
        <v>520</v>
      </c>
      <c r="C21" s="39"/>
      <c r="D21" s="39"/>
      <c r="E21" s="39"/>
      <c r="F21" s="41">
        <v>0</v>
      </c>
      <c r="G21" s="39"/>
      <c r="H21" s="42">
        <v>0</v>
      </c>
      <c r="I21" s="39"/>
      <c r="J21" s="42">
        <v>0</v>
      </c>
    </row>
    <row r="22" spans="1:10" ht="39" customHeight="1">
      <c r="A22" s="43" t="s">
        <v>521</v>
      </c>
      <c r="B22" s="43" t="s">
        <v>522</v>
      </c>
      <c r="C22" s="43"/>
      <c r="D22" s="43"/>
      <c r="E22" s="43"/>
      <c r="F22" s="45"/>
      <c r="G22" s="43"/>
      <c r="H22" s="46"/>
      <c r="I22" s="43"/>
      <c r="J22" s="46"/>
    </row>
    <row r="23" spans="1:10">
      <c r="A23" s="43" t="s">
        <v>523</v>
      </c>
      <c r="B23" s="43" t="s">
        <v>524</v>
      </c>
      <c r="C23" s="43" t="s">
        <v>525</v>
      </c>
      <c r="D23" s="43" t="s">
        <v>526</v>
      </c>
      <c r="E23" s="43" t="s">
        <v>527</v>
      </c>
      <c r="F23" s="45" t="s">
        <v>528</v>
      </c>
      <c r="G23" s="43" t="s">
        <v>529</v>
      </c>
      <c r="H23" s="46" t="s">
        <v>530</v>
      </c>
      <c r="I23" s="43" t="s">
        <v>531</v>
      </c>
      <c r="J23" s="46" t="s">
        <v>532</v>
      </c>
    </row>
    <row r="24" spans="1:10" ht="39.450000000000003" customHeight="1">
      <c r="A24" s="39" t="s">
        <v>533</v>
      </c>
      <c r="B24" s="39" t="s">
        <v>534</v>
      </c>
      <c r="C24" s="39"/>
      <c r="D24" s="39"/>
      <c r="E24" s="39"/>
      <c r="F24" s="41">
        <v>0</v>
      </c>
      <c r="G24" s="39"/>
      <c r="H24" s="42">
        <v>0</v>
      </c>
      <c r="I24" s="39"/>
      <c r="J24" s="42">
        <v>0</v>
      </c>
    </row>
    <row r="25" spans="1:10" ht="45">
      <c r="A25" s="39" t="s">
        <v>535</v>
      </c>
      <c r="B25" s="39" t="s">
        <v>536</v>
      </c>
      <c r="C25" s="39"/>
      <c r="D25" s="39"/>
      <c r="E25" s="39"/>
      <c r="F25" s="41">
        <v>0</v>
      </c>
      <c r="G25" s="39"/>
      <c r="H25" s="42">
        <v>0</v>
      </c>
      <c r="I25" s="39"/>
      <c r="J25" s="42">
        <v>0</v>
      </c>
    </row>
    <row r="26" spans="1:10" ht="41.55" customHeight="1">
      <c r="A26" s="43" t="s">
        <v>537</v>
      </c>
      <c r="B26" s="43" t="s">
        <v>538</v>
      </c>
      <c r="C26" s="43"/>
      <c r="D26" s="43"/>
      <c r="E26" s="43"/>
      <c r="F26" s="45"/>
      <c r="G26" s="43"/>
      <c r="H26" s="46"/>
      <c r="I26" s="43"/>
      <c r="J26" s="46"/>
    </row>
    <row r="27" spans="1:10">
      <c r="A27" s="43" t="s">
        <v>539</v>
      </c>
      <c r="B27" s="43" t="s">
        <v>540</v>
      </c>
      <c r="C27" s="43" t="s">
        <v>541</v>
      </c>
      <c r="D27" s="43" t="s">
        <v>542</v>
      </c>
      <c r="E27" s="43" t="s">
        <v>543</v>
      </c>
      <c r="F27" s="45" t="s">
        <v>544</v>
      </c>
      <c r="G27" s="43" t="s">
        <v>545</v>
      </c>
      <c r="H27" s="46" t="s">
        <v>546</v>
      </c>
      <c r="I27" s="43" t="s">
        <v>547</v>
      </c>
      <c r="J27" s="46" t="s">
        <v>548</v>
      </c>
    </row>
    <row r="28" spans="1:10" ht="44.55" customHeight="1">
      <c r="A28" s="39" t="s">
        <v>549</v>
      </c>
      <c r="B28" s="39" t="s">
        <v>550</v>
      </c>
      <c r="C28" s="39"/>
      <c r="D28" s="39"/>
      <c r="E28" s="39"/>
      <c r="F28" s="41">
        <v>0</v>
      </c>
      <c r="G28" s="39"/>
      <c r="H28" s="42">
        <v>0</v>
      </c>
      <c r="I28" s="39"/>
      <c r="J28" s="42">
        <v>0</v>
      </c>
    </row>
    <row r="29" spans="1:10" ht="40.049999999999997" customHeight="1">
      <c r="A29" s="43" t="s">
        <v>551</v>
      </c>
      <c r="B29" s="43" t="s">
        <v>552</v>
      </c>
      <c r="C29" s="43"/>
      <c r="D29" s="43"/>
      <c r="E29" s="43"/>
      <c r="F29" s="45"/>
      <c r="G29" s="43"/>
      <c r="H29" s="46"/>
      <c r="I29" s="43"/>
      <c r="J29" s="46"/>
    </row>
    <row r="30" spans="1:10">
      <c r="A30" s="43" t="s">
        <v>553</v>
      </c>
      <c r="B30" s="43" t="s">
        <v>554</v>
      </c>
      <c r="C30" s="43" t="s">
        <v>555</v>
      </c>
      <c r="D30" s="43" t="s">
        <v>556</v>
      </c>
      <c r="E30" s="43" t="s">
        <v>557</v>
      </c>
      <c r="F30" s="45" t="s">
        <v>558</v>
      </c>
      <c r="G30" s="43" t="s">
        <v>559</v>
      </c>
      <c r="H30" s="46" t="s">
        <v>560</v>
      </c>
      <c r="I30" s="43" t="s">
        <v>561</v>
      </c>
      <c r="J30" s="46" t="s">
        <v>562</v>
      </c>
    </row>
    <row r="31" spans="1:10" ht="35.549999999999997" customHeight="1">
      <c r="A31" s="39" t="s">
        <v>563</v>
      </c>
      <c r="B31" s="39" t="s">
        <v>564</v>
      </c>
      <c r="C31" s="39"/>
      <c r="D31" s="39"/>
      <c r="E31" s="39"/>
      <c r="F31" s="41">
        <v>0</v>
      </c>
      <c r="G31" s="39"/>
      <c r="H31" s="42">
        <v>0</v>
      </c>
      <c r="I31" s="39"/>
      <c r="J31" s="42">
        <v>0</v>
      </c>
    </row>
    <row r="32" spans="1:10" ht="55.5" customHeight="1">
      <c r="A32" s="39" t="s">
        <v>565</v>
      </c>
      <c r="B32" s="39" t="s">
        <v>566</v>
      </c>
      <c r="C32" s="39"/>
      <c r="D32" s="39"/>
      <c r="E32" s="39"/>
      <c r="F32" s="41">
        <v>0</v>
      </c>
      <c r="G32" s="39"/>
      <c r="H32" s="42">
        <v>0</v>
      </c>
      <c r="I32" s="39"/>
      <c r="J32" s="42">
        <v>0</v>
      </c>
    </row>
    <row r="33" spans="1:10" s="123" customFormat="1" ht="45.75" customHeight="1">
      <c r="A33" s="119" t="s">
        <v>10</v>
      </c>
      <c r="B33" s="120"/>
      <c r="C33" s="121"/>
      <c r="D33" s="113"/>
      <c r="E33" s="113"/>
      <c r="F33" s="113"/>
      <c r="G33" s="113"/>
      <c r="H33" s="113"/>
      <c r="I33" s="122" t="s">
        <v>11</v>
      </c>
      <c r="J33" s="113"/>
    </row>
    <row r="34" spans="1:10">
      <c r="A34" s="124" t="s">
        <v>12</v>
      </c>
      <c r="B34" s="120"/>
      <c r="C34" s="121"/>
      <c r="D34" s="113"/>
      <c r="E34" s="113"/>
      <c r="F34" s="113"/>
      <c r="G34" s="113"/>
      <c r="H34" s="113"/>
      <c r="I34" s="125" t="s">
        <v>13</v>
      </c>
      <c r="J34" s="113"/>
    </row>
    <row r="35" spans="1:10">
      <c r="A35" s="124"/>
      <c r="B35" s="120"/>
      <c r="C35" s="121"/>
      <c r="D35" s="113"/>
      <c r="E35" s="113"/>
      <c r="F35" s="113"/>
      <c r="G35" s="113"/>
      <c r="H35" s="113"/>
      <c r="I35" s="125"/>
      <c r="J35" s="113"/>
    </row>
    <row r="36" spans="1:10">
      <c r="A36" s="124"/>
      <c r="B36" s="120"/>
      <c r="C36" s="121"/>
      <c r="D36" s="113"/>
      <c r="E36" s="113"/>
      <c r="F36" s="113"/>
      <c r="G36" s="113"/>
      <c r="H36" s="113"/>
      <c r="I36" s="125"/>
      <c r="J36" s="113"/>
    </row>
    <row r="37" spans="1:10">
      <c r="A37" s="124"/>
      <c r="B37" s="120"/>
      <c r="C37" s="121"/>
      <c r="D37" s="113"/>
      <c r="E37" s="113"/>
      <c r="F37" s="113"/>
      <c r="G37" s="113"/>
      <c r="H37" s="113"/>
      <c r="I37" s="125"/>
      <c r="J37" s="113"/>
    </row>
    <row r="38" spans="1:10">
      <c r="A38" s="124"/>
      <c r="B38" s="120"/>
      <c r="C38" s="121"/>
      <c r="D38" s="113"/>
      <c r="E38" s="113"/>
      <c r="F38" s="113"/>
      <c r="G38" s="113"/>
      <c r="H38" s="113"/>
      <c r="I38" s="125"/>
      <c r="J38" s="113"/>
    </row>
    <row r="39" spans="1:10">
      <c r="A39" s="120"/>
      <c r="B39" s="120"/>
      <c r="C39" s="121"/>
      <c r="D39" s="107"/>
      <c r="E39" s="107"/>
      <c r="F39" s="107"/>
      <c r="G39" s="107"/>
      <c r="H39" s="107"/>
      <c r="I39" s="121"/>
      <c r="J39" s="107"/>
    </row>
    <row r="40" spans="1:10">
      <c r="A40" s="126"/>
      <c r="B40" s="107"/>
      <c r="C40" s="107"/>
      <c r="D40" s="107"/>
      <c r="E40" s="107"/>
      <c r="F40" s="107"/>
      <c r="G40" s="113"/>
      <c r="H40" s="107"/>
      <c r="I40" s="107"/>
      <c r="J40" s="107"/>
    </row>
    <row r="41" spans="1:10">
      <c r="A41" s="126"/>
      <c r="B41" s="107"/>
      <c r="C41" s="107"/>
      <c r="D41" s="107"/>
      <c r="E41" s="107"/>
      <c r="F41" s="107"/>
      <c r="G41" s="107"/>
      <c r="H41" s="107"/>
      <c r="I41" s="107"/>
      <c r="J41" s="107"/>
    </row>
    <row r="42" spans="1:10">
      <c r="A42" s="126"/>
      <c r="B42" s="107"/>
      <c r="C42" s="107"/>
      <c r="D42" s="107"/>
      <c r="E42" s="107"/>
      <c r="F42" s="107"/>
      <c r="G42" s="107"/>
      <c r="H42" s="107"/>
      <c r="I42" s="107"/>
      <c r="J42" s="107"/>
    </row>
    <row r="43" spans="1:10">
      <c r="A43" s="132"/>
      <c r="B43" s="133"/>
      <c r="C43" s="133"/>
      <c r="D43" s="133"/>
      <c r="E43" s="107"/>
      <c r="F43" s="107"/>
      <c r="G43" s="107"/>
      <c r="H43" s="107"/>
      <c r="I43" s="107"/>
      <c r="J43" s="107"/>
    </row>
    <row r="44" spans="1:10" s="117" customFormat="1" ht="15">
      <c r="A44" s="131" t="s">
        <v>14</v>
      </c>
      <c r="B44" s="131"/>
      <c r="C44" s="113"/>
      <c r="D44" s="113"/>
      <c r="E44" s="113"/>
      <c r="F44" s="113"/>
      <c r="G44" s="113"/>
      <c r="H44" s="113"/>
      <c r="I44" s="127" t="s">
        <v>878</v>
      </c>
      <c r="J44" s="128"/>
    </row>
    <row r="45" spans="1:10" s="117" customFormat="1" ht="15">
      <c r="A45" s="116" t="s">
        <v>256</v>
      </c>
      <c r="B45" s="113"/>
      <c r="C45" s="113"/>
      <c r="D45" s="113"/>
      <c r="E45" s="113"/>
      <c r="F45" s="113"/>
      <c r="G45" s="113"/>
      <c r="H45" s="113"/>
      <c r="I45" s="116" t="s">
        <v>884</v>
      </c>
      <c r="J45" s="113"/>
    </row>
    <row r="46" spans="1:10" s="117" customFormat="1" ht="15">
      <c r="A46" s="113" t="s">
        <v>885</v>
      </c>
      <c r="B46" s="113"/>
      <c r="C46" s="113"/>
      <c r="D46" s="113"/>
      <c r="E46" s="113"/>
      <c r="F46" s="113"/>
      <c r="G46" s="113"/>
      <c r="H46" s="113"/>
      <c r="I46" s="113" t="s">
        <v>886</v>
      </c>
      <c r="J46" s="113"/>
    </row>
    <row r="47" spans="1:10" s="117" customFormat="1" ht="15">
      <c r="A47" s="129"/>
      <c r="B47" s="113"/>
      <c r="C47" s="113"/>
      <c r="D47" s="113"/>
      <c r="E47" s="113"/>
      <c r="F47" s="113"/>
      <c r="G47" s="113"/>
      <c r="H47" s="113"/>
      <c r="I47" s="113"/>
      <c r="J47" s="113"/>
    </row>
    <row r="48" spans="1:10" s="117" customFormat="1" ht="15">
      <c r="A48" s="129"/>
      <c r="B48" s="113"/>
      <c r="C48" s="113"/>
      <c r="D48" s="113"/>
      <c r="E48" s="113"/>
      <c r="F48" s="113"/>
      <c r="G48" s="113"/>
      <c r="H48" s="113"/>
      <c r="I48" s="113"/>
      <c r="J48" s="113"/>
    </row>
    <row r="49" spans="1:10">
      <c r="A49" s="126"/>
      <c r="B49" s="107"/>
      <c r="C49" s="107"/>
      <c r="D49" s="107"/>
      <c r="E49" s="107"/>
      <c r="F49" s="107"/>
      <c r="G49" s="107"/>
      <c r="H49" s="107"/>
      <c r="I49" s="107"/>
      <c r="J49" s="107"/>
    </row>
    <row r="50" spans="1:10">
      <c r="A50" s="126"/>
      <c r="B50" s="107"/>
      <c r="C50" s="107"/>
      <c r="D50" s="107"/>
      <c r="E50" s="107"/>
      <c r="F50" s="107"/>
      <c r="G50" s="107"/>
      <c r="H50" s="107"/>
      <c r="I50" s="107"/>
      <c r="J50" s="107"/>
    </row>
  </sheetData>
  <mergeCells count="25">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50"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22" zoomScale="80" zoomScaleNormal="100" zoomScaleSheetLayoutView="80" workbookViewId="0">
      <selection activeCell="A49" sqref="A49:XFD49"/>
    </sheetView>
  </sheetViews>
  <sheetFormatPr defaultColWidth="8.77734375" defaultRowHeight="53.25" customHeight="1"/>
  <cols>
    <col min="1" max="1" width="8.77734375" style="138"/>
    <col min="2" max="2" width="64.33203125" style="138" customWidth="1"/>
    <col min="3" max="3" width="10.77734375" style="138" bestFit="1" customWidth="1"/>
    <col min="4" max="4" width="41.77734375" style="138" customWidth="1"/>
    <col min="5" max="5" width="39.5546875" style="138" customWidth="1"/>
    <col min="6" max="6" width="8.44140625" style="135" customWidth="1"/>
    <col min="7" max="16384" width="8.77734375" style="135"/>
  </cols>
  <sheetData>
    <row r="1" spans="1:6" ht="53.25" customHeight="1">
      <c r="A1" s="194" t="s">
        <v>302</v>
      </c>
      <c r="B1" s="194"/>
      <c r="C1" s="194"/>
      <c r="D1" s="194"/>
      <c r="E1" s="194"/>
      <c r="F1" s="134"/>
    </row>
    <row r="2" spans="1:6" ht="66" customHeight="1">
      <c r="A2" s="195" t="s">
        <v>303</v>
      </c>
      <c r="B2" s="195"/>
      <c r="C2" s="195"/>
      <c r="D2" s="195"/>
      <c r="E2" s="195"/>
      <c r="F2" s="136"/>
    </row>
    <row r="3" spans="1:6" ht="40.5" customHeight="1">
      <c r="A3" s="196" t="s">
        <v>252</v>
      </c>
      <c r="B3" s="196"/>
      <c r="C3" s="196"/>
      <c r="D3" s="196"/>
      <c r="E3" s="196"/>
      <c r="F3" s="134"/>
    </row>
    <row r="4" spans="1:6" ht="13.8" hidden="1">
      <c r="A4" s="196"/>
      <c r="B4" s="196"/>
      <c r="C4" s="196"/>
      <c r="D4" s="196"/>
      <c r="E4" s="196"/>
      <c r="F4" s="134"/>
    </row>
    <row r="5" spans="1:6" ht="13.8">
      <c r="A5" s="197" t="str">
        <f>TONGQUAN!C2</f>
        <v>Tháng 05 năm 2025
/ May 2025</v>
      </c>
      <c r="B5" s="197"/>
      <c r="C5" s="197"/>
      <c r="D5" s="197"/>
      <c r="E5" s="197"/>
      <c r="F5" s="137"/>
    </row>
    <row r="6" spans="1:6" ht="13.8"/>
    <row r="7" spans="1:6" ht="13.8">
      <c r="A7" s="139" t="s">
        <v>2</v>
      </c>
      <c r="C7" s="192" t="str">
        <f>TONGQUAN!D5</f>
        <v>Công ty Cổ phần Quản lý Quỹ Đầu tư Dragon Capital Việt Nam</v>
      </c>
      <c r="D7" s="192"/>
      <c r="E7" s="192"/>
    </row>
    <row r="8" spans="1:6" ht="13.8">
      <c r="A8" s="138" t="s">
        <v>15</v>
      </c>
      <c r="C8" s="193" t="str">
        <f>TONGQUAN!D6</f>
        <v>Dragon Capital Vietfund Management Joint Stock Company</v>
      </c>
      <c r="D8" s="193"/>
      <c r="E8" s="193"/>
    </row>
    <row r="9" spans="1:6" ht="13.8">
      <c r="A9" s="139" t="s">
        <v>3</v>
      </c>
      <c r="C9" s="192" t="str">
        <f>TONGQUAN!D7</f>
        <v>Ngân hàng TNHH Một thành viên Standard Chartered (Việt Nam)</v>
      </c>
      <c r="D9" s="192"/>
      <c r="E9" s="192"/>
    </row>
    <row r="10" spans="1:6" ht="13.8">
      <c r="A10" s="138" t="s">
        <v>4</v>
      </c>
      <c r="C10" s="193" t="str">
        <f>TONGQUAN!D8</f>
        <v>Standard Chartered Bank (Vietnam) Limited</v>
      </c>
      <c r="D10" s="193"/>
      <c r="E10" s="193"/>
    </row>
    <row r="11" spans="1:6" ht="13.8">
      <c r="A11" s="139" t="s">
        <v>5</v>
      </c>
      <c r="C11" s="192" t="str">
        <f>TONGQUAN!D9</f>
        <v>Quỹ Đầu tư Trái phiếu DC</v>
      </c>
      <c r="D11" s="192"/>
      <c r="E11" s="192"/>
    </row>
    <row r="12" spans="1:6" ht="13.8">
      <c r="A12" s="138" t="s">
        <v>6</v>
      </c>
      <c r="C12" s="193" t="str">
        <f>TONGQUAN!D10</f>
        <v>DC Bond Fund (DCBF)</v>
      </c>
      <c r="D12" s="193"/>
      <c r="E12" s="193"/>
    </row>
    <row r="13" spans="1:6" ht="13.8">
      <c r="A13" s="139" t="s">
        <v>7</v>
      </c>
      <c r="C13" s="192" t="str">
        <f>TONGQUAN!D11</f>
        <v>Ngày 02 tháng 06 năm 2025</v>
      </c>
      <c r="D13" s="192"/>
      <c r="E13" s="192"/>
    </row>
    <row r="14" spans="1:6" ht="13.8">
      <c r="A14" s="138" t="s">
        <v>8</v>
      </c>
      <c r="C14" s="193" t="str">
        <f>TONGQUAN!D12</f>
        <v>02 Jun 2025</v>
      </c>
      <c r="D14" s="193"/>
      <c r="E14" s="193"/>
    </row>
    <row r="15" spans="1:6" ht="13.8"/>
    <row r="16" spans="1:6" ht="13.8">
      <c r="A16" s="140" t="s">
        <v>300</v>
      </c>
      <c r="B16" s="141" t="s">
        <v>301</v>
      </c>
    </row>
    <row r="17" spans="1:5" ht="13.8">
      <c r="A17" s="142" t="s">
        <v>25</v>
      </c>
      <c r="B17" s="143" t="s">
        <v>245</v>
      </c>
    </row>
    <row r="18" spans="1:5" ht="41.4">
      <c r="A18" s="144" t="s">
        <v>17</v>
      </c>
      <c r="B18" s="144" t="s">
        <v>290</v>
      </c>
      <c r="C18" s="144" t="s">
        <v>19</v>
      </c>
      <c r="D18" s="145" t="s">
        <v>889</v>
      </c>
      <c r="E18" s="145" t="s">
        <v>890</v>
      </c>
    </row>
    <row r="19" spans="1:5" s="150" customFormat="1" ht="41.55" customHeight="1">
      <c r="A19" s="146" t="s">
        <v>16</v>
      </c>
      <c r="B19" s="147" t="s">
        <v>106</v>
      </c>
      <c r="C19" s="148" t="s">
        <v>107</v>
      </c>
      <c r="D19" s="149"/>
      <c r="E19" s="149"/>
    </row>
    <row r="20" spans="1:5" ht="62.55" customHeight="1">
      <c r="A20" s="151">
        <v>1</v>
      </c>
      <c r="B20" s="152" t="s">
        <v>275</v>
      </c>
      <c r="C20" s="153" t="s">
        <v>108</v>
      </c>
      <c r="D20" s="149">
        <v>1.2231768089382601E-2</v>
      </c>
      <c r="E20" s="149">
        <v>1.18374294602757E-2</v>
      </c>
    </row>
    <row r="21" spans="1:5" ht="64.5" customHeight="1">
      <c r="A21" s="151">
        <v>2</v>
      </c>
      <c r="B21" s="152" t="s">
        <v>276</v>
      </c>
      <c r="C21" s="153" t="s">
        <v>109</v>
      </c>
      <c r="D21" s="149">
        <v>8.3335716370672099E-4</v>
      </c>
      <c r="E21" s="149">
        <v>7.9663944783380999E-4</v>
      </c>
    </row>
    <row r="22" spans="1:5" ht="85.05" customHeight="1">
      <c r="A22" s="151">
        <v>3</v>
      </c>
      <c r="B22" s="152" t="s">
        <v>277</v>
      </c>
      <c r="C22" s="153" t="s">
        <v>110</v>
      </c>
      <c r="D22" s="149">
        <v>4.3635334284462102E-4</v>
      </c>
      <c r="E22" s="149">
        <v>4.22620904443918E-4</v>
      </c>
    </row>
    <row r="23" spans="1:5" ht="56.55" customHeight="1">
      <c r="A23" s="151">
        <v>4</v>
      </c>
      <c r="B23" s="152" t="s">
        <v>246</v>
      </c>
      <c r="C23" s="153" t="s">
        <v>111</v>
      </c>
      <c r="D23" s="149">
        <v>9.8289145081974504E-5</v>
      </c>
      <c r="E23" s="149">
        <v>9.3706648597185793E-5</v>
      </c>
    </row>
    <row r="24" spans="1:5" ht="67.05" customHeight="1">
      <c r="A24" s="151">
        <v>5</v>
      </c>
      <c r="B24" s="152" t="s">
        <v>278</v>
      </c>
      <c r="C24" s="153" t="s">
        <v>279</v>
      </c>
      <c r="D24" s="154"/>
      <c r="E24" s="154"/>
    </row>
    <row r="25" spans="1:5" ht="69" customHeight="1">
      <c r="A25" s="151">
        <v>6</v>
      </c>
      <c r="B25" s="152" t="s">
        <v>280</v>
      </c>
      <c r="C25" s="153"/>
      <c r="D25" s="154"/>
      <c r="E25" s="154"/>
    </row>
    <row r="26" spans="1:5" ht="82.95" customHeight="1">
      <c r="A26" s="151">
        <v>7</v>
      </c>
      <c r="B26" s="152" t="s">
        <v>247</v>
      </c>
      <c r="C26" s="153" t="s">
        <v>112</v>
      </c>
      <c r="D26" s="149">
        <v>1.93106891218987E-4</v>
      </c>
      <c r="E26" s="149">
        <v>1.6338621156235499E-4</v>
      </c>
    </row>
    <row r="27" spans="1:5" ht="41.55" customHeight="1">
      <c r="A27" s="151">
        <v>8</v>
      </c>
      <c r="B27" s="152" t="s">
        <v>281</v>
      </c>
      <c r="C27" s="153" t="s">
        <v>113</v>
      </c>
      <c r="D27" s="149">
        <v>1.3615699031650099E-2</v>
      </c>
      <c r="E27" s="149">
        <v>1.3565285780175899E-2</v>
      </c>
    </row>
    <row r="28" spans="1:5" ht="34.049999999999997" customHeight="1">
      <c r="A28" s="151">
        <v>9</v>
      </c>
      <c r="B28" s="152" t="s">
        <v>360</v>
      </c>
      <c r="C28" s="153" t="s">
        <v>114</v>
      </c>
      <c r="D28" s="149">
        <v>1.00227963007931</v>
      </c>
      <c r="E28" s="149">
        <v>1.1383644438244001</v>
      </c>
    </row>
    <row r="29" spans="1:5" ht="77.55" customHeight="1">
      <c r="A29" s="151">
        <v>10</v>
      </c>
      <c r="B29" s="152" t="s">
        <v>282</v>
      </c>
      <c r="C29" s="153" t="s">
        <v>249</v>
      </c>
      <c r="D29" s="154"/>
      <c r="E29" s="154"/>
    </row>
    <row r="30" spans="1:5" s="150" customFormat="1" ht="40.5" customHeight="1">
      <c r="A30" s="146" t="s">
        <v>21</v>
      </c>
      <c r="B30" s="147" t="s">
        <v>115</v>
      </c>
      <c r="C30" s="148" t="s">
        <v>116</v>
      </c>
      <c r="D30" s="155"/>
      <c r="E30" s="155"/>
    </row>
    <row r="31" spans="1:5" ht="46.95" customHeight="1">
      <c r="A31" s="200">
        <v>1</v>
      </c>
      <c r="B31" s="152" t="s">
        <v>117</v>
      </c>
      <c r="C31" s="153" t="s">
        <v>118</v>
      </c>
      <c r="D31" s="156">
        <v>555041935900</v>
      </c>
      <c r="E31" s="156">
        <v>573798849100</v>
      </c>
    </row>
    <row r="32" spans="1:5" ht="46.95" customHeight="1">
      <c r="A32" s="201"/>
      <c r="B32" s="152" t="s">
        <v>119</v>
      </c>
      <c r="C32" s="153" t="s">
        <v>120</v>
      </c>
      <c r="D32" s="156">
        <v>555041935900</v>
      </c>
      <c r="E32" s="156">
        <v>573798849100</v>
      </c>
    </row>
    <row r="33" spans="1:5" ht="54" customHeight="1">
      <c r="A33" s="202"/>
      <c r="B33" s="152" t="s">
        <v>283</v>
      </c>
      <c r="C33" s="153" t="s">
        <v>121</v>
      </c>
      <c r="D33" s="154">
        <v>55504193.590000004</v>
      </c>
      <c r="E33" s="154">
        <v>57379884.909999996</v>
      </c>
    </row>
    <row r="34" spans="1:5" ht="58.05" customHeight="1">
      <c r="A34" s="199">
        <v>2</v>
      </c>
      <c r="B34" s="152" t="s">
        <v>122</v>
      </c>
      <c r="C34" s="153" t="s">
        <v>123</v>
      </c>
      <c r="D34" s="156">
        <v>696568399.99999905</v>
      </c>
      <c r="E34" s="156">
        <v>-18756913200</v>
      </c>
    </row>
    <row r="35" spans="1:5" ht="44.55" customHeight="1">
      <c r="A35" s="199"/>
      <c r="B35" s="152" t="s">
        <v>124</v>
      </c>
      <c r="C35" s="153" t="s">
        <v>284</v>
      </c>
      <c r="D35" s="154">
        <v>69656.839999999895</v>
      </c>
      <c r="E35" s="154">
        <v>-1875691.32</v>
      </c>
    </row>
    <row r="36" spans="1:5" ht="45" customHeight="1">
      <c r="A36" s="199"/>
      <c r="B36" s="152" t="s">
        <v>125</v>
      </c>
      <c r="C36" s="153" t="s">
        <v>285</v>
      </c>
      <c r="D36" s="156">
        <v>696568399.99999905</v>
      </c>
      <c r="E36" s="156">
        <v>-18756913200</v>
      </c>
    </row>
    <row r="37" spans="1:5" ht="41.55" customHeight="1">
      <c r="A37" s="199"/>
      <c r="B37" s="152" t="s">
        <v>286</v>
      </c>
      <c r="C37" s="153" t="s">
        <v>126</v>
      </c>
      <c r="D37" s="154">
        <v>7296144.8200000003</v>
      </c>
      <c r="E37" s="154">
        <v>5184144.67</v>
      </c>
    </row>
    <row r="38" spans="1:5" ht="38.549999999999997" customHeight="1">
      <c r="A38" s="199"/>
      <c r="B38" s="152" t="s">
        <v>228</v>
      </c>
      <c r="C38" s="153" t="s">
        <v>127</v>
      </c>
      <c r="D38" s="156">
        <v>72961448200</v>
      </c>
      <c r="E38" s="156">
        <v>51841446700</v>
      </c>
    </row>
    <row r="39" spans="1:5" ht="39.450000000000003" customHeight="1">
      <c r="A39" s="199"/>
      <c r="B39" s="152" t="s">
        <v>308</v>
      </c>
      <c r="C39" s="153" t="s">
        <v>128</v>
      </c>
      <c r="D39" s="154">
        <v>-7226487.9800000004</v>
      </c>
      <c r="E39" s="154">
        <v>-7059835.9900000002</v>
      </c>
    </row>
    <row r="40" spans="1:5" ht="51.45" customHeight="1">
      <c r="A40" s="199"/>
      <c r="B40" s="152" t="s">
        <v>229</v>
      </c>
      <c r="C40" s="153" t="s">
        <v>129</v>
      </c>
      <c r="D40" s="156">
        <v>-72264879800</v>
      </c>
      <c r="E40" s="156">
        <v>-70598359900</v>
      </c>
    </row>
    <row r="41" spans="1:5" ht="42.45" customHeight="1">
      <c r="A41" s="199">
        <v>3</v>
      </c>
      <c r="B41" s="152" t="s">
        <v>230</v>
      </c>
      <c r="C41" s="153" t="s">
        <v>130</v>
      </c>
      <c r="D41" s="156">
        <v>555738504300</v>
      </c>
      <c r="E41" s="156">
        <v>555041935900</v>
      </c>
    </row>
    <row r="42" spans="1:5" ht="57.45" customHeight="1">
      <c r="A42" s="199"/>
      <c r="B42" s="152" t="s">
        <v>287</v>
      </c>
      <c r="C42" s="153" t="s">
        <v>131</v>
      </c>
      <c r="D42" s="156">
        <v>555738504300</v>
      </c>
      <c r="E42" s="156">
        <v>555041935900</v>
      </c>
    </row>
    <row r="43" spans="1:5" ht="41.55" customHeight="1">
      <c r="A43" s="199"/>
      <c r="B43" s="152" t="s">
        <v>288</v>
      </c>
      <c r="C43" s="153" t="s">
        <v>132</v>
      </c>
      <c r="D43" s="154">
        <v>55573850.43</v>
      </c>
      <c r="E43" s="154">
        <v>55504193.590000004</v>
      </c>
    </row>
    <row r="44" spans="1:5" ht="64.05" customHeight="1">
      <c r="A44" s="151">
        <v>4</v>
      </c>
      <c r="B44" s="152" t="s">
        <v>133</v>
      </c>
      <c r="C44" s="153" t="s">
        <v>134</v>
      </c>
      <c r="D44" s="149">
        <v>7.5416224853434196E-5</v>
      </c>
      <c r="E44" s="149">
        <v>7.5510870961561201E-5</v>
      </c>
    </row>
    <row r="45" spans="1:5" ht="42.45" customHeight="1">
      <c r="A45" s="151">
        <v>5</v>
      </c>
      <c r="B45" s="152" t="s">
        <v>135</v>
      </c>
      <c r="C45" s="153" t="s">
        <v>136</v>
      </c>
      <c r="D45" s="149">
        <v>0.23849999999999999</v>
      </c>
      <c r="E45" s="149">
        <v>0.2445</v>
      </c>
    </row>
    <row r="46" spans="1:5" ht="47.55" customHeight="1">
      <c r="A46" s="151">
        <v>6</v>
      </c>
      <c r="B46" s="152" t="s">
        <v>137</v>
      </c>
      <c r="C46" s="153" t="s">
        <v>138</v>
      </c>
      <c r="D46" s="149">
        <v>1.26E-2</v>
      </c>
      <c r="E46" s="149">
        <v>1.1299999999999999E-2</v>
      </c>
    </row>
    <row r="47" spans="1:5" ht="34.5" customHeight="1">
      <c r="A47" s="151">
        <v>7</v>
      </c>
      <c r="B47" s="152" t="s">
        <v>139</v>
      </c>
      <c r="C47" s="153" t="s">
        <v>140</v>
      </c>
      <c r="D47" s="156">
        <v>13143</v>
      </c>
      <c r="E47" s="156">
        <v>12806</v>
      </c>
    </row>
    <row r="48" spans="1:5" ht="37.5" customHeight="1">
      <c r="A48" s="151">
        <v>8</v>
      </c>
      <c r="B48" s="152" t="s">
        <v>231</v>
      </c>
      <c r="C48" s="153" t="s">
        <v>141</v>
      </c>
      <c r="D48" s="154">
        <v>27857.32</v>
      </c>
      <c r="E48" s="154">
        <v>27707.56</v>
      </c>
    </row>
    <row r="49" spans="1:5" ht="58.5" customHeight="1">
      <c r="A49" s="151">
        <v>9</v>
      </c>
      <c r="B49" s="152" t="s">
        <v>289</v>
      </c>
      <c r="C49" s="153" t="s">
        <v>250</v>
      </c>
      <c r="D49" s="154"/>
      <c r="E49" s="154"/>
    </row>
    <row r="50" spans="1:5" ht="31.5" customHeight="1">
      <c r="A50" s="198" t="s">
        <v>359</v>
      </c>
      <c r="B50" s="193"/>
      <c r="C50" s="193"/>
      <c r="D50" s="193"/>
      <c r="E50" s="193"/>
    </row>
    <row r="51" spans="1:5" ht="95.25" customHeight="1">
      <c r="A51" s="198" t="s">
        <v>892</v>
      </c>
      <c r="B51" s="193"/>
      <c r="C51" s="193"/>
      <c r="D51" s="193"/>
      <c r="E51" s="193"/>
    </row>
    <row r="52" spans="1:5" ht="13.8">
      <c r="A52" s="157" t="str">
        <f>TONGQUAN!C16</f>
        <v>Đại diện có thẩm quyền của Ngân hàng giám sát</v>
      </c>
      <c r="D52" s="157" t="str">
        <f>TONGQUAN!F16</f>
        <v>Đại diện có thẩm quyền của Công ty quản lý Quỹ</v>
      </c>
    </row>
    <row r="53" spans="1:5" s="137" customFormat="1" ht="13.8">
      <c r="A53" s="158" t="str">
        <f>TONGQUAN!C17</f>
        <v>Authorised Representative of Supervisory Bank</v>
      </c>
      <c r="B53" s="158"/>
      <c r="C53" s="158"/>
      <c r="D53" s="158" t="str">
        <f>TONGQUAN!F17</f>
        <v>Authorised Representative of Fund Management Company</v>
      </c>
      <c r="E53" s="158"/>
    </row>
    <row r="54" spans="1:5" ht="13.8"/>
    <row r="55" spans="1:5" ht="13.8"/>
    <row r="56" spans="1:5" ht="13.8"/>
    <row r="57" spans="1:5" ht="13.8"/>
    <row r="58" spans="1:5" ht="13.8"/>
    <row r="59" spans="1:5" ht="13.8"/>
    <row r="60" spans="1:5" ht="13.8"/>
    <row r="61" spans="1:5" ht="13.8"/>
    <row r="62" spans="1:5" ht="13.8">
      <c r="A62" s="159"/>
      <c r="B62" s="159"/>
      <c r="D62" s="159"/>
      <c r="E62" s="159"/>
    </row>
    <row r="63" spans="1:5" ht="13.8">
      <c r="A63" s="157" t="str">
        <f>TONGQUAN!C19</f>
        <v>Ngân hàng TNHH MTV Standard Chartered (Việt Nam)</v>
      </c>
      <c r="D63" s="157" t="str">
        <f>TONGQUAN!F19</f>
        <v>Công ty Cổ phần Quản lý Quỹ Đầu tư Dragon Capital Việt Nam</v>
      </c>
    </row>
    <row r="64" spans="1:5" ht="13.8">
      <c r="A64" s="157" t="str">
        <f>TONGQUAN!C20</f>
        <v>Vũ Hương Giang</v>
      </c>
      <c r="D64" s="157" t="str">
        <f>TONGQUAN!F20</f>
        <v>Lê Hoàng Anh</v>
      </c>
    </row>
    <row r="65" spans="1:4" ht="13.8">
      <c r="A65" s="138" t="str">
        <f>TONGQUAN!C21</f>
        <v>Trưởng phòng Nghiệp vụ và Dịch vụ Quỹ</v>
      </c>
      <c r="D65" s="138" t="str">
        <f>TONGQUAN!F21</f>
        <v>Quyền Giám đốc nghiệp vụ hỗ trợ đầu tư</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59" fitToHeight="0" orientation="portrait" r:id="rId1"/>
  <headerFooter>
    <oddHeader>&amp;L&amp;"Arial"&amp;9&amp;KA80000CONFIDENTIAL&amp;1#</oddHeader>
  </headerFooter>
  <rowBreaks count="1" manualBreakCount="1">
    <brk id="33" max="16383" man="1"/>
  </rowBreaks>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76"/>
  <sheetViews>
    <sheetView zoomScaleNormal="100" workbookViewId="0">
      <selection activeCell="D2" sqref="D2"/>
    </sheetView>
  </sheetViews>
  <sheetFormatPr defaultRowHeight="61.5" customHeight="1"/>
  <cols>
    <col min="1" max="1" width="11.44140625" bestFit="1" customWidth="1"/>
    <col min="2" max="2" width="98.21875" customWidth="1"/>
    <col min="3" max="3" width="33.44140625" customWidth="1"/>
    <col min="4" max="4" width="10.21875" customWidth="1"/>
  </cols>
  <sheetData>
    <row r="1" spans="1:4" ht="15.75" customHeight="1">
      <c r="D1" t="s">
        <v>151</v>
      </c>
    </row>
    <row r="2" spans="1:4" s="1" customFormat="1" ht="61.5" customHeight="1">
      <c r="A2" s="1" t="s">
        <v>144</v>
      </c>
      <c r="B2" s="1" t="s">
        <v>145</v>
      </c>
      <c r="C2" s="1" t="s">
        <v>146</v>
      </c>
    </row>
    <row r="3" spans="1:4" ht="57" customHeight="1">
      <c r="A3" t="s">
        <v>251</v>
      </c>
      <c r="B3" t="s">
        <v>357</v>
      </c>
    </row>
    <row r="4" spans="1:4" ht="52.5" customHeight="1">
      <c r="A4" t="s">
        <v>147</v>
      </c>
      <c r="B4" t="s">
        <v>353</v>
      </c>
    </row>
    <row r="5" spans="1:4" ht="57.75" customHeight="1">
      <c r="A5" t="s">
        <v>148</v>
      </c>
      <c r="B5" t="s">
        <v>354</v>
      </c>
    </row>
    <row r="6" spans="1:4" ht="61.5" customHeight="1">
      <c r="A6" t="s">
        <v>149</v>
      </c>
      <c r="B6" t="s">
        <v>150</v>
      </c>
    </row>
    <row r="7" spans="1:4" ht="61.5" customHeight="1">
      <c r="A7" t="s">
        <v>151</v>
      </c>
      <c r="B7" t="s">
        <v>355</v>
      </c>
    </row>
    <row r="8" spans="1:4" ht="61.5" customHeight="1">
      <c r="A8" t="s">
        <v>152</v>
      </c>
      <c r="B8" t="s">
        <v>356</v>
      </c>
    </row>
    <row r="9" spans="1:4" ht="61.5" customHeight="1">
      <c r="A9" t="s">
        <v>154</v>
      </c>
      <c r="B9" t="s">
        <v>155</v>
      </c>
    </row>
    <row r="10" spans="1:4" ht="61.5" customHeight="1">
      <c r="A10" t="s">
        <v>153</v>
      </c>
      <c r="B10" t="s">
        <v>155</v>
      </c>
    </row>
    <row r="11" spans="1:4" ht="61.5" customHeight="1">
      <c r="A11" t="s">
        <v>156</v>
      </c>
      <c r="B11" t="s">
        <v>157</v>
      </c>
    </row>
    <row r="12" spans="1:4" ht="61.5" customHeight="1">
      <c r="A12" t="s">
        <v>158</v>
      </c>
      <c r="B12" t="s">
        <v>159</v>
      </c>
    </row>
    <row r="13" spans="1:4" ht="61.5" customHeight="1">
      <c r="A13" t="s">
        <v>160</v>
      </c>
      <c r="B13" t="s">
        <v>161</v>
      </c>
    </row>
    <row r="14" spans="1:4" ht="61.5" customHeight="1">
      <c r="A14" t="s">
        <v>162</v>
      </c>
      <c r="B14" t="s">
        <v>163</v>
      </c>
    </row>
    <row r="15" spans="1:4" ht="61.5" customHeight="1">
      <c r="A15" t="s">
        <v>164</v>
      </c>
      <c r="B15" t="s">
        <v>165</v>
      </c>
    </row>
    <row r="16" spans="1:4" ht="61.5" customHeight="1">
      <c r="A16" t="s">
        <v>166</v>
      </c>
      <c r="B16" t="s">
        <v>167</v>
      </c>
    </row>
    <row r="17" spans="1:2" ht="61.5" customHeight="1">
      <c r="A17" t="s">
        <v>168</v>
      </c>
      <c r="B17" t="s">
        <v>169</v>
      </c>
    </row>
    <row r="18" spans="1:2" ht="61.5" customHeight="1">
      <c r="A18" t="s">
        <v>170</v>
      </c>
      <c r="B18" t="s">
        <v>171</v>
      </c>
    </row>
    <row r="19" spans="1:2" ht="61.5" customHeight="1">
      <c r="A19" t="s">
        <v>172</v>
      </c>
      <c r="B19" t="s">
        <v>173</v>
      </c>
    </row>
    <row r="20" spans="1:2" ht="61.5" customHeight="1">
      <c r="A20" t="s">
        <v>174</v>
      </c>
      <c r="B20" t="s">
        <v>175</v>
      </c>
    </row>
    <row r="21" spans="1:2" ht="61.5" customHeight="1">
      <c r="A21" t="s">
        <v>176</v>
      </c>
      <c r="B21" t="s">
        <v>177</v>
      </c>
    </row>
    <row r="22" spans="1:2" ht="61.5" customHeight="1">
      <c r="A22" t="s">
        <v>182</v>
      </c>
      <c r="B22" t="s">
        <v>183</v>
      </c>
    </row>
    <row r="23" spans="1:2" ht="61.5" customHeight="1">
      <c r="A23" t="s">
        <v>184</v>
      </c>
      <c r="B23" t="s">
        <v>185</v>
      </c>
    </row>
    <row r="24" spans="1:2" ht="61.5" customHeight="1">
      <c r="A24" t="s">
        <v>186</v>
      </c>
      <c r="B24" t="s">
        <v>187</v>
      </c>
    </row>
    <row r="25" spans="1:2" ht="61.5" customHeight="1">
      <c r="A25" t="s">
        <v>188</v>
      </c>
      <c r="B25" t="s">
        <v>189</v>
      </c>
    </row>
    <row r="26" spans="1:2" ht="61.5" customHeight="1">
      <c r="A26" t="s">
        <v>190</v>
      </c>
      <c r="B26" t="s">
        <v>191</v>
      </c>
    </row>
    <row r="27" spans="1:2" ht="61.5" customHeight="1">
      <c r="A27" t="s">
        <v>192</v>
      </c>
      <c r="B27" t="s">
        <v>193</v>
      </c>
    </row>
    <row r="28" spans="1:2" ht="61.5" customHeight="1">
      <c r="A28" t="s">
        <v>194</v>
      </c>
      <c r="B28" t="s">
        <v>195</v>
      </c>
    </row>
    <row r="29" spans="1:2" ht="61.5" customHeight="1">
      <c r="A29" t="s">
        <v>196</v>
      </c>
      <c r="B29" t="s">
        <v>197</v>
      </c>
    </row>
    <row r="30" spans="1:2" ht="61.5" customHeight="1">
      <c r="A30" t="s">
        <v>198</v>
      </c>
      <c r="B30" t="s">
        <v>199</v>
      </c>
    </row>
    <row r="31" spans="1:2" ht="61.5" customHeight="1">
      <c r="A31" t="s">
        <v>178</v>
      </c>
      <c r="B31" t="s">
        <v>179</v>
      </c>
    </row>
    <row r="32" spans="1:2" ht="61.5" customHeight="1">
      <c r="A32" t="s">
        <v>201</v>
      </c>
      <c r="B32" t="s">
        <v>202</v>
      </c>
    </row>
    <row r="33" spans="1:2" ht="61.5" customHeight="1">
      <c r="A33" t="s">
        <v>203</v>
      </c>
      <c r="B33" t="s">
        <v>204</v>
      </c>
    </row>
    <row r="34" spans="1:2" ht="61.5" customHeight="1">
      <c r="A34" t="s">
        <v>205</v>
      </c>
      <c r="B34" t="s">
        <v>200</v>
      </c>
    </row>
    <row r="35" spans="1:2" ht="61.5" customHeight="1">
      <c r="A35" t="s">
        <v>206</v>
      </c>
      <c r="B35" t="s">
        <v>207</v>
      </c>
    </row>
    <row r="36" spans="1:2" ht="61.5" customHeight="1">
      <c r="A36" t="s">
        <v>208</v>
      </c>
      <c r="B36" t="s">
        <v>209</v>
      </c>
    </row>
    <row r="37" spans="1:2" ht="61.5" customHeight="1">
      <c r="A37" t="s">
        <v>210</v>
      </c>
      <c r="B37" t="s">
        <v>211</v>
      </c>
    </row>
    <row r="38" spans="1:2" ht="61.5" customHeight="1">
      <c r="A38" t="s">
        <v>198</v>
      </c>
      <c r="B38" t="s">
        <v>199</v>
      </c>
    </row>
    <row r="39" spans="1:2" ht="61.5" customHeight="1">
      <c r="A39" t="s">
        <v>212</v>
      </c>
      <c r="B39" t="s">
        <v>213</v>
      </c>
    </row>
    <row r="40" spans="1:2" ht="61.5" customHeight="1">
      <c r="A40" t="s">
        <v>309</v>
      </c>
      <c r="B40" t="s">
        <v>310</v>
      </c>
    </row>
    <row r="41" spans="1:2" ht="61.5" customHeight="1">
      <c r="A41" t="s">
        <v>311</v>
      </c>
      <c r="B41" t="s">
        <v>312</v>
      </c>
    </row>
    <row r="42" spans="1:2" ht="61.5" customHeight="1">
      <c r="A42" t="s">
        <v>313</v>
      </c>
      <c r="B42" t="s">
        <v>314</v>
      </c>
    </row>
    <row r="43" spans="1:2" ht="61.5" customHeight="1">
      <c r="A43" t="s">
        <v>315</v>
      </c>
      <c r="B43" t="s">
        <v>316</v>
      </c>
    </row>
    <row r="44" spans="1:2" ht="61.5" customHeight="1">
      <c r="A44" t="s">
        <v>317</v>
      </c>
      <c r="B44" t="s">
        <v>318</v>
      </c>
    </row>
    <row r="45" spans="1:2" ht="61.5" customHeight="1">
      <c r="A45" t="s">
        <v>319</v>
      </c>
      <c r="B45" t="s">
        <v>320</v>
      </c>
    </row>
    <row r="46" spans="1:2" ht="61.5" customHeight="1">
      <c r="A46" t="s">
        <v>321</v>
      </c>
      <c r="B46" t="s">
        <v>322</v>
      </c>
    </row>
    <row r="47" spans="1:2" ht="61.5" customHeight="1">
      <c r="A47" t="s">
        <v>323</v>
      </c>
      <c r="B47" t="s">
        <v>324</v>
      </c>
    </row>
    <row r="48" spans="1:2" ht="61.5" customHeight="1">
      <c r="A48" t="s">
        <v>325</v>
      </c>
      <c r="B48" t="s">
        <v>326</v>
      </c>
    </row>
    <row r="49" spans="1:2" ht="61.5" customHeight="1">
      <c r="A49" t="s">
        <v>327</v>
      </c>
      <c r="B49" t="s">
        <v>328</v>
      </c>
    </row>
    <row r="50" spans="1:2" ht="61.5" customHeight="1">
      <c r="A50" t="s">
        <v>329</v>
      </c>
      <c r="B50" t="s">
        <v>358</v>
      </c>
    </row>
    <row r="51" spans="1:2" ht="61.5" customHeight="1">
      <c r="A51" t="s">
        <v>330</v>
      </c>
      <c r="B51" t="s">
        <v>331</v>
      </c>
    </row>
    <row r="52" spans="1:2" ht="61.5" customHeight="1">
      <c r="A52" t="s">
        <v>332</v>
      </c>
      <c r="B52" t="s">
        <v>333</v>
      </c>
    </row>
    <row r="53" spans="1:2" ht="61.5" customHeight="1">
      <c r="A53" t="s">
        <v>334</v>
      </c>
    </row>
    <row r="54" spans="1:2" ht="61.5" customHeight="1">
      <c r="A54" t="s">
        <v>335</v>
      </c>
    </row>
    <row r="55" spans="1:2" ht="61.5" customHeight="1">
      <c r="A55" t="s">
        <v>336</v>
      </c>
    </row>
    <row r="56" spans="1:2" ht="61.5" customHeight="1">
      <c r="A56" t="s">
        <v>337</v>
      </c>
      <c r="B56" t="s">
        <v>338</v>
      </c>
    </row>
    <row r="57" spans="1:2" ht="61.5" customHeight="1">
      <c r="A57" t="s">
        <v>339</v>
      </c>
    </row>
    <row r="58" spans="1:2" ht="61.5" customHeight="1">
      <c r="A58" t="s">
        <v>340</v>
      </c>
    </row>
    <row r="59" spans="1:2" ht="61.5" customHeight="1">
      <c r="A59" t="s">
        <v>341</v>
      </c>
    </row>
    <row r="60" spans="1:2" ht="61.5" customHeight="1">
      <c r="A60" t="s">
        <v>342</v>
      </c>
    </row>
    <row r="61" spans="1:2" ht="61.5" customHeight="1">
      <c r="A61" t="s">
        <v>343</v>
      </c>
    </row>
    <row r="62" spans="1:2" ht="61.5" customHeight="1">
      <c r="A62" t="s">
        <v>344</v>
      </c>
    </row>
    <row r="63" spans="1:2" ht="61.5" customHeight="1">
      <c r="A63" t="s">
        <v>345</v>
      </c>
    </row>
    <row r="64" spans="1:2" ht="61.5" customHeight="1">
      <c r="A64" t="s">
        <v>346</v>
      </c>
    </row>
    <row r="65" spans="1:2" ht="61.5" customHeight="1">
      <c r="A65" t="s">
        <v>347</v>
      </c>
    </row>
    <row r="66" spans="1:2" ht="61.5" customHeight="1">
      <c r="A66" t="s">
        <v>348</v>
      </c>
    </row>
    <row r="67" spans="1:2" ht="61.5" customHeight="1">
      <c r="A67" t="s">
        <v>349</v>
      </c>
    </row>
    <row r="68" spans="1:2" ht="61.5" customHeight="1">
      <c r="A68" t="s">
        <v>350</v>
      </c>
    </row>
    <row r="69" spans="1:2" ht="61.5" customHeight="1">
      <c r="A69" t="s">
        <v>351</v>
      </c>
    </row>
    <row r="70" spans="1:2" ht="61.5" customHeight="1">
      <c r="A70" t="s">
        <v>352</v>
      </c>
    </row>
    <row r="71" spans="1:2" ht="61.5" customHeight="1">
      <c r="A71" t="s">
        <v>361</v>
      </c>
      <c r="B71" t="s">
        <v>362</v>
      </c>
    </row>
    <row r="72" spans="1:2" ht="61.5" customHeight="1">
      <c r="A72" t="s">
        <v>363</v>
      </c>
    </row>
    <row r="73" spans="1:2" ht="61.5" customHeight="1">
      <c r="A73" t="s">
        <v>364</v>
      </c>
    </row>
    <row r="74" spans="1:2" ht="61.5" customHeight="1">
      <c r="A74" t="s">
        <v>369</v>
      </c>
    </row>
    <row r="75" spans="1:2" ht="61.5" customHeight="1">
      <c r="A75" t="s">
        <v>370</v>
      </c>
    </row>
    <row r="76" spans="1:2" ht="61.5" customHeight="1">
      <c r="A76" t="s">
        <v>371</v>
      </c>
    </row>
  </sheetData>
  <conditionalFormatting sqref="A38:A70 A1:A21 A72:A73 A76:A1048576">
    <cfRule type="duplicateValues" dxfId="10" priority="26"/>
    <cfRule type="duplicateValues" dxfId="9" priority="29"/>
  </conditionalFormatting>
  <conditionalFormatting sqref="A71">
    <cfRule type="duplicateValues" dxfId="8" priority="5"/>
    <cfRule type="duplicateValues" dxfId="7" priority="6"/>
  </conditionalFormatting>
  <conditionalFormatting sqref="A74">
    <cfRule type="duplicateValues" dxfId="6" priority="3"/>
    <cfRule type="duplicateValues" dxfId="5" priority="4"/>
  </conditionalFormatting>
  <conditionalFormatting sqref="A75">
    <cfRule type="duplicateValues" dxfId="4" priority="1"/>
    <cfRule type="duplicateValues" dxfId="3" priority="2"/>
  </conditionalFormatting>
  <conditionalFormatting sqref="A22:B37 B39">
    <cfRule type="duplicateValues" dxfId="2" priority="41"/>
  </conditionalFormatting>
  <conditionalFormatting sqref="D1">
    <cfRule type="duplicateValues" dxfId="1" priority="13"/>
    <cfRule type="duplicateValues" dxfId="0" priority="14"/>
  </conditionalFormatting>
  <pageMargins left="0.7" right="0.7" top="0.75" bottom="0.75" header="0.3" footer="0.3"/>
  <pageSetup orientation="portrait" r:id="rId1"/>
  <headerFooter>
    <oddHeader>&amp;L&amp;"Arial"&amp;9&amp;KA80000CONFIDENTIAL&amp;1#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75IG0oO6O8gxsW7sxWINO5zw0iUoGe9KwT3d4dwX2TU=</DigestValue>
    </Reference>
    <Reference Type="http://www.w3.org/2000/09/xmldsig#Object" URI="#idOfficeObject">
      <DigestMethod Algorithm="http://www.w3.org/2001/04/xmlenc#sha256"/>
      <DigestValue>vUhSmLhkk5FOQrFgeII5jeaIgypnQtvZmrEJgCf0/+4=</DigestValue>
    </Reference>
    <Reference Type="http://uri.etsi.org/01903#SignedProperties" URI="#idSignedProperties">
      <Transforms>
        <Transform Algorithm="http://www.w3.org/TR/2001/REC-xml-c14n-20010315"/>
      </Transforms>
      <DigestMethod Algorithm="http://www.w3.org/2001/04/xmlenc#sha256"/>
      <DigestValue>DmHsjmDGsXD2lK4inlblYhubpR/iHWbmqL0aen/oDkM=</DigestValue>
    </Reference>
  </SignedInfo>
  <SignatureValue>2twnC7RYUcfQfSkrBhu+CrvCbERN2B7VzSz7q8z+5s3nTVhCaeevAuAaeERXF16nYBYLDFFu3bFa
U4TM1fV5Voi2Dbac1NnD9yzJOox0BTOxbX0Q6v5Ws8BEBMQb9lIofCcCxnQipIvfSuRKYGUJf6au
1Bhdp1eeJ6Gyk+95vpOtLZ88HyCaJzDkeXB6YNsB9CIavTwBEaFTBdSGKxPo0wf4h70tjkEGXpcq
u0CFsSuJvsuNziTpPGzuWqnWuw51HAVK7l7/CK88JxcLcZPJ2kQVECL+8Xdtg2JG3GXEXdYi6/RD
NZzL1RrksP5M7gkARYkSo8DFPhCQXcZShjvBKQ==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1/04/xmlenc#sha256"/>
        <DigestValue>9hkTQ75JAfW23smmIrr+KrL38a95DOPJIMJM2bZ4cJo=</DigestValue>
      </Reference>
      <Reference URI="/xl/calcChain.xml?ContentType=application/vnd.openxmlformats-officedocument.spreadsheetml.calcChain+xml">
        <DigestMethod Algorithm="http://www.w3.org/2001/04/xmlenc#sha256"/>
        <DigestValue>ERwzW96m7xAjjMJJSd2qH+oaiIdwLg5BIrybK8PV1OA=</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6"/>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Transform>
          <Transform Algorithm="http://www.w3.org/TR/2001/REC-xml-c14n-20010315"/>
        </Transforms>
        <DigestMethod Algorithm="http://www.w3.org/2001/04/xmlenc#sha256"/>
        <DigestValue>W50Ai8G0VKByoyeDKRvSzTCIA6W+4mXybUhnbRugRb4=</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xGTAo/Sb5tmsYq3GfKzWplSdgUDQ7LN+ocy7Ew8iXAQ=</DigestValue>
      </Reference>
      <Reference URI="/xl/drawings/drawing2.xml?ContentType=application/vnd.openxmlformats-officedocument.drawing+xml">
        <DigestMethod Algorithm="http://www.w3.org/2001/04/xmlenc#sha256"/>
        <DigestValue>j5N71UESMFfavg6v8ZO7IXrqTxkY7hxXCejQ4OwwMZY=</DigestValue>
      </Reference>
      <Reference URI="/xl/drawings/drawing3.xml?ContentType=application/vnd.openxmlformats-officedocument.drawing+xml">
        <DigestMethod Algorithm="http://www.w3.org/2001/04/xmlenc#sha256"/>
        <DigestValue>g8IFpBapwXg3fv389TfU6MPiCXAugjAOhFtg2OKV6BM=</DigestValue>
      </Reference>
      <Reference URI="/xl/drawings/drawing4.xml?ContentType=application/vnd.openxmlformats-officedocument.drawing+xml">
        <DigestMethod Algorithm="http://www.w3.org/2001/04/xmlenc#sha256"/>
        <DigestValue>VOlG12CTRYu7/fQq30JsE/i0+hcF85v2mL+BisOxJ5o=</DigestValue>
      </Reference>
      <Reference URI="/xl/drawings/drawing5.xml?ContentType=application/vnd.openxmlformats-officedocument.drawing+xml">
        <DigestMethod Algorithm="http://www.w3.org/2001/04/xmlenc#sha256"/>
        <DigestValue>T7r4VUZMoregaUhcHlsrMBHavK4xyqSgOTOfHP0qBRw=</DigestValue>
      </Reference>
      <Reference URI="/xl/drawings/drawing6.xml?ContentType=application/vnd.openxmlformats-officedocument.drawing+xml">
        <DigestMethod Algorithm="http://www.w3.org/2001/04/xmlenc#sha256"/>
        <DigestValue>eC4bGMtmbpMJyPFOJDt+/zZ0/anNLSoDOWNA5DB9dDE=</DigestValue>
      </Reference>
      <Reference URI="/xl/drawings/vmlDrawing1.vml?ContentType=application/vnd.openxmlformats-officedocument.vmlDrawing">
        <DigestMethod Algorithm="http://www.w3.org/2001/04/xmlenc#sha256"/>
        <DigestValue>THM6wsbIAMh6wSMuslEB7PK4dwVfpUxiVG860wZLS3c=</DigestValue>
      </Reference>
      <Reference URI="/xl/drawings/vmlDrawing2.vml?ContentType=application/vnd.openxmlformats-officedocument.vmlDrawing">
        <DigestMethod Algorithm="http://www.w3.org/2001/04/xmlenc#sha256"/>
        <DigestValue>dw8jfxd23Ask1Y5vQRfQ9ukW1SHs1BX2Y4JsmS45kPw=</DigestValue>
      </Reference>
      <Reference URI="/xl/drawings/vmlDrawing3.vml?ContentType=application/vnd.openxmlformats-officedocument.vmlDrawing">
        <DigestMethod Algorithm="http://www.w3.org/2001/04/xmlenc#sha256"/>
        <DigestValue>1lP91x4mSHNNPlIOXDFiFnsOabLsx3nufIgdyXzZvLg=</DigestValue>
      </Reference>
      <Reference URI="/xl/drawings/vmlDrawing4.vml?ContentType=application/vnd.openxmlformats-officedocument.vmlDrawing">
        <DigestMethod Algorithm="http://www.w3.org/2001/04/xmlenc#sha256"/>
        <DigestValue>3iPbrw5S9mwPCvIFT7Fsoldj6XhKwgPTZlD3rVPfm0Y=</DigestValue>
      </Reference>
      <Reference URI="/xl/drawings/vmlDrawing5.vml?ContentType=application/vnd.openxmlformats-officedocument.vmlDrawing">
        <DigestMethod Algorithm="http://www.w3.org/2001/04/xmlenc#sha256"/>
        <DigestValue>F9TdtojWXpTsBqQg60+1dpLGGD61lTJQTqACWs2ythU=</DigestValue>
      </Reference>
      <Reference URI="/xl/media/image1.emf?ContentType=image/x-emf">
        <DigestMethod Algorithm="http://www.w3.org/2001/04/xmlenc#sha256"/>
        <DigestValue>gNHNwS6hrjRLoszYchawZvy9jErS2eeX2k/XR5o1UZk=</DigestValue>
      </Reference>
      <Reference URI="/xl/media/image10.png?ContentType=image/png">
        <DigestMethod Algorithm="http://www.w3.org/2001/04/xmlenc#sha256"/>
        <DigestValue>SF6lIEP1cWrixGLlmKbDwtfQEVVVSqyr4UGAExXHkRI=</DigestValue>
      </Reference>
      <Reference URI="/xl/media/image11.png?ContentType=image/png">
        <DigestMethod Algorithm="http://www.w3.org/2001/04/xmlenc#sha256"/>
        <DigestValue>nm7L/P9WE9GNscuDnBKAar5SNauglawjFq/j/r/Q3Y0=</DigestValue>
      </Reference>
      <Reference URI="/xl/media/image12.png?ContentType=image/png">
        <DigestMethod Algorithm="http://www.w3.org/2001/04/xmlenc#sha256"/>
        <DigestValue>RTP7uLdrbjo2BTyctwZo7RYHvZa5BeSgClbeqqlfBa4=</DigestValue>
      </Reference>
      <Reference URI="/xl/media/image13.jpeg?ContentType=image/jpeg">
        <DigestMethod Algorithm="http://www.w3.org/2001/04/xmlenc#sha256"/>
        <DigestValue>iIytnUqpm1OstWpGPvo3d9ZyLo1HT/gkVsavSoNMx/0=</DigestValue>
      </Reference>
      <Reference URI="/xl/media/image14.jpeg?ContentType=image/jpeg">
        <DigestMethod Algorithm="http://www.w3.org/2001/04/xmlenc#sha256"/>
        <DigestValue>p0cj4QWkXd7goU0cJIoMMYvkHzp5h8sNoH6P0OF3thM=</DigestValue>
      </Reference>
      <Reference URI="/xl/media/image15.jpeg?ContentType=image/jpeg">
        <DigestMethod Algorithm="http://www.w3.org/2001/04/xmlenc#sha256"/>
        <DigestValue>JrspNEDe+jYbcdSixaxxOarORGrZkGqSTV3XwCn1Z+g=</DigestValue>
      </Reference>
      <Reference URI="/xl/media/image16.png?ContentType=image/png">
        <DigestMethod Algorithm="http://www.w3.org/2001/04/xmlenc#sha256"/>
        <DigestValue>i/PXx/R/9nHm50D6GxNe6CcA3SrZA5u15aqMWRgWAcg=</DigestValue>
      </Reference>
      <Reference URI="/xl/media/image17.png?ContentType=image/png">
        <DigestMethod Algorithm="http://www.w3.org/2001/04/xmlenc#sha256"/>
        <DigestValue>4KCN1qWg6RjwirJ67bKzplrsu6pXfpywX+kyFPWsH70=</DigestValue>
      </Reference>
      <Reference URI="/xl/media/image2.emf?ContentType=image/x-emf">
        <DigestMethod Algorithm="http://www.w3.org/2001/04/xmlenc#sha256"/>
        <DigestValue>gNHNwS6hrjRLoszYchawZvy9jErS2eeX2k/XR5o1UZk=</DigestValue>
      </Reference>
      <Reference URI="/xl/media/image3.png?ContentType=image/png">
        <DigestMethod Algorithm="http://www.w3.org/2001/04/xmlenc#sha256"/>
        <DigestValue>087Yfkclt1EWim42tzxri9gvbNwr0tHdA5eGfJE27Rc=</DigestValue>
      </Reference>
      <Reference URI="/xl/media/image4.png?ContentType=image/png">
        <DigestMethod Algorithm="http://www.w3.org/2001/04/xmlenc#sha256"/>
        <DigestValue>nW2hOUOanxbHMRg2qIT6c6+JIUDHq5OoSjtxS1q6nNs=</DigestValue>
      </Reference>
      <Reference URI="/xl/media/image5.jpeg?ContentType=image/jpeg">
        <DigestMethod Algorithm="http://www.w3.org/2001/04/xmlenc#sha256"/>
        <DigestValue>0M8VOz7RUZ2vQENMoLLx5pJ3bci0svbUb1Yo1a4j7pk=</DigestValue>
      </Reference>
      <Reference URI="/xl/media/image6.png?ContentType=image/png">
        <DigestMethod Algorithm="http://www.w3.org/2001/04/xmlenc#sha256"/>
        <DigestValue>gw8E7gkqw3ghkRPZhJ33JzMUW5xh5PkuKoWt7H0R+9Q=</DigestValue>
      </Reference>
      <Reference URI="/xl/media/image7.jpeg?ContentType=image/jpeg">
        <DigestMethod Algorithm="http://www.w3.org/2001/04/xmlenc#sha256"/>
        <DigestValue>6xAH77ExkRKub6MvxU8ZySJxevPGibTT7vYIq8OWz2o=</DigestValue>
      </Reference>
      <Reference URI="/xl/media/image8.png?ContentType=image/png">
        <DigestMethod Algorithm="http://www.w3.org/2001/04/xmlenc#sha256"/>
        <DigestValue>ZAdetHgtteZB1XilMQsHJFgDMLNGPPl+fVxeCb02eWA=</DigestValue>
      </Reference>
      <Reference URI="/xl/media/image9.png?ContentType=image/png">
        <DigestMethod Algorithm="http://www.w3.org/2001/04/xmlenc#sha256"/>
        <DigestValue>9mlgneoHMIJFBiBt9idi29PyzEtQryIcH8mytcR8HuQ=</DigestValue>
      </Reference>
      <Reference URI="/xl/printerSettings/printerSettings1.bin?ContentType=application/vnd.openxmlformats-officedocument.spreadsheetml.printerSettings">
        <DigestMethod Algorithm="http://www.w3.org/2001/04/xmlenc#sha256"/>
        <DigestValue>x1vhfqkBqgHVg2CZdiTgyomEC/+vF9RSkU3c8w4zTr0=</DigestValue>
      </Reference>
      <Reference URI="/xl/printerSettings/printerSettings2.bin?ContentType=application/vnd.openxmlformats-officedocument.spreadsheetml.printerSettings">
        <DigestMethod Algorithm="http://www.w3.org/2001/04/xmlenc#sha256"/>
        <DigestValue>Vg06YY/Dtz/fGbZcGmbKtlDqzXMabGugsFWW3Uph4fw=</DigestValue>
      </Reference>
      <Reference URI="/xl/printerSettings/printerSettings3.bin?ContentType=application/vnd.openxmlformats-officedocument.spreadsheetml.printerSettings">
        <DigestMethod Algorithm="http://www.w3.org/2001/04/xmlenc#sha256"/>
        <DigestValue>Vg06YY/Dtz/fGbZcGmbKtlDqzXMabGugsFWW3Uph4fw=</DigestValue>
      </Reference>
      <Reference URI="/xl/printerSettings/printerSettings4.bin?ContentType=application/vnd.openxmlformats-officedocument.spreadsheetml.printerSettings">
        <DigestMethod Algorithm="http://www.w3.org/2001/04/xmlenc#sha256"/>
        <DigestValue>GnBKa1Gf7IMZ42AIQJIJDmQs2T3OO5iigm/27PZ1C9Q=</DigestValue>
      </Reference>
      <Reference URI="/xl/printerSettings/printerSettings5.bin?ContentType=application/vnd.openxmlformats-officedocument.spreadsheetml.printerSettings">
        <DigestMethod Algorithm="http://www.w3.org/2001/04/xmlenc#sha256"/>
        <DigestValue>Vg06YY/Dtz/fGbZcGmbKtlDqzXMabGugsFWW3Uph4fw=</DigestValue>
      </Reference>
      <Reference URI="/xl/printerSettings/printerSettings6.bin?ContentType=application/vnd.openxmlformats-officedocument.spreadsheetml.printerSettings">
        <DigestMethod Algorithm="http://www.w3.org/2001/04/xmlenc#sha256"/>
        <DigestValue>Vg06YY/Dtz/fGbZcGmbKtlDqzXMabGugsFWW3Uph4fw=</DigestValue>
      </Reference>
      <Reference URI="/xl/printerSettings/printerSettings7.bin?ContentType=application/vnd.openxmlformats-officedocument.spreadsheetml.printerSettings">
        <DigestMethod Algorithm="http://www.w3.org/2001/04/xmlenc#sha256"/>
        <DigestValue>dVFifNrZHTmdHzpDWXItWzUtA0LfpyKgBKr32UVgWR4=</DigestValue>
      </Reference>
      <Reference URI="/xl/sharedStrings.xml?ContentType=application/vnd.openxmlformats-officedocument.spreadsheetml.sharedStrings+xml">
        <DigestMethod Algorithm="http://www.w3.org/2001/04/xmlenc#sha256"/>
        <DigestValue>i0s0EM+2xQRGFOhtFjbTVqfEPY6r9GZw1jtk+5FqZlo=</DigestValue>
      </Reference>
      <Reference URI="/xl/styles.xml?ContentType=application/vnd.openxmlformats-officedocument.spreadsheetml.styles+xml">
        <DigestMethod Algorithm="http://www.w3.org/2001/04/xmlenc#sha256"/>
        <DigestValue>cfHSH9IE6Jo5n8VO2Qg8+NZ8/FLmdszcjwLAWYaBEks=</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acN4lHv+rW4mZwHNkl4XoO3JOdpCU5LBpU9pT2k7DRM=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9T+yw4wrsh9mj6LX9ttMHSq7Qcj1J3NzJF8ZBQ59Fos=</DigestValue>
      </Reference>
      <Reference URI="/xl/worksheets/sheet1.xml?ContentType=application/vnd.openxmlformats-officedocument.spreadsheetml.worksheet+xml">
        <DigestMethod Algorithm="http://www.w3.org/2001/04/xmlenc#sha256"/>
        <DigestValue>otC0DvidASaca3kKyvs+9K5E9unx2FVLEtOFtskUU1w=</DigestValue>
      </Reference>
      <Reference URI="/xl/worksheets/sheet2.xml?ContentType=application/vnd.openxmlformats-officedocument.spreadsheetml.worksheet+xml">
        <DigestMethod Algorithm="http://www.w3.org/2001/04/xmlenc#sha256"/>
        <DigestValue>SNogGdwkg6atdWXB1YdHVwbzQlODBNiVJpkwQlGgC8s=</DigestValue>
      </Reference>
      <Reference URI="/xl/worksheets/sheet3.xml?ContentType=application/vnd.openxmlformats-officedocument.spreadsheetml.worksheet+xml">
        <DigestMethod Algorithm="http://www.w3.org/2001/04/xmlenc#sha256"/>
        <DigestValue>SvD3FDAo9lHBQ1TEFMJtPD5GQ4SXUmehfK+BH1jYdLs=</DigestValue>
      </Reference>
      <Reference URI="/xl/worksheets/sheet4.xml?ContentType=application/vnd.openxmlformats-officedocument.spreadsheetml.worksheet+xml">
        <DigestMethod Algorithm="http://www.w3.org/2001/04/xmlenc#sha256"/>
        <DigestValue>gvuOwj4OrGEQNppwl3vsg2ke6Qd455n2WAGK9jZKpJ8=</DigestValue>
      </Reference>
      <Reference URI="/xl/worksheets/sheet5.xml?ContentType=application/vnd.openxmlformats-officedocument.spreadsheetml.worksheet+xml">
        <DigestMethod Algorithm="http://www.w3.org/2001/04/xmlenc#sha256"/>
        <DigestValue>g13GPjU1WCRMUTbIPxSbs/hxplKy2q43cPBscnRqGoY=</DigestValue>
      </Reference>
      <Reference URI="/xl/worksheets/sheet6.xml?ContentType=application/vnd.openxmlformats-officedocument.spreadsheetml.worksheet+xml">
        <DigestMethod Algorithm="http://www.w3.org/2001/04/xmlenc#sha256"/>
        <DigestValue>Rf82u4ZIeD4Gv00zogpaqglDPLyM8ajJCnOmMrwDKws=</DigestValue>
      </Reference>
      <Reference URI="/xl/worksheets/sheet7.xml?ContentType=application/vnd.openxmlformats-officedocument.spreadsheetml.worksheet+xml">
        <DigestMethod Algorithm="http://www.w3.org/2001/04/xmlenc#sha256"/>
        <DigestValue>UOWCq0sIOwGPNy4ePhmyoG24dfLyDVEGaHGA9KVagEA=</DigestValue>
      </Reference>
    </Manifest>
    <SignatureProperties>
      <SignatureProperty Id="idSignatureTime" Target="#idPackageSignature">
        <mdssi:SignatureTime xmlns:mdssi="http://schemas.openxmlformats.org/package/2006/digital-signature">
          <mdssi:Format>YYYY-MM-DDThh:mm:ssTZD</mdssi:Format>
          <mdssi:Value>2025-06-05T04:29:49Z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16.0.17328/26</OfficeVersion>
          <ApplicationVersion>16.0.17328</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2025-06-05T04:29:49Z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TONGQUAN</vt:lpstr>
      <vt:lpstr>BCTaiSan_06027</vt:lpstr>
      <vt:lpstr>BCKetQuaHoatDong_06028</vt:lpstr>
      <vt:lpstr>BCDanhMucDauTu_06029</vt:lpstr>
      <vt:lpstr>BCHoatDongVay_06026</vt:lpstr>
      <vt:lpstr>Khac_06030</vt:lpstr>
      <vt:lpstr>LogoFMS</vt:lpstr>
      <vt:lpstr>BCHoatDongVay_06026!Print_Area</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Tran Thi Thu, Trang</cp:lastModifiedBy>
  <cp:lastPrinted>2025-06-04T02:36:29Z</cp:lastPrinted>
  <dcterms:created xsi:type="dcterms:W3CDTF">2019-03-13T13:30:00Z</dcterms:created>
  <dcterms:modified xsi:type="dcterms:W3CDTF">2025-06-05T04:29:47Z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