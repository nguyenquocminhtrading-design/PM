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Mar\16\"/>
    </mc:Choice>
  </mc:AlternateContent>
  <xr:revisionPtr revIDLastSave="0" documentId="13_ncr:1_{8B7745E2-0F2B-4415-8FC2-8910115365D8}"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9" r:id="rId2"/>
    <sheet name="BCtinhhinhtaichinh" sheetId="42" r:id="rId3"/>
    <sheet name="GiaTriTaiSanRong_06107" sheetId="33" r:id="rId4"/>
    <sheet name="BCDanhMucDauTu_06108" sheetId="48" r:id="rId5"/>
    <sheet name="BCLCGT_06262" sheetId="38" r:id="rId6"/>
    <sheet name="BCTaiSan_06027" sheetId="43" r:id="rId7"/>
    <sheet name="BCKetQuaHoatDong_06028" sheetId="29" r:id="rId8"/>
    <sheet name="BCDanhMucDauTu_06029" sheetId="44" r:id="rId9"/>
    <sheet name="BCHoatDongVay_06026" sheetId="45" r:id="rId10"/>
    <sheet name="Khac_06030" sheetId="32" r:id="rId11"/>
    <sheet name="Thong ke phi giao dich_06031" sheetId="47" r:id="rId12"/>
  </sheets>
  <definedNames>
    <definedName name="_xlnm._FilterDatabase" localSheetId="8" hidden="1">BCDanhMucDauTu_06029!$A$18:$G$18</definedName>
    <definedName name="_xlnm._FilterDatabase" localSheetId="7" hidden="1">BCKetQuaHoatDong_06028!$A$18:$F$82</definedName>
    <definedName name="_xlnm._FilterDatabase" localSheetId="5" hidden="1">BCLCGT_06262!$A$17:$G$64</definedName>
    <definedName name="_xlnm._FilterDatabase" localSheetId="6" hidden="1">BCTaiSan_06027!$A$18:$F$18</definedName>
    <definedName name="_xlnm._FilterDatabase" localSheetId="1" hidden="1">BCthunhap!$A$16:$H$77</definedName>
    <definedName name="_xlnm._FilterDatabase" localSheetId="2" hidden="1">BCtinhhinhtaichinh!$A$16:$H$120</definedName>
    <definedName name="_xlnm._FilterDatabase" localSheetId="3" hidden="1">GiaTriTaiSanRong_06107!$A$18:$I$18</definedName>
    <definedName name="_xlnm._FilterDatabase" localSheetId="10" hidden="1">Khac_06030!$A$18:$F$18</definedName>
    <definedName name="addlogo" localSheetId="11">INDEX(#REF!,MATCH(#REF!,#REF!,0))</definedName>
    <definedName name="addlogo">INDEX(#REF!,MATCH(#REF!,#REF!,0))</definedName>
    <definedName name="_xlnm.Print_Area" localSheetId="8">BCDanhMucDauTu_06029!$A$1:$G$104</definedName>
    <definedName name="_xlnm.Print_Area" localSheetId="4">BCDanhMucDauTu_06108!$A$1:$G$104</definedName>
    <definedName name="_xlnm.Print_Area" localSheetId="9">BCHoatDongVay_06026!$A$1:$K$47</definedName>
    <definedName name="_xlnm.Print_Area" localSheetId="7">BCKetQuaHoatDong_06028!$A:$F</definedName>
    <definedName name="_xlnm.Print_Area" localSheetId="5">BCLCGT_06262!$A$1:$E$80</definedName>
    <definedName name="_xlnm.Print_Area" localSheetId="6">BCTaiSan_06027!$A$1:$F$109</definedName>
    <definedName name="_xlnm.Print_Area" localSheetId="1">BCthunhap!$A$1:$E$93</definedName>
    <definedName name="_xlnm.Print_Area" localSheetId="2">BCtinhhinhtaichinh!$A$1:$F$139</definedName>
    <definedName name="_xlnm.Print_Area" localSheetId="3">GiaTriTaiSanRong_06107!$A$1:$F$34</definedName>
    <definedName name="_xlnm.Print_Area" localSheetId="10">Khac_06030!$A$1:$E$64</definedName>
    <definedName name="_xlnm.Print_Area" localSheetId="11">'Thong ke phi giao dich_06031'!$A$1:$H$43</definedName>
    <definedName name="_xlnm.Print_Area" localSheetId="0">TONGQUAN!$A$1:$K$52</definedName>
    <definedName name="_xlnm.Print_Titles" localSheetId="8">BCDanhMucDauTu_06029!$18:$18</definedName>
    <definedName name="_xlnm.Print_Titles" localSheetId="9">BCHoatDongVay_06026!$18:$19</definedName>
    <definedName name="_xlnm.Print_Titles" localSheetId="7">BCKetQuaHoatDong_06028!$18:$18</definedName>
    <definedName name="_xlnm.Print_Titles" localSheetId="5">BCLCGT_06262!$17:$17</definedName>
    <definedName name="_xlnm.Print_Titles" localSheetId="6">BCTaiSan_06027!$18:$18</definedName>
    <definedName name="_xlnm.Print_Titles" localSheetId="1">BCthunhap!$16:$17</definedName>
    <definedName name="_xlnm.Print_Titles" localSheetId="2">BCtinhhinhtaichinh!$16:$16</definedName>
    <definedName name="_xlnm.Print_Titles" localSheetId="10">Khac_06030!$18:$18</definedName>
    <definedName name="Z_1216C9AE_6FD0_4865_894B_49ED81B7563C_.wvu.PrintArea" localSheetId="11" hidden="1">'Thong ke phi giao dich_06031'!$A$1:$H$43</definedName>
    <definedName name="Z_690FC734_A1DD_41D2_86D7_567DA19AE7FC_.wvu.PrintArea" localSheetId="11" hidden="1">'Thong ke phi giao dich_06031'!$A$1:$H$43</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47" l="1"/>
  <c r="E20" i="47" s="1"/>
  <c r="E27" i="47" l="1"/>
  <c r="E26" i="47"/>
  <c r="E21" i="47"/>
  <c r="E24" i="47"/>
  <c r="E25" i="47"/>
  <c r="E23" i="47"/>
  <c r="E22" i="47"/>
  <c r="F28" i="47" l="1"/>
</calcChain>
</file>

<file path=xl/sharedStrings.xml><?xml version="1.0" encoding="utf-8"?>
<sst xmlns="http://schemas.openxmlformats.org/spreadsheetml/2006/main" count="1711" uniqueCount="984">
  <si>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</si>
  <si>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</si>
  <si>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</si>
  <si>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</si>
  <si>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</si>
  <si>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</si>
  <si>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</si>
  <si>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</si>
  <si>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</si>
  <si>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</si>
  <si>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</si>
  <si>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</si>
  <si>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</si>
  <si>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</si>
  <si>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</si>
  <si>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</si>
  <si>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</si>
  <si>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</si>
  <si>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</si>
  <si>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</si>
  <si>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</si>
  <si>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</si>
  <si>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</si>
  <si>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</si>
  <si>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</si>
  <si>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</si>
  <si>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</si>
  <si>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</si>
  <si>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</si>
  <si>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</si>
  <si>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</si>
  <si>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</si>
  <si>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</si>
  <si>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</si>
  <si>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</si>
  <si>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</si>
  <si>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</si>
  <si>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</si>
  <si>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</si>
  <si>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</si>
  <si>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</si>
  <si>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</si>
  <si>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</si>
  <si>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</si>
  <si>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</si>
  <si>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</si>
  <si>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</si>
  <si>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</si>
  <si>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</si>
  <si>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</si>
  <si>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</si>
  <si>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</si>
  <si>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</si>
  <si>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</si>
  <si>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</si>
  <si>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</si>
  <si>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</si>
  <si>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</si>
  <si>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</si>
  <si>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</si>
  <si>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</si>
  <si>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</si>
  <si>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</si>
  <si>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</si>
  <si>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</si>
  <si>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</si>
  <si>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</si>
  <si>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</si>
  <si>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</si>
  <si>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</si>
  <si>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</si>
  <si>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</si>
  <si>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</si>
  <si>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</si>
  <si>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</si>
  <si>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</si>
  <si>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</si>
  <si>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</si>
  <si>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</si>
  <si>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</si>
  <si>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</si>
  <si>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</si>
  <si>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</si>
  <si>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</si>
  <si>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</si>
  <si>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</si>
  <si>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</si>
  <si>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</si>
  <si>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</si>
  <si>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</si>
  <si>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</si>
  <si>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</si>
  <si>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</si>
  <si>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</si>
  <si>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</si>
  <si>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</si>
  <si>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</si>
  <si>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</si>
  <si>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III. Thay đổi NAV do mua lại, phát hành thêm Chứng chỉ quỹ (= III.1 + III.2)
Change of NAV due to redemption, subscription of Fund Certificate (= III.1 + III.2)</t>
  </si>
  <si>
    <t>III.1</t>
  </si>
  <si>
    <t>III.1 Khoản thu từ việc phát hành bổ sung Chứng chỉ quỹ
Increase from Subscription of Fund Certificate</t>
  </si>
  <si>
    <t>III.2</t>
  </si>
  <si>
    <t>III.2 Khoản thanh toán từ việc mua lại Chứng chỉ quỹ
Decrease from Redemption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</si>
  <si>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</si>
  <si>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</si>
  <si>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</si>
  <si>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</si>
  <si>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</si>
  <si>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</si>
  <si>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</si>
  <si>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</si>
  <si>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</si>
  <si>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</si>
  <si>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</si>
  <si>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</si>
  <si>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</si>
  <si>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</si>
  <si>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</si>
  <si>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</si>
  <si>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</si>
  <si>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</si>
  <si>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</si>
  <si>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</si>
  <si>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</si>
  <si>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</si>
  <si>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</si>
  <si>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</si>
  <si>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</si>
  <si>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</si>
  <si>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</si>
  <si>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</si>
  <si>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</si>
  <si>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</si>
  <si>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</si>
  <si>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</si>
  <si>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</si>
  <si>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</si>
  <si>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</si>
  <si>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</si>
  <si>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</si>
  <si>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</si>
  <si>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</si>
  <si>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</si>
  <si>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</si>
  <si>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</si>
  <si>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</si>
  <si>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</si>
  <si>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</si>
  <si>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</si>
  <si>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</si>
  <si>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</si>
  <si>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</si>
  <si>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</si>
  <si>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</si>
  <si>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</si>
  <si>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</si>
  <si>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</si>
  <si>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</si>
  <si>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</si>
  <si>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</si>
  <si>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</si>
  <si>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</si>
  <si>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</si>
  <si>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</si>
  <si>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</si>
  <si>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</si>
  <si>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</si>
  <si>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</si>
  <si>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</si>
  <si>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</si>
  <si>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</si>
  <si>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</si>
  <si>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</si>
  <si>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</si>
  <si>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</si>
  <si>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</si>
  <si>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</si>
  <si>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</si>
  <si>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</si>
  <si>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</si>
  <si>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</si>
  <si>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</si>
  <si>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</si>
  <si>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</si>
  <si>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</si>
  <si>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</si>
  <si>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</si>
  <si>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</si>
  <si>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</si>
  <si>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</si>
  <si>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</si>
  <si>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</si>
  <si>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</si>
  <si>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</si>
  <si>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</si>
  <si>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</si>
  <si>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</si>
  <si>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</si>
  <si>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</si>
  <si>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</si>
  <si>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</si>
  <si>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</si>
  <si>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</si>
  <si>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</si>
  <si>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</si>
  <si>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</si>
  <si>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</si>
  <si>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</si>
  <si>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</si>
  <si>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</si>
  <si>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</si>
  <si>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</si>
  <si>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</si>
  <si>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</si>
  <si>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</si>
  <si>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</si>
  <si>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</si>
  <si>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</si>
  <si>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</si>
  <si>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</si>
  <si>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</si>
  <si>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</si>
  <si>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</si>
  <si>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</si>
  <si>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</si>
  <si>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Mẫu số B01 - QM Báo cáo thu nhập
Template B01 - QM Statement of Comprehensive Income</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</si>
  <si>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</si>
  <si>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</si>
  <si>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</si>
  <si>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</si>
  <si>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</si>
  <si>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</si>
  <si>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</si>
  <si>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</si>
  <si>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</si>
  <si>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</si>
  <si>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</si>
  <si>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</si>
  <si>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</si>
  <si>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</si>
  <si>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</si>
  <si>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</si>
  <si>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</si>
  <si>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</si>
  <si>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</si>
  <si>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</si>
  <si>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</si>
  <si>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</si>
  <si>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</si>
  <si>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</si>
  <si>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</si>
  <si>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</si>
  <si>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</si>
  <si>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</si>
  <si>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</si>
  <si>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</si>
  <si>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</si>
  <si>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</si>
  <si>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</si>
  <si>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</si>
  <si>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</si>
  <si>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</si>
  <si>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</si>
  <si>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</si>
  <si>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</si>
  <si>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</si>
  <si>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</si>
  <si>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</si>
  <si>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</si>
  <si>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</si>
  <si>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</si>
  <si>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</si>
  <si>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</si>
  <si>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</si>
  <si>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</si>
  <si>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</si>
  <si>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</si>
  <si>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</si>
  <si>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</si>
  <si>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</si>
  <si>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</si>
  <si>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</si>
  <si>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</si>
  <si>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</si>
  <si>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</si>
  <si>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</si>
  <si>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</si>
  <si>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</si>
  <si>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</si>
  <si>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</si>
  <si>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</si>
  <si>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</si>
  <si>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</si>
  <si>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</si>
  <si>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</si>
  <si>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</si>
  <si>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</si>
  <si>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</si>
  <si>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</si>
  <si>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</si>
  <si>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</si>
  <si>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</si>
  <si>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</si>
  <si>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</si>
  <si>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</si>
  <si>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</si>
  <si>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</si>
  <si>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</si>
  <si>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</si>
  <si>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</si>
  <si>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</si>
  <si>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</si>
  <si>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</si>
  <si>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</si>
  <si>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</si>
  <si>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</si>
  <si>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</si>
  <si>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</si>
  <si>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</si>
  <si>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</si>
  <si>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</si>
  <si>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</si>
  <si>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</si>
  <si>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</si>
  <si>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</si>
  <si>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</si>
  <si>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</si>
  <si>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</si>
  <si>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</si>
  <si>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</si>
  <si>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</si>
  <si>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</si>
  <si>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</si>
  <si>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</si>
  <si>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</si>
  <si>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</si>
  <si>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</si>
  <si>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</si>
  <si>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</si>
  <si>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</si>
  <si>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</si>
  <si>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</si>
  <si>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</si>
  <si>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</si>
  <si>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</si>
  <si>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</si>
  <si>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</si>
  <si>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</si>
  <si>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</si>
  <si>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</si>
  <si>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</si>
  <si>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</si>
  <si>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</si>
  <si>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</si>
  <si>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</si>
  <si>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</si>
  <si>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</si>
  <si>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</si>
  <si>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</si>
  <si>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</si>
  <si>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</si>
  <si>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</si>
  <si>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</si>
  <si>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</si>
  <si>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</si>
  <si>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</si>
  <si>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</si>
  <si>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</si>
  <si>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</si>
  <si>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</si>
  <si>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</si>
  <si>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</si>
  <si>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</si>
  <si>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</si>
  <si>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</si>
  <si>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</si>
  <si>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</si>
  <si>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</si>
  <si>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</si>
  <si>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</si>
  <si>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</si>
  <si>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</si>
  <si>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</si>
  <si>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</si>
  <si>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</si>
  <si>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</si>
  <si>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</si>
  <si>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</si>
  <si>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</si>
  <si>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</si>
  <si>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</si>
  <si>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</si>
  <si>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</si>
  <si>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</si>
  <si>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</si>
  <si>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</si>
  <si>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</si>
  <si>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</si>
  <si>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</si>
  <si>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</si>
  <si>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</si>
  <si>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</si>
  <si>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</si>
  <si>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</si>
  <si>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</si>
  <si>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</si>
  <si>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</si>
  <si>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</si>
  <si>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</si>
  <si>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</si>
  <si>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</si>
  <si>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</si>
  <si>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</si>
  <si>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</si>
  <si>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</si>
  <si>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</si>
  <si>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</si>
  <si>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</si>
  <si>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</si>
  <si>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</si>
  <si>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</si>
  <si>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</si>
  <si>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</si>
  <si>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</si>
  <si>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</si>
  <si>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</si>
  <si>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</si>
  <si>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</si>
  <si>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</si>
  <si>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</si>
  <si>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</si>
  <si>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</si>
  <si>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</si>
  <si>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</si>
  <si>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</si>
  <si>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</si>
  <si>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</si>
  <si>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</si>
  <si>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</si>
  <si>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</si>
  <si>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</si>
  <si>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</si>
  <si>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</si>
  <si>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</si>
  <si>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</si>
  <si>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</si>
  <si>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</si>
  <si>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</si>
  <si>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</si>
  <si>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</si>
  <si>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</si>
  <si>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</si>
  <si>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</si>
  <si>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</si>
  <si>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</si>
  <si>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</si>
  <si>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</si>
  <si>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</si>
  <si>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</si>
  <si>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</si>
  <si>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</si>
  <si>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</si>
  <si>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</si>
  <si>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</si>
  <si>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</si>
  <si>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</si>
  <si>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</si>
  <si>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</si>
  <si>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</si>
  <si>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</si>
  <si>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</si>
  <si>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</si>
  <si>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</si>
  <si>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</si>
  <si>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</si>
  <si>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</si>
  <si>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</si>
  <si>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</si>
  <si>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</si>
  <si>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</si>
  <si>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</si>
  <si>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</si>
  <si>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</si>
  <si>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</si>
  <si>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</si>
  <si>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</si>
  <si>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</si>
  <si>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</si>
  <si>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</si>
  <si>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</si>
  <si>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</si>
  <si>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</si>
  <si>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</si>
  <si>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</si>
  <si>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</si>
  <si>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</si>
  <si>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</si>
  <si>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</si>
  <si>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</si>
  <si>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</si>
  <si>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</si>
  <si>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</si>
  <si>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</si>
  <si>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</si>
  <si>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</si>
  <si>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</si>
  <si>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</si>
  <si>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</si>
  <si>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</si>
  <si>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</si>
  <si>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</si>
  <si>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</si>
  <si>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</si>
  <si>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</si>
  <si>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</si>
  <si>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</si>
  <si>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</si>
  <si>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</si>
  <si>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</si>
  <si>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</si>
  <si>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</si>
  <si>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</si>
  <si>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</si>
  <si>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</si>
  <si>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</si>
  <si>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</si>
  <si>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</si>
  <si>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</si>
  <si>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</si>
  <si>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</si>
  <si>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</si>
  <si>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</si>
  <si>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</si>
  <si>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</si>
  <si>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</si>
  <si>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</si>
  <si>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</si>
  <si>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</si>
  <si>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</si>
  <si>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</si>
  <si>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</si>
  <si>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</si>
  <si>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</si>
  <si>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</si>
  <si>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</si>
  <si>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</si>
  <si>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</si>
  <si>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</si>
  <si>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</si>
  <si>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</si>
  <si>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</si>
  <si>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</si>
  <si>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</si>
  <si>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</si>
  <si>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</si>
  <si>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</si>
  <si>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</si>
  <si>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</si>
  <si>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</si>
  <si>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</si>
  <si>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</si>
  <si>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</si>
  <si>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</si>
  <si>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</si>
  <si>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</si>
  <si>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</si>
  <si>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</si>
  <si>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</si>
  <si>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</si>
  <si>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</si>
  <si>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</si>
  <si>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</si>
  <si>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t>
  </si>
  <si>
    <t>_______________________________________</t>
  </si>
  <si>
    <t>_______________________________</t>
  </si>
  <si>
    <t>______________________</t>
  </si>
  <si>
    <t>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</si>
  <si>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</si>
  <si>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</si>
  <si>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</si>
  <si>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</si>
  <si>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</si>
  <si>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</si>
  <si>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</si>
  <si>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</si>
  <si>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</si>
  <si>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</si>
  <si>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</si>
  <si>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</si>
  <si>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TÀI SẢN
ASSETS</t>
  </si>
  <si>
    <t>I.1</t>
  </si>
  <si>
    <t>Tiền và các khoản tương đương tiền
Cash and Cash Equivalents</t>
  </si>
  <si>
    <t>Tiền gửi ngân hàng
Cash at bank</t>
  </si>
  <si>
    <t>Tiền phải trả cho Nhà đầu tư về mua lại chứng chỉ quỹ
Cash at bank for Fund's redemption</t>
  </si>
  <si>
    <t>Các khoản tương đương tiền
Cash Equivalents</t>
  </si>
  <si>
    <t>I.2</t>
  </si>
  <si>
    <t>Các khoản đầu tư (kê chi tiết)
Investments</t>
  </si>
  <si>
    <t>Cổ phiếu niêm yết
Listed shares</t>
  </si>
  <si>
    <t>Cổ phiếu chưa niêm yết
Unlisted shares</t>
  </si>
  <si>
    <t>Trái phiếu
Bonds</t>
  </si>
  <si>
    <t>Chứng chỉ tiền gửi 
Certificates of Deposit</t>
  </si>
  <si>
    <t>Đầu tư khác
Other investments</t>
  </si>
  <si>
    <t>I.3</t>
  </si>
  <si>
    <t>I.4</t>
  </si>
  <si>
    <t>Lãi được nhận
Interest receivables</t>
  </si>
  <si>
    <t>Phải thu lãi tiền gửi 
Interest receivable from bank deposits</t>
  </si>
  <si>
    <t>Phải thu lãi chứng chỉ tiền gửi
Interest receivable from Certificates of Deposit</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</si>
  <si>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</si>
  <si>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</si>
  <si>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</si>
  <si>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</si>
  <si>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</si>
  <si>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</si>
  <si>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</si>
  <si>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</si>
  <si>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</si>
  <si>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</si>
  <si>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NỢ
LIABILITIES</t>
  </si>
  <si>
    <t>Tiền phải thanh toán mua chứng khoán
Securities Trading Payables</t>
  </si>
  <si>
    <t>Các khoản phải trả khác
Other Payables</t>
  </si>
  <si>
    <t>Phải trả nhà đầu tư
Payables to investors</t>
  </si>
  <si>
    <t>Phải trả nhà đầu tư trên cổ tức đã thu
Payables to investors for collected dividend</t>
  </si>
  <si>
    <t>Phải trả cho Nhà đầu tư về mua lại chứng chỉ quỹ
Redemption payable to investors</t>
  </si>
  <si>
    <t>Thuế và các khoản phải nộp Nhà nước
Tax payables and obligations to the State Budget</t>
  </si>
  <si>
    <t>Phải trả phí phát hành, mua lại chứng chỉ quỹ cho Đại lý phân phối và Công ty quản lý quỹ
Subscription and Redemption fee payable to distributors and Fund Management Company</t>
  </si>
  <si>
    <t>Phải trả thu nhập cho nhà đầu tư
Income payable to investors</t>
  </si>
  <si>
    <t>Phải trả thù lao Ban đại diện quỹ
Remuneration Payable to Fund's Board of Representatives</t>
  </si>
  <si>
    <t>Phải trả phí quản lý cho công ty quản lý quỹ
Management fee payable</t>
  </si>
  <si>
    <t>Phải trả phí quản trị quỹ
Fund Administration fee payable</t>
  </si>
  <si>
    <t>Phải trả phí giám sát
Supervisory service fee payable</t>
  </si>
  <si>
    <t>Phải trả phí môi giới
Brokerage fee payable</t>
  </si>
  <si>
    <t>Phải trả phí phát hành thanh toán bù trừ chứng khoán
Clearing Settlement fee payable</t>
  </si>
  <si>
    <t>Phí lưu ký - bảo quản tài sản
Custodian service - Safe Custody Fee</t>
  </si>
  <si>
    <t>Phí lưu ký - giao dịch chứng khoán
Custodian service - Transaction fee</t>
  </si>
  <si>
    <t>Phí lưu ký cho chứng khoán cơ sở, phí quản lý vị thế và tài sản phái sinh trả cho VSD
Custodian service -  Depository fee, Position and Margin management fee paid to VSD</t>
  </si>
  <si>
    <t>Phải trả phí kiểm toán
Audit fee payable</t>
  </si>
  <si>
    <t>Phải trả phí họp đại hội thường niên
General meeting expense payable</t>
  </si>
  <si>
    <t>Phải trả phí báo cáo thường niên
Annual report fee payable</t>
  </si>
  <si>
    <t>Phải trả phí dịch vụ đại lý chuyển nhượng
Transfer Agency fee payable</t>
  </si>
  <si>
    <t>Dự chi phí tính giá trị tài sản ròng tham chiếu (iNAV) cho HOSE
Service fee payable to HOSE for calculating iNAV</t>
  </si>
  <si>
    <t>Dự chi phí cấp quyền sử dụng chỉ số cho HOSE
Authorising index service fee payable to HOSE</t>
  </si>
  <si>
    <t>Trích trước phí quản lý thường niên trả UBCKNN
Accrued expense for Annual Management Fee pay to SSC</t>
  </si>
  <si>
    <t>Vay ngắn hạn - hợp đồng repo
Short-term loans - Repo contracts</t>
  </si>
  <si>
    <t>Gốc hợp đồng repo
Principal of repo contracts</t>
  </si>
  <si>
    <t>Trích trước lãi vay ngắn hạn 
Accrued Interest Expense</t>
  </si>
  <si>
    <t>Gốc vay ngắn hạn
Principal of Short-term loans</t>
  </si>
  <si>
    <t>II.3</t>
  </si>
  <si>
    <t>TỔNG NỢ
TOTAL LIABILITIES</t>
  </si>
  <si>
    <t>CỔ PHIẾU NIÊM YẾT
LISTED SHARES</t>
  </si>
  <si>
    <t>1</t>
  </si>
  <si>
    <t>ACB</t>
  </si>
  <si>
    <t>2</t>
  </si>
  <si>
    <t>3</t>
  </si>
  <si>
    <t>4</t>
  </si>
  <si>
    <t>5</t>
  </si>
  <si>
    <t>6</t>
  </si>
  <si>
    <t>7</t>
  </si>
  <si>
    <t>8</t>
  </si>
  <si>
    <t>9</t>
  </si>
  <si>
    <t>10</t>
  </si>
  <si>
    <t>FPT</t>
  </si>
  <si>
    <t>11</t>
  </si>
  <si>
    <t>12</t>
  </si>
  <si>
    <t>13</t>
  </si>
  <si>
    <t>HAH</t>
  </si>
  <si>
    <t>14</t>
  </si>
  <si>
    <t>HDB</t>
  </si>
  <si>
    <t>15</t>
  </si>
  <si>
    <t>HPG</t>
  </si>
  <si>
    <t>16</t>
  </si>
  <si>
    <t>KDH</t>
  </si>
  <si>
    <t>17</t>
  </si>
  <si>
    <t>18</t>
  </si>
  <si>
    <t>19</t>
  </si>
  <si>
    <t>MBB</t>
  </si>
  <si>
    <t>20</t>
  </si>
  <si>
    <t>MSN</t>
  </si>
  <si>
    <t>21</t>
  </si>
  <si>
    <t>MWG</t>
  </si>
  <si>
    <t>22</t>
  </si>
  <si>
    <t>NLG</t>
  </si>
  <si>
    <t>23</t>
  </si>
  <si>
    <t>24</t>
  </si>
  <si>
    <t>25</t>
  </si>
  <si>
    <t>26</t>
  </si>
  <si>
    <t>27</t>
  </si>
  <si>
    <t>28</t>
  </si>
  <si>
    <t>STB</t>
  </si>
  <si>
    <t>29</t>
  </si>
  <si>
    <t>SZC</t>
  </si>
  <si>
    <t>30</t>
  </si>
  <si>
    <t>TCB</t>
  </si>
  <si>
    <t>31</t>
  </si>
  <si>
    <t>32</t>
  </si>
  <si>
    <t>VCB</t>
  </si>
  <si>
    <t>33</t>
  </si>
  <si>
    <t>VHM</t>
  </si>
  <si>
    <t>34</t>
  </si>
  <si>
    <t>VIC</t>
  </si>
  <si>
    <t>VPB</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</si>
  <si>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</si>
  <si>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</si>
  <si>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</si>
  <si>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</si>
  <si>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</si>
  <si>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</si>
  <si>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</si>
  <si>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</si>
  <si>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</si>
  <si>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</si>
  <si>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</si>
  <si>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</si>
  <si>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</si>
  <si>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</si>
  <si>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</si>
  <si>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</si>
  <si>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</si>
  <si>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</si>
  <si>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</si>
  <si>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</si>
  <si>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</si>
  <si>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</si>
  <si>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</si>
  <si>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</si>
  <si>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</si>
  <si>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</si>
  <si>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</si>
  <si>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</si>
  <si>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</si>
  <si>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</si>
  <si>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</si>
  <si>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</si>
  <si>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</si>
  <si>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Tiền gửi ngân hàng
	Cash at Bank</t>
  </si>
  <si>
    <t>1.2</t>
  </si>
  <si>
    <t>Các khoản tương đương tiền
Cash Equivalents</t>
  </si>
  <si>
    <t>1.3</t>
  </si>
  <si>
    <t>Tiền gửi có kỳ hạn trên 3 tháng
Deposits with term over three (03) months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</si>
  <si>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</si>
  <si>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</si>
  <si>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</si>
  <si>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</si>
  <si>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</si>
  <si>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Ngân hàng TNHH Một thành viên Standard Chartered (Việt Nam)</t>
  </si>
  <si>
    <t>Standard Chartered Bank (Vietnam) Limited</t>
  </si>
  <si>
    <t>Bùi Thị Huyền Trang</t>
  </si>
  <si>
    <t>Nguyễn Minh Đăng Khánh</t>
  </si>
  <si>
    <t>Phó phòng Dịch vụ Quản trị và Giám sát Quỹ</t>
  </si>
  <si>
    <t>Ngày 31 tháng 12 năm 2020
 As at 31 Dec 2020</t>
  </si>
  <si>
    <t>Năm 2020
Year 2020</t>
  </si>
  <si>
    <t>Kế toán Quỹ</t>
  </si>
  <si>
    <t xml:space="preserve">Ngân hàng TNHH Một thành viên Standard Chartered (Việt Nam)
</t>
  </si>
  <si>
    <t>Standard Chartered Bank (Vietnam) Ltd</t>
  </si>
  <si>
    <t>A.</t>
  </si>
  <si>
    <t>BÁO CÁO CHUNG VỀ HOẠT ĐỘNG ĐẦU TƯ CỦA QUỸ/GENERAL INFORMATION ON FUND'S INVESTMENT ACTIVITIES</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</si>
  <si>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</si>
  <si>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</si>
  <si>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</si>
  <si>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</si>
  <si>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Giá trị giao dịch trong kỳ báo cáo của quỹ
Fund’s transaction value for the year with each securities company</t>
  </si>
  <si>
    <t>Tỷ lệ giao dịch của quỹ qua công ty chứng khoán trong kỳ báo cáo
Percentage of the Fund’s total transaction value for the year</t>
  </si>
  <si>
    <t>(1)</t>
  </si>
  <si>
    <t>(2)</t>
  </si>
  <si>
    <t>(3)</t>
  </si>
  <si>
    <t>(4)</t>
  </si>
  <si>
    <t>(5)</t>
  </si>
  <si>
    <t>(6) = (4)/(5)%</t>
  </si>
  <si>
    <t>(7)</t>
  </si>
  <si>
    <t>(8)</t>
  </si>
  <si>
    <t>Công ty cổ phần chứng khoán Bảo Việt
Bao Viet Securities Joint Stock Company</t>
  </si>
  <si>
    <t>Không liên quan
Non-related</t>
  </si>
  <si>
    <t>Công ty cổ phần chứng khoán KIS Việt Nam
KIS Vietnam Securities Corporation (KIS Vietnam)</t>
  </si>
  <si>
    <t>Không liên quan
Non Related</t>
  </si>
  <si>
    <t>Công ty Cổ phần chứng khoán Bản Việt
Viet Capital Securities Joint Stock Company</t>
  </si>
  <si>
    <t>Tổng</t>
  </si>
  <si>
    <t>Công ty Cổ phần Chứng khoán Rồng Việt
Viet Dragon Securities Corporation</t>
  </si>
  <si>
    <t>Công ty Cổ phần Chứng khoán Thành phố Hồ Chí Minh
Ho Chi Minh City Securities Corporation</t>
  </si>
  <si>
    <t>Công ty cổ phần Chứng khoán Ngân hàng TMCP Ngoại thương Việt Nam
Vietcombank Securities Limited Company</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</si>
  <si>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</si>
  <si>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</si>
  <si>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</si>
  <si>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</si>
  <si>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</si>
  <si>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</si>
  <si>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</si>
  <si>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</si>
  <si>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</si>
  <si>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</si>
  <si>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</si>
  <si>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</si>
  <si>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</si>
  <si>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</si>
  <si>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Phạm Thanh Dũng</t>
  </si>
  <si>
    <t>Kế toán trưởng</t>
  </si>
  <si>
    <t>_________________________________________</t>
  </si>
  <si>
    <t xml:space="preserve">Tên Quỹ: </t>
  </si>
  <si>
    <t>(**) Ghi chú/ Notes:</t>
  </si>
  <si>
    <t>Tổng giá trị giao dịch trong kỳ báo cáo của quỹ
Fund’s total transaction value for the year
(**)</t>
  </si>
  <si>
    <t>Năm 2021
/ Year 2021</t>
  </si>
  <si>
    <t>Tại ngày 31 tháng 12 năm 2021
/ As at 31 Dec 2021</t>
  </si>
  <si>
    <t>Năm 2021
Year 2021</t>
  </si>
  <si>
    <t>Ngày 31 tháng 12 năm 2021
 As at 31 Dec 2021</t>
  </si>
  <si>
    <t>BSI</t>
  </si>
  <si>
    <t>CSC</t>
  </si>
  <si>
    <t>DPM</t>
  </si>
  <si>
    <t>KBC</t>
  </si>
  <si>
    <t>NTL</t>
  </si>
  <si>
    <t>NVL</t>
  </si>
  <si>
    <t>OCB</t>
  </si>
  <si>
    <t>PC1</t>
  </si>
  <si>
    <t>PET</t>
  </si>
  <si>
    <t>SHS</t>
  </si>
  <si>
    <t>SSI</t>
  </si>
  <si>
    <t>TNG</t>
  </si>
  <si>
    <t>VCI</t>
  </si>
  <si>
    <t>VCS</t>
  </si>
  <si>
    <t>VDS</t>
  </si>
  <si>
    <t>VHC</t>
  </si>
  <si>
    <t>VND</t>
  </si>
  <si>
    <t>DAT XANH GROUP JSC 12% 18 Mar 2023</t>
  </si>
  <si>
    <t>KDH TRADING &amp; INV JSC 12% 14/06/2025</t>
  </si>
  <si>
    <t>2.3</t>
  </si>
  <si>
    <t>PDR BOND 12 PCT 02 DEC 2023</t>
  </si>
  <si>
    <t>2.4</t>
  </si>
  <si>
    <t>PHAT DAT REAL ESTATE 13% 24/09/2023</t>
  </si>
  <si>
    <t>Dragon Capital Vietfund Management Joint Stock Company</t>
  </si>
  <si>
    <t>Giám đốc điều hành Nghiệp vụ hỗ trợ đầu tư</t>
  </si>
  <si>
    <t>Nguyễn Kiều Trúc Ly</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</si>
  <si>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</si>
  <si>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</si>
  <si>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Công ty Cổ phần Quản lý Quỹ Đầu tư Dragon Capital Việt Nam 
</t>
  </si>
  <si>
    <t xml:space="preserve">Dragon Capital Vietfund Management Joint Stock Company 
</t>
  </si>
  <si>
    <t>Mẫu số B03 - QM. Mẫu báo cáo thay đổi giá trị tài sản ròng, giao dịch chứng chỉ quỹ
Template B03 - QM. Report on change of Net Asset Value, trading of Fund Certificate</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</si>
  <si>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</si>
  <si>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</si>
  <si>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</si>
  <si>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</si>
  <si>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</si>
  <si>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</si>
  <si>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</si>
  <si>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</si>
  <si>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</si>
  <si>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</si>
  <si>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</si>
  <si>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</si>
  <si>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</si>
  <si>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</si>
  <si>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</si>
  <si>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</si>
  <si>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</si>
  <si>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</si>
  <si>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</si>
  <si>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</si>
  <si>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</si>
  <si>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</si>
  <si>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</si>
  <si>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</si>
  <si>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</si>
  <si>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</si>
  <si>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</si>
  <si>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</si>
  <si>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</si>
  <si>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</si>
  <si>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Chi tiết loại hợp đồng phái sinh(*)
Index future contracts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</si>
  <si>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</si>
  <si>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</si>
  <si>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</si>
  <si>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</si>
  <si>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</si>
  <si>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</si>
  <si>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</si>
  <si>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</si>
  <si>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</si>
  <si>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</si>
  <si>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</si>
  <si>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</si>
  <si>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</si>
  <si>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</si>
  <si>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</si>
  <si>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 xml:space="preserve">Mẫu số B04 - QM. Mẫu báo cáo danh mục đầu tư
Template B04 - QM. Statement of investment portfolio </t>
  </si>
  <si>
    <t>BÁO CÁO DANH MỤC ĐẦU TƯ CỦA QUỸ
STATEMENT OF INVESTMENT PORTFOLIO</t>
  </si>
  <si>
    <t>STT/No.</t>
  </si>
  <si>
    <t>4030</t>
  </si>
  <si>
    <t>4030.1</t>
  </si>
  <si>
    <t>4030.2</t>
  </si>
  <si>
    <t>4030.3</t>
  </si>
  <si>
    <t>4030.4</t>
  </si>
  <si>
    <t>4030.5</t>
  </si>
  <si>
    <t>4030.6</t>
  </si>
  <si>
    <t>4030.7</t>
  </si>
  <si>
    <t>4030.8</t>
  </si>
  <si>
    <t>4030.9</t>
  </si>
  <si>
    <t>4030.10</t>
  </si>
  <si>
    <t>4030.11</t>
  </si>
  <si>
    <t>4030.12</t>
  </si>
  <si>
    <t>4030.13</t>
  </si>
  <si>
    <t>4030.14</t>
  </si>
  <si>
    <t>4030.15</t>
  </si>
  <si>
    <t>4030.16</t>
  </si>
  <si>
    <t>4030.17</t>
  </si>
  <si>
    <t>4030.18</t>
  </si>
  <si>
    <t>4030.19</t>
  </si>
  <si>
    <t>4030.20</t>
  </si>
  <si>
    <t>4030.21</t>
  </si>
  <si>
    <t>4030.22</t>
  </si>
  <si>
    <t>4030.23</t>
  </si>
  <si>
    <t>TỔNG
TOTAL</t>
  </si>
  <si>
    <t>4031</t>
  </si>
  <si>
    <t>CỔ PHIẾU CHƯA NIÊM YẾT
UNLISTED SHARES</t>
  </si>
  <si>
    <t>4032</t>
  </si>
  <si>
    <t>4033</t>
  </si>
  <si>
    <t>4034</t>
  </si>
  <si>
    <t>TRÁI PHIẾU
BONDS</t>
  </si>
  <si>
    <t>4035</t>
  </si>
  <si>
    <t>4035.1</t>
  </si>
  <si>
    <t>4035.2</t>
  </si>
  <si>
    <t>4036</t>
  </si>
  <si>
    <t>CÁC LOẠI CHỨNG KHOÁN KHÁC
OTHER SECURITIES</t>
  </si>
  <si>
    <t>4037</t>
  </si>
  <si>
    <t>4037.1</t>
  </si>
  <si>
    <t>4037.2</t>
  </si>
  <si>
    <t>4038</t>
  </si>
  <si>
    <t>4039</t>
  </si>
  <si>
    <t>CÁC TÀI SẢN KHÁC
OTHER ASSETS</t>
  </si>
  <si>
    <t>4040</t>
  </si>
  <si>
    <t>4040.1</t>
  </si>
  <si>
    <t>4040.2</t>
  </si>
  <si>
    <t>4040.3</t>
  </si>
  <si>
    <t>4040.4</t>
  </si>
  <si>
    <t>4040.5</t>
  </si>
  <si>
    <t>4040.6</t>
  </si>
  <si>
    <t>4040.7</t>
  </si>
  <si>
    <t>TIỀN
CASH</t>
  </si>
  <si>
    <t>4042</t>
  </si>
  <si>
    <t>4043</t>
  </si>
  <si>
    <t>Tiền gửi ngân hàng
Cash at Bank</t>
  </si>
  <si>
    <t>4043.1</t>
  </si>
  <si>
    <t>4043.2</t>
  </si>
  <si>
    <t>4043.3</t>
  </si>
  <si>
    <t>4044</t>
  </si>
  <si>
    <t>4045</t>
  </si>
  <si>
    <t>4046</t>
  </si>
  <si>
    <t>4047</t>
  </si>
  <si>
    <t>__________________________________</t>
  </si>
  <si>
    <t>______________________________________</t>
  </si>
  <si>
    <t>Kế toán Trưởng</t>
  </si>
  <si>
    <t>4030.24</t>
  </si>
  <si>
    <t>4030.25</t>
  </si>
  <si>
    <t>4030.26</t>
  </si>
  <si>
    <t>4030.27</t>
  </si>
  <si>
    <t>4030.28</t>
  </si>
  <si>
    <t>4030.29</t>
  </si>
  <si>
    <t>4030.30</t>
  </si>
  <si>
    <t>4030.31</t>
  </si>
  <si>
    <t>4030.32</t>
  </si>
  <si>
    <t>4030.33</t>
  </si>
  <si>
    <t>4030.34</t>
  </si>
  <si>
    <t>4035.2.1</t>
  </si>
  <si>
    <t>4035.2.2</t>
  </si>
  <si>
    <t>4035.2.3</t>
  </si>
  <si>
    <t>4035.2.4</t>
  </si>
  <si>
    <t>Quỹ Đầu tư Chứng khoán Năng động DC
(tiền thân là "Quỹ đầu tư Chứng khoán Việt Nam") (DCDS)</t>
  </si>
  <si>
    <t>DC Dynamic Securities Fund
(previous known as "Vietnam Securities Investment Fund") (DCDS)</t>
  </si>
  <si>
    <t>Quỹ Đầu tư Chứng khoán Năng động DC
(tiền thân là "Quỹ đầu tư Chứng khoán Việt Nam") (DCDS) (*)</t>
  </si>
  <si>
    <t>DC Dynamic Securities Fund
(previous known as "Vietnam Securities Investment Fund") (DCDS) (*)</t>
  </si>
  <si>
    <t>(*)  Theo Giấy chứng nhận điều chỉnh số 17/GCN-UBCK do Ủy ban Chứng khoán Nhà nước cấp ngày 24 tháng 05 năm 2021, Quỹ đầu tư Chứng khoán Việt Nam được chính thức đổi tên là Quỹ Đầu tư Chứng khoán Năng động DC.
According to the Amended License No.17/GCN-UBCK issued by the State Securities Commission of Vietnam on 24 May 2021, Vietnam Securities Investment Fund was officially changed as DC Dynamic Securities Fund.</t>
  </si>
  <si>
    <t>- Tổng giá trị giao dịch trong năm của Quỹ thực hiện bao gồm toàn bộ giao dịch của chứng khoán niêm yết và giao dịch chứng khoán lô lẻ.</t>
  </si>
  <si>
    <t>- Total transactions for the year includes all transactions of listed securities and trades of odd lots.</t>
  </si>
  <si>
    <t>0.00% - 0.45%</t>
  </si>
  <si>
    <t>A.VII</t>
  </si>
  <si>
    <t>Thống kê giao dịch của Quỹ đầu tư bất động sản với người có liên quan</t>
  </si>
  <si>
    <t>không có</t>
  </si>
  <si>
    <t>A.VIII</t>
  </si>
  <si>
    <t>Thống kê giao dịch bất động sản của Quỹ đầu tư bất động sản</t>
  </si>
  <si>
    <t>BÁO CÁO VỀ HOẠT ĐỘNG ĐẦU TƯ
REPORT ON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</si>
  <si>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</si>
  <si>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Tỷ lệ giao dịch của quỹ tại từng công ty chứng khoán
Percentage of transactions value at securities companies</t>
  </si>
  <si>
    <t>Giá dịch vụ giao dịch bình quân
Average transaction fee rate</t>
  </si>
  <si>
    <t>Giá dịch vụ giao dịch bình quân trên thị trường
Market average transaction fee rate</t>
  </si>
  <si>
    <t>Ngày 16 tháng 03 năm 2022</t>
  </si>
  <si>
    <t>16 Mar 2022</t>
  </si>
  <si>
    <t>Số lượng chứng chỉ quỹ mua lại trong kỳ
Number of Fund Certificates redeemed during the period</t>
  </si>
  <si>
    <t>Giao dịch chứng khoán không niêm yết
Unlisted securities trading</t>
  </si>
  <si>
    <t>Giao dịch chứng khoán lô lẻ
Odd Lot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</si>
</sst>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 numFmtId="168" formatCode="_-* #,##0\ _₫_-;\-* #,##0\ _₫_-;_-* &quot;-&quot;\ _₫_-;_-@_-"/>
    <numFmt numFmtId="169" formatCode="0.00000%"/>
  </numFmts>
  <fonts count="53">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color theme="1"/>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style="thin">
        <color rgb="FF000000"/>
      </top>
      <bottom/>
      <diagonal/>
    </border>
    <border>
      <left style="thin">
        <color indexed="64"/>
      </left>
      <right style="thin">
        <color indexed="64"/>
      </right>
      <top/>
      <bottom/>
      <diagonal/>
    </border>
  </borders>
  <cellStyleXfs count="24">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5" fontId="5" fillId="0" borderId="0" quotePrefix="1" applyFont="0" applyFill="0" applyBorder="0" applyAlignment="0">
      <protection locked="0"/>
    </xf>
    <xf numFmtId="0" fontId="5" fillId="17" borderId="0"/>
    <xf numFmtId="0" fontId="2" fillId="17" borderId="0"/>
    <xf numFmtId="9" fontId="5" fillId="17" borderId="0" quotePrefix="1" applyFont="0" applyFill="0" applyBorder="0" applyAlignment="0">
      <protection locked="0"/>
    </xf>
    <xf numFmtId="164" fontId="5" fillId="17" borderId="0" quotePrefix="1" applyFont="0" applyFill="0" applyBorder="0" applyAlignment="0">
      <protection locked="0"/>
    </xf>
    <xf numFmtId="0" fontId="2" fillId="17" borderId="0"/>
    <xf numFmtId="0" fontId="2" fillId="17" borderId="0"/>
    <xf numFmtId="0" fontId="5" fillId="17" borderId="0"/>
    <xf numFmtId="0" fontId="2" fillId="17" borderId="0"/>
    <xf numFmtId="0" fontId="2" fillId="17" borderId="0"/>
  </cellStyleXfs>
  <cellXfs count="448">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6" fillId="3" borderId="0" xfId="0" applyFont="1" applyFill="1"/>
    <xf numFmtId="0" fontId="19" fillId="3" borderId="0" xfId="0" applyFont="1" applyFill="1"/>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0" xfId="0" applyFont="1" applyFill="1" applyBorder="1"/>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7" applyFont="1" applyFill="1" applyBorder="1" applyAlignment="1" applyProtection="1">
      <alignment horizontal="center" vertical="center" wrapText="1"/>
    </xf>
    <xf numFmtId="166" fontId="24" fillId="2" borderId="9" xfId="8" applyNumberFormat="1" applyFont="1" applyFill="1" applyBorder="1" applyAlignment="1" applyProtection="1">
      <alignment horizontal="center" vertical="center" wrapText="1"/>
      <protection locked="0"/>
    </xf>
    <xf numFmtId="0" fontId="24" fillId="2" borderId="9" xfId="7" applyNumberFormat="1" applyFont="1" applyFill="1" applyBorder="1" applyAlignment="1" applyProtection="1">
      <alignment horizontal="center" vertical="center" wrapText="1"/>
    </xf>
    <xf numFmtId="0" fontId="23" fillId="3" borderId="0" xfId="0" applyFont="1" applyFill="1" applyAlignment="1">
      <alignment vertical="center"/>
    </xf>
    <xf numFmtId="0" fontId="22" fillId="3" borderId="0" xfId="0" applyFont="1" applyFill="1" applyAlignment="1">
      <alignment vertical="center"/>
    </xf>
    <xf numFmtId="0" fontId="24" fillId="2" borderId="9" xfId="0" applyFont="1" applyFill="1" applyBorder="1" applyAlignment="1">
      <alignment horizontal="center" vertical="center"/>
    </xf>
    <xf numFmtId="0" fontId="24" fillId="3" borderId="5" xfId="0" applyFont="1" applyFill="1" applyBorder="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3" applyFont="1" applyFill="1" applyAlignment="1">
      <alignment horizontal="center" vertical="center"/>
    </xf>
    <xf numFmtId="0" fontId="35" fillId="3" borderId="0" xfId="3" applyFont="1" applyFill="1" applyAlignment="1">
      <alignment vertical="center"/>
    </xf>
    <xf numFmtId="0" fontId="22" fillId="0" borderId="0" xfId="0" applyFont="1" applyFill="1" applyAlignment="1">
      <alignment vertical="center"/>
    </xf>
    <xf numFmtId="166" fontId="24" fillId="2" borderId="9" xfId="8" applyNumberFormat="1" applyFont="1" applyFill="1" applyBorder="1" applyAlignment="1" applyProtection="1">
      <alignment horizontal="center" vertical="center" wrapText="1"/>
    </xf>
    <xf numFmtId="166" fontId="24" fillId="2" borderId="9" xfId="8" applyNumberFormat="1" applyFont="1" applyFill="1" applyBorder="1" applyAlignment="1" applyProtection="1">
      <alignment horizontal="right" vertical="center" wrapText="1"/>
      <protection locked="0"/>
    </xf>
    <xf numFmtId="0" fontId="35" fillId="0" borderId="0" xfId="0" applyFont="1" applyFill="1" applyAlignment="1">
      <alignment vertical="center"/>
    </xf>
    <xf numFmtId="166" fontId="23" fillId="3" borderId="9" xfId="8" applyNumberFormat="1" applyFont="1" applyFill="1" applyBorder="1" applyAlignment="1" applyProtection="1">
      <alignment horizontal="right" vertical="center" wrapText="1"/>
      <protection locked="0"/>
    </xf>
    <xf numFmtId="166" fontId="25" fillId="3" borderId="9" xfId="8" applyNumberFormat="1" applyFont="1" applyFill="1" applyBorder="1" applyAlignment="1" applyProtection="1">
      <alignment horizontal="right" vertical="center" wrapText="1"/>
      <protection locked="0"/>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26" fillId="3" borderId="0" xfId="0" applyFont="1" applyFill="1" applyBorder="1" applyAlignment="1">
      <alignment horizontal="left" vertical="center" wrapText="1"/>
    </xf>
    <xf numFmtId="0" fontId="6" fillId="0" borderId="0" xfId="0" applyFont="1" applyFill="1"/>
    <xf numFmtId="0" fontId="35" fillId="2" borderId="9" xfId="0" applyFont="1" applyFill="1" applyBorder="1" applyAlignment="1">
      <alignment horizontal="center" vertical="center" wrapText="1"/>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19" fillId="0" borderId="0" xfId="0" applyFont="1" applyFill="1" applyAlignment="1">
      <alignment wrapText="1"/>
    </xf>
    <xf numFmtId="0" fontId="21" fillId="0" borderId="0" xfId="0" applyFont="1" applyFill="1" applyAlignment="1">
      <alignment wrapText="1"/>
    </xf>
    <xf numFmtId="0" fontId="21" fillId="0" borderId="0" xfId="0" applyFont="1" applyFill="1" applyAlignment="1"/>
    <xf numFmtId="0" fontId="35" fillId="3" borderId="9" xfId="0" applyFont="1" applyFill="1" applyBorder="1" applyAlignment="1">
      <alignment horizontal="center" vertical="center"/>
    </xf>
    <xf numFmtId="0" fontId="19" fillId="0" borderId="0" xfId="0" applyFont="1" applyFill="1"/>
    <xf numFmtId="0" fontId="22" fillId="3" borderId="9" xfId="0" applyFont="1" applyFill="1" applyBorder="1" applyAlignment="1">
      <alignment horizontal="center" vertical="center"/>
    </xf>
    <xf numFmtId="41" fontId="22" fillId="3" borderId="9" xfId="0" applyNumberFormat="1" applyFont="1" applyFill="1" applyBorder="1" applyAlignment="1">
      <alignment horizontal="right" vertical="center" wrapText="1"/>
    </xf>
    <xf numFmtId="165"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41" fontId="22" fillId="3" borderId="0" xfId="0" applyNumberFormat="1" applyFont="1" applyFill="1" applyBorder="1" applyAlignment="1">
      <alignment horizontal="right" vertical="center" wrapText="1"/>
    </xf>
    <xf numFmtId="0" fontId="22" fillId="3" borderId="0" xfId="0" applyFont="1" applyFill="1" applyAlignment="1">
      <alignment vertical="center" wrapText="1"/>
    </xf>
    <xf numFmtId="0" fontId="35" fillId="3" borderId="0" xfId="0" applyFont="1" applyFill="1" applyAlignment="1">
      <alignment horizontal="center" vertical="center"/>
    </xf>
    <xf numFmtId="0" fontId="22" fillId="3" borderId="0" xfId="0" applyFont="1" applyFill="1" applyAlignment="1">
      <alignment horizontal="center" vertical="center"/>
    </xf>
    <xf numFmtId="0" fontId="20" fillId="0" borderId="0" xfId="0" applyFont="1" applyFill="1" applyAlignment="1">
      <alignment wrapText="1"/>
    </xf>
    <xf numFmtId="0" fontId="6" fillId="0" borderId="0" xfId="0" applyFont="1" applyFill="1" applyAlignment="1"/>
    <xf numFmtId="0" fontId="35" fillId="3" borderId="9" xfId="0" applyFont="1" applyFill="1" applyBorder="1" applyAlignment="1">
      <alignment vertical="center" wrapText="1"/>
    </xf>
    <xf numFmtId="49" fontId="35" fillId="3" borderId="9" xfId="0" applyNumberFormat="1" applyFont="1" applyFill="1" applyBorder="1" applyAlignment="1">
      <alignment horizontal="center" vertical="center"/>
    </xf>
    <xf numFmtId="0" fontId="35" fillId="3" borderId="9" xfId="0" applyFont="1" applyFill="1" applyBorder="1" applyAlignment="1">
      <alignment vertical="center"/>
    </xf>
    <xf numFmtId="41" fontId="35" fillId="3" borderId="9" xfId="0" applyNumberFormat="1" applyFont="1" applyFill="1" applyBorder="1" applyAlignment="1">
      <alignment horizontal="right" vertical="center" wrapText="1"/>
    </xf>
    <xf numFmtId="0" fontId="22" fillId="3" borderId="9" xfId="0" applyFont="1" applyFill="1" applyBorder="1" applyAlignment="1">
      <alignment vertical="center" wrapText="1"/>
    </xf>
    <xf numFmtId="49" fontId="22" fillId="3" borderId="9" xfId="0" applyNumberFormat="1" applyFont="1" applyFill="1" applyBorder="1" applyAlignment="1">
      <alignment horizontal="center" vertical="center"/>
    </xf>
    <xf numFmtId="0" fontId="22" fillId="3" borderId="9" xfId="0" applyFont="1" applyFill="1" applyBorder="1" applyAlignment="1">
      <alignment vertical="center"/>
    </xf>
    <xf numFmtId="0" fontId="22" fillId="3" borderId="9" xfId="0" applyFont="1" applyFill="1" applyBorder="1" applyAlignment="1">
      <alignment horizontal="left" vertical="center" wrapText="1"/>
    </xf>
    <xf numFmtId="0" fontId="22" fillId="3" borderId="9" xfId="0" quotePrefix="1" applyFont="1" applyFill="1" applyBorder="1" applyAlignment="1">
      <alignment vertical="center" wrapText="1"/>
    </xf>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25" fillId="3" borderId="9" xfId="0" applyFont="1" applyFill="1" applyBorder="1" applyAlignment="1">
      <alignment vertical="center" wrapText="1"/>
    </xf>
    <xf numFmtId="0" fontId="24" fillId="3" borderId="9" xfId="5" applyNumberFormat="1" applyFont="1" applyFill="1" applyBorder="1" applyAlignment="1" applyProtection="1">
      <alignment horizontal="left" vertical="center" wrapText="1"/>
    </xf>
    <xf numFmtId="49" fontId="35" fillId="3" borderId="9" xfId="0" applyNumberFormat="1" applyFont="1" applyFill="1" applyBorder="1" applyAlignment="1">
      <alignment horizontal="center" vertical="center" wrapText="1"/>
    </xf>
    <xf numFmtId="0" fontId="23" fillId="3" borderId="9" xfId="5" applyNumberFormat="1" applyFont="1" applyFill="1" applyBorder="1" applyAlignment="1" applyProtection="1">
      <alignment horizontal="left" vertical="center" wrapText="1"/>
    </xf>
    <xf numFmtId="49" fontId="22" fillId="3" borderId="9" xfId="0" applyNumberFormat="1" applyFont="1" applyFill="1" applyBorder="1" applyAlignment="1">
      <alignment horizontal="center" vertical="center" wrapText="1"/>
    </xf>
    <xf numFmtId="0" fontId="23" fillId="3" borderId="9" xfId="7" applyFont="1" applyFill="1" applyBorder="1" applyAlignment="1">
      <alignment vertical="center" wrapText="1"/>
    </xf>
    <xf numFmtId="49" fontId="34" fillId="3" borderId="9" xfId="0" applyNumberFormat="1" applyFont="1" applyFill="1" applyBorder="1" applyAlignment="1">
      <alignment horizontal="center" vertical="center" wrapText="1"/>
    </xf>
    <xf numFmtId="0" fontId="25" fillId="3" borderId="9" xfId="5" applyNumberFormat="1" applyFont="1" applyFill="1" applyBorder="1" applyAlignment="1" applyProtection="1">
      <alignment horizontal="left" vertical="center" wrapText="1"/>
    </xf>
    <xf numFmtId="0" fontId="25" fillId="3" borderId="9" xfId="7" applyFont="1" applyFill="1" applyBorder="1" applyAlignment="1">
      <alignment vertical="center" wrapText="1"/>
    </xf>
    <xf numFmtId="0" fontId="25" fillId="3" borderId="9" xfId="7" applyNumberFormat="1" applyFont="1" applyFill="1" applyBorder="1" applyAlignment="1">
      <alignment vertical="center" wrapText="1"/>
    </xf>
    <xf numFmtId="0" fontId="22" fillId="3" borderId="0" xfId="0" applyFont="1" applyFill="1" applyBorder="1" applyAlignment="1">
      <alignment horizontal="center" vertical="center" wrapText="1"/>
    </xf>
    <xf numFmtId="0" fontId="35" fillId="3" borderId="0" xfId="0" applyFont="1" applyFill="1" applyBorder="1" applyAlignment="1">
      <alignment vertical="center" wrapText="1"/>
    </xf>
    <xf numFmtId="0" fontId="26" fillId="3" borderId="0" xfId="0" applyFont="1" applyFill="1" applyBorder="1" applyAlignment="1">
      <alignment horizontal="left" vertical="center"/>
    </xf>
    <xf numFmtId="0" fontId="24" fillId="2" borderId="9" xfId="7" applyFont="1" applyFill="1" applyBorder="1" applyAlignment="1" applyProtection="1">
      <alignment horizontal="left" vertical="center" wrapText="1"/>
    </xf>
    <xf numFmtId="166"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7" fontId="23" fillId="3" borderId="14" xfId="0" applyNumberFormat="1" applyFont="1" applyFill="1" applyBorder="1" applyAlignment="1" applyProtection="1">
      <alignment horizontal="right" vertical="center" wrapText="1"/>
      <protection locked="0"/>
    </xf>
    <xf numFmtId="167" fontId="24" fillId="2" borderId="9" xfId="8"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2" fillId="3" borderId="0" xfId="0" applyFont="1" applyFill="1" applyAlignment="1">
      <alignment horizontal="center" vertical="center"/>
    </xf>
    <xf numFmtId="166" fontId="24"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3" fillId="3" borderId="9" xfId="6" applyNumberFormat="1" applyFont="1" applyFill="1" applyBorder="1" applyAlignment="1" applyProtection="1">
      <alignment horizontal="right" vertical="center" wrapText="1"/>
      <protection locked="0"/>
    </xf>
    <xf numFmtId="165" fontId="24" fillId="3" borderId="9" xfId="6"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0" fontId="22" fillId="3" borderId="0" xfId="0" applyFont="1" applyFill="1" applyAlignment="1">
      <alignment horizontal="center" vertical="center" wrapText="1"/>
    </xf>
    <xf numFmtId="0" fontId="2" fillId="4" borderId="0" xfId="13" applyFill="1" applyAlignment="1">
      <alignment vertical="center"/>
    </xf>
    <xf numFmtId="0" fontId="2" fillId="4" borderId="0" xfId="13" applyFill="1"/>
    <xf numFmtId="0" fontId="25" fillId="3" borderId="0" xfId="12" applyFont="1" applyFill="1" applyAlignment="1">
      <alignment horizontal="center" vertical="center"/>
    </xf>
    <xf numFmtId="0" fontId="23" fillId="3" borderId="0" xfId="12" applyFont="1" applyFill="1"/>
    <xf numFmtId="0" fontId="2" fillId="3" borderId="0" xfId="13" applyFill="1"/>
    <xf numFmtId="0" fontId="2"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3" fillId="3" borderId="0" xfId="12" applyFont="1" applyFill="1" applyAlignment="1">
      <alignment horizontal="left" vertical="top"/>
    </xf>
    <xf numFmtId="0" fontId="22" fillId="3" borderId="0" xfId="12" applyFont="1" applyFill="1" applyAlignment="1">
      <alignment horizontal="left" vertical="top"/>
    </xf>
    <xf numFmtId="0" fontId="2" fillId="3" borderId="0" xfId="13" applyFill="1" applyAlignment="1">
      <alignment horizontal="center"/>
    </xf>
    <xf numFmtId="0" fontId="22" fillId="4" borderId="0" xfId="13" applyFont="1" applyFill="1"/>
    <xf numFmtId="0" fontId="35" fillId="5" borderId="9" xfId="13" applyFont="1" applyFill="1" applyBorder="1" applyAlignment="1">
      <alignment horizontal="center" vertical="center" wrapText="1"/>
    </xf>
    <xf numFmtId="49" fontId="22" fillId="3" borderId="9" xfId="13" applyNumberFormat="1" applyFont="1" applyFill="1" applyBorder="1" applyAlignment="1" applyProtection="1">
      <alignment horizontal="center" vertical="center" wrapText="1"/>
    </xf>
    <xf numFmtId="49" fontId="22" fillId="3" borderId="9" xfId="13" applyNumberFormat="1" applyFont="1" applyFill="1" applyBorder="1" applyAlignment="1" applyProtection="1">
      <alignment horizontal="left" vertical="center" wrapText="1"/>
    </xf>
    <xf numFmtId="0" fontId="22" fillId="3" borderId="9" xfId="13" applyFont="1" applyFill="1" applyBorder="1"/>
    <xf numFmtId="0" fontId="22" fillId="3" borderId="9" xfId="13" applyFont="1" applyFill="1" applyBorder="1" applyAlignment="1">
      <alignment vertical="center" wrapText="1"/>
    </xf>
    <xf numFmtId="168" fontId="22" fillId="3" borderId="9" xfId="13" applyNumberFormat="1" applyFont="1" applyFill="1" applyBorder="1" applyAlignment="1">
      <alignment vertical="center" wrapText="1"/>
    </xf>
    <xf numFmtId="10" fontId="22" fillId="3" borderId="9" xfId="13" applyNumberFormat="1" applyFont="1" applyFill="1" applyBorder="1" applyAlignment="1" applyProtection="1">
      <alignment horizontal="left" vertical="center" wrapText="1"/>
    </xf>
    <xf numFmtId="37" fontId="35" fillId="3" borderId="9" xfId="13" applyNumberFormat="1" applyFont="1" applyFill="1" applyBorder="1" applyAlignment="1" applyProtection="1">
      <alignment horizontal="left" vertical="center" wrapText="1"/>
    </xf>
    <xf numFmtId="10" fontId="35" fillId="3" borderId="9" xfId="13" applyNumberFormat="1" applyFont="1" applyFill="1" applyBorder="1" applyAlignment="1" applyProtection="1">
      <alignment horizontal="left" vertical="center" wrapText="1"/>
    </xf>
    <xf numFmtId="10" fontId="22" fillId="3" borderId="9" xfId="13" applyNumberFormat="1" applyFont="1" applyFill="1" applyBorder="1"/>
    <xf numFmtId="0" fontId="22" fillId="3" borderId="9" xfId="13" applyNumberFormat="1" applyFont="1" applyFill="1" applyBorder="1" applyAlignment="1" applyProtection="1">
      <alignment horizontal="center" vertical="center" wrapText="1"/>
    </xf>
    <xf numFmtId="0" fontId="22" fillId="3" borderId="9" xfId="13" applyNumberFormat="1" applyFont="1" applyFill="1" applyBorder="1" applyAlignment="1" applyProtection="1">
      <alignment horizontal="right" vertical="center" wrapText="1"/>
    </xf>
    <xf numFmtId="0" fontId="22" fillId="3" borderId="0" xfId="13" applyFont="1" applyFill="1" applyAlignment="1">
      <alignment horizontal="center"/>
    </xf>
    <xf numFmtId="0" fontId="22" fillId="3" borderId="0" xfId="13" applyFont="1" applyFill="1"/>
    <xf numFmtId="0" fontId="35" fillId="3" borderId="0" xfId="12" applyFont="1" applyFill="1"/>
    <xf numFmtId="0" fontId="22" fillId="3" borderId="0" xfId="12" applyFont="1" applyFill="1"/>
    <xf numFmtId="166" fontId="22" fillId="3" borderId="0" xfId="14" applyNumberFormat="1" applyFont="1" applyFill="1" applyProtection="1">
      <protection locked="0"/>
    </xf>
    <xf numFmtId="166" fontId="35" fillId="3" borderId="0" xfId="14" applyNumberFormat="1" applyFont="1" applyFill="1" applyProtection="1">
      <protection locked="0"/>
    </xf>
    <xf numFmtId="0" fontId="34" fillId="3" borderId="0" xfId="12" applyFont="1" applyFill="1"/>
    <xf numFmtId="166" fontId="34" fillId="3" borderId="0" xfId="14" applyNumberFormat="1" applyFont="1" applyFill="1" applyProtection="1">
      <protection locked="0"/>
    </xf>
    <xf numFmtId="0" fontId="22" fillId="3" borderId="8" xfId="12" applyFont="1" applyFill="1" applyBorder="1"/>
    <xf numFmtId="166" fontId="22" fillId="3" borderId="8" xfId="14" applyNumberFormat="1" applyFont="1" applyFill="1" applyBorder="1" applyProtection="1">
      <protection locked="0"/>
    </xf>
    <xf numFmtId="0" fontId="2" fillId="3" borderId="8" xfId="13" applyFill="1" applyBorder="1"/>
    <xf numFmtId="0" fontId="2" fillId="4" borderId="0" xfId="13" applyFill="1" applyAlignment="1">
      <alignment horizontal="center"/>
    </xf>
    <xf numFmtId="0" fontId="24" fillId="3" borderId="0" xfId="0" applyFont="1" applyFill="1" applyBorder="1" applyAlignment="1">
      <alignment horizontal="left" vertical="center"/>
    </xf>
    <xf numFmtId="0" fontId="23" fillId="3" borderId="5" xfId="0" applyFont="1" applyFill="1" applyBorder="1" applyAlignment="1">
      <alignment horizontal="left" vertical="center"/>
    </xf>
    <xf numFmtId="0" fontId="35" fillId="3" borderId="0" xfId="0" applyFont="1" applyFill="1" applyBorder="1" applyAlignment="1">
      <alignment horizontal="center" vertical="center"/>
    </xf>
    <xf numFmtId="0" fontId="35" fillId="3" borderId="0" xfId="0" applyFont="1" applyFill="1" applyBorder="1" applyAlignment="1">
      <alignment horizontal="center" vertical="center" wrapText="1"/>
    </xf>
    <xf numFmtId="0" fontId="23" fillId="3" borderId="8" xfId="0" applyFont="1" applyFill="1" applyBorder="1" applyAlignment="1">
      <alignment horizontal="left" vertical="center"/>
    </xf>
    <xf numFmtId="0" fontId="35" fillId="3" borderId="0" xfId="0" applyFont="1" applyFill="1" applyAlignment="1">
      <alignment horizontal="center" vertical="center"/>
    </xf>
    <xf numFmtId="0" fontId="22" fillId="3" borderId="0" xfId="0" applyFont="1" applyFill="1" applyBorder="1" applyAlignment="1">
      <alignment horizontal="center" vertical="center"/>
    </xf>
    <xf numFmtId="37" fontId="23" fillId="3" borderId="0" xfId="12" applyNumberFormat="1" applyFont="1" applyFill="1" applyAlignment="1">
      <alignment horizontal="left"/>
    </xf>
    <xf numFmtId="4" fontId="41" fillId="6" borderId="15" xfId="0" applyNumberFormat="1" applyFont="1" applyFill="1" applyBorder="1" applyAlignment="1" applyProtection="1">
      <alignment horizontal="left" vertical="center" wrapText="1"/>
      <protection locked="0"/>
    </xf>
    <xf numFmtId="4" fontId="42" fillId="7" borderId="16" xfId="0" applyNumberFormat="1" applyFont="1" applyFill="1" applyBorder="1" applyAlignment="1" applyProtection="1">
      <alignment horizontal="center" vertical="center" wrapText="1"/>
      <protection locked="0"/>
    </xf>
    <xf numFmtId="0" fontId="43" fillId="8" borderId="17" xfId="0" applyNumberFormat="1" applyFont="1" applyFill="1" applyBorder="1" applyAlignment="1" applyProtection="1">
      <alignment horizontal="center" vertical="center" wrapText="1"/>
      <protection locked="0"/>
    </xf>
    <xf numFmtId="10" fontId="44" fillId="9" borderId="18" xfId="0" applyNumberFormat="1" applyFont="1" applyFill="1" applyBorder="1" applyAlignment="1" applyProtection="1">
      <alignment horizontal="right" vertical="center" wrapText="1"/>
      <protection locked="0"/>
    </xf>
    <xf numFmtId="166" fontId="45" fillId="10" borderId="19" xfId="0" applyNumberFormat="1" applyFont="1" applyFill="1" applyBorder="1" applyAlignment="1" applyProtection="1">
      <alignment horizontal="right" vertical="center" wrapText="1"/>
      <protection locked="0"/>
    </xf>
    <xf numFmtId="0" fontId="46" fillId="11" borderId="20" xfId="0" applyNumberFormat="1" applyFont="1" applyFill="1" applyBorder="1" applyAlignment="1" applyProtection="1">
      <alignment horizontal="left" vertical="center" wrapText="1"/>
      <protection locked="0"/>
    </xf>
    <xf numFmtId="0" fontId="47" fillId="12" borderId="21" xfId="0" applyNumberFormat="1" applyFont="1" applyFill="1" applyBorder="1" applyAlignment="1" applyProtection="1">
      <alignment horizontal="center" vertical="center" wrapText="1"/>
      <protection locked="0"/>
    </xf>
    <xf numFmtId="10" fontId="48" fillId="13" borderId="22" xfId="0" applyNumberFormat="1" applyFont="1" applyFill="1" applyBorder="1" applyAlignment="1" applyProtection="1">
      <alignment horizontal="right" vertical="center" wrapText="1"/>
      <protection locked="0"/>
    </xf>
    <xf numFmtId="166" fontId="49" fillId="14" borderId="23" xfId="0" applyNumberFormat="1" applyFont="1" applyFill="1" applyBorder="1" applyAlignment="1" applyProtection="1">
      <alignment horizontal="right" vertical="center" wrapText="1"/>
      <protection locked="0"/>
    </xf>
    <xf numFmtId="43" fontId="50" fillId="15" borderId="24" xfId="0" applyNumberFormat="1" applyFont="1" applyFill="1" applyBorder="1" applyAlignment="1" applyProtection="1">
      <alignment horizontal="right" vertical="center" wrapText="1"/>
      <protection locked="0"/>
    </xf>
    <xf numFmtId="37" fontId="51" fillId="16" borderId="25" xfId="0" applyNumberFormat="1" applyFont="1" applyFill="1" applyBorder="1" applyAlignment="1" applyProtection="1">
      <alignment horizontal="right" vertical="center" wrapText="1"/>
      <protection locked="0"/>
    </xf>
    <xf numFmtId="0" fontId="52" fillId="17" borderId="0" xfId="15" applyFont="1"/>
    <xf numFmtId="0" fontId="25" fillId="3" borderId="0" xfId="15" applyFont="1" applyFill="1" applyAlignment="1">
      <alignment horizontal="center" vertical="center"/>
    </xf>
    <xf numFmtId="10" fontId="23" fillId="3" borderId="0" xfId="17" applyNumberFormat="1" applyFont="1" applyFill="1" applyProtection="1"/>
    <xf numFmtId="166" fontId="52" fillId="3" borderId="0" xfId="18" applyNumberFormat="1" applyFont="1" applyFill="1" applyProtection="1"/>
    <xf numFmtId="0" fontId="52" fillId="3" borderId="0" xfId="15" applyFont="1" applyFill="1"/>
    <xf numFmtId="15" fontId="23" fillId="3" borderId="0" xfId="15" applyNumberFormat="1" applyFont="1" applyFill="1"/>
    <xf numFmtId="0" fontId="35" fillId="3" borderId="0" xfId="19" applyFont="1" applyFill="1" applyAlignment="1">
      <alignment horizontal="center"/>
    </xf>
    <xf numFmtId="0" fontId="35" fillId="3" borderId="0" xfId="19" applyFont="1" applyFill="1"/>
    <xf numFmtId="0" fontId="23" fillId="3" borderId="0" xfId="15" applyFont="1" applyFill="1" applyAlignment="1">
      <alignment horizontal="left" vertical="top"/>
    </xf>
    <xf numFmtId="15" fontId="23" fillId="3" borderId="0" xfId="15" applyNumberFormat="1" applyFont="1" applyFill="1" applyAlignment="1">
      <alignment horizontal="left"/>
    </xf>
    <xf numFmtId="0" fontId="22" fillId="3" borderId="0" xfId="15" applyFont="1" applyFill="1"/>
    <xf numFmtId="0" fontId="22" fillId="17" borderId="0" xfId="15" applyFont="1"/>
    <xf numFmtId="166" fontId="35" fillId="2" borderId="9" xfId="18" applyNumberFormat="1" applyFont="1" applyFill="1" applyBorder="1" applyAlignment="1" applyProtection="1">
      <alignment horizontal="center" vertical="center" wrapText="1"/>
    </xf>
    <xf numFmtId="49" fontId="35" fillId="3" borderId="13" xfId="15" applyNumberFormat="1" applyFont="1" applyFill="1" applyBorder="1" applyAlignment="1">
      <alignment horizontal="center" vertical="center" wrapText="1"/>
    </xf>
    <xf numFmtId="49" fontId="35" fillId="3" borderId="9" xfId="18" applyNumberFormat="1" applyFont="1" applyFill="1" applyBorder="1" applyAlignment="1" applyProtection="1">
      <alignment horizontal="center" vertical="center" wrapText="1"/>
    </xf>
    <xf numFmtId="49" fontId="35" fillId="17" borderId="13" xfId="18" applyNumberFormat="1" applyFont="1" applyFill="1" applyBorder="1" applyAlignment="1" applyProtection="1">
      <alignment horizontal="center" vertical="center" wrapText="1"/>
    </xf>
    <xf numFmtId="0" fontId="22" fillId="3" borderId="9" xfId="15" applyFont="1" applyFill="1" applyBorder="1" applyAlignment="1">
      <alignment horizontal="center" vertical="center" wrapText="1"/>
    </xf>
    <xf numFmtId="0" fontId="35" fillId="2" borderId="9" xfId="15" applyFont="1" applyFill="1" applyBorder="1" applyAlignment="1">
      <alignment horizontal="center" vertical="center" wrapText="1"/>
    </xf>
    <xf numFmtId="0" fontId="35" fillId="2" borderId="9" xfId="15" applyFont="1" applyFill="1" applyBorder="1" applyAlignment="1">
      <alignment horizontal="justify" vertical="center" wrapText="1"/>
    </xf>
    <xf numFmtId="166" fontId="35" fillId="2" borderId="9" xfId="18" applyNumberFormat="1" applyFont="1" applyFill="1" applyBorder="1" applyAlignment="1" applyProtection="1">
      <alignment horizontal="right" vertical="center" wrapText="1"/>
    </xf>
    <xf numFmtId="10" fontId="35" fillId="2" borderId="9" xfId="17" applyNumberFormat="1" applyFont="1" applyFill="1" applyBorder="1" applyAlignment="1">
      <alignment horizontal="right" vertical="center" wrapText="1"/>
      <protection locked="0"/>
    </xf>
    <xf numFmtId="166" fontId="22" fillId="3" borderId="0" xfId="18" applyNumberFormat="1" applyFont="1" applyFill="1" applyProtection="1"/>
    <xf numFmtId="0" fontId="23" fillId="3" borderId="0" xfId="20" quotePrefix="1" applyFont="1" applyFill="1"/>
    <xf numFmtId="0" fontId="23" fillId="3" borderId="0" xfId="20" applyFont="1" applyFill="1"/>
    <xf numFmtId="166" fontId="22" fillId="3" borderId="0" xfId="18" applyNumberFormat="1" applyFont="1" applyFill="1">
      <protection locked="0"/>
    </xf>
    <xf numFmtId="0" fontId="22" fillId="3" borderId="0" xfId="20" applyFont="1" applyFill="1"/>
    <xf numFmtId="0" fontId="35" fillId="3" borderId="0" xfId="21" applyFont="1" applyFill="1"/>
    <xf numFmtId="166" fontId="35" fillId="3" borderId="0" xfId="18" applyNumberFormat="1" applyFont="1" applyFill="1">
      <protection locked="0"/>
    </xf>
    <xf numFmtId="0" fontId="34" fillId="3" borderId="0" xfId="21" applyFont="1" applyFill="1"/>
    <xf numFmtId="0" fontId="2" fillId="3" borderId="0" xfId="20" applyFill="1"/>
    <xf numFmtId="166" fontId="34" fillId="3" borderId="0" xfId="18" applyNumberFormat="1" applyFont="1" applyFill="1">
      <protection locked="0"/>
    </xf>
    <xf numFmtId="0" fontId="36" fillId="3" borderId="0" xfId="15" applyFont="1" applyFill="1" applyAlignment="1">
      <alignment vertical="top"/>
    </xf>
    <xf numFmtId="0" fontId="22" fillId="3" borderId="8" xfId="21" applyFont="1" applyFill="1" applyBorder="1"/>
    <xf numFmtId="166" fontId="22" fillId="3" borderId="8" xfId="18" applyNumberFormat="1" applyFont="1" applyFill="1" applyBorder="1">
      <protection locked="0"/>
    </xf>
    <xf numFmtId="0" fontId="2" fillId="3" borderId="8" xfId="20" applyFill="1" applyBorder="1"/>
    <xf numFmtId="0" fontId="22" fillId="3" borderId="0" xfId="21" applyFont="1" applyFill="1"/>
    <xf numFmtId="166" fontId="52" fillId="17" borderId="0" xfId="18" applyNumberFormat="1" applyFont="1" applyProtection="1"/>
    <xf numFmtId="0" fontId="24" fillId="3" borderId="0" xfId="0" applyFont="1" applyFill="1" applyAlignment="1">
      <alignment horizontal="center" vertical="center"/>
    </xf>
    <xf numFmtId="0" fontId="24" fillId="3" borderId="0" xfId="0" applyFont="1" applyFill="1" applyAlignment="1">
      <alignment vertical="center"/>
    </xf>
    <xf numFmtId="0" fontId="24" fillId="3" borderId="0" xfId="19" applyFont="1" applyFill="1" applyAlignment="1">
      <alignment horizontal="center" vertical="center"/>
    </xf>
    <xf numFmtId="0" fontId="24" fillId="3" borderId="0" xfId="19" applyFont="1" applyFill="1" applyAlignment="1">
      <alignment vertical="center"/>
    </xf>
    <xf numFmtId="0" fontId="35" fillId="3" borderId="0" xfId="19" applyFont="1" applyFill="1" applyAlignment="1">
      <alignment horizontal="center" vertical="center"/>
    </xf>
    <xf numFmtId="0" fontId="35" fillId="3" borderId="0" xfId="19" applyFont="1" applyFill="1" applyAlignment="1">
      <alignment vertical="center"/>
    </xf>
    <xf numFmtId="0" fontId="35" fillId="3" borderId="0" xfId="15" applyFont="1" applyFill="1" applyAlignment="1">
      <alignment horizontal="center" vertical="center"/>
    </xf>
    <xf numFmtId="0" fontId="35" fillId="3" borderId="0" xfId="15" applyFont="1" applyFill="1" applyAlignment="1">
      <alignment vertical="center"/>
    </xf>
    <xf numFmtId="0" fontId="35" fillId="3" borderId="0" xfId="20" applyFont="1" applyFill="1" applyAlignment="1">
      <alignment horizontal="center" vertical="center"/>
    </xf>
    <xf numFmtId="0" fontId="35" fillId="3" borderId="0" xfId="20" applyFont="1" applyFill="1" applyAlignment="1">
      <alignment vertical="center"/>
    </xf>
    <xf numFmtId="0" fontId="2" fillId="3" borderId="0" xfId="19" applyFill="1"/>
    <xf numFmtId="37" fontId="23" fillId="3" borderId="0" xfId="21" applyNumberFormat="1" applyFont="1" applyFill="1" applyAlignment="1">
      <alignment horizontal="left"/>
    </xf>
    <xf numFmtId="0" fontId="22" fillId="3" borderId="0" xfId="0" applyFont="1" applyFill="1" applyAlignment="1">
      <alignment horizontal="left" vertical="top" wrapText="1"/>
    </xf>
    <xf numFmtId="0" fontId="22" fillId="3" borderId="0" xfId="0" applyFont="1" applyFill="1" applyAlignment="1">
      <alignment horizontal="left" vertical="top"/>
    </xf>
    <xf numFmtId="4" fontId="23" fillId="6" borderId="15" xfId="0" applyNumberFormat="1" applyFont="1" applyFill="1" applyBorder="1" applyAlignment="1" applyProtection="1">
      <alignment horizontal="left" vertical="center" wrapText="1"/>
      <protection locked="0"/>
    </xf>
    <xf numFmtId="0" fontId="8" fillId="3" borderId="3" xfId="0" applyFont="1" applyFill="1" applyBorder="1" applyAlignment="1"/>
    <xf numFmtId="4" fontId="42" fillId="7" borderId="25" xfId="0" applyNumberFormat="1" applyFont="1" applyFill="1" applyBorder="1" applyAlignment="1" applyProtection="1">
      <alignment horizontal="center" vertical="center" wrapText="1"/>
      <protection locked="0"/>
    </xf>
    <xf numFmtId="4" fontId="41" fillId="6" borderId="25" xfId="0" applyNumberFormat="1" applyFont="1" applyFill="1" applyBorder="1" applyAlignment="1" applyProtection="1">
      <alignment horizontal="left" vertical="center" wrapText="1"/>
      <protection locked="0"/>
    </xf>
    <xf numFmtId="0" fontId="43" fillId="8" borderId="25" xfId="0" applyNumberFormat="1" applyFont="1" applyFill="1" applyBorder="1" applyAlignment="1" applyProtection="1">
      <alignment horizontal="center" vertical="center" wrapText="1"/>
      <protection locked="0"/>
    </xf>
    <xf numFmtId="166" fontId="45" fillId="10" borderId="25" xfId="0" applyNumberFormat="1" applyFont="1" applyFill="1" applyBorder="1" applyAlignment="1" applyProtection="1">
      <alignment horizontal="right" vertical="center" wrapText="1"/>
      <protection locked="0"/>
    </xf>
    <xf numFmtId="10" fontId="44" fillId="9" borderId="25" xfId="0" applyNumberFormat="1" applyFont="1" applyFill="1" applyBorder="1" applyAlignment="1" applyProtection="1">
      <alignment horizontal="right" vertical="center" wrapText="1"/>
      <protection locked="0"/>
    </xf>
    <xf numFmtId="0" fontId="22" fillId="3" borderId="9" xfId="0" applyFont="1" applyFill="1" applyBorder="1" applyAlignment="1">
      <alignment horizontal="center" vertical="center"/>
    </xf>
    <xf numFmtId="43" fontId="24" fillId="15" borderId="24" xfId="0" applyNumberFormat="1" applyFont="1" applyFill="1" applyBorder="1" applyAlignment="1" applyProtection="1">
      <alignment horizontal="right" vertical="center" wrapText="1"/>
      <protection locked="0"/>
    </xf>
    <xf numFmtId="10" fontId="24" fillId="9" borderId="18" xfId="0" applyNumberFormat="1" applyFont="1" applyFill="1" applyBorder="1" applyAlignment="1" applyProtection="1">
      <alignment horizontal="right" vertical="center" wrapText="1"/>
      <protection locked="0"/>
    </xf>
    <xf numFmtId="0" fontId="35" fillId="3" borderId="0" xfId="0" applyFont="1" applyFill="1"/>
    <xf numFmtId="166" fontId="23" fillId="14" borderId="23" xfId="0" applyNumberFormat="1" applyFont="1" applyFill="1" applyBorder="1" applyAlignment="1" applyProtection="1">
      <alignment horizontal="right" vertical="center" wrapText="1"/>
      <protection locked="0"/>
    </xf>
    <xf numFmtId="10" fontId="23" fillId="13" borderId="22" xfId="0" applyNumberFormat="1" applyFont="1" applyFill="1" applyBorder="1" applyAlignment="1" applyProtection="1">
      <alignment horizontal="right" vertical="center" wrapText="1"/>
      <protection locked="0"/>
    </xf>
    <xf numFmtId="0" fontId="24" fillId="17" borderId="25" xfId="0" applyFont="1" applyFill="1" applyBorder="1" applyAlignment="1" applyProtection="1">
      <alignment horizontal="center" vertical="center" wrapText="1"/>
      <protection locked="0"/>
    </xf>
    <xf numFmtId="0" fontId="24" fillId="17" borderId="25" xfId="0" applyFont="1" applyFill="1" applyBorder="1" applyAlignment="1" applyProtection="1">
      <alignment horizontal="left" vertical="center" wrapText="1"/>
      <protection locked="0"/>
    </xf>
    <xf numFmtId="4" fontId="23" fillId="17" borderId="25" xfId="0" applyNumberFormat="1" applyFont="1" applyFill="1" applyBorder="1" applyAlignment="1" applyProtection="1">
      <alignment horizontal="center" vertical="center" wrapText="1"/>
      <protection locked="0"/>
    </xf>
    <xf numFmtId="4" fontId="23" fillId="17" borderId="25" xfId="0" applyNumberFormat="1" applyFont="1" applyFill="1" applyBorder="1" applyAlignment="1" applyProtection="1">
      <alignment horizontal="left" vertical="center" wrapText="1"/>
      <protection locked="0"/>
    </xf>
    <xf numFmtId="49" fontId="24" fillId="2" borderId="9" xfId="7" applyNumberFormat="1" applyFont="1" applyFill="1" applyBorder="1" applyAlignment="1">
      <alignment horizontal="left" vertical="center" wrapText="1"/>
    </xf>
    <xf numFmtId="49" fontId="24" fillId="2" borderId="9" xfId="7" applyNumberFormat="1" applyFont="1" applyFill="1" applyBorder="1" applyAlignment="1">
      <alignment horizontal="center" vertical="center" wrapText="1"/>
    </xf>
    <xf numFmtId="0" fontId="23" fillId="3" borderId="9" xfId="19" applyFont="1" applyFill="1" applyBorder="1" applyAlignment="1">
      <alignment horizontal="center" vertical="center"/>
    </xf>
    <xf numFmtId="49" fontId="23" fillId="3" borderId="9" xfId="7" applyNumberFormat="1" applyFont="1" applyFill="1" applyBorder="1" applyAlignment="1">
      <alignment horizontal="left" vertical="center" wrapText="1"/>
    </xf>
    <xf numFmtId="49" fontId="23" fillId="3" borderId="9" xfId="7" applyNumberFormat="1" applyFont="1" applyFill="1" applyBorder="1" applyAlignment="1">
      <alignment horizontal="center" vertical="center" wrapText="1"/>
    </xf>
    <xf numFmtId="0" fontId="23" fillId="17" borderId="9" xfId="19" applyFont="1" applyBorder="1" applyAlignment="1">
      <alignment horizontal="center" vertical="center"/>
    </xf>
    <xf numFmtId="49" fontId="23" fillId="17" borderId="9" xfId="7" applyNumberFormat="1" applyFont="1" applyFill="1" applyBorder="1" applyAlignment="1">
      <alignment horizontal="left" vertical="center" wrapText="1"/>
    </xf>
    <xf numFmtId="49" fontId="23" fillId="17" borderId="9" xfId="7" applyNumberFormat="1" applyFont="1" applyFill="1" applyBorder="1" applyAlignment="1">
      <alignment horizontal="center" vertical="center" wrapText="1"/>
    </xf>
    <xf numFmtId="0" fontId="25" fillId="17" borderId="9" xfId="19" applyFont="1" applyBorder="1" applyAlignment="1">
      <alignment horizontal="center" vertical="center"/>
    </xf>
    <xf numFmtId="49" fontId="25" fillId="17" borderId="9" xfId="7" applyNumberFormat="1" applyFont="1" applyFill="1" applyBorder="1" applyAlignment="1">
      <alignment horizontal="left" vertical="center" wrapText="1"/>
    </xf>
    <xf numFmtId="49" fontId="25" fillId="17" borderId="9" xfId="7" applyNumberFormat="1" applyFont="1" applyFill="1" applyBorder="1" applyAlignment="1">
      <alignment horizontal="center" vertical="center" wrapText="1"/>
    </xf>
    <xf numFmtId="0" fontId="25" fillId="3" borderId="9" xfId="19" applyFont="1" applyFill="1" applyBorder="1" applyAlignment="1">
      <alignment horizontal="center" vertical="center"/>
    </xf>
    <xf numFmtId="49" fontId="25" fillId="3" borderId="9" xfId="7" applyNumberFormat="1" applyFont="1" applyFill="1" applyBorder="1" applyAlignment="1">
      <alignment horizontal="left" vertical="center" wrapText="1"/>
    </xf>
    <xf numFmtId="49" fontId="25" fillId="3" borderId="9" xfId="7" applyNumberFormat="1" applyFont="1" applyFill="1" applyBorder="1" applyAlignment="1">
      <alignment horizontal="center" vertical="center" wrapText="1"/>
    </xf>
    <xf numFmtId="0" fontId="23" fillId="17" borderId="9" xfId="7" applyFont="1" applyFill="1" applyBorder="1" applyAlignment="1">
      <alignment horizontal="left" vertical="center" wrapText="1"/>
    </xf>
    <xf numFmtId="0" fontId="25" fillId="17" borderId="9" xfId="7" applyFont="1" applyFill="1" applyBorder="1" applyAlignment="1">
      <alignment horizontal="left" vertical="center" wrapText="1"/>
    </xf>
    <xf numFmtId="0" fontId="25" fillId="17" borderId="9" xfId="5" applyFont="1" applyFill="1" applyBorder="1" applyAlignment="1">
      <alignment horizontal="left" vertical="center" wrapText="1"/>
    </xf>
    <xf numFmtId="0" fontId="24" fillId="2" borderId="9" xfId="19" applyFont="1" applyFill="1" applyBorder="1" applyAlignment="1">
      <alignment horizontal="center" vertical="center"/>
    </xf>
    <xf numFmtId="0" fontId="23" fillId="17" borderId="9" xfId="0" applyFont="1" applyFill="1" applyBorder="1" applyAlignment="1">
      <alignment horizontal="center" vertical="center"/>
    </xf>
    <xf numFmtId="166" fontId="23" fillId="17" borderId="9" xfId="8" applyNumberFormat="1" applyFont="1" applyFill="1" applyBorder="1" applyAlignment="1" applyProtection="1">
      <alignment horizontal="right" vertical="center" wrapText="1"/>
      <protection locked="0"/>
    </xf>
    <xf numFmtId="10" fontId="23" fillId="3" borderId="25" xfId="0" applyNumberFormat="1" applyFont="1" applyFill="1" applyBorder="1" applyAlignment="1" applyProtection="1">
      <alignment horizontal="right" vertical="center" wrapText="1"/>
      <protection locked="0"/>
    </xf>
    <xf numFmtId="166" fontId="24" fillId="17" borderId="25" xfId="0" applyNumberFormat="1" applyFont="1" applyFill="1" applyBorder="1" applyAlignment="1" applyProtection="1">
      <alignment horizontal="right" vertical="center" wrapText="1"/>
      <protection locked="0"/>
    </xf>
    <xf numFmtId="10" fontId="24" fillId="17" borderId="25" xfId="0" applyNumberFormat="1" applyFont="1" applyFill="1" applyBorder="1" applyAlignment="1" applyProtection="1">
      <alignment horizontal="right" vertical="center" wrapText="1"/>
      <protection locked="0"/>
    </xf>
    <xf numFmtId="0" fontId="24" fillId="12" borderId="21" xfId="0" applyNumberFormat="1" applyFont="1" applyFill="1" applyBorder="1" applyAlignment="1" applyProtection="1">
      <alignment horizontal="center" vertical="center" wrapText="1"/>
      <protection locked="0"/>
    </xf>
    <xf numFmtId="49" fontId="22" fillId="3" borderId="9" xfId="19" applyNumberFormat="1" applyFont="1" applyFill="1" applyBorder="1" applyAlignment="1">
      <alignment horizontal="center" vertical="center" wrapText="1"/>
    </xf>
    <xf numFmtId="49" fontId="22" fillId="3" borderId="9" xfId="19" applyNumberFormat="1" applyFont="1" applyFill="1" applyBorder="1" applyAlignment="1">
      <alignment horizontal="left" vertical="center" wrapText="1"/>
    </xf>
    <xf numFmtId="49" fontId="23" fillId="3" borderId="9" xfId="19" applyNumberFormat="1" applyFont="1" applyFill="1" applyBorder="1" applyAlignment="1">
      <alignment horizontal="left" vertical="center" wrapText="1"/>
    </xf>
    <xf numFmtId="0" fontId="35" fillId="3" borderId="9" xfId="0" applyFont="1" applyFill="1" applyBorder="1" applyAlignment="1">
      <alignment horizontal="left" vertical="center" wrapText="1"/>
    </xf>
    <xf numFmtId="49" fontId="35" fillId="3" borderId="9" xfId="19" applyNumberFormat="1" applyFont="1" applyFill="1" applyBorder="1" applyAlignment="1">
      <alignment horizontal="center" vertical="center" wrapText="1"/>
    </xf>
    <xf numFmtId="10" fontId="23" fillId="17" borderId="25" xfId="0" applyNumberFormat="1" applyFont="1" applyFill="1" applyBorder="1" applyAlignment="1" applyProtection="1">
      <alignment horizontal="right" vertical="center" wrapText="1"/>
      <protection locked="0"/>
    </xf>
    <xf numFmtId="0" fontId="1" fillId="17" borderId="0" xfId="22" applyFont="1"/>
    <xf numFmtId="0" fontId="26" fillId="3" borderId="0" xfId="22" applyFont="1" applyFill="1" applyAlignment="1">
      <alignment horizontal="left" vertical="center"/>
    </xf>
    <xf numFmtId="0" fontId="22" fillId="3" borderId="0" xfId="22" applyFont="1" applyFill="1" applyAlignment="1">
      <alignment vertical="center"/>
    </xf>
    <xf numFmtId="0" fontId="35" fillId="3" borderId="0" xfId="22" applyFont="1" applyFill="1" applyAlignment="1">
      <alignment vertical="center"/>
    </xf>
    <xf numFmtId="0" fontId="35" fillId="2" borderId="9" xfId="22" applyFont="1" applyFill="1" applyBorder="1" applyAlignment="1">
      <alignment horizontal="center" vertical="center" wrapText="1"/>
    </xf>
    <xf numFmtId="0" fontId="24" fillId="17" borderId="25" xfId="22" applyFont="1" applyBorder="1" applyAlignment="1" applyProtection="1">
      <alignment horizontal="center" vertical="center" wrapText="1"/>
      <protection locked="0"/>
    </xf>
    <xf numFmtId="0" fontId="24" fillId="17" borderId="25" xfId="22" applyFont="1" applyBorder="1" applyAlignment="1" applyProtection="1">
      <alignment horizontal="left" vertical="center" wrapText="1"/>
      <protection locked="0"/>
    </xf>
    <xf numFmtId="166" fontId="24" fillId="17" borderId="25" xfId="22" applyNumberFormat="1" applyFont="1" applyBorder="1" applyAlignment="1" applyProtection="1">
      <alignment horizontal="right" vertical="center" wrapText="1"/>
      <protection locked="0"/>
    </xf>
    <xf numFmtId="10" fontId="24" fillId="17" borderId="25" xfId="22" applyNumberFormat="1" applyFont="1" applyBorder="1" applyAlignment="1" applyProtection="1">
      <alignment horizontal="right" vertical="center" wrapText="1"/>
      <protection locked="0"/>
    </xf>
    <xf numFmtId="4" fontId="23" fillId="17" borderId="25" xfId="22" applyNumberFormat="1" applyFont="1" applyBorder="1" applyAlignment="1" applyProtection="1">
      <alignment horizontal="center" vertical="center" wrapText="1"/>
      <protection locked="0"/>
    </xf>
    <xf numFmtId="4" fontId="23" fillId="17" borderId="25" xfId="22" applyNumberFormat="1" applyFont="1" applyBorder="1" applyAlignment="1" applyProtection="1">
      <alignment horizontal="left" vertical="center" wrapText="1"/>
      <protection locked="0"/>
    </xf>
    <xf numFmtId="0" fontId="23" fillId="17" borderId="25" xfId="22" applyFont="1" applyBorder="1" applyAlignment="1" applyProtection="1">
      <alignment horizontal="center" vertical="center" wrapText="1"/>
      <protection locked="0"/>
    </xf>
    <xf numFmtId="166" fontId="23" fillId="17" borderId="25" xfId="22" applyNumberFormat="1" applyFont="1" applyBorder="1" applyAlignment="1" applyProtection="1">
      <alignment horizontal="right" vertical="center" wrapText="1"/>
      <protection locked="0"/>
    </xf>
    <xf numFmtId="37" fontId="23" fillId="17" borderId="25" xfId="22" applyNumberFormat="1" applyFont="1" applyBorder="1" applyAlignment="1" applyProtection="1">
      <alignment horizontal="right" vertical="center" wrapText="1"/>
      <protection locked="0"/>
    </xf>
    <xf numFmtId="10" fontId="23" fillId="17" borderId="25" xfId="22" applyNumberFormat="1" applyFont="1" applyBorder="1" applyAlignment="1" applyProtection="1">
      <alignment horizontal="right" vertical="center" wrapText="1"/>
      <protection locked="0"/>
    </xf>
    <xf numFmtId="0" fontId="35" fillId="3" borderId="0" xfId="22" applyFont="1" applyFill="1" applyAlignment="1">
      <alignment horizontal="center" vertical="center"/>
    </xf>
    <xf numFmtId="0" fontId="22" fillId="3" borderId="0" xfId="22" applyFont="1" applyFill="1" applyAlignment="1">
      <alignment horizontal="center" vertical="center"/>
    </xf>
    <xf numFmtId="0" fontId="23" fillId="17" borderId="9" xfId="15" applyFont="1" applyBorder="1" applyAlignment="1">
      <alignment horizontal="left" vertical="center" wrapText="1"/>
    </xf>
    <xf numFmtId="0" fontId="23" fillId="17" borderId="9" xfId="15" applyFont="1" applyBorder="1" applyAlignment="1">
      <alignment horizontal="center" vertical="center" wrapText="1"/>
    </xf>
    <xf numFmtId="166" fontId="23" fillId="17" borderId="9" xfId="18" applyNumberFormat="1" applyFont="1" applyFill="1" applyBorder="1" applyAlignment="1" applyProtection="1">
      <alignment horizontal="right" vertical="center" wrapText="1"/>
    </xf>
    <xf numFmtId="10" fontId="23" fillId="17" borderId="9" xfId="17" applyNumberFormat="1" applyFont="1" applyFill="1" applyBorder="1" applyAlignment="1">
      <alignment horizontal="right" vertical="center" wrapText="1"/>
      <protection locked="0"/>
    </xf>
    <xf numFmtId="169" fontId="23" fillId="17" borderId="9" xfId="17" applyNumberFormat="1" applyFont="1" applyFill="1" applyBorder="1" applyAlignment="1">
      <alignment horizontal="right" vertical="center" wrapText="1"/>
      <protection locked="0"/>
    </xf>
    <xf numFmtId="166" fontId="22" fillId="17" borderId="0" xfId="8" applyNumberFormat="1" applyFont="1" applyFill="1"/>
    <xf numFmtId="0" fontId="6" fillId="3" borderId="0" xfId="0" applyFont="1" applyFill="1" applyAlignment="1">
      <alignment horizontal="left"/>
    </xf>
    <xf numFmtId="0" fontId="6" fillId="0" borderId="0" xfId="0" applyFont="1" applyFill="1" applyAlignment="1">
      <alignment horizontal="left"/>
    </xf>
    <xf numFmtId="0" fontId="1" fillId="17" borderId="0" xfId="22" applyFont="1" applyAlignment="1">
      <alignment horizontal="left"/>
    </xf>
    <xf numFmtId="0" fontId="22" fillId="3" borderId="0" xfId="0" applyFont="1" applyFill="1" applyAlignment="1">
      <alignment horizontal="left"/>
    </xf>
    <xf numFmtId="0" fontId="22" fillId="0" borderId="0" xfId="0" applyFont="1" applyFill="1" applyAlignment="1">
      <alignment horizontal="left" vertical="center"/>
    </xf>
    <xf numFmtId="0" fontId="22" fillId="4" borderId="0" xfId="13" applyFont="1" applyFill="1" applyAlignment="1">
      <alignment horizontal="left"/>
    </xf>
    <xf numFmtId="0" fontId="22" fillId="17" borderId="0" xfId="15" applyFont="1" applyAlignment="1">
      <alignment horizontal="left"/>
    </xf>
    <xf numFmtId="166" fontId="23" fillId="0" borderId="9" xfId="18" applyNumberFormat="1" applyFont="1" applyFill="1" applyBorder="1" applyAlignment="1" applyProtection="1">
      <alignment horizontal="right" vertical="center" wrapText="1"/>
    </xf>
    <xf numFmtId="10" fontId="23" fillId="0" borderId="25" xfId="0" applyNumberFormat="1" applyFont="1" applyFill="1" applyBorder="1" applyAlignment="1" applyProtection="1">
      <alignment horizontal="right" vertical="center" wrapText="1"/>
      <protection locked="0"/>
    </xf>
    <xf numFmtId="166" fontId="22" fillId="17" borderId="0" xfId="15" applyNumberFormat="1" applyFont="1"/>
    <xf numFmtId="0" fontId="42" fillId="7" borderId="16" xfId="0" applyNumberFormat="1" applyFont="1" applyFill="1" applyBorder="1" applyAlignment="1" applyProtection="1">
      <alignment horizontal="center" vertical="center" wrapText="1"/>
      <protection locked="0"/>
    </xf>
    <xf numFmtId="0" fontId="22" fillId="3" borderId="0" xfId="0" applyFont="1" applyFill="1" applyAlignment="1">
      <alignment horizontal="left" vertical="center" wrapText="1"/>
    </xf>
    <xf numFmtId="0" fontId="22" fillId="3" borderId="0" xfId="0" applyFont="1" applyFill="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left" vertical="center"/>
    </xf>
    <xf numFmtId="0" fontId="8" fillId="3" borderId="1" xfId="0" applyFont="1" applyFill="1" applyBorder="1" applyAlignment="1">
      <alignment wrapText="1"/>
    </xf>
    <xf numFmtId="0" fontId="8" fillId="3" borderId="2" xfId="0" applyFont="1" applyFill="1" applyBorder="1" applyAlignment="1"/>
    <xf numFmtId="0" fontId="12" fillId="3" borderId="0" xfId="0" quotePrefix="1" applyFont="1" applyFill="1" applyAlignment="1">
      <alignment horizontal="left" vertical="center" wrapText="1"/>
    </xf>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0" xfId="0" applyFont="1" applyFill="1" applyBorder="1" applyAlignment="1">
      <alignment horizontal="center" vertical="center" wrapText="1"/>
    </xf>
    <xf numFmtId="0" fontId="35" fillId="3" borderId="0" xfId="0" applyFont="1" applyFill="1" applyBorder="1" applyAlignment="1">
      <alignment horizontal="center" vertical="center" wrapText="1"/>
    </xf>
    <xf numFmtId="0" fontId="35" fillId="2" borderId="12" xfId="0" applyFont="1" applyFill="1" applyBorder="1" applyAlignment="1">
      <alignment horizontal="center" vertical="center" wrapText="1"/>
    </xf>
    <xf numFmtId="0" fontId="35" fillId="2" borderId="13" xfId="0" applyFont="1" applyFill="1" applyBorder="1" applyAlignment="1">
      <alignment horizontal="center" vertical="center" wrapText="1"/>
    </xf>
    <xf numFmtId="0" fontId="22" fillId="3" borderId="0" xfId="0" applyFont="1" applyFill="1" applyAlignment="1">
      <alignment horizontal="center" vertical="center" wrapText="1"/>
    </xf>
    <xf numFmtId="0" fontId="22" fillId="3" borderId="0" xfId="0" applyFont="1" applyFill="1" applyAlignment="1">
      <alignment horizontal="left" vertical="center" wrapText="1"/>
    </xf>
    <xf numFmtId="0" fontId="35" fillId="3" borderId="0" xfId="0" applyFont="1" applyFill="1" applyAlignment="1">
      <alignment horizontal="center" vertical="center"/>
    </xf>
    <xf numFmtId="0" fontId="22" fillId="3" borderId="0" xfId="0" quotePrefix="1"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wrapText="1"/>
    </xf>
    <xf numFmtId="0" fontId="22" fillId="3" borderId="0" xfId="0" applyFont="1" applyFill="1" applyAlignment="1">
      <alignment horizontal="left" vertical="top" wrapText="1"/>
    </xf>
    <xf numFmtId="0" fontId="22" fillId="3" borderId="0" xfId="0" applyFont="1" applyFill="1" applyAlignment="1">
      <alignment horizontal="center" vertical="center"/>
    </xf>
    <xf numFmtId="0" fontId="35" fillId="3" borderId="0" xfId="0" applyFont="1" applyFill="1" applyBorder="1" applyAlignment="1">
      <alignment horizontal="center" vertical="center"/>
    </xf>
    <xf numFmtId="0" fontId="22" fillId="3" borderId="0" xfId="0" applyFont="1" applyFill="1" applyAlignment="1">
      <alignment horizontal="left" vertical="center"/>
    </xf>
    <xf numFmtId="0" fontId="35" fillId="2" borderId="10"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xf numFmtId="0" fontId="26" fillId="3" borderId="0" xfId="0" applyFont="1" applyFill="1" applyBorder="1" applyAlignment="1">
      <alignment horizontal="left" vertical="center"/>
    </xf>
    <xf numFmtId="0" fontId="22" fillId="3" borderId="0" xfId="0" quotePrefix="1" applyFont="1" applyFill="1" applyAlignment="1">
      <alignment horizontal="left" vertical="center"/>
    </xf>
    <xf numFmtId="0" fontId="22" fillId="3" borderId="0" xfId="22" applyFont="1" applyFill="1" applyAlignment="1">
      <alignment horizontal="center" vertical="center"/>
    </xf>
    <xf numFmtId="0" fontId="26" fillId="3" borderId="0" xfId="22" applyFont="1" applyFill="1" applyAlignment="1">
      <alignment vertical="center" wrapText="1"/>
    </xf>
    <xf numFmtId="0" fontId="22" fillId="3" borderId="0" xfId="22" applyFont="1" applyFill="1" applyAlignment="1">
      <alignment vertical="center" wrapText="1"/>
    </xf>
    <xf numFmtId="15" fontId="22" fillId="3" borderId="0" xfId="22" quotePrefix="1" applyNumberFormat="1" applyFont="1" applyFill="1" applyAlignment="1">
      <alignment vertical="center" wrapText="1"/>
    </xf>
    <xf numFmtId="0" fontId="35" fillId="3" borderId="0" xfId="22" applyFont="1" applyFill="1" applyAlignment="1">
      <alignment horizontal="center" vertical="center"/>
    </xf>
    <xf numFmtId="0" fontId="22" fillId="3" borderId="0" xfId="22" applyFont="1" applyFill="1" applyAlignment="1">
      <alignment horizontal="left" vertical="center" wrapText="1"/>
    </xf>
    <xf numFmtId="0" fontId="22" fillId="3" borderId="0" xfId="22" applyFont="1" applyFill="1" applyAlignment="1">
      <alignment horizontal="left" vertical="center"/>
    </xf>
    <xf numFmtId="0" fontId="31" fillId="3" borderId="0" xfId="22" applyFont="1" applyFill="1" applyAlignment="1">
      <alignment horizontal="right" vertical="center" wrapText="1"/>
    </xf>
    <xf numFmtId="0" fontId="32" fillId="3" borderId="0" xfId="22" applyFont="1" applyFill="1" applyAlignment="1">
      <alignment horizontal="right" vertical="center" wrapText="1"/>
    </xf>
    <xf numFmtId="0" fontId="33" fillId="3" borderId="0" xfId="22" applyFont="1" applyFill="1" applyAlignment="1">
      <alignment horizontal="center" vertical="center" wrapText="1"/>
    </xf>
    <xf numFmtId="0" fontId="34" fillId="3" borderId="0" xfId="22" applyFont="1" applyFill="1" applyAlignment="1">
      <alignment horizontal="center" vertical="center"/>
    </xf>
    <xf numFmtId="0" fontId="22" fillId="3" borderId="0" xfId="0" applyFont="1" applyFill="1" applyBorder="1" applyAlignment="1">
      <alignment horizontal="center" vertical="center"/>
    </xf>
    <xf numFmtId="4" fontId="23" fillId="17" borderId="0" xfId="0" applyNumberFormat="1" applyFont="1" applyFill="1" applyBorder="1" applyAlignment="1" applyProtection="1">
      <alignment horizontal="left" vertical="center" wrapText="1"/>
      <protection locked="0"/>
    </xf>
    <xf numFmtId="4" fontId="23" fillId="17" borderId="27" xfId="0" applyNumberFormat="1" applyFont="1" applyFill="1" applyBorder="1" applyAlignment="1" applyProtection="1">
      <alignment horizontal="center" vertical="center" wrapText="1"/>
      <protection locked="0"/>
    </xf>
    <xf numFmtId="0" fontId="23" fillId="3" borderId="0" xfId="0" applyFont="1" applyFill="1" applyAlignment="1">
      <alignment horizontal="left" vertical="center" wrapText="1"/>
    </xf>
    <xf numFmtId="0" fontId="23" fillId="3" borderId="0" xfId="0" quotePrefix="1" applyFont="1" applyFill="1" applyAlignment="1">
      <alignment horizontal="left"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6" fillId="3" borderId="0" xfId="0" quotePrefix="1" applyFont="1" applyFill="1" applyBorder="1" applyAlignment="1">
      <alignment horizontal="left" vertical="center"/>
    </xf>
    <xf numFmtId="0" fontId="36" fillId="3" borderId="0" xfId="0" applyFont="1" applyFill="1" applyBorder="1" applyAlignment="1">
      <alignment horizontal="left" vertical="center" wrapText="1"/>
    </xf>
    <xf numFmtId="0" fontId="36" fillId="3" borderId="0" xfId="0" applyFont="1" applyFill="1" applyBorder="1" applyAlignment="1">
      <alignment horizontal="left" vertical="center"/>
    </xf>
    <xf numFmtId="0" fontId="22" fillId="3" borderId="0" xfId="13" applyFont="1" applyFill="1" applyAlignment="1">
      <alignment horizontal="left" wrapText="1"/>
    </xf>
    <xf numFmtId="0" fontId="22" fillId="3" borderId="0" xfId="13" applyFont="1" applyFill="1" applyAlignment="1">
      <alignment horizontal="left"/>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7" fillId="0" borderId="0" xfId="12" applyFont="1" applyFill="1" applyAlignment="1">
      <alignment horizontal="center" vertical="center" wrapText="1"/>
    </xf>
    <xf numFmtId="0" fontId="25" fillId="3" borderId="0" xfId="12" applyFont="1" applyFill="1" applyAlignment="1">
      <alignment horizontal="center" vertical="center"/>
    </xf>
    <xf numFmtId="0" fontId="26" fillId="3" borderId="0" xfId="12" applyFont="1" applyFill="1" applyAlignment="1">
      <alignment horizontal="left" vertical="center" wrapText="1"/>
    </xf>
    <xf numFmtId="0" fontId="24" fillId="3" borderId="0" xfId="12" applyFont="1" applyFill="1" applyAlignment="1">
      <alignment horizontal="left" vertical="center"/>
    </xf>
    <xf numFmtId="0" fontId="39" fillId="3" borderId="0" xfId="12" applyFont="1" applyFill="1" applyAlignment="1">
      <alignment horizontal="left" vertical="center" wrapText="1"/>
    </xf>
    <xf numFmtId="0" fontId="23" fillId="3" borderId="0" xfId="12" applyFont="1" applyFill="1" applyAlignment="1">
      <alignment horizontal="left" vertical="center" wrapText="1"/>
    </xf>
    <xf numFmtId="0" fontId="40" fillId="3" borderId="0" xfId="12" applyFont="1" applyFill="1" applyAlignment="1">
      <alignment horizontal="left" vertical="center" wrapText="1"/>
    </xf>
    <xf numFmtId="0" fontId="26" fillId="3" borderId="0" xfId="12" applyFont="1" applyFill="1" applyAlignment="1">
      <alignment horizontal="left" vertical="top" wrapText="1"/>
    </xf>
    <xf numFmtId="0" fontId="22" fillId="3" borderId="0" xfId="12" applyFont="1" applyFill="1" applyAlignment="1">
      <alignment horizontal="left" vertical="top" wrapText="1"/>
    </xf>
    <xf numFmtId="0" fontId="39" fillId="3" borderId="0" xfId="12" applyFont="1" applyFill="1" applyAlignment="1">
      <alignment horizontal="left" vertical="top" wrapText="1"/>
    </xf>
    <xf numFmtId="0" fontId="35" fillId="5" borderId="12" xfId="13" applyFont="1" applyFill="1" applyBorder="1" applyAlignment="1">
      <alignment horizontal="center" vertical="center" wrapText="1"/>
    </xf>
    <xf numFmtId="0" fontId="35" fillId="5" borderId="13" xfId="13" applyFont="1" applyFill="1" applyBorder="1" applyAlignment="1">
      <alignment horizontal="center" vertical="center" wrapText="1"/>
    </xf>
    <xf numFmtId="0" fontId="35" fillId="5" borderId="10" xfId="13" applyFont="1" applyFill="1" applyBorder="1" applyAlignment="1">
      <alignment horizontal="center" vertical="center" wrapText="1"/>
    </xf>
    <xf numFmtId="0" fontId="35" fillId="5" borderId="11" xfId="13" applyFont="1" applyFill="1" applyBorder="1" applyAlignment="1">
      <alignment horizontal="center" vertical="center" wrapText="1"/>
    </xf>
    <xf numFmtId="0" fontId="36" fillId="3" borderId="0" xfId="12" applyFont="1" applyFill="1" applyAlignment="1">
      <alignment horizontal="left" vertical="top" wrapText="1"/>
    </xf>
    <xf numFmtId="0" fontId="39" fillId="3" borderId="0" xfId="12" quotePrefix="1" applyFont="1" applyFill="1" applyAlignment="1">
      <alignment horizontal="left" vertical="center" wrapText="1"/>
    </xf>
    <xf numFmtId="37" fontId="23" fillId="3" borderId="0" xfId="12" quotePrefix="1" applyNumberFormat="1" applyFont="1" applyFill="1" applyAlignment="1">
      <alignment horizontal="left"/>
    </xf>
    <xf numFmtId="37" fontId="23" fillId="3" borderId="0" xfId="12" applyNumberFormat="1" applyFont="1" applyFill="1" applyAlignment="1">
      <alignment horizontal="left"/>
    </xf>
    <xf numFmtId="0" fontId="35" fillId="5" borderId="12" xfId="13" applyNumberFormat="1" applyFont="1" applyFill="1" applyBorder="1" applyAlignment="1" applyProtection="1">
      <alignment horizontal="center" vertical="center" wrapText="1"/>
    </xf>
    <xf numFmtId="0" fontId="35" fillId="5" borderId="13" xfId="13" applyNumberFormat="1" applyFont="1" applyFill="1" applyBorder="1" applyAlignment="1" applyProtection="1">
      <alignment horizontal="center" vertical="center" wrapText="1"/>
    </xf>
    <xf numFmtId="0" fontId="22" fillId="3" borderId="5" xfId="0" applyFont="1" applyFill="1" applyBorder="1" applyAlignment="1">
      <alignment horizontal="left" vertical="center" wrapText="1"/>
    </xf>
    <xf numFmtId="0" fontId="22" fillId="3" borderId="5" xfId="0" applyFont="1" applyFill="1" applyBorder="1" applyAlignment="1">
      <alignment horizontal="left" vertical="center"/>
    </xf>
    <xf numFmtId="0" fontId="22" fillId="3" borderId="9" xfId="0" applyFont="1" applyFill="1" applyBorder="1" applyAlignment="1">
      <alignment horizontal="center" vertical="center"/>
    </xf>
    <xf numFmtId="0" fontId="22" fillId="3" borderId="28" xfId="0" applyFont="1" applyFill="1" applyBorder="1" applyAlignment="1">
      <alignment horizontal="center" vertical="center"/>
    </xf>
    <xf numFmtId="166" fontId="35" fillId="2" borderId="12" xfId="18" applyNumberFormat="1" applyFont="1" applyFill="1" applyBorder="1" applyAlignment="1" applyProtection="1">
      <alignment horizontal="center" vertical="center" wrapText="1"/>
    </xf>
    <xf numFmtId="166" fontId="35" fillId="2" borderId="13" xfId="18" applyNumberFormat="1" applyFont="1" applyFill="1" applyBorder="1" applyAlignment="1" applyProtection="1">
      <alignment horizontal="center" vertical="center" wrapText="1"/>
    </xf>
    <xf numFmtId="0" fontId="23" fillId="3" borderId="0" xfId="20" applyFont="1" applyFill="1" applyAlignment="1">
      <alignment horizontal="left"/>
    </xf>
    <xf numFmtId="0" fontId="23" fillId="3" borderId="0" xfId="15" applyFont="1" applyFill="1" applyAlignment="1">
      <alignment horizontal="left" vertical="top"/>
    </xf>
    <xf numFmtId="15" fontId="23" fillId="3" borderId="0" xfId="15" quotePrefix="1" applyNumberFormat="1" applyFont="1" applyFill="1" applyAlignment="1">
      <alignment horizontal="left"/>
    </xf>
    <xf numFmtId="15" fontId="23" fillId="3" borderId="0" xfId="15" applyNumberFormat="1" applyFont="1" applyFill="1" applyAlignment="1">
      <alignment horizontal="left"/>
    </xf>
    <xf numFmtId="0" fontId="35" fillId="2" borderId="12" xfId="20" applyFont="1" applyFill="1" applyBorder="1" applyAlignment="1">
      <alignment horizontal="center" vertical="center" wrapText="1"/>
    </xf>
    <xf numFmtId="0" fontId="35" fillId="2" borderId="13" xfId="20" applyFont="1" applyFill="1" applyBorder="1" applyAlignment="1">
      <alignment horizontal="center" vertical="center" wrapText="1"/>
    </xf>
    <xf numFmtId="166" fontId="35" fillId="2" borderId="10" xfId="18" applyNumberFormat="1" applyFont="1" applyFill="1" applyBorder="1" applyAlignment="1" applyProtection="1">
      <alignment horizontal="center" vertical="center" wrapText="1"/>
    </xf>
    <xf numFmtId="166" fontId="35" fillId="2" borderId="26" xfId="18" applyNumberFormat="1" applyFont="1" applyFill="1" applyBorder="1" applyAlignment="1" applyProtection="1">
      <alignment horizontal="center" vertical="center" wrapText="1"/>
    </xf>
    <xf numFmtId="166" fontId="35" fillId="2" borderId="11" xfId="18" applyNumberFormat="1" applyFont="1" applyFill="1" applyBorder="1" applyAlignment="1" applyProtection="1">
      <alignment horizontal="center" vertical="center" wrapText="1"/>
    </xf>
    <xf numFmtId="0" fontId="22" fillId="3" borderId="0" xfId="15" applyFont="1" applyFill="1" applyAlignment="1">
      <alignment horizontal="left" wrapText="1"/>
    </xf>
    <xf numFmtId="0" fontId="22" fillId="3" borderId="0" xfId="15" applyFont="1" applyFill="1" applyAlignment="1">
      <alignment horizontal="left"/>
    </xf>
    <xf numFmtId="0" fontId="26" fillId="3" borderId="0" xfId="16" applyFont="1" applyFill="1" applyAlignment="1">
      <alignment horizontal="left" vertical="center" wrapText="1"/>
    </xf>
    <xf numFmtId="0" fontId="39" fillId="3" borderId="0" xfId="15" applyFont="1" applyFill="1" applyAlignment="1">
      <alignment horizontal="left" vertical="top" wrapText="1"/>
    </xf>
    <xf numFmtId="0" fontId="23" fillId="3" borderId="0" xfId="16" applyFont="1" applyFill="1" applyAlignment="1">
      <alignment horizontal="left" vertical="center" wrapText="1"/>
    </xf>
    <xf numFmtId="0" fontId="36" fillId="3" borderId="0" xfId="15" applyFont="1" applyFill="1" applyAlignment="1">
      <alignment horizontal="left" vertical="top" wrapText="1"/>
    </xf>
    <xf numFmtId="15" fontId="39" fillId="3" borderId="0" xfId="15" applyNumberFormat="1" applyFont="1" applyFill="1" applyAlignment="1">
      <alignment horizontal="left" vertical="center" wrapText="1"/>
    </xf>
    <xf numFmtId="0" fontId="23" fillId="3" borderId="0" xfId="15" applyFont="1" applyFill="1" applyAlignment="1">
      <alignment horizontal="left" vertical="top" wrapText="1"/>
    </xf>
    <xf numFmtId="0" fontId="26" fillId="3" borderId="0" xfId="15" applyFont="1" applyFill="1" applyAlignment="1">
      <alignment horizontal="left" vertical="top" wrapText="1"/>
    </xf>
    <xf numFmtId="0" fontId="22" fillId="3" borderId="0" xfId="15" applyFont="1" applyFill="1" applyAlignment="1">
      <alignment horizontal="left" vertical="top" wrapText="1"/>
    </xf>
    <xf numFmtId="0" fontId="37" fillId="3" borderId="0" xfId="15" applyFont="1" applyFill="1" applyAlignment="1">
      <alignment horizontal="right" vertical="center" wrapText="1"/>
    </xf>
    <xf numFmtId="0" fontId="38" fillId="3" borderId="0" xfId="15" applyFont="1" applyFill="1" applyAlignment="1">
      <alignment horizontal="right" vertical="center" wrapText="1"/>
    </xf>
    <xf numFmtId="0" fontId="33" fillId="3" borderId="0" xfId="16" applyFont="1" applyFill="1" applyAlignment="1">
      <alignment horizontal="center" vertical="center" wrapText="1"/>
    </xf>
    <xf numFmtId="0" fontId="25" fillId="3" borderId="0" xfId="15" applyFont="1" applyFill="1" applyAlignment="1">
      <alignment horizontal="center" vertical="center"/>
    </xf>
  </cellXfs>
  <cellStyles count="24">
    <cellStyle name="Comma" xfId="8" builtinId="3"/>
    <cellStyle name="Comma 2" xfId="6" xr:uid="{00000000-0005-0000-0000-000001000000}"/>
    <cellStyle name="Comma 3" xfId="9" xr:uid="{00000000-0005-0000-0000-000002000000}"/>
    <cellStyle name="Comma 4" xfId="14" xr:uid="{A4DADE5F-0CFD-4958-BF61-7AE930E0AD9C}"/>
    <cellStyle name="Comma 4 2" xfId="18" xr:uid="{830187FF-6FC4-4B63-9608-36F324072990}"/>
    <cellStyle name="Currency [0] 2" xfId="5" xr:uid="{00000000-0005-0000-0000-000003000000}"/>
    <cellStyle name="Hyperlink" xfId="2" builtinId="8"/>
    <cellStyle name="Normal" xfId="0" builtinId="0"/>
    <cellStyle name="Normal 18" xfId="22" xr:uid="{E0D1111D-F470-4217-937A-028AB36E5F39}"/>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9" xr:uid="{84DD2DFD-EE87-4703-8238-BDB92A06EA11}"/>
    <cellStyle name="Normal 3 2 20" xfId="23" xr:uid="{7ACABA5F-36CB-493C-827D-875AA11AAA94}"/>
    <cellStyle name="Normal 3 3" xfId="20" xr:uid="{1253B6F3-9FDC-4A7D-BB63-6C140D05CA70}"/>
    <cellStyle name="Normal 4" xfId="12" xr:uid="{6387CE64-05F5-4E96-A2BE-F6E39976BB37}"/>
    <cellStyle name="Normal 4 2" xfId="21" xr:uid="{3E670866-6BE6-4329-BD2A-717A17D31642}"/>
    <cellStyle name="Normal 5" xfId="15" xr:uid="{7A24B68F-5217-41E7-A97D-B4D431ABB89A}"/>
    <cellStyle name="Normal 6" xfId="16" xr:uid="{F3438C86-8E31-403D-B5A3-F530D33F2590}"/>
    <cellStyle name="Normal_Bao cao tai chinh 280405" xfId="1" xr:uid="{00000000-0005-0000-0000-000009000000}"/>
    <cellStyle name="Percent 2" xfId="10" xr:uid="{00000000-0005-0000-0000-00000A000000}"/>
    <cellStyle name="Percent 3" xfId="11" xr:uid="{00000000-0005-0000-0000-00000B000000}"/>
    <cellStyle name="Percent 4" xfId="17" xr:uid="{E4C3DFDD-2B5D-45B9-9181-067F541B0808}"/>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1778000</xdr:colOff>
      <xdr:row>3</xdr:row>
      <xdr:rowOff>263010</xdr:rowOff>
    </xdr:to>
    <xdr:pic>
      <xdr:nvPicPr>
        <xdr:cNvPr id="4" name="Picture 3">
          <a:extLst>
            <a:ext uri="{FF2B5EF4-FFF2-40B4-BE49-F238E27FC236}">
              <a16:creationId xmlns:a16="http://schemas.microsoft.com/office/drawing/2014/main" id="{24E93DCA-FB0C-4C81-8245-C321AA860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78000" cy="982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1293746</xdr:colOff>
      <xdr:row>2</xdr:row>
      <xdr:rowOff>293732</xdr:rowOff>
    </xdr:to>
    <xdr:pic>
      <xdr:nvPicPr>
        <xdr:cNvPr id="4" name="Picture 3">
          <a:extLst>
            <a:ext uri="{FF2B5EF4-FFF2-40B4-BE49-F238E27FC236}">
              <a16:creationId xmlns:a16="http://schemas.microsoft.com/office/drawing/2014/main" id="{B24F673F-4B5C-4083-813E-75C2E99ED9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69996" cy="9935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2</xdr:col>
      <xdr:colOff>381001</xdr:colOff>
      <xdr:row>2</xdr:row>
      <xdr:rowOff>38070</xdr:rowOff>
    </xdr:to>
    <xdr:pic>
      <xdr:nvPicPr>
        <xdr:cNvPr id="4" name="Picture 3">
          <a:extLst>
            <a:ext uri="{FF2B5EF4-FFF2-40B4-BE49-F238E27FC236}">
              <a16:creationId xmlns:a16="http://schemas.microsoft.com/office/drawing/2014/main" id="{8EA075F2-92A7-4F03-8F22-F829674120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393658" cy="7800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8902</xdr:colOff>
      <xdr:row>0</xdr:row>
      <xdr:rowOff>8902</xdr:rowOff>
    </xdr:from>
    <xdr:to>
      <xdr:col>1</xdr:col>
      <xdr:colOff>1033554</xdr:colOff>
      <xdr:row>2</xdr:row>
      <xdr:rowOff>378943</xdr:rowOff>
    </xdr:to>
    <xdr:pic>
      <xdr:nvPicPr>
        <xdr:cNvPr id="2" name="Picture 1">
          <a:extLst>
            <a:ext uri="{FF2B5EF4-FFF2-40B4-BE49-F238E27FC236}">
              <a16:creationId xmlns:a16="http://schemas.microsoft.com/office/drawing/2014/main" id="{968FCD02-8B81-40C0-8435-9A49AF818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2" y="8902"/>
          <a:ext cx="1634252" cy="8970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1769996</xdr:colOff>
      <xdr:row>2</xdr:row>
      <xdr:rowOff>304485</xdr:rowOff>
    </xdr:to>
    <xdr:pic>
      <xdr:nvPicPr>
        <xdr:cNvPr id="4" name="Picture 3">
          <a:extLst>
            <a:ext uri="{FF2B5EF4-FFF2-40B4-BE49-F238E27FC236}">
              <a16:creationId xmlns:a16="http://schemas.microsoft.com/office/drawing/2014/main" id="{FA5B2924-AAA3-4C1A-BECD-E26D101DE1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69996" cy="9935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84667</xdr:colOff>
      <xdr:row>0</xdr:row>
      <xdr:rowOff>42334</xdr:rowOff>
    </xdr:from>
    <xdr:to>
      <xdr:col>1</xdr:col>
      <xdr:colOff>529167</xdr:colOff>
      <xdr:row>1</xdr:row>
      <xdr:rowOff>339088</xdr:rowOff>
    </xdr:to>
    <xdr:pic>
      <xdr:nvPicPr>
        <xdr:cNvPr id="3" name="Picture 2">
          <a:extLst>
            <a:ext uri="{FF2B5EF4-FFF2-40B4-BE49-F238E27FC236}">
              <a16:creationId xmlns:a16="http://schemas.microsoft.com/office/drawing/2014/main" id="{EB9FDD80-8540-49CB-9C41-B4CC945675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67" y="42334"/>
          <a:ext cx="1058333" cy="58250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63500</xdr:colOff>
      <xdr:row>0</xdr:row>
      <xdr:rowOff>21166</xdr:rowOff>
    </xdr:from>
    <xdr:to>
      <xdr:col>1</xdr:col>
      <xdr:colOff>423334</xdr:colOff>
      <xdr:row>1</xdr:row>
      <xdr:rowOff>269831</xdr:rowOff>
    </xdr:to>
    <xdr:pic>
      <xdr:nvPicPr>
        <xdr:cNvPr id="3" name="Picture 2">
          <a:extLst>
            <a:ext uri="{FF2B5EF4-FFF2-40B4-BE49-F238E27FC236}">
              <a16:creationId xmlns:a16="http://schemas.microsoft.com/office/drawing/2014/main" id="{7E17B0F5-ED49-4BAF-B7F3-43248F19B4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21166"/>
          <a:ext cx="973667" cy="5344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486834</xdr:colOff>
      <xdr:row>1</xdr:row>
      <xdr:rowOff>290632</xdr:rowOff>
    </xdr:to>
    <xdr:pic>
      <xdr:nvPicPr>
        <xdr:cNvPr id="3" name="Picture 2">
          <a:extLst>
            <a:ext uri="{FF2B5EF4-FFF2-40B4-BE49-F238E27FC236}">
              <a16:creationId xmlns:a16="http://schemas.microsoft.com/office/drawing/2014/main" id="{4E72C66A-5223-4A30-B4EF-080EEB7A53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111250" cy="6187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1224198</xdr:colOff>
      <xdr:row>1</xdr:row>
      <xdr:rowOff>531835</xdr:rowOff>
    </xdr:to>
    <xdr:pic>
      <xdr:nvPicPr>
        <xdr:cNvPr id="3" name="Picture 2">
          <a:extLst>
            <a:ext uri="{FF2B5EF4-FFF2-40B4-BE49-F238E27FC236}">
              <a16:creationId xmlns:a16="http://schemas.microsoft.com/office/drawing/2014/main" id="{609357DB-D92D-44EB-9E30-144FC9976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49169" cy="86801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617676</xdr:colOff>
      <xdr:row>1</xdr:row>
      <xdr:rowOff>296333</xdr:rowOff>
    </xdr:to>
    <xdr:pic>
      <xdr:nvPicPr>
        <xdr:cNvPr id="4" name="Picture 3">
          <a:extLst>
            <a:ext uri="{FF2B5EF4-FFF2-40B4-BE49-F238E27FC236}">
              <a16:creationId xmlns:a16="http://schemas.microsoft.com/office/drawing/2014/main" id="{70705BB5-32D1-4E05-95E8-10E914738B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09" cy="6773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35858</xdr:rowOff>
    </xdr:from>
    <xdr:to>
      <xdr:col>1</xdr:col>
      <xdr:colOff>1205495</xdr:colOff>
      <xdr:row>2</xdr:row>
      <xdr:rowOff>44824</xdr:rowOff>
    </xdr:to>
    <xdr:pic>
      <xdr:nvPicPr>
        <xdr:cNvPr id="2" name="Picture 1">
          <a:extLst>
            <a:ext uri="{FF2B5EF4-FFF2-40B4-BE49-F238E27FC236}">
              <a16:creationId xmlns:a16="http://schemas.microsoft.com/office/drawing/2014/main" id="{B901E93C-E29F-41E6-A1F6-C1B5B0B878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5858"/>
          <a:ext cx="1824620" cy="1037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tabSelected="1" view="pageBreakPreview" zoomScale="82" zoomScaleSheetLayoutView="82" workbookViewId="0">
      <selection activeCell="M41" sqref="M41"/>
    </sheetView>
  </sheetViews>
  <sheetFormatPr defaultColWidth="9.28515625" defaultRowHeight="15"/>
  <cols>
    <col min="1" max="2" width="9.28515625" style="2"/>
    <col min="3" max="3" width="34.5703125" style="2" customWidth="1"/>
    <col min="4" max="4" width="30.7109375" style="2" customWidth="1"/>
    <col min="5" max="5" width="21.28515625" style="2" customWidth="1"/>
    <col min="6" max="9" width="9.28515625" style="2"/>
    <col min="10" max="10" width="11.7109375" style="2" customWidth="1"/>
    <col min="11" max="11" width="15" style="2" customWidth="1"/>
    <col min="12" max="16384" width="9.28515625" style="2"/>
  </cols>
  <sheetData>
    <row r="1" spans="1:11" ht="15.75">
      <c r="A1" s="1" t="s">
        <v>0</v>
      </c>
      <c r="C1" s="344" t="s">
        <v>799</v>
      </c>
      <c r="D1" s="345"/>
    </row>
    <row r="2" spans="1:11">
      <c r="C2" s="260" t="s">
        <v>798</v>
      </c>
      <c r="D2" s="4"/>
    </row>
    <row r="3" spans="1:11">
      <c r="D3" s="5"/>
    </row>
    <row r="4" spans="1:11" ht="15.75">
      <c r="A4" s="1" t="s">
        <v>1</v>
      </c>
      <c r="D4" s="5"/>
    </row>
    <row r="5" spans="1:11" ht="33.75" customHeight="1">
      <c r="C5" s="6" t="s">
        <v>2</v>
      </c>
      <c r="D5" s="348" t="s">
        <v>742</v>
      </c>
      <c r="E5" s="348"/>
      <c r="F5" s="348"/>
      <c r="G5" s="348"/>
      <c r="H5" s="348"/>
      <c r="I5" s="348"/>
    </row>
    <row r="6" spans="1:11" ht="33.4" customHeight="1">
      <c r="C6" s="8" t="s">
        <v>40</v>
      </c>
      <c r="D6" s="347" t="s">
        <v>825</v>
      </c>
      <c r="E6" s="347"/>
      <c r="F6" s="347"/>
      <c r="G6" s="347"/>
      <c r="H6" s="347"/>
      <c r="I6" s="347"/>
    </row>
    <row r="7" spans="1:11" ht="15.75">
      <c r="C7" s="9" t="s">
        <v>3</v>
      </c>
      <c r="D7" s="348" t="s">
        <v>743</v>
      </c>
      <c r="E7" s="348"/>
      <c r="F7" s="348"/>
      <c r="G7" s="348"/>
      <c r="H7" s="348"/>
      <c r="I7" s="348"/>
    </row>
    <row r="8" spans="1:11" ht="15" customHeight="1">
      <c r="C8" s="10" t="s">
        <v>4</v>
      </c>
      <c r="D8" s="347" t="s">
        <v>744</v>
      </c>
      <c r="E8" s="347"/>
      <c r="F8" s="347"/>
      <c r="G8" s="347"/>
      <c r="H8" s="347"/>
      <c r="I8" s="347"/>
    </row>
    <row r="9" spans="1:11" ht="40.5" customHeight="1">
      <c r="C9" s="9" t="s">
        <v>5</v>
      </c>
      <c r="D9" s="348" t="s">
        <v>961</v>
      </c>
      <c r="E9" s="348"/>
      <c r="F9" s="348"/>
      <c r="G9" s="348"/>
      <c r="H9" s="348"/>
      <c r="I9" s="348"/>
    </row>
    <row r="10" spans="1:11" ht="33.4" customHeight="1">
      <c r="C10" s="7" t="s">
        <v>6</v>
      </c>
      <c r="D10" s="347" t="s">
        <v>962</v>
      </c>
      <c r="E10" s="347"/>
      <c r="F10" s="347"/>
      <c r="G10" s="347"/>
      <c r="H10" s="347"/>
      <c r="I10" s="347"/>
    </row>
    <row r="11" spans="1:11" ht="15.75">
      <c r="C11" s="11" t="s">
        <v>7</v>
      </c>
      <c r="D11" s="348" t="s">
        <v>979</v>
      </c>
      <c r="E11" s="348"/>
      <c r="F11" s="348"/>
      <c r="G11" s="348"/>
      <c r="H11" s="348"/>
      <c r="I11" s="348"/>
    </row>
    <row r="12" spans="1:11">
      <c r="C12" s="12" t="s">
        <v>8</v>
      </c>
      <c r="D12" s="346" t="s">
        <v>980</v>
      </c>
      <c r="E12" s="347"/>
      <c r="F12" s="347"/>
      <c r="G12" s="347"/>
      <c r="H12" s="347"/>
      <c r="I12" s="347"/>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1" t="s">
        <v>742</v>
      </c>
      <c r="G19" s="18"/>
      <c r="H19" s="18"/>
      <c r="I19" s="18"/>
      <c r="J19" s="18"/>
      <c r="K19" s="19"/>
    </row>
    <row r="20" spans="3:11" ht="15.75">
      <c r="C20" s="22" t="s">
        <v>745</v>
      </c>
      <c r="D20" s="17"/>
      <c r="F20" s="21" t="s">
        <v>746</v>
      </c>
      <c r="G20" s="18"/>
      <c r="H20" s="18"/>
      <c r="I20" s="18"/>
      <c r="J20" s="18"/>
      <c r="K20" s="19"/>
    </row>
    <row r="21" spans="3:11">
      <c r="C21" s="23" t="s">
        <v>747</v>
      </c>
      <c r="D21" s="4"/>
      <c r="F21" s="24" t="s">
        <v>826</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7" t="s">
        <v>15</v>
      </c>
      <c r="C34" s="27" t="s">
        <v>16</v>
      </c>
      <c r="D34" s="28" t="s">
        <v>17</v>
      </c>
    </row>
    <row r="35" spans="2:12" s="32" customFormat="1" ht="30">
      <c r="B35" s="29" t="s">
        <v>570</v>
      </c>
      <c r="C35" s="30" t="s">
        <v>778</v>
      </c>
      <c r="D35" s="31"/>
    </row>
    <row r="36" spans="2:12" s="32" customFormat="1">
      <c r="B36" s="29" t="s">
        <v>779</v>
      </c>
      <c r="C36" s="30" t="s">
        <v>780</v>
      </c>
      <c r="D36" s="31" t="s">
        <v>25</v>
      </c>
    </row>
    <row r="37" spans="2:12" s="32" customFormat="1">
      <c r="B37" s="29" t="s">
        <v>781</v>
      </c>
      <c r="C37" s="30" t="s">
        <v>22</v>
      </c>
      <c r="D37" s="31" t="s">
        <v>26</v>
      </c>
      <c r="J37" s="33"/>
      <c r="K37" s="34"/>
      <c r="L37" s="35"/>
    </row>
    <row r="38" spans="2:12">
      <c r="B38" s="29" t="s">
        <v>782</v>
      </c>
      <c r="C38" s="29" t="s">
        <v>34</v>
      </c>
      <c r="D38" s="31" t="s">
        <v>27</v>
      </c>
      <c r="J38" s="36"/>
      <c r="K38" s="37"/>
      <c r="L38" s="38"/>
    </row>
    <row r="39" spans="2:12" ht="30">
      <c r="B39" s="29" t="s">
        <v>783</v>
      </c>
      <c r="C39" s="30" t="s">
        <v>784</v>
      </c>
      <c r="D39" s="31" t="s">
        <v>785</v>
      </c>
    </row>
    <row r="40" spans="2:12">
      <c r="B40" s="29" t="s">
        <v>786</v>
      </c>
      <c r="C40" s="29" t="s">
        <v>23</v>
      </c>
      <c r="D40" s="31" t="s">
        <v>28</v>
      </c>
    </row>
    <row r="41" spans="2:12">
      <c r="B41" s="29" t="s">
        <v>787</v>
      </c>
      <c r="C41" s="29" t="s">
        <v>788</v>
      </c>
      <c r="D41" s="31" t="s">
        <v>789</v>
      </c>
    </row>
    <row r="42" spans="2:12" ht="30">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29">
        <v>10</v>
      </c>
      <c r="C47" s="40" t="s">
        <v>20</v>
      </c>
      <c r="D47" s="41" t="s">
        <v>36</v>
      </c>
    </row>
    <row r="48" spans="2:12">
      <c r="B48" s="29">
        <v>11</v>
      </c>
      <c r="C48" s="29" t="s">
        <v>37</v>
      </c>
      <c r="D48" s="29" t="s">
        <v>38</v>
      </c>
    </row>
    <row r="49" spans="2:4">
      <c r="B49" s="29">
        <v>12</v>
      </c>
      <c r="C49" s="29" t="s">
        <v>21</v>
      </c>
      <c r="D49" s="29" t="s">
        <v>39</v>
      </c>
    </row>
    <row r="50" spans="2:4" ht="51" customHeight="1">
      <c r="B50" s="29" t="s">
        <v>969</v>
      </c>
      <c r="C50" s="30" t="s">
        <v>970</v>
      </c>
      <c r="D50" s="29" t="s">
        <v>971</v>
      </c>
    </row>
    <row r="51" spans="2:4" ht="34.5" customHeight="1">
      <c r="B51" s="29" t="s">
        <v>972</v>
      </c>
      <c r="C51" s="30" t="s">
        <v>973</v>
      </c>
      <c r="D51" s="29" t="s">
        <v>971</v>
      </c>
    </row>
    <row r="52" spans="2:4" ht="45">
      <c r="B52" s="29" t="s">
        <v>571</v>
      </c>
      <c r="C52" s="30" t="s">
        <v>790</v>
      </c>
      <c r="D52" s="29" t="s">
        <v>791</v>
      </c>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453F3C69-D1A5-4F42-8BBE-E60E536C317B}"/>
    <hyperlink ref="D36" location="BCTinhHinhTaiChinh_06105!A1" display="BCTinhHinhTaiChinh_06105" xr:uid="{FC5F5040-EEDA-469E-AA6A-15FF3D984C08}"/>
    <hyperlink ref="D37" location="BCLCGT_06262!A1" display="BCLCGT_06262" xr:uid="{B2D1EB15-9E44-4D85-98D4-CB9B84F0BA91}"/>
  </hyperlinks>
  <pageMargins left="0.7" right="0.7" top="0.75" bottom="0.75" header="0.3" footer="0.3"/>
  <pageSetup scale="53"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95"/>
  <sheetViews>
    <sheetView view="pageBreakPreview" topLeftCell="A73" zoomScale="84" zoomScaleNormal="100" zoomScaleSheetLayoutView="84" workbookViewId="0">
      <selection activeCell="H11" sqref="H11"/>
    </sheetView>
  </sheetViews>
  <sheetFormatPr defaultColWidth="8.7109375" defaultRowHeight="12.75"/>
  <cols>
    <col min="1" max="1" width="40.28515625" style="102" customWidth="1"/>
    <col min="2" max="3" width="11.42578125" style="102" customWidth="1"/>
    <col min="4" max="4" width="31.140625" style="102" customWidth="1"/>
    <col min="5" max="5" width="35.140625" style="102" customWidth="1"/>
    <col min="6" max="7" width="8.7109375" style="76" customWidth="1"/>
    <col min="8" max="16384" width="8.7109375" style="76"/>
  </cols>
  <sheetData>
    <row r="1" spans="1:5" ht="22.9" customHeight="1">
      <c r="A1" s="357" t="s">
        <v>225</v>
      </c>
      <c r="B1" s="357"/>
      <c r="C1" s="357"/>
      <c r="D1" s="357"/>
      <c r="E1" s="357"/>
    </row>
    <row r="2" spans="1:5" ht="21.6" customHeight="1">
      <c r="A2" s="358" t="s">
        <v>231</v>
      </c>
      <c r="B2" s="358"/>
      <c r="C2" s="358"/>
      <c r="D2" s="358"/>
      <c r="E2" s="358"/>
    </row>
    <row r="3" spans="1:5">
      <c r="A3" s="359" t="s">
        <v>104</v>
      </c>
      <c r="B3" s="359"/>
      <c r="C3" s="359"/>
      <c r="D3" s="359"/>
      <c r="E3" s="359"/>
    </row>
    <row r="4" spans="1:5" ht="31.15" customHeight="1">
      <c r="A4" s="359"/>
      <c r="B4" s="359"/>
      <c r="C4" s="359"/>
      <c r="D4" s="359"/>
      <c r="E4" s="359"/>
    </row>
    <row r="5" spans="1:5" ht="16.899999999999999" customHeight="1">
      <c r="A5" s="360" t="s">
        <v>798</v>
      </c>
      <c r="B5" s="360"/>
      <c r="C5" s="360"/>
      <c r="D5" s="360"/>
      <c r="E5" s="360"/>
    </row>
    <row r="6" spans="1:5" ht="16.899999999999999" customHeight="1"/>
    <row r="7" spans="1:5">
      <c r="A7" s="75" t="s">
        <v>2</v>
      </c>
      <c r="B7" s="361" t="s">
        <v>742</v>
      </c>
      <c r="C7" s="361"/>
      <c r="D7" s="361"/>
      <c r="E7" s="361"/>
    </row>
    <row r="8" spans="1:5">
      <c r="A8" s="102" t="s">
        <v>40</v>
      </c>
      <c r="B8" s="354" t="s">
        <v>825</v>
      </c>
      <c r="C8" s="354"/>
      <c r="D8" s="354"/>
      <c r="E8" s="354"/>
    </row>
    <row r="9" spans="1:5" ht="16.899999999999999" customHeight="1">
      <c r="A9" s="75" t="s">
        <v>3</v>
      </c>
      <c r="B9" s="361" t="s">
        <v>743</v>
      </c>
      <c r="C9" s="361"/>
      <c r="D9" s="361"/>
      <c r="E9" s="361"/>
    </row>
    <row r="10" spans="1:5" ht="16.899999999999999" customHeight="1">
      <c r="A10" s="102" t="s">
        <v>4</v>
      </c>
      <c r="B10" s="354" t="s">
        <v>744</v>
      </c>
      <c r="C10" s="354"/>
      <c r="D10" s="354"/>
      <c r="E10" s="354"/>
    </row>
    <row r="11" spans="1:5" ht="30" customHeight="1">
      <c r="A11" s="75" t="s">
        <v>5</v>
      </c>
      <c r="B11" s="361" t="s">
        <v>963</v>
      </c>
      <c r="C11" s="361"/>
      <c r="D11" s="361"/>
      <c r="E11" s="361"/>
    </row>
    <row r="12" spans="1:5" ht="27.4" customHeight="1">
      <c r="A12" s="102" t="s">
        <v>6</v>
      </c>
      <c r="B12" s="354" t="s">
        <v>964</v>
      </c>
      <c r="C12" s="354"/>
      <c r="D12" s="354"/>
      <c r="E12" s="354"/>
    </row>
    <row r="13" spans="1:5" ht="16.899999999999999" customHeight="1">
      <c r="A13" s="75" t="s">
        <v>7</v>
      </c>
      <c r="B13" s="361" t="s">
        <v>979</v>
      </c>
      <c r="C13" s="361"/>
      <c r="D13" s="361"/>
      <c r="E13" s="361"/>
    </row>
    <row r="14" spans="1:5" ht="16.899999999999999" customHeight="1">
      <c r="A14" s="102" t="s">
        <v>8</v>
      </c>
      <c r="B14" s="356" t="s">
        <v>980</v>
      </c>
      <c r="C14" s="354"/>
      <c r="D14" s="354"/>
      <c r="E14" s="354"/>
    </row>
    <row r="16" spans="1:5" ht="35.65" customHeight="1">
      <c r="A16" s="351" t="s">
        <v>105</v>
      </c>
      <c r="B16" s="351" t="s">
        <v>106</v>
      </c>
      <c r="C16" s="351" t="s">
        <v>107</v>
      </c>
      <c r="D16" s="351" t="s">
        <v>800</v>
      </c>
      <c r="E16" s="351" t="s">
        <v>749</v>
      </c>
    </row>
    <row r="17" spans="1:8">
      <c r="A17" s="352"/>
      <c r="B17" s="352"/>
      <c r="C17" s="352"/>
      <c r="D17" s="352"/>
      <c r="E17" s="352"/>
    </row>
    <row r="18" spans="1:8" s="87" customFormat="1" ht="39" customHeight="1">
      <c r="A18" s="119" t="s">
        <v>305</v>
      </c>
      <c r="B18" s="120" t="s">
        <v>108</v>
      </c>
      <c r="C18" s="107"/>
      <c r="D18" s="205">
        <v>375116229200</v>
      </c>
      <c r="E18" s="205">
        <v>92143005371</v>
      </c>
    </row>
    <row r="19" spans="1:8" ht="39" customHeight="1">
      <c r="A19" s="121" t="s">
        <v>306</v>
      </c>
      <c r="B19" s="122" t="s">
        <v>109</v>
      </c>
      <c r="C19" s="111"/>
      <c r="D19" s="89">
        <v>7453742418</v>
      </c>
      <c r="E19" s="89">
        <v>8327731688</v>
      </c>
      <c r="G19" s="87"/>
      <c r="H19" s="87"/>
    </row>
    <row r="20" spans="1:8" ht="39" customHeight="1">
      <c r="A20" s="121" t="s">
        <v>307</v>
      </c>
      <c r="B20" s="122" t="s">
        <v>110</v>
      </c>
      <c r="C20" s="111"/>
      <c r="D20" s="89">
        <v>8106556020</v>
      </c>
      <c r="E20" s="89">
        <v>8747813717</v>
      </c>
      <c r="G20" s="87"/>
      <c r="H20" s="87"/>
    </row>
    <row r="21" spans="1:8" ht="39" customHeight="1">
      <c r="A21" s="121" t="s">
        <v>232</v>
      </c>
      <c r="B21" s="122" t="s">
        <v>111</v>
      </c>
      <c r="C21" s="111"/>
      <c r="D21" s="89">
        <v>494884789</v>
      </c>
      <c r="E21" s="89">
        <v>425506695</v>
      </c>
      <c r="G21" s="87"/>
      <c r="H21" s="87"/>
    </row>
    <row r="22" spans="1:8" ht="39" customHeight="1">
      <c r="A22" s="121" t="s">
        <v>240</v>
      </c>
      <c r="B22" s="122" t="s">
        <v>112</v>
      </c>
      <c r="C22" s="111"/>
      <c r="D22" s="89">
        <v>2833041093</v>
      </c>
      <c r="E22" s="89">
        <v>5333171233</v>
      </c>
      <c r="G22" s="87"/>
      <c r="H22" s="87"/>
    </row>
    <row r="23" spans="1:8" ht="39" customHeight="1">
      <c r="A23" s="123" t="s">
        <v>308</v>
      </c>
      <c r="B23" s="122" t="s">
        <v>226</v>
      </c>
      <c r="C23" s="111"/>
      <c r="D23" s="89">
        <v>4778630138</v>
      </c>
      <c r="E23" s="89">
        <v>2989135789</v>
      </c>
      <c r="G23" s="87"/>
      <c r="H23" s="87"/>
    </row>
    <row r="24" spans="1:8" ht="39" customHeight="1">
      <c r="A24" s="111" t="s">
        <v>229</v>
      </c>
      <c r="B24" s="122" t="s">
        <v>228</v>
      </c>
      <c r="C24" s="111"/>
      <c r="D24" s="89">
        <v>0</v>
      </c>
      <c r="E24" s="89">
        <v>0</v>
      </c>
      <c r="G24" s="87"/>
      <c r="H24" s="87"/>
    </row>
    <row r="25" spans="1:8" ht="39" customHeight="1">
      <c r="A25" s="111" t="s">
        <v>233</v>
      </c>
      <c r="B25" s="122" t="s">
        <v>113</v>
      </c>
      <c r="C25" s="111"/>
      <c r="D25" s="89">
        <v>282915284711</v>
      </c>
      <c r="E25" s="89">
        <v>11977629632</v>
      </c>
      <c r="G25" s="87"/>
      <c r="H25" s="87"/>
    </row>
    <row r="26" spans="1:8" ht="56.65" customHeight="1">
      <c r="A26" s="111" t="s">
        <v>234</v>
      </c>
      <c r="B26" s="122" t="s">
        <v>114</v>
      </c>
      <c r="C26" s="111"/>
      <c r="D26" s="89">
        <v>76640646051</v>
      </c>
      <c r="E26" s="89">
        <v>63089830334</v>
      </c>
      <c r="G26" s="87"/>
      <c r="H26" s="87"/>
    </row>
    <row r="27" spans="1:8" ht="39" customHeight="1">
      <c r="A27" s="121" t="s">
        <v>309</v>
      </c>
      <c r="B27" s="122" t="s">
        <v>115</v>
      </c>
      <c r="C27" s="111"/>
      <c r="D27" s="89">
        <v>0</v>
      </c>
      <c r="E27" s="89">
        <v>0</v>
      </c>
      <c r="G27" s="87"/>
      <c r="H27" s="87"/>
    </row>
    <row r="28" spans="1:8" ht="55.5" customHeight="1">
      <c r="A28" s="111" t="s">
        <v>235</v>
      </c>
      <c r="B28" s="122" t="s">
        <v>116</v>
      </c>
      <c r="C28" s="111"/>
      <c r="D28" s="89">
        <v>0</v>
      </c>
      <c r="E28" s="89">
        <v>0</v>
      </c>
      <c r="G28" s="87"/>
      <c r="H28" s="87"/>
    </row>
    <row r="29" spans="1:8" ht="39" customHeight="1">
      <c r="A29" s="121" t="s">
        <v>310</v>
      </c>
      <c r="B29" s="122" t="s">
        <v>117</v>
      </c>
      <c r="C29" s="111"/>
      <c r="D29" s="89">
        <v>0</v>
      </c>
      <c r="E29" s="89">
        <v>0</v>
      </c>
      <c r="G29" s="87"/>
      <c r="H29" s="87"/>
    </row>
    <row r="30" spans="1:8" ht="85.5" customHeight="1">
      <c r="A30" s="111" t="s">
        <v>311</v>
      </c>
      <c r="B30" s="122" t="s">
        <v>118</v>
      </c>
      <c r="C30" s="111"/>
      <c r="D30" s="89">
        <v>0</v>
      </c>
      <c r="E30" s="89">
        <v>0</v>
      </c>
      <c r="G30" s="87"/>
      <c r="H30" s="87"/>
    </row>
    <row r="31" spans="1:8" s="87" customFormat="1" ht="39" customHeight="1">
      <c r="A31" s="119" t="s">
        <v>257</v>
      </c>
      <c r="B31" s="120" t="s">
        <v>119</v>
      </c>
      <c r="C31" s="107"/>
      <c r="D31" s="205">
        <v>4141878170</v>
      </c>
      <c r="E31" s="205">
        <v>1200730650</v>
      </c>
    </row>
    <row r="32" spans="1:8" ht="39" customHeight="1">
      <c r="A32" s="111" t="s">
        <v>120</v>
      </c>
      <c r="B32" s="122" t="s">
        <v>121</v>
      </c>
      <c r="C32" s="111"/>
      <c r="D32" s="89">
        <v>4141878170</v>
      </c>
      <c r="E32" s="89">
        <v>1200730650</v>
      </c>
      <c r="G32" s="87"/>
      <c r="H32" s="87"/>
    </row>
    <row r="33" spans="1:8" ht="39" customHeight="1">
      <c r="A33" s="111" t="s">
        <v>122</v>
      </c>
      <c r="B33" s="122" t="s">
        <v>123</v>
      </c>
      <c r="C33" s="111"/>
      <c r="D33" s="89">
        <v>4135296975</v>
      </c>
      <c r="E33" s="89">
        <v>1196145939</v>
      </c>
      <c r="G33" s="87"/>
      <c r="H33" s="87"/>
    </row>
    <row r="34" spans="1:8" ht="39" customHeight="1">
      <c r="A34" s="111" t="s">
        <v>69</v>
      </c>
      <c r="B34" s="122" t="s">
        <v>124</v>
      </c>
      <c r="C34" s="111"/>
      <c r="D34" s="89">
        <v>6581195</v>
      </c>
      <c r="E34" s="89">
        <v>4584711</v>
      </c>
      <c r="G34" s="87"/>
      <c r="H34" s="87"/>
    </row>
    <row r="35" spans="1:8" ht="43.9" customHeight="1">
      <c r="A35" s="111" t="s">
        <v>125</v>
      </c>
      <c r="B35" s="122" t="s">
        <v>126</v>
      </c>
      <c r="C35" s="111"/>
      <c r="D35" s="89">
        <v>0</v>
      </c>
      <c r="E35" s="89">
        <v>0</v>
      </c>
      <c r="G35" s="87"/>
      <c r="H35" s="87"/>
    </row>
    <row r="36" spans="1:8" ht="39" customHeight="1">
      <c r="A36" s="111" t="s">
        <v>127</v>
      </c>
      <c r="B36" s="122" t="s">
        <v>128</v>
      </c>
      <c r="C36" s="111"/>
      <c r="D36" s="89">
        <v>0</v>
      </c>
      <c r="E36" s="89">
        <v>0</v>
      </c>
      <c r="G36" s="87"/>
      <c r="H36" s="87"/>
    </row>
    <row r="37" spans="1:8" ht="69.400000000000006" customHeight="1">
      <c r="A37" s="111" t="s">
        <v>129</v>
      </c>
      <c r="B37" s="122" t="s">
        <v>130</v>
      </c>
      <c r="C37" s="111"/>
      <c r="D37" s="89">
        <v>0</v>
      </c>
      <c r="E37" s="89">
        <v>0</v>
      </c>
      <c r="G37" s="87"/>
      <c r="H37" s="87"/>
    </row>
    <row r="38" spans="1:8" ht="39" customHeight="1">
      <c r="A38" s="121" t="s">
        <v>258</v>
      </c>
      <c r="B38" s="122" t="s">
        <v>131</v>
      </c>
      <c r="C38" s="111"/>
      <c r="D38" s="89">
        <v>0</v>
      </c>
      <c r="E38" s="89">
        <v>0</v>
      </c>
      <c r="G38" s="87"/>
      <c r="H38" s="87"/>
    </row>
    <row r="39" spans="1:8" s="87" customFormat="1" ht="39" customHeight="1">
      <c r="A39" s="119" t="s">
        <v>259</v>
      </c>
      <c r="B39" s="120" t="s">
        <v>132</v>
      </c>
      <c r="C39" s="107"/>
      <c r="D39" s="110">
        <v>19751163100</v>
      </c>
      <c r="E39" s="110">
        <v>13329506685</v>
      </c>
    </row>
    <row r="40" spans="1:8" ht="39" customHeight="1">
      <c r="A40" s="111" t="s">
        <v>312</v>
      </c>
      <c r="B40" s="122" t="s">
        <v>133</v>
      </c>
      <c r="C40" s="111"/>
      <c r="D40" s="89">
        <v>17894876572</v>
      </c>
      <c r="E40" s="89">
        <v>11623445526</v>
      </c>
      <c r="G40" s="87"/>
      <c r="H40" s="87"/>
    </row>
    <row r="41" spans="1:8" ht="39" customHeight="1">
      <c r="A41" s="111" t="s">
        <v>134</v>
      </c>
      <c r="B41" s="122" t="s">
        <v>135</v>
      </c>
      <c r="C41" s="111"/>
      <c r="D41" s="89">
        <v>547537496</v>
      </c>
      <c r="E41" s="89">
        <v>555776642</v>
      </c>
      <c r="G41" s="87"/>
      <c r="H41" s="87"/>
    </row>
    <row r="42" spans="1:8" ht="39" customHeight="1">
      <c r="A42" s="116" t="s">
        <v>50</v>
      </c>
      <c r="B42" s="124" t="s">
        <v>136</v>
      </c>
      <c r="C42" s="111"/>
      <c r="D42" s="89">
        <v>425046893</v>
      </c>
      <c r="E42" s="89">
        <v>327652862</v>
      </c>
      <c r="G42" s="87"/>
      <c r="H42" s="87"/>
    </row>
    <row r="43" spans="1:8" ht="39" customHeight="1">
      <c r="A43" s="116" t="s">
        <v>51</v>
      </c>
      <c r="B43" s="124" t="s">
        <v>137</v>
      </c>
      <c r="C43" s="111"/>
      <c r="D43" s="89">
        <v>79400000</v>
      </c>
      <c r="E43" s="89">
        <v>105000000</v>
      </c>
      <c r="G43" s="87"/>
      <c r="H43" s="87"/>
    </row>
    <row r="44" spans="1:8" ht="59.65" customHeight="1">
      <c r="A44" s="116" t="s">
        <v>284</v>
      </c>
      <c r="B44" s="124" t="s">
        <v>138</v>
      </c>
      <c r="C44" s="111"/>
      <c r="D44" s="89">
        <v>43090603</v>
      </c>
      <c r="E44" s="89">
        <v>123123780</v>
      </c>
      <c r="G44" s="87"/>
      <c r="H44" s="87"/>
    </row>
    <row r="45" spans="1:8" ht="39" customHeight="1">
      <c r="A45" s="111" t="s">
        <v>139</v>
      </c>
      <c r="B45" s="122" t="s">
        <v>140</v>
      </c>
      <c r="C45" s="111"/>
      <c r="D45" s="89">
        <v>418953768</v>
      </c>
      <c r="E45" s="89">
        <v>314319573</v>
      </c>
      <c r="G45" s="87"/>
      <c r="H45" s="87"/>
    </row>
    <row r="46" spans="1:8" ht="39" customHeight="1">
      <c r="A46" s="111" t="s">
        <v>141</v>
      </c>
      <c r="B46" s="122" t="s">
        <v>142</v>
      </c>
      <c r="C46" s="111"/>
      <c r="D46" s="89">
        <v>252363637</v>
      </c>
      <c r="E46" s="89">
        <v>163924433</v>
      </c>
      <c r="G46" s="87"/>
      <c r="H46" s="87"/>
    </row>
    <row r="47" spans="1:8" ht="39" customHeight="1">
      <c r="A47" s="111" t="s">
        <v>143</v>
      </c>
      <c r="B47" s="122" t="s">
        <v>144</v>
      </c>
      <c r="C47" s="111"/>
      <c r="D47" s="89">
        <v>132000000</v>
      </c>
      <c r="E47" s="89">
        <v>132000000</v>
      </c>
      <c r="G47" s="87"/>
      <c r="H47" s="87"/>
    </row>
    <row r="48" spans="1:8" ht="48" customHeight="1">
      <c r="A48" s="111" t="s">
        <v>145</v>
      </c>
      <c r="B48" s="122" t="s">
        <v>146</v>
      </c>
      <c r="C48" s="111"/>
      <c r="D48" s="89">
        <v>0</v>
      </c>
      <c r="E48" s="89">
        <v>0</v>
      </c>
      <c r="G48" s="87"/>
      <c r="H48" s="87"/>
    </row>
    <row r="49" spans="1:8" ht="57.4" customHeight="1">
      <c r="A49" s="116" t="s">
        <v>313</v>
      </c>
      <c r="B49" s="124" t="s">
        <v>147</v>
      </c>
      <c r="C49" s="111"/>
      <c r="D49" s="89">
        <v>0</v>
      </c>
      <c r="E49" s="89">
        <v>0</v>
      </c>
      <c r="G49" s="87"/>
      <c r="H49" s="87"/>
    </row>
    <row r="50" spans="1:8" ht="46.9" customHeight="1">
      <c r="A50" s="116" t="s">
        <v>314</v>
      </c>
      <c r="B50" s="124" t="s">
        <v>148</v>
      </c>
      <c r="C50" s="111"/>
      <c r="D50" s="89">
        <v>0</v>
      </c>
      <c r="E50" s="89">
        <v>0</v>
      </c>
      <c r="G50" s="87"/>
      <c r="H50" s="87"/>
    </row>
    <row r="51" spans="1:8" ht="39" customHeight="1">
      <c r="A51" s="111" t="s">
        <v>149</v>
      </c>
      <c r="B51" s="122" t="s">
        <v>150</v>
      </c>
      <c r="C51" s="111"/>
      <c r="D51" s="89">
        <v>1353506</v>
      </c>
      <c r="E51" s="89">
        <v>-34668822</v>
      </c>
      <c r="G51" s="87"/>
      <c r="H51" s="87"/>
    </row>
    <row r="52" spans="1:8" ht="39" customHeight="1">
      <c r="A52" s="121" t="s">
        <v>260</v>
      </c>
      <c r="B52" s="122" t="s">
        <v>151</v>
      </c>
      <c r="C52" s="111"/>
      <c r="D52" s="89">
        <v>184088823</v>
      </c>
      <c r="E52" s="89">
        <v>185537000</v>
      </c>
      <c r="G52" s="87"/>
      <c r="H52" s="87"/>
    </row>
    <row r="53" spans="1:8" ht="39" customHeight="1">
      <c r="A53" s="111" t="s">
        <v>152</v>
      </c>
      <c r="B53" s="122" t="s">
        <v>153</v>
      </c>
      <c r="C53" s="111"/>
      <c r="D53" s="89">
        <v>0</v>
      </c>
      <c r="E53" s="89">
        <v>0</v>
      </c>
      <c r="G53" s="87"/>
      <c r="H53" s="87"/>
    </row>
    <row r="54" spans="1:8" ht="39" customHeight="1">
      <c r="A54" s="121" t="s">
        <v>261</v>
      </c>
      <c r="B54" s="122" t="s">
        <v>154</v>
      </c>
      <c r="C54" s="111"/>
      <c r="D54" s="89">
        <v>319989298</v>
      </c>
      <c r="E54" s="89">
        <v>389172333</v>
      </c>
      <c r="G54" s="87"/>
      <c r="H54" s="87"/>
    </row>
    <row r="55" spans="1:8" ht="39" customHeight="1">
      <c r="A55" s="116" t="s">
        <v>65</v>
      </c>
      <c r="B55" s="124" t="s">
        <v>155</v>
      </c>
      <c r="C55" s="111"/>
      <c r="D55" s="89">
        <v>221000000</v>
      </c>
      <c r="E55" s="89">
        <v>221000000</v>
      </c>
      <c r="G55" s="87"/>
      <c r="H55" s="87"/>
    </row>
    <row r="56" spans="1:8" ht="46.9" customHeight="1">
      <c r="A56" s="116" t="s">
        <v>156</v>
      </c>
      <c r="B56" s="124" t="s">
        <v>157</v>
      </c>
      <c r="C56" s="111"/>
      <c r="D56" s="89">
        <v>0</v>
      </c>
      <c r="E56" s="89">
        <v>0</v>
      </c>
      <c r="G56" s="87"/>
      <c r="H56" s="87"/>
    </row>
    <row r="57" spans="1:8" ht="39" customHeight="1">
      <c r="A57" s="116" t="s">
        <v>158</v>
      </c>
      <c r="B57" s="124" t="s">
        <v>159</v>
      </c>
      <c r="C57" s="111"/>
      <c r="D57" s="89">
        <v>0</v>
      </c>
      <c r="E57" s="89">
        <v>0</v>
      </c>
      <c r="G57" s="87"/>
      <c r="H57" s="87"/>
    </row>
    <row r="58" spans="1:8" ht="39" customHeight="1">
      <c r="A58" s="125" t="s">
        <v>262</v>
      </c>
      <c r="B58" s="124" t="s">
        <v>160</v>
      </c>
      <c r="C58" s="111"/>
      <c r="D58" s="89">
        <v>84325000</v>
      </c>
      <c r="E58" s="89">
        <v>138750000</v>
      </c>
      <c r="G58" s="87"/>
      <c r="H58" s="87"/>
    </row>
    <row r="59" spans="1:8" ht="39" customHeight="1">
      <c r="A59" s="116" t="s">
        <v>66</v>
      </c>
      <c r="B59" s="124" t="s">
        <v>161</v>
      </c>
      <c r="C59" s="111"/>
      <c r="D59" s="89">
        <v>0</v>
      </c>
      <c r="E59" s="89">
        <v>0</v>
      </c>
      <c r="G59" s="87"/>
      <c r="H59" s="87"/>
    </row>
    <row r="60" spans="1:8" ht="39" customHeight="1">
      <c r="A60" s="125" t="s">
        <v>263</v>
      </c>
      <c r="B60" s="124" t="s">
        <v>162</v>
      </c>
      <c r="C60" s="111"/>
      <c r="D60" s="89">
        <v>0</v>
      </c>
      <c r="E60" s="89">
        <v>0</v>
      </c>
      <c r="G60" s="87"/>
      <c r="H60" s="87"/>
    </row>
    <row r="61" spans="1:8" ht="39" customHeight="1">
      <c r="A61" s="125" t="s">
        <v>264</v>
      </c>
      <c r="B61" s="124" t="s">
        <v>163</v>
      </c>
      <c r="C61" s="111"/>
      <c r="D61" s="89">
        <v>0</v>
      </c>
      <c r="E61" s="89">
        <v>6739726</v>
      </c>
      <c r="G61" s="87"/>
      <c r="H61" s="87"/>
    </row>
    <row r="62" spans="1:8" ht="39" customHeight="1">
      <c r="A62" s="116" t="s">
        <v>73</v>
      </c>
      <c r="B62" s="124" t="s">
        <v>164</v>
      </c>
      <c r="C62" s="111"/>
      <c r="D62" s="89">
        <v>12464298</v>
      </c>
      <c r="E62" s="89">
        <v>21582607</v>
      </c>
      <c r="G62" s="87"/>
      <c r="H62" s="87"/>
    </row>
    <row r="63" spans="1:8" ht="39" customHeight="1">
      <c r="A63" s="116" t="s">
        <v>67</v>
      </c>
      <c r="B63" s="124" t="s">
        <v>165</v>
      </c>
      <c r="C63" s="111"/>
      <c r="D63" s="89">
        <v>0</v>
      </c>
      <c r="E63" s="89">
        <v>0</v>
      </c>
      <c r="G63" s="87"/>
      <c r="H63" s="87"/>
    </row>
    <row r="64" spans="1:8" ht="39" customHeight="1">
      <c r="A64" s="116" t="s">
        <v>248</v>
      </c>
      <c r="B64" s="124" t="s">
        <v>166</v>
      </c>
      <c r="C64" s="111"/>
      <c r="D64" s="89">
        <v>0</v>
      </c>
      <c r="E64" s="89">
        <v>0</v>
      </c>
      <c r="G64" s="87"/>
      <c r="H64" s="87"/>
    </row>
    <row r="65" spans="1:8" ht="39" customHeight="1">
      <c r="A65" s="126" t="s">
        <v>293</v>
      </c>
      <c r="B65" s="124" t="s">
        <v>167</v>
      </c>
      <c r="C65" s="111"/>
      <c r="D65" s="89">
        <v>2200000</v>
      </c>
      <c r="E65" s="89">
        <v>1100000</v>
      </c>
      <c r="G65" s="87"/>
      <c r="H65" s="87"/>
    </row>
    <row r="66" spans="1:8" ht="39" customHeight="1">
      <c r="A66" s="127" t="s">
        <v>265</v>
      </c>
      <c r="B66" s="124" t="s">
        <v>168</v>
      </c>
      <c r="C66" s="111"/>
      <c r="D66" s="89">
        <v>0</v>
      </c>
      <c r="E66" s="89">
        <v>0</v>
      </c>
      <c r="G66" s="87"/>
      <c r="H66" s="87"/>
    </row>
    <row r="67" spans="1:8" ht="39" customHeight="1">
      <c r="A67" s="125" t="s">
        <v>266</v>
      </c>
      <c r="B67" s="124" t="s">
        <v>169</v>
      </c>
      <c r="C67" s="111"/>
      <c r="D67" s="89">
        <v>0</v>
      </c>
      <c r="E67" s="89">
        <v>0</v>
      </c>
      <c r="G67" s="87"/>
      <c r="H67" s="87"/>
    </row>
    <row r="68" spans="1:8" ht="39" customHeight="1">
      <c r="A68" s="116" t="s">
        <v>170</v>
      </c>
      <c r="B68" s="124" t="s">
        <v>171</v>
      </c>
      <c r="C68" s="111"/>
      <c r="D68" s="89">
        <v>0</v>
      </c>
      <c r="E68" s="89">
        <v>0</v>
      </c>
      <c r="G68" s="87"/>
      <c r="H68" s="87"/>
    </row>
    <row r="69" spans="1:8" s="87" customFormat="1" ht="49.15" customHeight="1">
      <c r="A69" s="107" t="s">
        <v>172</v>
      </c>
      <c r="B69" s="120" t="s">
        <v>173</v>
      </c>
      <c r="C69" s="107"/>
      <c r="D69" s="205">
        <v>351223187930</v>
      </c>
      <c r="E69" s="205">
        <v>77612768036</v>
      </c>
    </row>
    <row r="70" spans="1:8" s="87" customFormat="1" ht="39" customHeight="1">
      <c r="A70" s="107" t="s">
        <v>174</v>
      </c>
      <c r="B70" s="120" t="s">
        <v>175</v>
      </c>
      <c r="C70" s="107"/>
      <c r="D70" s="205">
        <v>0</v>
      </c>
      <c r="E70" s="205">
        <v>0</v>
      </c>
    </row>
    <row r="71" spans="1:8" ht="39" customHeight="1">
      <c r="A71" s="121" t="s">
        <v>315</v>
      </c>
      <c r="B71" s="122" t="s">
        <v>176</v>
      </c>
      <c r="C71" s="111"/>
      <c r="D71" s="89">
        <v>0</v>
      </c>
      <c r="E71" s="89">
        <v>0</v>
      </c>
      <c r="G71" s="87"/>
      <c r="H71" s="87"/>
    </row>
    <row r="72" spans="1:8" ht="39" customHeight="1">
      <c r="A72" s="121" t="s">
        <v>267</v>
      </c>
      <c r="B72" s="122" t="s">
        <v>177</v>
      </c>
      <c r="C72" s="111"/>
      <c r="D72" s="89">
        <v>0</v>
      </c>
      <c r="E72" s="89">
        <v>0</v>
      </c>
      <c r="G72" s="87"/>
      <c r="H72" s="87"/>
    </row>
    <row r="73" spans="1:8" s="87" customFormat="1" ht="58.15" customHeight="1">
      <c r="A73" s="107" t="s">
        <v>557</v>
      </c>
      <c r="B73" s="120" t="s">
        <v>178</v>
      </c>
      <c r="C73" s="107"/>
      <c r="D73" s="205">
        <v>351223187930</v>
      </c>
      <c r="E73" s="205">
        <v>77612768036</v>
      </c>
    </row>
    <row r="74" spans="1:8" ht="39" customHeight="1">
      <c r="A74" s="111" t="s">
        <v>179</v>
      </c>
      <c r="B74" s="122" t="s">
        <v>180</v>
      </c>
      <c r="C74" s="111"/>
      <c r="D74" s="89">
        <v>274582541879</v>
      </c>
      <c r="E74" s="89">
        <v>14522937702</v>
      </c>
      <c r="G74" s="87"/>
      <c r="H74" s="87"/>
    </row>
    <row r="75" spans="1:8" ht="39" customHeight="1">
      <c r="A75" s="111" t="s">
        <v>181</v>
      </c>
      <c r="B75" s="122" t="s">
        <v>182</v>
      </c>
      <c r="C75" s="111"/>
      <c r="D75" s="89">
        <v>76640646051</v>
      </c>
      <c r="E75" s="89">
        <v>63089830334</v>
      </c>
      <c r="G75" s="87"/>
      <c r="H75" s="87"/>
    </row>
    <row r="76" spans="1:8" s="87" customFormat="1" ht="39" customHeight="1">
      <c r="A76" s="107" t="s">
        <v>183</v>
      </c>
      <c r="B76" s="120" t="s">
        <v>184</v>
      </c>
      <c r="C76" s="107"/>
      <c r="D76" s="205">
        <v>0</v>
      </c>
      <c r="E76" s="205">
        <v>0</v>
      </c>
    </row>
    <row r="77" spans="1:8" s="87" customFormat="1" ht="55.9" customHeight="1">
      <c r="A77" s="107" t="s">
        <v>558</v>
      </c>
      <c r="B77" s="120" t="s">
        <v>185</v>
      </c>
      <c r="C77" s="107"/>
      <c r="D77" s="205">
        <v>351223187930</v>
      </c>
      <c r="E77" s="205">
        <v>77612768036</v>
      </c>
    </row>
    <row r="79" spans="1:8" ht="12.4" customHeight="1">
      <c r="A79" s="353"/>
      <c r="B79" s="353"/>
      <c r="C79" s="353"/>
      <c r="D79" s="353"/>
      <c r="E79" s="353"/>
    </row>
    <row r="80" spans="1:8" ht="61.5" customHeight="1">
      <c r="A80" s="354" t="s">
        <v>965</v>
      </c>
      <c r="B80" s="354"/>
      <c r="C80" s="354"/>
      <c r="D80" s="354"/>
      <c r="E80" s="354"/>
    </row>
    <row r="81" spans="1:5" ht="25.15" customHeight="1">
      <c r="A81" s="103" t="s">
        <v>186</v>
      </c>
      <c r="B81" s="355" t="s">
        <v>187</v>
      </c>
      <c r="C81" s="355"/>
      <c r="D81" s="355"/>
      <c r="E81" s="355"/>
    </row>
    <row r="91" spans="1:5">
      <c r="A91" s="151" t="s">
        <v>576</v>
      </c>
      <c r="B91" s="349" t="s">
        <v>576</v>
      </c>
      <c r="C91" s="349"/>
      <c r="D91" s="349"/>
      <c r="E91" s="100" t="s">
        <v>573</v>
      </c>
    </row>
    <row r="92" spans="1:5" ht="16.899999999999999" customHeight="1">
      <c r="A92" s="192" t="s">
        <v>827</v>
      </c>
      <c r="B92" s="350" t="s">
        <v>792</v>
      </c>
      <c r="C92" s="350"/>
      <c r="D92" s="350"/>
      <c r="E92" s="192" t="s">
        <v>746</v>
      </c>
    </row>
    <row r="93" spans="1:5" ht="16.899999999999999" customHeight="1">
      <c r="A93" s="128" t="s">
        <v>750</v>
      </c>
      <c r="B93" s="349" t="s">
        <v>793</v>
      </c>
      <c r="C93" s="349"/>
      <c r="D93" s="349"/>
      <c r="E93" s="195" t="s">
        <v>826</v>
      </c>
    </row>
    <row r="94" spans="1:5">
      <c r="A94" s="129"/>
      <c r="B94" s="100"/>
      <c r="C94" s="100"/>
      <c r="D94" s="129"/>
      <c r="E94" s="100"/>
    </row>
    <row r="95" spans="1:5">
      <c r="A95" s="100"/>
      <c r="B95" s="100"/>
      <c r="C95" s="100"/>
      <c r="D95" s="100"/>
      <c r="E95" s="100"/>
    </row>
  </sheetData>
  <mergeCells count="23">
    <mergeCell ref="B14:E14"/>
    <mergeCell ref="B8:E8"/>
    <mergeCell ref="A1:E1"/>
    <mergeCell ref="A2:E2"/>
    <mergeCell ref="A3:E4"/>
    <mergeCell ref="A5:E5"/>
    <mergeCell ref="B7:E7"/>
    <mergeCell ref="B9:E9"/>
    <mergeCell ref="B10:E10"/>
    <mergeCell ref="B11:E11"/>
    <mergeCell ref="B12:E12"/>
    <mergeCell ref="B13:E13"/>
    <mergeCell ref="B91:D91"/>
    <mergeCell ref="B92:D92"/>
    <mergeCell ref="B93:D93"/>
    <mergeCell ref="A16:A17"/>
    <mergeCell ref="B16:B17"/>
    <mergeCell ref="C16:C17"/>
    <mergeCell ref="D16:D17"/>
    <mergeCell ref="A79:E79"/>
    <mergeCell ref="A80:E80"/>
    <mergeCell ref="E16:E17"/>
    <mergeCell ref="B81:E81"/>
  </mergeCells>
  <printOptions horizontalCentered="1"/>
  <pageMargins left="0.3" right="0.3" top="0.75" bottom="0.5" header="0.3" footer="0.3"/>
  <pageSetup paperSize="9" scale="65" orientation="portrait"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9"/>
  <sheetViews>
    <sheetView view="pageBreakPreview" zoomScale="89" zoomScaleNormal="100" zoomScaleSheetLayoutView="89" workbookViewId="0">
      <selection activeCell="Y167" sqref="Y167"/>
    </sheetView>
  </sheetViews>
  <sheetFormatPr defaultColWidth="8.7109375" defaultRowHeight="12.75"/>
  <cols>
    <col min="1" max="1" width="7.28515625" style="55" customWidth="1"/>
    <col min="2" max="2" width="45.42578125" style="55" customWidth="1"/>
    <col min="3" max="3" width="10.5703125" style="55" customWidth="1"/>
    <col min="4" max="4" width="8.7109375" style="55"/>
    <col min="5" max="5" width="38.7109375" style="55" customWidth="1"/>
    <col min="6" max="6" width="42.28515625" style="55" customWidth="1"/>
    <col min="7" max="7" width="8.7109375" style="42"/>
    <col min="8" max="16384" width="8.7109375" style="76"/>
  </cols>
  <sheetData>
    <row r="1" spans="1:6" ht="23.65" customHeight="1">
      <c r="A1" s="357" t="s">
        <v>188</v>
      </c>
      <c r="B1" s="357"/>
      <c r="C1" s="357"/>
      <c r="D1" s="357"/>
      <c r="E1" s="357"/>
      <c r="F1" s="357"/>
    </row>
    <row r="2" spans="1:6" ht="32.65" customHeight="1">
      <c r="A2" s="358" t="s">
        <v>103</v>
      </c>
      <c r="B2" s="358"/>
      <c r="C2" s="358"/>
      <c r="D2" s="358"/>
      <c r="E2" s="358"/>
      <c r="F2" s="358"/>
    </row>
    <row r="3" spans="1:6" ht="31.15" customHeight="1">
      <c r="A3" s="359" t="s">
        <v>189</v>
      </c>
      <c r="B3" s="359"/>
      <c r="C3" s="359"/>
      <c r="D3" s="359"/>
      <c r="E3" s="359"/>
      <c r="F3" s="359"/>
    </row>
    <row r="4" spans="1:6" ht="6" customHeight="1"/>
    <row r="5" spans="1:6" ht="16.899999999999999" customHeight="1">
      <c r="A5" s="360" t="s">
        <v>799</v>
      </c>
      <c r="B5" s="360"/>
      <c r="C5" s="360"/>
      <c r="D5" s="360"/>
      <c r="E5" s="360"/>
      <c r="F5" s="360"/>
    </row>
    <row r="6" spans="1:6" ht="16.899999999999999" customHeight="1"/>
    <row r="7" spans="1:6" ht="14.65" customHeight="1">
      <c r="A7" s="130" t="s">
        <v>2</v>
      </c>
      <c r="C7" s="361" t="s">
        <v>742</v>
      </c>
      <c r="D7" s="361"/>
      <c r="E7" s="361"/>
      <c r="F7" s="361"/>
    </row>
    <row r="8" spans="1:6" ht="14.65" customHeight="1">
      <c r="A8" s="55" t="s">
        <v>40</v>
      </c>
      <c r="C8" s="354" t="s">
        <v>825</v>
      </c>
      <c r="D8" s="354"/>
      <c r="E8" s="354"/>
      <c r="F8" s="354"/>
    </row>
    <row r="9" spans="1:6" ht="16.5" customHeight="1">
      <c r="A9" s="130" t="s">
        <v>3</v>
      </c>
      <c r="C9" s="361" t="s">
        <v>743</v>
      </c>
      <c r="D9" s="361"/>
      <c r="E9" s="361"/>
      <c r="F9" s="361"/>
    </row>
    <row r="10" spans="1:6" ht="16.5" customHeight="1">
      <c r="A10" s="55" t="s">
        <v>4</v>
      </c>
      <c r="C10" s="354" t="s">
        <v>744</v>
      </c>
      <c r="D10" s="354"/>
      <c r="E10" s="354"/>
      <c r="F10" s="354"/>
    </row>
    <row r="11" spans="1:6" ht="26.65" customHeight="1">
      <c r="A11" s="130" t="s">
        <v>5</v>
      </c>
      <c r="C11" s="361" t="s">
        <v>963</v>
      </c>
      <c r="D11" s="361"/>
      <c r="E11" s="361"/>
      <c r="F11" s="361"/>
    </row>
    <row r="12" spans="1:6" ht="31.15" customHeight="1">
      <c r="A12" s="55" t="s">
        <v>6</v>
      </c>
      <c r="C12" s="354" t="s">
        <v>964</v>
      </c>
      <c r="D12" s="354"/>
      <c r="E12" s="354"/>
      <c r="F12" s="354"/>
    </row>
    <row r="13" spans="1:6" ht="16.899999999999999" customHeight="1">
      <c r="A13" s="130" t="s">
        <v>7</v>
      </c>
      <c r="C13" s="361" t="s">
        <v>979</v>
      </c>
      <c r="D13" s="361"/>
      <c r="E13" s="361"/>
      <c r="F13" s="361"/>
    </row>
    <row r="14" spans="1:6" ht="16.899999999999999" customHeight="1">
      <c r="A14" s="55" t="s">
        <v>8</v>
      </c>
      <c r="C14" s="356" t="s">
        <v>980</v>
      </c>
      <c r="D14" s="354"/>
      <c r="E14" s="354"/>
      <c r="F14" s="354"/>
    </row>
    <row r="15" spans="1:6" ht="16.899999999999999" customHeight="1"/>
    <row r="16" spans="1:6" ht="46.9" customHeight="1">
      <c r="A16" s="77" t="s">
        <v>190</v>
      </c>
      <c r="B16" s="77" t="s">
        <v>105</v>
      </c>
      <c r="C16" s="77" t="s">
        <v>106</v>
      </c>
      <c r="D16" s="77" t="s">
        <v>107</v>
      </c>
      <c r="E16" s="77" t="s">
        <v>801</v>
      </c>
      <c r="F16" s="77" t="s">
        <v>748</v>
      </c>
    </row>
    <row r="17" spans="1:7" ht="39" customHeight="1">
      <c r="A17" s="56" t="s">
        <v>41</v>
      </c>
      <c r="B17" s="131" t="s">
        <v>349</v>
      </c>
      <c r="C17" s="51" t="s">
        <v>41</v>
      </c>
      <c r="D17" s="66"/>
      <c r="E17" s="66"/>
      <c r="F17" s="66"/>
    </row>
    <row r="18" spans="1:7" ht="39" customHeight="1">
      <c r="A18" s="133" t="s">
        <v>350</v>
      </c>
      <c r="B18" s="134" t="s">
        <v>351</v>
      </c>
      <c r="C18" s="135" t="s">
        <v>352</v>
      </c>
      <c r="D18" s="133"/>
      <c r="E18" s="132">
        <v>183198936965</v>
      </c>
      <c r="F18" s="132">
        <v>46497927740</v>
      </c>
    </row>
    <row r="19" spans="1:7" ht="39" customHeight="1">
      <c r="A19" s="133" t="s">
        <v>353</v>
      </c>
      <c r="B19" s="134" t="s">
        <v>354</v>
      </c>
      <c r="C19" s="135" t="s">
        <v>355</v>
      </c>
      <c r="D19" s="133"/>
      <c r="E19" s="132">
        <v>103198936965</v>
      </c>
      <c r="F19" s="132">
        <v>46497927740</v>
      </c>
    </row>
    <row r="20" spans="1:7" s="139" customFormat="1" ht="49.15" customHeight="1">
      <c r="A20" s="133" t="s">
        <v>356</v>
      </c>
      <c r="B20" s="136" t="s">
        <v>357</v>
      </c>
      <c r="C20" s="137" t="s">
        <v>358</v>
      </c>
      <c r="D20" s="133"/>
      <c r="E20" s="132">
        <v>0</v>
      </c>
      <c r="F20" s="132">
        <v>0</v>
      </c>
      <c r="G20" s="138"/>
    </row>
    <row r="21" spans="1:7" s="139" customFormat="1" ht="46.5" customHeight="1">
      <c r="A21" s="133" t="s">
        <v>356</v>
      </c>
      <c r="B21" s="136" t="s">
        <v>359</v>
      </c>
      <c r="C21" s="137" t="s">
        <v>360</v>
      </c>
      <c r="D21" s="133"/>
      <c r="E21" s="132">
        <v>97465587</v>
      </c>
      <c r="F21" s="132">
        <v>226700815</v>
      </c>
      <c r="G21" s="138"/>
    </row>
    <row r="22" spans="1:7" s="139" customFormat="1" ht="39" customHeight="1">
      <c r="A22" s="133" t="s">
        <v>356</v>
      </c>
      <c r="B22" s="136" t="s">
        <v>361</v>
      </c>
      <c r="C22" s="137" t="s">
        <v>362</v>
      </c>
      <c r="D22" s="133"/>
      <c r="E22" s="132">
        <v>103101471378</v>
      </c>
      <c r="F22" s="132">
        <v>41972659771</v>
      </c>
      <c r="G22" s="138"/>
    </row>
    <row r="23" spans="1:7" ht="47.65" customHeight="1">
      <c r="A23" s="133" t="s">
        <v>356</v>
      </c>
      <c r="B23" s="136" t="s">
        <v>46</v>
      </c>
      <c r="C23" s="137" t="s">
        <v>363</v>
      </c>
      <c r="D23" s="133"/>
      <c r="E23" s="132">
        <v>0</v>
      </c>
      <c r="F23" s="132">
        <v>4298567154</v>
      </c>
    </row>
    <row r="24" spans="1:7" ht="39" customHeight="1">
      <c r="A24" s="133" t="s">
        <v>364</v>
      </c>
      <c r="B24" s="134" t="s">
        <v>365</v>
      </c>
      <c r="C24" s="135" t="s">
        <v>366</v>
      </c>
      <c r="D24" s="133"/>
      <c r="E24" s="132">
        <v>80000000000</v>
      </c>
      <c r="F24" s="132">
        <v>0</v>
      </c>
    </row>
    <row r="25" spans="1:7" ht="39" customHeight="1">
      <c r="A25" s="133" t="s">
        <v>367</v>
      </c>
      <c r="B25" s="134" t="s">
        <v>368</v>
      </c>
      <c r="C25" s="135" t="s">
        <v>369</v>
      </c>
      <c r="D25" s="133"/>
      <c r="E25" s="132">
        <v>1470809611900</v>
      </c>
      <c r="F25" s="132">
        <v>493298290900</v>
      </c>
    </row>
    <row r="26" spans="1:7" ht="39" customHeight="1">
      <c r="A26" s="133" t="s">
        <v>370</v>
      </c>
      <c r="B26" s="134" t="s">
        <v>371</v>
      </c>
      <c r="C26" s="135" t="s">
        <v>372</v>
      </c>
      <c r="D26" s="133"/>
      <c r="E26" s="132">
        <v>1470809611900</v>
      </c>
      <c r="F26" s="132">
        <v>493298290900</v>
      </c>
    </row>
    <row r="27" spans="1:7" ht="39" customHeight="1">
      <c r="A27" s="133" t="s">
        <v>356</v>
      </c>
      <c r="B27" s="136" t="s">
        <v>373</v>
      </c>
      <c r="C27" s="137" t="s">
        <v>374</v>
      </c>
      <c r="D27" s="133"/>
      <c r="E27" s="132">
        <v>1360816187300</v>
      </c>
      <c r="F27" s="132">
        <v>448298290900</v>
      </c>
    </row>
    <row r="28" spans="1:7" ht="39" customHeight="1">
      <c r="A28" s="133" t="s">
        <v>356</v>
      </c>
      <c r="B28" s="136" t="s">
        <v>375</v>
      </c>
      <c r="C28" s="137" t="s">
        <v>376</v>
      </c>
      <c r="D28" s="133"/>
      <c r="E28" s="132">
        <v>0</v>
      </c>
      <c r="F28" s="132">
        <v>0</v>
      </c>
    </row>
    <row r="29" spans="1:7" ht="39" customHeight="1">
      <c r="A29" s="133" t="s">
        <v>356</v>
      </c>
      <c r="B29" s="136" t="s">
        <v>377</v>
      </c>
      <c r="C29" s="137" t="s">
        <v>378</v>
      </c>
      <c r="D29" s="133"/>
      <c r="E29" s="132">
        <v>0</v>
      </c>
      <c r="F29" s="132">
        <v>0</v>
      </c>
    </row>
    <row r="30" spans="1:7" ht="39" customHeight="1">
      <c r="A30" s="133" t="s">
        <v>356</v>
      </c>
      <c r="B30" s="136" t="s">
        <v>379</v>
      </c>
      <c r="C30" s="137" t="s">
        <v>380</v>
      </c>
      <c r="D30" s="133"/>
      <c r="E30" s="132">
        <v>89993424600</v>
      </c>
      <c r="F30" s="132">
        <v>0</v>
      </c>
    </row>
    <row r="31" spans="1:7" ht="39" customHeight="1">
      <c r="A31" s="133" t="s">
        <v>356</v>
      </c>
      <c r="B31" s="136" t="s">
        <v>381</v>
      </c>
      <c r="C31" s="137" t="s">
        <v>382</v>
      </c>
      <c r="D31" s="133"/>
      <c r="E31" s="132">
        <v>20000000000</v>
      </c>
      <c r="F31" s="132">
        <v>45000000000</v>
      </c>
    </row>
    <row r="32" spans="1:7" ht="39" customHeight="1">
      <c r="A32" s="133" t="s">
        <v>356</v>
      </c>
      <c r="B32" s="136" t="s">
        <v>336</v>
      </c>
      <c r="C32" s="137" t="s">
        <v>383</v>
      </c>
      <c r="D32" s="133"/>
      <c r="E32" s="132">
        <v>0</v>
      </c>
      <c r="F32" s="132">
        <v>0</v>
      </c>
    </row>
    <row r="33" spans="1:6" ht="39" customHeight="1">
      <c r="A33" s="133" t="s">
        <v>356</v>
      </c>
      <c r="B33" s="136" t="s">
        <v>337</v>
      </c>
      <c r="C33" s="137" t="s">
        <v>384</v>
      </c>
      <c r="D33" s="133"/>
      <c r="E33" s="132">
        <v>0</v>
      </c>
      <c r="F33" s="132">
        <v>0</v>
      </c>
    </row>
    <row r="34" spans="1:6" ht="39" customHeight="1">
      <c r="A34" s="133" t="s">
        <v>356</v>
      </c>
      <c r="B34" s="136" t="s">
        <v>338</v>
      </c>
      <c r="C34" s="137" t="s">
        <v>385</v>
      </c>
      <c r="D34" s="133"/>
      <c r="E34" s="132">
        <v>0</v>
      </c>
      <c r="F34" s="132">
        <v>0</v>
      </c>
    </row>
    <row r="35" spans="1:6" ht="39" customHeight="1">
      <c r="A35" s="133" t="s">
        <v>356</v>
      </c>
      <c r="B35" s="136" t="s">
        <v>386</v>
      </c>
      <c r="C35" s="137" t="s">
        <v>387</v>
      </c>
      <c r="D35" s="133"/>
      <c r="E35" s="132">
        <v>0</v>
      </c>
      <c r="F35" s="132">
        <v>0</v>
      </c>
    </row>
    <row r="36" spans="1:6" ht="39" customHeight="1">
      <c r="A36" s="133" t="s">
        <v>356</v>
      </c>
      <c r="B36" s="136" t="s">
        <v>339</v>
      </c>
      <c r="C36" s="137" t="s">
        <v>388</v>
      </c>
      <c r="D36" s="133"/>
      <c r="E36" s="132">
        <v>0</v>
      </c>
      <c r="F36" s="132">
        <v>0</v>
      </c>
    </row>
    <row r="37" spans="1:6" ht="39" customHeight="1">
      <c r="A37" s="133" t="s">
        <v>389</v>
      </c>
      <c r="B37" s="134" t="s">
        <v>390</v>
      </c>
      <c r="C37" s="135" t="s">
        <v>391</v>
      </c>
      <c r="D37" s="133"/>
      <c r="E37" s="132">
        <v>0</v>
      </c>
      <c r="F37" s="132">
        <v>0</v>
      </c>
    </row>
    <row r="38" spans="1:6" ht="39" customHeight="1">
      <c r="A38" s="133" t="s">
        <v>392</v>
      </c>
      <c r="B38" s="134" t="s">
        <v>393</v>
      </c>
      <c r="C38" s="135" t="s">
        <v>394</v>
      </c>
      <c r="D38" s="133"/>
      <c r="E38" s="132">
        <v>20522452858</v>
      </c>
      <c r="F38" s="132">
        <v>2234411093</v>
      </c>
    </row>
    <row r="39" spans="1:6" ht="39" customHeight="1">
      <c r="A39" s="133" t="s">
        <v>395</v>
      </c>
      <c r="B39" s="134" t="s">
        <v>396</v>
      </c>
      <c r="C39" s="135" t="s">
        <v>397</v>
      </c>
      <c r="D39" s="133"/>
      <c r="E39" s="132">
        <v>18687450000</v>
      </c>
      <c r="F39" s="132">
        <v>154710</v>
      </c>
    </row>
    <row r="40" spans="1:6" ht="43.15" customHeight="1">
      <c r="A40" s="133" t="s">
        <v>356</v>
      </c>
      <c r="B40" s="136" t="s">
        <v>398</v>
      </c>
      <c r="C40" s="137" t="s">
        <v>399</v>
      </c>
      <c r="D40" s="133"/>
      <c r="E40" s="132">
        <v>0</v>
      </c>
      <c r="F40" s="132">
        <v>0</v>
      </c>
    </row>
    <row r="41" spans="1:6" ht="46.9" customHeight="1">
      <c r="A41" s="133" t="s">
        <v>400</v>
      </c>
      <c r="B41" s="134" t="s">
        <v>401</v>
      </c>
      <c r="C41" s="135" t="s">
        <v>402</v>
      </c>
      <c r="D41" s="133"/>
      <c r="E41" s="132">
        <v>2701378658</v>
      </c>
      <c r="F41" s="132">
        <v>3100656383</v>
      </c>
    </row>
    <row r="42" spans="1:6" ht="43.9" customHeight="1">
      <c r="A42" s="133" t="s">
        <v>403</v>
      </c>
      <c r="B42" s="134" t="s">
        <v>404</v>
      </c>
      <c r="C42" s="135" t="s">
        <v>405</v>
      </c>
      <c r="D42" s="133"/>
      <c r="E42" s="132">
        <v>866400000</v>
      </c>
      <c r="F42" s="132">
        <v>866400000</v>
      </c>
    </row>
    <row r="43" spans="1:6" ht="39" customHeight="1">
      <c r="A43" s="133" t="s">
        <v>356</v>
      </c>
      <c r="B43" s="136" t="s">
        <v>340</v>
      </c>
      <c r="C43" s="137" t="s">
        <v>406</v>
      </c>
      <c r="D43" s="133"/>
      <c r="E43" s="132">
        <v>866400000</v>
      </c>
      <c r="F43" s="132">
        <v>866400000</v>
      </c>
    </row>
    <row r="44" spans="1:6" ht="39" customHeight="1">
      <c r="A44" s="133" t="s">
        <v>356</v>
      </c>
      <c r="B44" s="136" t="s">
        <v>341</v>
      </c>
      <c r="C44" s="137" t="s">
        <v>407</v>
      </c>
      <c r="D44" s="133"/>
      <c r="E44" s="132">
        <v>0</v>
      </c>
      <c r="F44" s="132">
        <v>0</v>
      </c>
    </row>
    <row r="45" spans="1:6" ht="46.15" customHeight="1">
      <c r="A45" s="133" t="s">
        <v>356</v>
      </c>
      <c r="B45" s="136" t="s">
        <v>408</v>
      </c>
      <c r="C45" s="137" t="s">
        <v>409</v>
      </c>
      <c r="D45" s="133"/>
      <c r="E45" s="132">
        <v>0</v>
      </c>
      <c r="F45" s="132">
        <v>0</v>
      </c>
    </row>
    <row r="46" spans="1:6" ht="44.65" customHeight="1">
      <c r="A46" s="133" t="s">
        <v>356</v>
      </c>
      <c r="B46" s="136" t="s">
        <v>410</v>
      </c>
      <c r="C46" s="137" t="s">
        <v>411</v>
      </c>
      <c r="D46" s="133"/>
      <c r="E46" s="132">
        <v>0</v>
      </c>
      <c r="F46" s="132">
        <v>0</v>
      </c>
    </row>
    <row r="47" spans="1:6" ht="39" customHeight="1">
      <c r="A47" s="133" t="s">
        <v>356</v>
      </c>
      <c r="B47" s="136" t="s">
        <v>412</v>
      </c>
      <c r="C47" s="137" t="s">
        <v>413</v>
      </c>
      <c r="D47" s="133"/>
      <c r="E47" s="132">
        <v>0</v>
      </c>
      <c r="F47" s="132">
        <v>0</v>
      </c>
    </row>
    <row r="48" spans="1:6" ht="55.9" customHeight="1">
      <c r="A48" s="133" t="s">
        <v>356</v>
      </c>
      <c r="B48" s="134" t="s">
        <v>414</v>
      </c>
      <c r="C48" s="135" t="s">
        <v>415</v>
      </c>
      <c r="D48" s="133"/>
      <c r="E48" s="132">
        <v>866400000</v>
      </c>
      <c r="F48" s="132">
        <v>866400000</v>
      </c>
    </row>
    <row r="49" spans="1:7" ht="39" customHeight="1">
      <c r="A49" s="133" t="s">
        <v>416</v>
      </c>
      <c r="B49" s="134" t="s">
        <v>417</v>
      </c>
      <c r="C49" s="135" t="s">
        <v>418</v>
      </c>
      <c r="D49" s="133"/>
      <c r="E49" s="132">
        <v>1834978658</v>
      </c>
      <c r="F49" s="132">
        <v>2234256383</v>
      </c>
    </row>
    <row r="50" spans="1:7" ht="39" customHeight="1">
      <c r="A50" s="133" t="s">
        <v>356</v>
      </c>
      <c r="B50" s="136" t="s">
        <v>419</v>
      </c>
      <c r="C50" s="137" t="s">
        <v>420</v>
      </c>
      <c r="D50" s="133"/>
      <c r="E50" s="132">
        <v>360054000</v>
      </c>
      <c r="F50" s="132">
        <v>1743092000</v>
      </c>
    </row>
    <row r="51" spans="1:7" ht="39" customHeight="1">
      <c r="A51" s="133" t="s">
        <v>356</v>
      </c>
      <c r="B51" s="136" t="s">
        <v>421</v>
      </c>
      <c r="C51" s="137" t="s">
        <v>422</v>
      </c>
      <c r="D51" s="133"/>
      <c r="E51" s="132">
        <v>1122191781</v>
      </c>
      <c r="F51" s="132">
        <v>0</v>
      </c>
    </row>
    <row r="52" spans="1:7" ht="46.15" customHeight="1">
      <c r="A52" s="133" t="s">
        <v>356</v>
      </c>
      <c r="B52" s="136" t="s">
        <v>423</v>
      </c>
      <c r="C52" s="137" t="s">
        <v>424</v>
      </c>
      <c r="D52" s="133"/>
      <c r="E52" s="132">
        <v>7342466</v>
      </c>
      <c r="F52" s="132">
        <v>0</v>
      </c>
    </row>
    <row r="53" spans="1:7" ht="42" customHeight="1">
      <c r="A53" s="133" t="s">
        <v>356</v>
      </c>
      <c r="B53" s="136" t="s">
        <v>425</v>
      </c>
      <c r="C53" s="137" t="s">
        <v>426</v>
      </c>
      <c r="D53" s="133"/>
      <c r="E53" s="132">
        <v>0</v>
      </c>
      <c r="F53" s="132">
        <v>0</v>
      </c>
    </row>
    <row r="54" spans="1:7" ht="39" customHeight="1">
      <c r="A54" s="133" t="s">
        <v>356</v>
      </c>
      <c r="B54" s="136" t="s">
        <v>427</v>
      </c>
      <c r="C54" s="137" t="s">
        <v>428</v>
      </c>
      <c r="D54" s="133"/>
      <c r="E54" s="132">
        <v>345390411</v>
      </c>
      <c r="F54" s="132">
        <v>491164383</v>
      </c>
    </row>
    <row r="55" spans="1:7" ht="39" customHeight="1">
      <c r="A55" s="133" t="s">
        <v>356</v>
      </c>
      <c r="B55" s="136" t="s">
        <v>429</v>
      </c>
      <c r="C55" s="137" t="s">
        <v>430</v>
      </c>
      <c r="D55" s="133"/>
      <c r="E55" s="132">
        <v>0</v>
      </c>
      <c r="F55" s="132">
        <v>0</v>
      </c>
    </row>
    <row r="56" spans="1:7" ht="39" customHeight="1">
      <c r="A56" s="133" t="s">
        <v>431</v>
      </c>
      <c r="B56" s="134" t="s">
        <v>432</v>
      </c>
      <c r="C56" s="135" t="s">
        <v>433</v>
      </c>
      <c r="D56" s="133"/>
      <c r="E56" s="132">
        <v>24200</v>
      </c>
      <c r="F56" s="132">
        <v>0</v>
      </c>
    </row>
    <row r="57" spans="1:7" s="139" customFormat="1" ht="46.9" customHeight="1">
      <c r="A57" s="133" t="s">
        <v>356</v>
      </c>
      <c r="B57" s="136" t="s">
        <v>434</v>
      </c>
      <c r="C57" s="137" t="s">
        <v>435</v>
      </c>
      <c r="D57" s="133"/>
      <c r="E57" s="132">
        <v>0</v>
      </c>
      <c r="F57" s="132">
        <v>0</v>
      </c>
      <c r="G57" s="138"/>
    </row>
    <row r="58" spans="1:7" ht="39" customHeight="1">
      <c r="A58" s="133" t="s">
        <v>356</v>
      </c>
      <c r="B58" s="136" t="s">
        <v>436</v>
      </c>
      <c r="C58" s="137" t="s">
        <v>437</v>
      </c>
      <c r="D58" s="133"/>
      <c r="E58" s="132">
        <v>0</v>
      </c>
      <c r="F58" s="132">
        <v>0</v>
      </c>
    </row>
    <row r="59" spans="1:7" ht="39" customHeight="1">
      <c r="A59" s="133" t="s">
        <v>356</v>
      </c>
      <c r="B59" s="136" t="s">
        <v>438</v>
      </c>
      <c r="C59" s="137" t="s">
        <v>439</v>
      </c>
      <c r="D59" s="133"/>
      <c r="E59" s="132">
        <v>24200</v>
      </c>
      <c r="F59" s="132">
        <v>0</v>
      </c>
    </row>
    <row r="60" spans="1:7" ht="39" customHeight="1">
      <c r="A60" s="133" t="s">
        <v>440</v>
      </c>
      <c r="B60" s="134" t="s">
        <v>441</v>
      </c>
      <c r="C60" s="135" t="s">
        <v>442</v>
      </c>
      <c r="D60" s="133"/>
      <c r="E60" s="132">
        <v>-866400000</v>
      </c>
      <c r="F60" s="132">
        <v>-866400000</v>
      </c>
    </row>
    <row r="61" spans="1:7" ht="39" customHeight="1">
      <c r="A61" s="56" t="s">
        <v>356</v>
      </c>
      <c r="B61" s="131" t="s">
        <v>342</v>
      </c>
      <c r="C61" s="51" t="s">
        <v>443</v>
      </c>
      <c r="D61" s="66"/>
      <c r="E61" s="66">
        <v>1674531001723</v>
      </c>
      <c r="F61" s="66">
        <v>542030629733</v>
      </c>
    </row>
    <row r="62" spans="1:7" ht="39" customHeight="1">
      <c r="A62" s="56" t="s">
        <v>47</v>
      </c>
      <c r="B62" s="131" t="s">
        <v>444</v>
      </c>
      <c r="C62" s="51" t="s">
        <v>47</v>
      </c>
      <c r="D62" s="66"/>
      <c r="E62" s="66"/>
      <c r="F62" s="66"/>
    </row>
    <row r="63" spans="1:7" ht="39" customHeight="1">
      <c r="A63" s="133" t="s">
        <v>350</v>
      </c>
      <c r="B63" s="134" t="s">
        <v>445</v>
      </c>
      <c r="C63" s="135" t="s">
        <v>446</v>
      </c>
      <c r="D63" s="133"/>
      <c r="E63" s="132">
        <v>0</v>
      </c>
      <c r="F63" s="132">
        <v>0</v>
      </c>
    </row>
    <row r="64" spans="1:7" ht="39" customHeight="1">
      <c r="A64" s="133" t="s">
        <v>356</v>
      </c>
      <c r="B64" s="136" t="s">
        <v>447</v>
      </c>
      <c r="C64" s="137" t="s">
        <v>448</v>
      </c>
      <c r="D64" s="133"/>
      <c r="E64" s="132">
        <v>0</v>
      </c>
      <c r="F64" s="132">
        <v>0</v>
      </c>
    </row>
    <row r="65" spans="1:6" ht="39" customHeight="1">
      <c r="A65" s="133" t="s">
        <v>356</v>
      </c>
      <c r="B65" s="136" t="s">
        <v>449</v>
      </c>
      <c r="C65" s="137" t="s">
        <v>450</v>
      </c>
      <c r="D65" s="133"/>
      <c r="E65" s="132">
        <v>0</v>
      </c>
      <c r="F65" s="132">
        <v>0</v>
      </c>
    </row>
    <row r="66" spans="1:6" ht="39" customHeight="1">
      <c r="A66" s="133" t="s">
        <v>367</v>
      </c>
      <c r="B66" s="134" t="s">
        <v>451</v>
      </c>
      <c r="C66" s="135" t="s">
        <v>452</v>
      </c>
      <c r="D66" s="133"/>
      <c r="E66" s="132">
        <v>18611620000</v>
      </c>
      <c r="F66" s="132">
        <v>0</v>
      </c>
    </row>
    <row r="67" spans="1:6" ht="60" customHeight="1">
      <c r="A67" s="133" t="s">
        <v>392</v>
      </c>
      <c r="B67" s="134" t="s">
        <v>453</v>
      </c>
      <c r="C67" s="135" t="s">
        <v>454</v>
      </c>
      <c r="D67" s="133"/>
      <c r="E67" s="132">
        <v>1486310001</v>
      </c>
      <c r="F67" s="132">
        <v>101250229</v>
      </c>
    </row>
    <row r="68" spans="1:6" ht="57.4" customHeight="1">
      <c r="A68" s="133" t="s">
        <v>356</v>
      </c>
      <c r="B68" s="136" t="s">
        <v>455</v>
      </c>
      <c r="C68" s="137" t="s">
        <v>456</v>
      </c>
      <c r="D68" s="133"/>
      <c r="E68" s="132">
        <v>6835448</v>
      </c>
      <c r="F68" s="132">
        <v>81218453</v>
      </c>
    </row>
    <row r="69" spans="1:6" ht="60" customHeight="1">
      <c r="A69" s="133" t="s">
        <v>356</v>
      </c>
      <c r="B69" s="136" t="s">
        <v>457</v>
      </c>
      <c r="C69" s="137" t="s">
        <v>458</v>
      </c>
      <c r="D69" s="133"/>
      <c r="E69" s="132">
        <v>1479474553</v>
      </c>
      <c r="F69" s="132">
        <v>20031776</v>
      </c>
    </row>
    <row r="70" spans="1:6" ht="39" customHeight="1">
      <c r="A70" s="133" t="s">
        <v>459</v>
      </c>
      <c r="B70" s="134" t="s">
        <v>460</v>
      </c>
      <c r="C70" s="135" t="s">
        <v>461</v>
      </c>
      <c r="D70" s="133"/>
      <c r="E70" s="132">
        <v>53535458</v>
      </c>
      <c r="F70" s="132">
        <v>14880057</v>
      </c>
    </row>
    <row r="71" spans="1:6" ht="39" customHeight="1">
      <c r="A71" s="133" t="s">
        <v>462</v>
      </c>
      <c r="B71" s="134" t="s">
        <v>463</v>
      </c>
      <c r="C71" s="135" t="s">
        <v>464</v>
      </c>
      <c r="D71" s="133"/>
      <c r="E71" s="132">
        <v>39925000</v>
      </c>
      <c r="F71" s="132">
        <v>39925000</v>
      </c>
    </row>
    <row r="72" spans="1:6" ht="39" customHeight="1">
      <c r="A72" s="133" t="s">
        <v>465</v>
      </c>
      <c r="B72" s="134" t="s">
        <v>466</v>
      </c>
      <c r="C72" s="135" t="s">
        <v>467</v>
      </c>
      <c r="D72" s="133"/>
      <c r="E72" s="132">
        <v>296584125</v>
      </c>
      <c r="F72" s="132">
        <v>147135520</v>
      </c>
    </row>
    <row r="73" spans="1:6" ht="39" customHeight="1">
      <c r="A73" s="133" t="s">
        <v>356</v>
      </c>
      <c r="B73" s="136" t="s">
        <v>345</v>
      </c>
      <c r="C73" s="137" t="s">
        <v>468</v>
      </c>
      <c r="D73" s="133"/>
      <c r="E73" s="132">
        <v>81084125</v>
      </c>
      <c r="F73" s="132">
        <v>25135520</v>
      </c>
    </row>
    <row r="74" spans="1:6" ht="39" customHeight="1">
      <c r="A74" s="133" t="s">
        <v>356</v>
      </c>
      <c r="B74" s="136" t="s">
        <v>469</v>
      </c>
      <c r="C74" s="137" t="s">
        <v>470</v>
      </c>
      <c r="D74" s="133"/>
      <c r="E74" s="132">
        <v>81084125</v>
      </c>
      <c r="F74" s="132">
        <v>25135520</v>
      </c>
    </row>
    <row r="75" spans="1:6" ht="39" customHeight="1">
      <c r="A75" s="133" t="s">
        <v>356</v>
      </c>
      <c r="B75" s="136" t="s">
        <v>471</v>
      </c>
      <c r="C75" s="137" t="s">
        <v>472</v>
      </c>
      <c r="D75" s="133"/>
      <c r="E75" s="132">
        <v>0</v>
      </c>
      <c r="F75" s="132">
        <v>0</v>
      </c>
    </row>
    <row r="76" spans="1:6" ht="39" customHeight="1">
      <c r="A76" s="133" t="s">
        <v>356</v>
      </c>
      <c r="B76" s="136" t="s">
        <v>473</v>
      </c>
      <c r="C76" s="137" t="s">
        <v>474</v>
      </c>
      <c r="D76" s="133"/>
      <c r="E76" s="132">
        <v>181500000</v>
      </c>
      <c r="F76" s="132">
        <v>88000000</v>
      </c>
    </row>
    <row r="77" spans="1:6" ht="39" customHeight="1">
      <c r="A77" s="133" t="s">
        <v>356</v>
      </c>
      <c r="B77" s="136" t="s">
        <v>475</v>
      </c>
      <c r="C77" s="137" t="s">
        <v>476</v>
      </c>
      <c r="D77" s="133"/>
      <c r="E77" s="132">
        <v>0</v>
      </c>
      <c r="F77" s="132">
        <v>0</v>
      </c>
    </row>
    <row r="78" spans="1:6" ht="39" customHeight="1">
      <c r="A78" s="133" t="s">
        <v>356</v>
      </c>
      <c r="B78" s="136" t="s">
        <v>477</v>
      </c>
      <c r="C78" s="137" t="s">
        <v>478</v>
      </c>
      <c r="D78" s="133"/>
      <c r="E78" s="132">
        <v>0</v>
      </c>
      <c r="F78" s="132">
        <v>0</v>
      </c>
    </row>
    <row r="79" spans="1:6" ht="45.4" customHeight="1">
      <c r="A79" s="133" t="s">
        <v>356</v>
      </c>
      <c r="B79" s="136" t="s">
        <v>479</v>
      </c>
      <c r="C79" s="137" t="s">
        <v>480</v>
      </c>
      <c r="D79" s="133"/>
      <c r="E79" s="132">
        <v>34000000</v>
      </c>
      <c r="F79" s="132">
        <v>34000000</v>
      </c>
    </row>
    <row r="80" spans="1:6" ht="48.4" customHeight="1">
      <c r="A80" s="133" t="s">
        <v>356</v>
      </c>
      <c r="B80" s="136" t="s">
        <v>481</v>
      </c>
      <c r="C80" s="137" t="s">
        <v>482</v>
      </c>
      <c r="D80" s="133"/>
      <c r="E80" s="132">
        <v>0</v>
      </c>
      <c r="F80" s="132">
        <v>0</v>
      </c>
    </row>
    <row r="81" spans="1:6" ht="56.65" customHeight="1">
      <c r="A81" s="133" t="s">
        <v>356</v>
      </c>
      <c r="B81" s="136" t="s">
        <v>483</v>
      </c>
      <c r="C81" s="137" t="s">
        <v>484</v>
      </c>
      <c r="D81" s="133"/>
      <c r="E81" s="132">
        <v>0</v>
      </c>
      <c r="F81" s="132">
        <v>0</v>
      </c>
    </row>
    <row r="82" spans="1:6" ht="39" customHeight="1">
      <c r="A82" s="133" t="s">
        <v>485</v>
      </c>
      <c r="B82" s="134" t="s">
        <v>486</v>
      </c>
      <c r="C82" s="135" t="s">
        <v>487</v>
      </c>
      <c r="D82" s="133"/>
      <c r="E82" s="132">
        <v>6076486072</v>
      </c>
      <c r="F82" s="132">
        <v>1048216969</v>
      </c>
    </row>
    <row r="83" spans="1:6" ht="39" customHeight="1">
      <c r="A83" s="133" t="s">
        <v>356</v>
      </c>
      <c r="B83" s="136" t="s">
        <v>343</v>
      </c>
      <c r="C83" s="137" t="s">
        <v>488</v>
      </c>
      <c r="D83" s="133"/>
      <c r="E83" s="132">
        <v>6076486072</v>
      </c>
      <c r="F83" s="132">
        <v>1048216969</v>
      </c>
    </row>
    <row r="84" spans="1:6" ht="45" customHeight="1">
      <c r="A84" s="133" t="s">
        <v>356</v>
      </c>
      <c r="B84" s="136" t="s">
        <v>344</v>
      </c>
      <c r="C84" s="137" t="s">
        <v>489</v>
      </c>
      <c r="D84" s="133"/>
      <c r="E84" s="132">
        <v>0</v>
      </c>
      <c r="F84" s="132">
        <v>0</v>
      </c>
    </row>
    <row r="85" spans="1:6" ht="39" customHeight="1">
      <c r="A85" s="133" t="s">
        <v>490</v>
      </c>
      <c r="B85" s="134" t="s">
        <v>491</v>
      </c>
      <c r="C85" s="135" t="s">
        <v>492</v>
      </c>
      <c r="D85" s="133"/>
      <c r="E85" s="132">
        <v>3097836752</v>
      </c>
      <c r="F85" s="132">
        <v>2159786082</v>
      </c>
    </row>
    <row r="86" spans="1:6" ht="39" customHeight="1">
      <c r="A86" s="133" t="s">
        <v>493</v>
      </c>
      <c r="B86" s="134" t="s">
        <v>494</v>
      </c>
      <c r="C86" s="135" t="s">
        <v>495</v>
      </c>
      <c r="D86" s="133"/>
      <c r="E86" s="132">
        <v>2802665600</v>
      </c>
      <c r="F86" s="132">
        <v>930719668</v>
      </c>
    </row>
    <row r="87" spans="1:6" ht="39" customHeight="1">
      <c r="A87" s="133" t="s">
        <v>356</v>
      </c>
      <c r="B87" s="136" t="s">
        <v>496</v>
      </c>
      <c r="C87" s="137" t="s">
        <v>497</v>
      </c>
      <c r="D87" s="133"/>
      <c r="E87" s="132">
        <v>2634524828</v>
      </c>
      <c r="F87" s="132">
        <v>850637160</v>
      </c>
    </row>
    <row r="88" spans="1:6" ht="39" customHeight="1">
      <c r="A88" s="133" t="s">
        <v>356</v>
      </c>
      <c r="B88" s="136" t="s">
        <v>498</v>
      </c>
      <c r="C88" s="137" t="s">
        <v>499</v>
      </c>
      <c r="D88" s="133"/>
      <c r="E88" s="132">
        <v>60541530</v>
      </c>
      <c r="F88" s="132">
        <v>31782292</v>
      </c>
    </row>
    <row r="89" spans="1:6" ht="39" customHeight="1">
      <c r="A89" s="133" t="s">
        <v>356</v>
      </c>
      <c r="B89" s="136" t="s">
        <v>50</v>
      </c>
      <c r="C89" s="137" t="s">
        <v>500</v>
      </c>
      <c r="D89" s="133"/>
      <c r="E89" s="132">
        <v>54041530</v>
      </c>
      <c r="F89" s="132">
        <v>26182292</v>
      </c>
    </row>
    <row r="90" spans="1:6" ht="39" customHeight="1">
      <c r="A90" s="133" t="s">
        <v>356</v>
      </c>
      <c r="B90" s="136" t="s">
        <v>62</v>
      </c>
      <c r="C90" s="137" t="s">
        <v>501</v>
      </c>
      <c r="D90" s="133"/>
      <c r="E90" s="132">
        <v>6500000</v>
      </c>
      <c r="F90" s="132">
        <v>5600000</v>
      </c>
    </row>
    <row r="91" spans="1:6" ht="57" customHeight="1">
      <c r="A91" s="133" t="s">
        <v>356</v>
      </c>
      <c r="B91" s="136" t="s">
        <v>284</v>
      </c>
      <c r="C91" s="137" t="s">
        <v>502</v>
      </c>
      <c r="D91" s="133"/>
      <c r="E91" s="132">
        <v>0</v>
      </c>
      <c r="F91" s="132">
        <v>0</v>
      </c>
    </row>
    <row r="92" spans="1:6" ht="39" customHeight="1">
      <c r="A92" s="133" t="s">
        <v>356</v>
      </c>
      <c r="B92" s="136" t="s">
        <v>503</v>
      </c>
      <c r="C92" s="137" t="s">
        <v>504</v>
      </c>
      <c r="D92" s="133"/>
      <c r="E92" s="132">
        <v>37153555</v>
      </c>
      <c r="F92" s="132">
        <v>12000216</v>
      </c>
    </row>
    <row r="93" spans="1:6" ht="39" customHeight="1">
      <c r="A93" s="133" t="s">
        <v>356</v>
      </c>
      <c r="B93" s="136" t="s">
        <v>505</v>
      </c>
      <c r="C93" s="137" t="s">
        <v>506</v>
      </c>
      <c r="D93" s="133"/>
      <c r="E93" s="132">
        <v>59445687</v>
      </c>
      <c r="F93" s="132">
        <v>25300000</v>
      </c>
    </row>
    <row r="94" spans="1:6" ht="39" customHeight="1">
      <c r="A94" s="133" t="s">
        <v>356</v>
      </c>
      <c r="B94" s="136" t="s">
        <v>507</v>
      </c>
      <c r="C94" s="137" t="s">
        <v>508</v>
      </c>
      <c r="D94" s="133"/>
      <c r="E94" s="132">
        <v>11000000</v>
      </c>
      <c r="F94" s="132">
        <v>11000000</v>
      </c>
    </row>
    <row r="95" spans="1:6" ht="57.4" customHeight="1">
      <c r="A95" s="133" t="s">
        <v>356</v>
      </c>
      <c r="B95" s="136" t="s">
        <v>509</v>
      </c>
      <c r="C95" s="137" t="s">
        <v>510</v>
      </c>
      <c r="D95" s="133"/>
      <c r="E95" s="132">
        <v>0</v>
      </c>
      <c r="F95" s="132">
        <v>0</v>
      </c>
    </row>
    <row r="96" spans="1:6" ht="47.65" customHeight="1">
      <c r="A96" s="133" t="s">
        <v>356</v>
      </c>
      <c r="B96" s="136" t="s">
        <v>511</v>
      </c>
      <c r="C96" s="137" t="s">
        <v>512</v>
      </c>
      <c r="D96" s="133"/>
      <c r="E96" s="132">
        <v>0</v>
      </c>
      <c r="F96" s="132">
        <v>0</v>
      </c>
    </row>
    <row r="97" spans="1:6" ht="39" customHeight="1">
      <c r="A97" s="133" t="s">
        <v>119</v>
      </c>
      <c r="B97" s="134" t="s">
        <v>513</v>
      </c>
      <c r="C97" s="135" t="s">
        <v>514</v>
      </c>
      <c r="D97" s="133"/>
      <c r="E97" s="132">
        <v>198557966</v>
      </c>
      <c r="F97" s="132">
        <v>263732966</v>
      </c>
    </row>
    <row r="98" spans="1:6" ht="39" customHeight="1">
      <c r="A98" s="133" t="s">
        <v>356</v>
      </c>
      <c r="B98" s="136" t="s">
        <v>347</v>
      </c>
      <c r="C98" s="137" t="s">
        <v>515</v>
      </c>
      <c r="D98" s="133"/>
      <c r="E98" s="132">
        <v>22075000</v>
      </c>
      <c r="F98" s="132">
        <v>87250000</v>
      </c>
    </row>
    <row r="99" spans="1:6" ht="45.4" customHeight="1">
      <c r="A99" s="133" t="s">
        <v>356</v>
      </c>
      <c r="B99" s="136" t="s">
        <v>348</v>
      </c>
      <c r="C99" s="137" t="s">
        <v>516</v>
      </c>
      <c r="D99" s="133"/>
      <c r="E99" s="132">
        <v>0</v>
      </c>
      <c r="F99" s="132">
        <v>0</v>
      </c>
    </row>
    <row r="100" spans="1:6" ht="39" customHeight="1">
      <c r="A100" s="133" t="s">
        <v>356</v>
      </c>
      <c r="B100" s="136" t="s">
        <v>517</v>
      </c>
      <c r="C100" s="137" t="s">
        <v>518</v>
      </c>
      <c r="D100" s="133"/>
      <c r="E100" s="132">
        <v>0</v>
      </c>
      <c r="F100" s="132">
        <v>0</v>
      </c>
    </row>
    <row r="101" spans="1:6" ht="39" customHeight="1">
      <c r="A101" s="133" t="s">
        <v>356</v>
      </c>
      <c r="B101" s="136" t="s">
        <v>519</v>
      </c>
      <c r="C101" s="137" t="s">
        <v>520</v>
      </c>
      <c r="D101" s="133"/>
      <c r="E101" s="132">
        <v>0</v>
      </c>
      <c r="F101" s="132">
        <v>0</v>
      </c>
    </row>
    <row r="102" spans="1:6" ht="39" customHeight="1">
      <c r="A102" s="133" t="s">
        <v>356</v>
      </c>
      <c r="B102" s="136" t="s">
        <v>346</v>
      </c>
      <c r="C102" s="137" t="s">
        <v>521</v>
      </c>
      <c r="D102" s="133"/>
      <c r="E102" s="132">
        <v>176482966</v>
      </c>
      <c r="F102" s="132">
        <v>176482966</v>
      </c>
    </row>
    <row r="103" spans="1:6" ht="39" customHeight="1">
      <c r="A103" s="56" t="s">
        <v>356</v>
      </c>
      <c r="B103" s="131" t="s">
        <v>522</v>
      </c>
      <c r="C103" s="51" t="s">
        <v>523</v>
      </c>
      <c r="D103" s="66"/>
      <c r="E103" s="66">
        <v>32663520974</v>
      </c>
      <c r="F103" s="66">
        <v>4705646491</v>
      </c>
    </row>
    <row r="104" spans="1:6" ht="59.65" customHeight="1">
      <c r="A104" s="56" t="s">
        <v>53</v>
      </c>
      <c r="B104" s="131" t="s">
        <v>524</v>
      </c>
      <c r="C104" s="51" t="s">
        <v>525</v>
      </c>
      <c r="D104" s="66"/>
      <c r="E104" s="66">
        <v>1641867480749</v>
      </c>
      <c r="F104" s="66">
        <v>537324983242</v>
      </c>
    </row>
    <row r="105" spans="1:6" ht="39" customHeight="1">
      <c r="A105" s="133" t="s">
        <v>350</v>
      </c>
      <c r="B105" s="134" t="s">
        <v>526</v>
      </c>
      <c r="C105" s="135" t="s">
        <v>527</v>
      </c>
      <c r="D105" s="133"/>
      <c r="E105" s="132">
        <v>209030821100</v>
      </c>
      <c r="F105" s="132">
        <v>105292552100</v>
      </c>
    </row>
    <row r="106" spans="1:6" ht="39" customHeight="1">
      <c r="A106" s="133" t="s">
        <v>353</v>
      </c>
      <c r="B106" s="134" t="s">
        <v>528</v>
      </c>
      <c r="C106" s="135" t="s">
        <v>529</v>
      </c>
      <c r="D106" s="133"/>
      <c r="E106" s="132">
        <v>1785735737500</v>
      </c>
      <c r="F106" s="132">
        <v>1614902607000</v>
      </c>
    </row>
    <row r="107" spans="1:6" ht="39" customHeight="1">
      <c r="A107" s="133" t="s">
        <v>364</v>
      </c>
      <c r="B107" s="134" t="s">
        <v>530</v>
      </c>
      <c r="C107" s="135" t="s">
        <v>531</v>
      </c>
      <c r="D107" s="133"/>
      <c r="E107" s="132">
        <v>-1576704916400</v>
      </c>
      <c r="F107" s="132">
        <v>-1509610054900</v>
      </c>
    </row>
    <row r="108" spans="1:6" ht="39" customHeight="1">
      <c r="A108" s="133" t="s">
        <v>367</v>
      </c>
      <c r="B108" s="134" t="s">
        <v>532</v>
      </c>
      <c r="C108" s="135" t="s">
        <v>533</v>
      </c>
      <c r="D108" s="133"/>
      <c r="E108" s="132">
        <v>743639520035</v>
      </c>
      <c r="F108" s="132">
        <v>94058479458</v>
      </c>
    </row>
    <row r="109" spans="1:6" ht="39" customHeight="1">
      <c r="A109" s="133" t="s">
        <v>392</v>
      </c>
      <c r="B109" s="134" t="s">
        <v>534</v>
      </c>
      <c r="C109" s="135" t="s">
        <v>535</v>
      </c>
      <c r="D109" s="133"/>
      <c r="E109" s="132">
        <v>689197139614</v>
      </c>
      <c r="F109" s="132">
        <v>337973951684</v>
      </c>
    </row>
    <row r="110" spans="1:6" ht="39" customHeight="1">
      <c r="A110" s="133" t="s">
        <v>395</v>
      </c>
      <c r="B110" s="134" t="s">
        <v>536</v>
      </c>
      <c r="C110" s="135" t="s">
        <v>537</v>
      </c>
      <c r="D110" s="133"/>
      <c r="E110" s="132">
        <v>337973951684</v>
      </c>
      <c r="F110" s="132">
        <v>260361183648</v>
      </c>
    </row>
    <row r="111" spans="1:6" ht="39" customHeight="1">
      <c r="A111" s="133" t="s">
        <v>400</v>
      </c>
      <c r="B111" s="134" t="s">
        <v>538</v>
      </c>
      <c r="C111" s="135" t="s">
        <v>539</v>
      </c>
      <c r="D111" s="133"/>
      <c r="E111" s="132">
        <v>351223187930</v>
      </c>
      <c r="F111" s="132">
        <v>77612768036</v>
      </c>
    </row>
    <row r="112" spans="1:6" ht="47.65" customHeight="1">
      <c r="A112" s="56" t="s">
        <v>54</v>
      </c>
      <c r="B112" s="131" t="s">
        <v>540</v>
      </c>
      <c r="C112" s="51" t="s">
        <v>541</v>
      </c>
      <c r="D112" s="66"/>
      <c r="E112" s="143">
        <v>78546.66</v>
      </c>
      <c r="F112" s="143">
        <v>51031.62</v>
      </c>
    </row>
    <row r="113" spans="1:7" ht="45.4" customHeight="1">
      <c r="A113" s="56" t="s">
        <v>55</v>
      </c>
      <c r="B113" s="131" t="s">
        <v>542</v>
      </c>
      <c r="C113" s="51" t="s">
        <v>543</v>
      </c>
      <c r="D113" s="66"/>
      <c r="E113" s="66">
        <v>0</v>
      </c>
      <c r="F113" s="66">
        <v>0</v>
      </c>
    </row>
    <row r="114" spans="1:7" ht="54" customHeight="1">
      <c r="A114" s="133" t="s">
        <v>350</v>
      </c>
      <c r="B114" s="134" t="s">
        <v>544</v>
      </c>
      <c r="C114" s="135" t="s">
        <v>545</v>
      </c>
      <c r="D114" s="133"/>
      <c r="E114" s="132">
        <v>0</v>
      </c>
      <c r="F114" s="132">
        <v>0</v>
      </c>
    </row>
    <row r="115" spans="1:7" ht="51.6" customHeight="1">
      <c r="A115" s="133" t="s">
        <v>367</v>
      </c>
      <c r="B115" s="134" t="s">
        <v>546</v>
      </c>
      <c r="C115" s="135" t="s">
        <v>547</v>
      </c>
      <c r="D115" s="133"/>
      <c r="E115" s="132">
        <v>0</v>
      </c>
      <c r="F115" s="132">
        <v>0</v>
      </c>
    </row>
    <row r="116" spans="1:7" ht="46.5" customHeight="1">
      <c r="A116" s="56" t="s">
        <v>56</v>
      </c>
      <c r="B116" s="131" t="s">
        <v>548</v>
      </c>
      <c r="C116" s="51" t="s">
        <v>56</v>
      </c>
      <c r="D116" s="66"/>
      <c r="E116" s="66"/>
      <c r="F116" s="66"/>
    </row>
    <row r="117" spans="1:7" ht="39" customHeight="1">
      <c r="A117" s="133" t="s">
        <v>350</v>
      </c>
      <c r="B117" s="134" t="s">
        <v>549</v>
      </c>
      <c r="C117" s="135" t="s">
        <v>550</v>
      </c>
      <c r="D117" s="133"/>
      <c r="E117" s="132">
        <v>0</v>
      </c>
      <c r="F117" s="132">
        <v>0</v>
      </c>
    </row>
    <row r="118" spans="1:7" ht="39" customHeight="1">
      <c r="A118" s="133" t="s">
        <v>367</v>
      </c>
      <c r="B118" s="134" t="s">
        <v>551</v>
      </c>
      <c r="C118" s="135" t="s">
        <v>552</v>
      </c>
      <c r="D118" s="133"/>
      <c r="E118" s="132">
        <v>0</v>
      </c>
      <c r="F118" s="132">
        <v>0</v>
      </c>
    </row>
    <row r="119" spans="1:7" ht="39" customHeight="1">
      <c r="A119" s="133" t="s">
        <v>392</v>
      </c>
      <c r="B119" s="134" t="s">
        <v>553</v>
      </c>
      <c r="C119" s="135" t="s">
        <v>554</v>
      </c>
      <c r="D119" s="133"/>
      <c r="E119" s="132">
        <v>0</v>
      </c>
      <c r="F119" s="132">
        <v>0</v>
      </c>
    </row>
    <row r="120" spans="1:7" ht="39" customHeight="1">
      <c r="A120" s="140" t="s">
        <v>459</v>
      </c>
      <c r="B120" s="141" t="s">
        <v>555</v>
      </c>
      <c r="C120" s="135" t="s">
        <v>556</v>
      </c>
      <c r="D120" s="140"/>
      <c r="E120" s="142">
        <v>20903082.109999999</v>
      </c>
      <c r="F120" s="142">
        <v>10529255.210000001</v>
      </c>
    </row>
    <row r="121" spans="1:7" s="87" customFormat="1">
      <c r="A121" s="55"/>
      <c r="B121" s="55"/>
      <c r="C121" s="55"/>
      <c r="D121" s="55"/>
      <c r="E121" s="55"/>
      <c r="F121" s="55"/>
      <c r="G121" s="43"/>
    </row>
    <row r="122" spans="1:7" s="330" customFormat="1" ht="60" customHeight="1">
      <c r="A122" s="362" t="s">
        <v>965</v>
      </c>
      <c r="B122" s="362"/>
      <c r="C122" s="362"/>
      <c r="D122" s="362"/>
      <c r="E122" s="362"/>
      <c r="F122" s="362"/>
      <c r="G122" s="329"/>
    </row>
    <row r="123" spans="1:7">
      <c r="A123" s="257"/>
      <c r="B123" s="258"/>
      <c r="C123" s="258"/>
      <c r="D123" s="258"/>
      <c r="E123" s="258"/>
      <c r="F123" s="258"/>
    </row>
    <row r="124" spans="1:7" ht="16.899999999999999" customHeight="1">
      <c r="A124" s="355" t="s">
        <v>186</v>
      </c>
      <c r="B124" s="355"/>
      <c r="C124" s="355" t="s">
        <v>187</v>
      </c>
      <c r="D124" s="355"/>
      <c r="E124" s="355"/>
      <c r="F124" s="355"/>
    </row>
    <row r="137" spans="1:6">
      <c r="A137" s="363" t="s">
        <v>572</v>
      </c>
      <c r="B137" s="363"/>
      <c r="C137" s="363" t="s">
        <v>573</v>
      </c>
      <c r="D137" s="363"/>
      <c r="E137" s="363"/>
      <c r="F137" s="55" t="s">
        <v>794</v>
      </c>
    </row>
    <row r="138" spans="1:6" ht="16.899999999999999" customHeight="1">
      <c r="A138" s="364" t="s">
        <v>827</v>
      </c>
      <c r="B138" s="364"/>
      <c r="C138" s="364" t="s">
        <v>792</v>
      </c>
      <c r="D138" s="364"/>
      <c r="E138" s="364"/>
      <c r="F138" s="191" t="s">
        <v>746</v>
      </c>
    </row>
    <row r="139" spans="1:6" ht="16.899999999999999" customHeight="1">
      <c r="A139" s="363" t="s">
        <v>750</v>
      </c>
      <c r="B139" s="363"/>
      <c r="C139" s="363" t="s">
        <v>793</v>
      </c>
      <c r="D139" s="363"/>
      <c r="E139" s="363"/>
      <c r="F139" s="145" t="s">
        <v>826</v>
      </c>
    </row>
  </sheetData>
  <mergeCells count="21">
    <mergeCell ref="C14:F14"/>
    <mergeCell ref="A1:F1"/>
    <mergeCell ref="A2:F2"/>
    <mergeCell ref="A3:F3"/>
    <mergeCell ref="A5:F5"/>
    <mergeCell ref="C7:F7"/>
    <mergeCell ref="C8:F8"/>
    <mergeCell ref="C9:F9"/>
    <mergeCell ref="C10:F10"/>
    <mergeCell ref="C11:F11"/>
    <mergeCell ref="C12:F12"/>
    <mergeCell ref="C13:F13"/>
    <mergeCell ref="A122:F122"/>
    <mergeCell ref="A139:B139"/>
    <mergeCell ref="C139:E139"/>
    <mergeCell ref="A124:B124"/>
    <mergeCell ref="C124:F124"/>
    <mergeCell ref="A137:B137"/>
    <mergeCell ref="C137:E137"/>
    <mergeCell ref="A138:B138"/>
    <mergeCell ref="C138:E138"/>
  </mergeCells>
  <printOptions horizontalCentered="1"/>
  <pageMargins left="0.3" right="0.3" top="0.75" bottom="0.75" header="0.3" footer="0.3"/>
  <pageSetup paperSize="9" scale="63"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22" zoomScale="84" zoomScaleNormal="100" zoomScaleSheetLayoutView="84" workbookViewId="0">
      <selection activeCell="P13" sqref="P13"/>
    </sheetView>
  </sheetViews>
  <sheetFormatPr defaultColWidth="8.7109375" defaultRowHeight="12.75"/>
  <cols>
    <col min="1" max="1" width="8.7109375" style="55"/>
    <col min="2" max="2" width="6.42578125" style="55" customWidth="1"/>
    <col min="3" max="3" width="46.28515625" style="55" customWidth="1"/>
    <col min="4" max="4" width="10.7109375" style="55" bestFit="1" customWidth="1"/>
    <col min="5" max="5" width="34.7109375" style="55" customWidth="1"/>
    <col min="6" max="6" width="37.7109375" style="55" customWidth="1"/>
    <col min="7" max="16384" width="8.7109375" style="76"/>
  </cols>
  <sheetData>
    <row r="1" spans="1:7" ht="26.65" customHeight="1">
      <c r="A1" s="357" t="s">
        <v>832</v>
      </c>
      <c r="B1" s="357"/>
      <c r="C1" s="357"/>
      <c r="D1" s="357"/>
      <c r="E1" s="357"/>
      <c r="F1" s="357"/>
      <c r="G1" s="83"/>
    </row>
    <row r="2" spans="1:7" ht="32.65" customHeight="1">
      <c r="A2" s="358" t="s">
        <v>231</v>
      </c>
      <c r="B2" s="358"/>
      <c r="C2" s="358"/>
      <c r="D2" s="358"/>
      <c r="E2" s="358"/>
      <c r="F2" s="358"/>
      <c r="G2" s="84"/>
    </row>
    <row r="3" spans="1:7" ht="15" customHeight="1">
      <c r="A3" s="359" t="s">
        <v>302</v>
      </c>
      <c r="B3" s="359"/>
      <c r="C3" s="359"/>
      <c r="D3" s="359"/>
      <c r="E3" s="359"/>
      <c r="F3" s="359"/>
      <c r="G3" s="83"/>
    </row>
    <row r="4" spans="1:7" ht="21" customHeight="1">
      <c r="A4" s="359"/>
      <c r="B4" s="359"/>
      <c r="C4" s="359"/>
      <c r="D4" s="359"/>
      <c r="E4" s="359"/>
      <c r="F4" s="359"/>
      <c r="G4" s="83"/>
    </row>
    <row r="5" spans="1:7" ht="16.899999999999999" customHeight="1">
      <c r="A5" s="360" t="s">
        <v>798</v>
      </c>
      <c r="B5" s="360"/>
      <c r="C5" s="360"/>
      <c r="D5" s="360"/>
      <c r="E5" s="360"/>
      <c r="F5" s="360"/>
      <c r="G5" s="85"/>
    </row>
    <row r="6" spans="1:7" ht="16.899999999999999" customHeight="1"/>
    <row r="7" spans="1:7">
      <c r="A7" s="61" t="s">
        <v>2</v>
      </c>
      <c r="B7" s="94"/>
      <c r="D7" s="361" t="s">
        <v>742</v>
      </c>
      <c r="E7" s="361"/>
      <c r="F7" s="361"/>
    </row>
    <row r="8" spans="1:7">
      <c r="A8" s="55" t="s">
        <v>40</v>
      </c>
      <c r="B8" s="94"/>
      <c r="D8" s="354" t="s">
        <v>825</v>
      </c>
      <c r="E8" s="354"/>
      <c r="F8" s="354"/>
    </row>
    <row r="9" spans="1:7" ht="16.899999999999999" customHeight="1">
      <c r="A9" s="61" t="s">
        <v>3</v>
      </c>
      <c r="B9" s="94"/>
      <c r="D9" s="370" t="s">
        <v>743</v>
      </c>
      <c r="E9" s="370"/>
      <c r="F9" s="370"/>
    </row>
    <row r="10" spans="1:7" ht="16.899999999999999" customHeight="1">
      <c r="A10" s="55" t="s">
        <v>4</v>
      </c>
      <c r="B10" s="94"/>
      <c r="D10" s="365" t="s">
        <v>744</v>
      </c>
      <c r="E10" s="365"/>
      <c r="F10" s="365"/>
    </row>
    <row r="11" spans="1:7" ht="28.5" customHeight="1">
      <c r="A11" s="61" t="s">
        <v>5</v>
      </c>
      <c r="B11" s="94"/>
      <c r="D11" s="361" t="s">
        <v>963</v>
      </c>
      <c r="E11" s="370"/>
      <c r="F11" s="370"/>
    </row>
    <row r="12" spans="1:7" ht="28.5" customHeight="1">
      <c r="A12" s="55" t="s">
        <v>6</v>
      </c>
      <c r="B12" s="94"/>
      <c r="D12" s="354" t="s">
        <v>964</v>
      </c>
      <c r="E12" s="365"/>
      <c r="F12" s="365"/>
    </row>
    <row r="13" spans="1:7" ht="16.899999999999999" customHeight="1">
      <c r="A13" s="61" t="s">
        <v>7</v>
      </c>
      <c r="B13" s="94"/>
      <c r="D13" s="370" t="s">
        <v>979</v>
      </c>
      <c r="E13" s="370"/>
      <c r="F13" s="370"/>
    </row>
    <row r="14" spans="1:7" ht="16.899999999999999" customHeight="1">
      <c r="A14" s="55" t="s">
        <v>8</v>
      </c>
      <c r="D14" s="371" t="s">
        <v>980</v>
      </c>
      <c r="E14" s="365"/>
      <c r="F14" s="365"/>
    </row>
    <row r="17" spans="1:7">
      <c r="A17" s="62"/>
      <c r="B17" s="62"/>
      <c r="C17" s="63"/>
    </row>
    <row r="18" spans="1:7" ht="37.15" customHeight="1">
      <c r="A18" s="366" t="s">
        <v>42</v>
      </c>
      <c r="B18" s="367"/>
      <c r="C18" s="77" t="s">
        <v>303</v>
      </c>
      <c r="D18" s="77" t="s">
        <v>106</v>
      </c>
      <c r="E18" s="77" t="s">
        <v>800</v>
      </c>
      <c r="F18" s="77" t="s">
        <v>749</v>
      </c>
    </row>
    <row r="19" spans="1:7" s="87" customFormat="1" ht="58.15" customHeight="1">
      <c r="A19" s="86" t="s">
        <v>41</v>
      </c>
      <c r="B19" s="86"/>
      <c r="C19" s="95" t="s">
        <v>95</v>
      </c>
      <c r="D19" s="96"/>
      <c r="E19" s="205">
        <v>537324983242</v>
      </c>
      <c r="F19" s="205">
        <v>832283820546</v>
      </c>
    </row>
    <row r="20" spans="1:7" s="87" customFormat="1" ht="79.5" customHeight="1">
      <c r="A20" s="86" t="s">
        <v>47</v>
      </c>
      <c r="B20" s="86"/>
      <c r="C20" s="95" t="s">
        <v>96</v>
      </c>
      <c r="D20" s="96"/>
      <c r="E20" s="205">
        <v>351223187930</v>
      </c>
      <c r="F20" s="205">
        <v>77612768036</v>
      </c>
    </row>
    <row r="21" spans="1:7" ht="58.15" customHeight="1">
      <c r="A21" s="368"/>
      <c r="B21" s="88" t="s">
        <v>48</v>
      </c>
      <c r="C21" s="97" t="s">
        <v>97</v>
      </c>
      <c r="D21" s="98"/>
      <c r="E21" s="148">
        <v>351223187930</v>
      </c>
      <c r="F21" s="148">
        <v>77612768036</v>
      </c>
    </row>
    <row r="22" spans="1:7" ht="57" customHeight="1">
      <c r="A22" s="369"/>
      <c r="B22" s="88" t="s">
        <v>49</v>
      </c>
      <c r="C22" s="97" t="s">
        <v>256</v>
      </c>
      <c r="D22" s="98"/>
      <c r="E22" s="148">
        <v>0</v>
      </c>
      <c r="F22" s="148">
        <v>0</v>
      </c>
    </row>
    <row r="23" spans="1:7" s="87" customFormat="1" ht="76.5" customHeight="1">
      <c r="A23" s="86" t="s">
        <v>53</v>
      </c>
      <c r="B23" s="86"/>
      <c r="C23" s="95" t="s">
        <v>98</v>
      </c>
      <c r="D23" s="96"/>
      <c r="E23" s="205">
        <v>753319309577</v>
      </c>
      <c r="F23" s="205">
        <v>-372571605340</v>
      </c>
    </row>
    <row r="24" spans="1:7" ht="46.5" customHeight="1">
      <c r="A24" s="368"/>
      <c r="B24" s="88" t="s">
        <v>99</v>
      </c>
      <c r="C24" s="97" t="s">
        <v>100</v>
      </c>
      <c r="D24" s="98"/>
      <c r="E24" s="148">
        <v>1216071519572</v>
      </c>
      <c r="F24" s="148">
        <v>52075040504</v>
      </c>
    </row>
    <row r="25" spans="1:7" ht="33" customHeight="1">
      <c r="A25" s="369"/>
      <c r="B25" s="88" t="s">
        <v>101</v>
      </c>
      <c r="C25" s="97" t="s">
        <v>102</v>
      </c>
      <c r="D25" s="98"/>
      <c r="E25" s="148">
        <v>-462752209995</v>
      </c>
      <c r="F25" s="148">
        <v>-424646645844</v>
      </c>
    </row>
    <row r="26" spans="1:7" s="87" customFormat="1" ht="45.4" customHeight="1">
      <c r="A26" s="86" t="s">
        <v>54</v>
      </c>
      <c r="B26" s="86"/>
      <c r="C26" s="95" t="s">
        <v>304</v>
      </c>
      <c r="D26" s="96"/>
      <c r="E26" s="205">
        <v>1641867480749</v>
      </c>
      <c r="F26" s="205">
        <v>537324983242</v>
      </c>
    </row>
    <row r="27" spans="1:7" s="87" customFormat="1" ht="47.25" customHeight="1">
      <c r="A27" s="86" t="s">
        <v>55</v>
      </c>
      <c r="B27" s="86"/>
      <c r="C27" s="95" t="s">
        <v>268</v>
      </c>
      <c r="D27" s="96"/>
      <c r="E27" s="149">
        <v>78546.66</v>
      </c>
      <c r="F27" s="149">
        <v>51031.62</v>
      </c>
    </row>
    <row r="28" spans="1:7">
      <c r="A28" s="99"/>
      <c r="B28" s="99"/>
      <c r="C28" s="100"/>
      <c r="D28" s="99"/>
      <c r="E28" s="101"/>
      <c r="F28" s="101"/>
    </row>
    <row r="29" spans="1:7" s="330" customFormat="1" ht="52.9" customHeight="1">
      <c r="A29" s="354" t="s">
        <v>965</v>
      </c>
      <c r="B29" s="365"/>
      <c r="C29" s="365"/>
      <c r="D29" s="365"/>
      <c r="E29" s="365"/>
      <c r="F29" s="365"/>
    </row>
    <row r="30" spans="1:7" s="330" customFormat="1" ht="20.45" customHeight="1">
      <c r="A30" s="355" t="s">
        <v>186</v>
      </c>
      <c r="B30" s="355"/>
      <c r="C30" s="355" t="s">
        <v>187</v>
      </c>
      <c r="D30" s="355"/>
      <c r="E30" s="355"/>
      <c r="F30" s="355"/>
    </row>
    <row r="31" spans="1:7" s="330" customFormat="1" ht="52.9" customHeight="1">
      <c r="A31" s="340"/>
      <c r="B31" s="343"/>
      <c r="C31" s="343"/>
      <c r="D31" s="343"/>
      <c r="E31" s="343"/>
      <c r="F31" s="343"/>
    </row>
    <row r="32" spans="1:7">
      <c r="A32" s="363" t="s">
        <v>572</v>
      </c>
      <c r="B32" s="363"/>
      <c r="C32" s="363" t="s">
        <v>573</v>
      </c>
      <c r="D32" s="363"/>
      <c r="E32" s="363"/>
      <c r="F32" s="55" t="s">
        <v>794</v>
      </c>
      <c r="G32" s="42"/>
    </row>
    <row r="33" spans="1:7" ht="16.899999999999999" customHeight="1">
      <c r="A33" s="364" t="s">
        <v>827</v>
      </c>
      <c r="B33" s="364"/>
      <c r="C33" s="364" t="s">
        <v>792</v>
      </c>
      <c r="D33" s="364"/>
      <c r="E33" s="364"/>
      <c r="F33" s="342" t="s">
        <v>746</v>
      </c>
      <c r="G33" s="42"/>
    </row>
    <row r="34" spans="1:7" ht="16.899999999999999" customHeight="1">
      <c r="A34" s="363" t="s">
        <v>750</v>
      </c>
      <c r="B34" s="363"/>
      <c r="C34" s="363" t="s">
        <v>793</v>
      </c>
      <c r="D34" s="363"/>
      <c r="E34" s="363"/>
      <c r="F34" s="341" t="s">
        <v>826</v>
      </c>
      <c r="G34" s="42"/>
    </row>
    <row r="35" spans="1:7" s="330" customFormat="1" ht="52.9" customHeight="1">
      <c r="A35" s="340"/>
      <c r="B35" s="343"/>
      <c r="C35" s="343"/>
      <c r="D35" s="343"/>
      <c r="E35" s="343"/>
      <c r="F35" s="343"/>
    </row>
    <row r="36" spans="1:7" s="330" customFormat="1" ht="52.9" customHeight="1">
      <c r="A36" s="340"/>
      <c r="B36" s="343"/>
      <c r="C36" s="343"/>
      <c r="D36" s="343"/>
      <c r="E36" s="343"/>
      <c r="F36" s="343"/>
    </row>
    <row r="37" spans="1:7" s="330" customFormat="1" ht="52.9" customHeight="1">
      <c r="A37" s="340"/>
      <c r="B37" s="343"/>
      <c r="C37" s="343"/>
      <c r="D37" s="343"/>
      <c r="E37" s="343"/>
      <c r="F37" s="343"/>
    </row>
    <row r="38" spans="1:7" s="330" customFormat="1" ht="52.9" customHeight="1">
      <c r="A38" s="340"/>
      <c r="B38" s="343"/>
      <c r="C38" s="343"/>
      <c r="D38" s="343"/>
      <c r="E38" s="343"/>
      <c r="F38" s="343"/>
    </row>
    <row r="39" spans="1:7" s="330" customFormat="1" ht="52.9" customHeight="1">
      <c r="A39" s="340"/>
      <c r="B39" s="343"/>
      <c r="C39" s="343"/>
      <c r="D39" s="343"/>
      <c r="E39" s="343"/>
      <c r="F39" s="343"/>
    </row>
    <row r="40" spans="1:7" s="330" customFormat="1" ht="52.9" customHeight="1">
      <c r="A40" s="340"/>
      <c r="B40" s="343"/>
      <c r="C40" s="343"/>
      <c r="D40" s="343"/>
      <c r="E40" s="343"/>
      <c r="F40" s="343"/>
    </row>
    <row r="41" spans="1:7" s="330" customFormat="1" ht="52.9" customHeight="1">
      <c r="A41" s="340"/>
      <c r="B41" s="343"/>
      <c r="C41" s="343"/>
      <c r="D41" s="343"/>
      <c r="E41" s="343"/>
      <c r="F41" s="343"/>
    </row>
    <row r="42" spans="1:7" s="330" customFormat="1" ht="52.9" customHeight="1">
      <c r="A42" s="340"/>
      <c r="B42" s="343"/>
      <c r="C42" s="343"/>
      <c r="D42" s="343"/>
      <c r="E42" s="343"/>
      <c r="F42" s="343"/>
    </row>
    <row r="43" spans="1:7" s="330" customFormat="1" ht="52.9" customHeight="1">
      <c r="A43" s="340"/>
      <c r="B43" s="343"/>
      <c r="C43" s="343"/>
      <c r="D43" s="343"/>
      <c r="E43" s="343"/>
      <c r="F43" s="343"/>
    </row>
  </sheetData>
  <mergeCells count="24">
    <mergeCell ref="D9:F9"/>
    <mergeCell ref="D10:F10"/>
    <mergeCell ref="D11:F11"/>
    <mergeCell ref="D12:F12"/>
    <mergeCell ref="A30:B30"/>
    <mergeCell ref="C30:F30"/>
    <mergeCell ref="D13:F13"/>
    <mergeCell ref="D14:F14"/>
    <mergeCell ref="D8:F8"/>
    <mergeCell ref="A1:F1"/>
    <mergeCell ref="A2:F2"/>
    <mergeCell ref="A3:F4"/>
    <mergeCell ref="A5:F5"/>
    <mergeCell ref="D7:F7"/>
    <mergeCell ref="A34:B34"/>
    <mergeCell ref="C34:E34"/>
    <mergeCell ref="A29:F29"/>
    <mergeCell ref="A18:B18"/>
    <mergeCell ref="A21:A22"/>
    <mergeCell ref="A24:A25"/>
    <mergeCell ref="A32:B32"/>
    <mergeCell ref="C32:E32"/>
    <mergeCell ref="A33:B33"/>
    <mergeCell ref="C33:E33"/>
  </mergeCells>
  <printOptions horizontalCentered="1"/>
  <pageMargins left="0.3" right="0.3" top="0.75" bottom="0.5" header="0.3" footer="0.3"/>
  <pageSetup paperSize="9" scale="67"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20BF-3F13-4DB0-99E9-EDCFC1FD4A3C}">
  <dimension ref="A1:G104"/>
  <sheetViews>
    <sheetView view="pageBreakPreview" zoomScale="84" zoomScaleNormal="100" zoomScaleSheetLayoutView="84" workbookViewId="0">
      <selection activeCell="L86" sqref="L86"/>
    </sheetView>
  </sheetViews>
  <sheetFormatPr defaultColWidth="8.7109375" defaultRowHeight="12.75"/>
  <cols>
    <col min="1" max="1" width="8.7109375" style="308"/>
    <col min="2" max="2" width="40.28515625" style="308" customWidth="1"/>
    <col min="3" max="3" width="8.7109375" style="308"/>
    <col min="4" max="4" width="17.7109375" style="308" customWidth="1"/>
    <col min="5" max="5" width="18.28515625" style="308" customWidth="1"/>
    <col min="6" max="6" width="22.28515625" style="308" customWidth="1"/>
    <col min="7" max="7" width="15.7109375" style="308" customWidth="1"/>
    <col min="8" max="16384" width="8.7109375" style="306"/>
  </cols>
  <sheetData>
    <row r="1" spans="1:7" ht="26.65" customHeight="1">
      <c r="A1" s="379" t="s">
        <v>879</v>
      </c>
      <c r="B1" s="379"/>
      <c r="C1" s="379"/>
      <c r="D1" s="379"/>
      <c r="E1" s="379"/>
      <c r="F1" s="379"/>
      <c r="G1" s="379"/>
    </row>
    <row r="2" spans="1:7" ht="27" customHeight="1">
      <c r="A2" s="380" t="s">
        <v>231</v>
      </c>
      <c r="B2" s="380"/>
      <c r="C2" s="380"/>
      <c r="D2" s="380"/>
      <c r="E2" s="380"/>
      <c r="F2" s="380"/>
      <c r="G2" s="380"/>
    </row>
    <row r="3" spans="1:7" ht="33.6" customHeight="1">
      <c r="A3" s="381" t="s">
        <v>880</v>
      </c>
      <c r="B3" s="381"/>
      <c r="C3" s="381"/>
      <c r="D3" s="381"/>
      <c r="E3" s="381"/>
      <c r="F3" s="381"/>
      <c r="G3" s="381"/>
    </row>
    <row r="4" spans="1:7" ht="16.899999999999999" customHeight="1">
      <c r="A4" s="382" t="s">
        <v>799</v>
      </c>
      <c r="B4" s="382"/>
      <c r="C4" s="382"/>
      <c r="D4" s="382"/>
      <c r="E4" s="382"/>
      <c r="F4" s="382"/>
      <c r="G4" s="382"/>
    </row>
    <row r="6" spans="1:7" ht="16.899999999999999" customHeight="1">
      <c r="A6" s="307" t="s">
        <v>2</v>
      </c>
      <c r="C6" s="373" t="s">
        <v>742</v>
      </c>
      <c r="D6" s="373"/>
      <c r="E6" s="373"/>
      <c r="F6" s="373"/>
      <c r="G6" s="373"/>
    </row>
    <row r="7" spans="1:7" ht="16.899999999999999" customHeight="1">
      <c r="A7" s="308" t="s">
        <v>40</v>
      </c>
      <c r="C7" s="374" t="s">
        <v>825</v>
      </c>
      <c r="D7" s="374"/>
      <c r="E7" s="374"/>
      <c r="F7" s="374"/>
      <c r="G7" s="374"/>
    </row>
    <row r="8" spans="1:7" ht="16.899999999999999" customHeight="1">
      <c r="A8" s="307" t="s">
        <v>3</v>
      </c>
      <c r="C8" s="373" t="s">
        <v>743</v>
      </c>
      <c r="D8" s="373"/>
      <c r="E8" s="373"/>
      <c r="F8" s="373"/>
      <c r="G8" s="373"/>
    </row>
    <row r="9" spans="1:7" ht="16.899999999999999" customHeight="1">
      <c r="A9" s="308" t="s">
        <v>4</v>
      </c>
      <c r="C9" s="374" t="s">
        <v>744</v>
      </c>
      <c r="D9" s="374"/>
      <c r="E9" s="374"/>
      <c r="F9" s="374"/>
      <c r="G9" s="374"/>
    </row>
    <row r="10" spans="1:7" ht="28.5" customHeight="1">
      <c r="A10" s="307" t="s">
        <v>5</v>
      </c>
      <c r="C10" s="373" t="s">
        <v>963</v>
      </c>
      <c r="D10" s="373"/>
      <c r="E10" s="373"/>
      <c r="F10" s="373"/>
      <c r="G10" s="373"/>
    </row>
    <row r="11" spans="1:7" ht="31.5" customHeight="1">
      <c r="A11" s="308" t="s">
        <v>6</v>
      </c>
      <c r="C11" s="374" t="s">
        <v>964</v>
      </c>
      <c r="D11" s="374"/>
      <c r="E11" s="374"/>
      <c r="F11" s="374"/>
      <c r="G11" s="374"/>
    </row>
    <row r="12" spans="1:7" ht="16.899999999999999" customHeight="1">
      <c r="A12" s="307" t="s">
        <v>7</v>
      </c>
      <c r="C12" s="373" t="s">
        <v>979</v>
      </c>
      <c r="D12" s="373"/>
      <c r="E12" s="373"/>
      <c r="F12" s="373"/>
      <c r="G12" s="373"/>
    </row>
    <row r="13" spans="1:7" ht="16.899999999999999" customHeight="1">
      <c r="A13" s="308" t="s">
        <v>8</v>
      </c>
      <c r="C13" s="375" t="s">
        <v>980</v>
      </c>
      <c r="D13" s="374"/>
      <c r="E13" s="374"/>
      <c r="F13" s="374"/>
      <c r="G13" s="374"/>
    </row>
    <row r="15" spans="1:7">
      <c r="A15" s="309"/>
      <c r="B15" s="309"/>
    </row>
    <row r="16" spans="1:7" ht="66" customHeight="1">
      <c r="A16" s="310" t="s">
        <v>881</v>
      </c>
      <c r="B16" s="310" t="s">
        <v>79</v>
      </c>
      <c r="C16" s="310" t="s">
        <v>44</v>
      </c>
      <c r="D16" s="310" t="s">
        <v>80</v>
      </c>
      <c r="E16" s="310" t="s">
        <v>81</v>
      </c>
      <c r="F16" s="310" t="s">
        <v>82</v>
      </c>
      <c r="G16" s="310" t="s">
        <v>83</v>
      </c>
    </row>
    <row r="17" spans="1:7" ht="39" customHeight="1">
      <c r="A17" s="311" t="s">
        <v>41</v>
      </c>
      <c r="B17" s="312" t="s">
        <v>648</v>
      </c>
      <c r="C17" s="311" t="s">
        <v>882</v>
      </c>
      <c r="D17" s="313"/>
      <c r="E17" s="313"/>
      <c r="F17" s="313"/>
      <c r="G17" s="314"/>
    </row>
    <row r="18" spans="1:7" ht="39" customHeight="1">
      <c r="A18" s="315" t="s">
        <v>350</v>
      </c>
      <c r="B18" s="316" t="s">
        <v>650</v>
      </c>
      <c r="C18" s="317" t="s">
        <v>883</v>
      </c>
      <c r="D18" s="318">
        <v>530142</v>
      </c>
      <c r="E18" s="319">
        <v>34500</v>
      </c>
      <c r="F18" s="318">
        <v>18289899000</v>
      </c>
      <c r="G18" s="320">
        <v>1.09E-2</v>
      </c>
    </row>
    <row r="19" spans="1:7" ht="39" customHeight="1">
      <c r="A19" s="315" t="s">
        <v>367</v>
      </c>
      <c r="B19" s="316" t="s">
        <v>802</v>
      </c>
      <c r="C19" s="317" t="s">
        <v>884</v>
      </c>
      <c r="D19" s="318">
        <v>250000</v>
      </c>
      <c r="E19" s="319">
        <v>42400</v>
      </c>
      <c r="F19" s="318">
        <v>10600000000</v>
      </c>
      <c r="G19" s="320">
        <v>6.3E-3</v>
      </c>
    </row>
    <row r="20" spans="1:7" ht="39" customHeight="1">
      <c r="A20" s="315" t="s">
        <v>392</v>
      </c>
      <c r="B20" s="316" t="s">
        <v>803</v>
      </c>
      <c r="C20" s="317" t="s">
        <v>885</v>
      </c>
      <c r="D20" s="318">
        <v>200000</v>
      </c>
      <c r="E20" s="319">
        <v>125900</v>
      </c>
      <c r="F20" s="318">
        <v>25180000000</v>
      </c>
      <c r="G20" s="320">
        <v>1.4999999999999999E-2</v>
      </c>
    </row>
    <row r="21" spans="1:7" ht="39" customHeight="1">
      <c r="A21" s="315" t="s">
        <v>459</v>
      </c>
      <c r="B21" s="316" t="s">
        <v>804</v>
      </c>
      <c r="C21" s="317" t="s">
        <v>886</v>
      </c>
      <c r="D21" s="318">
        <v>1250000</v>
      </c>
      <c r="E21" s="319">
        <v>50000</v>
      </c>
      <c r="F21" s="318">
        <v>62500000000</v>
      </c>
      <c r="G21" s="320">
        <v>3.73E-2</v>
      </c>
    </row>
    <row r="22" spans="1:7" ht="39" customHeight="1">
      <c r="A22" s="315" t="s">
        <v>462</v>
      </c>
      <c r="B22" s="316" t="s">
        <v>660</v>
      </c>
      <c r="C22" s="317" t="s">
        <v>887</v>
      </c>
      <c r="D22" s="318">
        <v>300000</v>
      </c>
      <c r="E22" s="319">
        <v>93000</v>
      </c>
      <c r="F22" s="318">
        <v>27900000000</v>
      </c>
      <c r="G22" s="320">
        <v>1.67E-2</v>
      </c>
    </row>
    <row r="23" spans="1:7" ht="39" customHeight="1">
      <c r="A23" s="315" t="s">
        <v>465</v>
      </c>
      <c r="B23" s="316" t="s">
        <v>664</v>
      </c>
      <c r="C23" s="317" t="s">
        <v>888</v>
      </c>
      <c r="D23" s="318">
        <v>600000</v>
      </c>
      <c r="E23" s="319">
        <v>67800</v>
      </c>
      <c r="F23" s="318">
        <v>40680000000</v>
      </c>
      <c r="G23" s="320">
        <v>2.4299999999999999E-2</v>
      </c>
    </row>
    <row r="24" spans="1:7" ht="39" customHeight="1">
      <c r="A24" s="315" t="s">
        <v>485</v>
      </c>
      <c r="B24" s="316" t="s">
        <v>666</v>
      </c>
      <c r="C24" s="317" t="s">
        <v>889</v>
      </c>
      <c r="D24" s="318">
        <v>600000</v>
      </c>
      <c r="E24" s="319">
        <v>30850</v>
      </c>
      <c r="F24" s="318">
        <v>18510000000</v>
      </c>
      <c r="G24" s="320">
        <v>1.12E-2</v>
      </c>
    </row>
    <row r="25" spans="1:7" ht="39" customHeight="1">
      <c r="A25" s="315" t="s">
        <v>490</v>
      </c>
      <c r="B25" s="316" t="s">
        <v>668</v>
      </c>
      <c r="C25" s="317" t="s">
        <v>890</v>
      </c>
      <c r="D25" s="318">
        <v>1600029</v>
      </c>
      <c r="E25" s="319">
        <v>46400</v>
      </c>
      <c r="F25" s="318">
        <v>74241345600</v>
      </c>
      <c r="G25" s="320">
        <v>4.4299999999999999E-2</v>
      </c>
    </row>
    <row r="26" spans="1:7" ht="39" customHeight="1">
      <c r="A26" s="315" t="s">
        <v>493</v>
      </c>
      <c r="B26" s="316" t="s">
        <v>805</v>
      </c>
      <c r="C26" s="317" t="s">
        <v>891</v>
      </c>
      <c r="D26" s="318">
        <v>700000</v>
      </c>
      <c r="E26" s="319">
        <v>60800</v>
      </c>
      <c r="F26" s="318">
        <v>42560000000</v>
      </c>
      <c r="G26" s="320">
        <v>2.5399999999999999E-2</v>
      </c>
    </row>
    <row r="27" spans="1:7" ht="39" customHeight="1">
      <c r="A27" s="315" t="s">
        <v>119</v>
      </c>
      <c r="B27" s="316" t="s">
        <v>670</v>
      </c>
      <c r="C27" s="317" t="s">
        <v>892</v>
      </c>
      <c r="D27" s="318">
        <v>800002</v>
      </c>
      <c r="E27" s="319">
        <v>51000</v>
      </c>
      <c r="F27" s="318">
        <v>40800102000</v>
      </c>
      <c r="G27" s="320">
        <v>2.4400000000000002E-2</v>
      </c>
    </row>
    <row r="28" spans="1:7" ht="39" customHeight="1">
      <c r="A28" s="315" t="s">
        <v>121</v>
      </c>
      <c r="B28" s="316" t="s">
        <v>674</v>
      </c>
      <c r="C28" s="317" t="s">
        <v>893</v>
      </c>
      <c r="D28" s="318">
        <v>1900019</v>
      </c>
      <c r="E28" s="319">
        <v>28900</v>
      </c>
      <c r="F28" s="318">
        <v>54910549100</v>
      </c>
      <c r="G28" s="320">
        <v>3.2800000000000003E-2</v>
      </c>
    </row>
    <row r="29" spans="1:7" ht="39" customHeight="1">
      <c r="A29" s="315" t="s">
        <v>126</v>
      </c>
      <c r="B29" s="316" t="s">
        <v>676</v>
      </c>
      <c r="C29" s="317" t="s">
        <v>894</v>
      </c>
      <c r="D29" s="318">
        <v>200000</v>
      </c>
      <c r="E29" s="319">
        <v>171000</v>
      </c>
      <c r="F29" s="318">
        <v>34200000000</v>
      </c>
      <c r="G29" s="320">
        <v>2.0400000000000001E-2</v>
      </c>
    </row>
    <row r="30" spans="1:7" ht="39" customHeight="1">
      <c r="A30" s="315" t="s">
        <v>128</v>
      </c>
      <c r="B30" s="316" t="s">
        <v>678</v>
      </c>
      <c r="C30" s="317" t="s">
        <v>895</v>
      </c>
      <c r="D30" s="318">
        <v>800030</v>
      </c>
      <c r="E30" s="319">
        <v>135900</v>
      </c>
      <c r="F30" s="318">
        <v>108724077000</v>
      </c>
      <c r="G30" s="320">
        <v>6.4899999999999999E-2</v>
      </c>
    </row>
    <row r="31" spans="1:7" ht="39" customHeight="1">
      <c r="A31" s="315" t="s">
        <v>130</v>
      </c>
      <c r="B31" s="316" t="s">
        <v>680</v>
      </c>
      <c r="C31" s="317" t="s">
        <v>896</v>
      </c>
      <c r="D31" s="318">
        <v>400000</v>
      </c>
      <c r="E31" s="319">
        <v>64200</v>
      </c>
      <c r="F31" s="318">
        <v>25680000000</v>
      </c>
      <c r="G31" s="320">
        <v>1.5299999999999999E-2</v>
      </c>
    </row>
    <row r="32" spans="1:7" ht="39" customHeight="1">
      <c r="A32" s="315" t="s">
        <v>131</v>
      </c>
      <c r="B32" s="316" t="s">
        <v>806</v>
      </c>
      <c r="C32" s="317" t="s">
        <v>897</v>
      </c>
      <c r="D32" s="318">
        <v>400000</v>
      </c>
      <c r="E32" s="319">
        <v>41700</v>
      </c>
      <c r="F32" s="318">
        <v>16680000000</v>
      </c>
      <c r="G32" s="320">
        <v>0.01</v>
      </c>
    </row>
    <row r="33" spans="1:7" ht="39" customHeight="1">
      <c r="A33" s="315" t="s">
        <v>199</v>
      </c>
      <c r="B33" s="316" t="s">
        <v>807</v>
      </c>
      <c r="C33" s="317" t="s">
        <v>898</v>
      </c>
      <c r="D33" s="318">
        <v>350000</v>
      </c>
      <c r="E33" s="319">
        <v>91000</v>
      </c>
      <c r="F33" s="318">
        <v>31850000000</v>
      </c>
      <c r="G33" s="320">
        <v>1.9E-2</v>
      </c>
    </row>
    <row r="34" spans="1:7" ht="39" customHeight="1">
      <c r="A34" s="315" t="s">
        <v>200</v>
      </c>
      <c r="B34" s="316" t="s">
        <v>808</v>
      </c>
      <c r="C34" s="317" t="s">
        <v>899</v>
      </c>
      <c r="D34" s="318">
        <v>900000</v>
      </c>
      <c r="E34" s="319">
        <v>27300</v>
      </c>
      <c r="F34" s="318">
        <v>24570000000</v>
      </c>
      <c r="G34" s="320">
        <v>1.47E-2</v>
      </c>
    </row>
    <row r="35" spans="1:7" ht="39" customHeight="1">
      <c r="A35" s="315" t="s">
        <v>202</v>
      </c>
      <c r="B35" s="316" t="s">
        <v>809</v>
      </c>
      <c r="C35" s="317" t="s">
        <v>900</v>
      </c>
      <c r="D35" s="318">
        <v>400000</v>
      </c>
      <c r="E35" s="319">
        <v>39350</v>
      </c>
      <c r="F35" s="318">
        <v>15740000000</v>
      </c>
      <c r="G35" s="320">
        <v>9.4000000000000004E-3</v>
      </c>
    </row>
    <row r="36" spans="1:7" ht="39" customHeight="1">
      <c r="A36" s="315" t="s">
        <v>203</v>
      </c>
      <c r="B36" s="316" t="s">
        <v>810</v>
      </c>
      <c r="C36" s="317" t="s">
        <v>901</v>
      </c>
      <c r="D36" s="318">
        <v>500000</v>
      </c>
      <c r="E36" s="319">
        <v>36550</v>
      </c>
      <c r="F36" s="318">
        <v>18275000000</v>
      </c>
      <c r="G36" s="320">
        <v>1.09E-2</v>
      </c>
    </row>
    <row r="37" spans="1:7" ht="39" customHeight="1">
      <c r="A37" s="315" t="s">
        <v>132</v>
      </c>
      <c r="B37" s="316" t="s">
        <v>811</v>
      </c>
      <c r="C37" s="317" t="s">
        <v>902</v>
      </c>
      <c r="D37" s="318">
        <v>650000</v>
      </c>
      <c r="E37" s="319">
        <v>50600</v>
      </c>
      <c r="F37" s="318">
        <v>32890000000</v>
      </c>
      <c r="G37" s="320">
        <v>1.9599999999999999E-2</v>
      </c>
    </row>
    <row r="38" spans="1:7" ht="39" customHeight="1">
      <c r="A38" s="315" t="s">
        <v>677</v>
      </c>
      <c r="B38" s="316" t="s">
        <v>812</v>
      </c>
      <c r="C38" s="317" t="s">
        <v>903</v>
      </c>
      <c r="D38" s="318">
        <v>500000</v>
      </c>
      <c r="E38" s="319">
        <v>51800</v>
      </c>
      <c r="F38" s="318">
        <v>25900000000</v>
      </c>
      <c r="G38" s="320">
        <v>1.55E-2</v>
      </c>
    </row>
    <row r="39" spans="1:7" ht="39" customHeight="1">
      <c r="A39" s="315" t="s">
        <v>679</v>
      </c>
      <c r="B39" s="316" t="s">
        <v>687</v>
      </c>
      <c r="C39" s="317" t="s">
        <v>904</v>
      </c>
      <c r="D39" s="318">
        <v>2000000</v>
      </c>
      <c r="E39" s="319">
        <v>31500</v>
      </c>
      <c r="F39" s="318">
        <v>63000000000</v>
      </c>
      <c r="G39" s="320">
        <v>3.7600000000000001E-2</v>
      </c>
    </row>
    <row r="40" spans="1:7" ht="39" customHeight="1">
      <c r="A40" s="315" t="s">
        <v>173</v>
      </c>
      <c r="B40" s="316" t="s">
        <v>689</v>
      </c>
      <c r="C40" s="317" t="s">
        <v>905</v>
      </c>
      <c r="D40" s="318">
        <v>300020</v>
      </c>
      <c r="E40" s="319">
        <v>68000</v>
      </c>
      <c r="F40" s="318">
        <v>20401360000</v>
      </c>
      <c r="G40" s="320">
        <v>1.2200000000000001E-2</v>
      </c>
    </row>
    <row r="41" spans="1:7" ht="39" customHeight="1">
      <c r="A41" s="315" t="s">
        <v>175</v>
      </c>
      <c r="B41" s="316" t="s">
        <v>691</v>
      </c>
      <c r="C41" s="317" t="s">
        <v>946</v>
      </c>
      <c r="D41" s="318">
        <v>2700020</v>
      </c>
      <c r="E41" s="319">
        <v>50000</v>
      </c>
      <c r="F41" s="318">
        <v>135001000000</v>
      </c>
      <c r="G41" s="320">
        <v>8.0600000000000005E-2</v>
      </c>
    </row>
    <row r="42" spans="1:7" ht="39" customHeight="1">
      <c r="A42" s="315" t="s">
        <v>683</v>
      </c>
      <c r="B42" s="316" t="s">
        <v>813</v>
      </c>
      <c r="C42" s="317" t="s">
        <v>947</v>
      </c>
      <c r="D42" s="318">
        <v>1000000</v>
      </c>
      <c r="E42" s="319">
        <v>32800</v>
      </c>
      <c r="F42" s="318">
        <v>32800000000</v>
      </c>
      <c r="G42" s="320">
        <v>1.9599999999999999E-2</v>
      </c>
    </row>
    <row r="43" spans="1:7" ht="39" customHeight="1">
      <c r="A43" s="315" t="s">
        <v>684</v>
      </c>
      <c r="B43" s="316" t="s">
        <v>694</v>
      </c>
      <c r="C43" s="317" t="s">
        <v>948</v>
      </c>
      <c r="D43" s="318">
        <v>382857</v>
      </c>
      <c r="E43" s="319">
        <v>78800</v>
      </c>
      <c r="F43" s="318">
        <v>30169131600</v>
      </c>
      <c r="G43" s="320">
        <v>1.7999999999999999E-2</v>
      </c>
    </row>
    <row r="44" spans="1:7" ht="39" customHeight="1">
      <c r="A44" s="315" t="s">
        <v>685</v>
      </c>
      <c r="B44" s="316" t="s">
        <v>814</v>
      </c>
      <c r="C44" s="317" t="s">
        <v>949</v>
      </c>
      <c r="D44" s="318">
        <v>600000</v>
      </c>
      <c r="E44" s="319">
        <v>72800</v>
      </c>
      <c r="F44" s="318">
        <v>43680000000</v>
      </c>
      <c r="G44" s="320">
        <v>2.6100000000000002E-2</v>
      </c>
    </row>
    <row r="45" spans="1:7" ht="39" customHeight="1">
      <c r="A45" s="315" t="s">
        <v>686</v>
      </c>
      <c r="B45" s="316" t="s">
        <v>815</v>
      </c>
      <c r="C45" s="317" t="s">
        <v>950</v>
      </c>
      <c r="D45" s="318">
        <v>200000</v>
      </c>
      <c r="E45" s="319">
        <v>117000</v>
      </c>
      <c r="F45" s="318">
        <v>23400000000</v>
      </c>
      <c r="G45" s="320">
        <v>1.4E-2</v>
      </c>
    </row>
    <row r="46" spans="1:7" ht="39" customHeight="1">
      <c r="A46" s="315" t="s">
        <v>688</v>
      </c>
      <c r="B46" s="316" t="s">
        <v>816</v>
      </c>
      <c r="C46" s="317" t="s">
        <v>951</v>
      </c>
      <c r="D46" s="318">
        <v>750000</v>
      </c>
      <c r="E46" s="319">
        <v>35250</v>
      </c>
      <c r="F46" s="318">
        <v>26437500000</v>
      </c>
      <c r="G46" s="320">
        <v>1.5800000000000002E-2</v>
      </c>
    </row>
    <row r="47" spans="1:7" ht="39" customHeight="1">
      <c r="A47" s="315" t="s">
        <v>178</v>
      </c>
      <c r="B47" s="316" t="s">
        <v>817</v>
      </c>
      <c r="C47" s="317" t="s">
        <v>952</v>
      </c>
      <c r="D47" s="318">
        <v>200000</v>
      </c>
      <c r="E47" s="319">
        <v>62800</v>
      </c>
      <c r="F47" s="318">
        <v>12560000000</v>
      </c>
      <c r="G47" s="320">
        <v>7.4999999999999997E-3</v>
      </c>
    </row>
    <row r="48" spans="1:7" ht="39" customHeight="1">
      <c r="A48" s="315" t="s">
        <v>180</v>
      </c>
      <c r="B48" s="316" t="s">
        <v>696</v>
      </c>
      <c r="C48" s="317" t="s">
        <v>953</v>
      </c>
      <c r="D48" s="318">
        <v>200004</v>
      </c>
      <c r="E48" s="319">
        <v>82000</v>
      </c>
      <c r="F48" s="318">
        <v>16400328000</v>
      </c>
      <c r="G48" s="320">
        <v>9.7999999999999997E-3</v>
      </c>
    </row>
    <row r="49" spans="1:7" ht="39" customHeight="1">
      <c r="A49" s="315" t="s">
        <v>182</v>
      </c>
      <c r="B49" s="316" t="s">
        <v>698</v>
      </c>
      <c r="C49" s="317" t="s">
        <v>954</v>
      </c>
      <c r="D49" s="318">
        <v>350000</v>
      </c>
      <c r="E49" s="319">
        <v>95100</v>
      </c>
      <c r="F49" s="318">
        <v>33285000000</v>
      </c>
      <c r="G49" s="320">
        <v>1.9900000000000001E-2</v>
      </c>
    </row>
    <row r="50" spans="1:7" ht="39" customHeight="1">
      <c r="A50" s="315" t="s">
        <v>204</v>
      </c>
      <c r="B50" s="316" t="s">
        <v>818</v>
      </c>
      <c r="C50" s="317" t="s">
        <v>955</v>
      </c>
      <c r="D50" s="318">
        <v>800000</v>
      </c>
      <c r="E50" s="319">
        <v>82000</v>
      </c>
      <c r="F50" s="318">
        <v>65600000000</v>
      </c>
      <c r="G50" s="320">
        <v>3.9199999999999999E-2</v>
      </c>
    </row>
    <row r="51" spans="1:7" ht="39" customHeight="1">
      <c r="A51" s="315" t="s">
        <v>205</v>
      </c>
      <c r="B51" s="316" t="s">
        <v>699</v>
      </c>
      <c r="C51" s="317" t="s">
        <v>956</v>
      </c>
      <c r="D51" s="318">
        <v>3000025</v>
      </c>
      <c r="E51" s="319">
        <v>35800</v>
      </c>
      <c r="F51" s="318">
        <v>107400895000</v>
      </c>
      <c r="G51" s="320">
        <v>6.4100000000000004E-2</v>
      </c>
    </row>
    <row r="52" spans="1:7" ht="39" customHeight="1">
      <c r="A52" s="311"/>
      <c r="B52" s="312" t="s">
        <v>906</v>
      </c>
      <c r="C52" s="311" t="s">
        <v>907</v>
      </c>
      <c r="D52" s="313"/>
      <c r="E52" s="313"/>
      <c r="F52" s="313">
        <v>1360816187300</v>
      </c>
      <c r="G52" s="314">
        <v>0.81269999999999998</v>
      </c>
    </row>
    <row r="53" spans="1:7" ht="39" customHeight="1">
      <c r="A53" s="311" t="s">
        <v>47</v>
      </c>
      <c r="B53" s="312" t="s">
        <v>908</v>
      </c>
      <c r="C53" s="311" t="s">
        <v>909</v>
      </c>
      <c r="D53" s="313"/>
      <c r="E53" s="313"/>
      <c r="F53" s="313"/>
      <c r="G53" s="314">
        <v>0</v>
      </c>
    </row>
    <row r="54" spans="1:7" ht="39" customHeight="1">
      <c r="A54" s="311"/>
      <c r="B54" s="312" t="s">
        <v>906</v>
      </c>
      <c r="C54" s="311" t="s">
        <v>910</v>
      </c>
      <c r="D54" s="313"/>
      <c r="E54" s="313"/>
      <c r="F54" s="313">
        <v>0</v>
      </c>
      <c r="G54" s="314">
        <v>0</v>
      </c>
    </row>
    <row r="55" spans="1:7" ht="39" customHeight="1">
      <c r="A55" s="311"/>
      <c r="B55" s="312" t="s">
        <v>702</v>
      </c>
      <c r="C55" s="311" t="s">
        <v>911</v>
      </c>
      <c r="D55" s="313"/>
      <c r="E55" s="313"/>
      <c r="F55" s="313">
        <v>1360816187300</v>
      </c>
      <c r="G55" s="314">
        <v>0.81269999999999998</v>
      </c>
    </row>
    <row r="56" spans="1:7" ht="39" customHeight="1">
      <c r="A56" s="311" t="s">
        <v>53</v>
      </c>
      <c r="B56" s="312" t="s">
        <v>912</v>
      </c>
      <c r="C56" s="311" t="s">
        <v>913</v>
      </c>
      <c r="D56" s="313"/>
      <c r="E56" s="313"/>
      <c r="F56" s="313"/>
      <c r="G56" s="314">
        <v>0</v>
      </c>
    </row>
    <row r="57" spans="1:7" ht="39" customHeight="1">
      <c r="A57" s="315" t="s">
        <v>350</v>
      </c>
      <c r="B57" s="316" t="s">
        <v>705</v>
      </c>
      <c r="C57" s="317" t="s">
        <v>914</v>
      </c>
      <c r="D57" s="318">
        <v>0</v>
      </c>
      <c r="E57" s="319"/>
      <c r="F57" s="318">
        <v>0</v>
      </c>
      <c r="G57" s="320">
        <v>0</v>
      </c>
    </row>
    <row r="58" spans="1:7" ht="39" customHeight="1">
      <c r="A58" s="315" t="s">
        <v>367</v>
      </c>
      <c r="B58" s="316" t="s">
        <v>707</v>
      </c>
      <c r="C58" s="317" t="s">
        <v>915</v>
      </c>
      <c r="D58" s="318">
        <v>0</v>
      </c>
      <c r="E58" s="319"/>
      <c r="F58" s="318">
        <v>89993424600</v>
      </c>
      <c r="G58" s="320">
        <v>5.3699999999999998E-2</v>
      </c>
    </row>
    <row r="59" spans="1:7" ht="39" customHeight="1">
      <c r="A59" s="315" t="s">
        <v>370</v>
      </c>
      <c r="B59" s="316" t="s">
        <v>819</v>
      </c>
      <c r="C59" s="317" t="s">
        <v>957</v>
      </c>
      <c r="D59" s="318">
        <v>200</v>
      </c>
      <c r="E59" s="319">
        <v>99967123</v>
      </c>
      <c r="F59" s="318">
        <v>19993424600</v>
      </c>
      <c r="G59" s="320">
        <v>1.1900000000000001E-2</v>
      </c>
    </row>
    <row r="60" spans="1:7" ht="39" customHeight="1">
      <c r="A60" s="315" t="s">
        <v>389</v>
      </c>
      <c r="B60" s="316" t="s">
        <v>820</v>
      </c>
      <c r="C60" s="317" t="s">
        <v>958</v>
      </c>
      <c r="D60" s="318">
        <v>30</v>
      </c>
      <c r="E60" s="319">
        <v>1000000000</v>
      </c>
      <c r="F60" s="318">
        <v>30000000000</v>
      </c>
      <c r="G60" s="320">
        <v>1.7999999999999999E-2</v>
      </c>
    </row>
    <row r="61" spans="1:7" ht="39" customHeight="1">
      <c r="A61" s="315" t="s">
        <v>821</v>
      </c>
      <c r="B61" s="316" t="s">
        <v>822</v>
      </c>
      <c r="C61" s="317" t="s">
        <v>959</v>
      </c>
      <c r="D61" s="318">
        <v>200</v>
      </c>
      <c r="E61" s="319">
        <v>100000000</v>
      </c>
      <c r="F61" s="318">
        <v>20000000000</v>
      </c>
      <c r="G61" s="320">
        <v>1.1900000000000001E-2</v>
      </c>
    </row>
    <row r="62" spans="1:7" ht="39" customHeight="1">
      <c r="A62" s="315" t="s">
        <v>823</v>
      </c>
      <c r="B62" s="316" t="s">
        <v>824</v>
      </c>
      <c r="C62" s="317" t="s">
        <v>960</v>
      </c>
      <c r="D62" s="318">
        <v>200</v>
      </c>
      <c r="E62" s="319">
        <v>100000000</v>
      </c>
      <c r="F62" s="318">
        <v>20000000000</v>
      </c>
      <c r="G62" s="320">
        <v>1.1900000000000001E-2</v>
      </c>
    </row>
    <row r="63" spans="1:7" ht="39" customHeight="1">
      <c r="A63" s="311"/>
      <c r="B63" s="312" t="s">
        <v>906</v>
      </c>
      <c r="C63" s="311" t="s">
        <v>916</v>
      </c>
      <c r="D63" s="313">
        <v>0</v>
      </c>
      <c r="E63" s="313"/>
      <c r="F63" s="313">
        <v>89993424600</v>
      </c>
      <c r="G63" s="314">
        <v>5.3699999999999998E-2</v>
      </c>
    </row>
    <row r="64" spans="1:7" ht="39" customHeight="1">
      <c r="A64" s="311" t="s">
        <v>54</v>
      </c>
      <c r="B64" s="312" t="s">
        <v>917</v>
      </c>
      <c r="C64" s="311" t="s">
        <v>918</v>
      </c>
      <c r="D64" s="313"/>
      <c r="E64" s="313"/>
      <c r="F64" s="313"/>
      <c r="G64" s="314">
        <v>0</v>
      </c>
    </row>
    <row r="65" spans="1:7" ht="39" customHeight="1">
      <c r="A65" s="315" t="s">
        <v>350</v>
      </c>
      <c r="B65" s="316" t="s">
        <v>337</v>
      </c>
      <c r="C65" s="317" t="s">
        <v>919</v>
      </c>
      <c r="D65" s="318">
        <v>0</v>
      </c>
      <c r="E65" s="319"/>
      <c r="F65" s="318">
        <v>0</v>
      </c>
      <c r="G65" s="320">
        <v>0</v>
      </c>
    </row>
    <row r="66" spans="1:7" ht="39" customHeight="1">
      <c r="A66" s="315" t="s">
        <v>367</v>
      </c>
      <c r="B66" s="316" t="s">
        <v>863</v>
      </c>
      <c r="C66" s="317" t="s">
        <v>920</v>
      </c>
      <c r="D66" s="318">
        <v>0</v>
      </c>
      <c r="E66" s="319"/>
      <c r="F66" s="318">
        <v>0</v>
      </c>
      <c r="G66" s="320">
        <v>0</v>
      </c>
    </row>
    <row r="67" spans="1:7" ht="39" customHeight="1">
      <c r="A67" s="311"/>
      <c r="B67" s="312" t="s">
        <v>700</v>
      </c>
      <c r="C67" s="311" t="s">
        <v>921</v>
      </c>
      <c r="D67" s="313"/>
      <c r="E67" s="313"/>
      <c r="F67" s="313">
        <v>0</v>
      </c>
      <c r="G67" s="314">
        <v>0</v>
      </c>
    </row>
    <row r="68" spans="1:7" ht="39" customHeight="1">
      <c r="A68" s="311"/>
      <c r="B68" s="312" t="s">
        <v>714</v>
      </c>
      <c r="C68" s="311" t="s">
        <v>922</v>
      </c>
      <c r="D68" s="313"/>
      <c r="E68" s="313"/>
      <c r="F68" s="313">
        <v>1450809611900</v>
      </c>
      <c r="G68" s="314">
        <v>0.86639999999999995</v>
      </c>
    </row>
    <row r="69" spans="1:7" ht="39" customHeight="1">
      <c r="A69" s="311" t="s">
        <v>55</v>
      </c>
      <c r="B69" s="312" t="s">
        <v>923</v>
      </c>
      <c r="C69" s="311" t="s">
        <v>924</v>
      </c>
      <c r="D69" s="313"/>
      <c r="E69" s="313"/>
      <c r="F69" s="313"/>
      <c r="G69" s="314">
        <v>0</v>
      </c>
    </row>
    <row r="70" spans="1:7" ht="39" customHeight="1">
      <c r="A70" s="315" t="s">
        <v>350</v>
      </c>
      <c r="B70" s="316" t="s">
        <v>717</v>
      </c>
      <c r="C70" s="317" t="s">
        <v>925</v>
      </c>
      <c r="D70" s="318"/>
      <c r="E70" s="319"/>
      <c r="F70" s="318">
        <v>1226454000</v>
      </c>
      <c r="G70" s="320">
        <v>6.9999999999999999E-4</v>
      </c>
    </row>
    <row r="71" spans="1:7" ht="39" customHeight="1">
      <c r="A71" s="315" t="s">
        <v>367</v>
      </c>
      <c r="B71" s="316" t="s">
        <v>719</v>
      </c>
      <c r="C71" s="317" t="s">
        <v>926</v>
      </c>
      <c r="D71" s="318"/>
      <c r="E71" s="319"/>
      <c r="F71" s="318">
        <v>1122191781</v>
      </c>
      <c r="G71" s="320">
        <v>6.9999999999999999E-4</v>
      </c>
    </row>
    <row r="72" spans="1:7" ht="43.15" customHeight="1">
      <c r="A72" s="315" t="s">
        <v>392</v>
      </c>
      <c r="B72" s="316" t="s">
        <v>721</v>
      </c>
      <c r="C72" s="317" t="s">
        <v>927</v>
      </c>
      <c r="D72" s="318"/>
      <c r="E72" s="319"/>
      <c r="F72" s="318">
        <v>352732877</v>
      </c>
      <c r="G72" s="320">
        <v>2.0000000000000001E-4</v>
      </c>
    </row>
    <row r="73" spans="1:7" ht="39" customHeight="1">
      <c r="A73" s="315" t="s">
        <v>459</v>
      </c>
      <c r="B73" s="316" t="s">
        <v>723</v>
      </c>
      <c r="C73" s="317" t="s">
        <v>928</v>
      </c>
      <c r="D73" s="318"/>
      <c r="E73" s="319"/>
      <c r="F73" s="318">
        <v>18687450000</v>
      </c>
      <c r="G73" s="320">
        <v>1.12E-2</v>
      </c>
    </row>
    <row r="74" spans="1:7" ht="43.15" customHeight="1">
      <c r="A74" s="315" t="s">
        <v>462</v>
      </c>
      <c r="B74" s="316" t="s">
        <v>434</v>
      </c>
      <c r="C74" s="317" t="s">
        <v>929</v>
      </c>
      <c r="D74" s="318"/>
      <c r="E74" s="319"/>
      <c r="F74" s="318">
        <v>0</v>
      </c>
      <c r="G74" s="320">
        <v>0</v>
      </c>
    </row>
    <row r="75" spans="1:7" ht="39" customHeight="1">
      <c r="A75" s="315" t="s">
        <v>465</v>
      </c>
      <c r="B75" s="316" t="s">
        <v>727</v>
      </c>
      <c r="C75" s="317" t="s">
        <v>930</v>
      </c>
      <c r="D75" s="318"/>
      <c r="E75" s="319"/>
      <c r="F75" s="318">
        <v>0</v>
      </c>
      <c r="G75" s="320">
        <v>0</v>
      </c>
    </row>
    <row r="76" spans="1:7" ht="39" customHeight="1">
      <c r="A76" s="315" t="s">
        <v>485</v>
      </c>
      <c r="B76" s="316" t="s">
        <v>729</v>
      </c>
      <c r="C76" s="317" t="s">
        <v>931</v>
      </c>
      <c r="D76" s="318"/>
      <c r="E76" s="319"/>
      <c r="F76" s="318">
        <v>-866375800</v>
      </c>
      <c r="G76" s="320">
        <v>-5.0000000000000001E-4</v>
      </c>
    </row>
    <row r="77" spans="1:7" ht="39" customHeight="1">
      <c r="A77" s="311"/>
      <c r="B77" s="312" t="s">
        <v>906</v>
      </c>
      <c r="C77" s="311">
        <v>4041</v>
      </c>
      <c r="D77" s="313"/>
      <c r="E77" s="313"/>
      <c r="F77" s="313">
        <v>20522452858</v>
      </c>
      <c r="G77" s="314">
        <v>1.23E-2</v>
      </c>
    </row>
    <row r="78" spans="1:7" ht="39" customHeight="1">
      <c r="A78" s="311" t="s">
        <v>56</v>
      </c>
      <c r="B78" s="312" t="s">
        <v>932</v>
      </c>
      <c r="C78" s="311" t="s">
        <v>933</v>
      </c>
      <c r="D78" s="313"/>
      <c r="E78" s="313"/>
      <c r="F78" s="313"/>
      <c r="G78" s="314">
        <v>0</v>
      </c>
    </row>
    <row r="79" spans="1:7" ht="39" customHeight="1">
      <c r="A79" s="315" t="s">
        <v>350</v>
      </c>
      <c r="B79" s="316" t="s">
        <v>732</v>
      </c>
      <c r="C79" s="317" t="s">
        <v>934</v>
      </c>
      <c r="D79" s="318"/>
      <c r="E79" s="319"/>
      <c r="F79" s="318">
        <v>183198936965</v>
      </c>
      <c r="G79" s="320">
        <v>0.1094</v>
      </c>
    </row>
    <row r="80" spans="1:7" ht="39" customHeight="1">
      <c r="A80" s="315" t="s">
        <v>353</v>
      </c>
      <c r="B80" s="316" t="s">
        <v>935</v>
      </c>
      <c r="C80" s="317" t="s">
        <v>936</v>
      </c>
      <c r="D80" s="318"/>
      <c r="E80" s="319"/>
      <c r="F80" s="318">
        <v>103198936965</v>
      </c>
      <c r="G80" s="320">
        <v>6.1600000000000002E-2</v>
      </c>
    </row>
    <row r="81" spans="1:7" ht="39" customHeight="1">
      <c r="A81" s="315" t="s">
        <v>364</v>
      </c>
      <c r="B81" s="316" t="s">
        <v>594</v>
      </c>
      <c r="C81" s="317" t="s">
        <v>937</v>
      </c>
      <c r="D81" s="318"/>
      <c r="E81" s="319"/>
      <c r="F81" s="318">
        <v>80000000000</v>
      </c>
      <c r="G81" s="320">
        <v>4.7800000000000002E-2</v>
      </c>
    </row>
    <row r="82" spans="1:7" ht="39" customHeight="1">
      <c r="A82" s="315" t="s">
        <v>736</v>
      </c>
      <c r="B82" s="316" t="s">
        <v>737</v>
      </c>
      <c r="C82" s="317" t="s">
        <v>938</v>
      </c>
      <c r="D82" s="318"/>
      <c r="E82" s="319"/>
      <c r="F82" s="318">
        <v>0</v>
      </c>
      <c r="G82" s="320">
        <v>0</v>
      </c>
    </row>
    <row r="83" spans="1:7" ht="39" customHeight="1">
      <c r="A83" s="315" t="s">
        <v>367</v>
      </c>
      <c r="B83" s="316" t="s">
        <v>738</v>
      </c>
      <c r="C83" s="317" t="s">
        <v>939</v>
      </c>
      <c r="D83" s="318"/>
      <c r="E83" s="319"/>
      <c r="F83" s="318">
        <v>20000000000</v>
      </c>
      <c r="G83" s="320">
        <v>1.1900000000000001E-2</v>
      </c>
    </row>
    <row r="84" spans="1:7" ht="39" customHeight="1">
      <c r="A84" s="315" t="s">
        <v>392</v>
      </c>
      <c r="B84" s="316" t="s">
        <v>739</v>
      </c>
      <c r="C84" s="317" t="s">
        <v>940</v>
      </c>
      <c r="D84" s="318"/>
      <c r="E84" s="319"/>
      <c r="F84" s="318">
        <v>0</v>
      </c>
      <c r="G84" s="320">
        <v>0</v>
      </c>
    </row>
    <row r="85" spans="1:7" ht="39" customHeight="1">
      <c r="A85" s="311"/>
      <c r="B85" s="312" t="s">
        <v>906</v>
      </c>
      <c r="C85" s="311" t="s">
        <v>941</v>
      </c>
      <c r="D85" s="313"/>
      <c r="E85" s="313"/>
      <c r="F85" s="313">
        <v>203198936965</v>
      </c>
      <c r="G85" s="314">
        <v>0.12130000000000001</v>
      </c>
    </row>
    <row r="86" spans="1:7" ht="39" customHeight="1">
      <c r="A86" s="311" t="s">
        <v>57</v>
      </c>
      <c r="B86" s="312" t="s">
        <v>741</v>
      </c>
      <c r="C86" s="311" t="s">
        <v>942</v>
      </c>
      <c r="D86" s="313"/>
      <c r="E86" s="313"/>
      <c r="F86" s="313">
        <v>1674531001723</v>
      </c>
      <c r="G86" s="314">
        <v>1</v>
      </c>
    </row>
    <row r="88" spans="1:7" s="331" customFormat="1" ht="55.9" customHeight="1">
      <c r="A88" s="377" t="s">
        <v>965</v>
      </c>
      <c r="B88" s="378"/>
      <c r="C88" s="378"/>
      <c r="D88" s="378"/>
      <c r="E88" s="378"/>
      <c r="F88" s="378"/>
      <c r="G88" s="378"/>
    </row>
    <row r="89" spans="1:7" ht="16.899999999999999" customHeight="1">
      <c r="B89" s="321" t="s">
        <v>186</v>
      </c>
      <c r="C89" s="376" t="s">
        <v>187</v>
      </c>
      <c r="D89" s="376"/>
      <c r="E89" s="376"/>
      <c r="F89" s="376"/>
      <c r="G89" s="376"/>
    </row>
    <row r="101" spans="1:7">
      <c r="B101" s="322" t="s">
        <v>943</v>
      </c>
      <c r="C101" s="372" t="s">
        <v>944</v>
      </c>
      <c r="D101" s="372"/>
      <c r="E101" s="372"/>
      <c r="F101" s="372" t="s">
        <v>572</v>
      </c>
      <c r="G101" s="372"/>
    </row>
    <row r="102" spans="1:7" ht="16.899999999999999" customHeight="1">
      <c r="B102" s="321" t="s">
        <v>827</v>
      </c>
      <c r="C102" s="376" t="s">
        <v>792</v>
      </c>
      <c r="D102" s="376"/>
      <c r="E102" s="376"/>
      <c r="F102" s="376" t="s">
        <v>746</v>
      </c>
      <c r="G102" s="376"/>
    </row>
    <row r="103" spans="1:7" ht="16.899999999999999" customHeight="1">
      <c r="B103" s="322" t="s">
        <v>750</v>
      </c>
      <c r="C103" s="372" t="s">
        <v>945</v>
      </c>
      <c r="D103" s="372"/>
      <c r="E103" s="372"/>
      <c r="F103" s="372" t="s">
        <v>826</v>
      </c>
      <c r="G103" s="372"/>
    </row>
    <row r="104" spans="1:7">
      <c r="A104" s="309"/>
      <c r="E104" s="309"/>
    </row>
  </sheetData>
  <mergeCells count="20">
    <mergeCell ref="C7:G7"/>
    <mergeCell ref="A1:G1"/>
    <mergeCell ref="A2:G2"/>
    <mergeCell ref="A3:G3"/>
    <mergeCell ref="A4:G4"/>
    <mergeCell ref="C6:G6"/>
    <mergeCell ref="C103:E103"/>
    <mergeCell ref="F103:G103"/>
    <mergeCell ref="C8:G8"/>
    <mergeCell ref="C9:G9"/>
    <mergeCell ref="C10:G10"/>
    <mergeCell ref="C11:G11"/>
    <mergeCell ref="C12:G12"/>
    <mergeCell ref="C13:G13"/>
    <mergeCell ref="C89:G89"/>
    <mergeCell ref="C101:E101"/>
    <mergeCell ref="F101:G101"/>
    <mergeCell ref="C102:E102"/>
    <mergeCell ref="F102:G102"/>
    <mergeCell ref="A88:G88"/>
  </mergeCells>
  <pageMargins left="0.7" right="0.7" top="0.75" bottom="0.75" header="0.3" footer="0.3"/>
  <pageSetup scale="68"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91" zoomScaleNormal="100" zoomScaleSheetLayoutView="91" workbookViewId="0">
      <selection activeCell="F60" sqref="F60"/>
    </sheetView>
  </sheetViews>
  <sheetFormatPr defaultColWidth="8.7109375" defaultRowHeight="12.75"/>
  <cols>
    <col min="1" max="1" width="45.85546875" style="55" customWidth="1"/>
    <col min="2" max="2" width="9.42578125" style="55" customWidth="1"/>
    <col min="3" max="3" width="11" style="55" customWidth="1"/>
    <col min="4" max="4" width="30.28515625" style="55" customWidth="1"/>
    <col min="5" max="5" width="29.5703125" style="55" customWidth="1"/>
    <col min="6" max="6" width="24.42578125" style="76" customWidth="1"/>
    <col min="7" max="16384" width="8.7109375" style="76"/>
  </cols>
  <sheetData>
    <row r="1" spans="1:6" ht="30.4" customHeight="1">
      <c r="A1" s="357" t="s">
        <v>230</v>
      </c>
      <c r="B1" s="357"/>
      <c r="C1" s="357"/>
      <c r="D1" s="357"/>
      <c r="E1" s="357"/>
      <c r="F1" s="83"/>
    </row>
    <row r="2" spans="1:6" ht="24.4" customHeight="1">
      <c r="A2" s="358" t="s">
        <v>231</v>
      </c>
      <c r="B2" s="358"/>
      <c r="C2" s="358"/>
      <c r="D2" s="358"/>
      <c r="E2" s="358"/>
      <c r="F2" s="84"/>
    </row>
    <row r="3" spans="1:6" ht="39.4" customHeight="1">
      <c r="A3" s="359" t="s">
        <v>191</v>
      </c>
      <c r="B3" s="359"/>
      <c r="C3" s="359"/>
      <c r="D3" s="359"/>
      <c r="E3" s="359"/>
      <c r="F3" s="105"/>
    </row>
    <row r="4" spans="1:6" ht="16.899999999999999" customHeight="1">
      <c r="A4" s="360" t="s">
        <v>798</v>
      </c>
      <c r="B4" s="360"/>
      <c r="C4" s="360"/>
      <c r="D4" s="360"/>
      <c r="E4" s="360"/>
      <c r="F4" s="106"/>
    </row>
    <row r="5" spans="1:6" ht="0.4" customHeight="1"/>
    <row r="7" spans="1:6">
      <c r="A7" s="75" t="s">
        <v>2</v>
      </c>
      <c r="B7" s="361" t="s">
        <v>742</v>
      </c>
      <c r="C7" s="361"/>
      <c r="D7" s="361"/>
      <c r="E7" s="361"/>
    </row>
    <row r="8" spans="1:6">
      <c r="A8" s="55" t="s">
        <v>40</v>
      </c>
      <c r="B8" s="354" t="s">
        <v>825</v>
      </c>
      <c r="C8" s="354"/>
      <c r="D8" s="354"/>
      <c r="E8" s="354"/>
    </row>
    <row r="9" spans="1:6" ht="16.899999999999999" customHeight="1">
      <c r="A9" s="75" t="s">
        <v>3</v>
      </c>
      <c r="B9" s="361" t="s">
        <v>743</v>
      </c>
      <c r="C9" s="361"/>
      <c r="D9" s="361"/>
      <c r="E9" s="361"/>
    </row>
    <row r="10" spans="1:6" ht="16.5" customHeight="1">
      <c r="A10" s="55" t="s">
        <v>4</v>
      </c>
      <c r="B10" s="354" t="s">
        <v>744</v>
      </c>
      <c r="C10" s="354"/>
      <c r="D10" s="354"/>
      <c r="E10" s="354"/>
    </row>
    <row r="11" spans="1:6" ht="32.65" customHeight="1">
      <c r="A11" s="75" t="s">
        <v>5</v>
      </c>
      <c r="B11" s="361" t="s">
        <v>963</v>
      </c>
      <c r="C11" s="361"/>
      <c r="D11" s="361"/>
      <c r="E11" s="361"/>
    </row>
    <row r="12" spans="1:6" ht="36" customHeight="1">
      <c r="A12" s="55" t="s">
        <v>6</v>
      </c>
      <c r="B12" s="354" t="s">
        <v>964</v>
      </c>
      <c r="C12" s="354"/>
      <c r="D12" s="354"/>
      <c r="E12" s="354"/>
    </row>
    <row r="13" spans="1:6" ht="16.899999999999999" customHeight="1">
      <c r="A13" s="75" t="s">
        <v>7</v>
      </c>
      <c r="B13" s="361" t="s">
        <v>979</v>
      </c>
      <c r="C13" s="361"/>
      <c r="D13" s="361"/>
      <c r="E13" s="361"/>
    </row>
    <row r="14" spans="1:6" ht="16.899999999999999" customHeight="1">
      <c r="A14" s="55" t="s">
        <v>8</v>
      </c>
      <c r="B14" s="356" t="s">
        <v>980</v>
      </c>
      <c r="C14" s="354"/>
      <c r="D14" s="354"/>
      <c r="E14" s="354"/>
    </row>
    <row r="17" spans="1:7" ht="45.4" customHeight="1">
      <c r="A17" s="77" t="s">
        <v>105</v>
      </c>
      <c r="B17" s="77" t="s">
        <v>106</v>
      </c>
      <c r="C17" s="77" t="s">
        <v>107</v>
      </c>
      <c r="D17" s="77" t="s">
        <v>800</v>
      </c>
      <c r="E17" s="77" t="s">
        <v>749</v>
      </c>
    </row>
    <row r="18" spans="1:7" s="87" customFormat="1" ht="42" customHeight="1">
      <c r="A18" s="107" t="s">
        <v>192</v>
      </c>
      <c r="B18" s="108" t="s">
        <v>41</v>
      </c>
      <c r="C18" s="109"/>
      <c r="D18" s="205"/>
      <c r="E18" s="205"/>
    </row>
    <row r="19" spans="1:7" ht="42" customHeight="1">
      <c r="A19" s="111" t="s">
        <v>269</v>
      </c>
      <c r="B19" s="112" t="s">
        <v>108</v>
      </c>
      <c r="C19" s="113"/>
      <c r="D19" s="205">
        <v>351223187930</v>
      </c>
      <c r="E19" s="205">
        <v>77612768036</v>
      </c>
      <c r="G19" s="87"/>
    </row>
    <row r="20" spans="1:7" ht="63.4" customHeight="1">
      <c r="A20" s="111" t="s">
        <v>193</v>
      </c>
      <c r="B20" s="112" t="s">
        <v>109</v>
      </c>
      <c r="C20" s="113"/>
      <c r="D20" s="205">
        <v>-76612321051</v>
      </c>
      <c r="E20" s="205">
        <v>-63053997576</v>
      </c>
      <c r="G20" s="87"/>
    </row>
    <row r="21" spans="1:7" ht="58.9" customHeight="1">
      <c r="A21" s="111" t="s">
        <v>316</v>
      </c>
      <c r="B21" s="112" t="s">
        <v>110</v>
      </c>
      <c r="C21" s="113"/>
      <c r="D21" s="89">
        <v>-76640646051</v>
      </c>
      <c r="E21" s="89">
        <v>-63089830334</v>
      </c>
      <c r="G21" s="87"/>
    </row>
    <row r="22" spans="1:7" ht="42" customHeight="1">
      <c r="A22" s="111" t="s">
        <v>317</v>
      </c>
      <c r="B22" s="112" t="s">
        <v>113</v>
      </c>
      <c r="C22" s="113"/>
      <c r="D22" s="89">
        <v>28325000</v>
      </c>
      <c r="E22" s="89">
        <v>35832758</v>
      </c>
      <c r="G22" s="87"/>
    </row>
    <row r="23" spans="1:7" ht="57.4" customHeight="1">
      <c r="A23" s="111" t="s">
        <v>194</v>
      </c>
      <c r="B23" s="112" t="s">
        <v>114</v>
      </c>
      <c r="C23" s="113"/>
      <c r="D23" s="205">
        <v>274610866879</v>
      </c>
      <c r="E23" s="205">
        <v>14558770460</v>
      </c>
      <c r="G23" s="87"/>
    </row>
    <row r="24" spans="1:7" ht="42" customHeight="1">
      <c r="A24" s="111" t="s">
        <v>318</v>
      </c>
      <c r="B24" s="112" t="s">
        <v>132</v>
      </c>
      <c r="C24" s="113"/>
      <c r="D24" s="89">
        <v>-900870674949</v>
      </c>
      <c r="E24" s="89">
        <v>345499829934</v>
      </c>
      <c r="G24" s="87"/>
    </row>
    <row r="25" spans="1:7" ht="58.9" customHeight="1">
      <c r="A25" s="111" t="s">
        <v>195</v>
      </c>
      <c r="B25" s="112" t="s">
        <v>115</v>
      </c>
      <c r="C25" s="113"/>
      <c r="D25" s="89">
        <v>-18687295290</v>
      </c>
      <c r="E25" s="89">
        <v>1382919790</v>
      </c>
      <c r="G25" s="87"/>
    </row>
    <row r="26" spans="1:7" ht="60.4" customHeight="1">
      <c r="A26" s="111" t="s">
        <v>196</v>
      </c>
      <c r="B26" s="112" t="s">
        <v>116</v>
      </c>
      <c r="C26" s="113"/>
      <c r="D26" s="89">
        <v>399277725</v>
      </c>
      <c r="E26" s="89">
        <v>1179207165</v>
      </c>
      <c r="G26" s="87"/>
    </row>
    <row r="27" spans="1:7" ht="42" customHeight="1">
      <c r="A27" s="111" t="s">
        <v>270</v>
      </c>
      <c r="B27" s="112" t="s">
        <v>117</v>
      </c>
      <c r="C27" s="113"/>
      <c r="D27" s="89">
        <v>-24200</v>
      </c>
      <c r="E27" s="89">
        <v>0</v>
      </c>
      <c r="G27" s="87"/>
    </row>
    <row r="28" spans="1:7" ht="42" customHeight="1">
      <c r="A28" s="111" t="s">
        <v>319</v>
      </c>
      <c r="B28" s="112" t="s">
        <v>118</v>
      </c>
      <c r="C28" s="113"/>
      <c r="D28" s="89">
        <v>0</v>
      </c>
      <c r="E28" s="89">
        <v>0</v>
      </c>
      <c r="G28" s="87"/>
    </row>
    <row r="29" spans="1:7" ht="51" customHeight="1">
      <c r="A29" s="111" t="s">
        <v>197</v>
      </c>
      <c r="B29" s="112" t="s">
        <v>119</v>
      </c>
      <c r="C29" s="113"/>
      <c r="D29" s="89">
        <v>18611620000</v>
      </c>
      <c r="E29" s="89">
        <v>-1172500000</v>
      </c>
      <c r="G29" s="87"/>
    </row>
    <row r="30" spans="1:7" ht="75" customHeight="1">
      <c r="A30" s="111" t="s">
        <v>198</v>
      </c>
      <c r="B30" s="112" t="s">
        <v>121</v>
      </c>
      <c r="C30" s="113"/>
      <c r="D30" s="89">
        <v>1385059772</v>
      </c>
      <c r="E30" s="89">
        <v>69353520</v>
      </c>
      <c r="G30" s="87"/>
    </row>
    <row r="31" spans="1:7" ht="47.65" customHeight="1">
      <c r="A31" s="111" t="s">
        <v>320</v>
      </c>
      <c r="B31" s="112" t="s">
        <v>126</v>
      </c>
      <c r="C31" s="113"/>
      <c r="D31" s="89">
        <v>0</v>
      </c>
      <c r="E31" s="89">
        <v>0</v>
      </c>
      <c r="G31" s="87"/>
    </row>
    <row r="32" spans="1:7" ht="57" customHeight="1">
      <c r="A32" s="111" t="s">
        <v>321</v>
      </c>
      <c r="B32" s="112" t="s">
        <v>128</v>
      </c>
      <c r="C32" s="113"/>
      <c r="D32" s="89">
        <v>38655401</v>
      </c>
      <c r="E32" s="89">
        <v>7716366</v>
      </c>
      <c r="G32" s="87"/>
    </row>
    <row r="33" spans="1:7" ht="53.65" customHeight="1">
      <c r="A33" s="111" t="s">
        <v>322</v>
      </c>
      <c r="B33" s="112" t="s">
        <v>130</v>
      </c>
      <c r="C33" s="113"/>
      <c r="D33" s="89">
        <v>5028269103</v>
      </c>
      <c r="E33" s="89">
        <v>928216969</v>
      </c>
      <c r="G33" s="87"/>
    </row>
    <row r="34" spans="1:7" ht="55.15" customHeight="1">
      <c r="A34" s="111" t="s">
        <v>323</v>
      </c>
      <c r="B34" s="112" t="s">
        <v>131</v>
      </c>
      <c r="C34" s="113"/>
      <c r="D34" s="89">
        <v>938050670</v>
      </c>
      <c r="E34" s="89">
        <v>1625103347</v>
      </c>
      <c r="G34" s="87"/>
    </row>
    <row r="35" spans="1:7" ht="39.4" customHeight="1">
      <c r="A35" s="111" t="s">
        <v>324</v>
      </c>
      <c r="B35" s="112" t="s">
        <v>199</v>
      </c>
      <c r="C35" s="113"/>
      <c r="D35" s="89">
        <v>55948605</v>
      </c>
      <c r="E35" s="89">
        <v>-3833362</v>
      </c>
      <c r="G35" s="87"/>
    </row>
    <row r="36" spans="1:7" ht="47.65" customHeight="1">
      <c r="A36" s="114" t="s">
        <v>325</v>
      </c>
      <c r="B36" s="112" t="s">
        <v>200</v>
      </c>
      <c r="C36" s="113"/>
      <c r="D36" s="89">
        <v>1871945932</v>
      </c>
      <c r="E36" s="89">
        <v>-534562895</v>
      </c>
      <c r="G36" s="87"/>
    </row>
    <row r="37" spans="1:7" ht="48" customHeight="1">
      <c r="A37" s="111" t="s">
        <v>201</v>
      </c>
      <c r="B37" s="112" t="s">
        <v>202</v>
      </c>
      <c r="C37" s="113"/>
      <c r="D37" s="89">
        <v>0</v>
      </c>
      <c r="E37" s="89">
        <v>0</v>
      </c>
      <c r="G37" s="87"/>
    </row>
    <row r="38" spans="1:7" s="87" customFormat="1" ht="52.15" customHeight="1">
      <c r="A38" s="107" t="s">
        <v>271</v>
      </c>
      <c r="B38" s="108" t="s">
        <v>203</v>
      </c>
      <c r="C38" s="109"/>
      <c r="D38" s="205">
        <v>-616618300352</v>
      </c>
      <c r="E38" s="205">
        <v>363540221294</v>
      </c>
    </row>
    <row r="39" spans="1:7" s="87" customFormat="1" ht="42" customHeight="1">
      <c r="A39" s="107" t="s">
        <v>272</v>
      </c>
      <c r="B39" s="108" t="s">
        <v>47</v>
      </c>
      <c r="C39" s="109"/>
      <c r="D39" s="205"/>
      <c r="E39" s="205"/>
    </row>
    <row r="40" spans="1:7" ht="42" customHeight="1">
      <c r="A40" s="111" t="s">
        <v>326</v>
      </c>
      <c r="B40" s="112" t="s">
        <v>180</v>
      </c>
      <c r="C40" s="113"/>
      <c r="D40" s="89">
        <v>1216071519572</v>
      </c>
      <c r="E40" s="89">
        <v>52075040504</v>
      </c>
      <c r="G40" s="87"/>
    </row>
    <row r="41" spans="1:7" ht="42" customHeight="1">
      <c r="A41" s="111" t="s">
        <v>327</v>
      </c>
      <c r="B41" s="112" t="s">
        <v>182</v>
      </c>
      <c r="C41" s="113"/>
      <c r="D41" s="89">
        <v>-462752209995</v>
      </c>
      <c r="E41" s="89">
        <v>-424646645844</v>
      </c>
      <c r="G41" s="87"/>
    </row>
    <row r="42" spans="1:7" ht="42" customHeight="1">
      <c r="A42" s="111" t="s">
        <v>273</v>
      </c>
      <c r="B42" s="112" t="s">
        <v>204</v>
      </c>
      <c r="C42" s="113"/>
      <c r="D42" s="89">
        <v>0</v>
      </c>
      <c r="E42" s="89">
        <v>0</v>
      </c>
      <c r="G42" s="87"/>
    </row>
    <row r="43" spans="1:7" ht="42" customHeight="1">
      <c r="A43" s="111" t="s">
        <v>274</v>
      </c>
      <c r="B43" s="112" t="s">
        <v>205</v>
      </c>
      <c r="C43" s="113"/>
      <c r="D43" s="89">
        <v>0</v>
      </c>
      <c r="E43" s="89">
        <v>0</v>
      </c>
      <c r="G43" s="87"/>
    </row>
    <row r="44" spans="1:7" ht="42" customHeight="1">
      <c r="A44" s="111" t="s">
        <v>328</v>
      </c>
      <c r="B44" s="112" t="s">
        <v>206</v>
      </c>
      <c r="C44" s="113"/>
      <c r="D44" s="89">
        <v>0</v>
      </c>
      <c r="E44" s="89">
        <v>0</v>
      </c>
      <c r="G44" s="87"/>
    </row>
    <row r="45" spans="1:7" ht="63.75" customHeight="1">
      <c r="A45" s="107" t="s">
        <v>329</v>
      </c>
      <c r="B45" s="108" t="s">
        <v>178</v>
      </c>
      <c r="C45" s="113"/>
      <c r="D45" s="205">
        <v>753319309577</v>
      </c>
      <c r="E45" s="205">
        <v>-372571605340</v>
      </c>
      <c r="G45" s="87"/>
    </row>
    <row r="46" spans="1:7" s="87" customFormat="1" ht="52.5" customHeight="1">
      <c r="A46" s="107" t="s">
        <v>275</v>
      </c>
      <c r="B46" s="108" t="s">
        <v>184</v>
      </c>
      <c r="C46" s="109"/>
      <c r="D46" s="205">
        <v>136701009225</v>
      </c>
      <c r="E46" s="205">
        <v>-9031384046</v>
      </c>
    </row>
    <row r="47" spans="1:7" s="87" customFormat="1" ht="53.65" customHeight="1">
      <c r="A47" s="107" t="s">
        <v>276</v>
      </c>
      <c r="B47" s="108" t="s">
        <v>207</v>
      </c>
      <c r="C47" s="109"/>
      <c r="D47" s="205">
        <v>46497927740</v>
      </c>
      <c r="E47" s="205">
        <v>55529311786</v>
      </c>
    </row>
    <row r="48" spans="1:7" ht="47.65" customHeight="1">
      <c r="A48" s="111" t="s">
        <v>330</v>
      </c>
      <c r="B48" s="112" t="s">
        <v>208</v>
      </c>
      <c r="C48" s="113"/>
      <c r="D48" s="89">
        <v>46497927740</v>
      </c>
      <c r="E48" s="89">
        <v>55529311786</v>
      </c>
      <c r="G48" s="87"/>
    </row>
    <row r="49" spans="1:7" ht="61.15" customHeight="1">
      <c r="A49" s="115" t="s">
        <v>331</v>
      </c>
      <c r="B49" s="112" t="s">
        <v>209</v>
      </c>
      <c r="C49" s="113"/>
      <c r="D49" s="89">
        <v>46271226925</v>
      </c>
      <c r="E49" s="89">
        <v>55466311786</v>
      </c>
      <c r="G49" s="87"/>
    </row>
    <row r="50" spans="1:7" ht="42" customHeight="1">
      <c r="A50" s="116" t="s">
        <v>332</v>
      </c>
      <c r="B50" s="117" t="s">
        <v>210</v>
      </c>
      <c r="C50" s="113"/>
      <c r="D50" s="89">
        <v>41972659771</v>
      </c>
      <c r="E50" s="89">
        <v>20466311786</v>
      </c>
      <c r="G50" s="87"/>
    </row>
    <row r="51" spans="1:7" ht="42" customHeight="1">
      <c r="A51" s="118" t="s">
        <v>333</v>
      </c>
      <c r="B51" s="117" t="s">
        <v>211</v>
      </c>
      <c r="C51" s="113"/>
      <c r="D51" s="89">
        <v>0</v>
      </c>
      <c r="E51" s="89">
        <v>35000000000</v>
      </c>
      <c r="G51" s="87"/>
    </row>
    <row r="52" spans="1:7" ht="45" customHeight="1">
      <c r="A52" s="116" t="s">
        <v>46</v>
      </c>
      <c r="B52" s="117" t="s">
        <v>212</v>
      </c>
      <c r="C52" s="113"/>
      <c r="D52" s="89">
        <v>4298567154</v>
      </c>
      <c r="E52" s="89">
        <v>0</v>
      </c>
      <c r="G52" s="87"/>
    </row>
    <row r="53" spans="1:7" ht="42" customHeight="1">
      <c r="A53" s="111" t="s">
        <v>277</v>
      </c>
      <c r="B53" s="112" t="s">
        <v>213</v>
      </c>
      <c r="C53" s="113"/>
      <c r="D53" s="89">
        <v>226700815</v>
      </c>
      <c r="E53" s="89">
        <v>63000000</v>
      </c>
      <c r="G53" s="87"/>
    </row>
    <row r="54" spans="1:7" ht="42" customHeight="1">
      <c r="A54" s="111" t="s">
        <v>278</v>
      </c>
      <c r="B54" s="112" t="s">
        <v>214</v>
      </c>
      <c r="C54" s="113"/>
      <c r="D54" s="89">
        <v>0</v>
      </c>
      <c r="E54" s="89">
        <v>0</v>
      </c>
      <c r="G54" s="87"/>
    </row>
    <row r="55" spans="1:7" s="87" customFormat="1" ht="57" customHeight="1">
      <c r="A55" s="107" t="s">
        <v>279</v>
      </c>
      <c r="B55" s="108" t="s">
        <v>215</v>
      </c>
      <c r="C55" s="109"/>
      <c r="D55" s="205">
        <v>183198936965</v>
      </c>
      <c r="E55" s="205">
        <v>46497927740</v>
      </c>
    </row>
    <row r="56" spans="1:7" ht="42" customHeight="1">
      <c r="A56" s="111" t="s">
        <v>334</v>
      </c>
      <c r="B56" s="112" t="s">
        <v>216</v>
      </c>
      <c r="C56" s="113"/>
      <c r="D56" s="89">
        <v>183198936965</v>
      </c>
      <c r="E56" s="89">
        <v>46497927740</v>
      </c>
      <c r="G56" s="87"/>
    </row>
    <row r="57" spans="1:7" ht="61.15" customHeight="1">
      <c r="A57" s="111" t="s">
        <v>331</v>
      </c>
      <c r="B57" s="112" t="s">
        <v>217</v>
      </c>
      <c r="C57" s="113"/>
      <c r="D57" s="89">
        <v>183101471378</v>
      </c>
      <c r="E57" s="89">
        <v>46271226925</v>
      </c>
      <c r="G57" s="87"/>
    </row>
    <row r="58" spans="1:7" ht="42" customHeight="1">
      <c r="A58" s="116" t="s">
        <v>332</v>
      </c>
      <c r="B58" s="117" t="s">
        <v>218</v>
      </c>
      <c r="C58" s="113"/>
      <c r="D58" s="89">
        <v>103101471378</v>
      </c>
      <c r="E58" s="89">
        <v>41972659771</v>
      </c>
      <c r="G58" s="87"/>
    </row>
    <row r="59" spans="1:7" ht="42" customHeight="1">
      <c r="A59" s="118" t="s">
        <v>333</v>
      </c>
      <c r="B59" s="117" t="s">
        <v>219</v>
      </c>
      <c r="C59" s="113"/>
      <c r="D59" s="89">
        <v>80000000000</v>
      </c>
      <c r="E59" s="89">
        <v>0</v>
      </c>
      <c r="G59" s="87"/>
    </row>
    <row r="60" spans="1:7" ht="47.65" customHeight="1">
      <c r="A60" s="116" t="s">
        <v>46</v>
      </c>
      <c r="B60" s="117" t="s">
        <v>220</v>
      </c>
      <c r="C60" s="113"/>
      <c r="D60" s="89">
        <v>0</v>
      </c>
      <c r="E60" s="89">
        <v>4298567154</v>
      </c>
      <c r="G60" s="87"/>
    </row>
    <row r="61" spans="1:7" ht="55.15" customHeight="1">
      <c r="A61" s="111" t="s">
        <v>335</v>
      </c>
      <c r="B61" s="112" t="s">
        <v>221</v>
      </c>
      <c r="C61" s="113"/>
      <c r="D61" s="89">
        <v>97465587</v>
      </c>
      <c r="E61" s="89">
        <v>226700815</v>
      </c>
      <c r="G61" s="87"/>
    </row>
    <row r="62" spans="1:7" ht="52.15" customHeight="1">
      <c r="A62" s="111" t="s">
        <v>280</v>
      </c>
      <c r="B62" s="112" t="s">
        <v>222</v>
      </c>
      <c r="C62" s="113"/>
      <c r="D62" s="89">
        <v>0</v>
      </c>
      <c r="E62" s="89">
        <v>0</v>
      </c>
      <c r="G62" s="87"/>
    </row>
    <row r="63" spans="1:7" s="87" customFormat="1" ht="62.65" customHeight="1">
      <c r="A63" s="107" t="s">
        <v>281</v>
      </c>
      <c r="B63" s="108" t="s">
        <v>223</v>
      </c>
      <c r="C63" s="109"/>
      <c r="D63" s="205">
        <v>136701009225</v>
      </c>
      <c r="E63" s="205">
        <v>-9031384046</v>
      </c>
    </row>
    <row r="64" spans="1:7" s="87" customFormat="1" ht="42" customHeight="1">
      <c r="A64" s="107" t="s">
        <v>282</v>
      </c>
      <c r="B64" s="108" t="s">
        <v>224</v>
      </c>
      <c r="C64" s="109"/>
      <c r="D64" s="205">
        <v>0</v>
      </c>
      <c r="E64" s="205">
        <v>0</v>
      </c>
    </row>
    <row r="66" spans="1:6" s="330" customFormat="1" ht="64.150000000000006" customHeight="1">
      <c r="A66" s="354" t="s">
        <v>965</v>
      </c>
      <c r="B66" s="365"/>
      <c r="C66" s="365"/>
      <c r="D66" s="365"/>
      <c r="E66" s="365"/>
    </row>
    <row r="67" spans="1:6" ht="25.15" customHeight="1">
      <c r="A67" s="103" t="s">
        <v>186</v>
      </c>
      <c r="B67" s="102"/>
      <c r="C67" s="355" t="s">
        <v>187</v>
      </c>
      <c r="D67" s="355"/>
      <c r="E67" s="355"/>
      <c r="F67" s="70"/>
    </row>
    <row r="68" spans="1:6">
      <c r="A68" s="104"/>
      <c r="B68" s="104"/>
      <c r="C68" s="104"/>
      <c r="D68" s="104"/>
      <c r="E68" s="104"/>
    </row>
    <row r="69" spans="1:6">
      <c r="A69" s="104"/>
      <c r="B69" s="104"/>
      <c r="C69" s="104"/>
      <c r="D69" s="104"/>
      <c r="E69" s="104"/>
    </row>
    <row r="70" spans="1:6">
      <c r="A70" s="104"/>
      <c r="B70" s="104"/>
      <c r="C70" s="104"/>
      <c r="D70" s="104"/>
      <c r="E70" s="104"/>
    </row>
    <row r="71" spans="1:6">
      <c r="A71" s="104"/>
      <c r="B71" s="104"/>
      <c r="C71" s="104"/>
      <c r="D71" s="104"/>
      <c r="E71" s="104"/>
    </row>
    <row r="72" spans="1:6">
      <c r="A72" s="104"/>
      <c r="B72" s="104"/>
      <c r="C72" s="104"/>
      <c r="D72" s="104"/>
      <c r="E72" s="104"/>
    </row>
    <row r="73" spans="1:6">
      <c r="A73" s="104"/>
      <c r="B73" s="104"/>
      <c r="C73" s="104"/>
      <c r="D73" s="104"/>
      <c r="E73" s="104"/>
    </row>
    <row r="74" spans="1:6">
      <c r="A74" s="104"/>
      <c r="B74" s="104"/>
      <c r="C74" s="104"/>
      <c r="D74" s="104"/>
      <c r="E74" s="104"/>
    </row>
    <row r="75" spans="1:6">
      <c r="A75" s="104"/>
      <c r="B75" s="104"/>
      <c r="C75" s="104"/>
      <c r="D75" s="104"/>
      <c r="E75" s="104"/>
    </row>
    <row r="76" spans="1:6">
      <c r="A76" s="104"/>
      <c r="B76" s="104"/>
      <c r="C76" s="104"/>
      <c r="D76" s="104"/>
      <c r="E76" s="104"/>
    </row>
    <row r="77" spans="1:6">
      <c r="A77" s="104"/>
      <c r="B77" s="104"/>
      <c r="C77" s="104"/>
      <c r="D77" s="104"/>
      <c r="E77" s="104"/>
    </row>
    <row r="78" spans="1:6">
      <c r="A78" s="104" t="s">
        <v>574</v>
      </c>
      <c r="B78" s="383" t="s">
        <v>573</v>
      </c>
      <c r="C78" s="383"/>
      <c r="D78" s="383"/>
      <c r="E78" s="99" t="s">
        <v>575</v>
      </c>
    </row>
    <row r="79" spans="1:6" ht="16.899999999999999" customHeight="1">
      <c r="A79" s="191" t="s">
        <v>827</v>
      </c>
      <c r="B79" s="350" t="s">
        <v>792</v>
      </c>
      <c r="C79" s="350"/>
      <c r="D79" s="350"/>
      <c r="E79" s="191" t="s">
        <v>746</v>
      </c>
    </row>
    <row r="80" spans="1:6" ht="16.899999999999999" customHeight="1">
      <c r="A80" s="104" t="s">
        <v>750</v>
      </c>
      <c r="B80" s="363" t="s">
        <v>793</v>
      </c>
      <c r="C80" s="363"/>
      <c r="D80" s="363"/>
      <c r="E80" s="104" t="s">
        <v>826</v>
      </c>
    </row>
  </sheetData>
  <mergeCells count="17">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 ref="A66:E66"/>
  </mergeCells>
  <printOptions horizontalCentered="1"/>
  <pageMargins left="0.3" right="0.3" top="0.8" bottom="0.75" header="0.3" footer="0.3"/>
  <pageSetup paperSize="9" scale="6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9"/>
  <sheetViews>
    <sheetView view="pageBreakPreview" topLeftCell="A13" zoomScale="86" zoomScaleNormal="100" zoomScaleSheetLayoutView="86" workbookViewId="0">
      <selection activeCell="Q92" sqref="Q92"/>
    </sheetView>
  </sheetViews>
  <sheetFormatPr defaultColWidth="8.7109375" defaultRowHeight="12.75"/>
  <cols>
    <col min="1" max="1" width="8.7109375" style="44"/>
    <col min="2" max="2" width="44.28515625" style="44" customWidth="1"/>
    <col min="3" max="3" width="10.28515625" style="44" customWidth="1"/>
    <col min="4" max="4" width="23.28515625" style="44" customWidth="1"/>
    <col min="5" max="5" width="26.28515625" style="44" customWidth="1"/>
    <col min="6" max="6" width="22.7109375" style="44" customWidth="1"/>
    <col min="7" max="14" width="8.7109375" style="44" hidden="1" customWidth="1"/>
    <col min="15" max="16384" width="8.7109375" style="44"/>
  </cols>
  <sheetData>
    <row r="1" spans="1:6" s="45" customFormat="1" ht="22.9" customHeight="1">
      <c r="A1" s="388" t="s">
        <v>828</v>
      </c>
      <c r="B1" s="388"/>
      <c r="C1" s="388"/>
      <c r="D1" s="388"/>
      <c r="E1" s="388"/>
      <c r="F1" s="388"/>
    </row>
    <row r="2" spans="1:6" s="45" customFormat="1" ht="50.65" customHeight="1">
      <c r="A2" s="389" t="s">
        <v>829</v>
      </c>
      <c r="B2" s="389"/>
      <c r="C2" s="389"/>
      <c r="D2" s="389"/>
      <c r="E2" s="389"/>
      <c r="F2" s="389"/>
    </row>
    <row r="3" spans="1:6" s="45" customFormat="1">
      <c r="A3" s="390" t="s">
        <v>974</v>
      </c>
      <c r="B3" s="390"/>
      <c r="C3" s="390"/>
      <c r="D3" s="390"/>
      <c r="E3" s="390"/>
      <c r="F3" s="390"/>
    </row>
    <row r="4" spans="1:6" s="45" customFormat="1" ht="32.65" customHeight="1">
      <c r="A4" s="390"/>
      <c r="B4" s="390"/>
      <c r="C4" s="390"/>
      <c r="D4" s="390"/>
      <c r="E4" s="390"/>
      <c r="F4" s="390"/>
    </row>
    <row r="5" spans="1:6" s="45" customFormat="1" ht="16.899999999999999" customHeight="1">
      <c r="A5" s="391" t="s">
        <v>799</v>
      </c>
      <c r="B5" s="391"/>
      <c r="C5" s="391"/>
      <c r="D5" s="391"/>
      <c r="E5" s="391"/>
      <c r="F5" s="391"/>
    </row>
    <row r="6" spans="1:6">
      <c r="A6" s="55"/>
      <c r="B6" s="55"/>
      <c r="C6" s="55"/>
      <c r="D6" s="55"/>
      <c r="E6" s="55"/>
      <c r="F6" s="55"/>
    </row>
    <row r="7" spans="1:6">
      <c r="A7" s="361" t="s">
        <v>2</v>
      </c>
      <c r="B7" s="361"/>
      <c r="C7" s="361" t="s">
        <v>742</v>
      </c>
      <c r="D7" s="361"/>
      <c r="E7" s="361"/>
      <c r="F7" s="361"/>
    </row>
    <row r="8" spans="1:6" s="45" customFormat="1">
      <c r="A8" s="386" t="s">
        <v>40</v>
      </c>
      <c r="B8" s="386"/>
      <c r="C8" s="386" t="s">
        <v>825</v>
      </c>
      <c r="D8" s="386"/>
      <c r="E8" s="386"/>
      <c r="F8" s="386"/>
    </row>
    <row r="9" spans="1:6" ht="16.899999999999999" customHeight="1">
      <c r="A9" s="361" t="s">
        <v>3</v>
      </c>
      <c r="B9" s="361"/>
      <c r="C9" s="361" t="s">
        <v>743</v>
      </c>
      <c r="D9" s="361"/>
      <c r="E9" s="361"/>
      <c r="F9" s="361"/>
    </row>
    <row r="10" spans="1:6" s="45" customFormat="1" ht="16.899999999999999" customHeight="1">
      <c r="A10" s="386" t="s">
        <v>4</v>
      </c>
      <c r="B10" s="386"/>
      <c r="C10" s="386" t="s">
        <v>744</v>
      </c>
      <c r="D10" s="386"/>
      <c r="E10" s="386"/>
      <c r="F10" s="386"/>
    </row>
    <row r="11" spans="1:6" ht="28.15" customHeight="1">
      <c r="A11" s="361" t="s">
        <v>5</v>
      </c>
      <c r="B11" s="361"/>
      <c r="C11" s="361" t="s">
        <v>963</v>
      </c>
      <c r="D11" s="361"/>
      <c r="E11" s="361"/>
      <c r="F11" s="361"/>
    </row>
    <row r="12" spans="1:6" s="45" customFormat="1" ht="28.15" customHeight="1">
      <c r="A12" s="386" t="s">
        <v>6</v>
      </c>
      <c r="B12" s="386"/>
      <c r="C12" s="386" t="s">
        <v>964</v>
      </c>
      <c r="D12" s="386"/>
      <c r="E12" s="386"/>
      <c r="F12" s="386"/>
    </row>
    <row r="13" spans="1:6" ht="16.899999999999999" customHeight="1">
      <c r="A13" s="361" t="s">
        <v>7</v>
      </c>
      <c r="B13" s="361"/>
      <c r="C13" s="361" t="s">
        <v>979</v>
      </c>
      <c r="D13" s="361"/>
      <c r="E13" s="361"/>
      <c r="F13" s="361"/>
    </row>
    <row r="14" spans="1:6" s="45" customFormat="1" ht="16.899999999999999" customHeight="1">
      <c r="A14" s="386" t="s">
        <v>8</v>
      </c>
      <c r="B14" s="386"/>
      <c r="C14" s="387" t="s">
        <v>980</v>
      </c>
      <c r="D14" s="386"/>
      <c r="E14" s="386"/>
      <c r="F14" s="386"/>
    </row>
    <row r="15" spans="1:6" s="45" customFormat="1" ht="14.25" customHeight="1">
      <c r="A15" s="54"/>
      <c r="B15" s="54"/>
      <c r="C15" s="54"/>
      <c r="D15" s="54"/>
      <c r="E15" s="54"/>
      <c r="F15" s="54"/>
    </row>
    <row r="16" spans="1:6" s="45" customFormat="1" ht="16.899999999999999" customHeight="1">
      <c r="A16" s="245" t="s">
        <v>753</v>
      </c>
      <c r="B16" s="246" t="s">
        <v>754</v>
      </c>
      <c r="C16" s="54"/>
      <c r="D16" s="54"/>
      <c r="E16" s="54"/>
      <c r="F16" s="54"/>
    </row>
    <row r="17" spans="1:6" s="45" customFormat="1" ht="16.899999999999999" customHeight="1">
      <c r="A17" s="247" t="s">
        <v>41</v>
      </c>
      <c r="B17" s="248" t="s">
        <v>577</v>
      </c>
      <c r="C17" s="54"/>
      <c r="D17" s="54"/>
      <c r="E17" s="54"/>
      <c r="F17" s="54"/>
    </row>
    <row r="18" spans="1:6" s="45" customFormat="1" ht="50.65" customHeight="1">
      <c r="A18" s="53" t="s">
        <v>42</v>
      </c>
      <c r="B18" s="51" t="s">
        <v>43</v>
      </c>
      <c r="C18" s="53" t="s">
        <v>44</v>
      </c>
      <c r="D18" s="52" t="s">
        <v>801</v>
      </c>
      <c r="E18" s="52" t="s">
        <v>748</v>
      </c>
      <c r="F18" s="146" t="s">
        <v>45</v>
      </c>
    </row>
    <row r="19" spans="1:6" ht="39" customHeight="1">
      <c r="A19" s="272" t="s">
        <v>41</v>
      </c>
      <c r="B19" s="273" t="s">
        <v>589</v>
      </c>
      <c r="C19" s="272"/>
      <c r="D19" s="205"/>
      <c r="E19" s="205"/>
      <c r="F19" s="204"/>
    </row>
    <row r="20" spans="1:6" ht="39" customHeight="1">
      <c r="A20" s="274" t="s">
        <v>590</v>
      </c>
      <c r="B20" s="275" t="s">
        <v>591</v>
      </c>
      <c r="C20" s="274"/>
      <c r="D20" s="201">
        <v>183198936965</v>
      </c>
      <c r="E20" s="201">
        <v>46497927740</v>
      </c>
      <c r="F20" s="200">
        <v>3.9399376675318498</v>
      </c>
    </row>
    <row r="21" spans="1:6" ht="39" customHeight="1">
      <c r="A21" s="274" t="s">
        <v>356</v>
      </c>
      <c r="B21" s="275" t="s">
        <v>592</v>
      </c>
      <c r="C21" s="274"/>
      <c r="D21" s="201">
        <v>103198936965</v>
      </c>
      <c r="E21" s="201">
        <v>46497927740</v>
      </c>
      <c r="F21" s="200">
        <v>2.2194308860827499</v>
      </c>
    </row>
    <row r="22" spans="1:6" ht="39" customHeight="1">
      <c r="A22" s="274" t="s">
        <v>356</v>
      </c>
      <c r="B22" s="275" t="s">
        <v>357</v>
      </c>
      <c r="C22" s="274"/>
      <c r="D22" s="201">
        <v>0</v>
      </c>
      <c r="E22" s="201">
        <v>0</v>
      </c>
      <c r="F22" s="200">
        <v>0</v>
      </c>
    </row>
    <row r="23" spans="1:6" ht="48" customHeight="1">
      <c r="A23" s="274" t="s">
        <v>356</v>
      </c>
      <c r="B23" s="275" t="s">
        <v>593</v>
      </c>
      <c r="C23" s="274"/>
      <c r="D23" s="201">
        <v>97465587</v>
      </c>
      <c r="E23" s="201">
        <v>226700815</v>
      </c>
      <c r="F23" s="200">
        <v>0.42993046584327499</v>
      </c>
    </row>
    <row r="24" spans="1:6" ht="45" customHeight="1">
      <c r="A24" s="274" t="s">
        <v>356</v>
      </c>
      <c r="B24" s="275" t="s">
        <v>361</v>
      </c>
      <c r="C24" s="274"/>
      <c r="D24" s="201">
        <v>103101471378</v>
      </c>
      <c r="E24" s="201">
        <v>41972659771</v>
      </c>
      <c r="F24" s="200">
        <v>2.4563959477553898</v>
      </c>
    </row>
    <row r="25" spans="1:6" ht="42" customHeight="1">
      <c r="A25" s="274" t="s">
        <v>356</v>
      </c>
      <c r="B25" s="275" t="s">
        <v>46</v>
      </c>
      <c r="C25" s="274"/>
      <c r="D25" s="201">
        <v>0</v>
      </c>
      <c r="E25" s="201">
        <v>4298567154</v>
      </c>
      <c r="F25" s="200">
        <v>0</v>
      </c>
    </row>
    <row r="26" spans="1:6" ht="48" customHeight="1">
      <c r="A26" s="274" t="s">
        <v>356</v>
      </c>
      <c r="B26" s="275" t="s">
        <v>833</v>
      </c>
      <c r="C26" s="274"/>
      <c r="D26" s="201">
        <v>80000000000</v>
      </c>
      <c r="E26" s="201">
        <v>0</v>
      </c>
      <c r="F26" s="200">
        <v>0</v>
      </c>
    </row>
    <row r="27" spans="1:6" ht="39" customHeight="1">
      <c r="A27" s="274" t="s">
        <v>595</v>
      </c>
      <c r="B27" s="275" t="s">
        <v>596</v>
      </c>
      <c r="C27" s="274"/>
      <c r="D27" s="201">
        <v>1470809611900</v>
      </c>
      <c r="E27" s="201">
        <v>493298290900</v>
      </c>
      <c r="F27" s="200">
        <v>2.9815826225884101</v>
      </c>
    </row>
    <row r="28" spans="1:6" ht="39" customHeight="1">
      <c r="A28" s="274" t="s">
        <v>356</v>
      </c>
      <c r="B28" s="275" t="s">
        <v>597</v>
      </c>
      <c r="C28" s="274"/>
      <c r="D28" s="201">
        <v>1360816187300</v>
      </c>
      <c r="E28" s="201">
        <v>448298290900</v>
      </c>
      <c r="F28" s="200">
        <v>3.0355150017815999</v>
      </c>
    </row>
    <row r="29" spans="1:6" ht="39" customHeight="1">
      <c r="A29" s="274" t="s">
        <v>356</v>
      </c>
      <c r="B29" s="275" t="s">
        <v>598</v>
      </c>
      <c r="C29" s="274"/>
      <c r="D29" s="201">
        <v>0</v>
      </c>
      <c r="E29" s="201">
        <v>0</v>
      </c>
      <c r="F29" s="200"/>
    </row>
    <row r="30" spans="1:6" ht="39" customHeight="1">
      <c r="A30" s="274" t="s">
        <v>356</v>
      </c>
      <c r="B30" s="275" t="s">
        <v>599</v>
      </c>
      <c r="C30" s="274"/>
      <c r="D30" s="201">
        <v>89993424600</v>
      </c>
      <c r="E30" s="201">
        <v>0</v>
      </c>
      <c r="F30" s="200">
        <v>0</v>
      </c>
    </row>
    <row r="31" spans="1:6" ht="39" customHeight="1">
      <c r="A31" s="274" t="s">
        <v>356</v>
      </c>
      <c r="B31" s="275" t="s">
        <v>600</v>
      </c>
      <c r="C31" s="274"/>
      <c r="D31" s="201">
        <v>20000000000</v>
      </c>
      <c r="E31" s="201">
        <v>45000000000</v>
      </c>
      <c r="F31" s="200">
        <v>0.44444444444444398</v>
      </c>
    </row>
    <row r="32" spans="1:6" ht="39" customHeight="1">
      <c r="A32" s="274" t="s">
        <v>356</v>
      </c>
      <c r="B32" s="275" t="s">
        <v>336</v>
      </c>
      <c r="C32" s="274"/>
      <c r="D32" s="201">
        <v>0</v>
      </c>
      <c r="E32" s="201">
        <v>0</v>
      </c>
      <c r="F32" s="200"/>
    </row>
    <row r="33" spans="1:6" ht="39" customHeight="1">
      <c r="A33" s="274" t="s">
        <v>356</v>
      </c>
      <c r="B33" s="275" t="s">
        <v>337</v>
      </c>
      <c r="C33" s="274"/>
      <c r="D33" s="201">
        <v>0</v>
      </c>
      <c r="E33" s="201">
        <v>0</v>
      </c>
      <c r="F33" s="200"/>
    </row>
    <row r="34" spans="1:6" ht="39" customHeight="1">
      <c r="A34" s="274" t="s">
        <v>356</v>
      </c>
      <c r="B34" s="275" t="s">
        <v>338</v>
      </c>
      <c r="C34" s="274"/>
      <c r="D34" s="201">
        <v>0</v>
      </c>
      <c r="E34" s="201">
        <v>0</v>
      </c>
      <c r="F34" s="200"/>
    </row>
    <row r="35" spans="1:6" ht="39" customHeight="1">
      <c r="A35" s="274" t="s">
        <v>356</v>
      </c>
      <c r="B35" s="275" t="s">
        <v>601</v>
      </c>
      <c r="C35" s="274"/>
      <c r="D35" s="201">
        <v>0</v>
      </c>
      <c r="E35" s="201">
        <v>0</v>
      </c>
      <c r="F35" s="200"/>
    </row>
    <row r="36" spans="1:6" ht="39" customHeight="1">
      <c r="A36" s="274" t="s">
        <v>356</v>
      </c>
      <c r="B36" s="275" t="s">
        <v>339</v>
      </c>
      <c r="C36" s="274"/>
      <c r="D36" s="201">
        <v>0</v>
      </c>
      <c r="E36" s="201">
        <v>0</v>
      </c>
      <c r="F36" s="200"/>
    </row>
    <row r="37" spans="1:6" ht="52.15" customHeight="1">
      <c r="A37" s="274" t="s">
        <v>602</v>
      </c>
      <c r="B37" s="275" t="s">
        <v>834</v>
      </c>
      <c r="C37" s="274"/>
      <c r="D37" s="201"/>
      <c r="E37" s="201"/>
      <c r="F37" s="200"/>
    </row>
    <row r="38" spans="1:6" ht="39" customHeight="1">
      <c r="A38" s="274" t="s">
        <v>603</v>
      </c>
      <c r="B38" s="275" t="s">
        <v>835</v>
      </c>
      <c r="C38" s="274"/>
      <c r="D38" s="201">
        <v>2348645781</v>
      </c>
      <c r="E38" s="201">
        <v>2609492000</v>
      </c>
      <c r="F38" s="200">
        <v>0.90003946400295498</v>
      </c>
    </row>
    <row r="39" spans="1:6" ht="39" customHeight="1">
      <c r="A39" s="274" t="s">
        <v>356</v>
      </c>
      <c r="B39" s="275" t="s">
        <v>340</v>
      </c>
      <c r="C39" s="274"/>
      <c r="D39" s="201">
        <v>1226454000</v>
      </c>
      <c r="E39" s="201">
        <v>2609492000</v>
      </c>
      <c r="F39" s="200">
        <v>0.46999722551362499</v>
      </c>
    </row>
    <row r="40" spans="1:6" ht="39" customHeight="1">
      <c r="A40" s="274" t="s">
        <v>356</v>
      </c>
      <c r="B40" s="275" t="s">
        <v>341</v>
      </c>
      <c r="C40" s="274"/>
      <c r="D40" s="201">
        <v>1122191781</v>
      </c>
      <c r="E40" s="201">
        <v>0</v>
      </c>
      <c r="F40" s="200">
        <v>0</v>
      </c>
    </row>
    <row r="41" spans="1:6" ht="39" customHeight="1">
      <c r="A41" s="274" t="s">
        <v>608</v>
      </c>
      <c r="B41" s="275" t="s">
        <v>604</v>
      </c>
      <c r="C41" s="274"/>
      <c r="D41" s="201">
        <v>352732877</v>
      </c>
      <c r="E41" s="201">
        <v>491164383</v>
      </c>
      <c r="F41" s="200">
        <v>0.71815646494057805</v>
      </c>
    </row>
    <row r="42" spans="1:6" ht="39" customHeight="1">
      <c r="A42" s="274" t="s">
        <v>356</v>
      </c>
      <c r="B42" s="275" t="s">
        <v>605</v>
      </c>
      <c r="C42" s="274"/>
      <c r="D42" s="201">
        <v>7342466</v>
      </c>
      <c r="E42" s="201">
        <v>0</v>
      </c>
      <c r="F42" s="200">
        <v>0</v>
      </c>
    </row>
    <row r="43" spans="1:6" ht="39" customHeight="1">
      <c r="A43" s="274" t="s">
        <v>356</v>
      </c>
      <c r="B43" s="275" t="s">
        <v>606</v>
      </c>
      <c r="C43" s="274"/>
      <c r="D43" s="201">
        <v>345390411</v>
      </c>
      <c r="E43" s="201">
        <v>491164383</v>
      </c>
      <c r="F43" s="200">
        <v>0.70320736387760396</v>
      </c>
    </row>
    <row r="44" spans="1:6" ht="39" customHeight="1">
      <c r="A44" s="274" t="s">
        <v>356</v>
      </c>
      <c r="B44" s="275" t="s">
        <v>607</v>
      </c>
      <c r="C44" s="274"/>
      <c r="D44" s="201">
        <v>0</v>
      </c>
      <c r="E44" s="201">
        <v>0</v>
      </c>
      <c r="F44" s="200"/>
    </row>
    <row r="45" spans="1:6" ht="39" customHeight="1">
      <c r="A45" s="274" t="s">
        <v>610</v>
      </c>
      <c r="B45" s="275" t="s">
        <v>836</v>
      </c>
      <c r="C45" s="274"/>
      <c r="D45" s="201"/>
      <c r="E45" s="201"/>
      <c r="F45" s="200"/>
    </row>
    <row r="46" spans="1:6" ht="39" customHeight="1">
      <c r="A46" s="274" t="s">
        <v>614</v>
      </c>
      <c r="B46" s="275" t="s">
        <v>609</v>
      </c>
      <c r="C46" s="274"/>
      <c r="D46" s="201">
        <v>18687450000</v>
      </c>
      <c r="E46" s="201">
        <v>154710</v>
      </c>
      <c r="F46" s="200">
        <v>120790.18809385299</v>
      </c>
    </row>
    <row r="47" spans="1:6" ht="39" customHeight="1">
      <c r="A47" s="274" t="s">
        <v>616</v>
      </c>
      <c r="B47" s="275" t="s">
        <v>611</v>
      </c>
      <c r="C47" s="274"/>
      <c r="D47" s="201">
        <v>-866375800</v>
      </c>
      <c r="E47" s="201">
        <v>-866400000</v>
      </c>
      <c r="F47" s="200">
        <v>0.99997206832871699</v>
      </c>
    </row>
    <row r="48" spans="1:6" ht="39" customHeight="1">
      <c r="A48" s="274" t="s">
        <v>356</v>
      </c>
      <c r="B48" s="275" t="s">
        <v>612</v>
      </c>
      <c r="C48" s="274"/>
      <c r="D48" s="201">
        <v>0</v>
      </c>
      <c r="E48" s="201">
        <v>0</v>
      </c>
      <c r="F48" s="200">
        <v>0</v>
      </c>
    </row>
    <row r="49" spans="1:6" ht="39" customHeight="1">
      <c r="A49" s="274" t="s">
        <v>356</v>
      </c>
      <c r="B49" s="275" t="s">
        <v>613</v>
      </c>
      <c r="C49" s="274"/>
      <c r="D49" s="201">
        <v>-866400000</v>
      </c>
      <c r="E49" s="201">
        <v>-866400000</v>
      </c>
      <c r="F49" s="200">
        <v>1</v>
      </c>
    </row>
    <row r="50" spans="1:6" ht="39" customHeight="1">
      <c r="A50" s="274" t="s">
        <v>356</v>
      </c>
      <c r="B50" s="275" t="s">
        <v>611</v>
      </c>
      <c r="C50" s="274"/>
      <c r="D50" s="201">
        <v>24200</v>
      </c>
      <c r="E50" s="201">
        <v>0</v>
      </c>
      <c r="F50" s="200">
        <v>0</v>
      </c>
    </row>
    <row r="51" spans="1:6" ht="39" customHeight="1">
      <c r="A51" s="274" t="s">
        <v>837</v>
      </c>
      <c r="B51" s="275" t="s">
        <v>615</v>
      </c>
      <c r="C51" s="274"/>
      <c r="D51" s="205">
        <v>0</v>
      </c>
      <c r="E51" s="205">
        <v>0</v>
      </c>
      <c r="F51" s="271">
        <v>0</v>
      </c>
    </row>
    <row r="52" spans="1:6" ht="39" customHeight="1">
      <c r="A52" s="272" t="s">
        <v>838</v>
      </c>
      <c r="B52" s="273" t="s">
        <v>342</v>
      </c>
      <c r="C52" s="272"/>
      <c r="D52" s="205">
        <v>1674531001723</v>
      </c>
      <c r="E52" s="205">
        <v>542030629733</v>
      </c>
      <c r="F52" s="204">
        <v>3.0893660060278498</v>
      </c>
    </row>
    <row r="53" spans="1:6" ht="39" customHeight="1">
      <c r="A53" s="272" t="s">
        <v>47</v>
      </c>
      <c r="B53" s="273" t="s">
        <v>617</v>
      </c>
      <c r="C53" s="272"/>
      <c r="D53" s="201">
        <v>0</v>
      </c>
      <c r="E53" s="201">
        <v>0</v>
      </c>
      <c r="F53" s="268">
        <v>0</v>
      </c>
    </row>
    <row r="54" spans="1:6" ht="39" customHeight="1">
      <c r="A54" s="274" t="s">
        <v>48</v>
      </c>
      <c r="B54" s="275" t="s">
        <v>839</v>
      </c>
      <c r="C54" s="274"/>
      <c r="D54" s="201"/>
      <c r="E54" s="201"/>
      <c r="F54" s="200"/>
    </row>
    <row r="55" spans="1:6" ht="39" customHeight="1">
      <c r="A55" s="274" t="s">
        <v>49</v>
      </c>
      <c r="B55" s="275" t="s">
        <v>618</v>
      </c>
      <c r="C55" s="274"/>
      <c r="D55" s="201">
        <v>18611620000</v>
      </c>
      <c r="E55" s="201">
        <v>0</v>
      </c>
      <c r="F55" s="200">
        <v>0</v>
      </c>
    </row>
    <row r="56" spans="1:6" ht="39" customHeight="1">
      <c r="A56" s="274" t="s">
        <v>646</v>
      </c>
      <c r="B56" s="275" t="s">
        <v>619</v>
      </c>
      <c r="C56" s="274"/>
      <c r="D56" s="201">
        <v>14051900974</v>
      </c>
      <c r="E56" s="201">
        <v>4705646491</v>
      </c>
      <c r="F56" s="200">
        <v>2.9861786262260899</v>
      </c>
    </row>
    <row r="57" spans="1:6" ht="48" customHeight="1">
      <c r="A57" s="274" t="s">
        <v>356</v>
      </c>
      <c r="B57" s="275" t="s">
        <v>620</v>
      </c>
      <c r="C57" s="274"/>
      <c r="D57" s="201">
        <v>9174322824</v>
      </c>
      <c r="E57" s="201">
        <v>3208003051</v>
      </c>
      <c r="F57" s="200">
        <v>2.85982359684483</v>
      </c>
    </row>
    <row r="58" spans="1:6" ht="39" customHeight="1">
      <c r="A58" s="274" t="s">
        <v>356</v>
      </c>
      <c r="B58" s="275" t="s">
        <v>343</v>
      </c>
      <c r="C58" s="274"/>
      <c r="D58" s="201">
        <v>6076486072</v>
      </c>
      <c r="E58" s="201">
        <v>1048216969</v>
      </c>
      <c r="F58" s="200">
        <v>5.7969735767557502</v>
      </c>
    </row>
    <row r="59" spans="1:6" ht="39" customHeight="1">
      <c r="A59" s="274" t="s">
        <v>356</v>
      </c>
      <c r="B59" s="275" t="s">
        <v>344</v>
      </c>
      <c r="C59" s="274"/>
      <c r="D59" s="201">
        <v>0</v>
      </c>
      <c r="E59" s="201">
        <v>0</v>
      </c>
      <c r="F59" s="200"/>
    </row>
    <row r="60" spans="1:6" ht="39" customHeight="1">
      <c r="A60" s="274" t="s">
        <v>356</v>
      </c>
      <c r="B60" s="275" t="s">
        <v>621</v>
      </c>
      <c r="C60" s="274"/>
      <c r="D60" s="201">
        <v>0</v>
      </c>
      <c r="E60" s="201">
        <v>0</v>
      </c>
      <c r="F60" s="200"/>
    </row>
    <row r="61" spans="1:6" ht="61.15" customHeight="1">
      <c r="A61" s="274" t="s">
        <v>356</v>
      </c>
      <c r="B61" s="275" t="s">
        <v>622</v>
      </c>
      <c r="C61" s="274"/>
      <c r="D61" s="201">
        <v>3097836752</v>
      </c>
      <c r="E61" s="201">
        <v>2159786082</v>
      </c>
      <c r="F61" s="200">
        <v>1.4343257315239999</v>
      </c>
    </row>
    <row r="62" spans="1:6" ht="39" customHeight="1">
      <c r="A62" s="274" t="s">
        <v>356</v>
      </c>
      <c r="B62" s="275" t="s">
        <v>623</v>
      </c>
      <c r="C62" s="274"/>
      <c r="D62" s="201">
        <v>53535458</v>
      </c>
      <c r="E62" s="201">
        <v>14880057</v>
      </c>
      <c r="F62" s="200">
        <v>3.5977992557421001</v>
      </c>
    </row>
    <row r="63" spans="1:6" ht="39" customHeight="1">
      <c r="A63" s="274" t="s">
        <v>356</v>
      </c>
      <c r="B63" s="275" t="s">
        <v>624</v>
      </c>
      <c r="C63" s="274"/>
      <c r="D63" s="201">
        <v>1486310001</v>
      </c>
      <c r="E63" s="201">
        <v>101250229</v>
      </c>
      <c r="F63" s="200">
        <v>14.6795717469439</v>
      </c>
    </row>
    <row r="64" spans="1:6" ht="39" customHeight="1">
      <c r="A64" s="274" t="s">
        <v>356</v>
      </c>
      <c r="B64" s="275" t="s">
        <v>625</v>
      </c>
      <c r="C64" s="274"/>
      <c r="D64" s="201">
        <v>39925000</v>
      </c>
      <c r="E64" s="201">
        <v>39925000</v>
      </c>
      <c r="F64" s="200">
        <v>1</v>
      </c>
    </row>
    <row r="65" spans="1:6" ht="39" customHeight="1">
      <c r="A65" s="274" t="s">
        <v>356</v>
      </c>
      <c r="B65" s="275" t="s">
        <v>626</v>
      </c>
      <c r="C65" s="274"/>
      <c r="D65" s="201">
        <v>34000000</v>
      </c>
      <c r="E65" s="201">
        <v>34000000</v>
      </c>
      <c r="F65" s="200">
        <v>1</v>
      </c>
    </row>
    <row r="66" spans="1:6" ht="39" customHeight="1">
      <c r="A66" s="274" t="s">
        <v>356</v>
      </c>
      <c r="B66" s="275" t="s">
        <v>627</v>
      </c>
      <c r="C66" s="274"/>
      <c r="D66" s="201">
        <v>2634524828</v>
      </c>
      <c r="E66" s="201">
        <v>850637160</v>
      </c>
      <c r="F66" s="200">
        <v>3.0971193734353202</v>
      </c>
    </row>
    <row r="67" spans="1:6" ht="39" customHeight="1">
      <c r="A67" s="274" t="s">
        <v>356</v>
      </c>
      <c r="B67" s="275" t="s">
        <v>628</v>
      </c>
      <c r="C67" s="274"/>
      <c r="D67" s="201">
        <v>37153555</v>
      </c>
      <c r="E67" s="201">
        <v>12000216</v>
      </c>
      <c r="F67" s="200">
        <v>3.0960738540039601</v>
      </c>
    </row>
    <row r="68" spans="1:6" ht="39" customHeight="1">
      <c r="A68" s="274" t="s">
        <v>356</v>
      </c>
      <c r="B68" s="275" t="s">
        <v>629</v>
      </c>
      <c r="C68" s="274"/>
      <c r="D68" s="201">
        <v>59445687</v>
      </c>
      <c r="E68" s="201">
        <v>25300000</v>
      </c>
      <c r="F68" s="200">
        <v>2.3496318972332002</v>
      </c>
    </row>
    <row r="69" spans="1:6" ht="46.15" customHeight="1">
      <c r="A69" s="274" t="s">
        <v>356</v>
      </c>
      <c r="B69" s="275" t="s">
        <v>345</v>
      </c>
      <c r="C69" s="274"/>
      <c r="D69" s="201">
        <v>81084125</v>
      </c>
      <c r="E69" s="201">
        <v>25135520</v>
      </c>
      <c r="F69" s="200">
        <v>3.22587815967205</v>
      </c>
    </row>
    <row r="70" spans="1:6" ht="39" customHeight="1">
      <c r="A70" s="274" t="s">
        <v>356</v>
      </c>
      <c r="B70" s="275" t="s">
        <v>630</v>
      </c>
      <c r="C70" s="274"/>
      <c r="D70" s="201">
        <v>81084125</v>
      </c>
      <c r="E70" s="201">
        <v>25135520</v>
      </c>
      <c r="F70" s="200">
        <v>3.22587815967205</v>
      </c>
    </row>
    <row r="71" spans="1:6" ht="39" customHeight="1">
      <c r="A71" s="274" t="s">
        <v>356</v>
      </c>
      <c r="B71" s="275" t="s">
        <v>631</v>
      </c>
      <c r="C71" s="274"/>
      <c r="D71" s="201">
        <v>0</v>
      </c>
      <c r="E71" s="201">
        <v>0</v>
      </c>
      <c r="F71" s="200"/>
    </row>
    <row r="72" spans="1:6" ht="39" customHeight="1">
      <c r="A72" s="274" t="s">
        <v>356</v>
      </c>
      <c r="B72" s="275" t="s">
        <v>498</v>
      </c>
      <c r="C72" s="274"/>
      <c r="D72" s="201">
        <v>60541530</v>
      </c>
      <c r="E72" s="201">
        <v>31782292</v>
      </c>
      <c r="F72" s="200">
        <v>1.9048824420844199</v>
      </c>
    </row>
    <row r="73" spans="1:6" ht="60" customHeight="1">
      <c r="A73" s="274" t="s">
        <v>356</v>
      </c>
      <c r="B73" s="275" t="s">
        <v>632</v>
      </c>
      <c r="C73" s="274"/>
      <c r="D73" s="201">
        <v>54041530</v>
      </c>
      <c r="E73" s="201">
        <v>26182292</v>
      </c>
      <c r="F73" s="200">
        <v>2.06404886172685</v>
      </c>
    </row>
    <row r="74" spans="1:6" ht="39" customHeight="1">
      <c r="A74" s="274" t="s">
        <v>356</v>
      </c>
      <c r="B74" s="275" t="s">
        <v>633</v>
      </c>
      <c r="C74" s="274"/>
      <c r="D74" s="201">
        <v>6500000</v>
      </c>
      <c r="E74" s="201">
        <v>5600000</v>
      </c>
      <c r="F74" s="200">
        <v>1.16071428571429</v>
      </c>
    </row>
    <row r="75" spans="1:6" ht="39" customHeight="1">
      <c r="A75" s="274" t="s">
        <v>356</v>
      </c>
      <c r="B75" s="275" t="s">
        <v>634</v>
      </c>
      <c r="C75" s="274"/>
      <c r="D75" s="201">
        <v>0</v>
      </c>
      <c r="E75" s="201">
        <v>0</v>
      </c>
      <c r="F75" s="200"/>
    </row>
    <row r="76" spans="1:6" ht="39" customHeight="1">
      <c r="A76" s="274" t="s">
        <v>356</v>
      </c>
      <c r="B76" s="275" t="s">
        <v>635</v>
      </c>
      <c r="C76" s="274"/>
      <c r="D76" s="201">
        <v>181500000</v>
      </c>
      <c r="E76" s="201">
        <v>88000000</v>
      </c>
      <c r="F76" s="200">
        <v>2.0625</v>
      </c>
    </row>
    <row r="77" spans="1:6" ht="39" customHeight="1">
      <c r="A77" s="274" t="s">
        <v>356</v>
      </c>
      <c r="B77" s="275" t="s">
        <v>636</v>
      </c>
      <c r="C77" s="274"/>
      <c r="D77" s="201">
        <v>0</v>
      </c>
      <c r="E77" s="201">
        <v>0</v>
      </c>
      <c r="F77" s="200">
        <v>0</v>
      </c>
    </row>
    <row r="78" spans="1:6" ht="48" customHeight="1">
      <c r="A78" s="274" t="s">
        <v>356</v>
      </c>
      <c r="B78" s="275" t="s">
        <v>637</v>
      </c>
      <c r="C78" s="274"/>
      <c r="D78" s="201">
        <v>0</v>
      </c>
      <c r="E78" s="201">
        <v>0</v>
      </c>
      <c r="F78" s="200">
        <v>0</v>
      </c>
    </row>
    <row r="79" spans="1:6" ht="39" customHeight="1">
      <c r="A79" s="274" t="s">
        <v>356</v>
      </c>
      <c r="B79" s="275" t="s">
        <v>638</v>
      </c>
      <c r="C79" s="274"/>
      <c r="D79" s="201">
        <v>11000000</v>
      </c>
      <c r="E79" s="201">
        <v>11000000</v>
      </c>
      <c r="F79" s="200">
        <v>1</v>
      </c>
    </row>
    <row r="80" spans="1:6" ht="39" customHeight="1">
      <c r="A80" s="274" t="s">
        <v>356</v>
      </c>
      <c r="B80" s="275" t="s">
        <v>639</v>
      </c>
      <c r="C80" s="274"/>
      <c r="D80" s="201">
        <v>0</v>
      </c>
      <c r="E80" s="201">
        <v>0</v>
      </c>
      <c r="F80" s="200"/>
    </row>
    <row r="81" spans="1:6" ht="39" customHeight="1">
      <c r="A81" s="274" t="s">
        <v>356</v>
      </c>
      <c r="B81" s="275" t="s">
        <v>640</v>
      </c>
      <c r="C81" s="274"/>
      <c r="D81" s="201">
        <v>0</v>
      </c>
      <c r="E81" s="201">
        <v>0</v>
      </c>
      <c r="F81" s="200"/>
    </row>
    <row r="82" spans="1:6" ht="48" customHeight="1">
      <c r="A82" s="274" t="s">
        <v>356</v>
      </c>
      <c r="B82" s="275" t="s">
        <v>346</v>
      </c>
      <c r="C82" s="274"/>
      <c r="D82" s="201">
        <v>198557966</v>
      </c>
      <c r="E82" s="201">
        <v>263732966</v>
      </c>
      <c r="F82" s="200">
        <v>0.75287503497003105</v>
      </c>
    </row>
    <row r="83" spans="1:6" ht="45" customHeight="1">
      <c r="A83" s="274" t="s">
        <v>356</v>
      </c>
      <c r="B83" s="275" t="s">
        <v>347</v>
      </c>
      <c r="C83" s="274"/>
      <c r="D83" s="201">
        <v>22075000</v>
      </c>
      <c r="E83" s="201">
        <v>87250000</v>
      </c>
      <c r="F83" s="200">
        <v>0.25300859598853898</v>
      </c>
    </row>
    <row r="84" spans="1:6" ht="39" customHeight="1">
      <c r="A84" s="274" t="s">
        <v>356</v>
      </c>
      <c r="B84" s="275" t="s">
        <v>348</v>
      </c>
      <c r="C84" s="274"/>
      <c r="D84" s="201">
        <v>0</v>
      </c>
      <c r="E84" s="201">
        <v>0</v>
      </c>
      <c r="F84" s="200">
        <v>0</v>
      </c>
    </row>
    <row r="85" spans="1:6" ht="39" customHeight="1">
      <c r="A85" s="274" t="s">
        <v>356</v>
      </c>
      <c r="B85" s="275" t="s">
        <v>641</v>
      </c>
      <c r="C85" s="274"/>
      <c r="D85" s="201">
        <v>0</v>
      </c>
      <c r="E85" s="201">
        <v>0</v>
      </c>
      <c r="F85" s="200"/>
    </row>
    <row r="86" spans="1:6" ht="39" customHeight="1">
      <c r="A86" s="274" t="s">
        <v>356</v>
      </c>
      <c r="B86" s="275" t="s">
        <v>346</v>
      </c>
      <c r="C86" s="274"/>
      <c r="D86" s="201">
        <v>176482966</v>
      </c>
      <c r="E86" s="201">
        <v>176482966</v>
      </c>
      <c r="F86" s="200">
        <v>1</v>
      </c>
    </row>
    <row r="87" spans="1:6" ht="39" customHeight="1">
      <c r="A87" s="274" t="s">
        <v>356</v>
      </c>
      <c r="B87" s="275" t="s">
        <v>642</v>
      </c>
      <c r="C87" s="274"/>
      <c r="D87" s="201">
        <v>0</v>
      </c>
      <c r="E87" s="201">
        <v>0</v>
      </c>
      <c r="F87" s="200"/>
    </row>
    <row r="88" spans="1:6" ht="39" customHeight="1">
      <c r="A88" s="274" t="s">
        <v>356</v>
      </c>
      <c r="B88" s="275" t="s">
        <v>643</v>
      </c>
      <c r="C88" s="274"/>
      <c r="D88" s="201">
        <v>0</v>
      </c>
      <c r="E88" s="201">
        <v>0</v>
      </c>
      <c r="F88" s="200"/>
    </row>
    <row r="89" spans="1:6" ht="39" customHeight="1">
      <c r="A89" s="274" t="s">
        <v>356</v>
      </c>
      <c r="B89" s="275" t="s">
        <v>644</v>
      </c>
      <c r="C89" s="274"/>
      <c r="D89" s="270">
        <v>0</v>
      </c>
      <c r="E89" s="270">
        <v>0</v>
      </c>
      <c r="F89" s="271"/>
    </row>
    <row r="90" spans="1:6" ht="39" customHeight="1">
      <c r="A90" s="274" t="s">
        <v>356</v>
      </c>
      <c r="B90" s="275" t="s">
        <v>645</v>
      </c>
      <c r="C90" s="274"/>
      <c r="D90" s="201">
        <v>0</v>
      </c>
      <c r="E90" s="201">
        <v>0</v>
      </c>
      <c r="F90" s="200"/>
    </row>
    <row r="91" spans="1:6" s="269" customFormat="1" ht="39" customHeight="1">
      <c r="A91" s="272" t="s">
        <v>840</v>
      </c>
      <c r="B91" s="273" t="s">
        <v>647</v>
      </c>
      <c r="C91" s="272"/>
      <c r="D91" s="267">
        <v>32663520974</v>
      </c>
      <c r="E91" s="267">
        <v>4705646491</v>
      </c>
      <c r="F91" s="268">
        <v>6.9413461118407698</v>
      </c>
    </row>
    <row r="92" spans="1:6" ht="39" customHeight="1">
      <c r="A92" s="274" t="s">
        <v>356</v>
      </c>
      <c r="B92" s="275" t="s">
        <v>841</v>
      </c>
      <c r="C92" s="274"/>
      <c r="D92" s="206">
        <v>1641867480749</v>
      </c>
      <c r="E92" s="206">
        <v>537324983242</v>
      </c>
      <c r="F92" s="200">
        <v>3.0556321257251802</v>
      </c>
    </row>
    <row r="93" spans="1:6" ht="39" customHeight="1">
      <c r="A93" s="274" t="s">
        <v>356</v>
      </c>
      <c r="B93" s="275" t="s">
        <v>842</v>
      </c>
      <c r="C93" s="274"/>
      <c r="D93" s="206">
        <v>20903082.109999999</v>
      </c>
      <c r="E93" s="206">
        <v>10529255.210000001</v>
      </c>
      <c r="F93" s="200">
        <v>1.98523843264314</v>
      </c>
    </row>
    <row r="94" spans="1:6" ht="39" customHeight="1">
      <c r="A94" s="274" t="s">
        <v>356</v>
      </c>
      <c r="B94" s="275" t="s">
        <v>843</v>
      </c>
      <c r="C94" s="274"/>
      <c r="D94" s="206">
        <v>78546.66</v>
      </c>
      <c r="E94" s="206">
        <v>51031.62</v>
      </c>
      <c r="F94" s="200">
        <v>1.53917629892996</v>
      </c>
    </row>
    <row r="95" spans="1:6" ht="22.5" customHeight="1">
      <c r="A95" s="385"/>
      <c r="B95" s="385"/>
      <c r="C95" s="385"/>
      <c r="D95" s="385"/>
      <c r="E95" s="385"/>
      <c r="F95" s="385"/>
    </row>
    <row r="96" spans="1:6" s="332" customFormat="1" ht="58.15" customHeight="1">
      <c r="A96" s="384" t="s">
        <v>965</v>
      </c>
      <c r="B96" s="384"/>
      <c r="C96" s="384"/>
      <c r="D96" s="384"/>
      <c r="E96" s="384"/>
      <c r="F96" s="384"/>
    </row>
    <row r="97" spans="1:6" s="45" customFormat="1" ht="16.899999999999999" customHeight="1">
      <c r="A97" s="58" t="s">
        <v>10</v>
      </c>
      <c r="B97" s="46"/>
      <c r="C97" s="46"/>
      <c r="E97" s="58" t="s">
        <v>11</v>
      </c>
      <c r="F97" s="46"/>
    </row>
    <row r="98" spans="1:6" s="49" customFormat="1" ht="16.899999999999999" customHeight="1">
      <c r="A98" s="59" t="s">
        <v>12</v>
      </c>
      <c r="B98" s="50"/>
      <c r="C98" s="50"/>
      <c r="E98" s="59" t="s">
        <v>13</v>
      </c>
      <c r="F98" s="50"/>
    </row>
    <row r="99" spans="1:6" s="45" customFormat="1" ht="16.899999999999999" customHeight="1">
      <c r="A99" s="46"/>
      <c r="B99" s="46"/>
      <c r="C99" s="46"/>
      <c r="D99" s="46"/>
      <c r="E99" s="46"/>
      <c r="F99" s="46"/>
    </row>
    <row r="100" spans="1:6" s="45" customFormat="1" ht="16.899999999999999" customHeight="1">
      <c r="A100" s="46"/>
      <c r="B100" s="46"/>
      <c r="C100" s="46"/>
      <c r="D100" s="46"/>
      <c r="E100" s="46"/>
      <c r="F100" s="46"/>
    </row>
    <row r="101" spans="1:6" s="45" customFormat="1" ht="16.899999999999999" customHeight="1">
      <c r="A101" s="46"/>
      <c r="B101" s="46"/>
      <c r="C101" s="46"/>
      <c r="D101" s="46"/>
      <c r="E101" s="46"/>
      <c r="F101" s="46"/>
    </row>
    <row r="102" spans="1:6" s="45" customFormat="1" ht="16.899999999999999" customHeight="1">
      <c r="A102" s="46"/>
      <c r="B102" s="46"/>
      <c r="C102" s="46"/>
      <c r="D102" s="46"/>
      <c r="E102" s="46"/>
      <c r="F102" s="46"/>
    </row>
    <row r="103" spans="1:6" s="45" customFormat="1" ht="16.899999999999999" customHeight="1">
      <c r="A103" s="46"/>
      <c r="B103" s="46"/>
      <c r="C103" s="46"/>
      <c r="D103" s="46"/>
      <c r="E103" s="46"/>
      <c r="F103" s="46"/>
    </row>
    <row r="104" spans="1:6" s="45" customFormat="1" ht="16.899999999999999" customHeight="1">
      <c r="A104" s="46"/>
      <c r="B104" s="46"/>
      <c r="C104" s="46"/>
      <c r="D104" s="46"/>
      <c r="E104" s="46"/>
      <c r="F104" s="46"/>
    </row>
    <row r="105" spans="1:6" s="45" customFormat="1" ht="16.899999999999999" customHeight="1">
      <c r="A105" s="193"/>
      <c r="B105" s="193"/>
      <c r="C105" s="46"/>
      <c r="D105" s="48"/>
      <c r="E105" s="193"/>
      <c r="F105" s="193"/>
    </row>
    <row r="106" spans="1:6" s="45" customFormat="1" ht="16.899999999999999" customHeight="1">
      <c r="A106" s="57" t="s">
        <v>14</v>
      </c>
      <c r="B106" s="190"/>
      <c r="C106" s="46"/>
      <c r="D106" s="47"/>
      <c r="E106" s="57" t="s">
        <v>742</v>
      </c>
      <c r="F106" s="190"/>
    </row>
    <row r="107" spans="1:6" s="45" customFormat="1" ht="16.899999999999999" customHeight="1">
      <c r="A107" s="189" t="s">
        <v>745</v>
      </c>
      <c r="B107" s="48"/>
      <c r="C107" s="46"/>
      <c r="E107" s="189" t="s">
        <v>746</v>
      </c>
      <c r="F107" s="48"/>
    </row>
    <row r="108" spans="1:6" s="45" customFormat="1" ht="16.899999999999999" customHeight="1">
      <c r="A108" s="46" t="s">
        <v>747</v>
      </c>
      <c r="B108" s="46"/>
      <c r="C108" s="46"/>
      <c r="E108" s="46" t="s">
        <v>826</v>
      </c>
      <c r="F108" s="46"/>
    </row>
    <row r="109" spans="1:6" ht="16.899999999999999" customHeight="1"/>
  </sheetData>
  <mergeCells count="22">
    <mergeCell ref="A1:F1"/>
    <mergeCell ref="A2:F2"/>
    <mergeCell ref="A3:F4"/>
    <mergeCell ref="A5:F5"/>
    <mergeCell ref="A7:B7"/>
    <mergeCell ref="C7:F7"/>
    <mergeCell ref="A8:B8"/>
    <mergeCell ref="C8:F8"/>
    <mergeCell ref="A9:B9"/>
    <mergeCell ref="C9:F9"/>
    <mergeCell ref="A10:B10"/>
    <mergeCell ref="C10:F10"/>
    <mergeCell ref="A96:F96"/>
    <mergeCell ref="A95:F95"/>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6"/>
  <sheetViews>
    <sheetView view="pageBreakPreview" zoomScale="82" zoomScaleNormal="100" zoomScaleSheetLayoutView="82" workbookViewId="0">
      <selection activeCell="I89" sqref="I89"/>
    </sheetView>
  </sheetViews>
  <sheetFormatPr defaultColWidth="8.7109375" defaultRowHeight="12.75"/>
  <cols>
    <col min="1" max="1" width="8.7109375" style="55"/>
    <col min="2" max="2" width="46.28515625" style="55" customWidth="1"/>
    <col min="3" max="3" width="10.7109375" style="55" bestFit="1" customWidth="1"/>
    <col min="4" max="4" width="21.28515625" style="55" customWidth="1"/>
    <col min="5" max="5" width="21" style="55" customWidth="1"/>
    <col min="6" max="6" width="22" style="55" customWidth="1"/>
    <col min="7" max="16384" width="8.7109375" style="64"/>
  </cols>
  <sheetData>
    <row r="1" spans="1:6" ht="22.9" customHeight="1">
      <c r="A1" s="357" t="s">
        <v>828</v>
      </c>
      <c r="B1" s="357"/>
      <c r="C1" s="357"/>
      <c r="D1" s="357"/>
      <c r="E1" s="357"/>
      <c r="F1" s="357"/>
    </row>
    <row r="2" spans="1:6" ht="45" customHeight="1">
      <c r="A2" s="358" t="s">
        <v>829</v>
      </c>
      <c r="B2" s="358"/>
      <c r="C2" s="358"/>
      <c r="D2" s="358"/>
      <c r="E2" s="358"/>
      <c r="F2" s="358"/>
    </row>
    <row r="3" spans="1:6" ht="22.5" customHeight="1">
      <c r="A3" s="359" t="s">
        <v>974</v>
      </c>
      <c r="B3" s="359"/>
      <c r="C3" s="359"/>
      <c r="D3" s="359"/>
      <c r="E3" s="359"/>
      <c r="F3" s="359"/>
    </row>
    <row r="4" spans="1:6" ht="21" customHeight="1">
      <c r="A4" s="359"/>
      <c r="B4" s="359"/>
      <c r="C4" s="359"/>
      <c r="D4" s="359"/>
      <c r="E4" s="359"/>
      <c r="F4" s="359"/>
    </row>
    <row r="5" spans="1:6" ht="16.149999999999999" customHeight="1">
      <c r="A5" s="360" t="s">
        <v>798</v>
      </c>
      <c r="B5" s="360"/>
      <c r="C5" s="360"/>
      <c r="D5" s="360"/>
      <c r="E5" s="360"/>
      <c r="F5" s="360"/>
    </row>
    <row r="7" spans="1:6">
      <c r="A7" s="60" t="s">
        <v>2</v>
      </c>
      <c r="C7" s="361" t="s">
        <v>742</v>
      </c>
      <c r="D7" s="361"/>
      <c r="E7" s="361"/>
      <c r="F7" s="361"/>
    </row>
    <row r="8" spans="1:6">
      <c r="A8" s="55" t="s">
        <v>40</v>
      </c>
      <c r="C8" s="354" t="s">
        <v>825</v>
      </c>
      <c r="D8" s="354"/>
      <c r="E8" s="354"/>
      <c r="F8" s="354"/>
    </row>
    <row r="9" spans="1:6" ht="16.899999999999999" customHeight="1">
      <c r="A9" s="60" t="s">
        <v>3</v>
      </c>
      <c r="C9" s="370" t="s">
        <v>743</v>
      </c>
      <c r="D9" s="370"/>
      <c r="E9" s="370"/>
      <c r="F9" s="370"/>
    </row>
    <row r="10" spans="1:6" ht="16.899999999999999" customHeight="1">
      <c r="A10" s="55" t="s">
        <v>4</v>
      </c>
      <c r="C10" s="365" t="s">
        <v>744</v>
      </c>
      <c r="D10" s="365"/>
      <c r="E10" s="365"/>
      <c r="F10" s="365"/>
    </row>
    <row r="11" spans="1:6" ht="29.65" customHeight="1">
      <c r="A11" s="60" t="s">
        <v>5</v>
      </c>
      <c r="C11" s="361" t="s">
        <v>963</v>
      </c>
      <c r="D11" s="361"/>
      <c r="E11" s="361"/>
      <c r="F11" s="361"/>
    </row>
    <row r="12" spans="1:6" ht="29.65" customHeight="1">
      <c r="A12" s="55" t="s">
        <v>6</v>
      </c>
      <c r="C12" s="354" t="s">
        <v>964</v>
      </c>
      <c r="D12" s="354"/>
      <c r="E12" s="354"/>
      <c r="F12" s="354"/>
    </row>
    <row r="13" spans="1:6" ht="16.899999999999999" customHeight="1">
      <c r="A13" s="60" t="s">
        <v>7</v>
      </c>
      <c r="C13" s="392" t="s">
        <v>979</v>
      </c>
      <c r="D13" s="370"/>
      <c r="E13" s="370"/>
      <c r="F13" s="370"/>
    </row>
    <row r="14" spans="1:6" ht="16.899999999999999" customHeight="1">
      <c r="A14" s="55" t="s">
        <v>8</v>
      </c>
      <c r="C14" s="371" t="s">
        <v>980</v>
      </c>
      <c r="D14" s="365"/>
      <c r="E14" s="365"/>
      <c r="F14" s="365"/>
    </row>
    <row r="15" spans="1:6" ht="16.899999999999999" customHeight="1"/>
    <row r="16" spans="1:6" ht="16.899999999999999" customHeight="1">
      <c r="A16" s="194" t="s">
        <v>753</v>
      </c>
      <c r="B16" s="70" t="s">
        <v>754</v>
      </c>
    </row>
    <row r="17" spans="1:6" ht="16.899999999999999" customHeight="1">
      <c r="A17" s="249" t="s">
        <v>47</v>
      </c>
      <c r="B17" s="250" t="s">
        <v>52</v>
      </c>
    </row>
    <row r="18" spans="1:6" ht="44.65" customHeight="1">
      <c r="A18" s="53" t="s">
        <v>42</v>
      </c>
      <c r="B18" s="51" t="s">
        <v>43</v>
      </c>
      <c r="C18" s="51" t="s">
        <v>44</v>
      </c>
      <c r="D18" s="52" t="s">
        <v>800</v>
      </c>
      <c r="E18" s="52" t="s">
        <v>749</v>
      </c>
      <c r="F18" s="65" t="s">
        <v>227</v>
      </c>
    </row>
    <row r="19" spans="1:6" s="67" customFormat="1" ht="39" customHeight="1">
      <c r="A19" s="56" t="s">
        <v>41</v>
      </c>
      <c r="B19" s="276" t="s">
        <v>60</v>
      </c>
      <c r="C19" s="277"/>
      <c r="D19" s="66">
        <v>15560298438</v>
      </c>
      <c r="E19" s="66">
        <v>17075545405</v>
      </c>
      <c r="F19" s="66">
        <v>15560298438</v>
      </c>
    </row>
    <row r="20" spans="1:6" ht="39" customHeight="1">
      <c r="A20" s="278">
        <v>1</v>
      </c>
      <c r="B20" s="279" t="s">
        <v>844</v>
      </c>
      <c r="C20" s="280"/>
      <c r="D20" s="68"/>
      <c r="E20" s="68"/>
      <c r="F20" s="68"/>
    </row>
    <row r="21" spans="1:6" ht="39" customHeight="1">
      <c r="A21" s="281">
        <v>2</v>
      </c>
      <c r="B21" s="282" t="s">
        <v>236</v>
      </c>
      <c r="C21" s="283"/>
      <c r="D21" s="68">
        <v>12232372556</v>
      </c>
      <c r="E21" s="68">
        <v>11316867477</v>
      </c>
      <c r="F21" s="68">
        <v>12232372556</v>
      </c>
    </row>
    <row r="22" spans="1:6" ht="39" customHeight="1">
      <c r="A22" s="284"/>
      <c r="B22" s="285" t="s">
        <v>237</v>
      </c>
      <c r="C22" s="286"/>
      <c r="D22" s="68">
        <v>7453742418</v>
      </c>
      <c r="E22" s="68">
        <v>8327731688</v>
      </c>
      <c r="F22" s="68">
        <v>7453742418</v>
      </c>
    </row>
    <row r="23" spans="1:6" ht="39" customHeight="1">
      <c r="A23" s="284"/>
      <c r="B23" s="285" t="s">
        <v>238</v>
      </c>
      <c r="C23" s="286"/>
      <c r="D23" s="68">
        <v>4778630138</v>
      </c>
      <c r="E23" s="68">
        <v>2989135789</v>
      </c>
      <c r="F23" s="68">
        <v>4778630138</v>
      </c>
    </row>
    <row r="24" spans="1:6" ht="39" customHeight="1">
      <c r="A24" s="281">
        <v>3</v>
      </c>
      <c r="B24" s="282" t="s">
        <v>239</v>
      </c>
      <c r="C24" s="283"/>
      <c r="D24" s="68">
        <v>3327925882</v>
      </c>
      <c r="E24" s="68">
        <v>5758677928</v>
      </c>
      <c r="F24" s="68">
        <v>3327925882</v>
      </c>
    </row>
    <row r="25" spans="1:6" ht="39" customHeight="1">
      <c r="A25" s="284"/>
      <c r="B25" s="285" t="s">
        <v>232</v>
      </c>
      <c r="C25" s="286"/>
      <c r="D25" s="68">
        <v>494884789</v>
      </c>
      <c r="E25" s="68">
        <v>425506695</v>
      </c>
      <c r="F25" s="68">
        <v>494884789</v>
      </c>
    </row>
    <row r="26" spans="1:6" ht="39" customHeight="1">
      <c r="A26" s="284"/>
      <c r="B26" s="285" t="s">
        <v>240</v>
      </c>
      <c r="C26" s="286"/>
      <c r="D26" s="68">
        <v>2833041093</v>
      </c>
      <c r="E26" s="68">
        <v>5333171233</v>
      </c>
      <c r="F26" s="68">
        <v>2833041093</v>
      </c>
    </row>
    <row r="27" spans="1:6" ht="39" customHeight="1">
      <c r="A27" s="284"/>
      <c r="B27" s="285" t="s">
        <v>283</v>
      </c>
      <c r="C27" s="286"/>
      <c r="D27" s="68">
        <v>0</v>
      </c>
      <c r="E27" s="68">
        <v>0</v>
      </c>
      <c r="F27" s="68">
        <v>0</v>
      </c>
    </row>
    <row r="28" spans="1:6" ht="39" customHeight="1">
      <c r="A28" s="281">
        <v>4</v>
      </c>
      <c r="B28" s="282" t="s">
        <v>241</v>
      </c>
      <c r="C28" s="283"/>
      <c r="D28" s="68">
        <v>0</v>
      </c>
      <c r="E28" s="68">
        <v>0</v>
      </c>
      <c r="F28" s="68">
        <v>0</v>
      </c>
    </row>
    <row r="29" spans="1:6" ht="39" customHeight="1">
      <c r="A29" s="287"/>
      <c r="B29" s="288" t="s">
        <v>242</v>
      </c>
      <c r="C29" s="289"/>
      <c r="D29" s="69">
        <v>0</v>
      </c>
      <c r="E29" s="69">
        <v>0</v>
      </c>
      <c r="F29" s="68">
        <v>0</v>
      </c>
    </row>
    <row r="30" spans="1:6" ht="77.650000000000006" customHeight="1">
      <c r="A30" s="287"/>
      <c r="B30" s="288" t="s">
        <v>243</v>
      </c>
      <c r="C30" s="289"/>
      <c r="D30" s="69">
        <v>0</v>
      </c>
      <c r="E30" s="69">
        <v>0</v>
      </c>
      <c r="F30" s="68">
        <v>0</v>
      </c>
    </row>
    <row r="31" spans="1:6" s="67" customFormat="1" ht="76.5">
      <c r="A31" s="287"/>
      <c r="B31" s="288" t="s">
        <v>61</v>
      </c>
      <c r="C31" s="289"/>
      <c r="D31" s="69">
        <v>0</v>
      </c>
      <c r="E31" s="69">
        <v>0</v>
      </c>
      <c r="F31" s="68">
        <v>0</v>
      </c>
    </row>
    <row r="32" spans="1:6" ht="39" customHeight="1">
      <c r="A32" s="56" t="s">
        <v>47</v>
      </c>
      <c r="B32" s="276" t="s">
        <v>244</v>
      </c>
      <c r="C32" s="277"/>
      <c r="D32" s="66">
        <v>23893041270</v>
      </c>
      <c r="E32" s="66">
        <v>14530237335</v>
      </c>
      <c r="F32" s="66">
        <v>23893041270</v>
      </c>
    </row>
    <row r="33" spans="1:6" ht="44.65" customHeight="1">
      <c r="A33" s="281">
        <v>1</v>
      </c>
      <c r="B33" s="282" t="s">
        <v>845</v>
      </c>
      <c r="C33" s="283"/>
      <c r="D33" s="68">
        <v>17894876572</v>
      </c>
      <c r="E33" s="68">
        <v>11623445526</v>
      </c>
      <c r="F33" s="68">
        <v>17894876572</v>
      </c>
    </row>
    <row r="34" spans="1:6" ht="39" customHeight="1">
      <c r="A34" s="281">
        <v>2</v>
      </c>
      <c r="B34" s="282" t="s">
        <v>846</v>
      </c>
      <c r="C34" s="283"/>
      <c r="D34" s="295">
        <v>966491264</v>
      </c>
      <c r="E34" s="295">
        <v>870096215</v>
      </c>
      <c r="F34" s="68">
        <v>966491264</v>
      </c>
    </row>
    <row r="35" spans="1:6" ht="39" customHeight="1">
      <c r="A35" s="278"/>
      <c r="B35" s="285" t="s">
        <v>847</v>
      </c>
      <c r="C35" s="286"/>
      <c r="D35" s="295">
        <v>425046893</v>
      </c>
      <c r="E35" s="295">
        <v>327652862</v>
      </c>
      <c r="F35" s="68">
        <v>425046893</v>
      </c>
    </row>
    <row r="36" spans="1:6" ht="57" customHeight="1">
      <c r="A36" s="278"/>
      <c r="B36" s="285" t="s">
        <v>848</v>
      </c>
      <c r="C36" s="286"/>
      <c r="D36" s="295">
        <v>79400000</v>
      </c>
      <c r="E36" s="295">
        <v>105000000</v>
      </c>
      <c r="F36" s="68">
        <v>79400000</v>
      </c>
    </row>
    <row r="37" spans="1:6" ht="73.900000000000006" customHeight="1">
      <c r="A37" s="278"/>
      <c r="B37" s="285" t="s">
        <v>849</v>
      </c>
      <c r="C37" s="286"/>
      <c r="D37" s="295">
        <v>43090603</v>
      </c>
      <c r="E37" s="295">
        <v>123123780</v>
      </c>
      <c r="F37" s="295">
        <v>43090603</v>
      </c>
    </row>
    <row r="38" spans="1:6" ht="73.5" customHeight="1">
      <c r="A38" s="278"/>
      <c r="B38" s="285" t="s">
        <v>850</v>
      </c>
      <c r="C38" s="286"/>
      <c r="D38" s="68">
        <v>418953768</v>
      </c>
      <c r="E38" s="68">
        <v>314319573</v>
      </c>
      <c r="F38" s="68">
        <v>418953768</v>
      </c>
    </row>
    <row r="39" spans="1:6" ht="77.650000000000006" customHeight="1">
      <c r="A39" s="281">
        <v>3</v>
      </c>
      <c r="B39" s="290" t="s">
        <v>851</v>
      </c>
      <c r="C39" s="283"/>
      <c r="D39" s="68">
        <v>384363637</v>
      </c>
      <c r="E39" s="68">
        <v>295924433</v>
      </c>
      <c r="F39" s="68">
        <v>384363637</v>
      </c>
    </row>
    <row r="40" spans="1:6" ht="39" customHeight="1">
      <c r="A40" s="278"/>
      <c r="B40" s="291" t="s">
        <v>285</v>
      </c>
      <c r="C40" s="286"/>
      <c r="D40" s="68">
        <v>252363637</v>
      </c>
      <c r="E40" s="68">
        <v>163924433</v>
      </c>
      <c r="F40" s="68">
        <v>252363637</v>
      </c>
    </row>
    <row r="41" spans="1:6" ht="39" customHeight="1">
      <c r="A41" s="278"/>
      <c r="B41" s="291" t="s">
        <v>63</v>
      </c>
      <c r="C41" s="286"/>
      <c r="D41" s="295">
        <v>132000000</v>
      </c>
      <c r="E41" s="295">
        <v>132000000</v>
      </c>
      <c r="F41" s="295">
        <v>132000000</v>
      </c>
    </row>
    <row r="42" spans="1:6" ht="77.650000000000006" customHeight="1">
      <c r="A42" s="278">
        <v>4</v>
      </c>
      <c r="B42" s="291" t="s">
        <v>852</v>
      </c>
      <c r="C42" s="286"/>
      <c r="D42" s="295"/>
      <c r="E42" s="295"/>
      <c r="F42" s="295"/>
    </row>
    <row r="43" spans="1:6" ht="39" customHeight="1">
      <c r="A43" s="278">
        <v>5</v>
      </c>
      <c r="B43" s="291" t="s">
        <v>853</v>
      </c>
      <c r="C43" s="286"/>
      <c r="D43" s="295"/>
      <c r="E43" s="295"/>
      <c r="F43" s="295"/>
    </row>
    <row r="44" spans="1:6" ht="39" customHeight="1">
      <c r="A44" s="281">
        <v>6</v>
      </c>
      <c r="B44" s="282" t="s">
        <v>64</v>
      </c>
      <c r="C44" s="283"/>
      <c r="D44" s="68">
        <v>184088823</v>
      </c>
      <c r="E44" s="68">
        <v>185537000</v>
      </c>
      <c r="F44" s="68">
        <v>184088823</v>
      </c>
    </row>
    <row r="45" spans="1:6" ht="63.75">
      <c r="A45" s="281">
        <v>7</v>
      </c>
      <c r="B45" s="282" t="s">
        <v>286</v>
      </c>
      <c r="C45" s="283"/>
      <c r="D45" s="68">
        <v>305325000</v>
      </c>
      <c r="E45" s="68">
        <v>359750000</v>
      </c>
      <c r="F45" s="68">
        <v>305325000</v>
      </c>
    </row>
    <row r="46" spans="1:6" ht="148.9" customHeight="1">
      <c r="A46" s="278"/>
      <c r="B46" s="292" t="s">
        <v>287</v>
      </c>
      <c r="C46" s="286"/>
      <c r="D46" s="68">
        <v>221000000</v>
      </c>
      <c r="E46" s="68">
        <v>221000000</v>
      </c>
      <c r="F46" s="68">
        <v>221000000</v>
      </c>
    </row>
    <row r="47" spans="1:6" ht="39" customHeight="1">
      <c r="A47" s="278"/>
      <c r="B47" s="292" t="s">
        <v>245</v>
      </c>
      <c r="C47" s="286"/>
      <c r="D47" s="68">
        <v>84325000</v>
      </c>
      <c r="E47" s="68">
        <v>138750000</v>
      </c>
      <c r="F47" s="68">
        <v>84325000</v>
      </c>
    </row>
    <row r="48" spans="1:6" ht="39" customHeight="1">
      <c r="A48" s="278"/>
      <c r="B48" s="292" t="s">
        <v>66</v>
      </c>
      <c r="C48" s="286"/>
      <c r="D48" s="295">
        <v>0</v>
      </c>
      <c r="E48" s="295">
        <v>0</v>
      </c>
      <c r="F48" s="68">
        <v>0</v>
      </c>
    </row>
    <row r="49" spans="1:6" ht="169.15" customHeight="1">
      <c r="A49" s="281">
        <v>8</v>
      </c>
      <c r="B49" s="290" t="s">
        <v>288</v>
      </c>
      <c r="C49" s="283"/>
      <c r="D49" s="68">
        <v>1353506</v>
      </c>
      <c r="E49" s="68">
        <v>-34668822</v>
      </c>
      <c r="F49" s="68">
        <v>1353506</v>
      </c>
    </row>
    <row r="50" spans="1:6" ht="39" customHeight="1">
      <c r="A50" s="278"/>
      <c r="B50" s="291" t="s">
        <v>246</v>
      </c>
      <c r="C50" s="286"/>
      <c r="D50" s="68">
        <v>1353506</v>
      </c>
      <c r="E50" s="68">
        <v>-34668822</v>
      </c>
      <c r="F50" s="68">
        <v>1353506</v>
      </c>
    </row>
    <row r="51" spans="1:6" ht="39" customHeight="1">
      <c r="A51" s="278"/>
      <c r="B51" s="291" t="s">
        <v>158</v>
      </c>
      <c r="C51" s="286"/>
      <c r="D51" s="68">
        <v>0</v>
      </c>
      <c r="E51" s="68">
        <v>0</v>
      </c>
      <c r="F51" s="68">
        <v>0</v>
      </c>
    </row>
    <row r="52" spans="1:6" ht="66" customHeight="1">
      <c r="A52" s="278"/>
      <c r="B52" s="291" t="s">
        <v>289</v>
      </c>
      <c r="C52" s="286"/>
      <c r="D52" s="68">
        <v>0</v>
      </c>
      <c r="E52" s="68">
        <v>0</v>
      </c>
      <c r="F52" s="68">
        <v>0</v>
      </c>
    </row>
    <row r="53" spans="1:6" ht="39" customHeight="1">
      <c r="A53" s="278"/>
      <c r="B53" s="292" t="s">
        <v>247</v>
      </c>
      <c r="C53" s="286"/>
      <c r="D53" s="68">
        <v>0</v>
      </c>
      <c r="E53" s="68">
        <v>0</v>
      </c>
      <c r="F53" s="68">
        <v>0</v>
      </c>
    </row>
    <row r="54" spans="1:6" ht="39" customHeight="1">
      <c r="A54" s="278"/>
      <c r="B54" s="292" t="s">
        <v>854</v>
      </c>
      <c r="C54" s="286"/>
      <c r="D54" s="68">
        <v>0</v>
      </c>
      <c r="E54" s="68">
        <v>0</v>
      </c>
      <c r="F54" s="68">
        <v>0</v>
      </c>
    </row>
    <row r="55" spans="1:6" ht="51">
      <c r="A55" s="281">
        <v>9</v>
      </c>
      <c r="B55" s="282" t="s">
        <v>290</v>
      </c>
      <c r="C55" s="283"/>
      <c r="D55" s="295">
        <v>4141878170</v>
      </c>
      <c r="E55" s="295">
        <v>1200730650</v>
      </c>
      <c r="F55" s="295">
        <v>4141878170</v>
      </c>
    </row>
    <row r="56" spans="1:6" ht="39" customHeight="1">
      <c r="A56" s="278"/>
      <c r="B56" s="285" t="s">
        <v>68</v>
      </c>
      <c r="C56" s="286"/>
      <c r="D56" s="295">
        <v>4135296975</v>
      </c>
      <c r="E56" s="295">
        <v>1196145939</v>
      </c>
      <c r="F56" s="68">
        <v>4135296975</v>
      </c>
    </row>
    <row r="57" spans="1:6" ht="39" customHeight="1">
      <c r="A57" s="278"/>
      <c r="B57" s="285" t="s">
        <v>69</v>
      </c>
      <c r="C57" s="286"/>
      <c r="D57" s="295">
        <v>6581195</v>
      </c>
      <c r="E57" s="295">
        <v>4584711</v>
      </c>
      <c r="F57" s="68">
        <v>6581195</v>
      </c>
    </row>
    <row r="58" spans="1:6" ht="39" customHeight="1">
      <c r="A58" s="278"/>
      <c r="B58" s="285" t="s">
        <v>70</v>
      </c>
      <c r="C58" s="286"/>
      <c r="D58" s="295">
        <v>0</v>
      </c>
      <c r="E58" s="295">
        <v>0</v>
      </c>
      <c r="F58" s="68">
        <v>0</v>
      </c>
    </row>
    <row r="59" spans="1:6" ht="39" customHeight="1">
      <c r="A59" s="281">
        <v>10</v>
      </c>
      <c r="B59" s="282" t="s">
        <v>855</v>
      </c>
      <c r="C59" s="283"/>
      <c r="D59" s="295">
        <v>14664298</v>
      </c>
      <c r="E59" s="295">
        <v>29422333</v>
      </c>
      <c r="F59" s="295">
        <v>14664298</v>
      </c>
    </row>
    <row r="60" spans="1:6" ht="39" customHeight="1">
      <c r="A60" s="281"/>
      <c r="B60" s="285" t="s">
        <v>71</v>
      </c>
      <c r="C60" s="286"/>
      <c r="D60" s="295">
        <v>0</v>
      </c>
      <c r="E60" s="295">
        <v>0</v>
      </c>
      <c r="F60" s="295">
        <v>0</v>
      </c>
    </row>
    <row r="61" spans="1:6" ht="39" customHeight="1">
      <c r="A61" s="281"/>
      <c r="B61" s="285" t="s">
        <v>291</v>
      </c>
      <c r="C61" s="286"/>
      <c r="D61" s="295">
        <v>0</v>
      </c>
      <c r="E61" s="295">
        <v>0</v>
      </c>
      <c r="F61" s="295">
        <v>0</v>
      </c>
    </row>
    <row r="62" spans="1:6" ht="39" customHeight="1">
      <c r="A62" s="281"/>
      <c r="B62" s="285" t="s">
        <v>72</v>
      </c>
      <c r="C62" s="286"/>
      <c r="D62" s="295">
        <v>0</v>
      </c>
      <c r="E62" s="295">
        <v>6739726</v>
      </c>
      <c r="F62" s="295">
        <v>0</v>
      </c>
    </row>
    <row r="63" spans="1:6" ht="39" customHeight="1">
      <c r="A63" s="281"/>
      <c r="B63" s="285" t="s">
        <v>73</v>
      </c>
      <c r="C63" s="286"/>
      <c r="D63" s="295">
        <v>12464298</v>
      </c>
      <c r="E63" s="295">
        <v>21582607</v>
      </c>
      <c r="F63" s="295">
        <v>12464298</v>
      </c>
    </row>
    <row r="64" spans="1:6" s="67" customFormat="1" ht="45.75" customHeight="1">
      <c r="A64" s="281"/>
      <c r="B64" s="285" t="s">
        <v>292</v>
      </c>
      <c r="C64" s="286"/>
      <c r="D64" s="295">
        <v>0</v>
      </c>
      <c r="E64" s="295">
        <v>0</v>
      </c>
      <c r="F64" s="295">
        <v>0</v>
      </c>
    </row>
    <row r="65" spans="1:6" s="67" customFormat="1" ht="39" customHeight="1">
      <c r="A65" s="281"/>
      <c r="B65" s="285" t="s">
        <v>70</v>
      </c>
      <c r="C65" s="286"/>
      <c r="D65" s="295">
        <v>0</v>
      </c>
      <c r="E65" s="295">
        <v>0</v>
      </c>
      <c r="F65" s="295">
        <v>0</v>
      </c>
    </row>
    <row r="66" spans="1:6" ht="39" customHeight="1">
      <c r="A66" s="281"/>
      <c r="B66" s="285" t="s">
        <v>293</v>
      </c>
      <c r="C66" s="286"/>
      <c r="D66" s="295">
        <v>2200000</v>
      </c>
      <c r="E66" s="295">
        <v>1100000</v>
      </c>
      <c r="F66" s="295">
        <v>2200000</v>
      </c>
    </row>
    <row r="67" spans="1:6" ht="39" customHeight="1">
      <c r="A67" s="293" t="s">
        <v>53</v>
      </c>
      <c r="B67" s="276" t="s">
        <v>294</v>
      </c>
      <c r="C67" s="277"/>
      <c r="D67" s="66">
        <v>-8332742832</v>
      </c>
      <c r="E67" s="66">
        <v>2545308070</v>
      </c>
      <c r="F67" s="66">
        <v>-8332742832</v>
      </c>
    </row>
    <row r="68" spans="1:6" s="67" customFormat="1" ht="75" customHeight="1">
      <c r="A68" s="293" t="s">
        <v>54</v>
      </c>
      <c r="B68" s="276" t="s">
        <v>249</v>
      </c>
      <c r="C68" s="277"/>
      <c r="D68" s="66">
        <v>359555930762</v>
      </c>
      <c r="E68" s="66">
        <v>75067459966</v>
      </c>
      <c r="F68" s="66">
        <v>359555930762</v>
      </c>
    </row>
    <row r="69" spans="1:6" s="67" customFormat="1" ht="55.5" customHeight="1">
      <c r="A69" s="281">
        <v>1</v>
      </c>
      <c r="B69" s="282" t="s">
        <v>856</v>
      </c>
      <c r="C69" s="283"/>
      <c r="D69" s="68">
        <v>282915284711</v>
      </c>
      <c r="E69" s="68">
        <v>11977629632</v>
      </c>
      <c r="F69" s="68">
        <v>282915284711</v>
      </c>
    </row>
    <row r="70" spans="1:6" s="67" customFormat="1" ht="46.5" customHeight="1">
      <c r="A70" s="281">
        <v>2</v>
      </c>
      <c r="B70" s="282" t="s">
        <v>74</v>
      </c>
      <c r="C70" s="283"/>
      <c r="D70" s="68">
        <v>76640646051</v>
      </c>
      <c r="E70" s="68">
        <v>63089830334</v>
      </c>
      <c r="F70" s="68">
        <v>76640646051</v>
      </c>
    </row>
    <row r="71" spans="1:6" ht="39" customHeight="1">
      <c r="A71" s="293" t="s">
        <v>55</v>
      </c>
      <c r="B71" s="276" t="s">
        <v>295</v>
      </c>
      <c r="C71" s="277"/>
      <c r="D71" s="66">
        <v>351223187930</v>
      </c>
      <c r="E71" s="66">
        <v>77612768036</v>
      </c>
      <c r="F71" s="66">
        <v>351223187930</v>
      </c>
    </row>
    <row r="72" spans="1:6" ht="58.5" customHeight="1">
      <c r="A72" s="293" t="s">
        <v>56</v>
      </c>
      <c r="B72" s="276" t="s">
        <v>75</v>
      </c>
      <c r="C72" s="277"/>
      <c r="D72" s="66">
        <v>537324983242</v>
      </c>
      <c r="E72" s="66">
        <v>832283820546</v>
      </c>
      <c r="F72" s="66">
        <v>537324983242</v>
      </c>
    </row>
    <row r="73" spans="1:6" ht="58.5" customHeight="1">
      <c r="A73" s="293" t="s">
        <v>57</v>
      </c>
      <c r="B73" s="276" t="s">
        <v>76</v>
      </c>
      <c r="C73" s="277"/>
      <c r="D73" s="66">
        <v>1104542497507</v>
      </c>
      <c r="E73" s="66">
        <v>-294958837304</v>
      </c>
      <c r="F73" s="66">
        <v>1104542497507</v>
      </c>
    </row>
    <row r="74" spans="1:6" ht="62.65" customHeight="1">
      <c r="A74" s="281"/>
      <c r="B74" s="282" t="s">
        <v>77</v>
      </c>
      <c r="C74" s="283"/>
      <c r="D74" s="68">
        <v>0</v>
      </c>
      <c r="E74" s="68">
        <v>0</v>
      </c>
      <c r="F74" s="68">
        <v>0</v>
      </c>
    </row>
    <row r="75" spans="1:6" ht="46.9" customHeight="1">
      <c r="A75" s="281">
        <v>1</v>
      </c>
      <c r="B75" s="282" t="s">
        <v>857</v>
      </c>
      <c r="C75" s="283"/>
      <c r="D75" s="68">
        <v>351223187930</v>
      </c>
      <c r="E75" s="68">
        <v>77612768036</v>
      </c>
      <c r="F75" s="295">
        <v>351223187930</v>
      </c>
    </row>
    <row r="76" spans="1:6" s="67" customFormat="1" ht="37.9" customHeight="1">
      <c r="A76" s="281">
        <v>2</v>
      </c>
      <c r="B76" s="282" t="s">
        <v>858</v>
      </c>
      <c r="C76" s="283"/>
      <c r="D76" s="68">
        <v>0</v>
      </c>
      <c r="E76" s="68">
        <v>0</v>
      </c>
      <c r="F76" s="295">
        <v>0</v>
      </c>
    </row>
    <row r="77" spans="1:6" s="67" customFormat="1" ht="57.4" customHeight="1">
      <c r="A77" s="281">
        <v>3</v>
      </c>
      <c r="B77" s="282" t="s">
        <v>859</v>
      </c>
      <c r="C77" s="283"/>
      <c r="D77" s="68">
        <v>753319309577</v>
      </c>
      <c r="E77" s="68">
        <v>-372571605340</v>
      </c>
      <c r="F77" s="68">
        <v>753319309577</v>
      </c>
    </row>
    <row r="78" spans="1:6" ht="57" customHeight="1">
      <c r="A78" s="281"/>
      <c r="B78" s="282" t="s">
        <v>296</v>
      </c>
      <c r="C78" s="283"/>
      <c r="D78" s="295">
        <v>1216071519572</v>
      </c>
      <c r="E78" s="295">
        <v>52075040504</v>
      </c>
      <c r="F78" s="295">
        <v>1216071519572</v>
      </c>
    </row>
    <row r="79" spans="1:6" ht="57" customHeight="1">
      <c r="A79" s="281"/>
      <c r="B79" s="282" t="s">
        <v>297</v>
      </c>
      <c r="C79" s="283"/>
      <c r="D79" s="295">
        <v>-462752209995</v>
      </c>
      <c r="E79" s="295">
        <v>-424646645844</v>
      </c>
      <c r="F79" s="295">
        <v>-462752209995</v>
      </c>
    </row>
    <row r="80" spans="1:6" s="67" customFormat="1" ht="57" customHeight="1">
      <c r="A80" s="56" t="s">
        <v>58</v>
      </c>
      <c r="B80" s="276" t="s">
        <v>78</v>
      </c>
      <c r="C80" s="277"/>
      <c r="D80" s="66">
        <v>1641867480749</v>
      </c>
      <c r="E80" s="66">
        <v>537324983242</v>
      </c>
      <c r="F80" s="66">
        <v>1641867480749</v>
      </c>
    </row>
    <row r="81" spans="1:6" s="67" customFormat="1" ht="57" customHeight="1">
      <c r="A81" s="56" t="s">
        <v>59</v>
      </c>
      <c r="B81" s="276" t="s">
        <v>250</v>
      </c>
      <c r="C81" s="277"/>
      <c r="D81" s="66">
        <v>351223187930</v>
      </c>
      <c r="E81" s="66">
        <v>77612768036</v>
      </c>
      <c r="F81" s="66">
        <v>351223187930</v>
      </c>
    </row>
    <row r="82" spans="1:6" ht="57" customHeight="1">
      <c r="A82" s="294"/>
      <c r="B82" s="282" t="s">
        <v>251</v>
      </c>
      <c r="C82" s="283"/>
      <c r="D82" s="296">
        <v>0.38276781976618302</v>
      </c>
      <c r="E82" s="296">
        <v>0.130217631019616</v>
      </c>
      <c r="F82" s="296">
        <v>0.38276781976618302</v>
      </c>
    </row>
    <row r="84" spans="1:6" s="333" customFormat="1" ht="55.5" customHeight="1">
      <c r="A84" s="354" t="s">
        <v>965</v>
      </c>
      <c r="B84" s="365"/>
      <c r="C84" s="365"/>
      <c r="D84" s="365"/>
      <c r="E84" s="365"/>
      <c r="F84" s="365"/>
    </row>
    <row r="85" spans="1:6" ht="16.899999999999999" customHeight="1">
      <c r="A85" s="70" t="s">
        <v>10</v>
      </c>
      <c r="D85" s="70" t="s">
        <v>11</v>
      </c>
    </row>
    <row r="86" spans="1:6" s="72" customFormat="1" ht="16.899999999999999" customHeight="1">
      <c r="A86" s="71" t="s">
        <v>12</v>
      </c>
      <c r="B86" s="71"/>
      <c r="C86" s="71"/>
      <c r="D86" s="71" t="s">
        <v>13</v>
      </c>
      <c r="E86" s="71"/>
      <c r="F86" s="71"/>
    </row>
    <row r="87" spans="1:6" ht="16.899999999999999" customHeight="1"/>
    <row r="88" spans="1:6" ht="16.899999999999999" customHeight="1"/>
    <row r="89" spans="1:6" ht="16.899999999999999" customHeight="1"/>
    <row r="90" spans="1:6" ht="16.899999999999999" customHeight="1"/>
    <row r="91" spans="1:6" ht="16.899999999999999" customHeight="1"/>
    <row r="92" spans="1:6" ht="16.899999999999999" customHeight="1"/>
    <row r="93" spans="1:6" ht="16.899999999999999" customHeight="1"/>
    <row r="94" spans="1:6" ht="16.899999999999999" customHeight="1">
      <c r="A94" s="73" t="s">
        <v>14</v>
      </c>
      <c r="B94" s="74"/>
      <c r="D94" s="73" t="s">
        <v>742</v>
      </c>
      <c r="E94" s="74"/>
      <c r="F94" s="74"/>
    </row>
    <row r="95" spans="1:6" ht="16.899999999999999" customHeight="1">
      <c r="A95" s="70" t="s">
        <v>745</v>
      </c>
      <c r="D95" s="70" t="s">
        <v>746</v>
      </c>
    </row>
    <row r="96" spans="1:6" ht="16.899999999999999" customHeight="1">
      <c r="A96" s="55" t="s">
        <v>747</v>
      </c>
      <c r="D96" s="55" t="s">
        <v>826</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4"/>
  <sheetViews>
    <sheetView view="pageBreakPreview" zoomScale="86" zoomScaleNormal="100" zoomScaleSheetLayoutView="86" workbookViewId="0">
      <selection activeCell="I74" sqref="I74"/>
    </sheetView>
  </sheetViews>
  <sheetFormatPr defaultColWidth="8.7109375" defaultRowHeight="12.75"/>
  <cols>
    <col min="1" max="1" width="9" style="55" customWidth="1"/>
    <col min="2" max="2" width="39.7109375" style="55" customWidth="1"/>
    <col min="3" max="3" width="9.28515625" style="55" customWidth="1"/>
    <col min="4" max="4" width="17.7109375" style="55" customWidth="1"/>
    <col min="5" max="5" width="18.28515625" style="55" customWidth="1"/>
    <col min="6" max="6" width="21.28515625" style="55" customWidth="1"/>
    <col min="7" max="7" width="15.42578125" style="55" customWidth="1"/>
    <col min="8" max="16384" width="8.7109375" style="76"/>
  </cols>
  <sheetData>
    <row r="1" spans="1:7" ht="25.9" customHeight="1">
      <c r="A1" s="357" t="s">
        <v>828</v>
      </c>
      <c r="B1" s="357"/>
      <c r="C1" s="357"/>
      <c r="D1" s="357"/>
      <c r="E1" s="357"/>
      <c r="F1" s="357"/>
      <c r="G1" s="357"/>
    </row>
    <row r="2" spans="1:7" ht="44.65" customHeight="1">
      <c r="A2" s="358" t="s">
        <v>975</v>
      </c>
      <c r="B2" s="358"/>
      <c r="C2" s="358"/>
      <c r="D2" s="358"/>
      <c r="E2" s="358"/>
      <c r="F2" s="358"/>
      <c r="G2" s="358"/>
    </row>
    <row r="3" spans="1:7" ht="15" customHeight="1">
      <c r="A3" s="359" t="s">
        <v>974</v>
      </c>
      <c r="B3" s="359"/>
      <c r="C3" s="359"/>
      <c r="D3" s="359"/>
      <c r="E3" s="359"/>
      <c r="F3" s="359"/>
      <c r="G3" s="359"/>
    </row>
    <row r="4" spans="1:7" ht="27.4" customHeight="1">
      <c r="A4" s="359"/>
      <c r="B4" s="359"/>
      <c r="C4" s="359"/>
      <c r="D4" s="359"/>
      <c r="E4" s="359"/>
      <c r="F4" s="359"/>
      <c r="G4" s="359"/>
    </row>
    <row r="5" spans="1:7" ht="16.899999999999999" customHeight="1">
      <c r="A5" s="360" t="s">
        <v>799</v>
      </c>
      <c r="B5" s="360"/>
      <c r="C5" s="360"/>
      <c r="D5" s="360"/>
      <c r="E5" s="360"/>
      <c r="F5" s="360"/>
      <c r="G5" s="360"/>
    </row>
    <row r="6" spans="1:7" ht="16.899999999999999" customHeight="1"/>
    <row r="7" spans="1:7">
      <c r="A7" s="144" t="s">
        <v>2</v>
      </c>
      <c r="C7" s="361" t="s">
        <v>742</v>
      </c>
      <c r="D7" s="361"/>
      <c r="E7" s="361"/>
      <c r="F7" s="361"/>
      <c r="G7" s="361"/>
    </row>
    <row r="8" spans="1:7">
      <c r="A8" s="55" t="s">
        <v>40</v>
      </c>
      <c r="C8" s="354" t="s">
        <v>825</v>
      </c>
      <c r="D8" s="354"/>
      <c r="E8" s="354"/>
      <c r="F8" s="354"/>
      <c r="G8" s="354"/>
    </row>
    <row r="9" spans="1:7" ht="16.899999999999999" customHeight="1">
      <c r="A9" s="144" t="s">
        <v>3</v>
      </c>
      <c r="C9" s="370" t="s">
        <v>743</v>
      </c>
      <c r="D9" s="370"/>
      <c r="E9" s="370"/>
      <c r="F9" s="370"/>
      <c r="G9" s="370"/>
    </row>
    <row r="10" spans="1:7" ht="16.899999999999999" customHeight="1">
      <c r="A10" s="55" t="s">
        <v>4</v>
      </c>
      <c r="C10" s="365" t="s">
        <v>744</v>
      </c>
      <c r="D10" s="365"/>
      <c r="E10" s="365"/>
      <c r="F10" s="365"/>
      <c r="G10" s="365"/>
    </row>
    <row r="11" spans="1:7" ht="28.15" customHeight="1">
      <c r="A11" s="150" t="s">
        <v>5</v>
      </c>
      <c r="C11" s="361" t="s">
        <v>963</v>
      </c>
      <c r="D11" s="361"/>
      <c r="E11" s="361"/>
      <c r="F11" s="361"/>
      <c r="G11" s="361"/>
    </row>
    <row r="12" spans="1:7" ht="28.15" customHeight="1">
      <c r="A12" s="55" t="s">
        <v>6</v>
      </c>
      <c r="C12" s="354" t="s">
        <v>964</v>
      </c>
      <c r="D12" s="365"/>
      <c r="E12" s="365"/>
      <c r="F12" s="365"/>
      <c r="G12" s="365"/>
    </row>
    <row r="13" spans="1:7" ht="16.899999999999999" customHeight="1">
      <c r="A13" s="144" t="s">
        <v>7</v>
      </c>
      <c r="C13" s="392" t="s">
        <v>979</v>
      </c>
      <c r="D13" s="370"/>
      <c r="E13" s="370"/>
      <c r="F13" s="370"/>
      <c r="G13" s="370"/>
    </row>
    <row r="14" spans="1:7" ht="16.899999999999999" customHeight="1">
      <c r="A14" s="55" t="s">
        <v>8</v>
      </c>
      <c r="C14" s="371" t="s">
        <v>980</v>
      </c>
      <c r="D14" s="365"/>
      <c r="E14" s="365"/>
      <c r="F14" s="365"/>
      <c r="G14" s="365"/>
    </row>
    <row r="15" spans="1:7" ht="15" customHeight="1"/>
    <row r="16" spans="1:7" ht="16.5" customHeight="1">
      <c r="A16" s="251" t="s">
        <v>753</v>
      </c>
      <c r="B16" s="252" t="s">
        <v>754</v>
      </c>
    </row>
    <row r="17" spans="1:7" ht="16.899999999999999" customHeight="1">
      <c r="A17" s="253" t="s">
        <v>53</v>
      </c>
      <c r="B17" s="254" t="s">
        <v>578</v>
      </c>
    </row>
    <row r="18" spans="1:7" ht="75.400000000000006" customHeight="1">
      <c r="A18" s="77" t="s">
        <v>190</v>
      </c>
      <c r="B18" s="77" t="s">
        <v>79</v>
      </c>
      <c r="C18" s="77" t="s">
        <v>44</v>
      </c>
      <c r="D18" s="77" t="s">
        <v>80</v>
      </c>
      <c r="E18" s="77" t="s">
        <v>81</v>
      </c>
      <c r="F18" s="77" t="s">
        <v>82</v>
      </c>
      <c r="G18" s="77" t="s">
        <v>83</v>
      </c>
    </row>
    <row r="19" spans="1:7" ht="54" customHeight="1">
      <c r="A19" s="272" t="s">
        <v>41</v>
      </c>
      <c r="B19" s="273" t="s">
        <v>860</v>
      </c>
      <c r="C19" s="272"/>
      <c r="D19" s="297"/>
      <c r="E19" s="297"/>
      <c r="F19" s="297"/>
      <c r="G19" s="298"/>
    </row>
    <row r="20" spans="1:7" ht="75" customHeight="1">
      <c r="A20" s="272" t="s">
        <v>47</v>
      </c>
      <c r="B20" s="273" t="s">
        <v>861</v>
      </c>
      <c r="C20" s="272"/>
      <c r="D20" s="297"/>
      <c r="E20" s="297"/>
      <c r="F20" s="297"/>
      <c r="G20" s="298"/>
    </row>
    <row r="21" spans="1:7" ht="34.15" customHeight="1">
      <c r="A21" s="198" t="s">
        <v>649</v>
      </c>
      <c r="B21" s="197" t="s">
        <v>650</v>
      </c>
      <c r="C21" s="199"/>
      <c r="D21" s="201">
        <v>530142</v>
      </c>
      <c r="E21" s="207">
        <v>34500</v>
      </c>
      <c r="F21" s="201">
        <v>18289899000</v>
      </c>
      <c r="G21" s="200">
        <v>1.09E-2</v>
      </c>
    </row>
    <row r="22" spans="1:7" ht="34.15" customHeight="1">
      <c r="A22" s="198" t="s">
        <v>651</v>
      </c>
      <c r="B22" s="197" t="s">
        <v>802</v>
      </c>
      <c r="C22" s="199"/>
      <c r="D22" s="201">
        <v>250000</v>
      </c>
      <c r="E22" s="207">
        <v>42400</v>
      </c>
      <c r="F22" s="201">
        <v>10600000000</v>
      </c>
      <c r="G22" s="200">
        <v>6.3E-3</v>
      </c>
    </row>
    <row r="23" spans="1:7" ht="34.15" customHeight="1">
      <c r="A23" s="198" t="s">
        <v>652</v>
      </c>
      <c r="B23" s="197" t="s">
        <v>803</v>
      </c>
      <c r="C23" s="199"/>
      <c r="D23" s="201">
        <v>200000</v>
      </c>
      <c r="E23" s="207">
        <v>125900</v>
      </c>
      <c r="F23" s="201">
        <v>25180000000</v>
      </c>
      <c r="G23" s="200">
        <v>1.4999999999999999E-2</v>
      </c>
    </row>
    <row r="24" spans="1:7" ht="34.15" customHeight="1">
      <c r="A24" s="198" t="s">
        <v>653</v>
      </c>
      <c r="B24" s="197" t="s">
        <v>804</v>
      </c>
      <c r="C24" s="199"/>
      <c r="D24" s="201">
        <v>1250000</v>
      </c>
      <c r="E24" s="207">
        <v>50000</v>
      </c>
      <c r="F24" s="201">
        <v>62500000000</v>
      </c>
      <c r="G24" s="200">
        <v>3.73E-2</v>
      </c>
    </row>
    <row r="25" spans="1:7" ht="34.15" customHeight="1">
      <c r="A25" s="198" t="s">
        <v>654</v>
      </c>
      <c r="B25" s="197" t="s">
        <v>660</v>
      </c>
      <c r="C25" s="199"/>
      <c r="D25" s="201">
        <v>300000</v>
      </c>
      <c r="E25" s="207">
        <v>93000</v>
      </c>
      <c r="F25" s="201">
        <v>27900000000</v>
      </c>
      <c r="G25" s="200">
        <v>1.67E-2</v>
      </c>
    </row>
    <row r="26" spans="1:7" ht="34.15" customHeight="1">
      <c r="A26" s="198" t="s">
        <v>655</v>
      </c>
      <c r="B26" s="197" t="s">
        <v>664</v>
      </c>
      <c r="C26" s="199"/>
      <c r="D26" s="201">
        <v>600000</v>
      </c>
      <c r="E26" s="207">
        <v>67800</v>
      </c>
      <c r="F26" s="201">
        <v>40680000000</v>
      </c>
      <c r="G26" s="200">
        <v>2.4299999999999999E-2</v>
      </c>
    </row>
    <row r="27" spans="1:7" ht="34.15" customHeight="1">
      <c r="A27" s="198" t="s">
        <v>656</v>
      </c>
      <c r="B27" s="197" t="s">
        <v>666</v>
      </c>
      <c r="C27" s="199"/>
      <c r="D27" s="201">
        <v>600000</v>
      </c>
      <c r="E27" s="207">
        <v>30850</v>
      </c>
      <c r="F27" s="201">
        <v>18510000000</v>
      </c>
      <c r="G27" s="200">
        <v>1.12E-2</v>
      </c>
    </row>
    <row r="28" spans="1:7" ht="34.15" customHeight="1">
      <c r="A28" s="198" t="s">
        <v>657</v>
      </c>
      <c r="B28" s="197" t="s">
        <v>668</v>
      </c>
      <c r="C28" s="199"/>
      <c r="D28" s="201">
        <v>1600029</v>
      </c>
      <c r="E28" s="207">
        <v>46400</v>
      </c>
      <c r="F28" s="201">
        <v>74241345600</v>
      </c>
      <c r="G28" s="200">
        <v>4.4299999999999999E-2</v>
      </c>
    </row>
    <row r="29" spans="1:7" ht="34.15" customHeight="1">
      <c r="A29" s="198" t="s">
        <v>658</v>
      </c>
      <c r="B29" s="197" t="s">
        <v>805</v>
      </c>
      <c r="C29" s="199"/>
      <c r="D29" s="201">
        <v>700000</v>
      </c>
      <c r="E29" s="207">
        <v>60800</v>
      </c>
      <c r="F29" s="201">
        <v>42560000000</v>
      </c>
      <c r="G29" s="200">
        <v>2.5399999999999999E-2</v>
      </c>
    </row>
    <row r="30" spans="1:7" ht="34.15" customHeight="1">
      <c r="A30" s="198" t="s">
        <v>659</v>
      </c>
      <c r="B30" s="197" t="s">
        <v>670</v>
      </c>
      <c r="C30" s="199"/>
      <c r="D30" s="201">
        <v>800002</v>
      </c>
      <c r="E30" s="207">
        <v>51000</v>
      </c>
      <c r="F30" s="201">
        <v>40800102000</v>
      </c>
      <c r="G30" s="200">
        <v>2.4400000000000002E-2</v>
      </c>
    </row>
    <row r="31" spans="1:7" ht="34.15" customHeight="1">
      <c r="A31" s="198" t="s">
        <v>661</v>
      </c>
      <c r="B31" s="197" t="s">
        <v>674</v>
      </c>
      <c r="C31" s="199"/>
      <c r="D31" s="201">
        <v>1900019</v>
      </c>
      <c r="E31" s="207">
        <v>28900</v>
      </c>
      <c r="F31" s="201">
        <v>54910549100</v>
      </c>
      <c r="G31" s="200">
        <v>3.2800000000000003E-2</v>
      </c>
    </row>
    <row r="32" spans="1:7" ht="34.15" customHeight="1">
      <c r="A32" s="198" t="s">
        <v>662</v>
      </c>
      <c r="B32" s="197" t="s">
        <v>676</v>
      </c>
      <c r="C32" s="199"/>
      <c r="D32" s="201">
        <v>200000</v>
      </c>
      <c r="E32" s="207">
        <v>171000</v>
      </c>
      <c r="F32" s="201">
        <v>34200000000</v>
      </c>
      <c r="G32" s="200">
        <v>2.0400000000000001E-2</v>
      </c>
    </row>
    <row r="33" spans="1:7" ht="34.15" customHeight="1">
      <c r="A33" s="198" t="s">
        <v>663</v>
      </c>
      <c r="B33" s="197" t="s">
        <v>678</v>
      </c>
      <c r="C33" s="199"/>
      <c r="D33" s="201">
        <v>800030</v>
      </c>
      <c r="E33" s="207">
        <v>135900</v>
      </c>
      <c r="F33" s="201">
        <v>108724077000</v>
      </c>
      <c r="G33" s="200">
        <v>6.4899999999999999E-2</v>
      </c>
    </row>
    <row r="34" spans="1:7" ht="34.15" customHeight="1">
      <c r="A34" s="198" t="s">
        <v>665</v>
      </c>
      <c r="B34" s="197" t="s">
        <v>680</v>
      </c>
      <c r="C34" s="199"/>
      <c r="D34" s="201">
        <v>400000</v>
      </c>
      <c r="E34" s="207">
        <v>64200</v>
      </c>
      <c r="F34" s="201">
        <v>25680000000</v>
      </c>
      <c r="G34" s="200">
        <v>1.5299999999999999E-2</v>
      </c>
    </row>
    <row r="35" spans="1:7" ht="34.15" customHeight="1">
      <c r="A35" s="198" t="s">
        <v>667</v>
      </c>
      <c r="B35" s="197" t="s">
        <v>806</v>
      </c>
      <c r="C35" s="199"/>
      <c r="D35" s="201">
        <v>400000</v>
      </c>
      <c r="E35" s="207">
        <v>41700</v>
      </c>
      <c r="F35" s="201">
        <v>16680000000</v>
      </c>
      <c r="G35" s="200">
        <v>0.01</v>
      </c>
    </row>
    <row r="36" spans="1:7" ht="34.15" customHeight="1">
      <c r="A36" s="198" t="s">
        <v>669</v>
      </c>
      <c r="B36" s="197" t="s">
        <v>807</v>
      </c>
      <c r="C36" s="199"/>
      <c r="D36" s="201">
        <v>350000</v>
      </c>
      <c r="E36" s="207">
        <v>91000</v>
      </c>
      <c r="F36" s="201">
        <v>31850000000</v>
      </c>
      <c r="G36" s="200">
        <v>1.9E-2</v>
      </c>
    </row>
    <row r="37" spans="1:7" ht="34.15" customHeight="1">
      <c r="A37" s="198" t="s">
        <v>671</v>
      </c>
      <c r="B37" s="197" t="s">
        <v>808</v>
      </c>
      <c r="C37" s="199"/>
      <c r="D37" s="201">
        <v>900000</v>
      </c>
      <c r="E37" s="207">
        <v>27300</v>
      </c>
      <c r="F37" s="201">
        <v>24570000000</v>
      </c>
      <c r="G37" s="200">
        <v>1.47E-2</v>
      </c>
    </row>
    <row r="38" spans="1:7" ht="34.15" customHeight="1">
      <c r="A38" s="198" t="s">
        <v>672</v>
      </c>
      <c r="B38" s="197" t="s">
        <v>809</v>
      </c>
      <c r="C38" s="199"/>
      <c r="D38" s="201">
        <v>400000</v>
      </c>
      <c r="E38" s="207">
        <v>39350</v>
      </c>
      <c r="F38" s="201">
        <v>15740000000</v>
      </c>
      <c r="G38" s="200">
        <v>9.4000000000000004E-3</v>
      </c>
    </row>
    <row r="39" spans="1:7" ht="34.15" customHeight="1">
      <c r="A39" s="198" t="s">
        <v>673</v>
      </c>
      <c r="B39" s="197" t="s">
        <v>810</v>
      </c>
      <c r="C39" s="199"/>
      <c r="D39" s="201">
        <v>500000</v>
      </c>
      <c r="E39" s="207">
        <v>36550</v>
      </c>
      <c r="F39" s="201">
        <v>18275000000</v>
      </c>
      <c r="G39" s="200">
        <v>1.09E-2</v>
      </c>
    </row>
    <row r="40" spans="1:7" ht="34.15" customHeight="1">
      <c r="A40" s="198" t="s">
        <v>675</v>
      </c>
      <c r="B40" s="197" t="s">
        <v>811</v>
      </c>
      <c r="C40" s="199"/>
      <c r="D40" s="201">
        <v>650000</v>
      </c>
      <c r="E40" s="207">
        <v>50600</v>
      </c>
      <c r="F40" s="201">
        <v>32890000000</v>
      </c>
      <c r="G40" s="200">
        <v>1.9599999999999999E-2</v>
      </c>
    </row>
    <row r="41" spans="1:7" ht="34.15" customHeight="1">
      <c r="A41" s="198" t="s">
        <v>677</v>
      </c>
      <c r="B41" s="197" t="s">
        <v>812</v>
      </c>
      <c r="C41" s="199"/>
      <c r="D41" s="201">
        <v>500000</v>
      </c>
      <c r="E41" s="207">
        <v>51800</v>
      </c>
      <c r="F41" s="201">
        <v>25900000000</v>
      </c>
      <c r="G41" s="200">
        <v>1.55E-2</v>
      </c>
    </row>
    <row r="42" spans="1:7" ht="34.15" customHeight="1">
      <c r="A42" s="198" t="s">
        <v>679</v>
      </c>
      <c r="B42" s="197" t="s">
        <v>687</v>
      </c>
      <c r="C42" s="199"/>
      <c r="D42" s="201">
        <v>2000000</v>
      </c>
      <c r="E42" s="207">
        <v>31500</v>
      </c>
      <c r="F42" s="201">
        <v>63000000000</v>
      </c>
      <c r="G42" s="200">
        <v>3.7600000000000001E-2</v>
      </c>
    </row>
    <row r="43" spans="1:7" ht="34.15" customHeight="1">
      <c r="A43" s="198" t="s">
        <v>681</v>
      </c>
      <c r="B43" s="197" t="s">
        <v>689</v>
      </c>
      <c r="C43" s="199"/>
      <c r="D43" s="201">
        <v>300020</v>
      </c>
      <c r="E43" s="207">
        <v>68000</v>
      </c>
      <c r="F43" s="201">
        <v>20401360000</v>
      </c>
      <c r="G43" s="200">
        <v>1.2200000000000001E-2</v>
      </c>
    </row>
    <row r="44" spans="1:7" ht="34.15" customHeight="1">
      <c r="A44" s="198" t="s">
        <v>682</v>
      </c>
      <c r="B44" s="197" t="s">
        <v>691</v>
      </c>
      <c r="C44" s="199"/>
      <c r="D44" s="201">
        <v>2700020</v>
      </c>
      <c r="E44" s="207">
        <v>50000</v>
      </c>
      <c r="F44" s="201">
        <v>135001000000</v>
      </c>
      <c r="G44" s="200">
        <v>8.0600000000000005E-2</v>
      </c>
    </row>
    <row r="45" spans="1:7" ht="34.15" customHeight="1">
      <c r="A45" s="198" t="s">
        <v>683</v>
      </c>
      <c r="B45" s="197" t="s">
        <v>813</v>
      </c>
      <c r="C45" s="199"/>
      <c r="D45" s="201">
        <v>1000000</v>
      </c>
      <c r="E45" s="207">
        <v>32800</v>
      </c>
      <c r="F45" s="201">
        <v>32800000000</v>
      </c>
      <c r="G45" s="200">
        <v>1.9599999999999999E-2</v>
      </c>
    </row>
    <row r="46" spans="1:7" ht="34.15" customHeight="1">
      <c r="A46" s="198" t="s">
        <v>684</v>
      </c>
      <c r="B46" s="197" t="s">
        <v>694</v>
      </c>
      <c r="C46" s="199"/>
      <c r="D46" s="201">
        <v>382857</v>
      </c>
      <c r="E46" s="207">
        <v>78800</v>
      </c>
      <c r="F46" s="201">
        <v>30169131600</v>
      </c>
      <c r="G46" s="200">
        <v>1.7999999999999999E-2</v>
      </c>
    </row>
    <row r="47" spans="1:7" ht="34.15" customHeight="1">
      <c r="A47" s="198" t="s">
        <v>685</v>
      </c>
      <c r="B47" s="197" t="s">
        <v>814</v>
      </c>
      <c r="C47" s="199"/>
      <c r="D47" s="201">
        <v>600000</v>
      </c>
      <c r="E47" s="207">
        <v>72800</v>
      </c>
      <c r="F47" s="201">
        <v>43680000000</v>
      </c>
      <c r="G47" s="200">
        <v>2.6100000000000002E-2</v>
      </c>
    </row>
    <row r="48" spans="1:7" ht="34.15" customHeight="1">
      <c r="A48" s="198" t="s">
        <v>686</v>
      </c>
      <c r="B48" s="197" t="s">
        <v>815</v>
      </c>
      <c r="C48" s="199"/>
      <c r="D48" s="201">
        <v>200000</v>
      </c>
      <c r="E48" s="207">
        <v>117000</v>
      </c>
      <c r="F48" s="201">
        <v>23400000000</v>
      </c>
      <c r="G48" s="200">
        <v>1.4E-2</v>
      </c>
    </row>
    <row r="49" spans="1:7" ht="34.15" customHeight="1">
      <c r="A49" s="198" t="s">
        <v>688</v>
      </c>
      <c r="B49" s="197" t="s">
        <v>816</v>
      </c>
      <c r="C49" s="199"/>
      <c r="D49" s="201">
        <v>750000</v>
      </c>
      <c r="E49" s="207">
        <v>35250</v>
      </c>
      <c r="F49" s="201">
        <v>26437500000</v>
      </c>
      <c r="G49" s="200">
        <v>1.5800000000000002E-2</v>
      </c>
    </row>
    <row r="50" spans="1:7" ht="34.15" customHeight="1">
      <c r="A50" s="198" t="s">
        <v>690</v>
      </c>
      <c r="B50" s="197" t="s">
        <v>817</v>
      </c>
      <c r="C50" s="199"/>
      <c r="D50" s="201">
        <v>200000</v>
      </c>
      <c r="E50" s="207">
        <v>62800</v>
      </c>
      <c r="F50" s="201">
        <v>12560000000</v>
      </c>
      <c r="G50" s="200">
        <v>7.4999999999999997E-3</v>
      </c>
    </row>
    <row r="51" spans="1:7" ht="34.15" customHeight="1">
      <c r="A51" s="198" t="s">
        <v>692</v>
      </c>
      <c r="B51" s="197" t="s">
        <v>696</v>
      </c>
      <c r="C51" s="199"/>
      <c r="D51" s="201">
        <v>200004</v>
      </c>
      <c r="E51" s="207">
        <v>82000</v>
      </c>
      <c r="F51" s="201">
        <v>16400328000</v>
      </c>
      <c r="G51" s="200">
        <v>9.7999999999999997E-3</v>
      </c>
    </row>
    <row r="52" spans="1:7" ht="34.15" customHeight="1">
      <c r="A52" s="198" t="s">
        <v>693</v>
      </c>
      <c r="B52" s="197" t="s">
        <v>698</v>
      </c>
      <c r="C52" s="199"/>
      <c r="D52" s="201">
        <v>350000</v>
      </c>
      <c r="E52" s="207">
        <v>95100</v>
      </c>
      <c r="F52" s="201">
        <v>33285000000</v>
      </c>
      <c r="G52" s="200">
        <v>1.9900000000000001E-2</v>
      </c>
    </row>
    <row r="53" spans="1:7" ht="34.15" customHeight="1">
      <c r="A53" s="198" t="s">
        <v>695</v>
      </c>
      <c r="B53" s="197" t="s">
        <v>818</v>
      </c>
      <c r="C53" s="199"/>
      <c r="D53" s="201">
        <v>800000</v>
      </c>
      <c r="E53" s="207">
        <v>82000</v>
      </c>
      <c r="F53" s="201">
        <v>65600000000</v>
      </c>
      <c r="G53" s="200">
        <v>3.9199999999999999E-2</v>
      </c>
    </row>
    <row r="54" spans="1:7" ht="34.15" customHeight="1">
      <c r="A54" s="198" t="s">
        <v>697</v>
      </c>
      <c r="B54" s="197" t="s">
        <v>699</v>
      </c>
      <c r="C54" s="199"/>
      <c r="D54" s="201">
        <v>3000025</v>
      </c>
      <c r="E54" s="207">
        <v>35800</v>
      </c>
      <c r="F54" s="201">
        <v>107400895000</v>
      </c>
      <c r="G54" s="200">
        <v>6.4100000000000004E-2</v>
      </c>
    </row>
    <row r="55" spans="1:7" ht="39" customHeight="1">
      <c r="A55" s="203"/>
      <c r="B55" s="202" t="s">
        <v>700</v>
      </c>
      <c r="C55" s="203"/>
      <c r="D55" s="205"/>
      <c r="E55" s="205"/>
      <c r="F55" s="205">
        <v>1360816187300</v>
      </c>
      <c r="G55" s="204">
        <v>0.81269999999999998</v>
      </c>
    </row>
    <row r="56" spans="1:7" ht="75.400000000000006" customHeight="1">
      <c r="A56" s="203" t="s">
        <v>53</v>
      </c>
      <c r="B56" s="202" t="s">
        <v>862</v>
      </c>
      <c r="C56" s="203"/>
      <c r="D56" s="205"/>
      <c r="E56" s="205"/>
      <c r="F56" s="205"/>
      <c r="G56" s="204"/>
    </row>
    <row r="57" spans="1:7" ht="39" customHeight="1">
      <c r="A57" s="203"/>
      <c r="B57" s="202" t="s">
        <v>701</v>
      </c>
      <c r="C57" s="203"/>
      <c r="D57" s="205"/>
      <c r="E57" s="205"/>
      <c r="F57" s="205">
        <v>0</v>
      </c>
      <c r="G57" s="204">
        <v>0</v>
      </c>
    </row>
    <row r="58" spans="1:7" ht="39" customHeight="1">
      <c r="A58" s="203"/>
      <c r="B58" s="202" t="s">
        <v>702</v>
      </c>
      <c r="C58" s="203"/>
      <c r="D58" s="205"/>
      <c r="E58" s="205"/>
      <c r="F58" s="205">
        <v>1360816187300</v>
      </c>
      <c r="G58" s="204">
        <v>0.81269999999999998</v>
      </c>
    </row>
    <row r="59" spans="1:7" ht="39" customHeight="1">
      <c r="A59" s="203" t="s">
        <v>54</v>
      </c>
      <c r="B59" s="202" t="s">
        <v>703</v>
      </c>
      <c r="C59" s="203"/>
      <c r="D59" s="205"/>
      <c r="E59" s="205"/>
      <c r="F59" s="205"/>
      <c r="G59" s="204"/>
    </row>
    <row r="60" spans="1:7" ht="39" customHeight="1">
      <c r="A60" s="198" t="s">
        <v>704</v>
      </c>
      <c r="B60" s="197" t="s">
        <v>705</v>
      </c>
      <c r="C60" s="199"/>
      <c r="D60" s="201"/>
      <c r="E60" s="207"/>
      <c r="F60" s="201">
        <v>0</v>
      </c>
      <c r="G60" s="200">
        <v>0</v>
      </c>
    </row>
    <row r="61" spans="1:7" ht="39" customHeight="1">
      <c r="A61" s="198" t="s">
        <v>706</v>
      </c>
      <c r="B61" s="197" t="s">
        <v>707</v>
      </c>
      <c r="C61" s="199"/>
      <c r="D61" s="201"/>
      <c r="E61" s="207"/>
      <c r="F61" s="201">
        <v>89993424600</v>
      </c>
      <c r="G61" s="200">
        <v>5.3699999999999998E-2</v>
      </c>
    </row>
    <row r="62" spans="1:7" ht="39" customHeight="1">
      <c r="A62" s="261" t="s">
        <v>370</v>
      </c>
      <c r="B62" s="262" t="s">
        <v>819</v>
      </c>
      <c r="C62" s="263"/>
      <c r="D62" s="264">
        <v>200</v>
      </c>
      <c r="E62" s="207">
        <v>99967123</v>
      </c>
      <c r="F62" s="264">
        <v>19993424600</v>
      </c>
      <c r="G62" s="265">
        <v>1.1900000000000001E-2</v>
      </c>
    </row>
    <row r="63" spans="1:7" ht="39" customHeight="1">
      <c r="A63" s="261" t="s">
        <v>389</v>
      </c>
      <c r="B63" s="262" t="s">
        <v>820</v>
      </c>
      <c r="C63" s="263"/>
      <c r="D63" s="264">
        <v>30</v>
      </c>
      <c r="E63" s="207">
        <v>1000000000</v>
      </c>
      <c r="F63" s="264">
        <v>30000000000</v>
      </c>
      <c r="G63" s="265">
        <v>1.7999999999999999E-2</v>
      </c>
    </row>
    <row r="64" spans="1:7" ht="39" customHeight="1">
      <c r="A64" s="261" t="s">
        <v>821</v>
      </c>
      <c r="B64" s="262" t="s">
        <v>822</v>
      </c>
      <c r="C64" s="263"/>
      <c r="D64" s="264">
        <v>200</v>
      </c>
      <c r="E64" s="207">
        <v>100000000</v>
      </c>
      <c r="F64" s="264">
        <v>20000000000</v>
      </c>
      <c r="G64" s="265">
        <v>1.1900000000000001E-2</v>
      </c>
    </row>
    <row r="65" spans="1:7" ht="39" customHeight="1">
      <c r="A65" s="261" t="s">
        <v>823</v>
      </c>
      <c r="B65" s="262" t="s">
        <v>824</v>
      </c>
      <c r="C65" s="263"/>
      <c r="D65" s="264">
        <v>200</v>
      </c>
      <c r="E65" s="207">
        <v>100000000</v>
      </c>
      <c r="F65" s="264">
        <v>20000000000</v>
      </c>
      <c r="G65" s="265">
        <v>1.1900000000000001E-2</v>
      </c>
    </row>
    <row r="66" spans="1:7" ht="39" customHeight="1">
      <c r="A66" s="203"/>
      <c r="B66" s="202" t="s">
        <v>708</v>
      </c>
      <c r="C66" s="203"/>
      <c r="D66" s="205"/>
      <c r="E66" s="205"/>
      <c r="F66" s="205">
        <v>89993424600</v>
      </c>
      <c r="G66" s="204">
        <v>5.3699999999999998E-2</v>
      </c>
    </row>
    <row r="67" spans="1:7" ht="39" customHeight="1">
      <c r="A67" s="299" t="s">
        <v>55</v>
      </c>
      <c r="B67" s="202" t="s">
        <v>709</v>
      </c>
      <c r="C67" s="203"/>
      <c r="D67" s="205"/>
      <c r="E67" s="205"/>
      <c r="F67" s="205"/>
      <c r="G67" s="204"/>
    </row>
    <row r="68" spans="1:7" ht="39" customHeight="1">
      <c r="A68" s="198" t="s">
        <v>710</v>
      </c>
      <c r="B68" s="197" t="s">
        <v>711</v>
      </c>
      <c r="C68" s="199"/>
      <c r="D68" s="201"/>
      <c r="E68" s="207"/>
      <c r="F68" s="201">
        <v>0</v>
      </c>
      <c r="G68" s="200">
        <v>0</v>
      </c>
    </row>
    <row r="69" spans="1:7" ht="39" customHeight="1">
      <c r="A69" s="198" t="s">
        <v>712</v>
      </c>
      <c r="B69" s="259" t="s">
        <v>863</v>
      </c>
      <c r="C69" s="199"/>
      <c r="D69" s="201"/>
      <c r="E69" s="207"/>
      <c r="F69" s="201">
        <v>0</v>
      </c>
      <c r="G69" s="200">
        <v>0</v>
      </c>
    </row>
    <row r="70" spans="1:7" ht="34.15" customHeight="1">
      <c r="A70" s="203"/>
      <c r="B70" s="202" t="s">
        <v>713</v>
      </c>
      <c r="C70" s="203"/>
      <c r="D70" s="205"/>
      <c r="E70" s="205"/>
      <c r="F70" s="205">
        <v>0</v>
      </c>
      <c r="G70" s="204">
        <v>0</v>
      </c>
    </row>
    <row r="71" spans="1:7" ht="39" customHeight="1">
      <c r="A71" s="203"/>
      <c r="B71" s="202" t="s">
        <v>714</v>
      </c>
      <c r="C71" s="203"/>
      <c r="D71" s="205"/>
      <c r="E71" s="205"/>
      <c r="F71" s="205">
        <v>1450809611900</v>
      </c>
      <c r="G71" s="204">
        <v>0.86639999999999995</v>
      </c>
    </row>
    <row r="72" spans="1:7" ht="39" customHeight="1">
      <c r="A72" s="299" t="s">
        <v>56</v>
      </c>
      <c r="B72" s="202" t="s">
        <v>715</v>
      </c>
      <c r="C72" s="203"/>
      <c r="D72" s="205"/>
      <c r="E72" s="205"/>
      <c r="F72" s="205"/>
      <c r="G72" s="204"/>
    </row>
    <row r="73" spans="1:7" ht="39" customHeight="1">
      <c r="A73" s="198" t="s">
        <v>716</v>
      </c>
      <c r="B73" s="197" t="s">
        <v>717</v>
      </c>
      <c r="C73" s="199"/>
      <c r="D73" s="201"/>
      <c r="E73" s="207"/>
      <c r="F73" s="201">
        <v>1226454000</v>
      </c>
      <c r="G73" s="200">
        <v>7.3241641912753298E-4</v>
      </c>
    </row>
    <row r="74" spans="1:7" ht="39" customHeight="1">
      <c r="A74" s="198" t="s">
        <v>718</v>
      </c>
      <c r="B74" s="197" t="s">
        <v>719</v>
      </c>
      <c r="C74" s="199"/>
      <c r="D74" s="201"/>
      <c r="E74" s="207"/>
      <c r="F74" s="201">
        <v>1122191781</v>
      </c>
      <c r="G74" s="200">
        <v>6.7015288450636402E-4</v>
      </c>
    </row>
    <row r="75" spans="1:7" ht="47.1" customHeight="1">
      <c r="A75" s="198" t="s">
        <v>720</v>
      </c>
      <c r="B75" s="197" t="s">
        <v>721</v>
      </c>
      <c r="C75" s="199"/>
      <c r="D75" s="201"/>
      <c r="E75" s="207"/>
      <c r="F75" s="201">
        <v>352732877</v>
      </c>
      <c r="G75" s="200">
        <v>2.1064577283851901E-4</v>
      </c>
    </row>
    <row r="76" spans="1:7" ht="45" customHeight="1">
      <c r="A76" s="198" t="s">
        <v>722</v>
      </c>
      <c r="B76" s="197" t="s">
        <v>723</v>
      </c>
      <c r="C76" s="199"/>
      <c r="D76" s="201"/>
      <c r="E76" s="207"/>
      <c r="F76" s="201">
        <v>18687450000</v>
      </c>
      <c r="G76" s="200">
        <v>1.12E-2</v>
      </c>
    </row>
    <row r="77" spans="1:7" ht="57" customHeight="1">
      <c r="A77" s="198" t="s">
        <v>724</v>
      </c>
      <c r="B77" s="197" t="s">
        <v>725</v>
      </c>
      <c r="C77" s="199"/>
      <c r="D77" s="201"/>
      <c r="E77" s="207"/>
      <c r="F77" s="201">
        <v>0</v>
      </c>
      <c r="G77" s="200">
        <v>0</v>
      </c>
    </row>
    <row r="78" spans="1:7" ht="39" customHeight="1">
      <c r="A78" s="198" t="s">
        <v>726</v>
      </c>
      <c r="B78" s="197" t="s">
        <v>727</v>
      </c>
      <c r="C78" s="199"/>
      <c r="D78" s="201"/>
      <c r="E78" s="207"/>
      <c r="F78" s="201">
        <v>0</v>
      </c>
      <c r="G78" s="200">
        <v>0</v>
      </c>
    </row>
    <row r="79" spans="1:7" ht="39" customHeight="1">
      <c r="A79" s="198" t="s">
        <v>728</v>
      </c>
      <c r="B79" s="197" t="s">
        <v>729</v>
      </c>
      <c r="C79" s="199"/>
      <c r="D79" s="201"/>
      <c r="E79" s="207"/>
      <c r="F79" s="201">
        <v>-866375800</v>
      </c>
      <c r="G79" s="200">
        <v>-5.1738415061205003E-4</v>
      </c>
    </row>
    <row r="80" spans="1:7" ht="39" customHeight="1">
      <c r="A80" s="203"/>
      <c r="B80" s="202" t="s">
        <v>730</v>
      </c>
      <c r="C80" s="203"/>
      <c r="D80" s="205"/>
      <c r="E80" s="205"/>
      <c r="F80" s="205">
        <v>20522452858</v>
      </c>
      <c r="G80" s="204">
        <v>1.23E-2</v>
      </c>
    </row>
    <row r="81" spans="1:7" ht="39" customHeight="1">
      <c r="A81" s="299" t="s">
        <v>57</v>
      </c>
      <c r="B81" s="202" t="s">
        <v>731</v>
      </c>
      <c r="C81" s="203"/>
      <c r="D81" s="205"/>
      <c r="E81" s="205"/>
      <c r="F81" s="205"/>
      <c r="G81" s="204"/>
    </row>
    <row r="82" spans="1:7" ht="39" customHeight="1">
      <c r="A82" s="198" t="s">
        <v>350</v>
      </c>
      <c r="B82" s="197" t="s">
        <v>864</v>
      </c>
      <c r="C82" s="199"/>
      <c r="D82" s="201"/>
      <c r="E82" s="207"/>
      <c r="F82" s="201">
        <v>183198936965</v>
      </c>
      <c r="G82" s="200">
        <v>0.1094</v>
      </c>
    </row>
    <row r="83" spans="1:7" ht="39" customHeight="1">
      <c r="A83" s="198" t="s">
        <v>353</v>
      </c>
      <c r="B83" s="197" t="s">
        <v>733</v>
      </c>
      <c r="C83" s="199"/>
      <c r="D83" s="201"/>
      <c r="E83" s="207"/>
      <c r="F83" s="201">
        <v>103198936965</v>
      </c>
      <c r="G83" s="200">
        <v>6.1600000000000002E-2</v>
      </c>
    </row>
    <row r="84" spans="1:7" ht="39" customHeight="1">
      <c r="A84" s="198" t="s">
        <v>734</v>
      </c>
      <c r="B84" s="197" t="s">
        <v>735</v>
      </c>
      <c r="C84" s="199"/>
      <c r="D84" s="201"/>
      <c r="E84" s="207"/>
      <c r="F84" s="201">
        <v>80000000000</v>
      </c>
      <c r="G84" s="200">
        <v>4.7800000000000002E-2</v>
      </c>
    </row>
    <row r="85" spans="1:7" ht="39" customHeight="1">
      <c r="A85" s="339">
        <v>2</v>
      </c>
      <c r="B85" s="197" t="s">
        <v>865</v>
      </c>
      <c r="C85" s="199"/>
      <c r="D85" s="201"/>
      <c r="E85" s="207"/>
      <c r="F85" s="201">
        <v>0</v>
      </c>
      <c r="G85" s="200">
        <v>0</v>
      </c>
    </row>
    <row r="86" spans="1:7" ht="39" customHeight="1">
      <c r="A86" s="339">
        <v>3</v>
      </c>
      <c r="B86" s="197" t="s">
        <v>738</v>
      </c>
      <c r="C86" s="199"/>
      <c r="D86" s="201"/>
      <c r="E86" s="207"/>
      <c r="F86" s="201">
        <v>20000000000</v>
      </c>
      <c r="G86" s="200">
        <v>1.1900000000000001E-2</v>
      </c>
    </row>
    <row r="87" spans="1:7" ht="39" customHeight="1">
      <c r="A87" s="339">
        <v>4</v>
      </c>
      <c r="B87" s="197" t="s">
        <v>739</v>
      </c>
      <c r="C87" s="199"/>
      <c r="D87" s="201"/>
      <c r="E87" s="207"/>
      <c r="F87" s="201">
        <v>0</v>
      </c>
      <c r="G87" s="200">
        <v>0</v>
      </c>
    </row>
    <row r="88" spans="1:7" ht="39" customHeight="1">
      <c r="A88" s="203"/>
      <c r="B88" s="202" t="s">
        <v>740</v>
      </c>
      <c r="C88" s="203"/>
      <c r="D88" s="205"/>
      <c r="E88" s="205"/>
      <c r="F88" s="205">
        <v>203198936965</v>
      </c>
      <c r="G88" s="204">
        <v>0.12130000000000001</v>
      </c>
    </row>
    <row r="89" spans="1:7" ht="39" customHeight="1">
      <c r="A89" s="299" t="s">
        <v>58</v>
      </c>
      <c r="B89" s="202" t="s">
        <v>741</v>
      </c>
      <c r="C89" s="203"/>
      <c r="D89" s="205"/>
      <c r="E89" s="205"/>
      <c r="F89" s="205">
        <v>1674531001723</v>
      </c>
      <c r="G89" s="204">
        <v>1</v>
      </c>
    </row>
    <row r="90" spans="1:7" ht="16.899999999999999" customHeight="1">
      <c r="A90" s="147"/>
      <c r="B90" s="78"/>
      <c r="C90" s="78"/>
      <c r="D90" s="78"/>
      <c r="E90" s="58"/>
      <c r="F90" s="78"/>
    </row>
    <row r="91" spans="1:7" s="330" customFormat="1" ht="52.5" customHeight="1">
      <c r="A91" s="393" t="s">
        <v>965</v>
      </c>
      <c r="B91" s="394"/>
      <c r="C91" s="394"/>
      <c r="D91" s="394"/>
      <c r="E91" s="394"/>
      <c r="F91" s="394"/>
      <c r="G91" s="394"/>
    </row>
    <row r="92" spans="1:7" ht="16.899999999999999" customHeight="1">
      <c r="A92" s="58" t="s">
        <v>10</v>
      </c>
      <c r="B92" s="78"/>
      <c r="C92" s="78"/>
      <c r="D92" s="78"/>
      <c r="E92" s="58" t="s">
        <v>11</v>
      </c>
      <c r="F92" s="78"/>
    </row>
    <row r="93" spans="1:7" ht="16.899999999999999" customHeight="1">
      <c r="A93" s="59" t="s">
        <v>12</v>
      </c>
      <c r="B93" s="78"/>
      <c r="C93" s="78"/>
      <c r="D93" s="78"/>
      <c r="E93" s="59" t="s">
        <v>13</v>
      </c>
      <c r="F93" s="78"/>
    </row>
    <row r="94" spans="1:7" ht="16.899999999999999" customHeight="1"/>
    <row r="95" spans="1:7" ht="16.899999999999999" customHeight="1">
      <c r="A95" s="70"/>
      <c r="E95" s="70"/>
    </row>
    <row r="96" spans="1:7" ht="16.899999999999999" customHeight="1"/>
    <row r="97" spans="1:7" ht="16.899999999999999" customHeight="1"/>
    <row r="98" spans="1:7" ht="16.899999999999999" customHeight="1"/>
    <row r="99" spans="1:7" ht="16.899999999999999" customHeight="1"/>
    <row r="100" spans="1:7" ht="16.899999999999999" customHeight="1"/>
    <row r="101" spans="1:7" ht="16.899999999999999" customHeight="1"/>
    <row r="102" spans="1:7" ht="16.899999999999999" customHeight="1">
      <c r="A102" s="79" t="s">
        <v>14</v>
      </c>
      <c r="B102" s="74"/>
      <c r="C102" s="74"/>
      <c r="E102" s="79" t="s">
        <v>742</v>
      </c>
      <c r="F102" s="74"/>
      <c r="G102" s="74"/>
    </row>
    <row r="103" spans="1:7" ht="16.899999999999999" customHeight="1">
      <c r="A103" s="80" t="s">
        <v>745</v>
      </c>
      <c r="E103" s="80" t="s">
        <v>746</v>
      </c>
    </row>
    <row r="104" spans="1:7" ht="16.899999999999999" customHeight="1">
      <c r="A104" s="81" t="s">
        <v>747</v>
      </c>
      <c r="E104" s="82" t="s">
        <v>826</v>
      </c>
    </row>
  </sheetData>
  <mergeCells count="13">
    <mergeCell ref="A91:G91"/>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4" zoomScaleNormal="85" zoomScaleSheetLayoutView="84" workbookViewId="0">
      <selection activeCell="G14" sqref="G14:J14"/>
    </sheetView>
  </sheetViews>
  <sheetFormatPr defaultColWidth="9.28515625" defaultRowHeight="15"/>
  <cols>
    <col min="1" max="1" width="4.7109375" style="188" customWidth="1"/>
    <col min="2" max="2" width="34.42578125" style="153" customWidth="1"/>
    <col min="3" max="4" width="9.28515625" style="153"/>
    <col min="5" max="5" width="12.28515625" style="153" customWidth="1"/>
    <col min="6" max="6" width="9.28515625" style="153"/>
    <col min="7" max="7" width="15.28515625" style="153" customWidth="1"/>
    <col min="8" max="11" width="19" style="153" customWidth="1"/>
    <col min="12" max="16384" width="9.28515625" style="153"/>
  </cols>
  <sheetData>
    <row r="1" spans="1:11" s="152" customFormat="1" ht="26.25" customHeight="1">
      <c r="A1" s="397" t="s">
        <v>828</v>
      </c>
      <c r="B1" s="397"/>
      <c r="C1" s="397"/>
      <c r="D1" s="397"/>
      <c r="E1" s="397"/>
      <c r="F1" s="397"/>
      <c r="G1" s="397"/>
      <c r="H1" s="397"/>
      <c r="I1" s="397"/>
      <c r="J1" s="397"/>
      <c r="K1" s="397"/>
    </row>
    <row r="2" spans="1:11" ht="49.15" customHeight="1">
      <c r="A2" s="398" t="s">
        <v>829</v>
      </c>
      <c r="B2" s="398"/>
      <c r="C2" s="398"/>
      <c r="D2" s="398"/>
      <c r="E2" s="398"/>
      <c r="F2" s="398"/>
      <c r="G2" s="398"/>
      <c r="H2" s="398"/>
      <c r="I2" s="398"/>
      <c r="J2" s="398"/>
      <c r="K2" s="398"/>
    </row>
    <row r="3" spans="1:11" ht="19.149999999999999" customHeight="1">
      <c r="A3" s="399" t="s">
        <v>974</v>
      </c>
      <c r="B3" s="399"/>
      <c r="C3" s="399"/>
      <c r="D3" s="399"/>
      <c r="E3" s="399"/>
      <c r="F3" s="399"/>
      <c r="G3" s="399"/>
      <c r="H3" s="399"/>
      <c r="I3" s="399"/>
      <c r="J3" s="399"/>
      <c r="K3" s="399"/>
    </row>
    <row r="4" spans="1:11" ht="21.6" customHeight="1">
      <c r="A4" s="399"/>
      <c r="B4" s="399"/>
      <c r="C4" s="399"/>
      <c r="D4" s="399"/>
      <c r="E4" s="399"/>
      <c r="F4" s="399"/>
      <c r="G4" s="399"/>
      <c r="H4" s="399"/>
      <c r="I4" s="399"/>
      <c r="J4" s="399"/>
      <c r="K4" s="399"/>
    </row>
    <row r="5" spans="1:11">
      <c r="A5" s="400" t="s">
        <v>798</v>
      </c>
      <c r="B5" s="400"/>
      <c r="C5" s="400"/>
      <c r="D5" s="400"/>
      <c r="E5" s="400"/>
      <c r="F5" s="400"/>
      <c r="G5" s="400"/>
      <c r="H5" s="400"/>
      <c r="I5" s="400"/>
      <c r="J5" s="400"/>
      <c r="K5" s="400"/>
    </row>
    <row r="6" spans="1:11">
      <c r="A6" s="154"/>
      <c r="B6" s="154"/>
      <c r="C6" s="154"/>
      <c r="D6" s="154"/>
      <c r="E6" s="154"/>
      <c r="F6" s="155"/>
      <c r="G6" s="156"/>
      <c r="H6" s="156"/>
      <c r="I6" s="156"/>
      <c r="J6" s="156"/>
      <c r="K6" s="156"/>
    </row>
    <row r="7" spans="1:11" ht="26.25" customHeight="1">
      <c r="A7" s="401" t="s">
        <v>2</v>
      </c>
      <c r="B7" s="402"/>
      <c r="C7" s="157"/>
      <c r="D7" s="157"/>
      <c r="E7" s="157"/>
      <c r="F7" s="157"/>
      <c r="G7" s="403" t="s">
        <v>742</v>
      </c>
      <c r="H7" s="403"/>
      <c r="I7" s="403"/>
      <c r="J7" s="403"/>
      <c r="K7" s="156"/>
    </row>
    <row r="8" spans="1:11" ht="26.25" customHeight="1">
      <c r="A8" s="404" t="s">
        <v>40</v>
      </c>
      <c r="B8" s="404"/>
      <c r="C8" s="157"/>
      <c r="D8" s="157"/>
      <c r="E8" s="157"/>
      <c r="F8" s="157"/>
      <c r="G8" s="405" t="s">
        <v>825</v>
      </c>
      <c r="H8" s="405"/>
      <c r="I8" s="405"/>
      <c r="J8" s="405"/>
      <c r="K8" s="156"/>
    </row>
    <row r="9" spans="1:11">
      <c r="A9" s="406" t="s">
        <v>3</v>
      </c>
      <c r="B9" s="407"/>
      <c r="C9" s="157"/>
      <c r="D9" s="157"/>
      <c r="E9" s="157"/>
      <c r="F9" s="157"/>
      <c r="G9" s="408" t="s">
        <v>743</v>
      </c>
      <c r="H9" s="408"/>
      <c r="I9" s="408"/>
      <c r="J9" s="408"/>
      <c r="K9" s="156"/>
    </row>
    <row r="10" spans="1:11" ht="15" customHeight="1">
      <c r="A10" s="407" t="s">
        <v>4</v>
      </c>
      <c r="B10" s="407"/>
      <c r="C10" s="157"/>
      <c r="D10" s="157"/>
      <c r="E10" s="157"/>
      <c r="F10" s="157"/>
      <c r="G10" s="405" t="s">
        <v>744</v>
      </c>
      <c r="H10" s="405"/>
      <c r="I10" s="405"/>
      <c r="J10" s="405"/>
      <c r="K10" s="156"/>
    </row>
    <row r="11" spans="1:11" ht="28.5" customHeight="1">
      <c r="A11" s="406" t="s">
        <v>5</v>
      </c>
      <c r="B11" s="413"/>
      <c r="C11" s="157"/>
      <c r="D11" s="157"/>
      <c r="E11" s="157"/>
      <c r="F11" s="157"/>
      <c r="G11" s="403" t="s">
        <v>963</v>
      </c>
      <c r="H11" s="403"/>
      <c r="I11" s="403"/>
      <c r="J11" s="403"/>
      <c r="K11" s="156"/>
    </row>
    <row r="12" spans="1:11" ht="28.5" customHeight="1">
      <c r="A12" s="158" t="s">
        <v>559</v>
      </c>
      <c r="B12" s="159"/>
      <c r="C12" s="157"/>
      <c r="D12" s="157"/>
      <c r="E12" s="157"/>
      <c r="F12" s="157"/>
      <c r="G12" s="405" t="s">
        <v>964</v>
      </c>
      <c r="H12" s="405"/>
      <c r="I12" s="405"/>
      <c r="J12" s="405"/>
      <c r="K12" s="156"/>
    </row>
    <row r="13" spans="1:11" ht="15" customHeight="1">
      <c r="A13" s="160" t="s">
        <v>7</v>
      </c>
      <c r="B13" s="161"/>
      <c r="C13" s="157"/>
      <c r="D13" s="157"/>
      <c r="E13" s="157"/>
      <c r="F13" s="157"/>
      <c r="G13" s="414" t="s">
        <v>979</v>
      </c>
      <c r="H13" s="403"/>
      <c r="I13" s="403"/>
      <c r="J13" s="403"/>
      <c r="K13" s="156"/>
    </row>
    <row r="14" spans="1:11">
      <c r="A14" s="162" t="s">
        <v>8</v>
      </c>
      <c r="B14" s="162"/>
      <c r="C14" s="157"/>
      <c r="D14" s="157"/>
      <c r="E14" s="157"/>
      <c r="F14" s="157"/>
      <c r="G14" s="415" t="s">
        <v>980</v>
      </c>
      <c r="H14" s="416"/>
      <c r="I14" s="416"/>
      <c r="J14" s="416"/>
      <c r="K14" s="156"/>
    </row>
    <row r="15" spans="1:11">
      <c r="A15" s="162"/>
      <c r="B15" s="162"/>
      <c r="C15" s="157"/>
      <c r="D15" s="157"/>
      <c r="E15" s="157"/>
      <c r="F15" s="157"/>
      <c r="G15" s="196"/>
      <c r="H15" s="196"/>
      <c r="I15" s="196"/>
      <c r="J15" s="196"/>
      <c r="K15" s="156"/>
    </row>
    <row r="16" spans="1:11">
      <c r="A16" s="214" t="s">
        <v>753</v>
      </c>
      <c r="B16" s="215" t="s">
        <v>754</v>
      </c>
      <c r="C16" s="255"/>
      <c r="D16" s="255"/>
      <c r="E16" s="255"/>
      <c r="F16" s="255"/>
      <c r="G16" s="256"/>
      <c r="H16" s="256"/>
      <c r="I16" s="256"/>
      <c r="J16" s="256"/>
      <c r="K16" s="255"/>
    </row>
    <row r="17" spans="1:11">
      <c r="A17" s="214" t="s">
        <v>54</v>
      </c>
      <c r="B17" s="215" t="s">
        <v>579</v>
      </c>
      <c r="C17" s="255"/>
      <c r="D17" s="255"/>
      <c r="E17" s="255"/>
      <c r="F17" s="255"/>
      <c r="G17" s="255"/>
      <c r="H17" s="255"/>
      <c r="I17" s="255"/>
      <c r="J17" s="255"/>
      <c r="K17" s="255"/>
    </row>
    <row r="18" spans="1:11" s="164" customFormat="1" ht="37.5" customHeight="1">
      <c r="A18" s="409" t="s">
        <v>190</v>
      </c>
      <c r="B18" s="409" t="s">
        <v>560</v>
      </c>
      <c r="C18" s="417" t="s">
        <v>44</v>
      </c>
      <c r="D18" s="409" t="s">
        <v>561</v>
      </c>
      <c r="E18" s="409" t="s">
        <v>562</v>
      </c>
      <c r="F18" s="409" t="s">
        <v>563</v>
      </c>
      <c r="G18" s="409" t="s">
        <v>564</v>
      </c>
      <c r="H18" s="411" t="s">
        <v>565</v>
      </c>
      <c r="I18" s="412"/>
      <c r="J18" s="411" t="s">
        <v>566</v>
      </c>
      <c r="K18" s="412"/>
    </row>
    <row r="19" spans="1:11" s="164" customFormat="1" ht="73.5" customHeight="1">
      <c r="A19" s="410"/>
      <c r="B19" s="410"/>
      <c r="C19" s="418"/>
      <c r="D19" s="410"/>
      <c r="E19" s="410"/>
      <c r="F19" s="410"/>
      <c r="G19" s="410"/>
      <c r="H19" s="165" t="s">
        <v>567</v>
      </c>
      <c r="I19" s="165" t="s">
        <v>568</v>
      </c>
      <c r="J19" s="165" t="s">
        <v>569</v>
      </c>
      <c r="K19" s="165" t="s">
        <v>568</v>
      </c>
    </row>
    <row r="20" spans="1:11" s="164" customFormat="1" ht="47.25" customHeight="1">
      <c r="A20" s="300" t="s">
        <v>350</v>
      </c>
      <c r="B20" s="301" t="s">
        <v>580</v>
      </c>
      <c r="C20" s="166"/>
      <c r="D20" s="168"/>
      <c r="E20" s="168"/>
      <c r="F20" s="169"/>
      <c r="G20" s="170"/>
      <c r="H20" s="167"/>
      <c r="I20" s="171"/>
      <c r="J20" s="172"/>
      <c r="K20" s="173"/>
    </row>
    <row r="21" spans="1:11" s="164" customFormat="1" ht="45.75" customHeight="1">
      <c r="A21" s="300" t="s">
        <v>41</v>
      </c>
      <c r="B21" s="301" t="s">
        <v>581</v>
      </c>
      <c r="C21" s="166"/>
      <c r="D21" s="169"/>
      <c r="E21" s="169"/>
      <c r="F21" s="169"/>
      <c r="G21" s="170"/>
      <c r="H21" s="167"/>
      <c r="I21" s="171"/>
      <c r="J21" s="167"/>
      <c r="K21" s="171"/>
    </row>
    <row r="22" spans="1:11" s="164" customFormat="1" ht="45.75" customHeight="1">
      <c r="A22" s="300" t="s">
        <v>367</v>
      </c>
      <c r="B22" s="301" t="s">
        <v>582</v>
      </c>
      <c r="C22" s="166"/>
      <c r="D22" s="169"/>
      <c r="E22" s="169"/>
      <c r="F22" s="169"/>
      <c r="G22" s="168"/>
      <c r="H22" s="167"/>
      <c r="I22" s="174"/>
      <c r="J22" s="167"/>
      <c r="K22" s="174"/>
    </row>
    <row r="23" spans="1:11" s="164" customFormat="1" ht="44.25" customHeight="1">
      <c r="A23" s="300" t="s">
        <v>47</v>
      </c>
      <c r="B23" s="301" t="s">
        <v>583</v>
      </c>
      <c r="C23" s="166"/>
      <c r="D23" s="169"/>
      <c r="E23" s="169"/>
      <c r="F23" s="169"/>
      <c r="G23" s="170"/>
      <c r="H23" s="167"/>
      <c r="I23" s="171"/>
      <c r="J23" s="167"/>
      <c r="K23" s="171"/>
    </row>
    <row r="24" spans="1:11" s="164" customFormat="1" ht="44.25" customHeight="1">
      <c r="A24" s="300" t="s">
        <v>570</v>
      </c>
      <c r="B24" s="301" t="s">
        <v>584</v>
      </c>
      <c r="C24" s="166"/>
      <c r="D24" s="169"/>
      <c r="E24" s="169"/>
      <c r="F24" s="169"/>
      <c r="G24" s="170"/>
      <c r="H24" s="167"/>
      <c r="I24" s="171"/>
      <c r="J24" s="167"/>
      <c r="K24" s="171"/>
    </row>
    <row r="25" spans="1:11" s="164" customFormat="1" ht="57.75" customHeight="1">
      <c r="A25" s="300" t="s">
        <v>392</v>
      </c>
      <c r="B25" s="302" t="s">
        <v>585</v>
      </c>
      <c r="C25" s="166"/>
      <c r="D25" s="169"/>
      <c r="E25" s="169"/>
      <c r="F25" s="169"/>
      <c r="G25" s="170"/>
      <c r="H25" s="167"/>
      <c r="I25" s="171"/>
      <c r="J25" s="167"/>
      <c r="K25" s="171"/>
    </row>
    <row r="26" spans="1:11" s="164" customFormat="1" ht="44.25" customHeight="1">
      <c r="A26" s="300" t="s">
        <v>53</v>
      </c>
      <c r="B26" s="301" t="s">
        <v>586</v>
      </c>
      <c r="C26" s="166"/>
      <c r="D26" s="169"/>
      <c r="E26" s="169"/>
      <c r="F26" s="169"/>
      <c r="G26" s="170"/>
      <c r="H26" s="167"/>
      <c r="I26" s="171"/>
      <c r="J26" s="167"/>
      <c r="K26" s="171"/>
    </row>
    <row r="27" spans="1:11" s="164" customFormat="1" ht="51" customHeight="1">
      <c r="A27" s="300" t="s">
        <v>459</v>
      </c>
      <c r="B27" s="301" t="s">
        <v>587</v>
      </c>
      <c r="C27" s="166"/>
      <c r="D27" s="169"/>
      <c r="E27" s="169"/>
      <c r="F27" s="169"/>
      <c r="G27" s="170"/>
      <c r="H27" s="167"/>
      <c r="I27" s="171"/>
      <c r="J27" s="167"/>
      <c r="K27" s="171"/>
    </row>
    <row r="28" spans="1:11" s="164" customFormat="1" ht="44.25" customHeight="1">
      <c r="A28" s="300" t="s">
        <v>54</v>
      </c>
      <c r="B28" s="301" t="s">
        <v>586</v>
      </c>
      <c r="C28" s="166"/>
      <c r="D28" s="169"/>
      <c r="E28" s="169"/>
      <c r="F28" s="169"/>
      <c r="G28" s="170"/>
      <c r="H28" s="167"/>
      <c r="I28" s="171"/>
      <c r="J28" s="167"/>
      <c r="K28" s="171"/>
    </row>
    <row r="29" spans="1:11" s="164" customFormat="1" ht="44.25" customHeight="1">
      <c r="A29" s="300" t="s">
        <v>571</v>
      </c>
      <c r="B29" s="301" t="s">
        <v>588</v>
      </c>
      <c r="C29" s="166"/>
      <c r="D29" s="169"/>
      <c r="E29" s="169"/>
      <c r="F29" s="169"/>
      <c r="G29" s="170"/>
      <c r="H29" s="167"/>
      <c r="I29" s="171"/>
      <c r="J29" s="167"/>
      <c r="K29" s="171"/>
    </row>
    <row r="30" spans="1:11" s="164" customFormat="1" ht="12.75">
      <c r="A30" s="175"/>
      <c r="B30" s="176"/>
      <c r="C30" s="176"/>
      <c r="D30" s="169"/>
      <c r="E30" s="169"/>
      <c r="F30" s="169"/>
      <c r="G30" s="170"/>
      <c r="H30" s="167"/>
      <c r="I30" s="171"/>
      <c r="J30" s="172"/>
      <c r="K30" s="173"/>
    </row>
    <row r="31" spans="1:11" s="164" customFormat="1" ht="12.75">
      <c r="A31" s="177"/>
      <c r="B31" s="178"/>
      <c r="C31" s="178"/>
      <c r="D31" s="178"/>
      <c r="E31" s="178"/>
      <c r="F31" s="178"/>
      <c r="G31" s="178"/>
      <c r="H31" s="178"/>
      <c r="I31" s="178"/>
      <c r="J31" s="178"/>
      <c r="K31" s="178"/>
    </row>
    <row r="32" spans="1:11" s="334" customFormat="1" ht="58.9" customHeight="1">
      <c r="A32" s="395" t="s">
        <v>965</v>
      </c>
      <c r="B32" s="396"/>
      <c r="C32" s="396"/>
      <c r="D32" s="396"/>
      <c r="E32" s="396"/>
      <c r="F32" s="396"/>
      <c r="G32" s="396"/>
      <c r="H32" s="396"/>
      <c r="I32" s="396"/>
      <c r="J32" s="396"/>
      <c r="K32" s="396"/>
    </row>
    <row r="33" spans="1:11" s="164" customFormat="1" ht="12.75">
      <c r="A33" s="179" t="s">
        <v>10</v>
      </c>
      <c r="B33" s="180"/>
      <c r="C33" s="181"/>
      <c r="D33" s="178"/>
      <c r="E33" s="178"/>
      <c r="F33" s="178"/>
      <c r="G33" s="178"/>
      <c r="H33" s="178"/>
      <c r="I33" s="182" t="s">
        <v>11</v>
      </c>
      <c r="J33" s="178"/>
      <c r="K33" s="178"/>
    </row>
    <row r="34" spans="1:11" s="164" customFormat="1" ht="12.75">
      <c r="A34" s="183" t="s">
        <v>12</v>
      </c>
      <c r="B34" s="180"/>
      <c r="C34" s="181"/>
      <c r="D34" s="178"/>
      <c r="E34" s="178"/>
      <c r="F34" s="178"/>
      <c r="G34" s="178"/>
      <c r="H34" s="178"/>
      <c r="I34" s="184" t="s">
        <v>13</v>
      </c>
      <c r="J34" s="178"/>
      <c r="K34" s="178"/>
    </row>
    <row r="35" spans="1:11">
      <c r="A35" s="180"/>
      <c r="B35" s="180"/>
      <c r="C35" s="181"/>
      <c r="D35" s="156"/>
      <c r="E35" s="156"/>
      <c r="F35" s="156"/>
      <c r="G35" s="156"/>
      <c r="H35" s="156"/>
      <c r="I35" s="181"/>
      <c r="J35" s="156"/>
      <c r="K35" s="156"/>
    </row>
    <row r="36" spans="1:11">
      <c r="A36" s="180"/>
      <c r="B36" s="180"/>
      <c r="C36" s="181"/>
      <c r="D36" s="156"/>
      <c r="E36" s="156"/>
      <c r="F36" s="156"/>
      <c r="G36" s="156"/>
      <c r="H36" s="156"/>
      <c r="I36" s="181"/>
      <c r="J36" s="156"/>
      <c r="K36" s="156"/>
    </row>
    <row r="37" spans="1:11">
      <c r="A37" s="180"/>
      <c r="B37" s="180"/>
      <c r="C37" s="181"/>
      <c r="D37" s="156"/>
      <c r="E37" s="156"/>
      <c r="F37" s="156"/>
      <c r="G37" s="156"/>
      <c r="H37" s="156"/>
      <c r="I37" s="181"/>
      <c r="J37" s="156"/>
      <c r="K37" s="156"/>
    </row>
    <row r="38" spans="1:11">
      <c r="A38" s="180"/>
      <c r="B38" s="180"/>
      <c r="C38" s="181"/>
      <c r="D38" s="156"/>
      <c r="E38" s="156"/>
      <c r="F38" s="156"/>
      <c r="G38" s="156"/>
      <c r="H38" s="156"/>
      <c r="I38" s="181"/>
      <c r="J38" s="156"/>
      <c r="K38" s="156"/>
    </row>
    <row r="39" spans="1:11">
      <c r="A39" s="180"/>
      <c r="B39" s="180"/>
      <c r="C39" s="181"/>
      <c r="D39" s="156"/>
      <c r="E39" s="156"/>
      <c r="F39" s="156"/>
      <c r="G39" s="156"/>
      <c r="H39" s="156"/>
      <c r="I39" s="181"/>
      <c r="J39" s="156"/>
      <c r="K39" s="156"/>
    </row>
    <row r="40" spans="1:11">
      <c r="A40" s="180"/>
      <c r="B40" s="180"/>
      <c r="C40" s="181"/>
      <c r="D40" s="156"/>
      <c r="E40" s="156"/>
      <c r="F40" s="156"/>
      <c r="G40" s="156"/>
      <c r="H40" s="156"/>
      <c r="I40" s="181"/>
      <c r="J40" s="156"/>
      <c r="K40" s="156"/>
    </row>
    <row r="41" spans="1:11">
      <c r="A41" s="180"/>
      <c r="B41" s="180"/>
      <c r="C41" s="181"/>
      <c r="D41" s="156"/>
      <c r="E41" s="156"/>
      <c r="F41" s="156"/>
      <c r="G41" s="156"/>
      <c r="H41" s="156"/>
      <c r="I41" s="181"/>
      <c r="J41" s="156"/>
      <c r="K41" s="156"/>
    </row>
    <row r="42" spans="1:11">
      <c r="A42" s="180"/>
      <c r="B42" s="180"/>
      <c r="C42" s="181"/>
      <c r="D42" s="156"/>
      <c r="E42" s="156"/>
      <c r="F42" s="156"/>
      <c r="G42" s="156"/>
      <c r="H42" s="156"/>
      <c r="I42" s="181"/>
      <c r="J42" s="156"/>
      <c r="K42" s="156"/>
    </row>
    <row r="43" spans="1:11">
      <c r="A43" s="185"/>
      <c r="B43" s="185"/>
      <c r="C43" s="186"/>
      <c r="D43" s="187"/>
      <c r="E43" s="156"/>
      <c r="F43" s="156"/>
      <c r="G43" s="156"/>
      <c r="H43" s="156"/>
      <c r="I43" s="186"/>
      <c r="J43" s="187"/>
      <c r="K43" s="187"/>
    </row>
    <row r="44" spans="1:11">
      <c r="A44" s="179" t="s">
        <v>14</v>
      </c>
      <c r="B44" s="180"/>
      <c r="C44" s="181"/>
      <c r="D44" s="156"/>
      <c r="E44" s="156"/>
      <c r="F44" s="156"/>
      <c r="G44" s="156"/>
      <c r="H44" s="156"/>
      <c r="I44" s="182" t="s">
        <v>742</v>
      </c>
      <c r="J44" s="156"/>
      <c r="K44" s="156"/>
    </row>
    <row r="45" spans="1:11">
      <c r="A45" s="179" t="s">
        <v>745</v>
      </c>
      <c r="B45" s="180"/>
      <c r="C45" s="181"/>
      <c r="D45" s="156"/>
      <c r="E45" s="156"/>
      <c r="F45" s="156"/>
      <c r="G45" s="156"/>
      <c r="H45" s="156"/>
      <c r="I45" s="182" t="s">
        <v>746</v>
      </c>
      <c r="J45" s="156"/>
      <c r="K45" s="156"/>
    </row>
    <row r="46" spans="1:11">
      <c r="A46" s="180" t="s">
        <v>747</v>
      </c>
      <c r="B46" s="180"/>
      <c r="C46" s="181"/>
      <c r="D46" s="156"/>
      <c r="E46" s="156"/>
      <c r="F46" s="156"/>
      <c r="G46" s="156"/>
      <c r="H46" s="156"/>
      <c r="I46" s="181" t="s">
        <v>826</v>
      </c>
      <c r="J46" s="156"/>
      <c r="K46" s="156"/>
    </row>
    <row r="47" spans="1:11">
      <c r="A47" s="163"/>
      <c r="B47" s="156"/>
      <c r="C47" s="156"/>
      <c r="D47" s="156"/>
      <c r="E47" s="156"/>
      <c r="F47" s="156"/>
      <c r="G47" s="156"/>
      <c r="H47" s="156"/>
      <c r="I47" s="156"/>
      <c r="J47" s="156"/>
      <c r="K47" s="156"/>
    </row>
  </sheetData>
  <mergeCells count="27">
    <mergeCell ref="J18:K18"/>
    <mergeCell ref="A11:B11"/>
    <mergeCell ref="G11:J11"/>
    <mergeCell ref="G12:J12"/>
    <mergeCell ref="G13:J13"/>
    <mergeCell ref="G14:J14"/>
    <mergeCell ref="A18:A19"/>
    <mergeCell ref="B18:B19"/>
    <mergeCell ref="C18:C19"/>
    <mergeCell ref="D18:D19"/>
    <mergeCell ref="E18:E19"/>
    <mergeCell ref="A32:K32"/>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s>
  <printOptions horizontalCentered="1"/>
  <pageMargins left="0.3" right="0.3" top="0.75" bottom="0.5" header="0.3" footer="0.3"/>
  <pageSetup paperSize="9" scale="68" fitToHeight="2" orientation="landscape"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4"/>
  <sheetViews>
    <sheetView view="pageBreakPreview" topLeftCell="A4" zoomScale="86" zoomScaleNormal="100" zoomScaleSheetLayoutView="86" workbookViewId="0">
      <selection activeCell="B40" sqref="B40"/>
    </sheetView>
  </sheetViews>
  <sheetFormatPr defaultColWidth="8.7109375" defaultRowHeight="12.75"/>
  <cols>
    <col min="1" max="1" width="8.7109375" style="55"/>
    <col min="2" max="2" width="56.7109375" style="55" customWidth="1"/>
    <col min="3" max="3" width="10.7109375" style="55" bestFit="1" customWidth="1"/>
    <col min="4" max="5" width="28" style="55" customWidth="1"/>
    <col min="6" max="6" width="8.42578125" style="76" customWidth="1"/>
    <col min="7" max="16384" width="8.7109375" style="76"/>
  </cols>
  <sheetData>
    <row r="1" spans="1:6" ht="30" customHeight="1">
      <c r="A1" s="357" t="s">
        <v>828</v>
      </c>
      <c r="B1" s="357"/>
      <c r="C1" s="357"/>
      <c r="D1" s="357"/>
      <c r="E1" s="357"/>
      <c r="F1" s="83"/>
    </row>
    <row r="2" spans="1:6" ht="50.1" customHeight="1">
      <c r="A2" s="358" t="s">
        <v>975</v>
      </c>
      <c r="B2" s="358"/>
      <c r="C2" s="358"/>
      <c r="D2" s="358"/>
      <c r="E2" s="358"/>
      <c r="F2" s="84"/>
    </row>
    <row r="3" spans="1:6">
      <c r="A3" s="359" t="s">
        <v>974</v>
      </c>
      <c r="B3" s="359"/>
      <c r="C3" s="359"/>
      <c r="D3" s="359"/>
      <c r="E3" s="359"/>
      <c r="F3" s="83"/>
    </row>
    <row r="4" spans="1:6" ht="20.65" customHeight="1">
      <c r="A4" s="359"/>
      <c r="B4" s="359"/>
      <c r="C4" s="359"/>
      <c r="D4" s="359"/>
      <c r="E4" s="359"/>
      <c r="F4" s="83"/>
    </row>
    <row r="5" spans="1:6" ht="16.899999999999999" customHeight="1">
      <c r="A5" s="360" t="s">
        <v>798</v>
      </c>
      <c r="B5" s="360"/>
      <c r="C5" s="360"/>
      <c r="D5" s="360"/>
      <c r="E5" s="360"/>
      <c r="F5" s="85"/>
    </row>
    <row r="7" spans="1:6">
      <c r="A7" s="61" t="s">
        <v>2</v>
      </c>
      <c r="C7" s="361" t="s">
        <v>742</v>
      </c>
      <c r="D7" s="361"/>
      <c r="E7" s="361"/>
    </row>
    <row r="8" spans="1:6">
      <c r="A8" s="55" t="s">
        <v>40</v>
      </c>
      <c r="C8" s="354" t="s">
        <v>825</v>
      </c>
      <c r="D8" s="354"/>
      <c r="E8" s="354"/>
    </row>
    <row r="9" spans="1:6" ht="16.899999999999999" customHeight="1">
      <c r="A9" s="61" t="s">
        <v>3</v>
      </c>
      <c r="C9" s="370" t="s">
        <v>743</v>
      </c>
      <c r="D9" s="370"/>
      <c r="E9" s="370"/>
    </row>
    <row r="10" spans="1:6" ht="16.899999999999999" customHeight="1">
      <c r="A10" s="55" t="s">
        <v>4</v>
      </c>
      <c r="C10" s="365" t="s">
        <v>744</v>
      </c>
      <c r="D10" s="365"/>
      <c r="E10" s="365"/>
    </row>
    <row r="11" spans="1:6" ht="27.4" customHeight="1">
      <c r="A11" s="61" t="s">
        <v>5</v>
      </c>
      <c r="C11" s="361" t="s">
        <v>963</v>
      </c>
      <c r="D11" s="370"/>
      <c r="E11" s="370"/>
    </row>
    <row r="12" spans="1:6" ht="27.4" customHeight="1">
      <c r="A12" s="55" t="s">
        <v>6</v>
      </c>
      <c r="C12" s="354" t="s">
        <v>964</v>
      </c>
      <c r="D12" s="365"/>
      <c r="E12" s="365"/>
    </row>
    <row r="13" spans="1:6" ht="16.899999999999999" customHeight="1">
      <c r="A13" s="61" t="s">
        <v>7</v>
      </c>
      <c r="C13" s="370" t="s">
        <v>979</v>
      </c>
      <c r="D13" s="370"/>
      <c r="E13" s="370"/>
    </row>
    <row r="14" spans="1:6" ht="16.899999999999999" customHeight="1">
      <c r="A14" s="55" t="s">
        <v>8</v>
      </c>
      <c r="C14" s="371" t="s">
        <v>980</v>
      </c>
      <c r="D14" s="365"/>
      <c r="E14" s="365"/>
    </row>
    <row r="16" spans="1:6" ht="16.899999999999999" customHeight="1">
      <c r="A16" s="194" t="s">
        <v>753</v>
      </c>
      <c r="B16" s="70" t="s">
        <v>754</v>
      </c>
    </row>
    <row r="17" spans="1:5" ht="16.899999999999999" customHeight="1">
      <c r="A17" s="253" t="s">
        <v>55</v>
      </c>
      <c r="B17" s="250" t="s">
        <v>298</v>
      </c>
    </row>
    <row r="18" spans="1:5" ht="42" customHeight="1">
      <c r="A18" s="77" t="s">
        <v>42</v>
      </c>
      <c r="B18" s="77" t="s">
        <v>299</v>
      </c>
      <c r="C18" s="77" t="s">
        <v>44</v>
      </c>
      <c r="D18" s="77" t="s">
        <v>800</v>
      </c>
      <c r="E18" s="77" t="s">
        <v>749</v>
      </c>
    </row>
    <row r="19" spans="1:5" s="87" customFormat="1" ht="39" customHeight="1">
      <c r="A19" s="86" t="s">
        <v>41</v>
      </c>
      <c r="B19" s="303" t="s">
        <v>84</v>
      </c>
      <c r="C19" s="304"/>
      <c r="D19" s="305"/>
      <c r="E19" s="305"/>
    </row>
    <row r="20" spans="1:5" ht="58.5" customHeight="1">
      <c r="A20" s="266">
        <v>1</v>
      </c>
      <c r="B20" s="114" t="s">
        <v>866</v>
      </c>
      <c r="C20" s="300"/>
      <c r="D20" s="305">
        <v>1.9502080517003102E-2</v>
      </c>
      <c r="E20" s="305">
        <v>1.9501656479758701E-2</v>
      </c>
    </row>
    <row r="21" spans="1:5" ht="55.5" customHeight="1">
      <c r="A21" s="266">
        <v>2</v>
      </c>
      <c r="B21" s="114" t="s">
        <v>867</v>
      </c>
      <c r="C21" s="300"/>
      <c r="D21" s="305">
        <v>9.8240052109947002E-4</v>
      </c>
      <c r="E21" s="305">
        <v>9.8752820325313795E-4</v>
      </c>
    </row>
    <row r="22" spans="1:5" ht="97.5" customHeight="1">
      <c r="A22" s="266">
        <v>3</v>
      </c>
      <c r="B22" s="114" t="s">
        <v>868</v>
      </c>
      <c r="C22" s="300"/>
      <c r="D22" s="305">
        <v>4.5476604669896154E-4</v>
      </c>
      <c r="E22" s="305">
        <v>3.89880290463974E-4</v>
      </c>
    </row>
    <row r="23" spans="1:5" ht="51">
      <c r="A23" s="266">
        <v>4</v>
      </c>
      <c r="B23" s="114" t="s">
        <v>300</v>
      </c>
      <c r="C23" s="300"/>
      <c r="D23" s="305">
        <v>2.0062250968770401E-4</v>
      </c>
      <c r="E23" s="305">
        <v>3.1129141786670901E-4</v>
      </c>
    </row>
    <row r="24" spans="1:5" ht="79.5" customHeight="1">
      <c r="A24" s="266">
        <v>5</v>
      </c>
      <c r="B24" s="114" t="s">
        <v>869</v>
      </c>
      <c r="C24" s="300"/>
      <c r="D24" s="305"/>
      <c r="E24" s="305"/>
    </row>
    <row r="25" spans="1:5" ht="70.150000000000006" customHeight="1">
      <c r="A25" s="266">
        <v>6</v>
      </c>
      <c r="B25" s="114" t="s">
        <v>870</v>
      </c>
      <c r="C25" s="300"/>
      <c r="D25" s="305"/>
      <c r="E25" s="305"/>
    </row>
    <row r="26" spans="1:5" ht="82.5" customHeight="1">
      <c r="A26" s="266">
        <v>7</v>
      </c>
      <c r="B26" s="114" t="s">
        <v>301</v>
      </c>
      <c r="C26" s="300"/>
      <c r="D26" s="305">
        <v>3.3274734865569897E-4</v>
      </c>
      <c r="E26" s="305">
        <v>6.0358358482431396E-4</v>
      </c>
    </row>
    <row r="27" spans="1:5" ht="39" customHeight="1">
      <c r="A27" s="266">
        <v>8</v>
      </c>
      <c r="B27" s="114" t="s">
        <v>871</v>
      </c>
      <c r="C27" s="300"/>
      <c r="D27" s="305">
        <v>2.60389622006508E-2</v>
      </c>
      <c r="E27" s="305">
        <v>2.4378631658116399E-2</v>
      </c>
    </row>
    <row r="28" spans="1:5" ht="88.15" customHeight="1">
      <c r="A28" s="266">
        <v>9</v>
      </c>
      <c r="B28" s="114" t="s">
        <v>872</v>
      </c>
      <c r="C28" s="300"/>
      <c r="D28" s="337">
        <v>1.6836</v>
      </c>
      <c r="E28" s="305">
        <v>0.76310966472953001</v>
      </c>
    </row>
    <row r="29" spans="1:5" ht="74.650000000000006" customHeight="1">
      <c r="A29" s="266">
        <v>10</v>
      </c>
      <c r="B29" s="114" t="s">
        <v>873</v>
      </c>
      <c r="C29" s="300"/>
      <c r="D29" s="305"/>
      <c r="E29" s="305"/>
    </row>
    <row r="30" spans="1:5" s="87" customFormat="1" ht="44.65" customHeight="1">
      <c r="A30" s="86" t="s">
        <v>47</v>
      </c>
      <c r="B30" s="303" t="s">
        <v>85</v>
      </c>
      <c r="C30" s="304"/>
      <c r="D30" s="89"/>
      <c r="E30" s="89"/>
    </row>
    <row r="31" spans="1:5" ht="43.5" customHeight="1">
      <c r="A31" s="368">
        <v>1</v>
      </c>
      <c r="B31" s="114" t="s">
        <v>86</v>
      </c>
      <c r="C31" s="300"/>
      <c r="D31" s="89">
        <v>105292552100</v>
      </c>
      <c r="E31" s="89">
        <v>204240722400</v>
      </c>
    </row>
    <row r="32" spans="1:5" ht="39" customHeight="1">
      <c r="A32" s="422"/>
      <c r="B32" s="114" t="s">
        <v>87</v>
      </c>
      <c r="C32" s="300"/>
      <c r="D32" s="89">
        <v>105292552100</v>
      </c>
      <c r="E32" s="89">
        <v>204240722400</v>
      </c>
    </row>
    <row r="33" spans="1:5" ht="39" customHeight="1">
      <c r="A33" s="369"/>
      <c r="B33" s="114" t="s">
        <v>874</v>
      </c>
      <c r="C33" s="300"/>
      <c r="D33" s="91">
        <v>10529255.210000001</v>
      </c>
      <c r="E33" s="91">
        <v>20424072.239999998</v>
      </c>
    </row>
    <row r="34" spans="1:5" ht="39" customHeight="1">
      <c r="A34" s="421">
        <v>2</v>
      </c>
      <c r="B34" s="114" t="s">
        <v>88</v>
      </c>
      <c r="C34" s="300"/>
      <c r="D34" s="89">
        <v>103738269000</v>
      </c>
      <c r="E34" s="89">
        <v>-98948170300</v>
      </c>
    </row>
    <row r="35" spans="1:5" ht="39" customHeight="1">
      <c r="A35" s="421"/>
      <c r="B35" s="114" t="s">
        <v>89</v>
      </c>
      <c r="C35" s="300"/>
      <c r="D35" s="91">
        <v>10373826.9</v>
      </c>
      <c r="E35" s="91">
        <v>-9894817.0299999993</v>
      </c>
    </row>
    <row r="36" spans="1:5" ht="39" customHeight="1">
      <c r="A36" s="421"/>
      <c r="B36" s="114" t="s">
        <v>90</v>
      </c>
      <c r="C36" s="300"/>
      <c r="D36" s="89">
        <v>103738269000</v>
      </c>
      <c r="E36" s="89">
        <v>-98948170300</v>
      </c>
    </row>
    <row r="37" spans="1:5" ht="44.65" customHeight="1">
      <c r="A37" s="421"/>
      <c r="B37" s="114" t="s">
        <v>875</v>
      </c>
      <c r="C37" s="300"/>
      <c r="D37" s="90">
        <v>17083313.050000001</v>
      </c>
      <c r="E37" s="90">
        <v>1211518.29</v>
      </c>
    </row>
    <row r="38" spans="1:5" ht="39" customHeight="1">
      <c r="A38" s="421"/>
      <c r="B38" s="114" t="s">
        <v>252</v>
      </c>
      <c r="C38" s="300"/>
      <c r="D38" s="89">
        <v>170833130500</v>
      </c>
      <c r="E38" s="89">
        <v>12115182900</v>
      </c>
    </row>
    <row r="39" spans="1:5" ht="39" customHeight="1">
      <c r="A39" s="421"/>
      <c r="B39" s="114" t="s">
        <v>981</v>
      </c>
      <c r="C39" s="300"/>
      <c r="D39" s="91">
        <v>-6709486.1500000004</v>
      </c>
      <c r="E39" s="91">
        <v>-11106335.32</v>
      </c>
    </row>
    <row r="40" spans="1:5" ht="39" customHeight="1">
      <c r="A40" s="421"/>
      <c r="B40" s="114" t="s">
        <v>253</v>
      </c>
      <c r="C40" s="300"/>
      <c r="D40" s="89">
        <v>-67094861500</v>
      </c>
      <c r="E40" s="89">
        <v>-111063353200</v>
      </c>
    </row>
    <row r="41" spans="1:5" ht="60" customHeight="1">
      <c r="A41" s="421">
        <v>3</v>
      </c>
      <c r="B41" s="114" t="s">
        <v>254</v>
      </c>
      <c r="C41" s="300"/>
      <c r="D41" s="89">
        <v>209030821100</v>
      </c>
      <c r="E41" s="89">
        <v>105292552100</v>
      </c>
    </row>
    <row r="42" spans="1:5" ht="67.900000000000006" customHeight="1">
      <c r="A42" s="421"/>
      <c r="B42" s="114" t="s">
        <v>876</v>
      </c>
      <c r="C42" s="300"/>
      <c r="D42" s="89">
        <v>209030821100</v>
      </c>
      <c r="E42" s="89">
        <v>105292552100</v>
      </c>
    </row>
    <row r="43" spans="1:5" ht="39" customHeight="1">
      <c r="A43" s="421"/>
      <c r="B43" s="114" t="s">
        <v>877</v>
      </c>
      <c r="C43" s="300"/>
      <c r="D43" s="91">
        <v>20903082.109999999</v>
      </c>
      <c r="E43" s="91">
        <v>10529255.210000001</v>
      </c>
    </row>
    <row r="44" spans="1:5" ht="63" customHeight="1">
      <c r="A44" s="266">
        <v>4</v>
      </c>
      <c r="B44" s="114" t="s">
        <v>91</v>
      </c>
      <c r="C44" s="300"/>
      <c r="D44" s="305">
        <v>1.01771929555895E-3</v>
      </c>
      <c r="E44" s="305">
        <v>2.6836693988729001E-3</v>
      </c>
    </row>
    <row r="45" spans="1:5" ht="39" customHeight="1">
      <c r="A45" s="266">
        <v>5</v>
      </c>
      <c r="B45" s="114" t="s">
        <v>92</v>
      </c>
      <c r="C45" s="300"/>
      <c r="D45" s="305">
        <v>0.31619999999999998</v>
      </c>
      <c r="E45" s="305">
        <v>0.53649999999999998</v>
      </c>
    </row>
    <row r="46" spans="1:5" ht="48" customHeight="1">
      <c r="A46" s="266">
        <v>6</v>
      </c>
      <c r="B46" s="114" t="s">
        <v>93</v>
      </c>
      <c r="C46" s="300"/>
      <c r="D46" s="305">
        <v>0.1431</v>
      </c>
      <c r="E46" s="305">
        <v>0.38450000000000001</v>
      </c>
    </row>
    <row r="47" spans="1:5" ht="60.4" customHeight="1">
      <c r="A47" s="266">
        <v>7</v>
      </c>
      <c r="B47" s="114" t="s">
        <v>255</v>
      </c>
      <c r="C47" s="300"/>
      <c r="D47" s="91">
        <v>78546.66</v>
      </c>
      <c r="E47" s="91">
        <v>51031.62</v>
      </c>
    </row>
    <row r="48" spans="1:5" ht="52.5" customHeight="1">
      <c r="A48" s="266">
        <v>8</v>
      </c>
      <c r="B48" s="114" t="s">
        <v>878</v>
      </c>
      <c r="C48" s="300"/>
      <c r="D48" s="89"/>
      <c r="E48" s="89"/>
    </row>
    <row r="49" spans="1:5" ht="42.4" customHeight="1">
      <c r="A49" s="266">
        <v>9</v>
      </c>
      <c r="B49" s="114" t="s">
        <v>94</v>
      </c>
      <c r="C49" s="300"/>
      <c r="D49" s="89">
        <v>11908</v>
      </c>
      <c r="E49" s="89">
        <v>3042</v>
      </c>
    </row>
    <row r="50" spans="1:5" s="330" customFormat="1" ht="52.5" customHeight="1">
      <c r="A50" s="419" t="s">
        <v>965</v>
      </c>
      <c r="B50" s="420"/>
      <c r="C50" s="420"/>
      <c r="D50" s="420"/>
      <c r="E50" s="420"/>
    </row>
    <row r="51" spans="1:5" ht="16.899999999999999" customHeight="1">
      <c r="A51" s="70" t="s">
        <v>10</v>
      </c>
      <c r="D51" s="70" t="s">
        <v>11</v>
      </c>
    </row>
    <row r="52" spans="1:5" s="92" customFormat="1" ht="16.899999999999999" customHeight="1">
      <c r="A52" s="71" t="s">
        <v>12</v>
      </c>
      <c r="B52" s="71"/>
      <c r="C52" s="71"/>
      <c r="D52" s="71" t="s">
        <v>13</v>
      </c>
      <c r="E52" s="71"/>
    </row>
    <row r="53" spans="1:5" ht="16.899999999999999" customHeight="1"/>
    <row r="54" spans="1:5" ht="16.899999999999999" customHeight="1"/>
    <row r="61" spans="1:5">
      <c r="A61" s="93"/>
      <c r="B61" s="93"/>
      <c r="D61" s="93"/>
      <c r="E61" s="93"/>
    </row>
    <row r="62" spans="1:5" ht="16.899999999999999" customHeight="1">
      <c r="A62" s="70" t="s">
        <v>14</v>
      </c>
      <c r="D62" s="70" t="s">
        <v>742</v>
      </c>
    </row>
    <row r="63" spans="1:5" ht="16.899999999999999" customHeight="1">
      <c r="A63" s="70" t="s">
        <v>745</v>
      </c>
      <c r="D63" s="70" t="s">
        <v>746</v>
      </c>
    </row>
    <row r="64" spans="1:5" ht="16.899999999999999" customHeight="1">
      <c r="A64" s="55" t="s">
        <v>747</v>
      </c>
      <c r="D64" s="55" t="s">
        <v>826</v>
      </c>
    </row>
  </sheetData>
  <mergeCells count="16">
    <mergeCell ref="C13:E13"/>
    <mergeCell ref="C8:E8"/>
    <mergeCell ref="C9:E9"/>
    <mergeCell ref="C10:E10"/>
    <mergeCell ref="C11:E11"/>
    <mergeCell ref="C12:E12"/>
    <mergeCell ref="A1:E1"/>
    <mergeCell ref="A2:E2"/>
    <mergeCell ref="A3:E4"/>
    <mergeCell ref="A5:E5"/>
    <mergeCell ref="C7:E7"/>
    <mergeCell ref="A50:E50"/>
    <mergeCell ref="A34:A40"/>
    <mergeCell ref="A41:A43"/>
    <mergeCell ref="C14:E14"/>
    <mergeCell ref="A31:A33"/>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BEE20-892F-4BC9-8782-7F45B1E80B74}">
  <sheetPr>
    <pageSetUpPr fitToPage="1"/>
  </sheetPr>
  <dimension ref="A1:J83"/>
  <sheetViews>
    <sheetView view="pageBreakPreview" topLeftCell="A19" zoomScale="84" zoomScaleNormal="100" zoomScaleSheetLayoutView="84" workbookViewId="0">
      <selection activeCell="J25" sqref="J25"/>
    </sheetView>
  </sheetViews>
  <sheetFormatPr defaultColWidth="9.28515625" defaultRowHeight="10.5"/>
  <cols>
    <col min="1" max="1" width="9.28515625" style="208"/>
    <col min="2" max="2" width="39.28515625" style="208" customWidth="1"/>
    <col min="3" max="3" width="18" style="208" customWidth="1"/>
    <col min="4" max="5" width="20.28515625" style="244" customWidth="1"/>
    <col min="6" max="6" width="15.5703125" style="244" customWidth="1"/>
    <col min="7" max="7" width="17.28515625" style="244" customWidth="1"/>
    <col min="8" max="8" width="14.7109375" style="244" customWidth="1"/>
    <col min="9" max="9" width="30.7109375" style="208" customWidth="1"/>
    <col min="10" max="16384" width="9.28515625" style="208"/>
  </cols>
  <sheetData>
    <row r="1" spans="1:8" ht="32.25" customHeight="1">
      <c r="A1" s="444" t="s">
        <v>828</v>
      </c>
      <c r="B1" s="444"/>
      <c r="C1" s="444"/>
      <c r="D1" s="444"/>
      <c r="E1" s="444"/>
      <c r="F1" s="444"/>
      <c r="G1" s="444"/>
      <c r="H1" s="444"/>
    </row>
    <row r="2" spans="1:8" ht="49.15" customHeight="1">
      <c r="A2" s="445" t="s">
        <v>829</v>
      </c>
      <c r="B2" s="445"/>
      <c r="C2" s="445"/>
      <c r="D2" s="445"/>
      <c r="E2" s="445"/>
      <c r="F2" s="445"/>
      <c r="G2" s="445"/>
      <c r="H2" s="445"/>
    </row>
    <row r="3" spans="1:8" ht="12.75" customHeight="1">
      <c r="A3" s="446" t="s">
        <v>974</v>
      </c>
      <c r="B3" s="446"/>
      <c r="C3" s="446"/>
      <c r="D3" s="446"/>
      <c r="E3" s="446"/>
      <c r="F3" s="446"/>
      <c r="G3" s="446"/>
      <c r="H3" s="446"/>
    </row>
    <row r="4" spans="1:8" ht="27.75" customHeight="1">
      <c r="A4" s="446"/>
      <c r="B4" s="446"/>
      <c r="C4" s="446"/>
      <c r="D4" s="446"/>
      <c r="E4" s="446"/>
      <c r="F4" s="446"/>
      <c r="G4" s="446"/>
      <c r="H4" s="446"/>
    </row>
    <row r="5" spans="1:8" ht="12.75">
      <c r="A5" s="447" t="s">
        <v>798</v>
      </c>
      <c r="B5" s="447"/>
      <c r="C5" s="447"/>
      <c r="D5" s="447"/>
      <c r="E5" s="447"/>
      <c r="F5" s="447"/>
      <c r="G5" s="447"/>
      <c r="H5" s="447"/>
    </row>
    <row r="6" spans="1:8" ht="12.75">
      <c r="A6" s="209"/>
      <c r="B6" s="209"/>
      <c r="C6" s="209"/>
      <c r="D6" s="209"/>
      <c r="E6" s="209"/>
      <c r="F6" s="210"/>
      <c r="G6" s="211"/>
      <c r="H6" s="211"/>
    </row>
    <row r="7" spans="1:8" ht="12.75">
      <c r="A7" s="442" t="s">
        <v>2</v>
      </c>
      <c r="B7" s="442"/>
      <c r="C7" s="212"/>
      <c r="D7" s="437" t="s">
        <v>830</v>
      </c>
      <c r="E7" s="437"/>
      <c r="F7" s="437"/>
      <c r="G7" s="437"/>
      <c r="H7" s="212"/>
    </row>
    <row r="8" spans="1:8" ht="12.75">
      <c r="A8" s="441" t="s">
        <v>40</v>
      </c>
      <c r="B8" s="441"/>
      <c r="C8" s="212"/>
      <c r="D8" s="439" t="s">
        <v>831</v>
      </c>
      <c r="E8" s="439"/>
      <c r="F8" s="439"/>
      <c r="G8" s="439"/>
      <c r="H8" s="212"/>
    </row>
    <row r="9" spans="1:8" ht="18" customHeight="1">
      <c r="A9" s="442" t="s">
        <v>3</v>
      </c>
      <c r="B9" s="442"/>
      <c r="C9" s="212"/>
      <c r="D9" s="437" t="s">
        <v>751</v>
      </c>
      <c r="E9" s="437"/>
      <c r="F9" s="437"/>
      <c r="G9" s="437"/>
      <c r="H9" s="212"/>
    </row>
    <row r="10" spans="1:8" ht="18" customHeight="1">
      <c r="A10" s="443" t="s">
        <v>4</v>
      </c>
      <c r="B10" s="443"/>
      <c r="C10" s="212"/>
      <c r="D10" s="439" t="s">
        <v>752</v>
      </c>
      <c r="E10" s="439"/>
      <c r="F10" s="439"/>
      <c r="G10" s="439"/>
      <c r="H10" s="212"/>
    </row>
    <row r="11" spans="1:8" ht="30" customHeight="1">
      <c r="A11" s="436" t="s">
        <v>795</v>
      </c>
      <c r="B11" s="436"/>
      <c r="C11" s="212"/>
      <c r="D11" s="437" t="s">
        <v>963</v>
      </c>
      <c r="E11" s="437"/>
      <c r="F11" s="437"/>
      <c r="G11" s="437"/>
      <c r="H11" s="212"/>
    </row>
    <row r="12" spans="1:8" ht="30" customHeight="1">
      <c r="A12" s="438" t="s">
        <v>559</v>
      </c>
      <c r="B12" s="438"/>
      <c r="C12" s="212"/>
      <c r="D12" s="439" t="s">
        <v>964</v>
      </c>
      <c r="E12" s="439"/>
      <c r="F12" s="439"/>
      <c r="G12" s="439"/>
      <c r="H12" s="212"/>
    </row>
    <row r="13" spans="1:8" ht="18" customHeight="1">
      <c r="A13" s="437" t="s">
        <v>7</v>
      </c>
      <c r="B13" s="437"/>
      <c r="C13" s="212"/>
      <c r="D13" s="440" t="s">
        <v>979</v>
      </c>
      <c r="E13" s="440"/>
      <c r="F13" s="440"/>
      <c r="G13" s="440"/>
      <c r="H13" s="212"/>
    </row>
    <row r="14" spans="1:8" ht="18" customHeight="1">
      <c r="A14" s="426" t="s">
        <v>8</v>
      </c>
      <c r="B14" s="426"/>
      <c r="D14" s="427" t="s">
        <v>980</v>
      </c>
      <c r="E14" s="428"/>
      <c r="F14" s="213"/>
      <c r="G14" s="213"/>
      <c r="H14" s="212"/>
    </row>
    <row r="15" spans="1:8" ht="18" customHeight="1">
      <c r="A15" s="214" t="s">
        <v>753</v>
      </c>
      <c r="B15" s="215" t="s">
        <v>754</v>
      </c>
      <c r="C15" s="216"/>
      <c r="D15" s="217"/>
      <c r="E15" s="217"/>
      <c r="F15" s="213"/>
      <c r="G15" s="213"/>
      <c r="H15" s="212"/>
    </row>
    <row r="16" spans="1:8" ht="18" customHeight="1">
      <c r="A16" s="214" t="s">
        <v>56</v>
      </c>
      <c r="B16" s="215" t="s">
        <v>755</v>
      </c>
      <c r="C16" s="218"/>
      <c r="D16" s="217"/>
      <c r="E16" s="217"/>
      <c r="F16" s="213"/>
      <c r="G16" s="213"/>
      <c r="H16" s="212"/>
    </row>
    <row r="17" spans="1:10" s="219" customFormat="1" ht="38.1" customHeight="1">
      <c r="A17" s="429" t="s">
        <v>756</v>
      </c>
      <c r="B17" s="429" t="s">
        <v>757</v>
      </c>
      <c r="C17" s="429" t="s">
        <v>758</v>
      </c>
      <c r="D17" s="431" t="s">
        <v>976</v>
      </c>
      <c r="E17" s="432"/>
      <c r="F17" s="433"/>
      <c r="G17" s="423" t="s">
        <v>977</v>
      </c>
      <c r="H17" s="423" t="s">
        <v>978</v>
      </c>
    </row>
    <row r="18" spans="1:10" s="219" customFormat="1" ht="150" customHeight="1">
      <c r="A18" s="430"/>
      <c r="B18" s="430"/>
      <c r="C18" s="430"/>
      <c r="D18" s="220" t="s">
        <v>759</v>
      </c>
      <c r="E18" s="220" t="s">
        <v>797</v>
      </c>
      <c r="F18" s="220" t="s">
        <v>760</v>
      </c>
      <c r="G18" s="424"/>
      <c r="H18" s="424"/>
    </row>
    <row r="19" spans="1:10" s="219" customFormat="1" ht="35.25" customHeight="1">
      <c r="A19" s="221" t="s">
        <v>761</v>
      </c>
      <c r="B19" s="221" t="s">
        <v>762</v>
      </c>
      <c r="C19" s="221" t="s">
        <v>763</v>
      </c>
      <c r="D19" s="222" t="s">
        <v>764</v>
      </c>
      <c r="E19" s="222" t="s">
        <v>765</v>
      </c>
      <c r="F19" s="222" t="s">
        <v>766</v>
      </c>
      <c r="G19" s="223" t="s">
        <v>767</v>
      </c>
      <c r="H19" s="223" t="s">
        <v>768</v>
      </c>
    </row>
    <row r="20" spans="1:10" s="219" customFormat="1" ht="54" customHeight="1">
      <c r="A20" s="224">
        <v>1</v>
      </c>
      <c r="B20" s="323" t="s">
        <v>775</v>
      </c>
      <c r="C20" s="324" t="s">
        <v>770</v>
      </c>
      <c r="D20" s="325">
        <v>332483330000</v>
      </c>
      <c r="E20" s="325">
        <f>$D$28</f>
        <v>3084134902420</v>
      </c>
      <c r="F20" s="326">
        <v>0.10780000000000001</v>
      </c>
      <c r="G20" s="326">
        <v>1.5000001068259884E-3</v>
      </c>
      <c r="H20" s="327" t="s">
        <v>968</v>
      </c>
    </row>
    <row r="21" spans="1:10" s="219" customFormat="1" ht="54" customHeight="1">
      <c r="A21" s="224">
        <v>2</v>
      </c>
      <c r="B21" s="323" t="s">
        <v>776</v>
      </c>
      <c r="C21" s="324" t="s">
        <v>772</v>
      </c>
      <c r="D21" s="325">
        <v>640756629600</v>
      </c>
      <c r="E21" s="325">
        <f t="shared" ref="E21:E27" si="0">$D$28</f>
        <v>3084134902420</v>
      </c>
      <c r="F21" s="326">
        <v>0.20780000000000001</v>
      </c>
      <c r="G21" s="326">
        <v>1.5E-3</v>
      </c>
      <c r="H21" s="327" t="s">
        <v>968</v>
      </c>
    </row>
    <row r="22" spans="1:10" s="219" customFormat="1" ht="54" customHeight="1">
      <c r="A22" s="224">
        <v>3</v>
      </c>
      <c r="B22" s="323" t="s">
        <v>769</v>
      </c>
      <c r="C22" s="324" t="s">
        <v>772</v>
      </c>
      <c r="D22" s="325">
        <v>845870380000</v>
      </c>
      <c r="E22" s="325">
        <f t="shared" si="0"/>
        <v>3084134902420</v>
      </c>
      <c r="F22" s="326">
        <v>0.27429999999999999</v>
      </c>
      <c r="G22" s="326">
        <v>1.5000003004807584E-3</v>
      </c>
      <c r="H22" s="327" t="s">
        <v>968</v>
      </c>
    </row>
    <row r="23" spans="1:10" s="219" customFormat="1" ht="54" customHeight="1">
      <c r="A23" s="224">
        <v>4</v>
      </c>
      <c r="B23" s="323" t="s">
        <v>777</v>
      </c>
      <c r="C23" s="324" t="s">
        <v>772</v>
      </c>
      <c r="D23" s="325">
        <v>308228730000</v>
      </c>
      <c r="E23" s="325">
        <f t="shared" si="0"/>
        <v>3084134902420</v>
      </c>
      <c r="F23" s="326">
        <v>9.9900000000000003E-2</v>
      </c>
      <c r="G23" s="326">
        <v>1.4999999617054034E-3</v>
      </c>
      <c r="H23" s="327" t="s">
        <v>968</v>
      </c>
    </row>
    <row r="24" spans="1:10" s="219" customFormat="1" ht="54" customHeight="1">
      <c r="A24" s="224">
        <v>5</v>
      </c>
      <c r="B24" s="323" t="s">
        <v>773</v>
      </c>
      <c r="C24" s="324" t="s">
        <v>770</v>
      </c>
      <c r="D24" s="325">
        <v>403522155000</v>
      </c>
      <c r="E24" s="325">
        <f t="shared" si="0"/>
        <v>3084134902420</v>
      </c>
      <c r="F24" s="326">
        <v>0.1308</v>
      </c>
      <c r="G24" s="326">
        <v>1.5000000103828728E-3</v>
      </c>
      <c r="H24" s="327" t="s">
        <v>968</v>
      </c>
    </row>
    <row r="25" spans="1:10" s="219" customFormat="1" ht="54" customHeight="1">
      <c r="A25" s="224">
        <v>6</v>
      </c>
      <c r="B25" s="323" t="s">
        <v>771</v>
      </c>
      <c r="C25" s="324" t="s">
        <v>770</v>
      </c>
      <c r="D25" s="325">
        <v>463223395000</v>
      </c>
      <c r="E25" s="325">
        <f t="shared" si="0"/>
        <v>3084134902420</v>
      </c>
      <c r="F25" s="326">
        <v>0.1502</v>
      </c>
      <c r="G25" s="326">
        <v>6.9999999999999999E-4</v>
      </c>
      <c r="H25" s="327" t="s">
        <v>968</v>
      </c>
    </row>
    <row r="26" spans="1:10" s="219" customFormat="1" ht="54" customHeight="1">
      <c r="A26" s="224">
        <v>7</v>
      </c>
      <c r="B26" s="323" t="s">
        <v>982</v>
      </c>
      <c r="C26" s="324" t="s">
        <v>770</v>
      </c>
      <c r="D26" s="325">
        <v>90000000000</v>
      </c>
      <c r="E26" s="325">
        <f t="shared" si="0"/>
        <v>3084134902420</v>
      </c>
      <c r="F26" s="326">
        <v>2.92E-2</v>
      </c>
      <c r="G26" s="326"/>
      <c r="H26" s="326"/>
    </row>
    <row r="27" spans="1:10" s="219" customFormat="1" ht="54" customHeight="1">
      <c r="A27" s="224">
        <v>8</v>
      </c>
      <c r="B27" s="323" t="s">
        <v>983</v>
      </c>
      <c r="C27" s="324" t="s">
        <v>770</v>
      </c>
      <c r="D27" s="336">
        <v>50282820</v>
      </c>
      <c r="E27" s="325">
        <f t="shared" si="0"/>
        <v>3084134902420</v>
      </c>
      <c r="F27" s="326">
        <v>1.6303703174768731E-5</v>
      </c>
      <c r="G27" s="326"/>
      <c r="H27" s="326"/>
      <c r="I27" s="328"/>
      <c r="J27" s="338"/>
    </row>
    <row r="28" spans="1:10" s="219" customFormat="1" ht="30" customHeight="1">
      <c r="A28" s="225" t="s">
        <v>774</v>
      </c>
      <c r="B28" s="226"/>
      <c r="C28" s="226"/>
      <c r="D28" s="227">
        <f>SUM(D20:D27)</f>
        <v>3084134902420</v>
      </c>
      <c r="E28" s="227"/>
      <c r="F28" s="228">
        <f>SUM(F20:F27)</f>
        <v>1.0000163037031748</v>
      </c>
      <c r="G28" s="227"/>
      <c r="H28" s="227"/>
    </row>
    <row r="29" spans="1:10" s="219" customFormat="1" ht="12.75">
      <c r="A29" s="218"/>
      <c r="B29" s="218"/>
      <c r="C29" s="218"/>
      <c r="D29" s="229"/>
      <c r="E29" s="229"/>
      <c r="F29" s="229"/>
      <c r="G29" s="229"/>
      <c r="H29" s="229"/>
    </row>
    <row r="30" spans="1:10" s="335" customFormat="1" ht="51" customHeight="1">
      <c r="A30" s="434" t="s">
        <v>965</v>
      </c>
      <c r="B30" s="435"/>
      <c r="C30" s="435"/>
      <c r="D30" s="435"/>
      <c r="E30" s="435"/>
      <c r="F30" s="435"/>
      <c r="G30" s="435"/>
      <c r="H30" s="435"/>
    </row>
    <row r="31" spans="1:10" s="219" customFormat="1" ht="12.75">
      <c r="A31" s="425" t="s">
        <v>796</v>
      </c>
      <c r="B31" s="425"/>
      <c r="C31" s="218"/>
      <c r="D31" s="229"/>
      <c r="E31" s="229"/>
      <c r="F31" s="229"/>
      <c r="G31" s="229"/>
      <c r="H31" s="229"/>
    </row>
    <row r="32" spans="1:10" s="219" customFormat="1" ht="12.75">
      <c r="A32" s="230" t="s">
        <v>966</v>
      </c>
      <c r="B32" s="231"/>
      <c r="C32" s="218"/>
      <c r="D32" s="229"/>
      <c r="E32" s="229"/>
      <c r="F32" s="229"/>
      <c r="G32" s="229"/>
      <c r="H32" s="229"/>
    </row>
    <row r="33" spans="1:8" s="219" customFormat="1" ht="12.75">
      <c r="A33" s="230" t="s">
        <v>967</v>
      </c>
      <c r="B33" s="231"/>
      <c r="C33" s="232"/>
      <c r="D33" s="233"/>
      <c r="E33" s="218"/>
      <c r="F33" s="233"/>
      <c r="G33" s="233"/>
      <c r="H33" s="233"/>
    </row>
    <row r="34" spans="1:8" s="219" customFormat="1" ht="12.75">
      <c r="A34" s="230"/>
      <c r="B34" s="231"/>
      <c r="C34" s="232"/>
      <c r="D34" s="233"/>
      <c r="E34" s="218"/>
      <c r="F34" s="233"/>
      <c r="G34" s="233"/>
      <c r="H34" s="233"/>
    </row>
    <row r="35" spans="1:8" s="219" customFormat="1" ht="12.75">
      <c r="A35" s="234" t="s">
        <v>10</v>
      </c>
      <c r="B35" s="218"/>
      <c r="C35" s="232"/>
      <c r="D35" s="233"/>
      <c r="E35" s="235" t="s">
        <v>11</v>
      </c>
      <c r="F35" s="233"/>
      <c r="G35" s="233"/>
      <c r="H35" s="233"/>
    </row>
    <row r="36" spans="1:8" ht="15">
      <c r="A36" s="236" t="s">
        <v>12</v>
      </c>
      <c r="B36" s="218"/>
      <c r="C36" s="232"/>
      <c r="D36" s="237"/>
      <c r="E36" s="238" t="s">
        <v>13</v>
      </c>
      <c r="F36" s="237"/>
      <c r="G36" s="237"/>
      <c r="H36" s="237"/>
    </row>
    <row r="37" spans="1:8" ht="60" customHeight="1">
      <c r="A37" s="239"/>
      <c r="B37" s="218"/>
      <c r="C37" s="232"/>
      <c r="D37" s="237"/>
      <c r="E37" s="232"/>
      <c r="F37" s="237"/>
      <c r="G37" s="237"/>
      <c r="H37" s="237"/>
    </row>
    <row r="38" spans="1:8" ht="15">
      <c r="A38" s="239"/>
      <c r="B38" s="218"/>
      <c r="C38" s="232"/>
      <c r="D38" s="237"/>
      <c r="E38" s="232"/>
      <c r="F38" s="237"/>
      <c r="G38" s="237"/>
      <c r="H38" s="237"/>
    </row>
    <row r="39" spans="1:8" ht="15">
      <c r="A39" s="239"/>
      <c r="B39" s="239"/>
      <c r="C39" s="232"/>
      <c r="D39" s="237"/>
      <c r="E39" s="232"/>
      <c r="F39" s="237"/>
      <c r="G39" s="237"/>
      <c r="H39" s="237"/>
    </row>
    <row r="40" spans="1:8" ht="15">
      <c r="A40" s="240"/>
      <c r="B40" s="240"/>
      <c r="C40" s="232"/>
      <c r="D40" s="237"/>
      <c r="E40" s="241"/>
      <c r="F40" s="242"/>
      <c r="G40" s="242"/>
      <c r="H40" s="242"/>
    </row>
    <row r="41" spans="1:8" ht="15">
      <c r="A41" s="234" t="s">
        <v>14</v>
      </c>
      <c r="B41" s="218"/>
      <c r="C41" s="232"/>
      <c r="D41" s="237"/>
      <c r="E41" s="235" t="s">
        <v>742</v>
      </c>
      <c r="F41" s="237"/>
      <c r="G41" s="237"/>
      <c r="H41" s="237"/>
    </row>
    <row r="42" spans="1:8" ht="15">
      <c r="A42" s="234" t="s">
        <v>745</v>
      </c>
      <c r="B42" s="218"/>
      <c r="C42" s="232"/>
      <c r="D42" s="237"/>
      <c r="E42" s="235" t="s">
        <v>746</v>
      </c>
      <c r="F42" s="237"/>
      <c r="G42" s="237"/>
      <c r="H42" s="237"/>
    </row>
    <row r="43" spans="1:8" ht="15">
      <c r="A43" s="243" t="s">
        <v>747</v>
      </c>
      <c r="B43" s="218"/>
      <c r="C43" s="232"/>
      <c r="D43" s="237"/>
      <c r="E43" s="232" t="s">
        <v>826</v>
      </c>
      <c r="F43" s="237"/>
      <c r="G43" s="237"/>
      <c r="H43" s="237"/>
    </row>
    <row r="44" spans="1:8">
      <c r="A44" s="212"/>
      <c r="B44" s="212"/>
      <c r="C44" s="212"/>
      <c r="D44" s="211"/>
      <c r="E44" s="211"/>
      <c r="F44" s="211"/>
      <c r="G44" s="211"/>
      <c r="H44" s="211"/>
    </row>
    <row r="45" spans="1:8">
      <c r="B45" s="212"/>
      <c r="C45" s="212"/>
      <c r="D45" s="211"/>
      <c r="E45" s="211"/>
      <c r="F45" s="211"/>
      <c r="G45" s="211"/>
      <c r="H45" s="211"/>
    </row>
    <row r="46" spans="1:8">
      <c r="B46" s="212"/>
      <c r="C46" s="212"/>
      <c r="D46" s="211"/>
      <c r="E46" s="211"/>
      <c r="F46" s="211"/>
      <c r="G46" s="211"/>
      <c r="H46" s="211"/>
    </row>
    <row r="47" spans="1:8">
      <c r="B47" s="212"/>
      <c r="C47" s="212"/>
      <c r="D47" s="211"/>
      <c r="E47" s="211"/>
      <c r="F47" s="211"/>
      <c r="G47" s="211"/>
      <c r="H47" s="211"/>
    </row>
    <row r="48" spans="1:8">
      <c r="B48" s="212"/>
      <c r="C48" s="212"/>
      <c r="D48" s="211"/>
      <c r="E48" s="211"/>
      <c r="F48" s="211"/>
      <c r="G48" s="211"/>
      <c r="H48" s="211"/>
    </row>
    <row r="83" ht="9" customHeight="1"/>
  </sheetData>
  <mergeCells count="28">
    <mergeCell ref="A1:H1"/>
    <mergeCell ref="A2:H2"/>
    <mergeCell ref="A3:H4"/>
    <mergeCell ref="A5:H5"/>
    <mergeCell ref="A7:B7"/>
    <mergeCell ref="D7:G7"/>
    <mergeCell ref="A8:B8"/>
    <mergeCell ref="D8:G8"/>
    <mergeCell ref="A9:B9"/>
    <mergeCell ref="D9:G9"/>
    <mergeCell ref="A10:B10"/>
    <mergeCell ref="D10:G10"/>
    <mergeCell ref="A11:B11"/>
    <mergeCell ref="D11:G11"/>
    <mergeCell ref="A12:B12"/>
    <mergeCell ref="D12:G12"/>
    <mergeCell ref="A13:B13"/>
    <mergeCell ref="D13:G13"/>
    <mergeCell ref="G17:G18"/>
    <mergeCell ref="H17:H18"/>
    <mergeCell ref="A31:B31"/>
    <mergeCell ref="A14:B14"/>
    <mergeCell ref="D14:E14"/>
    <mergeCell ref="A17:A18"/>
    <mergeCell ref="B17:B18"/>
    <mergeCell ref="C17:C18"/>
    <mergeCell ref="D17:F17"/>
    <mergeCell ref="A30:H30"/>
  </mergeCells>
  <printOptions horizontalCentered="1"/>
  <pageMargins left="0.32" right="0.17" top="0.36" bottom="0.25" header="0.3" footer="0.17"/>
  <pageSetup paperSize="9" scale="62"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RCpYu2fSYw0Qt1kLoFjk2PhlPaQ=</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zMqegNxuv0xSc9qaYwbQw4OtOnE=</DigestValue>
    </Reference>
  </SignedInfo>
  <SignatureValue>2pZbEb7+KrgFwPyVcshUkr16pOJytS6LNSPEkig9AT6qtLLrhNKu/OopDcoJnA2KisEtu7efniOp
FmOrXOAI4m7EexUF+6TMGSHA7Z/TS+KOp0TJTjVSqdJDnUHVfSoiJ29j1GYOUF0CE5zM1Z0U9Ijq
gpEVNXDCtaxKqbwNx2k=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X8a/1M0dY64P/+ovo7iVWyqxcfw=</DigestValue>
      </Reference>
      <Reference URI="/xl/calcChain.xml?ContentType=application/vnd.openxmlformats-officedocument.spreadsheetml.calcChain+xml">
        <DigestMethod Algorithm="http://www.w3.org/2000/09/xmldsig#sha1"/>
        <DigestValue>QK6B/p6LDXFA9sGltHhIUu6L3P8=</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BRobFDaGqY//hTIoYIgKubslAG4=</DigestValue>
      </Reference>
      <Reference URI="/xl/drawings/drawing10.xml?ContentType=application/vnd.openxmlformats-officedocument.drawing+xml">
        <DigestMethod Algorithm="http://www.w3.org/2000/09/xmldsig#sha1"/>
        <DigestValue>JB+omQHQZ7VZVYIPX7+W4EFn+dI=</DigestValue>
      </Reference>
      <Reference URI="/xl/drawings/drawing11.xml?ContentType=application/vnd.openxmlformats-officedocument.drawing+xml">
        <DigestMethod Algorithm="http://www.w3.org/2000/09/xmldsig#sha1"/>
        <DigestValue>BHr7BQSaptEUX98P65v8JSLKcDc=</DigestValue>
      </Reference>
      <Reference URI="/xl/drawings/drawing2.xml?ContentType=application/vnd.openxmlformats-officedocument.drawing+xml">
        <DigestMethod Algorithm="http://www.w3.org/2000/09/xmldsig#sha1"/>
        <DigestValue>skV1sveSwYMwLPWjobnsWyNN4yQ=</DigestValue>
      </Reference>
      <Reference URI="/xl/drawings/drawing3.xml?ContentType=application/vnd.openxmlformats-officedocument.drawing+xml">
        <DigestMethod Algorithm="http://www.w3.org/2000/09/xmldsig#sha1"/>
        <DigestValue>YdjFcYqYmBPFtBDhGL3+38fAV2I=</DigestValue>
      </Reference>
      <Reference URI="/xl/drawings/drawing4.xml?ContentType=application/vnd.openxmlformats-officedocument.drawing+xml">
        <DigestMethod Algorithm="http://www.w3.org/2000/09/xmldsig#sha1"/>
        <DigestValue>a2Yvh5sfI9bRgxGil6jPM9u502o=</DigestValue>
      </Reference>
      <Reference URI="/xl/drawings/drawing5.xml?ContentType=application/vnd.openxmlformats-officedocument.drawing+xml">
        <DigestMethod Algorithm="http://www.w3.org/2000/09/xmldsig#sha1"/>
        <DigestValue>qZn64Igb04jfh32ybm517Q3In5o=</DigestValue>
      </Reference>
      <Reference URI="/xl/drawings/drawing6.xml?ContentType=application/vnd.openxmlformats-officedocument.drawing+xml">
        <DigestMethod Algorithm="http://www.w3.org/2000/09/xmldsig#sha1"/>
        <DigestValue>4QtXGkyBj3f/hxnnvBcAV5z9XKE=</DigestValue>
      </Reference>
      <Reference URI="/xl/drawings/drawing7.xml?ContentType=application/vnd.openxmlformats-officedocument.drawing+xml">
        <DigestMethod Algorithm="http://www.w3.org/2000/09/xmldsig#sha1"/>
        <DigestValue>J34hFdWoFyEclEHwWr8I0VmxEO8=</DigestValue>
      </Reference>
      <Reference URI="/xl/drawings/drawing8.xml?ContentType=application/vnd.openxmlformats-officedocument.drawing+xml">
        <DigestMethod Algorithm="http://www.w3.org/2000/09/xmldsig#sha1"/>
        <DigestValue>dkuxZre2O+z2BmTr/tUIrupAKiA=</DigestValue>
      </Reference>
      <Reference URI="/xl/drawings/drawing9.xml?ContentType=application/vnd.openxmlformats-officedocument.drawing+xml">
        <DigestMethod Algorithm="http://www.w3.org/2000/09/xmldsig#sha1"/>
        <DigestValue>RZ/9fz+Fl0AdhEZOv6ETiIb1COA=</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2r+o+uXnplnUL/veLBQqi0AGHGE=</DigestValue>
      </Reference>
      <Reference URI="/xl/media/image3.jpeg?ContentType=image/jpeg">
        <DigestMethod Algorithm="http://www.w3.org/2000/09/xmldsig#sha1"/>
        <DigestValue>XZj4X9KBp2CTV4g1G3ATXHvjcOE=</DigestValue>
      </Reference>
      <Reference URI="/xl/media/image4.jpeg?ContentType=image/jpeg">
        <DigestMethod Algorithm="http://www.w3.org/2000/09/xmldsig#sha1"/>
        <DigestValue>CbqzECjDW20BwzYYwuFCss0BYgg=</DigestValue>
      </Reference>
      <Reference URI="/xl/media/image5.jpeg?ContentType=image/jpeg">
        <DigestMethod Algorithm="http://www.w3.org/2000/09/xmldsig#sha1"/>
        <DigestValue>y1wrdGNtn+lRpAigd4HbtMz/pv0=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QGnm/Jt/MyIECaMOuqEh2rDX4ic=</DigestValue>
      </Reference>
      <Reference URI="/xl/printerSettings/printerSettings11.bin?ContentType=application/vnd.openxmlformats-officedocument.spreadsheetml.printerSettings">
        <DigestMethod Algorithm="http://www.w3.org/2000/09/xmldsig#sha1"/>
        <DigestValue>t71+vZj1s+FLRygP6twJuQy9DVw=</DigestValue>
      </Reference>
      <Reference URI="/xl/printerSettings/printerSettings12.bin?ContentType=application/vnd.openxmlformats-officedocument.spreadsheetml.printerSettings">
        <DigestMethod Algorithm="http://www.w3.org/2000/09/xmldsig#sha1"/>
        <DigestValue>t71+vZj1s+FLRygP6twJuQy9DVw=</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04WOmhh5ZzSEi6RCb1uTGtnE+xU=</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dquqh0Nq2t2I+uMGbG222Khnp8c=</DigestValue>
      </Reference>
      <Reference URI="/xl/styles.xml?ContentType=application/vnd.openxmlformats-officedocument.spreadsheetml.styles+xml">
        <DigestMethod Algorithm="http://www.w3.org/2000/09/xmldsig#sha1"/>
        <DigestValue>vzNyEaiD2Z8fTu7ZI0rPoAA/Wmg=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sz4tki4Ve6ty0Oy8C/UTUIMo2JY=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Gh6Qt25fDWsEeuIlcT1xrmosXEo=</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VhQmeaQ5zw4/sled3Y9Td1rePRk=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goslKGmE3dopyB72ilZU0UJySHc=</DigestValue>
      </Reference>
      <Reference URI="/xl/worksheets/sheet10.xml?ContentType=application/vnd.openxmlformats-officedocument.spreadsheetml.worksheet+xml">
        <DigestMethod Algorithm="http://www.w3.org/2000/09/xmldsig#sha1"/>
        <DigestValue>Drt98sU+H8ZUv/XaQPMh7Xz4PEI=</DigestValue>
      </Reference>
      <Reference URI="/xl/worksheets/sheet11.xml?ContentType=application/vnd.openxmlformats-officedocument.spreadsheetml.worksheet+xml">
        <DigestMethod Algorithm="http://www.w3.org/2000/09/xmldsig#sha1"/>
        <DigestValue>qlqvQzzlE/ypAgzN+3ZxM5+xEY4=</DigestValue>
      </Reference>
      <Reference URI="/xl/worksheets/sheet12.xml?ContentType=application/vnd.openxmlformats-officedocument.spreadsheetml.worksheet+xml">
        <DigestMethod Algorithm="http://www.w3.org/2000/09/xmldsig#sha1"/>
        <DigestValue>jo3hi5fWp6jHSV27Uq8Q6Qc45Ls=</DigestValue>
      </Reference>
      <Reference URI="/xl/worksheets/sheet2.xml?ContentType=application/vnd.openxmlformats-officedocument.spreadsheetml.worksheet+xml">
        <DigestMethod Algorithm="http://www.w3.org/2000/09/xmldsig#sha1"/>
        <DigestValue>6k8AKNaOVGeyXVjZImsbw8+mpX4=</DigestValue>
      </Reference>
      <Reference URI="/xl/worksheets/sheet3.xml?ContentType=application/vnd.openxmlformats-officedocument.spreadsheetml.worksheet+xml">
        <DigestMethod Algorithm="http://www.w3.org/2000/09/xmldsig#sha1"/>
        <DigestValue>ms+839Y1Byr6dXLSKvWmsrNrq40=</DigestValue>
      </Reference>
      <Reference URI="/xl/worksheets/sheet4.xml?ContentType=application/vnd.openxmlformats-officedocument.spreadsheetml.worksheet+xml">
        <DigestMethod Algorithm="http://www.w3.org/2000/09/xmldsig#sha1"/>
        <DigestValue>XRxBZvURXdd+VraExZarOyCYWOo=</DigestValue>
      </Reference>
      <Reference URI="/xl/worksheets/sheet5.xml?ContentType=application/vnd.openxmlformats-officedocument.spreadsheetml.worksheet+xml">
        <DigestMethod Algorithm="http://www.w3.org/2000/09/xmldsig#sha1"/>
        <DigestValue>f6iJse0ANyXVh3zaa8jadH4Mtjg=</DigestValue>
      </Reference>
      <Reference URI="/xl/worksheets/sheet6.xml?ContentType=application/vnd.openxmlformats-officedocument.spreadsheetml.worksheet+xml">
        <DigestMethod Algorithm="http://www.w3.org/2000/09/xmldsig#sha1"/>
        <DigestValue>EvIe0UIx7IeHG+V4xDqisl0esvk=</DigestValue>
      </Reference>
      <Reference URI="/xl/worksheets/sheet7.xml?ContentType=application/vnd.openxmlformats-officedocument.spreadsheetml.worksheet+xml">
        <DigestMethod Algorithm="http://www.w3.org/2000/09/xmldsig#sha1"/>
        <DigestValue>R1Icd7uAZvc5JbJdRMQTAjagn0I=</DigestValue>
      </Reference>
      <Reference URI="/xl/worksheets/sheet8.xml?ContentType=application/vnd.openxmlformats-officedocument.spreadsheetml.worksheet+xml">
        <DigestMethod Algorithm="http://www.w3.org/2000/09/xmldsig#sha1"/>
        <DigestValue>hUrdzIErnzRyuccjjSYXQVI77JI=</DigestValue>
      </Reference>
      <Reference URI="/xl/worksheets/sheet9.xml?ContentType=application/vnd.openxmlformats-officedocument.spreadsheetml.worksheet+xml">
        <DigestMethod Algorithm="http://www.w3.org/2000/09/xmldsig#sha1"/>
        <DigestValue>uPCpmOOj+pErzuaVZDkoW34FtKg=</DigestValue>
      </Reference>
    </Manifest>
    <SignatureProperties>
      <SignatureProperty Id="idSignatureTime" Target="#idPackageSignature">
        <mdssi:SignatureTime xmlns:mdssi="http://schemas.openxmlformats.org/package/2006/digital-signature">
          <mdssi:Format>YYYY-MM-DDThh:mm:ssTZD</mdssi:Format>
          <mdssi:Value>2022-03-16T10:24:06Z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2022-03-16T10:24:06Z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20</vt:i4>
      </vt:variant>
    </vt:vector>
  </HeadingPairs>
  <TitlesOfParts>
    <vt:vector size="32" baseType="lpstr">
      <vt:lpstr>TONGQUAN</vt:lpstr>
      <vt:lpstr>BCthunhap</vt:lpstr>
      <vt:lpstr>BCtinhhinhtaichinh</vt:lpstr>
      <vt:lpstr>GiaTriTaiSanRong_06107</vt:lpstr>
      <vt:lpstr>BCDanhMucDauTu_06108</vt:lpstr>
      <vt:lpstr>BCLCGT_06262</vt:lpstr>
      <vt:lpstr>BCTaiSan_06027</vt:lpstr>
      <vt:lpstr>BCKetQuaHoatDong_06028</vt:lpstr>
      <vt:lpstr>BCDanhMucDauTu_06029</vt:lpstr>
      <vt:lpstr>BCHoatDongVay_06026</vt:lpstr>
      <vt:lpstr>Khac_06030</vt:lpstr>
      <vt:lpstr>Thong ke phi giao dich_06031</vt:lpstr>
      <vt:lpstr>BCDanhMucDauTu_06029!Print_Area</vt:lpstr>
      <vt:lpstr>BCDanhMucDauTu_06108!Print_Area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GiaTriTaiSanRong_06107!Print_Area</vt:lpstr>
      <vt:lpstr>Khac_06030!Print_Area</vt:lpstr>
      <vt:lpstr>'Thong ke phi giao dich_06031'!Print_Area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2020-01-10T08:38:16Z</cp:lastPrinted>
  <dcterms:created xsi:type="dcterms:W3CDTF">2019-03-13T13:30:00Z</dcterms:created>
  <dcterms:modified xsi:type="dcterms:W3CDTF">2022-03-16T09:57:44Z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2022-03-16T08:45:43.4008732Z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2222b35a-027e-4edb-948e-bce0f9e23e72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