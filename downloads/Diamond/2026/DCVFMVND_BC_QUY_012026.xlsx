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worksheets/sheet3.xml" ContentType="application/vnd.openxmlformats-officedocument.spreadsheetml.worksheet+xml"/>
  <Override PartName="/xl/drawings/drawing7.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Override PartName="/xl/drawings/drawing4.xml" ContentType="application/vnd.openxmlformats-officedocument.drawing+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240" yWindow="105" windowWidth="14805" windowHeight="8010" activeTab="1"/>
  </bookViews>
  <sheets>
    <sheet name="TONGQUAN" sheetId="18" r:id="rId1"/>
    <sheet name="BCTaiSan_06134" sheetId="11" r:id="rId2"/>
    <sheet name="BCKetQuaHoatDong_06135" sheetId="9" r:id="rId3"/>
    <sheet name="BCDanhMucDauTu_06136" sheetId="8" r:id="rId4"/>
    <sheet name="BCHDVay_GDMuaBanLai" sheetId="19" r:id="rId5"/>
    <sheet name="Khac_06137" sheetId="15" r:id="rId6"/>
    <sheet name="BCThuNhap_06203" sheetId="16" r:id="rId7"/>
    <sheet name="BCTinhHinhTaiChinh_06105" sheetId="14" r:id="rId8"/>
    <sheet name="GTTSRong_06107" sheetId="12" r:id="rId9"/>
    <sheet name="BCLCGT_06262" sheetId="17" r:id="rId10"/>
  </sheets>
  <externalReferences>
    <externalReference r:id="rId11"/>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4">BCHDVay_GDMuaBanLai!$A$1:$K$36</definedName>
    <definedName name="_xlnm.Print_Area" localSheetId="0">TONGQUAN!$A$1:$I$47</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62913"/>
</workbook>
</file>

<file path=xl/calcChain.xml><?xml version="1.0" encoding="utf-8"?>
<calcChain xmlns="http://schemas.openxmlformats.org/spreadsheetml/2006/main">
  <c r="C13" i="19" l="1"/>
  <c r="C12" i="12" l="1"/>
  <c r="C15" i="14"/>
  <c r="B15" i="16"/>
  <c r="C13" i="8"/>
  <c r="C13" i="9"/>
  <c r="C13" i="11"/>
  <c r="E13" i="18" l="1"/>
  <c r="D15" i="17" l="1"/>
  <c r="D13" i="15" l="1"/>
  <c r="E119" i="14" l="1"/>
  <c r="F115" i="14"/>
  <c r="E115" i="14"/>
  <c r="F111" i="14"/>
  <c r="E111" i="14"/>
  <c r="F89" i="14"/>
  <c r="F87" i="14" s="1"/>
  <c r="E89" i="14"/>
  <c r="E87" i="14" s="1"/>
  <c r="F77" i="14"/>
  <c r="E77" i="14"/>
  <c r="F56" i="14"/>
  <c r="E56" i="14"/>
  <c r="F50" i="14"/>
  <c r="E50" i="14"/>
  <c r="F28" i="14"/>
  <c r="F27" i="14" s="1"/>
  <c r="E28" i="14"/>
  <c r="E27" i="14" s="1"/>
  <c r="F20" i="14"/>
  <c r="F19" i="14" s="1"/>
  <c r="E20" i="14"/>
  <c r="E19" i="14" s="1"/>
  <c r="F42" i="14" l="1"/>
  <c r="F39" i="14" s="1"/>
  <c r="F66" i="14" s="1"/>
  <c r="F109" i="14"/>
  <c r="E109" i="14"/>
  <c r="E42" i="14"/>
  <c r="E39" i="14" s="1"/>
  <c r="E66" i="14" s="1"/>
  <c r="E110" i="14" l="1"/>
  <c r="F110" i="14"/>
</calcChain>
</file>

<file path=xl/sharedStrings.xml><?xml version="1.0" encoding="utf-8"?>
<sst xmlns="http://schemas.openxmlformats.org/spreadsheetml/2006/main" count="1564" uniqueCount="1156">
  <si>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</si>
  <si>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</si>
  <si>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</si>
  <si>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31 tháng 03 năm 2026 / As at 31 Mar 2026</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</si>
  <si>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</si>
  <si>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</si>
  <si>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</si>
  <si>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</si>
  <si>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</si>
  <si>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</si>
  <si>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</si>
  <si>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</si>
  <si>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</si>
  <si>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</si>
  <si>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</si>
  <si>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Tên 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</si>
  <si>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</si>
  <si>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</si>
  <si>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</si>
  <si>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</si>
  <si>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</si>
  <si>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</si>
  <si>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</si>
  <si>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</si>
  <si>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</si>
  <si>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</si>
  <si>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</si>
  <si>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</si>
  <si>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</si>
  <si>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</si>
  <si>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</si>
  <si>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</si>
  <si>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</si>
  <si>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</si>
  <si>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</si>
  <si>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</si>
  <si>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</si>
  <si>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</si>
  <si>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</si>
  <si>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BMP</t>
  </si>
  <si>
    <t>2246.2</t>
  </si>
  <si>
    <t>CTD</t>
  </si>
  <si>
    <t>2246.3</t>
  </si>
  <si>
    <t>CTG</t>
  </si>
  <si>
    <t>2246.4</t>
  </si>
  <si>
    <t>5</t>
  </si>
  <si>
    <t>FPT</t>
  </si>
  <si>
    <t>2246.5</t>
  </si>
  <si>
    <t>6</t>
  </si>
  <si>
    <t>GMD</t>
  </si>
  <si>
    <t>2246.6</t>
  </si>
  <si>
    <t>7</t>
  </si>
  <si>
    <t>HDB</t>
  </si>
  <si>
    <t>2246.7</t>
  </si>
  <si>
    <t>8</t>
  </si>
  <si>
    <t>KDH</t>
  </si>
  <si>
    <t>2246.8</t>
  </si>
  <si>
    <t>9</t>
  </si>
  <si>
    <t>MBB</t>
  </si>
  <si>
    <t>2246.9</t>
  </si>
  <si>
    <t>10</t>
  </si>
  <si>
    <t>MSB</t>
  </si>
  <si>
    <t>2246.10</t>
  </si>
  <si>
    <t>11</t>
  </si>
  <si>
    <t>MWG</t>
  </si>
  <si>
    <t>2246.11</t>
  </si>
  <si>
    <t>12</t>
  </si>
  <si>
    <t>NLG</t>
  </si>
  <si>
    <t>2246.12</t>
  </si>
  <si>
    <t>13</t>
  </si>
  <si>
    <t>OCB</t>
  </si>
  <si>
    <t>2246.13</t>
  </si>
  <si>
    <t>14</t>
  </si>
  <si>
    <t>PNJ</t>
  </si>
  <si>
    <t>2246.14</t>
  </si>
  <si>
    <t>15</t>
  </si>
  <si>
    <t>REE</t>
  </si>
  <si>
    <t>2246.15</t>
  </si>
  <si>
    <t>16</t>
  </si>
  <si>
    <t>TCB</t>
  </si>
  <si>
    <t>2246.16</t>
  </si>
  <si>
    <t>17</t>
  </si>
  <si>
    <t>TPB</t>
  </si>
  <si>
    <t>2246.17</t>
  </si>
  <si>
    <t>18</t>
  </si>
  <si>
    <t>VPB</t>
  </si>
  <si>
    <t>2246.18</t>
  </si>
  <si>
    <t>Tổng</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</si>
  <si>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</si>
  <si>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</si>
  <si>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</si>
  <si>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</si>
  <si>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</si>
  <si>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</si>
  <si>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</si>
  <si>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</si>
  <si>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</si>
  <si>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</si>
  <si>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</si>
  <si>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</si>
  <si>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</si>
  <si>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</si>
  <si>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</si>
  <si>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</si>
  <si>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</si>
  <si>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</si>
  <si>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</si>
  <si>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</si>
  <si>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</si>
  <si>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</si>
  <si>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</si>
  <si>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</si>
  <si>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</si>
  <si>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</si>
  <si>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</si>
  <si>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</si>
  <si>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</si>
  <si>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</si>
  <si>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</si>
  <si>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</si>
  <si>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</si>
  <si>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</si>
  <si>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</si>
  <si>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</si>
  <si>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</si>
  <si>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</si>
  <si>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</si>
  <si>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</si>
  <si>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</si>
  <si>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</si>
  <si>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</si>
  <si>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</si>
  <si>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</si>
  <si>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Trả trước phí kiểm toán 
Prepaid for audit fee</t>
  </si>
  <si>
    <t>2256.11</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</si>
  <si>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</si>
  <si>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</si>
  <si>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</si>
  <si>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</si>
  <si>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</si>
  <si>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</si>
  <si>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</si>
  <si>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</si>
  <si>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</si>
  <si>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</si>
  <si>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</si>
  <si>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</si>
  <si>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</si>
  <si>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</si>
  <si>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</si>
  <si>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</si>
  <si>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</si>
  <si>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</si>
  <si>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</si>
  <si>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</si>
  <si>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</si>
  <si>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</si>
  <si>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</si>
  <si>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</si>
  <si>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</si>
  <si>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</si>
  <si>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</si>
  <si>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</si>
  <si>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</si>
  <si>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</si>
  <si>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</si>
  <si>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</si>
  <si>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</si>
  <si>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</si>
  <si>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</si>
  <si>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</si>
  <si>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</si>
  <si>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</si>
  <si>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</si>
  <si>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</si>
  <si>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</si>
  <si>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Quý 1 năm 2026 / Quarter 1 of 2026</t>
  </si>
  <si>
    <t>Ngân hàng giám sát:</t>
  </si>
  <si>
    <t>A. BÁO CÁO CHUNG VỀ HOẠT ĐỘNG ĐẦU TƯ CỦA QUỸ/GENERAL INFOMATION ON FUND'S INVESTMENT ACTIVITIES</t>
  </si>
  <si>
    <t>II. BÁO CÁO KẾT QUẢ HOẠT ĐỘNG / PROFIT AND LOSS REPORT</t>
  </si>
  <si>
    <t>STT
No</t>
  </si>
  <si>
    <t>Chỉ tiêu
Indicators</t>
  </si>
  <si>
    <t>Quý 1 năm 2026
Quarter 1 of 2026</t>
  </si>
  <si>
    <t>Quý 4 năm 2025
Quarter 4 of 2025</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</si>
  <si>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</si>
  <si>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</si>
  <si>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</si>
  <si>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</si>
  <si>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</si>
  <si>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</si>
  <si>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</si>
  <si>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</si>
  <si>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</si>
  <si>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</si>
  <si>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</si>
  <si>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</si>
  <si>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</si>
  <si>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</si>
  <si>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</si>
  <si>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</si>
  <si>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</si>
  <si>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</si>
  <si>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</si>
  <si>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</si>
  <si>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</si>
  <si>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</si>
  <si>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</si>
  <si>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</si>
  <si>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</si>
  <si>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</si>
  <si>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</si>
  <si>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</si>
  <si>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</si>
  <si>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</si>
  <si>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</si>
  <si>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</si>
  <si>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</si>
  <si>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</si>
  <si>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</si>
  <si>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</si>
  <si>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</si>
  <si>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</si>
  <si>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</si>
  <si>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</si>
  <si>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</si>
  <si>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</si>
  <si>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</si>
  <si>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</si>
  <si>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</si>
  <si>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</si>
  <si>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</si>
  <si>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</si>
  <si>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</si>
  <si>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</si>
  <si>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</si>
  <si>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</si>
  <si>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</si>
  <si>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</si>
  <si>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</si>
  <si>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</si>
  <si>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</si>
  <si>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</si>
  <si>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</si>
  <si>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</si>
  <si>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</si>
  <si>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</si>
  <si>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</si>
  <si>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</si>
  <si>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</si>
  <si>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</si>
  <si>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</si>
  <si>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</si>
  <si>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</si>
  <si>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</si>
  <si>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</si>
  <si>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</si>
  <si>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</si>
  <si>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</si>
  <si>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</si>
  <si>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</si>
  <si>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</si>
  <si>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</si>
  <si>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</si>
  <si>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</si>
  <si>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</si>
  <si>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</si>
  <si>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</si>
  <si>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</si>
  <si>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</si>
  <si>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</si>
  <si>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</si>
  <si>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</si>
  <si>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</si>
  <si>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</si>
  <si>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</si>
  <si>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</si>
  <si>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</si>
  <si>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</si>
  <si>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</si>
  <si>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</si>
  <si>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</si>
  <si>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</si>
  <si>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chứng khoán bổ sung và/hoặc hủy đăng ký chứng khoán một phần trả VSD
Additional securities registration and/or partial securities deregistration paid to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</si>
  <si>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</si>
  <si>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</si>
  <si>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</si>
  <si>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</si>
  <si>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</si>
  <si>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</si>
  <si>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</si>
  <si>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</si>
  <si>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</si>
  <si>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</si>
  <si>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</si>
  <si>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</si>
  <si>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</si>
  <si>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</si>
  <si>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</si>
  <si>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</si>
  <si>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</si>
  <si>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</si>
  <si>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</si>
  <si>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</si>
  <si>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</si>
  <si>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</si>
  <si>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</si>
  <si>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</si>
  <si>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</si>
  <si>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</si>
  <si>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</si>
  <si>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</si>
  <si>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</si>
  <si>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</si>
  <si>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</si>
  <si>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</si>
  <si>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</si>
  <si>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</si>
  <si>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</si>
  <si>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</si>
  <si>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</si>
  <si>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</si>
  <si>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</si>
  <si>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</si>
  <si>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</si>
  <si>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</si>
  <si>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</si>
  <si>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</si>
  <si>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</si>
  <si>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</si>
  <si>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</si>
  <si>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</si>
  <si>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20</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</si>
  <si>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</si>
  <si>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</si>
  <si>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30</t>
  </si>
  <si>
    <t>Chi phí kiểm toán trả cho tổ chức kiểm toán (nếu phát sinh)/Giá trị tài sản ròng trung bình trong kỳ  (%)  
Audit fee expense over average NAV ratio (%)</t>
  </si>
  <si>
    <t>2267</t>
  </si>
  <si>
    <t>40</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</si>
  <si>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</si>
  <si>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</si>
  <si>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2268</t>
  </si>
  <si>
    <t>50</t>
  </si>
  <si>
    <t>Tỷ lệ chi phí/Giá trị tài sản ròng trung bình trong kỳ  (%)  
Operating expense over average NAV ratio (%)</t>
  </si>
  <si>
    <t>2269</t>
  </si>
  <si>
    <t>60</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</si>
  <si>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</si>
  <si>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</si>
  <si>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</si>
  <si>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</si>
  <si>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</si>
  <si>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</si>
  <si>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</si>
  <si>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</si>
  <si>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</si>
  <si>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</si>
  <si>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</si>
  <si>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</si>
  <si>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</si>
  <si>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</si>
  <si>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</si>
  <si>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</si>
  <si>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</si>
  <si>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</si>
  <si>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</si>
  <si>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</si>
  <si>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</si>
  <si>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</si>
  <si>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</si>
  <si>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</si>
  <si>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</si>
  <si>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</si>
  <si>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</si>
  <si>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</si>
  <si>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</si>
  <si>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</si>
  <si>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</si>
  <si>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</si>
  <si>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</si>
  <si>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</si>
  <si>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</si>
  <si>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</si>
  <si>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</si>
  <si>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</si>
  <si>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</si>
  <si>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</si>
  <si>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</si>
  <si>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</si>
  <si>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</si>
  <si>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</si>
  <si>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</si>
  <si>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BÁO CÁO HOẠT ĐỘNG ĐẦU TƯ
REPORT ON INVESTMENT ACTIVITIES</t>
  </si>
  <si>
    <t>Tên Quỹ:</t>
  </si>
  <si>
    <t>I. BÁO CÁO VỀ TÀI SẢN CỦA QUỸ/ ASSET REPORT</t>
  </si>
  <si>
    <t>Tại ngày 31 tháng 12  năm 2025 
As at 31 Dec 2025</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</si>
  <si>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</si>
  <si>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</si>
  <si>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</si>
  <si>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</si>
  <si>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</si>
  <si>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</si>
  <si>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</si>
  <si>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</si>
  <si>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</si>
  <si>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</si>
  <si>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</si>
  <si>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</si>
  <si>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</si>
  <si>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</si>
  <si>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</si>
  <si>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</si>
  <si>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</si>
  <si>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</si>
  <si>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</si>
  <si>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</si>
  <si>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</si>
  <si>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</si>
  <si>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</si>
  <si>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</si>
  <si>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</si>
  <si>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</si>
  <si>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</si>
  <si>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</si>
  <si>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</si>
  <si>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</si>
  <si>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</si>
  <si>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</si>
  <si>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</si>
  <si>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</si>
  <si>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</si>
  <si>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</si>
  <si>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</si>
  <si>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</si>
  <si>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</si>
  <si>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</si>
  <si>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</si>
  <si>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</si>
  <si>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</si>
  <si>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</si>
  <si>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</si>
  <si>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</si>
  <si>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</si>
  <si>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</si>
  <si>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</si>
  <si>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</si>
  <si>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</si>
  <si>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</si>
  <si>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</si>
  <si>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</si>
  <si>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</si>
  <si>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</si>
  <si>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</si>
  <si>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</si>
  <si>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</si>
  <si>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</si>
  <si>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</si>
  <si>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</si>
  <si>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</si>
  <si>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</si>
  <si>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</si>
  <si>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</si>
  <si>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</si>
  <si>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</si>
  <si>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</si>
  <si>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</si>
  <si>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</si>
  <si>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</si>
  <si>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</si>
  <si>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</si>
  <si>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</si>
  <si>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</si>
  <si>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</si>
  <si>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</si>
  <si>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</si>
  <si>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</si>
  <si>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</si>
  <si>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</si>
  <si>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</si>
  <si>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</si>
  <si>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</si>
  <si>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</si>
  <si>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</si>
  <si>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</si>
  <si>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</si>
  <si>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</si>
  <si>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</si>
  <si>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</si>
  <si>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</si>
  <si>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</si>
  <si>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</si>
  <si>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</si>
  <si>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</si>
  <si>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</si>
  <si>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</si>
  <si>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</si>
  <si>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</si>
  <si>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</si>
  <si>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</si>
  <si>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</si>
  <si>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</si>
  <si>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</si>
  <si>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</si>
  <si>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</si>
  <si>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</si>
  <si>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</si>
  <si>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</si>
  <si>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</si>
  <si>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</si>
  <si>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</si>
  <si>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</si>
  <si>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</si>
  <si>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</si>
  <si>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</si>
  <si>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</si>
  <si>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</si>
  <si>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</si>
  <si>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</si>
  <si>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</si>
  <si>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</si>
  <si>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</si>
  <si>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</si>
  <si>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</si>
  <si>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</si>
  <si>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</si>
  <si>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</si>
  <si>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</si>
  <si>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</si>
  <si>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</si>
  <si>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</si>
  <si>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</si>
  <si>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</si>
  <si>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</si>
  <si>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</si>
  <si>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</si>
  <si>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</si>
  <si>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</si>
  <si>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</si>
  <si>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</si>
  <si>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</si>
  <si>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</si>
  <si>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</si>
  <si>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</si>
  <si>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</si>
  <si>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</si>
  <si>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</si>
  <si>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</si>
  <si>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</si>
  <si>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</si>
  <si>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</si>
  <si>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</si>
  <si>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</si>
  <si>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</si>
  <si>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</si>
  <si>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</si>
  <si>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</si>
  <si>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</si>
  <si>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</si>
  <si>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</si>
  <si>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</si>
  <si>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</si>
  <si>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</si>
  <si>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</si>
  <si>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</si>
  <si>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</si>
  <si>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</si>
  <si>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</si>
  <si>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</si>
  <si>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</si>
  <si>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</si>
  <si>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</si>
  <si>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</si>
  <si>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</si>
  <si>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</si>
  <si>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</si>
  <si>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</si>
  <si>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</si>
  <si>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</si>
  <si>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</si>
  <si>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</si>
  <si>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</si>
  <si>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</si>
  <si>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</si>
  <si>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</si>
  <si>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</si>
  <si>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</si>
  <si>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</si>
  <si>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</si>
  <si>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</si>
  <si>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</si>
  <si>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</si>
  <si>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</si>
  <si>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</si>
  <si>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</si>
  <si>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</si>
  <si>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</si>
  <si>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</si>
  <si>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</si>
  <si>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</si>
  <si>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</si>
  <si>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</si>
  <si>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</si>
  <si>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</si>
  <si>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</si>
  <si>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</si>
  <si>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</si>
  <si>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</si>
  <si>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</si>
  <si>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</si>
  <si>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</si>
  <si>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</si>
  <si>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</si>
  <si>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</si>
  <si>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</si>
  <si>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</si>
  <si>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</si>
  <si>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Mẫu số B02 - ETF. Báo cáo tình hình tài chính
Template B02 - ETF. Statement of Financial Position</t>
  </si>
  <si>
    <t>BÁO CÁO TÌNH HÌNH TÀI CHÍNH
STATEMENT OF FINANCIAL POSITION</t>
  </si>
  <si>
    <t>CHỈ TIÊU
Indicators</t>
  </si>
  <si>
    <t>Mã số
Code</t>
  </si>
  <si>
    <t>Thuyết minh
Notes</t>
  </si>
  <si>
    <t>Tại ngày 31 tháng 12  năm 2025 
As at 31 Dec 2025</t>
  </si>
  <si>
    <t>Tại ngày 31 tháng 03  năm 2026 
As at 31 Mar 2026</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</si>
  <si>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</si>
  <si>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</si>
  <si>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</si>
  <si>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</si>
  <si>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</si>
  <si>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</si>
  <si>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</si>
  <si>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</si>
  <si>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</si>
  <si>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</si>
  <si>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</si>
  <si>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</si>
  <si>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</si>
  <si>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</si>
  <si>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</si>
  <si>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</si>
  <si>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</si>
  <si>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</si>
  <si>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</si>
  <si>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</si>
  <si>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</si>
  <si>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</si>
  <si>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</si>
  <si>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</si>
  <si>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</si>
  <si>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</si>
  <si>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</si>
  <si>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</si>
  <si>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</si>
  <si>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</si>
  <si>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</si>
  <si>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</si>
  <si>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</si>
  <si>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</si>
  <si>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</si>
  <si>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</si>
  <si>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</si>
  <si>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</si>
  <si>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</si>
  <si>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</si>
  <si>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</si>
  <si>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</si>
  <si>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</si>
  <si>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</si>
  <si>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</si>
  <si>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</si>
  <si>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</si>
  <si>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</si>
  <si>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</si>
  <si>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</si>
  <si>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</si>
  <si>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</si>
  <si>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</si>
  <si>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</si>
  <si>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</si>
  <si>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</si>
  <si>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</si>
  <si>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</si>
  <si>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</si>
  <si>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</si>
  <si>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</si>
  <si>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</si>
  <si>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</si>
  <si>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</si>
  <si>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</si>
  <si>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</si>
  <si>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</si>
  <si>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</si>
  <si>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</si>
  <si>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</si>
  <si>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</si>
  <si>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</si>
  <si>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</si>
  <si>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</si>
  <si>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</si>
  <si>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</si>
  <si>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</si>
  <si>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</si>
  <si>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</si>
  <si>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</si>
  <si>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</si>
  <si>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</si>
  <si>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</si>
  <si>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</si>
  <si>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</si>
  <si>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</si>
  <si>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</si>
  <si>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</si>
  <si>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</si>
  <si>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</si>
  <si>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</si>
  <si>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</si>
  <si>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</si>
  <si>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</si>
  <si>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</si>
  <si>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</si>
  <si>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</si>
  <si>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</si>
  <si>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</si>
  <si>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</si>
  <si>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</si>
  <si>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</si>
  <si>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</si>
  <si>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</si>
  <si>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</si>
  <si>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</si>
  <si>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</si>
  <si>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</si>
  <si>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</si>
  <si>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</si>
  <si>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</si>
  <si>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</si>
  <si>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</si>
  <si>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</si>
  <si>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</si>
  <si>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</si>
  <si>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</si>
  <si>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</si>
  <si>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</si>
  <si>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</si>
  <si>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</si>
  <si>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</si>
  <si>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</si>
  <si>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</si>
  <si>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</si>
  <si>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</si>
  <si>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</si>
  <si>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</si>
  <si>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</si>
  <si>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</si>
  <si>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</si>
  <si>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</si>
  <si>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</si>
  <si>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</si>
  <si>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</si>
  <si>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</si>
  <si>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</si>
  <si>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</si>
  <si>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</si>
  <si>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</si>
  <si>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</si>
  <si>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</si>
  <si>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</si>
  <si>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</si>
  <si>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</si>
  <si>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</si>
  <si>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</si>
  <si>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</si>
  <si>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</si>
  <si>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</si>
  <si>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</si>
  <si>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</si>
  <si>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</si>
  <si>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</si>
  <si>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</si>
  <si>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</si>
  <si>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</si>
  <si>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</si>
  <si>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</si>
  <si>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</si>
  <si>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</si>
  <si>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</si>
  <si>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</si>
  <si>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</si>
  <si>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</si>
  <si>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</si>
  <si>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</si>
  <si>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</si>
  <si>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</si>
  <si>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</si>
  <si>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</si>
  <si>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</si>
  <si>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</si>
  <si>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</si>
  <si>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</si>
  <si>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</si>
  <si>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</si>
  <si>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</si>
  <si>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</si>
  <si>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</si>
  <si>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</si>
  <si>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</si>
  <si>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</si>
  <si>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</si>
  <si>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</si>
  <si>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</si>
  <si>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</si>
  <si>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</si>
  <si>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</si>
  <si>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</si>
  <si>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</si>
  <si>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</si>
  <si>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</si>
  <si>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</si>
  <si>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</si>
  <si>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</si>
  <si>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</si>
  <si>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</si>
  <si>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</si>
  <si>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</si>
  <si>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</si>
  <si>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</si>
  <si>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</si>
  <si>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</si>
  <si>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</si>
  <si>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</si>
  <si>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</si>
  <si>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</si>
  <si>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</si>
  <si>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</si>
  <si>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</si>
  <si>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</si>
  <si>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</si>
  <si>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</si>
  <si>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</si>
  <si>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</si>
  <si>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</si>
  <si>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</si>
  <si>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</si>
  <si>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</si>
  <si>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</si>
  <si>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</si>
  <si>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</si>
  <si>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</si>
  <si>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</si>
  <si>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</si>
  <si>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</si>
  <si>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</si>
  <si>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</si>
  <si>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</si>
  <si>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Quý IV năm 2025
Quarter IV 2025</t>
  </si>
  <si>
    <r>
      <t xml:space="preserve">1.  Các chỉ tiêu từ 1 đến 8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 Từ 01/11/2025: Hệ số điều chỉnh = 365 / số ngày kỳ báo cáo;
    - Trước 01/11/2025: Hệ số điều chỉnh là 12 (đối với báo cáo tháng), 4 (đối với báo cáo quý), 2 (đối với báo cáo bán niên), 1 (đối với báo cáo năm).
  • Tổng chi phí kỳ báo cáo là số liệu lấy từ Báo cáo Kết quả hoạt động:
    - Giá dịch vụ quản lý trả cho công ty quản lý quỹ: Mã chỉ tiêu 2225;
    - Giá dịch vụ lưu ký, giám sát trả cho NHGS: Mã chỉ tiêu 2226; 
    - Giá dịch vụ quản trị quỹ và các chi phí khác mà công ty quản lý quỹ trả cho tổ chức cung cấp dịch vụ có liên quan: Mã chỉ tiêu 2227; 
    - Chi phí kiểm toán trả cho tổ chức kiểm toán : Mã chỉ tiêu 2228;
    - Chi phí dịch vụ tư vấn pháp lý, dịch vụ báo giá và các dịch vụ hợp lý khác, thù lao trả cho ban đại diện quỹ: Mã chỉ tiêu 2229
    - Chi phí hoạt động: Mã chỉ tiêu 2224 - Mã chỉ tiêu 2231
</t>
    </r>
    <r>
      <rPr>
        <i/>
        <sz val="8"/>
        <color rgb="FF000000"/>
        <rFont val="Tahoma"/>
        <family val="2"/>
      </rPr>
      <t>1. Indicators 1 through 8 of the “Operating Performance Indicators” are annualized to reflect a full-year basis using the following formulas:
  • Expense ratio (%) = (Total expenses for the reporting period × adjustment factor × 100%) / Average NAV for the reporting period
  • Adjustment factor:
    - From 01 November 2025: Adjustment factor = 365 / Total number of days in the reporting period
    - Before 01 November 2025: Adjustment factor equals 12 (for monthly reports), 4 (for quarterly reports), 2 (for semi-annual reports), and 1 (for annual reports)
  • Total expenses for the reporting period are extracted from the Profit and Loss Report, including:
    - Management service fee: Code 2225
    - Custodian and supervisory service fee: Code 2226
    - Fund administration and other outsourcing service expenses: Code 2227
    - Audit fee: Code 2228
    - Legal consultancy, OTC price quotation and other valid service fees; remuneration of the Board of Representatives: Code 2229
    - Operating expenses: Code 2224 – Code 2231</t>
    </r>
  </si>
  <si>
    <r>
      <t xml:space="preserve">2. Trước 01/11/2025, Chỉ tiêu 8 của "Chỉ tiêu về hiệu quả hoạt động" đã được điều chỉnh để phản ánh số liệu trên cơ sở hoạt động tròn năm bằng công thức cách sau:
  • Tỷ lệ chi phí (%) = (Tổng chi phí kỳ dữ liệu x hệ số điều chỉnh x 100%)/ Giá trị tài sản ròng trung bình kỳ dữ liệu;
  • Hệ số điều chỉnh = 365 / số ngày kỳ dữ liệu;
  • Kỳ dữ liệu là từ ngày 01 tháng 01 năm tài chính đến ngày cuối cùng kỳ báo cáo;
  • Chi phí hoạt động: Mã chỉ tiêu 2224 - Mã chỉ tiêu 2231
</t>
    </r>
    <r>
      <rPr>
        <i/>
        <sz val="8"/>
        <color rgb="FF000000"/>
        <rFont val="Tahoma"/>
        <family val="2"/>
      </rPr>
      <t>2. Before 01 November 2025, Indicator 8 of the “Operating Performance Indicators” was annualized to reflect a full-year basis using the following formulas:
  • Expense ratio (%) = (Total expenses for the data period × adjustment factor × 100%) / Average NAV for the data period
  • Adjustment factor = 365 / Total number of days in the data period
  • The data period is from 01 January of the fiscal year to the last day of the reporting period
  • Total expenses: Code 2224 – Code 2231</t>
    </r>
  </si>
  <si>
    <r>
      <t xml:space="preserve">3. Chỉ tiêu 9 của "Chỉ tiêu về hiệu quả hoạt động" đã được điều chỉnh để phản ánh số liệu trên cơ sở hoạt động tròn năm bằng công thức cách sau:
  • Tốc độ vòng quay danh mục (%) = [(Tổng giá trị mua vào trong kỳ dữ liệu + Tổng giá trị bán ra trong kỳ dữ liệu)/2 x hệ số điều chỉnh x100%]/ (Giá trị tài sản ròng trung bình trong kỳ dữ liệu);
  • Hệ số điều chỉnh = 365 / số ngày kỳ dữ liệu;
  • Kỳ dữ liệu là từ ngày 01 tháng 01 năm tài chính đến ngày cuối cùng kỳ báo cáo;
</t>
    </r>
    <r>
      <rPr>
        <i/>
        <sz val="8"/>
        <color rgb="FF000000"/>
        <rFont val="Tahoma"/>
        <family val="2"/>
      </rPr>
      <t>3. Indicator 9 of the “Operating Performance Indicators” is annualized to reflect a full-year basis using the following formulas:
  • Portfolio turnover rate (%) = [(Total purchase value for the data period + Total sale value for the data period) / 2 × adjustment factor × 100%] / Average NAV for the data period
  • Adjustment factor = 365 / Total number of days in the data period
  • The data period is from 01 January of the fiscal year to the last day of the reporting period</t>
    </r>
  </si>
  <si>
    <r>
      <t xml:space="preserve">4.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t>
    </r>
    <r>
      <rPr>
        <i/>
        <sz val="8"/>
        <color rgb="FF000000"/>
        <rFont val="Tahoma"/>
        <family val="2"/>
      </rPr>
      <t>Excluding the committed value of the Index Futures contracts. Value of purchase/sale transactions of the Fund does not include value of exchange tradings and value of purchase/sale on behalf of investors of restricted securities according to the Prospectus.</t>
    </r>
  </si>
  <si>
    <t>Mẫu số B01 - ETF. Báo cáo thu nhập
Template B01 - ETF. Statement of Comprehensive Income</t>
  </si>
  <si>
    <t>BÁO CÁO THU NHẬP</t>
  </si>
  <si>
    <t>STATEMENT OF COMPREHENSIVE INCOME</t>
  </si>
  <si>
    <t>Joint Stock Commercial Bank for Foreign Trade of Vietnam - HCMC Branch</t>
  </si>
  <si>
    <t>QUỸ ETF DCVFMVN DIAMOND
Font:Tahoma, 8pt, style=Bold;TextAlign:GeneralCenter;</t>
  </si>
  <si>
    <t>Thuyết minh
Note</t>
  </si>
  <si>
    <t>NĂM 2026
YEAR 2026</t>
  </si>
  <si>
    <t>NĂM 2025
YEAR 2025</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</si>
  <si>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</si>
  <si>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</si>
  <si>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</si>
  <si>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</si>
  <si>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</si>
  <si>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</si>
  <si>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</si>
  <si>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</si>
  <si>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</si>
  <si>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</si>
  <si>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</si>
  <si>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</si>
  <si>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</si>
  <si>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</si>
  <si>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</si>
  <si>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</si>
  <si>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</si>
  <si>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</si>
  <si>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</si>
  <si>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</si>
  <si>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</si>
  <si>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</si>
  <si>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</si>
  <si>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</si>
  <si>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</si>
  <si>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</si>
  <si>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</si>
  <si>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</si>
  <si>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</si>
  <si>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</si>
  <si>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</si>
  <si>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</si>
  <si>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</si>
  <si>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</si>
  <si>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</si>
  <si>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</si>
  <si>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</si>
  <si>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</si>
  <si>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</si>
  <si>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</si>
  <si>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</si>
  <si>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</si>
  <si>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</si>
  <si>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</si>
  <si>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</si>
  <si>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</si>
  <si>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</si>
  <si>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</si>
  <si>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</si>
  <si>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</si>
  <si>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</si>
  <si>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</si>
  <si>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</si>
  <si>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</si>
  <si>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</si>
  <si>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</si>
  <si>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</si>
  <si>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</si>
  <si>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</si>
  <si>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</si>
  <si>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</si>
  <si>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</si>
  <si>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</si>
  <si>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</si>
  <si>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</si>
  <si>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</si>
  <si>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</si>
  <si>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</si>
  <si>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</si>
  <si>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</si>
  <si>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</si>
  <si>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</si>
  <si>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</si>
  <si>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</si>
  <si>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</si>
  <si>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</si>
  <si>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</si>
  <si>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</si>
  <si>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</si>
  <si>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</si>
  <si>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</si>
  <si>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</si>
  <si>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</si>
  <si>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</si>
  <si>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</si>
  <si>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</si>
  <si>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</si>
  <si>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</si>
  <si>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</si>
  <si>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</si>
  <si>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</si>
  <si>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</si>
  <si>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</si>
  <si>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</si>
  <si>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</si>
  <si>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</si>
  <si>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</si>
  <si>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</si>
  <si>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</si>
  <si>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</si>
  <si>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</si>
  <si>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</si>
  <si>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</si>
  <si>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</si>
  <si>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</si>
  <si>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</si>
  <si>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</si>
  <si>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</si>
  <si>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</si>
  <si>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</si>
  <si>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</si>
  <si>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</si>
  <si>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</si>
  <si>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</si>
  <si>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</si>
  <si>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31</t>
  </si>
  <si>
    <t>6.2. Lợi nhận/(lỗ) chưa thực hiện
Unrealized profit (losses)</t>
  </si>
  <si>
    <t>32</t>
  </si>
  <si>
    <t>VII. CHI PHÍ THUẾ TNDN
CORPORATE INCOME TAX</t>
  </si>
  <si>
    <t>VIII. LỢI NHUẬN KẾ TOÁN SAU THUẾ TNDN 
PROFIT AFTER TAX
(41=30-40)</t>
  </si>
  <si>
    <t>41</t>
  </si>
  <si>
    <t>Mẫu số B05g - ETF. Báo cáo lưu chuyển tiền tệ
Template B05g - ETF. Cash flow statement</t>
  </si>
  <si>
    <t>BÁO CÁO LƯU CHUYỂN TIỀN TỆ</t>
  </si>
  <si>
    <t>CASH FLOW STATEMENT</t>
  </si>
  <si>
    <t>Joint Stock Commericial Bank for Foreign Trade of Vietnam</t>
  </si>
  <si>
    <t>Chỉ tiêu/Indicators</t>
  </si>
  <si>
    <t>Mã số/Code</t>
  </si>
  <si>
    <t>Thuyết minh/Note</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</si>
  <si>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</si>
  <si>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</si>
  <si>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</si>
  <si>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</si>
  <si>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</si>
  <si>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</si>
  <si>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</si>
  <si>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</si>
  <si>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</si>
  <si>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</si>
  <si>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</si>
  <si>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</si>
  <si>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</si>
  <si>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</si>
  <si>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cổ tức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</si>
  <si>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</si>
  <si>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</si>
  <si>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</si>
  <si>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</si>
  <si>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</si>
  <si>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</si>
  <si>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</si>
  <si>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</si>
  <si>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</si>
  <si>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</si>
  <si>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</si>
  <si>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</si>
  <si>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</si>
  <si>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</si>
  <si>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</si>
  <si>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</si>
  <si>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</si>
  <si>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</si>
  <si>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</si>
  <si>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</si>
  <si>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</si>
  <si>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</si>
  <si>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</si>
  <si>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</si>
  <si>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</si>
  <si>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</si>
  <si>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</si>
  <si>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</si>
  <si>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</si>
  <si>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</si>
  <si>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</si>
  <si>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</si>
  <si>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</si>
  <si>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</si>
  <si>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</si>
  <si>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</si>
  <si>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</si>
  <si>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</si>
  <si>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</si>
  <si>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</si>
  <si>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</si>
  <si>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</si>
  <si>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</si>
  <si>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</si>
  <si>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</si>
  <si>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</si>
  <si>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</si>
  <si>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</si>
  <si>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</si>
  <si>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</si>
  <si>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Khác
Others</t>
  </si>
  <si>
    <t>80</t>
  </si>
  <si>
    <t>Trưởng phòng Kế toán quỹ</t>
  </si>
  <si>
    <t>Mai Thùy Sâm</t>
  </si>
  <si>
    <t>Ninh Thị Tuệ Minh</t>
  </si>
  <si>
    <t>Quý I năm 2026 / Quarter I 2026</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</si>
  <si>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</si>
  <si>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</si>
  <si>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</si>
  <si>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</si>
  <si>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</si>
  <si>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</si>
  <si>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</si>
  <si>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</si>
  <si>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</si>
  <si>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</si>
  <si>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HOÀNG THỊ QUỲNH HOA</t>
  </si>
  <si>
    <t>LÊ HOÀNG ANH</t>
  </si>
  <si>
    <t>Quyền Giám đốc điều hành Nghiệp vụ hỗ trợ đầu tư</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</si>
  <si>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</si>
  <si>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</si>
  <si>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</si>
  <si>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</si>
  <si>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</si>
  <si>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</si>
  <si>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</si>
  <si>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</si>
  <si>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</si>
  <si>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</si>
  <si>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</si>
  <si>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</si>
  <si>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</si>
  <si>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</si>
  <si>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</si>
  <si>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</si>
  <si>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</si>
  <si>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</si>
  <si>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</si>
  <si>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</si>
  <si>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</si>
  <si>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</si>
  <si>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</si>
  <si>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</si>
  <si>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</si>
  <si>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</si>
  <si>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</si>
  <si>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</si>
  <si>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</si>
  <si>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</si>
  <si>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</si>
  <si>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</si>
  <si>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</si>
  <si>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</si>
  <si>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</si>
  <si>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Tại ngày 31 tháng 03 năm 2026/ As at 31 March 2026</t>
  </si>
  <si>
    <t>Quý I năm 2026 / Quarter I of 2026</t>
  </si>
  <si>
    <t>Quý I năm 2026
Quarter I of 2026</t>
  </si>
  <si>
    <t>Quý I năm 2025
Quarter I of 2025</t>
  </si>
  <si>
    <t>Tại ngày 31 tháng 03  năm 2026 
As at 31 Mar 2026</t>
  </si>
  <si>
    <t>31 tháng 03 năm 2026 / As at 31 Mar 2026</t>
  </si>
  <si>
    <t>Quý I năm 2026
Quarter I 2026</t>
  </si>
  <si>
    <t>Trưởng phòng Kế toán Quỹ</t>
  </si>
  <si>
    <t>Trưởng phòng 
Kế toán quỹ</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</si>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</sst>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_-* #,##0.00&quot; &quot;_₫_-;\-* #,##0.00&quot; &quot;_₫_-;_-* &quot;-&quot;??&quot; &quot;_₫_-;_-@_-"/>
    <numFmt numFmtId="165" formatCode="_-* #,##0.00\ _₫_-;\-* #,##0.00\ _₫_-;_-* &quot;-&quot;??\ _₫_-;_-@_-"/>
    <numFmt numFmtId="166" formatCode="#,##0;\(#,##0\);"/>
    <numFmt numFmtId="167" formatCode="#,##0.00%"/>
    <numFmt numFmtId="168" formatCode="dd/mm/yyyy"/>
    <numFmt numFmtId="169" formatCode="&quot;&quot;#,##0"/>
    <numFmt numFmtId="170" formatCode="[$-409]dd\ mmm\ yyyy;@"/>
    <numFmt numFmtId="171" formatCode="_(* #,##0_);_(* \(#,##0\);_(* &quot;-&quot;??_);_(@_)"/>
    <numFmt numFmtId="172" formatCode="dd/mmm/yyyy"/>
    <numFmt numFmtId="173" formatCode="[$-1010000]d/m/yyyy;@"/>
  </numFmts>
  <fonts count="47">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10"/>
      <name val="Arial"/>
      <family val="2"/>
    </font>
    <font>
      <sz val="9.75"/>
      <color indexed="8"/>
      <name val="Times New Roman"/>
      <family val="2"/>
    </font>
    <font>
      <b/>
      <sz val="8"/>
      <color indexed="8"/>
      <name val="Tahoma"/>
      <family val="2"/>
    </font>
    <font>
      <i/>
      <sz val="7"/>
      <color indexed="8"/>
      <name val="Tahoma"/>
      <family val="2"/>
    </font>
    <font>
      <b/>
      <sz val="9"/>
      <color indexed="8"/>
      <name val="Tahoma"/>
      <family val="2"/>
    </font>
    <font>
      <sz val="8"/>
      <color indexed="8"/>
      <name val="Tahoma"/>
      <family val="2"/>
    </font>
    <font>
      <i/>
      <sz val="8"/>
      <color indexed="8"/>
      <name val="Tahoma"/>
      <family val="2"/>
    </font>
    <font>
      <b/>
      <sz val="8"/>
      <color indexed="8"/>
      <name val="Times New Roman"/>
      <family val="2"/>
    </font>
    <font>
      <b/>
      <sz val="9.75"/>
      <color indexed="8"/>
      <name val="Times New Roman"/>
      <family val="2"/>
    </font>
    <font>
      <i/>
      <sz val="9.75"/>
      <color indexed="8"/>
      <name val="Times New Roman"/>
      <family val="2"/>
    </font>
    <font>
      <b/>
      <sz val="10"/>
      <color indexed="8"/>
      <name val="Tahoma"/>
      <family val="2"/>
    </font>
    <font>
      <sz val="8.25"/>
      <color indexed="8"/>
      <name val="Tahoma"/>
      <family val="2"/>
    </font>
    <font>
      <i/>
      <sz val="7.5"/>
      <color indexed="8"/>
      <name val="Tahoma"/>
      <family val="2"/>
    </font>
    <font>
      <sz val="7.9"/>
      <color indexed="8"/>
      <name val="Tahoma"/>
      <family val="2"/>
    </font>
    <font>
      <i/>
      <sz val="9.75"/>
      <color indexed="8"/>
      <name val="Tahoma"/>
      <family val="2"/>
    </font>
    <font>
      <sz val="9.75"/>
      <color indexed="8"/>
      <name val="Tahoma"/>
      <family val="2"/>
    </font>
    <font>
      <sz val="8"/>
      <color rgb="FF000000"/>
      <name val="Tahoma"/>
      <family val="2"/>
    </font>
    <font>
      <b/>
      <sz val="8"/>
      <color rgb="FF000000"/>
      <name val="Tahoma"/>
      <family val="2"/>
    </font>
    <font>
      <sz val="8"/>
      <color theme="1"/>
      <name val="Tahoma"/>
      <family val="2"/>
    </font>
    <font>
      <i/>
      <sz val="7"/>
      <color rgb="FF000000"/>
      <name val="Tahoma"/>
      <family val="2"/>
    </font>
    <font>
      <b/>
      <sz val="10"/>
      <color rgb="FF000000"/>
      <name val="Tahoma"/>
      <family val="2"/>
    </font>
    <font>
      <b/>
      <sz val="8"/>
      <color theme="1"/>
      <name val="Tahoma"/>
      <family val="2"/>
    </font>
    <font>
      <sz val="10"/>
      <color indexed="8"/>
      <name val="Calibri"/>
      <family val="2"/>
      <scheme val="minor"/>
    </font>
    <font>
      <i/>
      <sz val="8"/>
      <color rgb="FF000000"/>
      <name val="Tahoma"/>
      <family val="2"/>
    </font>
    <font>
      <sz val="8"/>
      <name val="Tahoma"/>
      <family val="2"/>
    </font>
    <font>
      <b/>
      <sz val="9.75"/>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11"/>
      <name val="Times New Roman"/>
      <family val="1"/>
    </font>
    <font>
      <b/>
      <sz val="8"/>
      <name val="Tahoma"/>
      <family val="2"/>
    </font>
    <font>
      <sz val="8"/>
      <color theme="0"/>
      <name val="Tahoma"/>
      <family val="2"/>
    </font>
  </fonts>
  <fills count="9">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F"/>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39997558519241921"/>
        <bgColor indexed="64"/>
      </patternFill>
    </fill>
  </fills>
  <borders count="44">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9">
    <xf numFmtId="0" fontId="0" fillId="0" borderId="0"/>
    <xf numFmtId="0" fontId="1" fillId="0" borderId="0"/>
    <xf numFmtId="0" fontId="4" fillId="0" borderId="0">
      <alignment vertical="center"/>
    </xf>
    <xf numFmtId="0" fontId="5" fillId="0" borderId="0"/>
    <xf numFmtId="0" fontId="2" fillId="0" borderId="0"/>
    <xf numFmtId="164" fontId="2" fillId="0" borderId="0" applyFont="0" applyFill="0" applyBorder="0" applyAlignment="0" applyProtection="0"/>
    <xf numFmtId="0" fontId="3" fillId="2" borderId="0" applyNumberFormat="0" applyBorder="0" applyAlignment="0" applyProtection="0"/>
    <xf numFmtId="9" fontId="2" fillId="0" borderId="0" applyFont="0" applyFill="0" applyBorder="0" applyAlignment="0" applyProtection="0"/>
    <xf numFmtId="165" fontId="2" fillId="0" borderId="0" applyFont="0" applyFill="0" applyBorder="0" applyAlignment="0" applyProtection="0"/>
    <xf numFmtId="164" fontId="2" fillId="0" borderId="0" applyFont="0" applyFill="0" applyBorder="0" applyAlignment="0" applyProtection="0"/>
    <xf numFmtId="0" fontId="4" fillId="0" borderId="0">
      <alignment vertical="center"/>
    </xf>
    <xf numFmtId="43" fontId="2" fillId="0" borderId="0" applyFont="0" applyFill="0" applyBorder="0" applyAlignment="0" applyProtection="0"/>
    <xf numFmtId="0" fontId="27" fillId="0" borderId="0">
      <alignment vertical="center"/>
    </xf>
    <xf numFmtId="0" fontId="37" fillId="0" borderId="0"/>
    <xf numFmtId="0" fontId="41" fillId="0" borderId="0" applyNumberFormat="0" applyFill="0" applyBorder="0" applyAlignment="0" applyProtection="0"/>
    <xf numFmtId="0" fontId="2" fillId="0" borderId="0"/>
    <xf numFmtId="164" fontId="44" fillId="0" borderId="0" applyFont="0" applyFill="0" applyBorder="0" applyAlignment="0" applyProtection="0"/>
    <xf numFmtId="0" fontId="1" fillId="0" borderId="0"/>
    <xf numFmtId="0" fontId="37" fillId="0" borderId="0"/>
  </cellStyleXfs>
  <cellXfs count="429">
    <xf numFmtId="0" fontId="0" fillId="0" borderId="0" xfId="0"/>
    <xf numFmtId="0" fontId="6"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right" vertical="center"/>
    </xf>
    <xf numFmtId="0" fontId="4" fillId="0" borderId="0" xfId="2" applyFont="1">
      <alignment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right" vertical="center"/>
    </xf>
    <xf numFmtId="0" fontId="6" fillId="3" borderId="1" xfId="2" applyNumberFormat="1" applyFont="1" applyFill="1" applyBorder="1" applyAlignment="1" applyProtection="1">
      <alignment horizontal="left" vertical="top"/>
    </xf>
    <xf numFmtId="0" fontId="10" fillId="3" borderId="1" xfId="2" applyNumberFormat="1" applyFont="1" applyFill="1" applyBorder="1" applyAlignment="1" applyProtection="1">
      <alignment horizontal="right" vertical="center"/>
    </xf>
    <xf numFmtId="0" fontId="7" fillId="4" borderId="2" xfId="2" applyNumberFormat="1" applyFont="1" applyFill="1" applyBorder="1" applyAlignment="1" applyProtection="1">
      <alignment horizontal="center" vertical="center" wrapText="1"/>
    </xf>
    <xf numFmtId="0" fontId="7" fillId="4" borderId="3" xfId="2" applyNumberFormat="1" applyFont="1" applyFill="1" applyBorder="1" applyAlignment="1" applyProtection="1">
      <alignment horizontal="center" vertical="center" wrapText="1"/>
    </xf>
    <xf numFmtId="0" fontId="7" fillId="4" borderId="4" xfId="2" applyNumberFormat="1" applyFont="1" applyFill="1" applyBorder="1" applyAlignment="1" applyProtection="1">
      <alignment horizontal="center" vertical="center" wrapText="1"/>
    </xf>
    <xf numFmtId="0" fontId="10" fillId="3" borderId="5" xfId="2" applyNumberFormat="1" applyFont="1" applyFill="1" applyBorder="1" applyAlignment="1" applyProtection="1">
      <alignment horizontal="center" vertical="top"/>
    </xf>
    <xf numFmtId="0" fontId="10" fillId="3" borderId="6" xfId="2" applyNumberFormat="1" applyFont="1" applyFill="1" applyBorder="1" applyAlignment="1" applyProtection="1">
      <alignment horizontal="left" vertical="top" wrapText="1"/>
    </xf>
    <xf numFmtId="0" fontId="10" fillId="3" borderId="6" xfId="2" applyNumberFormat="1" applyFont="1" applyFill="1" applyBorder="1" applyAlignment="1" applyProtection="1">
      <alignment horizontal="center" vertical="top"/>
    </xf>
    <xf numFmtId="4" fontId="10" fillId="3" borderId="6" xfId="2" applyNumberFormat="1" applyFont="1" applyFill="1" applyBorder="1" applyAlignment="1" applyProtection="1">
      <alignment horizontal="right" vertical="top"/>
    </xf>
    <xf numFmtId="166" fontId="10" fillId="3" borderId="6" xfId="2" applyNumberFormat="1" applyFont="1" applyFill="1" applyBorder="1" applyAlignment="1" applyProtection="1">
      <alignment horizontal="right" vertical="top"/>
    </xf>
    <xf numFmtId="167" fontId="10" fillId="3" borderId="7" xfId="2" applyNumberFormat="1" applyFont="1" applyFill="1" applyBorder="1" applyAlignment="1" applyProtection="1">
      <alignment horizontal="right" vertical="top"/>
    </xf>
    <xf numFmtId="0" fontId="10" fillId="3" borderId="8" xfId="2" applyNumberFormat="1" applyFont="1" applyFill="1" applyBorder="1" applyAlignment="1" applyProtection="1">
      <alignment horizontal="center" vertical="top"/>
    </xf>
    <xf numFmtId="0" fontId="10" fillId="3" borderId="9" xfId="2" applyNumberFormat="1" applyFont="1" applyFill="1" applyBorder="1" applyAlignment="1" applyProtection="1">
      <alignment horizontal="left" vertical="top" wrapText="1"/>
    </xf>
    <xf numFmtId="0" fontId="10" fillId="3" borderId="9" xfId="2" applyNumberFormat="1" applyFont="1" applyFill="1" applyBorder="1" applyAlignment="1" applyProtection="1">
      <alignment horizontal="center" vertical="top"/>
    </xf>
    <xf numFmtId="4" fontId="10" fillId="3" borderId="9" xfId="2" applyNumberFormat="1" applyFont="1" applyFill="1" applyBorder="1" applyAlignment="1" applyProtection="1">
      <alignment horizontal="right" vertical="top"/>
    </xf>
    <xf numFmtId="166" fontId="10" fillId="3" borderId="9" xfId="2" applyNumberFormat="1" applyFont="1" applyFill="1" applyBorder="1" applyAlignment="1" applyProtection="1">
      <alignment horizontal="right" vertical="top"/>
    </xf>
    <xf numFmtId="167" fontId="10" fillId="3" borderId="10" xfId="2" applyNumberFormat="1" applyFont="1" applyFill="1" applyBorder="1" applyAlignment="1" applyProtection="1">
      <alignment horizontal="right" vertical="top"/>
    </xf>
    <xf numFmtId="0" fontId="7" fillId="4" borderId="11" xfId="2" applyNumberFormat="1" applyFont="1" applyFill="1" applyBorder="1" applyAlignment="1" applyProtection="1">
      <alignment horizontal="center" vertical="center" wrapText="1"/>
    </xf>
    <xf numFmtId="0" fontId="7" fillId="4" borderId="12" xfId="2" applyNumberFormat="1" applyFont="1" applyFill="1" applyBorder="1" applyAlignment="1" applyProtection="1">
      <alignment horizontal="center" vertical="center" wrapText="1"/>
    </xf>
    <xf numFmtId="0" fontId="7" fillId="4" borderId="13" xfId="2" applyNumberFormat="1" applyFont="1" applyFill="1" applyBorder="1" applyAlignment="1" applyProtection="1">
      <alignment horizontal="center" vertical="center" wrapText="1"/>
    </xf>
    <xf numFmtId="0" fontId="12" fillId="3" borderId="0" xfId="2" applyNumberFormat="1" applyFont="1" applyFill="1" applyBorder="1" applyAlignment="1" applyProtection="1">
      <alignment horizontal="right" vertical="center"/>
    </xf>
    <xf numFmtId="0" fontId="13"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top"/>
    </xf>
    <xf numFmtId="0" fontId="13" fillId="3" borderId="0" xfId="2" applyNumberFormat="1" applyFont="1" applyFill="1" applyBorder="1" applyAlignment="1" applyProtection="1">
      <alignment horizontal="center" vertical="top"/>
    </xf>
    <xf numFmtId="0" fontId="6" fillId="3" borderId="1" xfId="2" applyNumberFormat="1" applyFont="1" applyFill="1" applyBorder="1" applyAlignment="1" applyProtection="1">
      <alignment horizontal="right" vertical="top"/>
    </xf>
    <xf numFmtId="166" fontId="13" fillId="3" borderId="5" xfId="2" applyNumberFormat="1" applyFont="1" applyFill="1" applyBorder="1" applyAlignment="1" applyProtection="1">
      <alignment horizontal="center" vertical="top"/>
    </xf>
    <xf numFmtId="166" fontId="13" fillId="3" borderId="6" xfId="2" applyNumberFormat="1" applyFont="1" applyFill="1" applyBorder="1" applyAlignment="1" applyProtection="1">
      <alignment horizontal="left" vertical="top" wrapText="1"/>
    </xf>
    <xf numFmtId="166" fontId="13" fillId="3" borderId="6" xfId="2" applyNumberFormat="1" applyFont="1" applyFill="1" applyBorder="1" applyAlignment="1" applyProtection="1">
      <alignment horizontal="center" vertical="top"/>
    </xf>
    <xf numFmtId="166" fontId="13" fillId="3" borderId="6" xfId="2" applyNumberFormat="1" applyFont="1" applyFill="1" applyBorder="1" applyAlignment="1" applyProtection="1">
      <alignment horizontal="right" vertical="top"/>
    </xf>
    <xf numFmtId="166" fontId="13" fillId="3" borderId="7" xfId="2" applyNumberFormat="1" applyFont="1" applyFill="1" applyBorder="1" applyAlignment="1" applyProtection="1">
      <alignment horizontal="right" vertical="top"/>
    </xf>
    <xf numFmtId="166" fontId="10" fillId="3" borderId="5" xfId="2" applyNumberFormat="1" applyFont="1" applyFill="1" applyBorder="1" applyAlignment="1" applyProtection="1">
      <alignment horizontal="center" vertical="top"/>
    </xf>
    <xf numFmtId="166" fontId="10" fillId="3" borderId="6" xfId="2" applyNumberFormat="1" applyFont="1" applyFill="1" applyBorder="1" applyAlignment="1" applyProtection="1">
      <alignment horizontal="left" vertical="top" wrapText="1"/>
    </xf>
    <xf numFmtId="166" fontId="10" fillId="3" borderId="6" xfId="2" applyNumberFormat="1" applyFont="1" applyFill="1" applyBorder="1" applyAlignment="1" applyProtection="1">
      <alignment horizontal="center" vertical="top"/>
    </xf>
    <xf numFmtId="166" fontId="10" fillId="3" borderId="7" xfId="2" applyNumberFormat="1" applyFont="1" applyFill="1" applyBorder="1" applyAlignment="1" applyProtection="1">
      <alignment horizontal="right" vertical="top"/>
    </xf>
    <xf numFmtId="166" fontId="14" fillId="3" borderId="5" xfId="2" applyNumberFormat="1" applyFont="1" applyFill="1" applyBorder="1" applyAlignment="1" applyProtection="1">
      <alignment horizontal="center" vertical="top"/>
    </xf>
    <xf numFmtId="166" fontId="14" fillId="3" borderId="6" xfId="2" applyNumberFormat="1" applyFont="1" applyFill="1" applyBorder="1" applyAlignment="1" applyProtection="1">
      <alignment horizontal="left" vertical="top" wrapText="1"/>
    </xf>
    <xf numFmtId="166" fontId="14" fillId="3" borderId="6" xfId="2" applyNumberFormat="1" applyFont="1" applyFill="1" applyBorder="1" applyAlignment="1" applyProtection="1">
      <alignment horizontal="center" vertical="top"/>
    </xf>
    <xf numFmtId="166" fontId="14" fillId="3" borderId="6" xfId="2" applyNumberFormat="1" applyFont="1" applyFill="1" applyBorder="1" applyAlignment="1" applyProtection="1">
      <alignment horizontal="right" vertical="top"/>
    </xf>
    <xf numFmtId="166" fontId="14" fillId="3" borderId="7" xfId="2" applyNumberFormat="1" applyFont="1" applyFill="1" applyBorder="1" applyAlignment="1" applyProtection="1">
      <alignment horizontal="right" vertical="top"/>
    </xf>
    <xf numFmtId="166" fontId="10" fillId="3" borderId="8" xfId="2" applyNumberFormat="1" applyFont="1" applyFill="1" applyBorder="1" applyAlignment="1" applyProtection="1">
      <alignment horizontal="center" vertical="top"/>
    </xf>
    <xf numFmtId="166" fontId="10" fillId="3" borderId="9" xfId="2" applyNumberFormat="1" applyFont="1" applyFill="1" applyBorder="1" applyAlignment="1" applyProtection="1">
      <alignment horizontal="left" vertical="top" wrapText="1"/>
    </xf>
    <xf numFmtId="166" fontId="10" fillId="3" borderId="9" xfId="2" applyNumberFormat="1" applyFont="1" applyFill="1" applyBorder="1" applyAlignment="1" applyProtection="1">
      <alignment horizontal="center" vertical="top"/>
    </xf>
    <xf numFmtId="166" fontId="10" fillId="3" borderId="10" xfId="2" applyNumberFormat="1" applyFont="1" applyFill="1" applyBorder="1" applyAlignment="1" applyProtection="1">
      <alignment horizontal="right" vertical="top"/>
    </xf>
    <xf numFmtId="0" fontId="11" fillId="3" borderId="0" xfId="2" applyNumberFormat="1" applyFont="1" applyFill="1" applyBorder="1" applyAlignment="1" applyProtection="1">
      <alignment horizontal="center"/>
    </xf>
    <xf numFmtId="0" fontId="16" fillId="3" borderId="5" xfId="2" applyNumberFormat="1" applyFont="1" applyFill="1" applyBorder="1" applyAlignment="1" applyProtection="1">
      <alignment horizontal="center" vertical="center"/>
    </xf>
    <xf numFmtId="0" fontId="16" fillId="3" borderId="6" xfId="2" applyNumberFormat="1" applyFont="1" applyFill="1" applyBorder="1" applyAlignment="1" applyProtection="1">
      <alignment horizontal="left" vertical="center" wrapText="1"/>
    </xf>
    <xf numFmtId="0" fontId="16" fillId="3" borderId="6" xfId="2" applyNumberFormat="1" applyFont="1" applyFill="1" applyBorder="1" applyAlignment="1" applyProtection="1">
      <alignment horizontal="center" vertical="center"/>
    </xf>
    <xf numFmtId="3" fontId="13" fillId="3" borderId="6" xfId="2" applyNumberFormat="1" applyFont="1" applyFill="1" applyBorder="1" applyAlignment="1" applyProtection="1">
      <alignment horizontal="right" vertical="center"/>
    </xf>
    <xf numFmtId="167" fontId="16" fillId="3" borderId="7" xfId="2" applyNumberFormat="1" applyFont="1" applyFill="1" applyBorder="1" applyAlignment="1" applyProtection="1">
      <alignment horizontal="right" vertical="center"/>
    </xf>
    <xf numFmtId="3" fontId="16" fillId="3" borderId="6" xfId="2" applyNumberFormat="1" applyFont="1" applyFill="1" applyBorder="1" applyAlignment="1" applyProtection="1">
      <alignment horizontal="right" vertical="center"/>
    </xf>
    <xf numFmtId="3" fontId="14" fillId="3" borderId="6" xfId="2" applyNumberFormat="1" applyFont="1" applyFill="1" applyBorder="1" applyAlignment="1" applyProtection="1">
      <alignment horizontal="right" vertical="center"/>
    </xf>
    <xf numFmtId="0" fontId="16" fillId="3" borderId="8" xfId="2" applyNumberFormat="1" applyFont="1" applyFill="1" applyBorder="1" applyAlignment="1" applyProtection="1">
      <alignment horizontal="center" vertical="center"/>
    </xf>
    <xf numFmtId="0" fontId="16" fillId="3" borderId="9" xfId="2" applyNumberFormat="1" applyFont="1" applyFill="1" applyBorder="1" applyAlignment="1" applyProtection="1">
      <alignment horizontal="left" vertical="center" wrapText="1"/>
    </xf>
    <xf numFmtId="0" fontId="16" fillId="3" borderId="9" xfId="2" applyNumberFormat="1" applyFont="1" applyFill="1" applyBorder="1" applyAlignment="1" applyProtection="1">
      <alignment horizontal="center" vertical="center"/>
    </xf>
    <xf numFmtId="4" fontId="13" fillId="3" borderId="9" xfId="2" applyNumberFormat="1" applyFont="1" applyFill="1" applyBorder="1" applyAlignment="1" applyProtection="1">
      <alignment horizontal="right" vertical="center"/>
    </xf>
    <xf numFmtId="167" fontId="16" fillId="3" borderId="10" xfId="2" applyNumberFormat="1" applyFont="1" applyFill="1" applyBorder="1" applyAlignment="1" applyProtection="1">
      <alignment horizontal="right" vertical="center"/>
    </xf>
    <xf numFmtId="0" fontId="13" fillId="4" borderId="2" xfId="2" applyNumberFormat="1" applyFont="1" applyFill="1" applyBorder="1" applyAlignment="1" applyProtection="1">
      <alignment horizontal="center" vertical="center" wrapText="1"/>
    </xf>
    <xf numFmtId="166" fontId="6" fillId="3" borderId="5" xfId="2" applyNumberFormat="1" applyFont="1" applyFill="1" applyBorder="1" applyAlignment="1" applyProtection="1">
      <alignment horizontal="center" vertical="top"/>
    </xf>
    <xf numFmtId="166" fontId="6" fillId="3" borderId="6" xfId="2" applyNumberFormat="1" applyFont="1" applyFill="1" applyBorder="1" applyAlignment="1" applyProtection="1">
      <alignment horizontal="left" vertical="top" wrapText="1"/>
    </xf>
    <xf numFmtId="166" fontId="6" fillId="3" borderId="6" xfId="2" applyNumberFormat="1" applyFont="1" applyFill="1" applyBorder="1" applyAlignment="1" applyProtection="1">
      <alignment horizontal="center" vertical="top"/>
    </xf>
    <xf numFmtId="166" fontId="6" fillId="3" borderId="6" xfId="2" applyNumberFormat="1" applyFont="1" applyFill="1" applyBorder="1" applyAlignment="1" applyProtection="1">
      <alignment horizontal="right" vertical="top"/>
    </xf>
    <xf numFmtId="166" fontId="6" fillId="3" borderId="7" xfId="2" applyNumberFormat="1" applyFont="1" applyFill="1" applyBorder="1" applyAlignment="1" applyProtection="1">
      <alignment horizontal="right" vertical="top"/>
    </xf>
    <xf numFmtId="4" fontId="13" fillId="3" borderId="8" xfId="2" applyNumberFormat="1" applyFont="1" applyFill="1" applyBorder="1" applyAlignment="1" applyProtection="1">
      <alignment horizontal="center" vertical="top"/>
    </xf>
    <xf numFmtId="4" fontId="13" fillId="3" borderId="9" xfId="2" applyNumberFormat="1" applyFont="1" applyFill="1" applyBorder="1" applyAlignment="1" applyProtection="1">
      <alignment horizontal="left" vertical="top" wrapText="1"/>
    </xf>
    <xf numFmtId="4" fontId="13" fillId="3" borderId="9" xfId="2" applyNumberFormat="1" applyFont="1" applyFill="1" applyBorder="1" applyAlignment="1" applyProtection="1">
      <alignment horizontal="center" vertical="top"/>
    </xf>
    <xf numFmtId="4" fontId="13" fillId="3" borderId="9" xfId="2" applyNumberFormat="1" applyFont="1" applyFill="1" applyBorder="1" applyAlignment="1" applyProtection="1">
      <alignment horizontal="right" vertical="top"/>
    </xf>
    <xf numFmtId="4" fontId="13" fillId="3" borderId="10" xfId="2" applyNumberFormat="1" applyFont="1" applyFill="1" applyBorder="1" applyAlignment="1" applyProtection="1">
      <alignment horizontal="right" vertical="top"/>
    </xf>
    <xf numFmtId="0" fontId="7" fillId="3" borderId="0" xfId="2" applyNumberFormat="1" applyFont="1" applyFill="1" applyBorder="1" applyAlignment="1" applyProtection="1">
      <alignment horizontal="center" vertical="center" wrapText="1"/>
    </xf>
    <xf numFmtId="0" fontId="11" fillId="3" borderId="0" xfId="2" applyNumberFormat="1" applyFont="1" applyFill="1" applyBorder="1" applyAlignment="1" applyProtection="1">
      <alignment horizontal="center" vertical="center"/>
    </xf>
    <xf numFmtId="0" fontId="19" fillId="3" borderId="0" xfId="2" applyNumberFormat="1" applyFont="1" applyFill="1" applyBorder="1" applyAlignment="1" applyProtection="1">
      <alignment horizontal="right" vertical="top"/>
    </xf>
    <xf numFmtId="0" fontId="20" fillId="3" borderId="1" xfId="2" applyNumberFormat="1" applyFont="1" applyFill="1" applyBorder="1" applyAlignment="1" applyProtection="1">
      <alignment horizontal="left" vertical="top"/>
    </xf>
    <xf numFmtId="0" fontId="10" fillId="3" borderId="1" xfId="2" applyNumberFormat="1" applyFont="1" applyFill="1" applyBorder="1" applyAlignment="1" applyProtection="1">
      <alignment horizontal="right" vertical="top"/>
    </xf>
    <xf numFmtId="168" fontId="7" fillId="4" borderId="3" xfId="2" applyNumberFormat="1" applyFont="1" applyFill="1" applyBorder="1" applyAlignment="1" applyProtection="1">
      <alignment horizontal="center" vertical="center" wrapText="1"/>
    </xf>
    <xf numFmtId="169" fontId="13" fillId="3" borderId="5" xfId="2" applyNumberFormat="1" applyFont="1" applyFill="1" applyBorder="1" applyAlignment="1" applyProtection="1">
      <alignment horizontal="center" vertical="top"/>
    </xf>
    <xf numFmtId="169" fontId="13" fillId="3" borderId="6" xfId="2" applyNumberFormat="1" applyFont="1" applyFill="1" applyBorder="1" applyAlignment="1" applyProtection="1">
      <alignment horizontal="left" vertical="top" wrapText="1"/>
    </xf>
    <xf numFmtId="169" fontId="13" fillId="3" borderId="6" xfId="2" applyNumberFormat="1" applyFont="1" applyFill="1" applyBorder="1" applyAlignment="1" applyProtection="1">
      <alignment horizontal="center" vertical="top"/>
    </xf>
    <xf numFmtId="169" fontId="13" fillId="3" borderId="6" xfId="2" applyNumberFormat="1" applyFont="1" applyFill="1" applyBorder="1" applyAlignment="1" applyProtection="1">
      <alignment horizontal="right" vertical="top"/>
    </xf>
    <xf numFmtId="169" fontId="6" fillId="3" borderId="5" xfId="2" applyNumberFormat="1" applyFont="1" applyFill="1" applyBorder="1" applyAlignment="1" applyProtection="1">
      <alignment horizontal="center" vertical="top"/>
    </xf>
    <xf numFmtId="169" fontId="6" fillId="3" borderId="6" xfId="2" applyNumberFormat="1" applyFont="1" applyFill="1" applyBorder="1" applyAlignment="1" applyProtection="1">
      <alignment horizontal="left" vertical="top" wrapText="1"/>
    </xf>
    <xf numFmtId="169" fontId="6" fillId="3" borderId="6" xfId="2" applyNumberFormat="1" applyFont="1" applyFill="1" applyBorder="1" applyAlignment="1" applyProtection="1">
      <alignment horizontal="center" vertical="top"/>
    </xf>
    <xf numFmtId="169" fontId="6" fillId="3" borderId="6" xfId="2" applyNumberFormat="1" applyFont="1" applyFill="1" applyBorder="1" applyAlignment="1" applyProtection="1">
      <alignment horizontal="right" vertical="top"/>
    </xf>
    <xf numFmtId="169" fontId="14" fillId="3" borderId="5" xfId="2" applyNumberFormat="1" applyFont="1" applyFill="1" applyBorder="1" applyAlignment="1" applyProtection="1">
      <alignment horizontal="center" vertical="top"/>
    </xf>
    <xf numFmtId="169" fontId="14" fillId="3" borderId="6" xfId="2" applyNumberFormat="1" applyFont="1" applyFill="1" applyBorder="1" applyAlignment="1" applyProtection="1">
      <alignment horizontal="left" vertical="top" wrapText="1"/>
    </xf>
    <xf numFmtId="169" fontId="14" fillId="3" borderId="6" xfId="2" applyNumberFormat="1" applyFont="1" applyFill="1" applyBorder="1" applyAlignment="1" applyProtection="1">
      <alignment horizontal="center" vertical="top"/>
    </xf>
    <xf numFmtId="4" fontId="13" fillId="3" borderId="5" xfId="2" applyNumberFormat="1" applyFont="1" applyFill="1" applyBorder="1" applyAlignment="1" applyProtection="1">
      <alignment horizontal="center" vertical="top"/>
    </xf>
    <xf numFmtId="4" fontId="13" fillId="3" borderId="6" xfId="2" applyNumberFormat="1" applyFont="1" applyFill="1" applyBorder="1" applyAlignment="1" applyProtection="1">
      <alignment horizontal="left" vertical="top" wrapText="1"/>
    </xf>
    <xf numFmtId="4" fontId="13" fillId="3" borderId="6" xfId="2" applyNumberFormat="1" applyFont="1" applyFill="1" applyBorder="1" applyAlignment="1" applyProtection="1">
      <alignment horizontal="center" vertical="top"/>
    </xf>
    <xf numFmtId="169" fontId="6" fillId="3" borderId="8" xfId="2" applyNumberFormat="1" applyFont="1" applyFill="1" applyBorder="1" applyAlignment="1" applyProtection="1">
      <alignment horizontal="center" vertical="top"/>
    </xf>
    <xf numFmtId="169" fontId="6" fillId="3" borderId="9" xfId="2" applyNumberFormat="1" applyFont="1" applyFill="1" applyBorder="1" applyAlignment="1" applyProtection="1">
      <alignment horizontal="left" vertical="top" wrapText="1"/>
    </xf>
    <xf numFmtId="169" fontId="6" fillId="3" borderId="9" xfId="2" applyNumberFormat="1" applyFont="1" applyFill="1" applyBorder="1" applyAlignment="1" applyProtection="1">
      <alignment horizontal="center" vertical="top"/>
    </xf>
    <xf numFmtId="169" fontId="6" fillId="3" borderId="9" xfId="2" applyNumberFormat="1" applyFont="1" applyFill="1" applyBorder="1" applyAlignment="1" applyProtection="1">
      <alignment horizontal="right" vertical="top"/>
    </xf>
    <xf numFmtId="0" fontId="21" fillId="5" borderId="0" xfId="0" applyFont="1" applyFill="1" applyAlignment="1">
      <alignment horizontal="left" vertical="center"/>
    </xf>
    <xf numFmtId="0" fontId="23" fillId="0" borderId="0" xfId="0" applyFont="1" applyAlignment="1">
      <alignment vertical="center"/>
    </xf>
    <xf numFmtId="0" fontId="22" fillId="5" borderId="0" xfId="0" applyFont="1" applyFill="1" applyAlignment="1">
      <alignment horizontal="center" vertical="center"/>
    </xf>
    <xf numFmtId="168" fontId="26" fillId="6" borderId="0" xfId="0" applyNumberFormat="1" applyFont="1" applyFill="1" applyBorder="1" applyAlignment="1">
      <alignment horizontal="left" vertical="center"/>
    </xf>
    <xf numFmtId="0" fontId="21" fillId="5" borderId="14" xfId="0" applyFont="1" applyFill="1" applyBorder="1" applyAlignment="1">
      <alignment horizontal="left" vertical="center"/>
    </xf>
    <xf numFmtId="0" fontId="28" fillId="5" borderId="14" xfId="0" applyFont="1" applyFill="1" applyBorder="1" applyAlignment="1">
      <alignment horizontal="right" vertical="center"/>
    </xf>
    <xf numFmtId="0" fontId="22" fillId="4" borderId="15" xfId="0" applyFont="1" applyFill="1" applyBorder="1" applyAlignment="1">
      <alignment horizontal="center" vertical="center" wrapText="1"/>
    </xf>
    <xf numFmtId="0" fontId="22" fillId="4" borderId="16" xfId="0" applyFont="1" applyFill="1" applyBorder="1" applyAlignment="1">
      <alignment horizontal="center" vertical="center" wrapText="1"/>
    </xf>
    <xf numFmtId="0" fontId="22" fillId="4" borderId="17" xfId="0" applyFont="1" applyFill="1" applyBorder="1" applyAlignment="1">
      <alignment horizontal="center" vertical="center" wrapText="1"/>
    </xf>
    <xf numFmtId="0" fontId="21" fillId="5" borderId="18" xfId="0" applyFont="1" applyFill="1" applyBorder="1" applyAlignment="1">
      <alignment horizontal="center" vertical="center"/>
    </xf>
    <xf numFmtId="0" fontId="21" fillId="5" borderId="6" xfId="0" applyFont="1" applyFill="1" applyBorder="1" applyAlignment="1">
      <alignment horizontal="center" vertical="center"/>
    </xf>
    <xf numFmtId="3" fontId="22" fillId="5" borderId="6" xfId="0" applyNumberFormat="1" applyFont="1" applyFill="1" applyBorder="1" applyAlignment="1">
      <alignment horizontal="right" vertical="center"/>
    </xf>
    <xf numFmtId="3" fontId="22" fillId="5" borderId="19" xfId="0" applyNumberFormat="1" applyFont="1" applyFill="1" applyBorder="1" applyAlignment="1">
      <alignment horizontal="right" vertical="center"/>
    </xf>
    <xf numFmtId="167" fontId="21" fillId="5" borderId="6" xfId="0" applyNumberFormat="1" applyFont="1" applyFill="1" applyBorder="1" applyAlignment="1">
      <alignment horizontal="right" vertical="center"/>
    </xf>
    <xf numFmtId="167" fontId="21" fillId="5" borderId="19" xfId="0" applyNumberFormat="1" applyFont="1" applyFill="1" applyBorder="1" applyAlignment="1">
      <alignment horizontal="right" vertical="center"/>
    </xf>
    <xf numFmtId="10" fontId="23" fillId="0" borderId="0" xfId="0" applyNumberFormat="1" applyFont="1" applyAlignment="1">
      <alignment vertical="center"/>
    </xf>
    <xf numFmtId="171" fontId="21" fillId="5" borderId="6" xfId="11" applyNumberFormat="1" applyFont="1" applyFill="1" applyBorder="1" applyAlignment="1" applyProtection="1">
      <alignment horizontal="right" vertical="center"/>
    </xf>
    <xf numFmtId="171" fontId="21" fillId="5" borderId="19" xfId="11" applyNumberFormat="1" applyFont="1" applyFill="1" applyBorder="1" applyAlignment="1" applyProtection="1">
      <alignment horizontal="right" vertical="center"/>
    </xf>
    <xf numFmtId="167" fontId="29" fillId="0" borderId="6" xfId="0" applyNumberFormat="1" applyFont="1" applyFill="1" applyBorder="1" applyAlignment="1">
      <alignment horizontal="right" vertical="center"/>
    </xf>
    <xf numFmtId="167" fontId="21" fillId="0" borderId="19" xfId="0" applyNumberFormat="1" applyFont="1" applyFill="1" applyBorder="1" applyAlignment="1">
      <alignment horizontal="right" vertical="center"/>
    </xf>
    <xf numFmtId="4" fontId="21" fillId="0" borderId="6" xfId="0" applyNumberFormat="1" applyFont="1" applyFill="1" applyBorder="1" applyAlignment="1">
      <alignment horizontal="right" vertical="center"/>
    </xf>
    <xf numFmtId="4" fontId="21" fillId="0" borderId="19" xfId="0" applyNumberFormat="1" applyFont="1" applyFill="1" applyBorder="1" applyAlignment="1">
      <alignment horizontal="right" vertical="center"/>
    </xf>
    <xf numFmtId="3" fontId="21" fillId="0" borderId="6" xfId="0" applyNumberFormat="1" applyFont="1" applyFill="1" applyBorder="1" applyAlignment="1">
      <alignment horizontal="right" vertical="center"/>
    </xf>
    <xf numFmtId="3" fontId="21" fillId="0" borderId="19" xfId="0" applyNumberFormat="1" applyFont="1" applyFill="1" applyBorder="1" applyAlignment="1">
      <alignment horizontal="right" vertical="center"/>
    </xf>
    <xf numFmtId="0" fontId="21" fillId="5" borderId="23" xfId="0" applyFont="1" applyFill="1" applyBorder="1" applyAlignment="1">
      <alignment horizontal="center" vertical="center"/>
    </xf>
    <xf numFmtId="0" fontId="21" fillId="5" borderId="24" xfId="0" applyFont="1" applyFill="1" applyBorder="1" applyAlignment="1">
      <alignment horizontal="center" vertical="center"/>
    </xf>
    <xf numFmtId="3" fontId="21" fillId="0" borderId="24" xfId="0" applyNumberFormat="1" applyFont="1" applyFill="1" applyBorder="1" applyAlignment="1">
      <alignment horizontal="right" vertical="center" wrapText="1"/>
    </xf>
    <xf numFmtId="3" fontId="21" fillId="0" borderId="25" xfId="0" applyNumberFormat="1" applyFont="1" applyFill="1" applyBorder="1" applyAlignment="1">
      <alignment horizontal="right" vertical="center"/>
    </xf>
    <xf numFmtId="0" fontId="21" fillId="0" borderId="0" xfId="0" applyFont="1" applyAlignment="1">
      <alignment horizontal="left" vertical="center"/>
    </xf>
    <xf numFmtId="0" fontId="28" fillId="5" borderId="0" xfId="0" applyFont="1" applyFill="1" applyAlignment="1">
      <alignment horizontal="center" vertical="center"/>
    </xf>
    <xf numFmtId="171" fontId="13" fillId="3" borderId="6" xfId="2" applyNumberFormat="1" applyFont="1" applyFill="1" applyBorder="1" applyAlignment="1" applyProtection="1">
      <alignment horizontal="right" vertical="top"/>
    </xf>
    <xf numFmtId="171" fontId="6" fillId="3" borderId="6" xfId="2" applyNumberFormat="1" applyFont="1" applyFill="1" applyBorder="1" applyAlignment="1" applyProtection="1">
      <alignment horizontal="right" vertical="top"/>
    </xf>
    <xf numFmtId="171" fontId="14" fillId="3" borderId="6" xfId="2" applyNumberFormat="1" applyFont="1" applyFill="1" applyBorder="1" applyAlignment="1" applyProtection="1">
      <alignment horizontal="right" vertical="top"/>
    </xf>
    <xf numFmtId="171" fontId="13" fillId="3" borderId="7" xfId="2" applyNumberFormat="1" applyFont="1" applyFill="1" applyBorder="1" applyAlignment="1" applyProtection="1">
      <alignment horizontal="right" vertical="top"/>
    </xf>
    <xf numFmtId="171" fontId="6" fillId="3" borderId="7" xfId="2" applyNumberFormat="1" applyFont="1" applyFill="1" applyBorder="1" applyAlignment="1" applyProtection="1">
      <alignment horizontal="right" vertical="top"/>
    </xf>
    <xf numFmtId="171" fontId="14" fillId="3" borderId="7" xfId="2" applyNumberFormat="1" applyFont="1" applyFill="1" applyBorder="1" applyAlignment="1" applyProtection="1">
      <alignment horizontal="right" vertical="top"/>
    </xf>
    <xf numFmtId="171" fontId="6" fillId="3" borderId="10" xfId="2" applyNumberFormat="1" applyFont="1" applyFill="1" applyBorder="1" applyAlignment="1" applyProtection="1">
      <alignment horizontal="right" vertical="top"/>
    </xf>
    <xf numFmtId="0" fontId="7" fillId="4" borderId="27" xfId="2" applyNumberFormat="1" applyFont="1" applyFill="1" applyBorder="1" applyAlignment="1" applyProtection="1">
      <alignment horizontal="center" vertical="center" wrapText="1"/>
    </xf>
    <xf numFmtId="0" fontId="7" fillId="4" borderId="28" xfId="2" applyNumberFormat="1" applyFont="1" applyFill="1" applyBorder="1" applyAlignment="1" applyProtection="1">
      <alignment horizontal="center" vertical="center" wrapText="1"/>
    </xf>
    <xf numFmtId="0" fontId="13" fillId="3" borderId="5" xfId="2" applyNumberFormat="1" applyFont="1" applyFill="1" applyBorder="1" applyAlignment="1" applyProtection="1">
      <alignment horizontal="left" vertical="top" wrapText="1"/>
    </xf>
    <xf numFmtId="0" fontId="13" fillId="3" borderId="6" xfId="2" applyNumberFormat="1" applyFont="1" applyFill="1" applyBorder="1" applyAlignment="1" applyProtection="1">
      <alignment horizontal="center" vertical="top"/>
    </xf>
    <xf numFmtId="0" fontId="13" fillId="3" borderId="6" xfId="2" applyNumberFormat="1" applyFont="1" applyFill="1" applyBorder="1" applyAlignment="1" applyProtection="1">
      <alignment horizontal="center" vertical="center"/>
    </xf>
    <xf numFmtId="0" fontId="6" fillId="3" borderId="5" xfId="2" applyNumberFormat="1" applyFont="1" applyFill="1" applyBorder="1" applyAlignment="1" applyProtection="1">
      <alignment horizontal="left" vertical="top" wrapText="1"/>
    </xf>
    <xf numFmtId="0" fontId="6" fillId="3" borderId="6" xfId="2" applyNumberFormat="1" applyFont="1" applyFill="1" applyBorder="1" applyAlignment="1" applyProtection="1">
      <alignment horizontal="center" vertical="top"/>
    </xf>
    <xf numFmtId="0" fontId="6" fillId="3" borderId="6" xfId="2" applyNumberFormat="1" applyFont="1" applyFill="1" applyBorder="1" applyAlignment="1" applyProtection="1">
      <alignment horizontal="center" vertical="center"/>
    </xf>
    <xf numFmtId="0" fontId="14" fillId="3" borderId="5" xfId="2" applyNumberFormat="1" applyFont="1" applyFill="1" applyBorder="1" applyAlignment="1" applyProtection="1">
      <alignment horizontal="left" vertical="top" wrapText="1"/>
    </xf>
    <xf numFmtId="0" fontId="14" fillId="3" borderId="6" xfId="2" applyNumberFormat="1" applyFont="1" applyFill="1" applyBorder="1" applyAlignment="1" applyProtection="1">
      <alignment horizontal="center" vertical="top"/>
    </xf>
    <xf numFmtId="0" fontId="14" fillId="3" borderId="6" xfId="2" applyNumberFormat="1" applyFont="1" applyFill="1" applyBorder="1" applyAlignment="1" applyProtection="1">
      <alignment horizontal="center" vertical="center"/>
    </xf>
    <xf numFmtId="0" fontId="13" fillId="3" borderId="8" xfId="2" applyNumberFormat="1" applyFont="1" applyFill="1" applyBorder="1" applyAlignment="1" applyProtection="1">
      <alignment horizontal="left" vertical="top" wrapText="1"/>
    </xf>
    <xf numFmtId="0" fontId="13" fillId="3" borderId="9" xfId="2" applyNumberFormat="1" applyFont="1" applyFill="1" applyBorder="1" applyAlignment="1" applyProtection="1">
      <alignment horizontal="center" vertical="top"/>
    </xf>
    <xf numFmtId="0" fontId="13" fillId="3" borderId="9" xfId="2" applyNumberFormat="1" applyFont="1" applyFill="1" applyBorder="1" applyAlignment="1" applyProtection="1">
      <alignment horizontal="center" vertical="center"/>
    </xf>
    <xf numFmtId="166" fontId="13" fillId="3" borderId="9" xfId="2" applyNumberFormat="1" applyFont="1" applyFill="1" applyBorder="1" applyAlignment="1" applyProtection="1">
      <alignment horizontal="right" vertical="top"/>
    </xf>
    <xf numFmtId="166" fontId="13" fillId="3" borderId="10" xfId="2" applyNumberFormat="1" applyFont="1" applyFill="1" applyBorder="1" applyAlignment="1" applyProtection="1">
      <alignment horizontal="right" vertical="top"/>
    </xf>
    <xf numFmtId="0" fontId="11" fillId="3" borderId="0" xfId="2" applyNumberFormat="1" applyFont="1" applyFill="1" applyBorder="1" applyAlignment="1" applyProtection="1">
      <alignment horizontal="center" vertical="top"/>
    </xf>
    <xf numFmtId="0" fontId="10" fillId="3" borderId="0" xfId="2" applyFont="1" applyFill="1" applyAlignment="1">
      <alignment horizontal="left" vertical="center"/>
    </xf>
    <xf numFmtId="0" fontId="10" fillId="0" borderId="0" xfId="2" applyFont="1">
      <alignment vertical="center"/>
    </xf>
    <xf numFmtId="0" fontId="10" fillId="3" borderId="1" xfId="2" applyFont="1" applyFill="1" applyBorder="1" applyAlignment="1">
      <alignment horizontal="left" vertical="center"/>
    </xf>
    <xf numFmtId="0" fontId="7" fillId="4" borderId="3" xfId="2" applyFont="1" applyFill="1" applyBorder="1" applyAlignment="1">
      <alignment horizontal="center" vertical="center" wrapText="1"/>
    </xf>
    <xf numFmtId="0" fontId="7" fillId="4" borderId="4" xfId="2" applyFont="1" applyFill="1" applyBorder="1" applyAlignment="1">
      <alignment horizontal="center" vertical="center" wrapText="1"/>
    </xf>
    <xf numFmtId="0" fontId="7" fillId="3" borderId="6" xfId="2" applyFont="1" applyFill="1" applyBorder="1" applyAlignment="1">
      <alignment horizontal="center" vertical="center"/>
    </xf>
    <xf numFmtId="171" fontId="7" fillId="3" borderId="6" xfId="11" applyNumberFormat="1" applyFont="1" applyFill="1" applyBorder="1" applyAlignment="1" applyProtection="1">
      <alignment horizontal="right" vertical="center"/>
    </xf>
    <xf numFmtId="171" fontId="7" fillId="3" borderId="7" xfId="11" applyNumberFormat="1" applyFont="1" applyFill="1" applyBorder="1" applyAlignment="1" applyProtection="1">
      <alignment horizontal="right" vertical="center"/>
    </xf>
    <xf numFmtId="0" fontId="11" fillId="3" borderId="6" xfId="2" applyFont="1" applyFill="1" applyBorder="1" applyAlignment="1">
      <alignment horizontal="center" vertical="center"/>
    </xf>
    <xf numFmtId="171" fontId="11" fillId="3" borderId="6" xfId="11" applyNumberFormat="1" applyFont="1" applyFill="1" applyBorder="1" applyAlignment="1" applyProtection="1">
      <alignment horizontal="right" vertical="center"/>
    </xf>
    <xf numFmtId="171" fontId="11" fillId="3" borderId="7" xfId="11" applyNumberFormat="1" applyFont="1" applyFill="1" applyBorder="1" applyAlignment="1" applyProtection="1">
      <alignment horizontal="right" vertical="center"/>
    </xf>
    <xf numFmtId="0" fontId="11" fillId="0" borderId="0" xfId="2" applyFont="1">
      <alignment vertical="center"/>
    </xf>
    <xf numFmtId="0" fontId="10" fillId="3" borderId="6" xfId="2" applyFont="1" applyFill="1" applyBorder="1" applyAlignment="1">
      <alignment horizontal="center" vertical="center"/>
    </xf>
    <xf numFmtId="171" fontId="10" fillId="3" borderId="6" xfId="11" applyNumberFormat="1" applyFont="1" applyFill="1" applyBorder="1" applyAlignment="1" applyProtection="1">
      <alignment horizontal="right" vertical="center"/>
    </xf>
    <xf numFmtId="171" fontId="10" fillId="3" borderId="7" xfId="11" applyNumberFormat="1" applyFont="1" applyFill="1" applyBorder="1" applyAlignment="1" applyProtection="1">
      <alignment horizontal="right" vertical="center"/>
    </xf>
    <xf numFmtId="0" fontId="31" fillId="3" borderId="6" xfId="2" applyFont="1" applyFill="1" applyBorder="1" applyAlignment="1">
      <alignment horizontal="center" vertical="center"/>
    </xf>
    <xf numFmtId="171" fontId="31" fillId="3" borderId="6" xfId="11" applyNumberFormat="1" applyFont="1" applyFill="1" applyBorder="1" applyAlignment="1" applyProtection="1">
      <alignment horizontal="right" vertical="center"/>
    </xf>
    <xf numFmtId="171" fontId="31" fillId="3" borderId="7" xfId="11" applyNumberFormat="1" applyFont="1" applyFill="1" applyBorder="1" applyAlignment="1" applyProtection="1">
      <alignment horizontal="right" vertical="center"/>
    </xf>
    <xf numFmtId="0" fontId="7" fillId="0" borderId="0" xfId="2" applyFont="1">
      <alignment vertical="center"/>
    </xf>
    <xf numFmtId="0" fontId="10" fillId="3" borderId="9" xfId="2" applyFont="1" applyFill="1" applyBorder="1" applyAlignment="1">
      <alignment horizontal="center" vertical="center"/>
    </xf>
    <xf numFmtId="171" fontId="10" fillId="3" borderId="9" xfId="11" applyNumberFormat="1" applyFont="1" applyFill="1" applyBorder="1" applyAlignment="1" applyProtection="1">
      <alignment horizontal="right" vertical="center"/>
    </xf>
    <xf numFmtId="171" fontId="10" fillId="3" borderId="10" xfId="11" applyNumberFormat="1" applyFont="1" applyFill="1" applyBorder="1" applyAlignment="1" applyProtection="1">
      <alignment horizontal="right" vertical="center"/>
    </xf>
    <xf numFmtId="0" fontId="10" fillId="3" borderId="0" xfId="2" applyFont="1" applyFill="1" applyAlignment="1">
      <alignment horizontal="left" vertical="center" wrapText="1"/>
    </xf>
    <xf numFmtId="0" fontId="10" fillId="3" borderId="0" xfId="2" applyFont="1" applyFill="1" applyAlignment="1">
      <alignment horizontal="center" vertical="center"/>
    </xf>
    <xf numFmtId="171" fontId="10" fillId="3" borderId="0" xfId="11" applyNumberFormat="1" applyFont="1" applyFill="1" applyBorder="1" applyAlignment="1" applyProtection="1">
      <alignment horizontal="right" vertical="center"/>
    </xf>
    <xf numFmtId="0" fontId="7" fillId="3" borderId="0" xfId="2" applyFont="1" applyFill="1" applyAlignment="1">
      <alignment horizontal="center" vertical="center"/>
    </xf>
    <xf numFmtId="0" fontId="10" fillId="3" borderId="0" xfId="2" applyFont="1" applyFill="1" applyAlignment="1">
      <alignment horizontal="center" vertical="top"/>
    </xf>
    <xf numFmtId="0" fontId="10" fillId="0" borderId="0" xfId="2" applyFont="1" applyAlignment="1">
      <alignment vertical="top"/>
    </xf>
    <xf numFmtId="0" fontId="11" fillId="3" borderId="0" xfId="2" applyFont="1" applyFill="1" applyAlignment="1">
      <alignment vertical="center"/>
    </xf>
    <xf numFmtId="0" fontId="10" fillId="3" borderId="0" xfId="2" applyFont="1" applyFill="1" applyAlignment="1">
      <alignment vertical="center"/>
    </xf>
    <xf numFmtId="0" fontId="11" fillId="3" borderId="0" xfId="2" applyFont="1" applyFill="1">
      <alignment vertical="center"/>
    </xf>
    <xf numFmtId="0" fontId="7" fillId="3" borderId="0" xfId="2" applyFont="1" applyFill="1" applyAlignment="1">
      <alignment horizontal="center"/>
    </xf>
    <xf numFmtId="0" fontId="10" fillId="0" borderId="0" xfId="2" applyFont="1" applyAlignment="1">
      <alignment horizontal="center" vertical="center"/>
    </xf>
    <xf numFmtId="171" fontId="10" fillId="0" borderId="0" xfId="11" applyNumberFormat="1" applyFont="1" applyAlignment="1">
      <alignment vertical="center"/>
    </xf>
    <xf numFmtId="0" fontId="33" fillId="7" borderId="0" xfId="0" applyFont="1" applyFill="1"/>
    <xf numFmtId="0" fontId="33" fillId="7" borderId="0" xfId="0" applyFont="1" applyFill="1" applyAlignment="1">
      <alignment horizontal="left"/>
    </xf>
    <xf numFmtId="0" fontId="32" fillId="6" borderId="32" xfId="0" applyFont="1" applyFill="1" applyBorder="1" applyAlignment="1">
      <alignment vertical="center"/>
    </xf>
    <xf numFmtId="0" fontId="32" fillId="6" borderId="32" xfId="0" applyFont="1" applyFill="1" applyBorder="1" applyAlignment="1">
      <alignment vertical="center" wrapText="1"/>
    </xf>
    <xf numFmtId="0" fontId="32" fillId="6" borderId="33" xfId="0" applyFont="1" applyFill="1" applyBorder="1" applyAlignment="1">
      <alignment vertical="center" wrapText="1"/>
    </xf>
    <xf numFmtId="0" fontId="33" fillId="6" borderId="0" xfId="0" applyFont="1" applyFill="1" applyBorder="1" applyAlignment="1">
      <alignment vertical="center"/>
    </xf>
    <xf numFmtId="0" fontId="33" fillId="6" borderId="0" xfId="0" applyFont="1" applyFill="1" applyBorder="1" applyAlignment="1">
      <alignment vertical="center" wrapText="1"/>
    </xf>
    <xf numFmtId="0" fontId="33" fillId="6" borderId="38" xfId="0" applyFont="1" applyFill="1" applyBorder="1" applyAlignment="1">
      <alignment vertical="center" wrapText="1"/>
    </xf>
    <xf numFmtId="0" fontId="34" fillId="7" borderId="0" xfId="0" applyFont="1" applyFill="1" applyBorder="1"/>
    <xf numFmtId="0" fontId="32" fillId="6" borderId="0" xfId="0" applyFont="1" applyFill="1" applyBorder="1" applyAlignment="1">
      <alignment vertical="center"/>
    </xf>
    <xf numFmtId="0" fontId="32" fillId="6" borderId="0" xfId="0" applyFont="1" applyFill="1" applyBorder="1" applyAlignment="1">
      <alignment vertical="center" wrapText="1"/>
    </xf>
    <xf numFmtId="0" fontId="32" fillId="6" borderId="38" xfId="0" applyFont="1" applyFill="1" applyBorder="1" applyAlignment="1">
      <alignment vertical="center" wrapText="1"/>
    </xf>
    <xf numFmtId="168" fontId="32" fillId="6" borderId="0" xfId="0" applyNumberFormat="1" applyFont="1" applyFill="1" applyBorder="1" applyAlignment="1">
      <alignment horizontal="left" vertical="center"/>
    </xf>
    <xf numFmtId="172" fontId="33" fillId="6" borderId="36" xfId="0" applyNumberFormat="1" applyFont="1" applyFill="1" applyBorder="1" applyAlignment="1"/>
    <xf numFmtId="0" fontId="36" fillId="7" borderId="0" xfId="0" applyFont="1" applyFill="1"/>
    <xf numFmtId="0" fontId="33" fillId="7" borderId="0" xfId="0" applyFont="1" applyFill="1" applyBorder="1"/>
    <xf numFmtId="0" fontId="33" fillId="7" borderId="35" xfId="0" applyFont="1" applyFill="1" applyBorder="1"/>
    <xf numFmtId="0" fontId="40" fillId="7" borderId="0" xfId="13" applyFont="1" applyFill="1" applyBorder="1" applyAlignment="1">
      <alignment horizontal="center" vertical="center"/>
    </xf>
    <xf numFmtId="0" fontId="39" fillId="7" borderId="0" xfId="13" applyFont="1" applyFill="1" applyBorder="1" applyAlignment="1">
      <alignment horizontal="center" vertical="center"/>
    </xf>
    <xf numFmtId="0" fontId="32" fillId="7" borderId="39" xfId="0" applyFont="1" applyFill="1" applyBorder="1" applyAlignment="1">
      <alignment horizontal="center" vertical="center"/>
    </xf>
    <xf numFmtId="0" fontId="32" fillId="7" borderId="39" xfId="0" applyFont="1" applyFill="1" applyBorder="1" applyAlignment="1">
      <alignment horizontal="left" vertical="center"/>
    </xf>
    <xf numFmtId="0" fontId="33" fillId="7" borderId="39" xfId="0" applyFont="1" applyFill="1" applyBorder="1" applyAlignment="1">
      <alignment horizontal="center" vertical="center"/>
    </xf>
    <xf numFmtId="0" fontId="42" fillId="7" borderId="39" xfId="14" applyFont="1" applyFill="1" applyBorder="1" applyAlignment="1">
      <alignment horizontal="center" vertical="center"/>
    </xf>
    <xf numFmtId="0" fontId="42" fillId="7" borderId="39" xfId="14" quotePrefix="1" applyFont="1" applyFill="1" applyBorder="1" applyAlignment="1">
      <alignment horizontal="center" vertical="center"/>
    </xf>
    <xf numFmtId="0" fontId="39" fillId="7" borderId="39" xfId="13" applyFont="1" applyFill="1" applyBorder="1" applyAlignment="1">
      <alignment horizontal="center" vertical="center"/>
    </xf>
    <xf numFmtId="0" fontId="43" fillId="7" borderId="0" xfId="0" applyFont="1" applyFill="1" applyBorder="1"/>
    <xf numFmtId="0" fontId="36" fillId="7" borderId="0" xfId="0" applyFont="1" applyFill="1" applyBorder="1" applyAlignment="1">
      <alignment vertical="center"/>
    </xf>
    <xf numFmtId="0" fontId="26" fillId="6" borderId="0" xfId="0" applyFont="1" applyFill="1" applyBorder="1" applyAlignment="1">
      <alignment vertical="center" wrapText="1"/>
    </xf>
    <xf numFmtId="0" fontId="7" fillId="3" borderId="0" xfId="2" applyNumberFormat="1" applyFont="1" applyFill="1" applyBorder="1" applyAlignment="1" applyProtection="1">
      <alignment vertical="center"/>
    </xf>
    <xf numFmtId="0" fontId="10" fillId="3" borderId="0" xfId="2" applyNumberFormat="1" applyFont="1" applyFill="1" applyBorder="1" applyAlignment="1" applyProtection="1">
      <alignment vertical="center"/>
    </xf>
    <xf numFmtId="0" fontId="7" fillId="3" borderId="0" xfId="2" applyNumberFormat="1" applyFont="1" applyFill="1" applyBorder="1" applyAlignment="1" applyProtection="1">
      <alignment vertical="top" wrapText="1"/>
    </xf>
    <xf numFmtId="0" fontId="10" fillId="3" borderId="0" xfId="2" applyNumberFormat="1" applyFont="1" applyFill="1" applyBorder="1" applyAlignment="1" applyProtection="1">
      <alignment vertical="top"/>
    </xf>
    <xf numFmtId="168" fontId="26" fillId="6" borderId="0" xfId="0" applyNumberFormat="1" applyFont="1" applyFill="1" applyBorder="1" applyAlignment="1">
      <alignment vertical="center"/>
    </xf>
    <xf numFmtId="170" fontId="10" fillId="3" borderId="0" xfId="12" applyNumberFormat="1" applyFont="1" applyFill="1" applyBorder="1" applyAlignment="1" applyProtection="1">
      <alignment vertical="top"/>
    </xf>
    <xf numFmtId="3" fontId="4" fillId="0" borderId="0" xfId="2" applyNumberFormat="1" applyFont="1">
      <alignment vertical="center"/>
    </xf>
    <xf numFmtId="166" fontId="4" fillId="0" borderId="0" xfId="2" applyNumberFormat="1" applyFont="1">
      <alignment vertical="center"/>
    </xf>
    <xf numFmtId="0" fontId="10" fillId="3" borderId="0" xfId="2" applyNumberFormat="1" applyFont="1" applyFill="1" applyBorder="1" applyAlignment="1" applyProtection="1">
      <alignment horizontal="center" vertical="center"/>
    </xf>
    <xf numFmtId="0" fontId="11" fillId="3" borderId="0" xfId="2" applyNumberFormat="1" applyFont="1" applyFill="1" applyBorder="1" applyAlignment="1" applyProtection="1">
      <alignment horizontal="center" vertical="center"/>
    </xf>
    <xf numFmtId="43" fontId="13" fillId="3" borderId="6" xfId="2" applyNumberFormat="1" applyFont="1" applyFill="1" applyBorder="1" applyAlignment="1" applyProtection="1">
      <alignment horizontal="right" vertical="top"/>
    </xf>
    <xf numFmtId="43" fontId="13" fillId="3" borderId="7" xfId="2" applyNumberFormat="1" applyFont="1" applyFill="1" applyBorder="1" applyAlignment="1" applyProtection="1">
      <alignment horizontal="right" vertical="top"/>
    </xf>
    <xf numFmtId="0" fontId="23" fillId="6" borderId="0" xfId="15" applyFont="1" applyFill="1"/>
    <xf numFmtId="0" fontId="31" fillId="6" borderId="0" xfId="15" applyFont="1" applyFill="1" applyAlignment="1">
      <alignment wrapText="1"/>
    </xf>
    <xf numFmtId="0" fontId="11" fillId="6" borderId="0" xfId="15" applyFont="1" applyFill="1" applyAlignment="1">
      <alignment horizontal="center"/>
    </xf>
    <xf numFmtId="0" fontId="7" fillId="6" borderId="0" xfId="15" applyFont="1" applyFill="1" applyAlignment="1">
      <alignment horizontal="center"/>
    </xf>
    <xf numFmtId="171" fontId="7" fillId="6" borderId="0" xfId="16" applyNumberFormat="1" applyFont="1" applyFill="1" applyAlignment="1">
      <alignment horizontal="center"/>
    </xf>
    <xf numFmtId="0" fontId="7" fillId="6" borderId="0" xfId="15" applyFont="1" applyFill="1" applyAlignment="1">
      <alignment horizontal="center" vertical="center" wrapText="1"/>
    </xf>
    <xf numFmtId="0" fontId="7" fillId="6" borderId="0" xfId="15" applyFont="1" applyFill="1" applyAlignment="1">
      <alignment horizontal="left" vertical="center"/>
    </xf>
    <xf numFmtId="0" fontId="10" fillId="6" borderId="0" xfId="15" applyFont="1" applyFill="1" applyAlignment="1">
      <alignment horizontal="left" vertical="center"/>
    </xf>
    <xf numFmtId="171" fontId="10" fillId="6" borderId="0" xfId="16" applyNumberFormat="1" applyFont="1" applyFill="1" applyAlignment="1">
      <alignment horizontal="center"/>
    </xf>
    <xf numFmtId="0" fontId="10" fillId="6" borderId="0" xfId="15" applyFont="1" applyFill="1" applyAlignment="1">
      <alignment horizontal="center"/>
    </xf>
    <xf numFmtId="0" fontId="7" fillId="6" borderId="0" xfId="15" applyFont="1" applyFill="1" applyAlignment="1">
      <alignment horizontal="center" vertical="center"/>
    </xf>
    <xf numFmtId="0" fontId="7" fillId="6" borderId="0" xfId="15" applyFont="1" applyFill="1" applyAlignment="1">
      <alignment horizontal="left" wrapText="1"/>
    </xf>
    <xf numFmtId="0" fontId="7" fillId="6" borderId="0" xfId="15" applyFont="1" applyFill="1" applyAlignment="1">
      <alignment vertical="center"/>
    </xf>
    <xf numFmtId="48" fontId="10" fillId="6" borderId="0" xfId="15" applyNumberFormat="1" applyFont="1" applyFill="1" applyAlignment="1" applyProtection="1">
      <alignment horizontal="left" vertical="center" wrapText="1"/>
      <protection locked="0"/>
    </xf>
    <xf numFmtId="0" fontId="10" fillId="6" borderId="0" xfId="15" applyFont="1" applyFill="1" applyAlignment="1">
      <alignment horizontal="left" wrapText="1"/>
    </xf>
    <xf numFmtId="0" fontId="21" fillId="5" borderId="0" xfId="17" applyNumberFormat="1" applyFont="1" applyFill="1" applyBorder="1" applyAlignment="1" applyProtection="1">
      <alignment vertical="top"/>
    </xf>
    <xf numFmtId="0" fontId="10" fillId="6" borderId="0" xfId="15" applyFont="1" applyFill="1" applyAlignment="1">
      <alignment vertical="center"/>
    </xf>
    <xf numFmtId="3" fontId="10" fillId="6" borderId="0" xfId="15" applyNumberFormat="1" applyFont="1" applyFill="1" applyAlignment="1">
      <alignment horizontal="left" vertical="center" wrapText="1"/>
    </xf>
    <xf numFmtId="48" fontId="7" fillId="6" borderId="0" xfId="15" applyNumberFormat="1" applyFont="1" applyFill="1" applyAlignment="1" applyProtection="1">
      <alignment horizontal="left" vertical="center" wrapText="1"/>
      <protection locked="0"/>
    </xf>
    <xf numFmtId="48" fontId="10" fillId="6" borderId="0" xfId="15" applyNumberFormat="1" applyFont="1" applyFill="1" applyAlignment="1" applyProtection="1">
      <alignment vertical="center" wrapText="1"/>
      <protection locked="0"/>
    </xf>
    <xf numFmtId="0" fontId="26" fillId="6" borderId="0" xfId="0" applyFont="1" applyFill="1" applyAlignment="1">
      <alignment vertical="center"/>
    </xf>
    <xf numFmtId="165" fontId="10" fillId="6" borderId="0" xfId="15" applyNumberFormat="1" applyFont="1" applyFill="1" applyAlignment="1">
      <alignment horizontal="left" vertical="center" wrapText="1"/>
    </xf>
    <xf numFmtId="0" fontId="10" fillId="6" borderId="0" xfId="15" applyFont="1" applyFill="1" applyAlignment="1">
      <alignment horizontal="left" vertical="center" wrapText="1"/>
    </xf>
    <xf numFmtId="0" fontId="23" fillId="6" borderId="0" xfId="15" applyFont="1" applyFill="1" applyAlignment="1">
      <alignment horizontal="left"/>
    </xf>
    <xf numFmtId="3" fontId="10" fillId="6" borderId="0" xfId="15" applyNumberFormat="1" applyFont="1" applyFill="1" applyAlignment="1">
      <alignment wrapText="1"/>
    </xf>
    <xf numFmtId="3" fontId="7" fillId="6" borderId="0" xfId="15" applyNumberFormat="1" applyFont="1" applyFill="1" applyAlignment="1">
      <alignment wrapText="1"/>
    </xf>
    <xf numFmtId="0" fontId="29" fillId="6" borderId="0" xfId="15" applyFont="1" applyFill="1"/>
    <xf numFmtId="0" fontId="26" fillId="8" borderId="39" xfId="15" applyFont="1" applyFill="1" applyBorder="1" applyAlignment="1">
      <alignment horizontal="center" vertical="center" wrapText="1"/>
    </xf>
    <xf numFmtId="0" fontId="23" fillId="0" borderId="39" xfId="15" applyFont="1" applyFill="1" applyBorder="1" applyAlignment="1">
      <alignment horizontal="center" vertical="center"/>
    </xf>
    <xf numFmtId="49" fontId="23" fillId="0" borderId="39" xfId="15" applyNumberFormat="1" applyFont="1" applyFill="1" applyBorder="1" applyAlignment="1" applyProtection="1">
      <alignment horizontal="left" vertical="center" wrapText="1"/>
    </xf>
    <xf numFmtId="49" fontId="46" fillId="0" borderId="39" xfId="15" applyNumberFormat="1" applyFont="1" applyFill="1" applyBorder="1" applyAlignment="1" applyProtection="1">
      <alignment horizontal="center" vertical="center" wrapText="1"/>
    </xf>
    <xf numFmtId="49" fontId="29" fillId="0" borderId="39" xfId="15" applyNumberFormat="1" applyFont="1" applyFill="1" applyBorder="1" applyAlignment="1" applyProtection="1">
      <alignment horizontal="left" vertical="center" wrapText="1"/>
    </xf>
    <xf numFmtId="49" fontId="23" fillId="0" borderId="39" xfId="15" applyNumberFormat="1" applyFont="1" applyFill="1" applyBorder="1" applyAlignment="1" applyProtection="1">
      <alignment horizontal="center" vertical="center" wrapText="1"/>
    </xf>
    <xf numFmtId="0" fontId="11" fillId="6" borderId="0" xfId="15" applyFont="1" applyFill="1"/>
    <xf numFmtId="173" fontId="45" fillId="6" borderId="0" xfId="18" applyNumberFormat="1" applyFont="1" applyFill="1" applyAlignment="1">
      <alignment vertical="center" wrapText="1"/>
    </xf>
    <xf numFmtId="0" fontId="29" fillId="6" borderId="0" xfId="18" applyFont="1" applyFill="1" applyBorder="1" applyAlignment="1">
      <alignment vertical="center"/>
    </xf>
    <xf numFmtId="171" fontId="45" fillId="6" borderId="0" xfId="16" applyNumberFormat="1" applyFont="1" applyFill="1" applyBorder="1" applyAlignment="1">
      <alignment vertical="center" wrapText="1"/>
    </xf>
    <xf numFmtId="0" fontId="45" fillId="6" borderId="0" xfId="18" applyFont="1" applyFill="1" applyBorder="1" applyAlignment="1">
      <alignment vertical="center"/>
    </xf>
    <xf numFmtId="0" fontId="45" fillId="6" borderId="0" xfId="18" applyFont="1" applyFill="1" applyBorder="1" applyAlignment="1">
      <alignment vertical="center" wrapText="1"/>
    </xf>
    <xf numFmtId="171" fontId="45" fillId="6" borderId="0" xfId="16" applyNumberFormat="1" applyFont="1" applyFill="1" applyBorder="1" applyAlignment="1">
      <alignment horizontal="right" vertical="center" wrapText="1"/>
    </xf>
    <xf numFmtId="171" fontId="45" fillId="6" borderId="0" xfId="16" applyNumberFormat="1" applyFont="1" applyFill="1" applyBorder="1" applyAlignment="1">
      <alignment horizontal="left" vertical="center"/>
    </xf>
    <xf numFmtId="2" fontId="29" fillId="6" borderId="0" xfId="18" applyNumberFormat="1" applyFont="1" applyFill="1" applyAlignment="1">
      <alignment vertical="center"/>
    </xf>
    <xf numFmtId="171" fontId="45" fillId="6" borderId="0" xfId="16" applyNumberFormat="1" applyFont="1" applyFill="1" applyBorder="1" applyAlignment="1">
      <alignment horizontal="right" vertical="center"/>
    </xf>
    <xf numFmtId="171" fontId="45" fillId="6" borderId="0" xfId="16" applyNumberFormat="1" applyFont="1" applyFill="1" applyAlignment="1">
      <alignment horizontal="right" vertical="center"/>
    </xf>
    <xf numFmtId="2" fontId="29" fillId="6" borderId="0" xfId="18" applyNumberFormat="1" applyFont="1" applyFill="1" applyAlignment="1">
      <alignment horizontal="right" vertical="center"/>
    </xf>
    <xf numFmtId="171" fontId="29" fillId="6" borderId="0" xfId="16" applyNumberFormat="1" applyFont="1" applyFill="1" applyAlignment="1">
      <alignment horizontal="right" vertical="center"/>
    </xf>
    <xf numFmtId="2" fontId="45" fillId="6" borderId="0" xfId="18" applyNumberFormat="1" applyFont="1" applyFill="1" applyAlignment="1">
      <alignment vertical="center"/>
    </xf>
    <xf numFmtId="2" fontId="29" fillId="6" borderId="35" xfId="18" applyNumberFormat="1" applyFont="1" applyFill="1" applyBorder="1" applyAlignment="1">
      <alignment vertical="center"/>
    </xf>
    <xf numFmtId="171" fontId="29" fillId="6" borderId="35" xfId="16" applyNumberFormat="1" applyFont="1" applyFill="1" applyBorder="1" applyAlignment="1">
      <alignment horizontal="right" vertical="center"/>
    </xf>
    <xf numFmtId="2" fontId="29" fillId="6" borderId="0" xfId="18" applyNumberFormat="1" applyFont="1" applyFill="1" applyBorder="1" applyAlignment="1">
      <alignment horizontal="right" vertical="center"/>
    </xf>
    <xf numFmtId="0" fontId="23" fillId="6" borderId="0" xfId="15" applyFont="1" applyFill="1" applyBorder="1"/>
    <xf numFmtId="2" fontId="29" fillId="6" borderId="0" xfId="18" applyNumberFormat="1" applyFont="1" applyFill="1" applyBorder="1" applyAlignment="1">
      <alignment vertical="center"/>
    </xf>
    <xf numFmtId="0" fontId="23" fillId="6" borderId="0" xfId="15" applyFont="1" applyFill="1" applyAlignment="1">
      <alignment vertical="center"/>
    </xf>
    <xf numFmtId="2" fontId="23" fillId="6" borderId="0" xfId="18" applyNumberFormat="1" applyFont="1" applyFill="1" applyAlignment="1">
      <alignment vertical="center"/>
    </xf>
    <xf numFmtId="0" fontId="45" fillId="0" borderId="0" xfId="15" applyFont="1" applyFill="1" applyAlignment="1">
      <alignment vertical="center"/>
    </xf>
    <xf numFmtId="0" fontId="45" fillId="6" borderId="0" xfId="15" applyFont="1" applyFill="1" applyAlignment="1">
      <alignment vertical="center"/>
    </xf>
    <xf numFmtId="0" fontId="32" fillId="7" borderId="39" xfId="0" applyFont="1" applyFill="1" applyBorder="1" applyAlignment="1">
      <alignment horizontal="left" wrapText="1"/>
    </xf>
    <xf numFmtId="0" fontId="33" fillId="7" borderId="39" xfId="0" applyFont="1" applyFill="1" applyBorder="1" applyAlignment="1">
      <alignment horizontal="left" vertical="center"/>
    </xf>
    <xf numFmtId="0" fontId="38" fillId="6" borderId="37" xfId="13" applyFont="1" applyFill="1" applyBorder="1" applyAlignment="1">
      <alignment horizontal="center" vertical="center"/>
    </xf>
    <xf numFmtId="0" fontId="38" fillId="6" borderId="0" xfId="13" applyFont="1" applyFill="1" applyBorder="1" applyAlignment="1">
      <alignment horizontal="center" vertical="center"/>
    </xf>
    <xf numFmtId="0" fontId="38" fillId="6" borderId="38" xfId="13" applyFont="1" applyFill="1" applyBorder="1" applyAlignment="1">
      <alignment horizontal="center" vertical="center"/>
    </xf>
    <xf numFmtId="0" fontId="39" fillId="6" borderId="37" xfId="13" applyFont="1" applyFill="1" applyBorder="1" applyAlignment="1">
      <alignment horizontal="center" vertical="center"/>
    </xf>
    <xf numFmtId="0" fontId="39" fillId="6" borderId="0" xfId="13" applyFont="1" applyFill="1" applyBorder="1" applyAlignment="1">
      <alignment horizontal="center" vertical="center"/>
    </xf>
    <xf numFmtId="0" fontId="39" fillId="6" borderId="38" xfId="13" applyFont="1" applyFill="1" applyBorder="1" applyAlignment="1">
      <alignment horizontal="center" vertical="center"/>
    </xf>
    <xf numFmtId="0" fontId="40" fillId="6" borderId="37" xfId="13" applyFont="1" applyFill="1" applyBorder="1" applyAlignment="1">
      <alignment horizontal="center" vertical="center"/>
    </xf>
    <xf numFmtId="0" fontId="40" fillId="6" borderId="0" xfId="13" applyFont="1" applyFill="1" applyBorder="1" applyAlignment="1">
      <alignment horizontal="center" vertical="center"/>
    </xf>
    <xf numFmtId="0" fontId="40" fillId="6" borderId="38" xfId="13" applyFont="1" applyFill="1" applyBorder="1" applyAlignment="1">
      <alignment horizontal="center" vertical="center"/>
    </xf>
    <xf numFmtId="0" fontId="40" fillId="6" borderId="34" xfId="13" applyFont="1" applyFill="1" applyBorder="1" applyAlignment="1">
      <alignment horizontal="center" vertical="center"/>
    </xf>
    <xf numFmtId="0" fontId="40" fillId="6" borderId="35" xfId="13" applyFont="1" applyFill="1" applyBorder="1" applyAlignment="1">
      <alignment horizontal="center" vertical="center"/>
    </xf>
    <xf numFmtId="0" fontId="40" fillId="6" borderId="36" xfId="13" applyFont="1" applyFill="1" applyBorder="1" applyAlignment="1">
      <alignment horizontal="center" vertical="center"/>
    </xf>
    <xf numFmtId="0" fontId="32" fillId="7" borderId="39" xfId="0" applyFont="1" applyFill="1" applyBorder="1" applyAlignment="1">
      <alignment horizontal="left" vertical="center"/>
    </xf>
    <xf numFmtId="170" fontId="35" fillId="3" borderId="35" xfId="12" applyNumberFormat="1" applyFont="1" applyFill="1" applyBorder="1" applyAlignment="1" applyProtection="1">
      <alignment horizontal="left" vertical="top"/>
    </xf>
    <xf numFmtId="0" fontId="32" fillId="7" borderId="0" xfId="0" applyFont="1" applyFill="1" applyAlignment="1">
      <alignment horizontal="left"/>
    </xf>
    <xf numFmtId="0" fontId="15" fillId="6" borderId="31" xfId="0" applyFont="1" applyFill="1" applyBorder="1" applyAlignment="1">
      <alignment horizontal="center" vertical="center"/>
    </xf>
    <xf numFmtId="0" fontId="15" fillId="6" borderId="32" xfId="0" applyFont="1" applyFill="1" applyBorder="1" applyAlignment="1">
      <alignment horizontal="center" vertical="center"/>
    </xf>
    <xf numFmtId="0" fontId="15" fillId="6" borderId="33" xfId="0" applyFont="1" applyFill="1" applyBorder="1" applyAlignment="1">
      <alignment horizontal="center" vertical="center"/>
    </xf>
    <xf numFmtId="0" fontId="33" fillId="6" borderId="34" xfId="0" applyFont="1" applyFill="1" applyBorder="1" applyAlignment="1">
      <alignment horizontal="left"/>
    </xf>
    <xf numFmtId="0" fontId="33" fillId="6" borderId="35" xfId="0" applyFont="1" applyFill="1" applyBorder="1" applyAlignment="1">
      <alignment horizontal="left"/>
    </xf>
    <xf numFmtId="0" fontId="32" fillId="6" borderId="37" xfId="0" applyFont="1" applyFill="1" applyBorder="1" applyAlignment="1">
      <alignment horizontal="left" vertical="center" wrapText="1"/>
    </xf>
    <xf numFmtId="0" fontId="32" fillId="6" borderId="0" xfId="0" applyFont="1" applyFill="1" applyBorder="1" applyAlignment="1">
      <alignment horizontal="left" vertical="center" wrapText="1"/>
    </xf>
    <xf numFmtId="0" fontId="33" fillId="6" borderId="37" xfId="0" applyFont="1" applyFill="1" applyBorder="1" applyAlignment="1">
      <alignment horizontal="left" vertical="center" wrapText="1"/>
    </xf>
    <xf numFmtId="0" fontId="33" fillId="6" borderId="0" xfId="0" applyFont="1" applyFill="1" applyBorder="1" applyAlignment="1">
      <alignment horizontal="left" vertical="center" wrapText="1"/>
    </xf>
    <xf numFmtId="0" fontId="32" fillId="7" borderId="0" xfId="0" applyFont="1" applyFill="1" applyBorder="1" applyAlignment="1">
      <alignment horizontal="left"/>
    </xf>
    <xf numFmtId="0" fontId="33" fillId="6" borderId="31" xfId="0" applyFont="1" applyFill="1" applyBorder="1" applyAlignment="1">
      <alignment horizontal="left" wrapText="1"/>
    </xf>
    <xf numFmtId="0" fontId="33" fillId="6" borderId="32" xfId="0" applyFont="1" applyFill="1" applyBorder="1" applyAlignment="1">
      <alignment horizontal="left" wrapText="1"/>
    </xf>
    <xf numFmtId="0" fontId="33" fillId="6" borderId="33" xfId="0" applyFont="1" applyFill="1" applyBorder="1" applyAlignment="1">
      <alignment horizontal="left" wrapText="1"/>
    </xf>
    <xf numFmtId="0" fontId="33" fillId="6" borderId="34" xfId="0" applyFont="1" applyFill="1" applyBorder="1" applyAlignment="1">
      <alignment horizontal="left" wrapText="1"/>
    </xf>
    <xf numFmtId="0" fontId="33" fillId="6" borderId="35" xfId="0" applyFont="1" applyFill="1" applyBorder="1" applyAlignment="1">
      <alignment horizontal="left" wrapText="1"/>
    </xf>
    <xf numFmtId="0" fontId="33" fillId="6" borderId="36" xfId="0" applyFont="1" applyFill="1" applyBorder="1" applyAlignment="1">
      <alignment horizontal="left" wrapText="1"/>
    </xf>
    <xf numFmtId="0" fontId="32" fillId="6" borderId="31" xfId="0" applyFont="1" applyFill="1" applyBorder="1" applyAlignment="1">
      <alignment horizontal="left" vertical="center" wrapText="1"/>
    </xf>
    <xf numFmtId="0" fontId="32" fillId="6" borderId="32" xfId="0" applyFont="1" applyFill="1" applyBorder="1" applyAlignment="1">
      <alignment horizontal="left" vertical="center" wrapText="1"/>
    </xf>
    <xf numFmtId="0" fontId="10"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center" vertical="center" wrapText="1"/>
    </xf>
    <xf numFmtId="0" fontId="7" fillId="3" borderId="0" xfId="2" applyNumberFormat="1" applyFont="1" applyFill="1" applyBorder="1" applyAlignment="1" applyProtection="1">
      <alignment horizontal="center" vertical="top"/>
    </xf>
    <xf numFmtId="0" fontId="10" fillId="3" borderId="0"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xf>
    <xf numFmtId="170" fontId="10" fillId="3" borderId="0" xfId="1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left" vertical="top" wrapText="1"/>
    </xf>
    <xf numFmtId="0" fontId="10" fillId="3" borderId="1" xfId="2" applyNumberFormat="1" applyFont="1" applyFill="1" applyBorder="1" applyAlignment="1" applyProtection="1">
      <alignment horizontal="right" vertical="top"/>
    </xf>
    <xf numFmtId="0" fontId="6" fillId="3" borderId="0" xfId="2" applyNumberFormat="1" applyFont="1" applyFill="1" applyBorder="1" applyAlignment="1" applyProtection="1">
      <alignment horizontal="left" vertical="top"/>
    </xf>
    <xf numFmtId="0" fontId="8" fillId="3" borderId="0" xfId="2" applyNumberFormat="1" applyFont="1" applyFill="1" applyBorder="1" applyAlignment="1" applyProtection="1">
      <alignment horizontal="center" vertical="center" wrapText="1"/>
    </xf>
    <xf numFmtId="0" fontId="15" fillId="3" borderId="0" xfId="2" applyNumberFormat="1" applyFont="1" applyFill="1" applyBorder="1" applyAlignment="1" applyProtection="1">
      <alignment horizontal="center" vertical="center" wrapText="1"/>
    </xf>
    <xf numFmtId="168" fontId="26" fillId="6" borderId="0" xfId="0" applyNumberFormat="1" applyFont="1" applyFill="1" applyBorder="1" applyAlignment="1">
      <alignment horizontal="left" vertical="center"/>
    </xf>
    <xf numFmtId="0" fontId="7" fillId="3" borderId="0" xfId="2" applyNumberFormat="1" applyFont="1" applyFill="1" applyBorder="1" applyAlignment="1" applyProtection="1">
      <alignment horizontal="center" vertical="center"/>
    </xf>
    <xf numFmtId="0" fontId="7" fillId="3" borderId="0" xfId="2" applyNumberFormat="1" applyFont="1" applyFill="1" applyBorder="1" applyAlignment="1" applyProtection="1">
      <alignment horizontal="left" vertical="center"/>
    </xf>
    <xf numFmtId="0" fontId="10" fillId="3" borderId="0" xfId="2" applyNumberFormat="1" applyFont="1" applyFill="1" applyBorder="1" applyAlignment="1" applyProtection="1">
      <alignment horizontal="left" vertical="center"/>
    </xf>
    <xf numFmtId="0" fontId="7" fillId="3" borderId="0" xfId="2" applyNumberFormat="1" applyFont="1" applyFill="1" applyBorder="1" applyAlignment="1" applyProtection="1">
      <alignment horizontal="left" vertical="center" wrapText="1"/>
    </xf>
    <xf numFmtId="0" fontId="11" fillId="3" borderId="0" xfId="2" applyNumberFormat="1" applyFont="1" applyFill="1" applyBorder="1" applyAlignment="1" applyProtection="1">
      <alignment horizontal="left" vertical="top"/>
    </xf>
    <xf numFmtId="0" fontId="11" fillId="3" borderId="0" xfId="2" applyNumberFormat="1" applyFont="1" applyFill="1" applyBorder="1" applyAlignment="1" applyProtection="1">
      <alignment horizontal="left" vertical="top" wrapText="1"/>
    </xf>
    <xf numFmtId="0" fontId="7" fillId="3" borderId="0" xfId="2" applyNumberFormat="1" applyFont="1" applyFill="1" applyBorder="1" applyAlignment="1" applyProtection="1">
      <alignment horizontal="right" vertical="center" wrapText="1"/>
    </xf>
    <xf numFmtId="0" fontId="9" fillId="3" borderId="0" xfId="2" applyNumberFormat="1" applyFont="1" applyFill="1" applyBorder="1" applyAlignment="1" applyProtection="1">
      <alignment horizontal="center" vertical="center" wrapText="1"/>
    </xf>
    <xf numFmtId="0" fontId="23" fillId="6" borderId="0" xfId="15" applyFont="1" applyFill="1" applyAlignment="1">
      <alignment horizontal="left"/>
    </xf>
    <xf numFmtId="0" fontId="31" fillId="6" borderId="0" xfId="15" applyFont="1" applyFill="1" applyAlignment="1">
      <alignment horizontal="center" vertical="center" wrapText="1"/>
    </xf>
    <xf numFmtId="0" fontId="8" fillId="6" borderId="0" xfId="15" applyFont="1" applyFill="1" applyAlignment="1">
      <alignment horizontal="center" vertical="center" wrapText="1"/>
    </xf>
    <xf numFmtId="0" fontId="7" fillId="6" borderId="0" xfId="15" applyFont="1" applyFill="1" applyAlignment="1">
      <alignment horizontal="center" vertical="center" wrapText="1"/>
    </xf>
    <xf numFmtId="3" fontId="31" fillId="6" borderId="0" xfId="15" applyNumberFormat="1" applyFont="1" applyFill="1" applyAlignment="1">
      <alignment horizontal="center" vertical="center" wrapText="1"/>
    </xf>
    <xf numFmtId="0" fontId="31" fillId="6" borderId="0" xfId="15" applyFont="1" applyFill="1" applyAlignment="1">
      <alignment horizontal="center" vertical="center"/>
    </xf>
    <xf numFmtId="0" fontId="26" fillId="8" borderId="40" xfId="15" applyFont="1" applyFill="1" applyBorder="1" applyAlignment="1">
      <alignment horizontal="center" vertical="center" wrapText="1"/>
    </xf>
    <xf numFmtId="0" fontId="26" fillId="8" borderId="43" xfId="15" applyFont="1" applyFill="1" applyBorder="1" applyAlignment="1">
      <alignment horizontal="center" vertical="center" wrapText="1"/>
    </xf>
    <xf numFmtId="0" fontId="26" fillId="8" borderId="41" xfId="15" applyFont="1" applyFill="1" applyBorder="1" applyAlignment="1">
      <alignment horizontal="center" vertical="center" wrapText="1"/>
    </xf>
    <xf numFmtId="0" fontId="26" fillId="8" borderId="42" xfId="15" applyFont="1" applyFill="1" applyBorder="1" applyAlignment="1">
      <alignment horizontal="center" vertical="center" wrapText="1"/>
    </xf>
    <xf numFmtId="0" fontId="23" fillId="0" borderId="31" xfId="15" applyFont="1" applyBorder="1" applyAlignment="1">
      <alignment horizontal="center" vertical="center" wrapText="1"/>
    </xf>
    <xf numFmtId="0" fontId="23" fillId="0" borderId="32" xfId="15" applyFont="1" applyBorder="1" applyAlignment="1">
      <alignment horizontal="center" vertical="center" wrapText="1"/>
    </xf>
    <xf numFmtId="0" fontId="23" fillId="0" borderId="33" xfId="15" applyFont="1" applyBorder="1" applyAlignment="1">
      <alignment horizontal="center" vertical="center" wrapText="1"/>
    </xf>
    <xf numFmtId="0" fontId="23" fillId="0" borderId="37" xfId="15" applyFont="1" applyBorder="1" applyAlignment="1">
      <alignment horizontal="center" vertical="center" wrapText="1"/>
    </xf>
    <xf numFmtId="0" fontId="23" fillId="0" borderId="0" xfId="15" applyFont="1" applyBorder="1" applyAlignment="1">
      <alignment horizontal="center" vertical="center" wrapText="1"/>
    </xf>
    <xf numFmtId="0" fontId="23" fillId="0" borderId="38" xfId="15" applyFont="1" applyBorder="1" applyAlignment="1">
      <alignment horizontal="center" vertical="center" wrapText="1"/>
    </xf>
    <xf numFmtId="0" fontId="23" fillId="0" borderId="34" xfId="15" applyFont="1" applyBorder="1" applyAlignment="1">
      <alignment horizontal="center" vertical="center" wrapText="1"/>
    </xf>
    <xf numFmtId="0" fontId="23" fillId="0" borderId="35" xfId="15" applyFont="1" applyBorder="1" applyAlignment="1">
      <alignment horizontal="center" vertical="center" wrapText="1"/>
    </xf>
    <xf numFmtId="0" fontId="23" fillId="0" borderId="36" xfId="15" applyFont="1" applyBorder="1" applyAlignment="1">
      <alignment horizontal="center" vertical="center" wrapText="1"/>
    </xf>
    <xf numFmtId="0" fontId="45" fillId="6" borderId="0" xfId="18" applyFont="1" applyFill="1" applyAlignment="1">
      <alignment horizontal="center" vertical="center"/>
    </xf>
    <xf numFmtId="173" fontId="45" fillId="6" borderId="0" xfId="18" applyNumberFormat="1" applyFont="1" applyFill="1" applyAlignment="1">
      <alignment horizontal="center" vertical="center"/>
    </xf>
    <xf numFmtId="0" fontId="45" fillId="8" borderId="40" xfId="15" applyFont="1" applyFill="1" applyBorder="1" applyAlignment="1" applyProtection="1">
      <alignment horizontal="center" vertical="center" wrapText="1"/>
    </xf>
    <xf numFmtId="0" fontId="45" fillId="8" borderId="43" xfId="15" applyFont="1" applyFill="1" applyBorder="1" applyAlignment="1" applyProtection="1">
      <alignment horizontal="center" vertical="center" wrapText="1"/>
    </xf>
    <xf numFmtId="0" fontId="45" fillId="6" borderId="0" xfId="18" applyFont="1" applyFill="1" applyBorder="1" applyAlignment="1">
      <alignment horizontal="center" vertical="center"/>
    </xf>
    <xf numFmtId="171" fontId="45" fillId="6" borderId="0" xfId="16" applyNumberFormat="1" applyFont="1" applyFill="1" applyBorder="1" applyAlignment="1">
      <alignment horizontal="center" vertical="center"/>
    </xf>
    <xf numFmtId="0" fontId="45" fillId="6" borderId="32" xfId="18" applyFont="1" applyFill="1" applyBorder="1" applyAlignment="1">
      <alignment horizontal="center" vertical="center"/>
    </xf>
    <xf numFmtId="0" fontId="22" fillId="5" borderId="0" xfId="0" applyFont="1" applyFill="1" applyAlignment="1">
      <alignment horizontal="center" vertical="center"/>
    </xf>
    <xf numFmtId="0" fontId="21" fillId="5" borderId="0" xfId="0" applyFont="1" applyFill="1" applyAlignment="1">
      <alignment horizontal="left" vertical="center" wrapText="1"/>
    </xf>
    <xf numFmtId="0" fontId="21" fillId="5" borderId="0" xfId="0" applyFont="1" applyFill="1" applyAlignment="1">
      <alignment horizontal="center" vertical="center"/>
    </xf>
    <xf numFmtId="0" fontId="21" fillId="5" borderId="6" xfId="0" applyFont="1" applyFill="1" applyBorder="1" applyAlignment="1">
      <alignment horizontal="left" vertical="center" wrapText="1"/>
    </xf>
    <xf numFmtId="0" fontId="21" fillId="5" borderId="20" xfId="0" applyFont="1" applyFill="1" applyBorder="1" applyAlignment="1">
      <alignment horizontal="left" vertical="center" wrapText="1"/>
    </xf>
    <xf numFmtId="0" fontId="21" fillId="5" borderId="21" xfId="0" applyFont="1" applyFill="1" applyBorder="1" applyAlignment="1">
      <alignment horizontal="left" vertical="center" wrapText="1"/>
    </xf>
    <xf numFmtId="0" fontId="21" fillId="5" borderId="22" xfId="0" applyFont="1" applyFill="1" applyBorder="1" applyAlignment="1">
      <alignment horizontal="left" vertical="center" wrapText="1"/>
    </xf>
    <xf numFmtId="0" fontId="21" fillId="5" borderId="24" xfId="0" applyFont="1" applyFill="1" applyBorder="1" applyAlignment="1">
      <alignment horizontal="left" vertical="center" wrapText="1"/>
    </xf>
    <xf numFmtId="0" fontId="21" fillId="5" borderId="0" xfId="0" applyFont="1" applyFill="1" applyAlignment="1">
      <alignment horizontal="left" vertical="center"/>
    </xf>
    <xf numFmtId="0" fontId="22" fillId="4" borderId="16" xfId="0" applyFont="1" applyFill="1" applyBorder="1" applyAlignment="1">
      <alignment horizontal="center" vertical="center" wrapText="1"/>
    </xf>
    <xf numFmtId="0" fontId="21" fillId="5" borderId="14" xfId="0" applyFont="1" applyFill="1" applyBorder="1" applyAlignment="1">
      <alignment horizontal="right" vertical="center"/>
    </xf>
    <xf numFmtId="0" fontId="22" fillId="5" borderId="0" xfId="0" applyFont="1" applyFill="1" applyAlignment="1">
      <alignment horizontal="left" vertical="center"/>
    </xf>
    <xf numFmtId="0" fontId="28" fillId="5" borderId="0" xfId="0" applyFont="1" applyFill="1" applyAlignment="1">
      <alignment horizontal="right" vertical="center"/>
    </xf>
    <xf numFmtId="0" fontId="22" fillId="5" borderId="0" xfId="0" applyFont="1" applyFill="1" applyAlignment="1">
      <alignment horizontal="left" vertical="center" wrapText="1"/>
    </xf>
    <xf numFmtId="0" fontId="22" fillId="5" borderId="0" xfId="0" applyFont="1" applyFill="1" applyAlignment="1">
      <alignment horizontal="center" vertical="center" wrapText="1"/>
    </xf>
    <xf numFmtId="0" fontId="24" fillId="5" borderId="0" xfId="0" applyFont="1" applyFill="1" applyAlignment="1">
      <alignment horizontal="center" vertical="center" wrapText="1"/>
    </xf>
    <xf numFmtId="0" fontId="25" fillId="5" borderId="0" xfId="0" applyFont="1" applyFill="1" applyAlignment="1">
      <alignment horizontal="center" vertical="center" wrapText="1"/>
    </xf>
    <xf numFmtId="0" fontId="21" fillId="5" borderId="0" xfId="0" applyFont="1" applyFill="1" applyAlignment="1">
      <alignment horizontal="left" vertical="top"/>
    </xf>
    <xf numFmtId="0" fontId="22" fillId="5" borderId="0" xfId="0" applyFont="1" applyFill="1" applyAlignment="1">
      <alignment horizontal="center" vertical="top"/>
    </xf>
    <xf numFmtId="0" fontId="28" fillId="5" borderId="0" xfId="0" applyFont="1" applyFill="1" applyAlignment="1">
      <alignment horizontal="center" vertical="center"/>
    </xf>
    <xf numFmtId="0" fontId="11" fillId="3" borderId="0" xfId="2" applyNumberFormat="1" applyFont="1" applyFill="1" applyBorder="1" applyAlignment="1" applyProtection="1">
      <alignment horizontal="center"/>
    </xf>
    <xf numFmtId="0" fontId="6" fillId="3" borderId="1" xfId="2" applyNumberFormat="1" applyFont="1" applyFill="1" applyBorder="1" applyAlignment="1" applyProtection="1">
      <alignment horizontal="left" vertical="top"/>
    </xf>
    <xf numFmtId="0" fontId="7" fillId="3" borderId="0" xfId="2" applyNumberFormat="1" applyFont="1" applyFill="1" applyBorder="1" applyAlignment="1" applyProtection="1">
      <alignment horizontal="center"/>
    </xf>
    <xf numFmtId="0" fontId="13" fillId="4" borderId="2" xfId="2" applyNumberFormat="1" applyFont="1" applyFill="1" applyBorder="1" applyAlignment="1" applyProtection="1">
      <alignment horizontal="center" vertical="center" wrapText="1"/>
    </xf>
    <xf numFmtId="0" fontId="13" fillId="4" borderId="26" xfId="2" applyNumberFormat="1" applyFont="1" applyFill="1" applyBorder="1" applyAlignment="1" applyProtection="1">
      <alignment horizontal="center" vertical="center" wrapText="1"/>
    </xf>
    <xf numFmtId="0" fontId="30" fillId="4" borderId="3" xfId="2" applyNumberFormat="1" applyFont="1" applyFill="1" applyBorder="1" applyAlignment="1" applyProtection="1">
      <alignment horizontal="center" vertical="center" wrapText="1"/>
    </xf>
    <xf numFmtId="0" fontId="30" fillId="4" borderId="27" xfId="2" applyNumberFormat="1" applyFont="1" applyFill="1" applyBorder="1" applyAlignment="1" applyProtection="1">
      <alignment horizontal="center" vertical="center" wrapText="1"/>
    </xf>
    <xf numFmtId="0" fontId="7" fillId="4" borderId="3" xfId="2" applyNumberFormat="1" applyFont="1" applyFill="1" applyBorder="1" applyAlignment="1" applyProtection="1">
      <alignment horizontal="center" vertical="center" wrapText="1"/>
    </xf>
    <xf numFmtId="0" fontId="7" fillId="4" borderId="27" xfId="2" applyNumberFormat="1" applyFont="1" applyFill="1" applyBorder="1" applyAlignment="1" applyProtection="1">
      <alignment horizontal="center" vertical="center" wrapText="1"/>
    </xf>
    <xf numFmtId="0" fontId="7" fillId="4" borderId="4" xfId="2" applyNumberFormat="1" applyFont="1" applyFill="1" applyBorder="1" applyAlignment="1" applyProtection="1">
      <alignment horizontal="center" vertical="center" wrapText="1"/>
    </xf>
    <xf numFmtId="0" fontId="15" fillId="3" borderId="0" xfId="2" applyNumberFormat="1" applyFont="1" applyFill="1" applyBorder="1" applyAlignment="1" applyProtection="1">
      <alignment horizontal="center" vertical="center"/>
    </xf>
    <xf numFmtId="0" fontId="15" fillId="3" borderId="0" xfId="2" applyNumberFormat="1" applyFont="1" applyFill="1" applyBorder="1" applyAlignment="1" applyProtection="1">
      <alignment horizontal="center" vertical="top"/>
    </xf>
    <xf numFmtId="0" fontId="17" fillId="3" borderId="0" xfId="2" applyNumberFormat="1" applyFont="1" applyFill="1" applyBorder="1" applyAlignment="1" applyProtection="1">
      <alignment horizontal="center" vertical="top" wrapText="1"/>
    </xf>
    <xf numFmtId="0" fontId="22" fillId="5" borderId="0" xfId="0" applyFont="1" applyFill="1" applyAlignment="1">
      <alignment horizontal="center" vertical="top" wrapText="1"/>
    </xf>
    <xf numFmtId="0" fontId="11" fillId="3" borderId="0" xfId="2" applyNumberFormat="1" applyFont="1" applyFill="1" applyBorder="1" applyAlignment="1" applyProtection="1">
      <alignment horizontal="center" vertical="center"/>
    </xf>
    <xf numFmtId="0" fontId="21" fillId="5" borderId="0" xfId="0" applyFont="1" applyFill="1" applyAlignment="1">
      <alignment horizontal="center" vertical="top" wrapText="1"/>
    </xf>
    <xf numFmtId="0" fontId="17" fillId="3" borderId="0" xfId="2" applyNumberFormat="1" applyFont="1" applyFill="1" applyBorder="1" applyAlignment="1" applyProtection="1">
      <alignment horizontal="center" vertical="center" wrapText="1"/>
    </xf>
    <xf numFmtId="0" fontId="20" fillId="3" borderId="0" xfId="2" applyNumberFormat="1" applyFont="1" applyFill="1" applyBorder="1" applyAlignment="1" applyProtection="1">
      <alignment horizontal="left" vertical="top"/>
    </xf>
    <xf numFmtId="0" fontId="18" fillId="3" borderId="0" xfId="2" applyNumberFormat="1" applyFont="1" applyFill="1" applyBorder="1" applyAlignment="1" applyProtection="1">
      <alignment horizontal="left" vertical="top"/>
    </xf>
    <xf numFmtId="0" fontId="10" fillId="3" borderId="0" xfId="2" applyFont="1" applyFill="1" applyAlignment="1">
      <alignment horizontal="center" vertical="top"/>
    </xf>
    <xf numFmtId="0" fontId="7" fillId="3" borderId="0" xfId="2" applyFont="1" applyFill="1" applyAlignment="1">
      <alignment horizontal="center"/>
    </xf>
    <xf numFmtId="0" fontId="10" fillId="3" borderId="5" xfId="2" applyFont="1" applyFill="1" applyBorder="1" applyAlignment="1">
      <alignment horizontal="left" vertical="center" wrapText="1"/>
    </xf>
    <xf numFmtId="0" fontId="10" fillId="3" borderId="6" xfId="2" applyFont="1" applyFill="1" applyBorder="1" applyAlignment="1">
      <alignment horizontal="left" vertical="center" wrapText="1"/>
    </xf>
    <xf numFmtId="0" fontId="7" fillId="3" borderId="5" xfId="2" applyFont="1" applyFill="1" applyBorder="1" applyAlignment="1">
      <alignment horizontal="left" vertical="center" wrapText="1"/>
    </xf>
    <xf numFmtId="0" fontId="7" fillId="3" borderId="6" xfId="2" applyFont="1" applyFill="1" applyBorder="1" applyAlignment="1">
      <alignment horizontal="left" vertical="center" wrapText="1"/>
    </xf>
    <xf numFmtId="0" fontId="10" fillId="3" borderId="29" xfId="2" applyFont="1" applyFill="1" applyBorder="1" applyAlignment="1">
      <alignment horizontal="left" vertical="center" wrapText="1"/>
    </xf>
    <xf numFmtId="0" fontId="10" fillId="3" borderId="30" xfId="2" applyFont="1" applyFill="1" applyBorder="1" applyAlignment="1">
      <alignment horizontal="left" vertical="center" wrapText="1"/>
    </xf>
    <xf numFmtId="0" fontId="7" fillId="3" borderId="0" xfId="2" applyFont="1" applyFill="1" applyAlignment="1">
      <alignment horizontal="center" vertical="center"/>
    </xf>
    <xf numFmtId="0" fontId="11" fillId="3" borderId="5" xfId="2" applyFont="1" applyFill="1" applyBorder="1" applyAlignment="1">
      <alignment horizontal="left" vertical="center" wrapText="1"/>
    </xf>
    <xf numFmtId="0" fontId="11" fillId="3" borderId="6" xfId="2" applyFont="1" applyFill="1" applyBorder="1" applyAlignment="1">
      <alignment horizontal="left" vertical="center" wrapText="1"/>
    </xf>
    <xf numFmtId="0" fontId="31" fillId="3" borderId="5" xfId="2" applyFont="1" applyFill="1" applyBorder="1" applyAlignment="1">
      <alignment horizontal="left" vertical="center" wrapText="1"/>
    </xf>
    <xf numFmtId="0" fontId="31" fillId="3" borderId="6" xfId="2" applyFont="1" applyFill="1" applyBorder="1" applyAlignment="1">
      <alignment horizontal="left" vertical="center" wrapText="1"/>
    </xf>
    <xf numFmtId="0" fontId="10" fillId="3" borderId="1" xfId="2" applyFont="1" applyFill="1" applyBorder="1" applyAlignment="1">
      <alignment horizontal="left" vertical="center"/>
    </xf>
    <xf numFmtId="0" fontId="10" fillId="3" borderId="1" xfId="2" applyFont="1" applyFill="1" applyBorder="1" applyAlignment="1">
      <alignment horizontal="right" vertical="center"/>
    </xf>
    <xf numFmtId="0" fontId="7" fillId="4" borderId="2" xfId="2" applyFont="1" applyFill="1" applyBorder="1" applyAlignment="1">
      <alignment horizontal="center" vertical="center" wrapText="1"/>
    </xf>
    <xf numFmtId="0" fontId="7" fillId="4" borderId="3" xfId="2" applyFont="1" applyFill="1" applyBorder="1" applyAlignment="1">
      <alignment horizontal="center" vertical="center" wrapText="1"/>
    </xf>
    <xf numFmtId="0" fontId="10" fillId="3" borderId="0" xfId="2" applyFont="1" applyFill="1" applyAlignment="1">
      <alignment horizontal="left" vertical="center"/>
    </xf>
    <xf numFmtId="0" fontId="7" fillId="3" borderId="0" xfId="2" applyFont="1" applyFill="1" applyAlignment="1">
      <alignment horizontal="left" vertical="center"/>
    </xf>
    <xf numFmtId="0" fontId="7" fillId="3" borderId="0" xfId="2" applyFont="1" applyFill="1" applyAlignment="1">
      <alignment horizontal="center" vertical="center" wrapText="1"/>
    </xf>
    <xf numFmtId="0" fontId="8" fillId="3" borderId="0" xfId="2" applyFont="1" applyFill="1" applyAlignment="1">
      <alignment horizontal="center" vertical="center" wrapText="1"/>
    </xf>
    <xf numFmtId="0" fontId="10" fillId="3" borderId="0" xfId="2" applyFont="1" applyFill="1" applyAlignment="1">
      <alignment horizontal="center" vertical="center"/>
    </xf>
    <xf numFmtId="0" fontId="11" fillId="3" borderId="0" xfId="2" applyFont="1" applyFill="1" applyAlignment="1">
      <alignment horizontal="right" vertical="center"/>
    </xf>
  </cellXfs>
  <cellStyles count="19">
    <cellStyle name="Accent5 2" xfId="6"/>
    <cellStyle name="Comma" xfId="11" builtinId="3"/>
    <cellStyle name="Comma 2" xfId="8"/>
    <cellStyle name="Comma 2 2" xfId="5"/>
    <cellStyle name="Comma 2 3" xfId="9"/>
    <cellStyle name="Comma 4" xfId="16"/>
    <cellStyle name="Hyperlink" xfId="14" builtinId="8"/>
    <cellStyle name="Normal" xfId="0" builtinId="0"/>
    <cellStyle name="Normal 2" xfId="1"/>
    <cellStyle name="Normal 2 2" xfId="4"/>
    <cellStyle name="Normal 3" xfId="2"/>
    <cellStyle name="Normal 3 2" xfId="10"/>
    <cellStyle name="Normal 3 2 3" xfId="15"/>
    <cellStyle name="Normal 5" xfId="17"/>
    <cellStyle name="Normal 6" xfId="12"/>
    <cellStyle name="Normal 8" xfId="3"/>
    <cellStyle name="Normal_Bao cao tai chinh 280405" xfId="13"/>
    <cellStyle name="Normal_Bao cao tai chinh 280405 2" xfId="18"/>
    <cellStyle name="Percent 2" xfId="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xdr:col>
      <xdr:colOff>171451</xdr:colOff>
      <xdr:row>0</xdr:row>
      <xdr:rowOff>66676</xdr:rowOff>
    </xdr:from>
    <xdr:to>
      <xdr:col>2</xdr:col>
      <xdr:colOff>66675</xdr:colOff>
      <xdr:row>0</xdr:row>
      <xdr:rowOff>401411</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1" y="66676"/>
          <a:ext cx="2714624" cy="3347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152401</xdr:colOff>
      <xdr:row>0</xdr:row>
      <xdr:rowOff>47625</xdr:rowOff>
    </xdr:from>
    <xdr:to>
      <xdr:col>1</xdr:col>
      <xdr:colOff>2447925</xdr:colOff>
      <xdr:row>0</xdr:row>
      <xdr:rowOff>377889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1" y="47625"/>
          <a:ext cx="2581274" cy="3302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438150</xdr:colOff>
      <xdr:row>0</xdr:row>
      <xdr:rowOff>38100</xdr:rowOff>
    </xdr:from>
    <xdr:to>
      <xdr:col>2</xdr:col>
      <xdr:colOff>121919</xdr:colOff>
      <xdr:row>0</xdr:row>
      <xdr:rowOff>266700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 y="38100"/>
          <a:ext cx="2065019" cy="228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2</xdr:col>
      <xdr:colOff>923925</xdr:colOff>
      <xdr:row>0</xdr:row>
      <xdr:rowOff>266700</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0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xdr:colOff>
      <xdr:row>0</xdr:row>
      <xdr:rowOff>152400</xdr:rowOff>
    </xdr:from>
    <xdr:to>
      <xdr:col>0</xdr:col>
      <xdr:colOff>2362200</xdr:colOff>
      <xdr:row>0</xdr:row>
      <xdr:rowOff>447675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152400"/>
          <a:ext cx="23431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133350</xdr:rowOff>
    </xdr:from>
    <xdr:to>
      <xdr:col>1</xdr:col>
      <xdr:colOff>2571750</xdr:colOff>
      <xdr:row>0</xdr:row>
      <xdr:rowOff>500679</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33350"/>
          <a:ext cx="2838450" cy="3673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323850</xdr:colOff>
      <xdr:row>0</xdr:row>
      <xdr:rowOff>76200</xdr:rowOff>
    </xdr:from>
    <xdr:to>
      <xdr:col>1</xdr:col>
      <xdr:colOff>2247900</xdr:colOff>
      <xdr:row>0</xdr:row>
      <xdr:rowOff>371475</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76200"/>
          <a:ext cx="234315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2066925</xdr:colOff>
      <xdr:row>0</xdr:row>
      <xdr:rowOff>311259</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2009775" cy="254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7" zoomScale="80" zoomScaleNormal="50" zoomScaleSheetLayoutView="80" workbookViewId="0">
      <selection activeCell="G18" sqref="G18:I23"/>
    </sheetView>
  </sheetViews>
  <sheetFormatPr defaultRowHeight="12.75"/>
  <cols>
    <col min="1" max="1" width="11.85546875" style="189" customWidth="1"/>
    <col min="2" max="2" width="6.140625" style="189" customWidth="1"/>
    <col min="3" max="3" width="11.42578125" style="189" customWidth="1"/>
    <col min="4" max="4" width="24.28515625" style="189" customWidth="1"/>
    <col min="5" max="5" width="23.140625" style="189" customWidth="1"/>
    <col min="6" max="6" width="5.28515625" style="189" customWidth="1"/>
    <col min="7" max="7" width="24.5703125" style="189" customWidth="1"/>
    <col min="8" max="8" width="21.42578125" style="189" customWidth="1"/>
    <col min="9" max="9" width="12.85546875" style="189" customWidth="1"/>
    <col min="10" max="256" width="9.140625" style="189"/>
    <col min="257" max="257" width="11.85546875" style="189" customWidth="1"/>
    <col min="258" max="258" width="6.140625" style="189" customWidth="1"/>
    <col min="259" max="259" width="11.42578125" style="189" customWidth="1"/>
    <col min="260" max="260" width="24.28515625" style="189" customWidth="1"/>
    <col min="261" max="261" width="23.140625" style="189" customWidth="1"/>
    <col min="262" max="262" width="5.28515625" style="189" customWidth="1"/>
    <col min="263" max="263" width="24.5703125" style="189" customWidth="1"/>
    <col min="264" max="264" width="21.42578125" style="189" customWidth="1"/>
    <col min="265" max="265" width="12.85546875" style="189" customWidth="1"/>
    <col min="266" max="512" width="9.140625" style="189"/>
    <col min="513" max="513" width="11.85546875" style="189" customWidth="1"/>
    <col min="514" max="514" width="6.140625" style="189" customWidth="1"/>
    <col min="515" max="515" width="11.42578125" style="189" customWidth="1"/>
    <col min="516" max="516" width="24.28515625" style="189" customWidth="1"/>
    <col min="517" max="517" width="23.140625" style="189" customWidth="1"/>
    <col min="518" max="518" width="5.28515625" style="189" customWidth="1"/>
    <col min="519" max="519" width="24.5703125" style="189" customWidth="1"/>
    <col min="520" max="520" width="21.42578125" style="189" customWidth="1"/>
    <col min="521" max="521" width="12.85546875" style="189" customWidth="1"/>
    <col min="522" max="768" width="9.140625" style="189"/>
    <col min="769" max="769" width="11.85546875" style="189" customWidth="1"/>
    <col min="770" max="770" width="6.140625" style="189" customWidth="1"/>
    <col min="771" max="771" width="11.42578125" style="189" customWidth="1"/>
    <col min="772" max="772" width="24.28515625" style="189" customWidth="1"/>
    <col min="773" max="773" width="23.140625" style="189" customWidth="1"/>
    <col min="774" max="774" width="5.28515625" style="189" customWidth="1"/>
    <col min="775" max="775" width="24.5703125" style="189" customWidth="1"/>
    <col min="776" max="776" width="21.42578125" style="189" customWidth="1"/>
    <col min="777" max="777" width="12.85546875" style="189" customWidth="1"/>
    <col min="778" max="1024" width="9.140625" style="189"/>
    <col min="1025" max="1025" width="11.85546875" style="189" customWidth="1"/>
    <col min="1026" max="1026" width="6.140625" style="189" customWidth="1"/>
    <col min="1027" max="1027" width="11.42578125" style="189" customWidth="1"/>
    <col min="1028" max="1028" width="24.28515625" style="189" customWidth="1"/>
    <col min="1029" max="1029" width="23.140625" style="189" customWidth="1"/>
    <col min="1030" max="1030" width="5.28515625" style="189" customWidth="1"/>
    <col min="1031" max="1031" width="24.5703125" style="189" customWidth="1"/>
    <col min="1032" max="1032" width="21.42578125" style="189" customWidth="1"/>
    <col min="1033" max="1033" width="12.85546875" style="189" customWidth="1"/>
    <col min="1034" max="1280" width="9.140625" style="189"/>
    <col min="1281" max="1281" width="11.85546875" style="189" customWidth="1"/>
    <col min="1282" max="1282" width="6.140625" style="189" customWidth="1"/>
    <col min="1283" max="1283" width="11.42578125" style="189" customWidth="1"/>
    <col min="1284" max="1284" width="24.28515625" style="189" customWidth="1"/>
    <col min="1285" max="1285" width="23.140625" style="189" customWidth="1"/>
    <col min="1286" max="1286" width="5.28515625" style="189" customWidth="1"/>
    <col min="1287" max="1287" width="24.5703125" style="189" customWidth="1"/>
    <col min="1288" max="1288" width="21.42578125" style="189" customWidth="1"/>
    <col min="1289" max="1289" width="12.85546875" style="189" customWidth="1"/>
    <col min="1290" max="1536" width="9.140625" style="189"/>
    <col min="1537" max="1537" width="11.85546875" style="189" customWidth="1"/>
    <col min="1538" max="1538" width="6.140625" style="189" customWidth="1"/>
    <col min="1539" max="1539" width="11.42578125" style="189" customWidth="1"/>
    <col min="1540" max="1540" width="24.28515625" style="189" customWidth="1"/>
    <col min="1541" max="1541" width="23.140625" style="189" customWidth="1"/>
    <col min="1542" max="1542" width="5.28515625" style="189" customWidth="1"/>
    <col min="1543" max="1543" width="24.5703125" style="189" customWidth="1"/>
    <col min="1544" max="1544" width="21.42578125" style="189" customWidth="1"/>
    <col min="1545" max="1545" width="12.85546875" style="189" customWidth="1"/>
    <col min="1546" max="1792" width="9.140625" style="189"/>
    <col min="1793" max="1793" width="11.85546875" style="189" customWidth="1"/>
    <col min="1794" max="1794" width="6.140625" style="189" customWidth="1"/>
    <col min="1795" max="1795" width="11.42578125" style="189" customWidth="1"/>
    <col min="1796" max="1796" width="24.28515625" style="189" customWidth="1"/>
    <col min="1797" max="1797" width="23.140625" style="189" customWidth="1"/>
    <col min="1798" max="1798" width="5.28515625" style="189" customWidth="1"/>
    <col min="1799" max="1799" width="24.5703125" style="189" customWidth="1"/>
    <col min="1800" max="1800" width="21.42578125" style="189" customWidth="1"/>
    <col min="1801" max="1801" width="12.85546875" style="189" customWidth="1"/>
    <col min="1802" max="2048" width="9.140625" style="189"/>
    <col min="2049" max="2049" width="11.85546875" style="189" customWidth="1"/>
    <col min="2050" max="2050" width="6.140625" style="189" customWidth="1"/>
    <col min="2051" max="2051" width="11.42578125" style="189" customWidth="1"/>
    <col min="2052" max="2052" width="24.28515625" style="189" customWidth="1"/>
    <col min="2053" max="2053" width="23.140625" style="189" customWidth="1"/>
    <col min="2054" max="2054" width="5.28515625" style="189" customWidth="1"/>
    <col min="2055" max="2055" width="24.5703125" style="189" customWidth="1"/>
    <col min="2056" max="2056" width="21.42578125" style="189" customWidth="1"/>
    <col min="2057" max="2057" width="12.85546875" style="189" customWidth="1"/>
    <col min="2058" max="2304" width="9.140625" style="189"/>
    <col min="2305" max="2305" width="11.85546875" style="189" customWidth="1"/>
    <col min="2306" max="2306" width="6.140625" style="189" customWidth="1"/>
    <col min="2307" max="2307" width="11.42578125" style="189" customWidth="1"/>
    <col min="2308" max="2308" width="24.28515625" style="189" customWidth="1"/>
    <col min="2309" max="2309" width="23.140625" style="189" customWidth="1"/>
    <col min="2310" max="2310" width="5.28515625" style="189" customWidth="1"/>
    <col min="2311" max="2311" width="24.5703125" style="189" customWidth="1"/>
    <col min="2312" max="2312" width="21.42578125" style="189" customWidth="1"/>
    <col min="2313" max="2313" width="12.85546875" style="189" customWidth="1"/>
    <col min="2314" max="2560" width="9.140625" style="189"/>
    <col min="2561" max="2561" width="11.85546875" style="189" customWidth="1"/>
    <col min="2562" max="2562" width="6.140625" style="189" customWidth="1"/>
    <col min="2563" max="2563" width="11.42578125" style="189" customWidth="1"/>
    <col min="2564" max="2564" width="24.28515625" style="189" customWidth="1"/>
    <col min="2565" max="2565" width="23.140625" style="189" customWidth="1"/>
    <col min="2566" max="2566" width="5.28515625" style="189" customWidth="1"/>
    <col min="2567" max="2567" width="24.5703125" style="189" customWidth="1"/>
    <col min="2568" max="2568" width="21.42578125" style="189" customWidth="1"/>
    <col min="2569" max="2569" width="12.85546875" style="189" customWidth="1"/>
    <col min="2570" max="2816" width="9.140625" style="189"/>
    <col min="2817" max="2817" width="11.85546875" style="189" customWidth="1"/>
    <col min="2818" max="2818" width="6.140625" style="189" customWidth="1"/>
    <col min="2819" max="2819" width="11.42578125" style="189" customWidth="1"/>
    <col min="2820" max="2820" width="24.28515625" style="189" customWidth="1"/>
    <col min="2821" max="2821" width="23.140625" style="189" customWidth="1"/>
    <col min="2822" max="2822" width="5.28515625" style="189" customWidth="1"/>
    <col min="2823" max="2823" width="24.5703125" style="189" customWidth="1"/>
    <col min="2824" max="2824" width="21.42578125" style="189" customWidth="1"/>
    <col min="2825" max="2825" width="12.85546875" style="189" customWidth="1"/>
    <col min="2826" max="3072" width="9.140625" style="189"/>
    <col min="3073" max="3073" width="11.85546875" style="189" customWidth="1"/>
    <col min="3074" max="3074" width="6.140625" style="189" customWidth="1"/>
    <col min="3075" max="3075" width="11.42578125" style="189" customWidth="1"/>
    <col min="3076" max="3076" width="24.28515625" style="189" customWidth="1"/>
    <col min="3077" max="3077" width="23.140625" style="189" customWidth="1"/>
    <col min="3078" max="3078" width="5.28515625" style="189" customWidth="1"/>
    <col min="3079" max="3079" width="24.5703125" style="189" customWidth="1"/>
    <col min="3080" max="3080" width="21.42578125" style="189" customWidth="1"/>
    <col min="3081" max="3081" width="12.85546875" style="189" customWidth="1"/>
    <col min="3082" max="3328" width="9.140625" style="189"/>
    <col min="3329" max="3329" width="11.85546875" style="189" customWidth="1"/>
    <col min="3330" max="3330" width="6.140625" style="189" customWidth="1"/>
    <col min="3331" max="3331" width="11.42578125" style="189" customWidth="1"/>
    <col min="3332" max="3332" width="24.28515625" style="189" customWidth="1"/>
    <col min="3333" max="3333" width="23.140625" style="189" customWidth="1"/>
    <col min="3334" max="3334" width="5.28515625" style="189" customWidth="1"/>
    <col min="3335" max="3335" width="24.5703125" style="189" customWidth="1"/>
    <col min="3336" max="3336" width="21.42578125" style="189" customWidth="1"/>
    <col min="3337" max="3337" width="12.85546875" style="189" customWidth="1"/>
    <col min="3338" max="3584" width="9.140625" style="189"/>
    <col min="3585" max="3585" width="11.85546875" style="189" customWidth="1"/>
    <col min="3586" max="3586" width="6.140625" style="189" customWidth="1"/>
    <col min="3587" max="3587" width="11.42578125" style="189" customWidth="1"/>
    <col min="3588" max="3588" width="24.28515625" style="189" customWidth="1"/>
    <col min="3589" max="3589" width="23.140625" style="189" customWidth="1"/>
    <col min="3590" max="3590" width="5.28515625" style="189" customWidth="1"/>
    <col min="3591" max="3591" width="24.5703125" style="189" customWidth="1"/>
    <col min="3592" max="3592" width="21.42578125" style="189" customWidth="1"/>
    <col min="3593" max="3593" width="12.85546875" style="189" customWidth="1"/>
    <col min="3594" max="3840" width="9.140625" style="189"/>
    <col min="3841" max="3841" width="11.85546875" style="189" customWidth="1"/>
    <col min="3842" max="3842" width="6.140625" style="189" customWidth="1"/>
    <col min="3843" max="3843" width="11.42578125" style="189" customWidth="1"/>
    <col min="3844" max="3844" width="24.28515625" style="189" customWidth="1"/>
    <col min="3845" max="3845" width="23.140625" style="189" customWidth="1"/>
    <col min="3846" max="3846" width="5.28515625" style="189" customWidth="1"/>
    <col min="3847" max="3847" width="24.5703125" style="189" customWidth="1"/>
    <col min="3848" max="3848" width="21.42578125" style="189" customWidth="1"/>
    <col min="3849" max="3849" width="12.85546875" style="189" customWidth="1"/>
    <col min="3850" max="4096" width="9.140625" style="189"/>
    <col min="4097" max="4097" width="11.85546875" style="189" customWidth="1"/>
    <col min="4098" max="4098" width="6.140625" style="189" customWidth="1"/>
    <col min="4099" max="4099" width="11.42578125" style="189" customWidth="1"/>
    <col min="4100" max="4100" width="24.28515625" style="189" customWidth="1"/>
    <col min="4101" max="4101" width="23.140625" style="189" customWidth="1"/>
    <col min="4102" max="4102" width="5.28515625" style="189" customWidth="1"/>
    <col min="4103" max="4103" width="24.5703125" style="189" customWidth="1"/>
    <col min="4104" max="4104" width="21.42578125" style="189" customWidth="1"/>
    <col min="4105" max="4105" width="12.85546875" style="189" customWidth="1"/>
    <col min="4106" max="4352" width="9.140625" style="189"/>
    <col min="4353" max="4353" width="11.85546875" style="189" customWidth="1"/>
    <col min="4354" max="4354" width="6.140625" style="189" customWidth="1"/>
    <col min="4355" max="4355" width="11.42578125" style="189" customWidth="1"/>
    <col min="4356" max="4356" width="24.28515625" style="189" customWidth="1"/>
    <col min="4357" max="4357" width="23.140625" style="189" customWidth="1"/>
    <col min="4358" max="4358" width="5.28515625" style="189" customWidth="1"/>
    <col min="4359" max="4359" width="24.5703125" style="189" customWidth="1"/>
    <col min="4360" max="4360" width="21.42578125" style="189" customWidth="1"/>
    <col min="4361" max="4361" width="12.85546875" style="189" customWidth="1"/>
    <col min="4362" max="4608" width="9.140625" style="189"/>
    <col min="4609" max="4609" width="11.85546875" style="189" customWidth="1"/>
    <col min="4610" max="4610" width="6.140625" style="189" customWidth="1"/>
    <col min="4611" max="4611" width="11.42578125" style="189" customWidth="1"/>
    <col min="4612" max="4612" width="24.28515625" style="189" customWidth="1"/>
    <col min="4613" max="4613" width="23.140625" style="189" customWidth="1"/>
    <col min="4614" max="4614" width="5.28515625" style="189" customWidth="1"/>
    <col min="4615" max="4615" width="24.5703125" style="189" customWidth="1"/>
    <col min="4616" max="4616" width="21.42578125" style="189" customWidth="1"/>
    <col min="4617" max="4617" width="12.85546875" style="189" customWidth="1"/>
    <col min="4618" max="4864" width="9.140625" style="189"/>
    <col min="4865" max="4865" width="11.85546875" style="189" customWidth="1"/>
    <col min="4866" max="4866" width="6.140625" style="189" customWidth="1"/>
    <col min="4867" max="4867" width="11.42578125" style="189" customWidth="1"/>
    <col min="4868" max="4868" width="24.28515625" style="189" customWidth="1"/>
    <col min="4869" max="4869" width="23.140625" style="189" customWidth="1"/>
    <col min="4870" max="4870" width="5.28515625" style="189" customWidth="1"/>
    <col min="4871" max="4871" width="24.5703125" style="189" customWidth="1"/>
    <col min="4872" max="4872" width="21.42578125" style="189" customWidth="1"/>
    <col min="4873" max="4873" width="12.85546875" style="189" customWidth="1"/>
    <col min="4874" max="5120" width="9.140625" style="189"/>
    <col min="5121" max="5121" width="11.85546875" style="189" customWidth="1"/>
    <col min="5122" max="5122" width="6.140625" style="189" customWidth="1"/>
    <col min="5123" max="5123" width="11.42578125" style="189" customWidth="1"/>
    <col min="5124" max="5124" width="24.28515625" style="189" customWidth="1"/>
    <col min="5125" max="5125" width="23.140625" style="189" customWidth="1"/>
    <col min="5126" max="5126" width="5.28515625" style="189" customWidth="1"/>
    <col min="5127" max="5127" width="24.5703125" style="189" customWidth="1"/>
    <col min="5128" max="5128" width="21.42578125" style="189" customWidth="1"/>
    <col min="5129" max="5129" width="12.85546875" style="189" customWidth="1"/>
    <col min="5130" max="5376" width="9.140625" style="189"/>
    <col min="5377" max="5377" width="11.85546875" style="189" customWidth="1"/>
    <col min="5378" max="5378" width="6.140625" style="189" customWidth="1"/>
    <col min="5379" max="5379" width="11.42578125" style="189" customWidth="1"/>
    <col min="5380" max="5380" width="24.28515625" style="189" customWidth="1"/>
    <col min="5381" max="5381" width="23.140625" style="189" customWidth="1"/>
    <col min="5382" max="5382" width="5.28515625" style="189" customWidth="1"/>
    <col min="5383" max="5383" width="24.5703125" style="189" customWidth="1"/>
    <col min="5384" max="5384" width="21.42578125" style="189" customWidth="1"/>
    <col min="5385" max="5385" width="12.85546875" style="189" customWidth="1"/>
    <col min="5386" max="5632" width="9.140625" style="189"/>
    <col min="5633" max="5633" width="11.85546875" style="189" customWidth="1"/>
    <col min="5634" max="5634" width="6.140625" style="189" customWidth="1"/>
    <col min="5635" max="5635" width="11.42578125" style="189" customWidth="1"/>
    <col min="5636" max="5636" width="24.28515625" style="189" customWidth="1"/>
    <col min="5637" max="5637" width="23.140625" style="189" customWidth="1"/>
    <col min="5638" max="5638" width="5.28515625" style="189" customWidth="1"/>
    <col min="5639" max="5639" width="24.5703125" style="189" customWidth="1"/>
    <col min="5640" max="5640" width="21.42578125" style="189" customWidth="1"/>
    <col min="5641" max="5641" width="12.85546875" style="189" customWidth="1"/>
    <col min="5642" max="5888" width="9.140625" style="189"/>
    <col min="5889" max="5889" width="11.85546875" style="189" customWidth="1"/>
    <col min="5890" max="5890" width="6.140625" style="189" customWidth="1"/>
    <col min="5891" max="5891" width="11.42578125" style="189" customWidth="1"/>
    <col min="5892" max="5892" width="24.28515625" style="189" customWidth="1"/>
    <col min="5893" max="5893" width="23.140625" style="189" customWidth="1"/>
    <col min="5894" max="5894" width="5.28515625" style="189" customWidth="1"/>
    <col min="5895" max="5895" width="24.5703125" style="189" customWidth="1"/>
    <col min="5896" max="5896" width="21.42578125" style="189" customWidth="1"/>
    <col min="5897" max="5897" width="12.85546875" style="189" customWidth="1"/>
    <col min="5898" max="6144" width="9.140625" style="189"/>
    <col min="6145" max="6145" width="11.85546875" style="189" customWidth="1"/>
    <col min="6146" max="6146" width="6.140625" style="189" customWidth="1"/>
    <col min="6147" max="6147" width="11.42578125" style="189" customWidth="1"/>
    <col min="6148" max="6148" width="24.28515625" style="189" customWidth="1"/>
    <col min="6149" max="6149" width="23.140625" style="189" customWidth="1"/>
    <col min="6150" max="6150" width="5.28515625" style="189" customWidth="1"/>
    <col min="6151" max="6151" width="24.5703125" style="189" customWidth="1"/>
    <col min="6152" max="6152" width="21.42578125" style="189" customWidth="1"/>
    <col min="6153" max="6153" width="12.85546875" style="189" customWidth="1"/>
    <col min="6154" max="6400" width="9.140625" style="189"/>
    <col min="6401" max="6401" width="11.85546875" style="189" customWidth="1"/>
    <col min="6402" max="6402" width="6.140625" style="189" customWidth="1"/>
    <col min="6403" max="6403" width="11.42578125" style="189" customWidth="1"/>
    <col min="6404" max="6404" width="24.28515625" style="189" customWidth="1"/>
    <col min="6405" max="6405" width="23.140625" style="189" customWidth="1"/>
    <col min="6406" max="6406" width="5.28515625" style="189" customWidth="1"/>
    <col min="6407" max="6407" width="24.5703125" style="189" customWidth="1"/>
    <col min="6408" max="6408" width="21.42578125" style="189" customWidth="1"/>
    <col min="6409" max="6409" width="12.85546875" style="189" customWidth="1"/>
    <col min="6410" max="6656" width="9.140625" style="189"/>
    <col min="6657" max="6657" width="11.85546875" style="189" customWidth="1"/>
    <col min="6658" max="6658" width="6.140625" style="189" customWidth="1"/>
    <col min="6659" max="6659" width="11.42578125" style="189" customWidth="1"/>
    <col min="6660" max="6660" width="24.28515625" style="189" customWidth="1"/>
    <col min="6661" max="6661" width="23.140625" style="189" customWidth="1"/>
    <col min="6662" max="6662" width="5.28515625" style="189" customWidth="1"/>
    <col min="6663" max="6663" width="24.5703125" style="189" customWidth="1"/>
    <col min="6664" max="6664" width="21.42578125" style="189" customWidth="1"/>
    <col min="6665" max="6665" width="12.85546875" style="189" customWidth="1"/>
    <col min="6666" max="6912" width="9.140625" style="189"/>
    <col min="6913" max="6913" width="11.85546875" style="189" customWidth="1"/>
    <col min="6914" max="6914" width="6.140625" style="189" customWidth="1"/>
    <col min="6915" max="6915" width="11.42578125" style="189" customWidth="1"/>
    <col min="6916" max="6916" width="24.28515625" style="189" customWidth="1"/>
    <col min="6917" max="6917" width="23.140625" style="189" customWidth="1"/>
    <col min="6918" max="6918" width="5.28515625" style="189" customWidth="1"/>
    <col min="6919" max="6919" width="24.5703125" style="189" customWidth="1"/>
    <col min="6920" max="6920" width="21.42578125" style="189" customWidth="1"/>
    <col min="6921" max="6921" width="12.85546875" style="189" customWidth="1"/>
    <col min="6922" max="7168" width="9.140625" style="189"/>
    <col min="7169" max="7169" width="11.85546875" style="189" customWidth="1"/>
    <col min="7170" max="7170" width="6.140625" style="189" customWidth="1"/>
    <col min="7171" max="7171" width="11.42578125" style="189" customWidth="1"/>
    <col min="7172" max="7172" width="24.28515625" style="189" customWidth="1"/>
    <col min="7173" max="7173" width="23.140625" style="189" customWidth="1"/>
    <col min="7174" max="7174" width="5.28515625" style="189" customWidth="1"/>
    <col min="7175" max="7175" width="24.5703125" style="189" customWidth="1"/>
    <col min="7176" max="7176" width="21.42578125" style="189" customWidth="1"/>
    <col min="7177" max="7177" width="12.85546875" style="189" customWidth="1"/>
    <col min="7178" max="7424" width="9.140625" style="189"/>
    <col min="7425" max="7425" width="11.85546875" style="189" customWidth="1"/>
    <col min="7426" max="7426" width="6.140625" style="189" customWidth="1"/>
    <col min="7427" max="7427" width="11.42578125" style="189" customWidth="1"/>
    <col min="7428" max="7428" width="24.28515625" style="189" customWidth="1"/>
    <col min="7429" max="7429" width="23.140625" style="189" customWidth="1"/>
    <col min="7430" max="7430" width="5.28515625" style="189" customWidth="1"/>
    <col min="7431" max="7431" width="24.5703125" style="189" customWidth="1"/>
    <col min="7432" max="7432" width="21.42578125" style="189" customWidth="1"/>
    <col min="7433" max="7433" width="12.85546875" style="189" customWidth="1"/>
    <col min="7434" max="7680" width="9.140625" style="189"/>
    <col min="7681" max="7681" width="11.85546875" style="189" customWidth="1"/>
    <col min="7682" max="7682" width="6.140625" style="189" customWidth="1"/>
    <col min="7683" max="7683" width="11.42578125" style="189" customWidth="1"/>
    <col min="7684" max="7684" width="24.28515625" style="189" customWidth="1"/>
    <col min="7685" max="7685" width="23.140625" style="189" customWidth="1"/>
    <col min="7686" max="7686" width="5.28515625" style="189" customWidth="1"/>
    <col min="7687" max="7687" width="24.5703125" style="189" customWidth="1"/>
    <col min="7688" max="7688" width="21.42578125" style="189" customWidth="1"/>
    <col min="7689" max="7689" width="12.85546875" style="189" customWidth="1"/>
    <col min="7690" max="7936" width="9.140625" style="189"/>
    <col min="7937" max="7937" width="11.85546875" style="189" customWidth="1"/>
    <col min="7938" max="7938" width="6.140625" style="189" customWidth="1"/>
    <col min="7939" max="7939" width="11.42578125" style="189" customWidth="1"/>
    <col min="7940" max="7940" width="24.28515625" style="189" customWidth="1"/>
    <col min="7941" max="7941" width="23.140625" style="189" customWidth="1"/>
    <col min="7942" max="7942" width="5.28515625" style="189" customWidth="1"/>
    <col min="7943" max="7943" width="24.5703125" style="189" customWidth="1"/>
    <col min="7944" max="7944" width="21.42578125" style="189" customWidth="1"/>
    <col min="7945" max="7945" width="12.85546875" style="189" customWidth="1"/>
    <col min="7946" max="8192" width="9.140625" style="189"/>
    <col min="8193" max="8193" width="11.85546875" style="189" customWidth="1"/>
    <col min="8194" max="8194" width="6.140625" style="189" customWidth="1"/>
    <col min="8195" max="8195" width="11.42578125" style="189" customWidth="1"/>
    <col min="8196" max="8196" width="24.28515625" style="189" customWidth="1"/>
    <col min="8197" max="8197" width="23.140625" style="189" customWidth="1"/>
    <col min="8198" max="8198" width="5.28515625" style="189" customWidth="1"/>
    <col min="8199" max="8199" width="24.5703125" style="189" customWidth="1"/>
    <col min="8200" max="8200" width="21.42578125" style="189" customWidth="1"/>
    <col min="8201" max="8201" width="12.85546875" style="189" customWidth="1"/>
    <col min="8202" max="8448" width="9.140625" style="189"/>
    <col min="8449" max="8449" width="11.85546875" style="189" customWidth="1"/>
    <col min="8450" max="8450" width="6.140625" style="189" customWidth="1"/>
    <col min="8451" max="8451" width="11.42578125" style="189" customWidth="1"/>
    <col min="8452" max="8452" width="24.28515625" style="189" customWidth="1"/>
    <col min="8453" max="8453" width="23.140625" style="189" customWidth="1"/>
    <col min="8454" max="8454" width="5.28515625" style="189" customWidth="1"/>
    <col min="8455" max="8455" width="24.5703125" style="189" customWidth="1"/>
    <col min="8456" max="8456" width="21.42578125" style="189" customWidth="1"/>
    <col min="8457" max="8457" width="12.85546875" style="189" customWidth="1"/>
    <col min="8458" max="8704" width="9.140625" style="189"/>
    <col min="8705" max="8705" width="11.85546875" style="189" customWidth="1"/>
    <col min="8706" max="8706" width="6.140625" style="189" customWidth="1"/>
    <col min="8707" max="8707" width="11.42578125" style="189" customWidth="1"/>
    <col min="8708" max="8708" width="24.28515625" style="189" customWidth="1"/>
    <col min="8709" max="8709" width="23.140625" style="189" customWidth="1"/>
    <col min="8710" max="8710" width="5.28515625" style="189" customWidth="1"/>
    <col min="8711" max="8711" width="24.5703125" style="189" customWidth="1"/>
    <col min="8712" max="8712" width="21.42578125" style="189" customWidth="1"/>
    <col min="8713" max="8713" width="12.85546875" style="189" customWidth="1"/>
    <col min="8714" max="8960" width="9.140625" style="189"/>
    <col min="8961" max="8961" width="11.85546875" style="189" customWidth="1"/>
    <col min="8962" max="8962" width="6.140625" style="189" customWidth="1"/>
    <col min="8963" max="8963" width="11.42578125" style="189" customWidth="1"/>
    <col min="8964" max="8964" width="24.28515625" style="189" customWidth="1"/>
    <col min="8965" max="8965" width="23.140625" style="189" customWidth="1"/>
    <col min="8966" max="8966" width="5.28515625" style="189" customWidth="1"/>
    <col min="8967" max="8967" width="24.5703125" style="189" customWidth="1"/>
    <col min="8968" max="8968" width="21.42578125" style="189" customWidth="1"/>
    <col min="8969" max="8969" width="12.85546875" style="189" customWidth="1"/>
    <col min="8970" max="9216" width="9.140625" style="189"/>
    <col min="9217" max="9217" width="11.85546875" style="189" customWidth="1"/>
    <col min="9218" max="9218" width="6.140625" style="189" customWidth="1"/>
    <col min="9219" max="9219" width="11.42578125" style="189" customWidth="1"/>
    <col min="9220" max="9220" width="24.28515625" style="189" customWidth="1"/>
    <col min="9221" max="9221" width="23.140625" style="189" customWidth="1"/>
    <col min="9222" max="9222" width="5.28515625" style="189" customWidth="1"/>
    <col min="9223" max="9223" width="24.5703125" style="189" customWidth="1"/>
    <col min="9224" max="9224" width="21.42578125" style="189" customWidth="1"/>
    <col min="9225" max="9225" width="12.85546875" style="189" customWidth="1"/>
    <col min="9226" max="9472" width="9.140625" style="189"/>
    <col min="9473" max="9473" width="11.85546875" style="189" customWidth="1"/>
    <col min="9474" max="9474" width="6.140625" style="189" customWidth="1"/>
    <col min="9475" max="9475" width="11.42578125" style="189" customWidth="1"/>
    <col min="9476" max="9476" width="24.28515625" style="189" customWidth="1"/>
    <col min="9477" max="9477" width="23.140625" style="189" customWidth="1"/>
    <col min="9478" max="9478" width="5.28515625" style="189" customWidth="1"/>
    <col min="9479" max="9479" width="24.5703125" style="189" customWidth="1"/>
    <col min="9480" max="9480" width="21.42578125" style="189" customWidth="1"/>
    <col min="9481" max="9481" width="12.85546875" style="189" customWidth="1"/>
    <col min="9482" max="9728" width="9.140625" style="189"/>
    <col min="9729" max="9729" width="11.85546875" style="189" customWidth="1"/>
    <col min="9730" max="9730" width="6.140625" style="189" customWidth="1"/>
    <col min="9731" max="9731" width="11.42578125" style="189" customWidth="1"/>
    <col min="9732" max="9732" width="24.28515625" style="189" customWidth="1"/>
    <col min="9733" max="9733" width="23.140625" style="189" customWidth="1"/>
    <col min="9734" max="9734" width="5.28515625" style="189" customWidth="1"/>
    <col min="9735" max="9735" width="24.5703125" style="189" customWidth="1"/>
    <col min="9736" max="9736" width="21.42578125" style="189" customWidth="1"/>
    <col min="9737" max="9737" width="12.85546875" style="189" customWidth="1"/>
    <col min="9738" max="9984" width="9.140625" style="189"/>
    <col min="9985" max="9985" width="11.85546875" style="189" customWidth="1"/>
    <col min="9986" max="9986" width="6.140625" style="189" customWidth="1"/>
    <col min="9987" max="9987" width="11.42578125" style="189" customWidth="1"/>
    <col min="9988" max="9988" width="24.28515625" style="189" customWidth="1"/>
    <col min="9989" max="9989" width="23.140625" style="189" customWidth="1"/>
    <col min="9990" max="9990" width="5.28515625" style="189" customWidth="1"/>
    <col min="9991" max="9991" width="24.5703125" style="189" customWidth="1"/>
    <col min="9992" max="9992" width="21.42578125" style="189" customWidth="1"/>
    <col min="9993" max="9993" width="12.85546875" style="189" customWidth="1"/>
    <col min="9994" max="10240" width="9.140625" style="189"/>
    <col min="10241" max="10241" width="11.85546875" style="189" customWidth="1"/>
    <col min="10242" max="10242" width="6.140625" style="189" customWidth="1"/>
    <col min="10243" max="10243" width="11.42578125" style="189" customWidth="1"/>
    <col min="10244" max="10244" width="24.28515625" style="189" customWidth="1"/>
    <col min="10245" max="10245" width="23.140625" style="189" customWidth="1"/>
    <col min="10246" max="10246" width="5.28515625" style="189" customWidth="1"/>
    <col min="10247" max="10247" width="24.5703125" style="189" customWidth="1"/>
    <col min="10248" max="10248" width="21.42578125" style="189" customWidth="1"/>
    <col min="10249" max="10249" width="12.85546875" style="189" customWidth="1"/>
    <col min="10250" max="10496" width="9.140625" style="189"/>
    <col min="10497" max="10497" width="11.85546875" style="189" customWidth="1"/>
    <col min="10498" max="10498" width="6.140625" style="189" customWidth="1"/>
    <col min="10499" max="10499" width="11.42578125" style="189" customWidth="1"/>
    <col min="10500" max="10500" width="24.28515625" style="189" customWidth="1"/>
    <col min="10501" max="10501" width="23.140625" style="189" customWidth="1"/>
    <col min="10502" max="10502" width="5.28515625" style="189" customWidth="1"/>
    <col min="10503" max="10503" width="24.5703125" style="189" customWidth="1"/>
    <col min="10504" max="10504" width="21.42578125" style="189" customWidth="1"/>
    <col min="10505" max="10505" width="12.85546875" style="189" customWidth="1"/>
    <col min="10506" max="10752" width="9.140625" style="189"/>
    <col min="10753" max="10753" width="11.85546875" style="189" customWidth="1"/>
    <col min="10754" max="10754" width="6.140625" style="189" customWidth="1"/>
    <col min="10755" max="10755" width="11.42578125" style="189" customWidth="1"/>
    <col min="10756" max="10756" width="24.28515625" style="189" customWidth="1"/>
    <col min="10757" max="10757" width="23.140625" style="189" customWidth="1"/>
    <col min="10758" max="10758" width="5.28515625" style="189" customWidth="1"/>
    <col min="10759" max="10759" width="24.5703125" style="189" customWidth="1"/>
    <col min="10760" max="10760" width="21.42578125" style="189" customWidth="1"/>
    <col min="10761" max="10761" width="12.85546875" style="189" customWidth="1"/>
    <col min="10762" max="11008" width="9.140625" style="189"/>
    <col min="11009" max="11009" width="11.85546875" style="189" customWidth="1"/>
    <col min="11010" max="11010" width="6.140625" style="189" customWidth="1"/>
    <col min="11011" max="11011" width="11.42578125" style="189" customWidth="1"/>
    <col min="11012" max="11012" width="24.28515625" style="189" customWidth="1"/>
    <col min="11013" max="11013" width="23.140625" style="189" customWidth="1"/>
    <col min="11014" max="11014" width="5.28515625" style="189" customWidth="1"/>
    <col min="11015" max="11015" width="24.5703125" style="189" customWidth="1"/>
    <col min="11016" max="11016" width="21.42578125" style="189" customWidth="1"/>
    <col min="11017" max="11017" width="12.85546875" style="189" customWidth="1"/>
    <col min="11018" max="11264" width="9.140625" style="189"/>
    <col min="11265" max="11265" width="11.85546875" style="189" customWidth="1"/>
    <col min="11266" max="11266" width="6.140625" style="189" customWidth="1"/>
    <col min="11267" max="11267" width="11.42578125" style="189" customWidth="1"/>
    <col min="11268" max="11268" width="24.28515625" style="189" customWidth="1"/>
    <col min="11269" max="11269" width="23.140625" style="189" customWidth="1"/>
    <col min="11270" max="11270" width="5.28515625" style="189" customWidth="1"/>
    <col min="11271" max="11271" width="24.5703125" style="189" customWidth="1"/>
    <col min="11272" max="11272" width="21.42578125" style="189" customWidth="1"/>
    <col min="11273" max="11273" width="12.85546875" style="189" customWidth="1"/>
    <col min="11274" max="11520" width="9.140625" style="189"/>
    <col min="11521" max="11521" width="11.85546875" style="189" customWidth="1"/>
    <col min="11522" max="11522" width="6.140625" style="189" customWidth="1"/>
    <col min="11523" max="11523" width="11.42578125" style="189" customWidth="1"/>
    <col min="11524" max="11524" width="24.28515625" style="189" customWidth="1"/>
    <col min="11525" max="11525" width="23.140625" style="189" customWidth="1"/>
    <col min="11526" max="11526" width="5.28515625" style="189" customWidth="1"/>
    <col min="11527" max="11527" width="24.5703125" style="189" customWidth="1"/>
    <col min="11528" max="11528" width="21.42578125" style="189" customWidth="1"/>
    <col min="11529" max="11529" width="12.85546875" style="189" customWidth="1"/>
    <col min="11530" max="11776" width="9.140625" style="189"/>
    <col min="11777" max="11777" width="11.85546875" style="189" customWidth="1"/>
    <col min="11778" max="11778" width="6.140625" style="189" customWidth="1"/>
    <col min="11779" max="11779" width="11.42578125" style="189" customWidth="1"/>
    <col min="11780" max="11780" width="24.28515625" style="189" customWidth="1"/>
    <col min="11781" max="11781" width="23.140625" style="189" customWidth="1"/>
    <col min="11782" max="11782" width="5.28515625" style="189" customWidth="1"/>
    <col min="11783" max="11783" width="24.5703125" style="189" customWidth="1"/>
    <col min="11784" max="11784" width="21.42578125" style="189" customWidth="1"/>
    <col min="11785" max="11785" width="12.85546875" style="189" customWidth="1"/>
    <col min="11786" max="12032" width="9.140625" style="189"/>
    <col min="12033" max="12033" width="11.85546875" style="189" customWidth="1"/>
    <col min="12034" max="12034" width="6.140625" style="189" customWidth="1"/>
    <col min="12035" max="12035" width="11.42578125" style="189" customWidth="1"/>
    <col min="12036" max="12036" width="24.28515625" style="189" customWidth="1"/>
    <col min="12037" max="12037" width="23.140625" style="189" customWidth="1"/>
    <col min="12038" max="12038" width="5.28515625" style="189" customWidth="1"/>
    <col min="12039" max="12039" width="24.5703125" style="189" customWidth="1"/>
    <col min="12040" max="12040" width="21.42578125" style="189" customWidth="1"/>
    <col min="12041" max="12041" width="12.85546875" style="189" customWidth="1"/>
    <col min="12042" max="12288" width="9.140625" style="189"/>
    <col min="12289" max="12289" width="11.85546875" style="189" customWidth="1"/>
    <col min="12290" max="12290" width="6.140625" style="189" customWidth="1"/>
    <col min="12291" max="12291" width="11.42578125" style="189" customWidth="1"/>
    <col min="12292" max="12292" width="24.28515625" style="189" customWidth="1"/>
    <col min="12293" max="12293" width="23.140625" style="189" customWidth="1"/>
    <col min="12294" max="12294" width="5.28515625" style="189" customWidth="1"/>
    <col min="12295" max="12295" width="24.5703125" style="189" customWidth="1"/>
    <col min="12296" max="12296" width="21.42578125" style="189" customWidth="1"/>
    <col min="12297" max="12297" width="12.85546875" style="189" customWidth="1"/>
    <col min="12298" max="12544" width="9.140625" style="189"/>
    <col min="12545" max="12545" width="11.85546875" style="189" customWidth="1"/>
    <col min="12546" max="12546" width="6.140625" style="189" customWidth="1"/>
    <col min="12547" max="12547" width="11.42578125" style="189" customWidth="1"/>
    <col min="12548" max="12548" width="24.28515625" style="189" customWidth="1"/>
    <col min="12549" max="12549" width="23.140625" style="189" customWidth="1"/>
    <col min="12550" max="12550" width="5.28515625" style="189" customWidth="1"/>
    <col min="12551" max="12551" width="24.5703125" style="189" customWidth="1"/>
    <col min="12552" max="12552" width="21.42578125" style="189" customWidth="1"/>
    <col min="12553" max="12553" width="12.85546875" style="189" customWidth="1"/>
    <col min="12554" max="12800" width="9.140625" style="189"/>
    <col min="12801" max="12801" width="11.85546875" style="189" customWidth="1"/>
    <col min="12802" max="12802" width="6.140625" style="189" customWidth="1"/>
    <col min="12803" max="12803" width="11.42578125" style="189" customWidth="1"/>
    <col min="12804" max="12804" width="24.28515625" style="189" customWidth="1"/>
    <col min="12805" max="12805" width="23.140625" style="189" customWidth="1"/>
    <col min="12806" max="12806" width="5.28515625" style="189" customWidth="1"/>
    <col min="12807" max="12807" width="24.5703125" style="189" customWidth="1"/>
    <col min="12808" max="12808" width="21.42578125" style="189" customWidth="1"/>
    <col min="12809" max="12809" width="12.85546875" style="189" customWidth="1"/>
    <col min="12810" max="13056" width="9.140625" style="189"/>
    <col min="13057" max="13057" width="11.85546875" style="189" customWidth="1"/>
    <col min="13058" max="13058" width="6.140625" style="189" customWidth="1"/>
    <col min="13059" max="13059" width="11.42578125" style="189" customWidth="1"/>
    <col min="13060" max="13060" width="24.28515625" style="189" customWidth="1"/>
    <col min="13061" max="13061" width="23.140625" style="189" customWidth="1"/>
    <col min="13062" max="13062" width="5.28515625" style="189" customWidth="1"/>
    <col min="13063" max="13063" width="24.5703125" style="189" customWidth="1"/>
    <col min="13064" max="13064" width="21.42578125" style="189" customWidth="1"/>
    <col min="13065" max="13065" width="12.85546875" style="189" customWidth="1"/>
    <col min="13066" max="13312" width="9.140625" style="189"/>
    <col min="13313" max="13313" width="11.85546875" style="189" customWidth="1"/>
    <col min="13314" max="13314" width="6.140625" style="189" customWidth="1"/>
    <col min="13315" max="13315" width="11.42578125" style="189" customWidth="1"/>
    <col min="13316" max="13316" width="24.28515625" style="189" customWidth="1"/>
    <col min="13317" max="13317" width="23.140625" style="189" customWidth="1"/>
    <col min="13318" max="13318" width="5.28515625" style="189" customWidth="1"/>
    <col min="13319" max="13319" width="24.5703125" style="189" customWidth="1"/>
    <col min="13320" max="13320" width="21.42578125" style="189" customWidth="1"/>
    <col min="13321" max="13321" width="12.85546875" style="189" customWidth="1"/>
    <col min="13322" max="13568" width="9.140625" style="189"/>
    <col min="13569" max="13569" width="11.85546875" style="189" customWidth="1"/>
    <col min="13570" max="13570" width="6.140625" style="189" customWidth="1"/>
    <col min="13571" max="13571" width="11.42578125" style="189" customWidth="1"/>
    <col min="13572" max="13572" width="24.28515625" style="189" customWidth="1"/>
    <col min="13573" max="13573" width="23.140625" style="189" customWidth="1"/>
    <col min="13574" max="13574" width="5.28515625" style="189" customWidth="1"/>
    <col min="13575" max="13575" width="24.5703125" style="189" customWidth="1"/>
    <col min="13576" max="13576" width="21.42578125" style="189" customWidth="1"/>
    <col min="13577" max="13577" width="12.85546875" style="189" customWidth="1"/>
    <col min="13578" max="13824" width="9.140625" style="189"/>
    <col min="13825" max="13825" width="11.85546875" style="189" customWidth="1"/>
    <col min="13826" max="13826" width="6.140625" style="189" customWidth="1"/>
    <col min="13827" max="13827" width="11.42578125" style="189" customWidth="1"/>
    <col min="13828" max="13828" width="24.28515625" style="189" customWidth="1"/>
    <col min="13829" max="13829" width="23.140625" style="189" customWidth="1"/>
    <col min="13830" max="13830" width="5.28515625" style="189" customWidth="1"/>
    <col min="13831" max="13831" width="24.5703125" style="189" customWidth="1"/>
    <col min="13832" max="13832" width="21.42578125" style="189" customWidth="1"/>
    <col min="13833" max="13833" width="12.85546875" style="189" customWidth="1"/>
    <col min="13834" max="14080" width="9.140625" style="189"/>
    <col min="14081" max="14081" width="11.85546875" style="189" customWidth="1"/>
    <col min="14082" max="14082" width="6.140625" style="189" customWidth="1"/>
    <col min="14083" max="14083" width="11.42578125" style="189" customWidth="1"/>
    <col min="14084" max="14084" width="24.28515625" style="189" customWidth="1"/>
    <col min="14085" max="14085" width="23.140625" style="189" customWidth="1"/>
    <col min="14086" max="14086" width="5.28515625" style="189" customWidth="1"/>
    <col min="14087" max="14087" width="24.5703125" style="189" customWidth="1"/>
    <col min="14088" max="14088" width="21.42578125" style="189" customWidth="1"/>
    <col min="14089" max="14089" width="12.85546875" style="189" customWidth="1"/>
    <col min="14090" max="14336" width="9.140625" style="189"/>
    <col min="14337" max="14337" width="11.85546875" style="189" customWidth="1"/>
    <col min="14338" max="14338" width="6.140625" style="189" customWidth="1"/>
    <col min="14339" max="14339" width="11.42578125" style="189" customWidth="1"/>
    <col min="14340" max="14340" width="24.28515625" style="189" customWidth="1"/>
    <col min="14341" max="14341" width="23.140625" style="189" customWidth="1"/>
    <col min="14342" max="14342" width="5.28515625" style="189" customWidth="1"/>
    <col min="14343" max="14343" width="24.5703125" style="189" customWidth="1"/>
    <col min="14344" max="14344" width="21.42578125" style="189" customWidth="1"/>
    <col min="14345" max="14345" width="12.85546875" style="189" customWidth="1"/>
    <col min="14346" max="14592" width="9.140625" style="189"/>
    <col min="14593" max="14593" width="11.85546875" style="189" customWidth="1"/>
    <col min="14594" max="14594" width="6.140625" style="189" customWidth="1"/>
    <col min="14595" max="14595" width="11.42578125" style="189" customWidth="1"/>
    <col min="14596" max="14596" width="24.28515625" style="189" customWidth="1"/>
    <col min="14597" max="14597" width="23.140625" style="189" customWidth="1"/>
    <col min="14598" max="14598" width="5.28515625" style="189" customWidth="1"/>
    <col min="14599" max="14599" width="24.5703125" style="189" customWidth="1"/>
    <col min="14600" max="14600" width="21.42578125" style="189" customWidth="1"/>
    <col min="14601" max="14601" width="12.85546875" style="189" customWidth="1"/>
    <col min="14602" max="14848" width="9.140625" style="189"/>
    <col min="14849" max="14849" width="11.85546875" style="189" customWidth="1"/>
    <col min="14850" max="14850" width="6.140625" style="189" customWidth="1"/>
    <col min="14851" max="14851" width="11.42578125" style="189" customWidth="1"/>
    <col min="14852" max="14852" width="24.28515625" style="189" customWidth="1"/>
    <col min="14853" max="14853" width="23.140625" style="189" customWidth="1"/>
    <col min="14854" max="14854" width="5.28515625" style="189" customWidth="1"/>
    <col min="14855" max="14855" width="24.5703125" style="189" customWidth="1"/>
    <col min="14856" max="14856" width="21.42578125" style="189" customWidth="1"/>
    <col min="14857" max="14857" width="12.85546875" style="189" customWidth="1"/>
    <col min="14858" max="15104" width="9.140625" style="189"/>
    <col min="15105" max="15105" width="11.85546875" style="189" customWidth="1"/>
    <col min="15106" max="15106" width="6.140625" style="189" customWidth="1"/>
    <col min="15107" max="15107" width="11.42578125" style="189" customWidth="1"/>
    <col min="15108" max="15108" width="24.28515625" style="189" customWidth="1"/>
    <col min="15109" max="15109" width="23.140625" style="189" customWidth="1"/>
    <col min="15110" max="15110" width="5.28515625" style="189" customWidth="1"/>
    <col min="15111" max="15111" width="24.5703125" style="189" customWidth="1"/>
    <col min="15112" max="15112" width="21.42578125" style="189" customWidth="1"/>
    <col min="15113" max="15113" width="12.85546875" style="189" customWidth="1"/>
    <col min="15114" max="15360" width="9.140625" style="189"/>
    <col min="15361" max="15361" width="11.85546875" style="189" customWidth="1"/>
    <col min="15362" max="15362" width="6.140625" style="189" customWidth="1"/>
    <col min="15363" max="15363" width="11.42578125" style="189" customWidth="1"/>
    <col min="15364" max="15364" width="24.28515625" style="189" customWidth="1"/>
    <col min="15365" max="15365" width="23.140625" style="189" customWidth="1"/>
    <col min="15366" max="15366" width="5.28515625" style="189" customWidth="1"/>
    <col min="15367" max="15367" width="24.5703125" style="189" customWidth="1"/>
    <col min="15368" max="15368" width="21.42578125" style="189" customWidth="1"/>
    <col min="15369" max="15369" width="12.85546875" style="189" customWidth="1"/>
    <col min="15370" max="15616" width="9.140625" style="189"/>
    <col min="15617" max="15617" width="11.85546875" style="189" customWidth="1"/>
    <col min="15618" max="15618" width="6.140625" style="189" customWidth="1"/>
    <col min="15619" max="15619" width="11.42578125" style="189" customWidth="1"/>
    <col min="15620" max="15620" width="24.28515625" style="189" customWidth="1"/>
    <col min="15621" max="15621" width="23.140625" style="189" customWidth="1"/>
    <col min="15622" max="15622" width="5.28515625" style="189" customWidth="1"/>
    <col min="15623" max="15623" width="24.5703125" style="189" customWidth="1"/>
    <col min="15624" max="15624" width="21.42578125" style="189" customWidth="1"/>
    <col min="15625" max="15625" width="12.85546875" style="189" customWidth="1"/>
    <col min="15626" max="15872" width="9.140625" style="189"/>
    <col min="15873" max="15873" width="11.85546875" style="189" customWidth="1"/>
    <col min="15874" max="15874" width="6.140625" style="189" customWidth="1"/>
    <col min="15875" max="15875" width="11.42578125" style="189" customWidth="1"/>
    <col min="15876" max="15876" width="24.28515625" style="189" customWidth="1"/>
    <col min="15877" max="15877" width="23.140625" style="189" customWidth="1"/>
    <col min="15878" max="15878" width="5.28515625" style="189" customWidth="1"/>
    <col min="15879" max="15879" width="24.5703125" style="189" customWidth="1"/>
    <col min="15880" max="15880" width="21.42578125" style="189" customWidth="1"/>
    <col min="15881" max="15881" width="12.85546875" style="189" customWidth="1"/>
    <col min="15882" max="16128" width="9.140625" style="189"/>
    <col min="16129" max="16129" width="11.85546875" style="189" customWidth="1"/>
    <col min="16130" max="16130" width="6.140625" style="189" customWidth="1"/>
    <col min="16131" max="16131" width="11.42578125" style="189" customWidth="1"/>
    <col min="16132" max="16132" width="24.28515625" style="189" customWidth="1"/>
    <col min="16133" max="16133" width="23.140625" style="189" customWidth="1"/>
    <col min="16134" max="16134" width="5.28515625" style="189" customWidth="1"/>
    <col min="16135" max="16135" width="24.5703125" style="189" customWidth="1"/>
    <col min="16136" max="16136" width="21.42578125" style="189" customWidth="1"/>
    <col min="16137" max="16137" width="12.85546875" style="189" customWidth="1"/>
    <col min="16138" max="16384" width="9.140625" style="189"/>
  </cols>
  <sheetData>
    <row r="1" spans="1:10">
      <c r="A1" s="311" t="s">
        <v>1063</v>
      </c>
      <c r="B1" s="311"/>
    </row>
    <row r="2" spans="1:10" ht="15.75" customHeight="1">
      <c r="C2" s="312" t="s">
        <v>1111</v>
      </c>
      <c r="D2" s="313"/>
      <c r="E2" s="314"/>
    </row>
    <row r="3" spans="1:10" ht="15.75" customHeight="1">
      <c r="A3" s="190"/>
      <c r="B3" s="190"/>
      <c r="C3" s="315" t="s">
        <v>1062</v>
      </c>
      <c r="D3" s="316"/>
      <c r="E3" s="317"/>
    </row>
    <row r="4" spans="1:10">
      <c r="A4" s="190"/>
      <c r="B4" s="190"/>
    </row>
    <row r="5" spans="1:10">
      <c r="A5" s="301" t="s">
        <v>1064</v>
      </c>
      <c r="B5" s="301"/>
    </row>
    <row r="6" spans="1:10">
      <c r="A6" s="190"/>
      <c r="B6" s="190"/>
      <c r="C6" s="318" t="s">
        <v>10</v>
      </c>
      <c r="D6" s="319"/>
      <c r="E6" s="191" t="s">
        <v>1065</v>
      </c>
      <c r="F6" s="192"/>
      <c r="G6" s="192"/>
      <c r="H6" s="192"/>
      <c r="I6" s="193"/>
    </row>
    <row r="7" spans="1:10">
      <c r="A7" s="190"/>
      <c r="B7" s="190"/>
      <c r="C7" s="309" t="s">
        <v>12</v>
      </c>
      <c r="D7" s="310"/>
      <c r="E7" s="194" t="s">
        <v>13</v>
      </c>
      <c r="F7" s="195"/>
      <c r="G7" s="195"/>
      <c r="H7" s="195"/>
      <c r="I7" s="196"/>
      <c r="J7" s="197"/>
    </row>
    <row r="8" spans="1:10">
      <c r="A8" s="190"/>
      <c r="B8" s="190"/>
      <c r="C8" s="307" t="s">
        <v>15</v>
      </c>
      <c r="D8" s="308"/>
      <c r="E8" s="198" t="s">
        <v>1066</v>
      </c>
      <c r="F8" s="199"/>
      <c r="G8" s="199"/>
      <c r="H8" s="199"/>
      <c r="I8" s="200"/>
      <c r="J8" s="197"/>
    </row>
    <row r="9" spans="1:10">
      <c r="A9" s="190"/>
      <c r="B9" s="190"/>
      <c r="C9" s="309" t="s">
        <v>1067</v>
      </c>
      <c r="D9" s="310"/>
      <c r="E9" s="194" t="s">
        <v>859</v>
      </c>
      <c r="F9" s="195"/>
      <c r="G9" s="195"/>
      <c r="H9" s="195"/>
      <c r="I9" s="196"/>
      <c r="J9" s="197"/>
    </row>
    <row r="10" spans="1:10">
      <c r="A10" s="190"/>
      <c r="B10" s="190"/>
      <c r="C10" s="307" t="s">
        <v>391</v>
      </c>
      <c r="D10" s="308"/>
      <c r="E10" s="198" t="s">
        <v>1068</v>
      </c>
      <c r="F10" s="199"/>
      <c r="G10" s="199"/>
      <c r="H10" s="199"/>
      <c r="I10" s="200"/>
      <c r="J10" s="197"/>
    </row>
    <row r="11" spans="1:10">
      <c r="A11" s="190"/>
      <c r="B11" s="190"/>
      <c r="C11" s="309" t="s">
        <v>1069</v>
      </c>
      <c r="D11" s="310"/>
      <c r="E11" s="194" t="s">
        <v>1070</v>
      </c>
      <c r="F11" s="195"/>
      <c r="G11" s="195"/>
      <c r="H11" s="195"/>
      <c r="I11" s="196"/>
      <c r="J11" s="197"/>
    </row>
    <row r="12" spans="1:10">
      <c r="A12" s="190"/>
      <c r="B12" s="190"/>
      <c r="C12" s="307" t="s">
        <v>20</v>
      </c>
      <c r="D12" s="308"/>
      <c r="E12" s="201">
        <v>46115</v>
      </c>
      <c r="F12" s="199"/>
      <c r="G12" s="199"/>
      <c r="H12" s="199"/>
      <c r="I12" s="200"/>
      <c r="J12" s="197"/>
    </row>
    <row r="13" spans="1:10">
      <c r="A13" s="190"/>
      <c r="B13" s="190"/>
      <c r="C13" s="305" t="s">
        <v>21</v>
      </c>
      <c r="D13" s="306"/>
      <c r="E13" s="300">
        <f>+E12</f>
        <v>46115</v>
      </c>
      <c r="F13" s="300"/>
      <c r="G13" s="300"/>
      <c r="H13" s="300"/>
      <c r="I13" s="202"/>
      <c r="J13" s="197"/>
    </row>
    <row r="14" spans="1:10">
      <c r="D14" s="203"/>
    </row>
    <row r="15" spans="1:10">
      <c r="A15" s="301" t="s">
        <v>1071</v>
      </c>
      <c r="B15" s="301"/>
    </row>
    <row r="16" spans="1:10">
      <c r="C16" s="302" t="s">
        <v>166</v>
      </c>
      <c r="D16" s="303"/>
      <c r="E16" s="304"/>
      <c r="G16" s="302" t="s">
        <v>1072</v>
      </c>
      <c r="H16" s="303"/>
      <c r="I16" s="304"/>
    </row>
    <row r="17" spans="3:9">
      <c r="C17" s="287" t="s">
        <v>168</v>
      </c>
      <c r="D17" s="288"/>
      <c r="E17" s="289"/>
      <c r="G17" s="287" t="s">
        <v>169</v>
      </c>
      <c r="H17" s="288"/>
      <c r="I17" s="289"/>
    </row>
    <row r="18" spans="3:9">
      <c r="C18" s="287"/>
      <c r="D18" s="288"/>
      <c r="E18" s="289"/>
      <c r="G18" s="290"/>
      <c r="H18" s="291"/>
      <c r="I18" s="292"/>
    </row>
    <row r="19" spans="3:9" ht="27" customHeight="1">
      <c r="C19" s="287"/>
      <c r="D19" s="288"/>
      <c r="E19" s="289"/>
      <c r="G19" s="290"/>
      <c r="H19" s="291"/>
      <c r="I19" s="292"/>
    </row>
    <row r="20" spans="3:9">
      <c r="C20" s="287"/>
      <c r="D20" s="288"/>
      <c r="E20" s="289"/>
      <c r="G20" s="290"/>
      <c r="H20" s="291"/>
      <c r="I20" s="292"/>
    </row>
    <row r="21" spans="3:9">
      <c r="C21" s="287"/>
      <c r="D21" s="288"/>
      <c r="E21" s="289"/>
      <c r="G21" s="290"/>
      <c r="H21" s="291"/>
      <c r="I21" s="292"/>
    </row>
    <row r="22" spans="3:9">
      <c r="C22" s="287"/>
      <c r="D22" s="288"/>
      <c r="E22" s="289"/>
      <c r="G22" s="290"/>
      <c r="H22" s="291"/>
      <c r="I22" s="292"/>
    </row>
    <row r="23" spans="3:9">
      <c r="C23" s="287"/>
      <c r="D23" s="288"/>
      <c r="E23" s="289"/>
      <c r="G23" s="290"/>
      <c r="H23" s="291"/>
      <c r="I23" s="292"/>
    </row>
    <row r="24" spans="3:9">
      <c r="C24" s="293" t="s">
        <v>1066</v>
      </c>
      <c r="D24" s="294"/>
      <c r="E24" s="295"/>
      <c r="G24" s="293" t="s">
        <v>1065</v>
      </c>
      <c r="H24" s="294"/>
      <c r="I24" s="295"/>
    </row>
    <row r="25" spans="3:9">
      <c r="C25" s="293" t="s">
        <v>1073</v>
      </c>
      <c r="D25" s="294"/>
      <c r="E25" s="295"/>
      <c r="F25" s="204"/>
      <c r="G25" s="293" t="s">
        <v>1074</v>
      </c>
      <c r="H25" s="294"/>
      <c r="I25" s="295"/>
    </row>
    <row r="26" spans="3:9">
      <c r="C26" s="296" t="s">
        <v>172</v>
      </c>
      <c r="D26" s="297"/>
      <c r="E26" s="298"/>
      <c r="F26" s="205"/>
      <c r="G26" s="296" t="s">
        <v>1075</v>
      </c>
      <c r="H26" s="297"/>
      <c r="I26" s="298"/>
    </row>
    <row r="27" spans="3:9">
      <c r="C27" s="206"/>
      <c r="D27" s="206"/>
      <c r="E27" s="206"/>
      <c r="G27" s="207"/>
      <c r="H27" s="207"/>
      <c r="I27" s="207"/>
    </row>
    <row r="28" spans="3:9">
      <c r="C28" s="206"/>
      <c r="D28" s="206"/>
      <c r="E28" s="206"/>
      <c r="G28" s="207"/>
      <c r="H28" s="207"/>
      <c r="I28" s="207"/>
    </row>
    <row r="29" spans="3:9">
      <c r="C29" s="208" t="s">
        <v>159</v>
      </c>
      <c r="D29" s="299" t="s">
        <v>1076</v>
      </c>
      <c r="E29" s="299"/>
      <c r="F29" s="299"/>
      <c r="G29" s="299"/>
      <c r="H29" s="209" t="s">
        <v>1077</v>
      </c>
      <c r="I29" s="207"/>
    </row>
    <row r="30" spans="3:9">
      <c r="C30" s="208" t="s">
        <v>1078</v>
      </c>
      <c r="D30" s="299" t="s">
        <v>1079</v>
      </c>
      <c r="E30" s="299"/>
      <c r="F30" s="299"/>
      <c r="G30" s="299"/>
      <c r="H30" s="209"/>
      <c r="I30" s="207"/>
    </row>
    <row r="31" spans="3:9">
      <c r="C31" s="210" t="s">
        <v>1080</v>
      </c>
      <c r="D31" s="286" t="s">
        <v>1081</v>
      </c>
      <c r="E31" s="286"/>
      <c r="F31" s="286"/>
      <c r="G31" s="286"/>
      <c r="H31" s="211" t="s">
        <v>1082</v>
      </c>
      <c r="I31" s="207"/>
    </row>
    <row r="32" spans="3:9">
      <c r="C32" s="210" t="s">
        <v>1083</v>
      </c>
      <c r="D32" s="286" t="s">
        <v>1084</v>
      </c>
      <c r="E32" s="286"/>
      <c r="F32" s="286"/>
      <c r="G32" s="286"/>
      <c r="H32" s="211" t="s">
        <v>1085</v>
      </c>
      <c r="I32" s="207"/>
    </row>
    <row r="33" spans="3:9">
      <c r="C33" s="210" t="s">
        <v>1086</v>
      </c>
      <c r="D33" s="286" t="s">
        <v>1087</v>
      </c>
      <c r="E33" s="286"/>
      <c r="F33" s="286"/>
      <c r="G33" s="286"/>
      <c r="H33" s="211" t="s">
        <v>1088</v>
      </c>
      <c r="I33" s="207"/>
    </row>
    <row r="34" spans="3:9">
      <c r="C34" s="210" t="s">
        <v>1089</v>
      </c>
      <c r="D34" s="286" t="s">
        <v>1090</v>
      </c>
      <c r="E34" s="286"/>
      <c r="F34" s="286"/>
      <c r="G34" s="286"/>
      <c r="H34" s="211" t="s">
        <v>1091</v>
      </c>
      <c r="I34" s="207"/>
    </row>
    <row r="35" spans="3:9">
      <c r="C35" s="210" t="s">
        <v>1092</v>
      </c>
      <c r="D35" s="286" t="s">
        <v>1093</v>
      </c>
      <c r="E35" s="286"/>
      <c r="F35" s="286"/>
      <c r="G35" s="286"/>
      <c r="H35" s="211" t="s">
        <v>1094</v>
      </c>
      <c r="I35" s="207"/>
    </row>
    <row r="36" spans="3:9">
      <c r="C36" s="210" t="s">
        <v>1095</v>
      </c>
      <c r="D36" s="286" t="s">
        <v>1096</v>
      </c>
      <c r="E36" s="286"/>
      <c r="F36" s="286"/>
      <c r="G36" s="286"/>
      <c r="H36" s="212" t="s">
        <v>1097</v>
      </c>
      <c r="I36" s="207"/>
    </row>
    <row r="37" spans="3:9">
      <c r="C37" s="210" t="s">
        <v>1098</v>
      </c>
      <c r="D37" s="286" t="s">
        <v>1099</v>
      </c>
      <c r="E37" s="286"/>
      <c r="F37" s="286"/>
      <c r="G37" s="286"/>
      <c r="H37" s="213" t="s">
        <v>1100</v>
      </c>
      <c r="I37" s="207"/>
    </row>
    <row r="38" spans="3:9">
      <c r="C38" s="210" t="s">
        <v>1101</v>
      </c>
      <c r="D38" s="286" t="s">
        <v>1102</v>
      </c>
      <c r="E38" s="286"/>
      <c r="F38" s="286"/>
      <c r="G38" s="286"/>
      <c r="H38" s="213" t="s">
        <v>1100</v>
      </c>
      <c r="I38" s="207"/>
    </row>
    <row r="39" spans="3:9">
      <c r="C39" s="208" t="s">
        <v>1103</v>
      </c>
      <c r="D39" s="285" t="s">
        <v>1104</v>
      </c>
      <c r="E39" s="285"/>
      <c r="F39" s="285"/>
      <c r="G39" s="285"/>
      <c r="H39" s="213" t="s">
        <v>1100</v>
      </c>
      <c r="I39" s="207"/>
    </row>
    <row r="40" spans="3:9">
      <c r="C40" s="210">
        <v>6</v>
      </c>
      <c r="D40" s="286" t="s">
        <v>1105</v>
      </c>
      <c r="E40" s="286"/>
      <c r="F40" s="286"/>
      <c r="G40" s="286"/>
      <c r="H40" s="211" t="s">
        <v>1106</v>
      </c>
      <c r="I40" s="207"/>
    </row>
    <row r="41" spans="3:9">
      <c r="C41" s="210">
        <v>7</v>
      </c>
      <c r="D41" s="286" t="s">
        <v>1107</v>
      </c>
      <c r="E41" s="286"/>
      <c r="F41" s="286"/>
      <c r="G41" s="286"/>
      <c r="H41" s="211" t="s">
        <v>1108</v>
      </c>
      <c r="I41" s="207"/>
    </row>
    <row r="42" spans="3:9">
      <c r="C42" s="210">
        <v>8</v>
      </c>
      <c r="D42" s="286" t="s">
        <v>1109</v>
      </c>
      <c r="E42" s="286"/>
      <c r="F42" s="286"/>
      <c r="G42" s="286"/>
      <c r="H42" s="211" t="s">
        <v>1110</v>
      </c>
      <c r="I42" s="207"/>
    </row>
    <row r="43" spans="3:9">
      <c r="C43" s="206"/>
      <c r="D43" s="206"/>
      <c r="E43" s="206"/>
      <c r="G43" s="207"/>
      <c r="H43" s="207"/>
      <c r="I43" s="207"/>
    </row>
    <row r="44" spans="3:9">
      <c r="C44" s="206"/>
      <c r="D44" s="206"/>
      <c r="E44" s="206"/>
      <c r="G44" s="207"/>
      <c r="H44" s="207"/>
      <c r="I44" s="207"/>
    </row>
    <row r="45" spans="3:9">
      <c r="C45" s="206"/>
      <c r="D45" s="206"/>
      <c r="E45" s="206"/>
      <c r="G45" s="207"/>
      <c r="H45" s="207"/>
      <c r="I45" s="207"/>
    </row>
    <row r="46" spans="3:9">
      <c r="C46" s="206"/>
      <c r="D46" s="206"/>
      <c r="E46" s="206"/>
      <c r="G46" s="207"/>
      <c r="H46" s="207"/>
      <c r="I46" s="207"/>
    </row>
    <row r="47" spans="3:9">
      <c r="C47" s="206"/>
      <c r="D47" s="206"/>
      <c r="E47" s="206"/>
      <c r="G47" s="207"/>
      <c r="H47" s="207"/>
      <c r="I47" s="207"/>
    </row>
    <row r="48" spans="3:9">
      <c r="C48" s="206"/>
      <c r="D48" s="206"/>
      <c r="E48" s="206"/>
      <c r="G48" s="207"/>
      <c r="H48" s="207"/>
      <c r="I48" s="207"/>
    </row>
    <row r="49" spans="2:9">
      <c r="C49" s="206"/>
      <c r="D49" s="206"/>
      <c r="E49" s="206"/>
      <c r="G49" s="207"/>
      <c r="H49" s="207"/>
      <c r="I49" s="207"/>
    </row>
    <row r="50" spans="2:9">
      <c r="C50" s="206"/>
      <c r="D50" s="206"/>
      <c r="E50" s="206"/>
      <c r="G50" s="207"/>
      <c r="H50" s="207"/>
      <c r="I50" s="207"/>
    </row>
    <row r="51" spans="2:9">
      <c r="B51" s="214"/>
      <c r="C51" s="215"/>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7"/>
  <sheetViews>
    <sheetView showGridLines="0" showZeros="0" tabSelected="1" showOutlineSymbols="0" zoomScaleNormal="100" workbookViewId="0">
      <selection activeCell="E70" sqref="E70"/>
    </sheetView>
  </sheetViews>
  <sheetFormatPr defaultRowHeight="15"/>
  <cols>
    <col min="1" max="1" width="4.28515625" style="3" customWidth="1"/>
    <col min="2" max="2" width="42.28515625" style="3" customWidth="1"/>
    <col min="3" max="3" width="10.7109375" style="3" bestFit="1" customWidth="1"/>
    <col min="4" max="5" width="18.5703125" style="3" customWidth="1"/>
    <col min="6" max="6" width="11.42578125" style="3" customWidth="1"/>
    <col min="7" max="8" width="13.85546875" style="3" bestFit="1" customWidth="1"/>
    <col min="9" max="256" width="9.140625" style="3"/>
    <col min="257" max="257" width="4.28515625" style="3" customWidth="1"/>
    <col min="258" max="258" width="42.28515625" style="3" customWidth="1"/>
    <col min="259" max="259" width="9.140625" style="3"/>
    <col min="260" max="261" width="18.5703125" style="3" customWidth="1"/>
    <col min="262" max="262" width="11.42578125" style="3" customWidth="1"/>
    <col min="263" max="512" width="9.140625" style="3"/>
    <col min="513" max="513" width="4.28515625" style="3" customWidth="1"/>
    <col min="514" max="514" width="42.28515625" style="3" customWidth="1"/>
    <col min="515" max="515" width="9.140625" style="3"/>
    <col min="516" max="517" width="18.5703125" style="3" customWidth="1"/>
    <col min="518" max="518" width="11.42578125" style="3" customWidth="1"/>
    <col min="519" max="768" width="9.140625" style="3"/>
    <col min="769" max="769" width="4.28515625" style="3" customWidth="1"/>
    <col min="770" max="770" width="42.28515625" style="3" customWidth="1"/>
    <col min="771" max="771" width="9.140625" style="3"/>
    <col min="772" max="773" width="18.5703125" style="3" customWidth="1"/>
    <col min="774" max="774" width="11.42578125" style="3" customWidth="1"/>
    <col min="775" max="1024" width="9.140625" style="3"/>
    <col min="1025" max="1025" width="4.28515625" style="3" customWidth="1"/>
    <col min="1026" max="1026" width="42.28515625" style="3" customWidth="1"/>
    <col min="1027" max="1027" width="9.140625" style="3"/>
    <col min="1028" max="1029" width="18.5703125" style="3" customWidth="1"/>
    <col min="1030" max="1030" width="11.42578125" style="3" customWidth="1"/>
    <col min="1031" max="1280" width="9.140625" style="3"/>
    <col min="1281" max="1281" width="4.28515625" style="3" customWidth="1"/>
    <col min="1282" max="1282" width="42.28515625" style="3" customWidth="1"/>
    <col min="1283" max="1283" width="9.140625" style="3"/>
    <col min="1284" max="1285" width="18.5703125" style="3" customWidth="1"/>
    <col min="1286" max="1286" width="11.42578125" style="3" customWidth="1"/>
    <col min="1287" max="1536" width="9.140625" style="3"/>
    <col min="1537" max="1537" width="4.28515625" style="3" customWidth="1"/>
    <col min="1538" max="1538" width="42.28515625" style="3" customWidth="1"/>
    <col min="1539" max="1539" width="9.140625" style="3"/>
    <col min="1540" max="1541" width="18.5703125" style="3" customWidth="1"/>
    <col min="1542" max="1542" width="11.42578125" style="3" customWidth="1"/>
    <col min="1543" max="1792" width="9.140625" style="3"/>
    <col min="1793" max="1793" width="4.28515625" style="3" customWidth="1"/>
    <col min="1794" max="1794" width="42.28515625" style="3" customWidth="1"/>
    <col min="1795" max="1795" width="9.140625" style="3"/>
    <col min="1796" max="1797" width="18.5703125" style="3" customWidth="1"/>
    <col min="1798" max="1798" width="11.42578125" style="3" customWidth="1"/>
    <col min="1799" max="2048" width="9.140625" style="3"/>
    <col min="2049" max="2049" width="4.28515625" style="3" customWidth="1"/>
    <col min="2050" max="2050" width="42.28515625" style="3" customWidth="1"/>
    <col min="2051" max="2051" width="9.140625" style="3"/>
    <col min="2052" max="2053" width="18.5703125" style="3" customWidth="1"/>
    <col min="2054" max="2054" width="11.42578125" style="3" customWidth="1"/>
    <col min="2055" max="2304" width="9.140625" style="3"/>
    <col min="2305" max="2305" width="4.28515625" style="3" customWidth="1"/>
    <col min="2306" max="2306" width="42.28515625" style="3" customWidth="1"/>
    <col min="2307" max="2307" width="9.140625" style="3"/>
    <col min="2308" max="2309" width="18.5703125" style="3" customWidth="1"/>
    <col min="2310" max="2310" width="11.42578125" style="3" customWidth="1"/>
    <col min="2311" max="2560" width="9.140625" style="3"/>
    <col min="2561" max="2561" width="4.28515625" style="3" customWidth="1"/>
    <col min="2562" max="2562" width="42.28515625" style="3" customWidth="1"/>
    <col min="2563" max="2563" width="9.140625" style="3"/>
    <col min="2564" max="2565" width="18.5703125" style="3" customWidth="1"/>
    <col min="2566" max="2566" width="11.42578125" style="3" customWidth="1"/>
    <col min="2567" max="2816" width="9.140625" style="3"/>
    <col min="2817" max="2817" width="4.28515625" style="3" customWidth="1"/>
    <col min="2818" max="2818" width="42.28515625" style="3" customWidth="1"/>
    <col min="2819" max="2819" width="9.140625" style="3"/>
    <col min="2820" max="2821" width="18.5703125" style="3" customWidth="1"/>
    <col min="2822" max="2822" width="11.42578125" style="3" customWidth="1"/>
    <col min="2823" max="3072" width="9.140625" style="3"/>
    <col min="3073" max="3073" width="4.28515625" style="3" customWidth="1"/>
    <col min="3074" max="3074" width="42.28515625" style="3" customWidth="1"/>
    <col min="3075" max="3075" width="9.140625" style="3"/>
    <col min="3076" max="3077" width="18.5703125" style="3" customWidth="1"/>
    <col min="3078" max="3078" width="11.42578125" style="3" customWidth="1"/>
    <col min="3079" max="3328" width="9.140625" style="3"/>
    <col min="3329" max="3329" width="4.28515625" style="3" customWidth="1"/>
    <col min="3330" max="3330" width="42.28515625" style="3" customWidth="1"/>
    <col min="3331" max="3331" width="9.140625" style="3"/>
    <col min="3332" max="3333" width="18.5703125" style="3" customWidth="1"/>
    <col min="3334" max="3334" width="11.42578125" style="3" customWidth="1"/>
    <col min="3335" max="3584" width="9.140625" style="3"/>
    <col min="3585" max="3585" width="4.28515625" style="3" customWidth="1"/>
    <col min="3586" max="3586" width="42.28515625" style="3" customWidth="1"/>
    <col min="3587" max="3587" width="9.140625" style="3"/>
    <col min="3588" max="3589" width="18.5703125" style="3" customWidth="1"/>
    <col min="3590" max="3590" width="11.42578125" style="3" customWidth="1"/>
    <col min="3591" max="3840" width="9.140625" style="3"/>
    <col min="3841" max="3841" width="4.28515625" style="3" customWidth="1"/>
    <col min="3842" max="3842" width="42.28515625" style="3" customWidth="1"/>
    <col min="3843" max="3843" width="9.140625" style="3"/>
    <col min="3844" max="3845" width="18.5703125" style="3" customWidth="1"/>
    <col min="3846" max="3846" width="11.42578125" style="3" customWidth="1"/>
    <col min="3847" max="4096" width="9.140625" style="3"/>
    <col min="4097" max="4097" width="4.28515625" style="3" customWidth="1"/>
    <col min="4098" max="4098" width="42.28515625" style="3" customWidth="1"/>
    <col min="4099" max="4099" width="9.140625" style="3"/>
    <col min="4100" max="4101" width="18.5703125" style="3" customWidth="1"/>
    <col min="4102" max="4102" width="11.42578125" style="3" customWidth="1"/>
    <col min="4103" max="4352" width="9.140625" style="3"/>
    <col min="4353" max="4353" width="4.28515625" style="3" customWidth="1"/>
    <col min="4354" max="4354" width="42.28515625" style="3" customWidth="1"/>
    <col min="4355" max="4355" width="9.140625" style="3"/>
    <col min="4356" max="4357" width="18.5703125" style="3" customWidth="1"/>
    <col min="4358" max="4358" width="11.42578125" style="3" customWidth="1"/>
    <col min="4359" max="4608" width="9.140625" style="3"/>
    <col min="4609" max="4609" width="4.28515625" style="3" customWidth="1"/>
    <col min="4610" max="4610" width="42.28515625" style="3" customWidth="1"/>
    <col min="4611" max="4611" width="9.140625" style="3"/>
    <col min="4612" max="4613" width="18.5703125" style="3" customWidth="1"/>
    <col min="4614" max="4614" width="11.42578125" style="3" customWidth="1"/>
    <col min="4615" max="4864" width="9.140625" style="3"/>
    <col min="4865" max="4865" width="4.28515625" style="3" customWidth="1"/>
    <col min="4866" max="4866" width="42.28515625" style="3" customWidth="1"/>
    <col min="4867" max="4867" width="9.140625" style="3"/>
    <col min="4868" max="4869" width="18.5703125" style="3" customWidth="1"/>
    <col min="4870" max="4870" width="11.42578125" style="3" customWidth="1"/>
    <col min="4871" max="5120" width="9.140625" style="3"/>
    <col min="5121" max="5121" width="4.28515625" style="3" customWidth="1"/>
    <col min="5122" max="5122" width="42.28515625" style="3" customWidth="1"/>
    <col min="5123" max="5123" width="9.140625" style="3"/>
    <col min="5124" max="5125" width="18.5703125" style="3" customWidth="1"/>
    <col min="5126" max="5126" width="11.42578125" style="3" customWidth="1"/>
    <col min="5127" max="5376" width="9.140625" style="3"/>
    <col min="5377" max="5377" width="4.28515625" style="3" customWidth="1"/>
    <col min="5378" max="5378" width="42.28515625" style="3" customWidth="1"/>
    <col min="5379" max="5379" width="9.140625" style="3"/>
    <col min="5380" max="5381" width="18.5703125" style="3" customWidth="1"/>
    <col min="5382" max="5382" width="11.42578125" style="3" customWidth="1"/>
    <col min="5383" max="5632" width="9.140625" style="3"/>
    <col min="5633" max="5633" width="4.28515625" style="3" customWidth="1"/>
    <col min="5634" max="5634" width="42.28515625" style="3" customWidth="1"/>
    <col min="5635" max="5635" width="9.140625" style="3"/>
    <col min="5636" max="5637" width="18.5703125" style="3" customWidth="1"/>
    <col min="5638" max="5638" width="11.42578125" style="3" customWidth="1"/>
    <col min="5639" max="5888" width="9.140625" style="3"/>
    <col min="5889" max="5889" width="4.28515625" style="3" customWidth="1"/>
    <col min="5890" max="5890" width="42.28515625" style="3" customWidth="1"/>
    <col min="5891" max="5891" width="9.140625" style="3"/>
    <col min="5892" max="5893" width="18.5703125" style="3" customWidth="1"/>
    <col min="5894" max="5894" width="11.42578125" style="3" customWidth="1"/>
    <col min="5895" max="6144" width="9.140625" style="3"/>
    <col min="6145" max="6145" width="4.28515625" style="3" customWidth="1"/>
    <col min="6146" max="6146" width="42.28515625" style="3" customWidth="1"/>
    <col min="6147" max="6147" width="9.140625" style="3"/>
    <col min="6148" max="6149" width="18.5703125" style="3" customWidth="1"/>
    <col min="6150" max="6150" width="11.42578125" style="3" customWidth="1"/>
    <col min="6151" max="6400" width="9.140625" style="3"/>
    <col min="6401" max="6401" width="4.28515625" style="3" customWidth="1"/>
    <col min="6402" max="6402" width="42.28515625" style="3" customWidth="1"/>
    <col min="6403" max="6403" width="9.140625" style="3"/>
    <col min="6404" max="6405" width="18.5703125" style="3" customWidth="1"/>
    <col min="6406" max="6406" width="11.42578125" style="3" customWidth="1"/>
    <col min="6407" max="6656" width="9.140625" style="3"/>
    <col min="6657" max="6657" width="4.28515625" style="3" customWidth="1"/>
    <col min="6658" max="6658" width="42.28515625" style="3" customWidth="1"/>
    <col min="6659" max="6659" width="9.140625" style="3"/>
    <col min="6660" max="6661" width="18.5703125" style="3" customWidth="1"/>
    <col min="6662" max="6662" width="11.42578125" style="3" customWidth="1"/>
    <col min="6663" max="6912" width="9.140625" style="3"/>
    <col min="6913" max="6913" width="4.28515625" style="3" customWidth="1"/>
    <col min="6914" max="6914" width="42.28515625" style="3" customWidth="1"/>
    <col min="6915" max="6915" width="9.140625" style="3"/>
    <col min="6916" max="6917" width="18.5703125" style="3" customWidth="1"/>
    <col min="6918" max="6918" width="11.42578125" style="3" customWidth="1"/>
    <col min="6919" max="7168" width="9.140625" style="3"/>
    <col min="7169" max="7169" width="4.28515625" style="3" customWidth="1"/>
    <col min="7170" max="7170" width="42.28515625" style="3" customWidth="1"/>
    <col min="7171" max="7171" width="9.140625" style="3"/>
    <col min="7172" max="7173" width="18.5703125" style="3" customWidth="1"/>
    <col min="7174" max="7174" width="11.42578125" style="3" customWidth="1"/>
    <col min="7175" max="7424" width="9.140625" style="3"/>
    <col min="7425" max="7425" width="4.28515625" style="3" customWidth="1"/>
    <col min="7426" max="7426" width="42.28515625" style="3" customWidth="1"/>
    <col min="7427" max="7427" width="9.140625" style="3"/>
    <col min="7428" max="7429" width="18.5703125" style="3" customWidth="1"/>
    <col min="7430" max="7430" width="11.42578125" style="3" customWidth="1"/>
    <col min="7431" max="7680" width="9.140625" style="3"/>
    <col min="7681" max="7681" width="4.28515625" style="3" customWidth="1"/>
    <col min="7682" max="7682" width="42.28515625" style="3" customWidth="1"/>
    <col min="7683" max="7683" width="9.140625" style="3"/>
    <col min="7684" max="7685" width="18.5703125" style="3" customWidth="1"/>
    <col min="7686" max="7686" width="11.42578125" style="3" customWidth="1"/>
    <col min="7687" max="7936" width="9.140625" style="3"/>
    <col min="7937" max="7937" width="4.28515625" style="3" customWidth="1"/>
    <col min="7938" max="7938" width="42.28515625" style="3" customWidth="1"/>
    <col min="7939" max="7939" width="9.140625" style="3"/>
    <col min="7940" max="7941" width="18.5703125" style="3" customWidth="1"/>
    <col min="7942" max="7942" width="11.42578125" style="3" customWidth="1"/>
    <col min="7943" max="8192" width="9.140625" style="3"/>
    <col min="8193" max="8193" width="4.28515625" style="3" customWidth="1"/>
    <col min="8194" max="8194" width="42.28515625" style="3" customWidth="1"/>
    <col min="8195" max="8195" width="9.140625" style="3"/>
    <col min="8196" max="8197" width="18.5703125" style="3" customWidth="1"/>
    <col min="8198" max="8198" width="11.42578125" style="3" customWidth="1"/>
    <col min="8199" max="8448" width="9.140625" style="3"/>
    <col min="8449" max="8449" width="4.28515625" style="3" customWidth="1"/>
    <col min="8450" max="8450" width="42.28515625" style="3" customWidth="1"/>
    <col min="8451" max="8451" width="9.140625" style="3"/>
    <col min="8452" max="8453" width="18.5703125" style="3" customWidth="1"/>
    <col min="8454" max="8454" width="11.42578125" style="3" customWidth="1"/>
    <col min="8455" max="8704" width="9.140625" style="3"/>
    <col min="8705" max="8705" width="4.28515625" style="3" customWidth="1"/>
    <col min="8706" max="8706" width="42.28515625" style="3" customWidth="1"/>
    <col min="8707" max="8707" width="9.140625" style="3"/>
    <col min="8708" max="8709" width="18.5703125" style="3" customWidth="1"/>
    <col min="8710" max="8710" width="11.42578125" style="3" customWidth="1"/>
    <col min="8711" max="8960" width="9.140625" style="3"/>
    <col min="8961" max="8961" width="4.28515625" style="3" customWidth="1"/>
    <col min="8962" max="8962" width="42.28515625" style="3" customWidth="1"/>
    <col min="8963" max="8963" width="9.140625" style="3"/>
    <col min="8964" max="8965" width="18.5703125" style="3" customWidth="1"/>
    <col min="8966" max="8966" width="11.42578125" style="3" customWidth="1"/>
    <col min="8967" max="9216" width="9.140625" style="3"/>
    <col min="9217" max="9217" width="4.28515625" style="3" customWidth="1"/>
    <col min="9218" max="9218" width="42.28515625" style="3" customWidth="1"/>
    <col min="9219" max="9219" width="9.140625" style="3"/>
    <col min="9220" max="9221" width="18.5703125" style="3" customWidth="1"/>
    <col min="9222" max="9222" width="11.42578125" style="3" customWidth="1"/>
    <col min="9223" max="9472" width="9.140625" style="3"/>
    <col min="9473" max="9473" width="4.28515625" style="3" customWidth="1"/>
    <col min="9474" max="9474" width="42.28515625" style="3" customWidth="1"/>
    <col min="9475" max="9475" width="9.140625" style="3"/>
    <col min="9476" max="9477" width="18.5703125" style="3" customWidth="1"/>
    <col min="9478" max="9478" width="11.42578125" style="3" customWidth="1"/>
    <col min="9479" max="9728" width="9.140625" style="3"/>
    <col min="9729" max="9729" width="4.28515625" style="3" customWidth="1"/>
    <col min="9730" max="9730" width="42.28515625" style="3" customWidth="1"/>
    <col min="9731" max="9731" width="9.140625" style="3"/>
    <col min="9732" max="9733" width="18.5703125" style="3" customWidth="1"/>
    <col min="9734" max="9734" width="11.42578125" style="3" customWidth="1"/>
    <col min="9735" max="9984" width="9.140625" style="3"/>
    <col min="9985" max="9985" width="4.28515625" style="3" customWidth="1"/>
    <col min="9986" max="9986" width="42.28515625" style="3" customWidth="1"/>
    <col min="9987" max="9987" width="9.140625" style="3"/>
    <col min="9988" max="9989" width="18.5703125" style="3" customWidth="1"/>
    <col min="9990" max="9990" width="11.42578125" style="3" customWidth="1"/>
    <col min="9991" max="10240" width="9.140625" style="3"/>
    <col min="10241" max="10241" width="4.28515625" style="3" customWidth="1"/>
    <col min="10242" max="10242" width="42.28515625" style="3" customWidth="1"/>
    <col min="10243" max="10243" width="9.140625" style="3"/>
    <col min="10244" max="10245" width="18.5703125" style="3" customWidth="1"/>
    <col min="10246" max="10246" width="11.42578125" style="3" customWidth="1"/>
    <col min="10247" max="10496" width="9.140625" style="3"/>
    <col min="10497" max="10497" width="4.28515625" style="3" customWidth="1"/>
    <col min="10498" max="10498" width="42.28515625" style="3" customWidth="1"/>
    <col min="10499" max="10499" width="9.140625" style="3"/>
    <col min="10500" max="10501" width="18.5703125" style="3" customWidth="1"/>
    <col min="10502" max="10502" width="11.42578125" style="3" customWidth="1"/>
    <col min="10503" max="10752" width="9.140625" style="3"/>
    <col min="10753" max="10753" width="4.28515625" style="3" customWidth="1"/>
    <col min="10754" max="10754" width="42.28515625" style="3" customWidth="1"/>
    <col min="10755" max="10755" width="9.140625" style="3"/>
    <col min="10756" max="10757" width="18.5703125" style="3" customWidth="1"/>
    <col min="10758" max="10758" width="11.42578125" style="3" customWidth="1"/>
    <col min="10759" max="11008" width="9.140625" style="3"/>
    <col min="11009" max="11009" width="4.28515625" style="3" customWidth="1"/>
    <col min="11010" max="11010" width="42.28515625" style="3" customWidth="1"/>
    <col min="11011" max="11011" width="9.140625" style="3"/>
    <col min="11012" max="11013" width="18.5703125" style="3" customWidth="1"/>
    <col min="11014" max="11014" width="11.42578125" style="3" customWidth="1"/>
    <col min="11015" max="11264" width="9.140625" style="3"/>
    <col min="11265" max="11265" width="4.28515625" style="3" customWidth="1"/>
    <col min="11266" max="11266" width="42.28515625" style="3" customWidth="1"/>
    <col min="11267" max="11267" width="9.140625" style="3"/>
    <col min="11268" max="11269" width="18.5703125" style="3" customWidth="1"/>
    <col min="11270" max="11270" width="11.42578125" style="3" customWidth="1"/>
    <col min="11271" max="11520" width="9.140625" style="3"/>
    <col min="11521" max="11521" width="4.28515625" style="3" customWidth="1"/>
    <col min="11522" max="11522" width="42.28515625" style="3" customWidth="1"/>
    <col min="11523" max="11523" width="9.140625" style="3"/>
    <col min="11524" max="11525" width="18.5703125" style="3" customWidth="1"/>
    <col min="11526" max="11526" width="11.42578125" style="3" customWidth="1"/>
    <col min="11527" max="11776" width="9.140625" style="3"/>
    <col min="11777" max="11777" width="4.28515625" style="3" customWidth="1"/>
    <col min="11778" max="11778" width="42.28515625" style="3" customWidth="1"/>
    <col min="11779" max="11779" width="9.140625" style="3"/>
    <col min="11780" max="11781" width="18.5703125" style="3" customWidth="1"/>
    <col min="11782" max="11782" width="11.42578125" style="3" customWidth="1"/>
    <col min="11783" max="12032" width="9.140625" style="3"/>
    <col min="12033" max="12033" width="4.28515625" style="3" customWidth="1"/>
    <col min="12034" max="12034" width="42.28515625" style="3" customWidth="1"/>
    <col min="12035" max="12035" width="9.140625" style="3"/>
    <col min="12036" max="12037" width="18.5703125" style="3" customWidth="1"/>
    <col min="12038" max="12038" width="11.42578125" style="3" customWidth="1"/>
    <col min="12039" max="12288" width="9.140625" style="3"/>
    <col min="12289" max="12289" width="4.28515625" style="3" customWidth="1"/>
    <col min="12290" max="12290" width="42.28515625" style="3" customWidth="1"/>
    <col min="12291" max="12291" width="9.140625" style="3"/>
    <col min="12292" max="12293" width="18.5703125" style="3" customWidth="1"/>
    <col min="12294" max="12294" width="11.42578125" style="3" customWidth="1"/>
    <col min="12295" max="12544" width="9.140625" style="3"/>
    <col min="12545" max="12545" width="4.28515625" style="3" customWidth="1"/>
    <col min="12546" max="12546" width="42.28515625" style="3" customWidth="1"/>
    <col min="12547" max="12547" width="9.140625" style="3"/>
    <col min="12548" max="12549" width="18.5703125" style="3" customWidth="1"/>
    <col min="12550" max="12550" width="11.42578125" style="3" customWidth="1"/>
    <col min="12551" max="12800" width="9.140625" style="3"/>
    <col min="12801" max="12801" width="4.28515625" style="3" customWidth="1"/>
    <col min="12802" max="12802" width="42.28515625" style="3" customWidth="1"/>
    <col min="12803" max="12803" width="9.140625" style="3"/>
    <col min="12804" max="12805" width="18.5703125" style="3" customWidth="1"/>
    <col min="12806" max="12806" width="11.42578125" style="3" customWidth="1"/>
    <col min="12807" max="13056" width="9.140625" style="3"/>
    <col min="13057" max="13057" width="4.28515625" style="3" customWidth="1"/>
    <col min="13058" max="13058" width="42.28515625" style="3" customWidth="1"/>
    <col min="13059" max="13059" width="9.140625" style="3"/>
    <col min="13060" max="13061" width="18.5703125" style="3" customWidth="1"/>
    <col min="13062" max="13062" width="11.42578125" style="3" customWidth="1"/>
    <col min="13063" max="13312" width="9.140625" style="3"/>
    <col min="13313" max="13313" width="4.28515625" style="3" customWidth="1"/>
    <col min="13314" max="13314" width="42.28515625" style="3" customWidth="1"/>
    <col min="13315" max="13315" width="9.140625" style="3"/>
    <col min="13316" max="13317" width="18.5703125" style="3" customWidth="1"/>
    <col min="13318" max="13318" width="11.42578125" style="3" customWidth="1"/>
    <col min="13319" max="13568" width="9.140625" style="3"/>
    <col min="13569" max="13569" width="4.28515625" style="3" customWidth="1"/>
    <col min="13570" max="13570" width="42.28515625" style="3" customWidth="1"/>
    <col min="13571" max="13571" width="9.140625" style="3"/>
    <col min="13572" max="13573" width="18.5703125" style="3" customWidth="1"/>
    <col min="13574" max="13574" width="11.42578125" style="3" customWidth="1"/>
    <col min="13575" max="13824" width="9.140625" style="3"/>
    <col min="13825" max="13825" width="4.28515625" style="3" customWidth="1"/>
    <col min="13826" max="13826" width="42.28515625" style="3" customWidth="1"/>
    <col min="13827" max="13827" width="9.140625" style="3"/>
    <col min="13828" max="13829" width="18.5703125" style="3" customWidth="1"/>
    <col min="13830" max="13830" width="11.42578125" style="3" customWidth="1"/>
    <col min="13831" max="14080" width="9.140625" style="3"/>
    <col min="14081" max="14081" width="4.28515625" style="3" customWidth="1"/>
    <col min="14082" max="14082" width="42.28515625" style="3" customWidth="1"/>
    <col min="14083" max="14083" width="9.140625" style="3"/>
    <col min="14084" max="14085" width="18.5703125" style="3" customWidth="1"/>
    <col min="14086" max="14086" width="11.42578125" style="3" customWidth="1"/>
    <col min="14087" max="14336" width="9.140625" style="3"/>
    <col min="14337" max="14337" width="4.28515625" style="3" customWidth="1"/>
    <col min="14338" max="14338" width="42.28515625" style="3" customWidth="1"/>
    <col min="14339" max="14339" width="9.140625" style="3"/>
    <col min="14340" max="14341" width="18.5703125" style="3" customWidth="1"/>
    <col min="14342" max="14342" width="11.42578125" style="3" customWidth="1"/>
    <col min="14343" max="14592" width="9.140625" style="3"/>
    <col min="14593" max="14593" width="4.28515625" style="3" customWidth="1"/>
    <col min="14594" max="14594" width="42.28515625" style="3" customWidth="1"/>
    <col min="14595" max="14595" width="9.140625" style="3"/>
    <col min="14596" max="14597" width="18.5703125" style="3" customWidth="1"/>
    <col min="14598" max="14598" width="11.42578125" style="3" customWidth="1"/>
    <col min="14599" max="14848" width="9.140625" style="3"/>
    <col min="14849" max="14849" width="4.28515625" style="3" customWidth="1"/>
    <col min="14850" max="14850" width="42.28515625" style="3" customWidth="1"/>
    <col min="14851" max="14851" width="9.140625" style="3"/>
    <col min="14852" max="14853" width="18.5703125" style="3" customWidth="1"/>
    <col min="14854" max="14854" width="11.42578125" style="3" customWidth="1"/>
    <col min="14855" max="15104" width="9.140625" style="3"/>
    <col min="15105" max="15105" width="4.28515625" style="3" customWidth="1"/>
    <col min="15106" max="15106" width="42.28515625" style="3" customWidth="1"/>
    <col min="15107" max="15107" width="9.140625" style="3"/>
    <col min="15108" max="15109" width="18.5703125" style="3" customWidth="1"/>
    <col min="15110" max="15110" width="11.42578125" style="3" customWidth="1"/>
    <col min="15111" max="15360" width="9.140625" style="3"/>
    <col min="15361" max="15361" width="4.28515625" style="3" customWidth="1"/>
    <col min="15362" max="15362" width="42.28515625" style="3" customWidth="1"/>
    <col min="15363" max="15363" width="9.140625" style="3"/>
    <col min="15364" max="15365" width="18.5703125" style="3" customWidth="1"/>
    <col min="15366" max="15366" width="11.42578125" style="3" customWidth="1"/>
    <col min="15367" max="15616" width="9.140625" style="3"/>
    <col min="15617" max="15617" width="4.28515625" style="3" customWidth="1"/>
    <col min="15618" max="15618" width="42.28515625" style="3" customWidth="1"/>
    <col min="15619" max="15619" width="9.140625" style="3"/>
    <col min="15620" max="15621" width="18.5703125" style="3" customWidth="1"/>
    <col min="15622" max="15622" width="11.42578125" style="3" customWidth="1"/>
    <col min="15623" max="15872" width="9.140625" style="3"/>
    <col min="15873" max="15873" width="4.28515625" style="3" customWidth="1"/>
    <col min="15874" max="15874" width="42.28515625" style="3" customWidth="1"/>
    <col min="15875" max="15875" width="9.140625" style="3"/>
    <col min="15876" max="15877" width="18.5703125" style="3" customWidth="1"/>
    <col min="15878" max="15878" width="11.42578125" style="3" customWidth="1"/>
    <col min="15879" max="16128" width="9.140625" style="3"/>
    <col min="16129" max="16129" width="4.28515625" style="3" customWidth="1"/>
    <col min="16130" max="16130" width="42.28515625" style="3" customWidth="1"/>
    <col min="16131" max="16131" width="9.140625" style="3"/>
    <col min="16132" max="16133" width="18.5703125" style="3" customWidth="1"/>
    <col min="16134" max="16134" width="11.42578125" style="3" customWidth="1"/>
    <col min="16135" max="16384" width="9.140625" style="3"/>
  </cols>
  <sheetData>
    <row r="1" spans="1:6" ht="35.25" customHeight="1">
      <c r="A1" s="329"/>
      <c r="B1" s="329"/>
      <c r="C1" s="30"/>
      <c r="D1" s="322" t="s">
        <v>0</v>
      </c>
      <c r="E1" s="322"/>
      <c r="F1" s="322"/>
    </row>
    <row r="2" spans="1:6" ht="27.75" customHeight="1">
      <c r="A2" s="330" t="s">
        <v>1</v>
      </c>
      <c r="B2" s="330"/>
      <c r="C2" s="330"/>
      <c r="D2" s="330"/>
      <c r="E2" s="330"/>
      <c r="F2" s="330"/>
    </row>
    <row r="3" spans="1:6" ht="3.75" customHeight="1">
      <c r="A3" s="1"/>
      <c r="B3" s="1"/>
      <c r="C3" s="1"/>
      <c r="D3" s="1"/>
      <c r="E3" s="1"/>
      <c r="F3" s="1"/>
    </row>
    <row r="4" spans="1:6" ht="27" customHeight="1">
      <c r="A4" s="331" t="s">
        <v>390</v>
      </c>
      <c r="B4" s="331"/>
      <c r="C4" s="331"/>
      <c r="D4" s="331"/>
      <c r="E4" s="331"/>
      <c r="F4" s="331"/>
    </row>
    <row r="5" spans="1:6" ht="18" customHeight="1">
      <c r="A5" s="320" t="s">
        <v>176</v>
      </c>
      <c r="B5" s="320"/>
      <c r="C5" s="320"/>
      <c r="D5" s="320"/>
      <c r="E5" s="320"/>
      <c r="F5" s="320"/>
    </row>
    <row r="6" spans="1:6" ht="12.75" customHeight="1">
      <c r="A6" s="7" t="s">
        <v>4</v>
      </c>
      <c r="B6" s="32" t="s">
        <v>391</v>
      </c>
      <c r="C6" s="325" t="s">
        <v>6</v>
      </c>
      <c r="D6" s="325"/>
      <c r="E6" s="325"/>
      <c r="F6" s="325"/>
    </row>
    <row r="7" spans="1:6" ht="12.75" customHeight="1">
      <c r="A7" s="1"/>
      <c r="B7" s="8" t="s">
        <v>7</v>
      </c>
      <c r="C7" s="324" t="s">
        <v>8</v>
      </c>
      <c r="D7" s="324"/>
      <c r="E7" s="324"/>
      <c r="F7" s="324"/>
    </row>
    <row r="8" spans="1:6" ht="12.75" customHeight="1">
      <c r="A8" s="7" t="s">
        <v>9</v>
      </c>
      <c r="B8" s="32" t="s">
        <v>10</v>
      </c>
      <c r="C8" s="325" t="s">
        <v>11</v>
      </c>
      <c r="D8" s="325"/>
      <c r="E8" s="325"/>
      <c r="F8" s="325"/>
    </row>
    <row r="9" spans="1:6" ht="12.75" customHeight="1">
      <c r="A9" s="1"/>
      <c r="B9" s="8" t="s">
        <v>12</v>
      </c>
      <c r="C9" s="324" t="s">
        <v>13</v>
      </c>
      <c r="D9" s="324"/>
      <c r="E9" s="324"/>
      <c r="F9" s="324"/>
    </row>
    <row r="10" spans="1:6" ht="12.75" customHeight="1">
      <c r="A10" s="7" t="s">
        <v>14</v>
      </c>
      <c r="B10" s="32" t="s">
        <v>177</v>
      </c>
      <c r="C10" s="325" t="s">
        <v>16</v>
      </c>
      <c r="D10" s="325"/>
      <c r="E10" s="325"/>
      <c r="F10" s="325"/>
    </row>
    <row r="11" spans="1:6" ht="12.75" customHeight="1">
      <c r="A11" s="1"/>
      <c r="B11" s="8" t="s">
        <v>17</v>
      </c>
      <c r="C11" s="324" t="s">
        <v>18</v>
      </c>
      <c r="D11" s="324"/>
      <c r="E11" s="324"/>
      <c r="F11" s="324"/>
    </row>
    <row r="12" spans="1:6" ht="12.75" customHeight="1">
      <c r="A12" s="7" t="s">
        <v>19</v>
      </c>
      <c r="B12" s="32" t="s">
        <v>20</v>
      </c>
      <c r="C12" s="104">
        <v>46115</v>
      </c>
      <c r="D12" s="216"/>
      <c r="E12" s="216"/>
      <c r="F12" s="216"/>
    </row>
    <row r="13" spans="1:6" ht="12.75" customHeight="1">
      <c r="A13" s="1"/>
      <c r="B13" s="8" t="s">
        <v>21</v>
      </c>
      <c r="C13" s="326">
        <f>+C12</f>
        <v>46115</v>
      </c>
      <c r="D13" s="326"/>
      <c r="E13" s="326"/>
      <c r="F13" s="326"/>
    </row>
    <row r="14" spans="1:6" ht="6.75" customHeight="1">
      <c r="A14" s="1"/>
      <c r="B14" s="1"/>
      <c r="C14" s="1"/>
      <c r="D14" s="1"/>
      <c r="E14" s="1"/>
      <c r="F14" s="1"/>
    </row>
    <row r="15" spans="1:6" ht="12.75" customHeight="1">
      <c r="A15" s="327" t="s">
        <v>178</v>
      </c>
      <c r="B15" s="327"/>
      <c r="C15" s="327"/>
      <c r="D15" s="327"/>
      <c r="E15" s="327"/>
      <c r="F15" s="327"/>
    </row>
    <row r="16" spans="1:6" ht="12.75" customHeight="1">
      <c r="A16" s="325" t="s">
        <v>392</v>
      </c>
      <c r="B16" s="325"/>
      <c r="C16" s="325"/>
      <c r="D16" s="325"/>
      <c r="E16" s="325"/>
      <c r="F16" s="325"/>
    </row>
    <row r="17" spans="1:6" ht="12.75" customHeight="1">
      <c r="A17" s="10"/>
      <c r="B17" s="34"/>
      <c r="C17" s="10"/>
      <c r="D17" s="10"/>
      <c r="E17" s="328" t="s">
        <v>24</v>
      </c>
      <c r="F17" s="328"/>
    </row>
    <row r="18" spans="1:6" ht="42">
      <c r="A18" s="12" t="s">
        <v>180</v>
      </c>
      <c r="B18" s="13" t="s">
        <v>181</v>
      </c>
      <c r="C18" s="13" t="s">
        <v>27</v>
      </c>
      <c r="D18" s="13" t="s">
        <v>1115</v>
      </c>
      <c r="E18" s="13" t="s">
        <v>393</v>
      </c>
      <c r="F18" s="14" t="s">
        <v>394</v>
      </c>
    </row>
    <row r="19" spans="1:6" ht="23.1" customHeight="1">
      <c r="A19" s="54" t="s">
        <v>32</v>
      </c>
      <c r="B19" s="55" t="s">
        <v>395</v>
      </c>
      <c r="C19" s="56" t="s">
        <v>396</v>
      </c>
      <c r="D19" s="57">
        <v>0</v>
      </c>
      <c r="E19" s="57">
        <v>0</v>
      </c>
      <c r="F19" s="58">
        <v>0</v>
      </c>
    </row>
    <row r="20" spans="1:6" ht="23.1" customHeight="1">
      <c r="A20" s="54" t="s">
        <v>397</v>
      </c>
      <c r="B20" s="55" t="s">
        <v>398</v>
      </c>
      <c r="C20" s="56" t="s">
        <v>399</v>
      </c>
      <c r="D20" s="59">
        <v>192134439612</v>
      </c>
      <c r="E20" s="59">
        <v>239516907294</v>
      </c>
      <c r="F20" s="58">
        <v>2.3298000000000001</v>
      </c>
    </row>
    <row r="21" spans="1:6" ht="23.1" customHeight="1">
      <c r="A21" s="54"/>
      <c r="B21" s="55" t="s">
        <v>137</v>
      </c>
      <c r="C21" s="56" t="s">
        <v>400</v>
      </c>
      <c r="D21" s="59">
        <v>0</v>
      </c>
      <c r="E21" s="59">
        <v>0</v>
      </c>
      <c r="F21" s="58">
        <v>0</v>
      </c>
    </row>
    <row r="22" spans="1:6" ht="23.1" customHeight="1">
      <c r="A22" s="54"/>
      <c r="B22" s="55" t="s">
        <v>401</v>
      </c>
      <c r="C22" s="56" t="s">
        <v>402</v>
      </c>
      <c r="D22" s="59">
        <v>192134439612</v>
      </c>
      <c r="E22" s="59">
        <v>239516907294</v>
      </c>
      <c r="F22" s="58">
        <v>2.3298000000000001</v>
      </c>
    </row>
    <row r="23" spans="1:6" ht="23.1" customHeight="1">
      <c r="A23" s="54"/>
      <c r="B23" s="55" t="s">
        <v>403</v>
      </c>
      <c r="C23" s="56" t="s">
        <v>404</v>
      </c>
      <c r="D23" s="60">
        <v>0</v>
      </c>
      <c r="E23" s="60">
        <v>0</v>
      </c>
      <c r="F23" s="58">
        <v>0</v>
      </c>
    </row>
    <row r="24" spans="1:6" ht="23.1" customHeight="1">
      <c r="A24" s="54"/>
      <c r="B24" s="55" t="s">
        <v>405</v>
      </c>
      <c r="C24" s="56" t="s">
        <v>406</v>
      </c>
      <c r="D24" s="60">
        <v>0</v>
      </c>
      <c r="E24" s="60">
        <v>0</v>
      </c>
      <c r="F24" s="58">
        <v>0</v>
      </c>
    </row>
    <row r="25" spans="1:6" ht="23.1" customHeight="1">
      <c r="A25" s="54"/>
      <c r="B25" s="55" t="s">
        <v>407</v>
      </c>
      <c r="C25" s="56" t="s">
        <v>408</v>
      </c>
      <c r="D25" s="60">
        <v>192134439612</v>
      </c>
      <c r="E25" s="60">
        <v>239516907294</v>
      </c>
      <c r="F25" s="58">
        <v>2.3298000000000001</v>
      </c>
    </row>
    <row r="26" spans="1:6" ht="29.25" customHeight="1">
      <c r="A26" s="54"/>
      <c r="B26" s="55" t="s">
        <v>409</v>
      </c>
      <c r="C26" s="56" t="s">
        <v>410</v>
      </c>
      <c r="D26" s="60">
        <v>0</v>
      </c>
      <c r="E26" s="60">
        <v>0</v>
      </c>
      <c r="F26" s="58">
        <v>0</v>
      </c>
    </row>
    <row r="27" spans="1:6" ht="23.1" customHeight="1">
      <c r="A27" s="54"/>
      <c r="B27" s="55" t="s">
        <v>411</v>
      </c>
      <c r="C27" s="56" t="s">
        <v>412</v>
      </c>
      <c r="D27" s="60">
        <v>0</v>
      </c>
      <c r="E27" s="60">
        <v>0</v>
      </c>
      <c r="F27" s="58">
        <v>0</v>
      </c>
    </row>
    <row r="28" spans="1:6" ht="23.1" customHeight="1">
      <c r="A28" s="54"/>
      <c r="B28" s="55" t="s">
        <v>413</v>
      </c>
      <c r="C28" s="56" t="s">
        <v>414</v>
      </c>
      <c r="D28" s="59">
        <v>0</v>
      </c>
      <c r="E28" s="59">
        <v>0</v>
      </c>
      <c r="F28" s="58">
        <v>0</v>
      </c>
    </row>
    <row r="29" spans="1:6" ht="23.1" customHeight="1">
      <c r="A29" s="54" t="s">
        <v>415</v>
      </c>
      <c r="B29" s="55" t="s">
        <v>416</v>
      </c>
      <c r="C29" s="56" t="s">
        <v>417</v>
      </c>
      <c r="D29" s="59">
        <v>11858191058300</v>
      </c>
      <c r="E29" s="59">
        <v>13454348644850</v>
      </c>
      <c r="F29" s="58">
        <v>1.0421</v>
      </c>
    </row>
    <row r="30" spans="1:6" ht="23.1" customHeight="1">
      <c r="A30" s="54"/>
      <c r="B30" s="55" t="s">
        <v>418</v>
      </c>
      <c r="C30" s="56" t="s">
        <v>419</v>
      </c>
      <c r="D30" s="59">
        <v>11858191058300</v>
      </c>
      <c r="E30" s="59">
        <v>13454348644850</v>
      </c>
      <c r="F30" s="58">
        <v>1.0421</v>
      </c>
    </row>
    <row r="31" spans="1:6" ht="23.1" customHeight="1">
      <c r="A31" s="54"/>
      <c r="B31" s="55" t="s">
        <v>420</v>
      </c>
      <c r="C31" s="56" t="s">
        <v>421</v>
      </c>
      <c r="D31" s="59">
        <v>0</v>
      </c>
      <c r="E31" s="59">
        <v>0</v>
      </c>
      <c r="F31" s="58">
        <v>0</v>
      </c>
    </row>
    <row r="32" spans="1:6" ht="23.1" customHeight="1">
      <c r="A32" s="54"/>
      <c r="B32" s="55" t="s">
        <v>422</v>
      </c>
      <c r="C32" s="56" t="s">
        <v>423</v>
      </c>
      <c r="D32" s="59">
        <v>0</v>
      </c>
      <c r="E32" s="59">
        <v>0</v>
      </c>
      <c r="F32" s="58">
        <v>0</v>
      </c>
    </row>
    <row r="33" spans="1:6" ht="23.1" customHeight="1">
      <c r="A33" s="54"/>
      <c r="B33" s="55" t="s">
        <v>424</v>
      </c>
      <c r="C33" s="56" t="s">
        <v>425</v>
      </c>
      <c r="D33" s="59">
        <v>0</v>
      </c>
      <c r="E33" s="59">
        <v>0</v>
      </c>
      <c r="F33" s="58">
        <v>0</v>
      </c>
    </row>
    <row r="34" spans="1:6" ht="23.1" customHeight="1">
      <c r="A34" s="54"/>
      <c r="B34" s="55" t="s">
        <v>426</v>
      </c>
      <c r="C34" s="56" t="s">
        <v>427</v>
      </c>
      <c r="D34" s="59">
        <v>0</v>
      </c>
      <c r="E34" s="59">
        <v>0</v>
      </c>
      <c r="F34" s="58">
        <v>0</v>
      </c>
    </row>
    <row r="35" spans="1:6" ht="23.1" customHeight="1">
      <c r="A35" s="54"/>
      <c r="B35" s="55" t="s">
        <v>428</v>
      </c>
      <c r="C35" s="56" t="s">
        <v>429</v>
      </c>
      <c r="D35" s="59">
        <v>0</v>
      </c>
      <c r="E35" s="59">
        <v>0</v>
      </c>
      <c r="F35" s="58">
        <v>0</v>
      </c>
    </row>
    <row r="36" spans="1:6" ht="23.1" customHeight="1">
      <c r="A36" s="54"/>
      <c r="B36" s="55" t="s">
        <v>430</v>
      </c>
      <c r="C36" s="56" t="s">
        <v>431</v>
      </c>
      <c r="D36" s="59">
        <v>0</v>
      </c>
      <c r="E36" s="59">
        <v>0</v>
      </c>
      <c r="F36" s="58">
        <v>0</v>
      </c>
    </row>
    <row r="37" spans="1:6" ht="23.1" customHeight="1">
      <c r="A37" s="54"/>
      <c r="B37" s="55" t="s">
        <v>432</v>
      </c>
      <c r="C37" s="56" t="s">
        <v>433</v>
      </c>
      <c r="D37" s="59">
        <v>0</v>
      </c>
      <c r="E37" s="59">
        <v>0</v>
      </c>
      <c r="F37" s="58">
        <v>0</v>
      </c>
    </row>
    <row r="38" spans="1:6" ht="23.1" customHeight="1">
      <c r="A38" s="54" t="s">
        <v>434</v>
      </c>
      <c r="B38" s="55" t="s">
        <v>435</v>
      </c>
      <c r="C38" s="56"/>
      <c r="D38" s="59">
        <v>0</v>
      </c>
      <c r="E38" s="59">
        <v>0</v>
      </c>
      <c r="F38" s="58">
        <v>0</v>
      </c>
    </row>
    <row r="39" spans="1:6" ht="23.1" customHeight="1">
      <c r="A39" s="54" t="s">
        <v>436</v>
      </c>
      <c r="B39" s="55" t="s">
        <v>437</v>
      </c>
      <c r="C39" s="56" t="s">
        <v>438</v>
      </c>
      <c r="D39" s="59">
        <v>9246566000</v>
      </c>
      <c r="E39" s="59">
        <v>0</v>
      </c>
      <c r="F39" s="58">
        <v>1.2356</v>
      </c>
    </row>
    <row r="40" spans="1:6" ht="23.1" customHeight="1">
      <c r="A40" s="54"/>
      <c r="B40" s="55" t="s">
        <v>439</v>
      </c>
      <c r="C40" s="56" t="s">
        <v>440</v>
      </c>
      <c r="D40" s="59">
        <v>9246566000</v>
      </c>
      <c r="E40" s="59">
        <v>0</v>
      </c>
      <c r="F40" s="58">
        <v>1.2356</v>
      </c>
    </row>
    <row r="41" spans="1:6" ht="23.1" customHeight="1">
      <c r="A41" s="54"/>
      <c r="B41" s="55" t="s">
        <v>441</v>
      </c>
      <c r="C41" s="56" t="s">
        <v>442</v>
      </c>
      <c r="D41" s="59">
        <v>0</v>
      </c>
      <c r="E41" s="59">
        <v>0</v>
      </c>
      <c r="F41" s="58">
        <v>0</v>
      </c>
    </row>
    <row r="42" spans="1:6" ht="23.1" customHeight="1">
      <c r="A42" s="54" t="s">
        <v>443</v>
      </c>
      <c r="B42" s="55" t="s">
        <v>444</v>
      </c>
      <c r="C42" s="56" t="s">
        <v>445</v>
      </c>
      <c r="D42" s="59">
        <v>0</v>
      </c>
      <c r="E42" s="59">
        <v>0</v>
      </c>
      <c r="F42" s="58">
        <v>0</v>
      </c>
    </row>
    <row r="43" spans="1:6" ht="33" customHeight="1">
      <c r="A43" s="54"/>
      <c r="B43" s="55" t="s">
        <v>446</v>
      </c>
      <c r="C43" s="56" t="s">
        <v>447</v>
      </c>
      <c r="D43" s="59">
        <v>0</v>
      </c>
      <c r="E43" s="59">
        <v>0</v>
      </c>
      <c r="F43" s="58">
        <v>0</v>
      </c>
    </row>
    <row r="44" spans="1:6" ht="33" customHeight="1">
      <c r="A44" s="54"/>
      <c r="B44" s="55" t="s">
        <v>448</v>
      </c>
      <c r="C44" s="56" t="s">
        <v>449</v>
      </c>
      <c r="D44" s="59">
        <v>0</v>
      </c>
      <c r="E44" s="59">
        <v>0</v>
      </c>
      <c r="F44" s="58">
        <v>0</v>
      </c>
    </row>
    <row r="45" spans="1:6" ht="23.1" customHeight="1">
      <c r="A45" s="54"/>
      <c r="B45" s="55" t="s">
        <v>450</v>
      </c>
      <c r="C45" s="56" t="s">
        <v>451</v>
      </c>
      <c r="D45" s="59">
        <v>0</v>
      </c>
      <c r="E45" s="59">
        <v>0</v>
      </c>
      <c r="F45" s="58">
        <v>0</v>
      </c>
    </row>
    <row r="46" spans="1:6" ht="23.1" customHeight="1">
      <c r="A46" s="54" t="s">
        <v>452</v>
      </c>
      <c r="B46" s="55" t="s">
        <v>453</v>
      </c>
      <c r="C46" s="56" t="s">
        <v>454</v>
      </c>
      <c r="D46" s="59">
        <v>0</v>
      </c>
      <c r="E46" s="59">
        <v>0</v>
      </c>
      <c r="F46" s="58">
        <v>0</v>
      </c>
    </row>
    <row r="47" spans="1:6" ht="23.1" customHeight="1">
      <c r="A47" s="54" t="s">
        <v>455</v>
      </c>
      <c r="B47" s="55" t="s">
        <v>456</v>
      </c>
      <c r="C47" s="56" t="s">
        <v>457</v>
      </c>
      <c r="D47" s="59">
        <v>0</v>
      </c>
      <c r="E47" s="59">
        <v>0</v>
      </c>
      <c r="F47" s="58">
        <v>0</v>
      </c>
    </row>
    <row r="48" spans="1:6" ht="23.1" customHeight="1">
      <c r="A48" s="54" t="s">
        <v>458</v>
      </c>
      <c r="B48" s="55" t="s">
        <v>459</v>
      </c>
      <c r="C48" s="56" t="s">
        <v>460</v>
      </c>
      <c r="D48" s="59">
        <v>0</v>
      </c>
      <c r="E48" s="59">
        <v>16746214</v>
      </c>
      <c r="F48" s="58">
        <v>0</v>
      </c>
    </row>
    <row r="49" spans="1:6" ht="23.1" customHeight="1">
      <c r="A49" s="54"/>
      <c r="B49" s="55" t="s">
        <v>461</v>
      </c>
      <c r="C49" s="56" t="s">
        <v>462</v>
      </c>
      <c r="D49" s="59">
        <v>0</v>
      </c>
      <c r="E49" s="59">
        <v>0</v>
      </c>
      <c r="F49" s="58">
        <v>0</v>
      </c>
    </row>
    <row r="50" spans="1:6" ht="23.1" customHeight="1">
      <c r="A50" s="54"/>
      <c r="B50" s="55" t="s">
        <v>463</v>
      </c>
      <c r="C50" s="56" t="s">
        <v>464</v>
      </c>
      <c r="D50" s="59">
        <v>0</v>
      </c>
      <c r="E50" s="59">
        <v>0</v>
      </c>
      <c r="F50" s="58">
        <v>0</v>
      </c>
    </row>
    <row r="51" spans="1:6" ht="23.1" customHeight="1">
      <c r="A51" s="54"/>
      <c r="B51" s="55" t="s">
        <v>465</v>
      </c>
      <c r="C51" s="56" t="s">
        <v>466</v>
      </c>
      <c r="D51" s="59">
        <v>0</v>
      </c>
      <c r="E51" s="59">
        <v>16746214</v>
      </c>
      <c r="F51" s="58">
        <v>0</v>
      </c>
    </row>
    <row r="52" spans="1:6" ht="23.1" customHeight="1">
      <c r="A52" s="54" t="s">
        <v>467</v>
      </c>
      <c r="B52" s="55" t="s">
        <v>468</v>
      </c>
      <c r="C52" s="56" t="s">
        <v>469</v>
      </c>
      <c r="D52" s="59">
        <v>0</v>
      </c>
      <c r="E52" s="59">
        <v>0</v>
      </c>
      <c r="F52" s="58">
        <v>0</v>
      </c>
    </row>
    <row r="53" spans="1:6" ht="23.1" customHeight="1">
      <c r="A53" s="54"/>
      <c r="B53" s="55" t="s">
        <v>470</v>
      </c>
      <c r="C53" s="56" t="s">
        <v>471</v>
      </c>
      <c r="D53" s="59">
        <v>0</v>
      </c>
      <c r="E53" s="59">
        <v>0</v>
      </c>
      <c r="F53" s="58">
        <v>0</v>
      </c>
    </row>
    <row r="54" spans="1:6" ht="23.1" customHeight="1">
      <c r="A54" s="54"/>
      <c r="B54" s="55" t="s">
        <v>472</v>
      </c>
      <c r="C54" s="56" t="s">
        <v>473</v>
      </c>
      <c r="D54" s="59">
        <v>0</v>
      </c>
      <c r="E54" s="59">
        <v>0</v>
      </c>
      <c r="F54" s="58">
        <v>0</v>
      </c>
    </row>
    <row r="55" spans="1:6" ht="23.1" customHeight="1">
      <c r="A55" s="54"/>
      <c r="B55" s="55" t="s">
        <v>474</v>
      </c>
      <c r="C55" s="56" t="s">
        <v>475</v>
      </c>
      <c r="D55" s="59">
        <v>0</v>
      </c>
      <c r="E55" s="59">
        <v>0</v>
      </c>
      <c r="F55" s="58">
        <v>0</v>
      </c>
    </row>
    <row r="56" spans="1:6" ht="23.1" customHeight="1">
      <c r="A56" s="54"/>
      <c r="B56" s="55" t="s">
        <v>476</v>
      </c>
      <c r="C56" s="56" t="s">
        <v>477</v>
      </c>
      <c r="D56" s="59">
        <v>0</v>
      </c>
      <c r="E56" s="59">
        <v>0</v>
      </c>
      <c r="F56" s="58">
        <v>0</v>
      </c>
    </row>
    <row r="57" spans="1:6" ht="34.5" customHeight="1">
      <c r="A57" s="54"/>
      <c r="B57" s="55" t="s">
        <v>478</v>
      </c>
      <c r="C57" s="56" t="s">
        <v>479</v>
      </c>
      <c r="D57" s="59">
        <v>0</v>
      </c>
      <c r="E57" s="59">
        <v>0</v>
      </c>
      <c r="F57" s="58">
        <v>0</v>
      </c>
    </row>
    <row r="58" spans="1:6" ht="23.1" customHeight="1">
      <c r="A58" s="54" t="s">
        <v>480</v>
      </c>
      <c r="B58" s="55" t="s">
        <v>481</v>
      </c>
      <c r="C58" s="56" t="s">
        <v>482</v>
      </c>
      <c r="D58" s="57">
        <v>12059572063912</v>
      </c>
      <c r="E58" s="57">
        <v>13693882298358</v>
      </c>
      <c r="F58" s="58">
        <v>1.0477000000000001</v>
      </c>
    </row>
    <row r="59" spans="1:6" ht="23.1" customHeight="1">
      <c r="A59" s="54" t="s">
        <v>34</v>
      </c>
      <c r="B59" s="55" t="s">
        <v>483</v>
      </c>
      <c r="C59" s="56" t="s">
        <v>484</v>
      </c>
      <c r="D59" s="57">
        <v>0</v>
      </c>
      <c r="E59" s="57">
        <v>0</v>
      </c>
      <c r="F59" s="58">
        <v>0</v>
      </c>
    </row>
    <row r="60" spans="1:6" ht="23.1" customHeight="1">
      <c r="A60" s="54" t="s">
        <v>485</v>
      </c>
      <c r="B60" s="55" t="s">
        <v>486</v>
      </c>
      <c r="C60" s="56"/>
      <c r="D60" s="59">
        <v>0</v>
      </c>
      <c r="E60" s="59">
        <v>0</v>
      </c>
      <c r="F60" s="58">
        <v>0</v>
      </c>
    </row>
    <row r="61" spans="1:6" ht="23.1" customHeight="1">
      <c r="A61" s="54" t="s">
        <v>487</v>
      </c>
      <c r="B61" s="55" t="s">
        <v>488</v>
      </c>
      <c r="C61" s="56" t="s">
        <v>489</v>
      </c>
      <c r="D61" s="59">
        <v>0</v>
      </c>
      <c r="E61" s="59">
        <v>96057965000</v>
      </c>
      <c r="F61" s="58">
        <v>0</v>
      </c>
    </row>
    <row r="62" spans="1:6" ht="23.1" customHeight="1">
      <c r="A62" s="54" t="s">
        <v>490</v>
      </c>
      <c r="B62" s="55" t="s">
        <v>491</v>
      </c>
      <c r="C62" s="56" t="s">
        <v>492</v>
      </c>
      <c r="D62" s="59">
        <v>16575615518</v>
      </c>
      <c r="E62" s="59">
        <v>18607229521</v>
      </c>
      <c r="F62" s="58">
        <v>0.61380000000000001</v>
      </c>
    </row>
    <row r="63" spans="1:6" ht="23.1" customHeight="1">
      <c r="A63" s="54"/>
      <c r="B63" s="55" t="s">
        <v>493</v>
      </c>
      <c r="C63" s="56" t="s">
        <v>494</v>
      </c>
      <c r="D63" s="59">
        <v>1403764272</v>
      </c>
      <c r="E63" s="59">
        <v>136664640</v>
      </c>
      <c r="F63" s="58">
        <v>0.1033</v>
      </c>
    </row>
    <row r="64" spans="1:6" ht="23.1" customHeight="1">
      <c r="A64" s="54"/>
      <c r="B64" s="55" t="s">
        <v>495</v>
      </c>
      <c r="C64" s="56" t="s">
        <v>496</v>
      </c>
      <c r="D64" s="60">
        <v>0</v>
      </c>
      <c r="E64" s="60">
        <v>136664640</v>
      </c>
      <c r="F64" s="58">
        <v>0</v>
      </c>
    </row>
    <row r="65" spans="1:8" ht="23.1" customHeight="1">
      <c r="A65" s="54"/>
      <c r="B65" s="55" t="s">
        <v>497</v>
      </c>
      <c r="C65" s="56" t="s">
        <v>498</v>
      </c>
      <c r="D65" s="60">
        <v>0</v>
      </c>
      <c r="E65" s="60">
        <v>0</v>
      </c>
      <c r="F65" s="58">
        <v>0</v>
      </c>
    </row>
    <row r="66" spans="1:8" ht="23.1" customHeight="1">
      <c r="A66" s="54"/>
      <c r="B66" s="55" t="s">
        <v>499</v>
      </c>
      <c r="C66" s="56" t="s">
        <v>500</v>
      </c>
      <c r="D66" s="60">
        <v>1403764272</v>
      </c>
      <c r="E66" s="60">
        <v>0</v>
      </c>
      <c r="F66" s="58">
        <v>0.1033</v>
      </c>
    </row>
    <row r="67" spans="1:8" ht="23.1" customHeight="1">
      <c r="A67" s="54"/>
      <c r="B67" s="55" t="s">
        <v>501</v>
      </c>
      <c r="C67" s="56" t="s">
        <v>502</v>
      </c>
      <c r="D67" s="59">
        <v>0</v>
      </c>
      <c r="E67" s="59">
        <v>0</v>
      </c>
      <c r="F67" s="58">
        <v>0</v>
      </c>
    </row>
    <row r="68" spans="1:8" ht="43.5" customHeight="1">
      <c r="A68" s="54"/>
      <c r="B68" s="55" t="s">
        <v>503</v>
      </c>
      <c r="C68" s="56" t="s">
        <v>504</v>
      </c>
      <c r="D68" s="59">
        <v>0</v>
      </c>
      <c r="E68" s="59">
        <v>0</v>
      </c>
      <c r="F68" s="58">
        <v>0</v>
      </c>
    </row>
    <row r="69" spans="1:8" ht="48" customHeight="1">
      <c r="A69" s="54"/>
      <c r="B69" s="55" t="s">
        <v>505</v>
      </c>
      <c r="C69" s="56" t="s">
        <v>506</v>
      </c>
      <c r="D69" s="60">
        <v>0</v>
      </c>
      <c r="E69" s="60">
        <v>0</v>
      </c>
      <c r="F69" s="58">
        <v>0</v>
      </c>
    </row>
    <row r="70" spans="1:8" ht="30" customHeight="1">
      <c r="A70" s="54"/>
      <c r="B70" s="55" t="s">
        <v>507</v>
      </c>
      <c r="C70" s="56" t="s">
        <v>508</v>
      </c>
      <c r="D70" s="60">
        <v>0</v>
      </c>
      <c r="E70" s="60">
        <v>0</v>
      </c>
      <c r="F70" s="58">
        <v>0</v>
      </c>
    </row>
    <row r="71" spans="1:8" ht="33.75" customHeight="1">
      <c r="A71" s="54"/>
      <c r="B71" s="55" t="s">
        <v>509</v>
      </c>
      <c r="C71" s="56" t="s">
        <v>510</v>
      </c>
      <c r="D71" s="59">
        <v>0</v>
      </c>
      <c r="E71" s="59">
        <v>0</v>
      </c>
      <c r="F71" s="58">
        <v>0</v>
      </c>
    </row>
    <row r="72" spans="1:8" ht="23.1" customHeight="1">
      <c r="A72" s="54"/>
      <c r="B72" s="55" t="s">
        <v>511</v>
      </c>
      <c r="C72" s="56" t="s">
        <v>512</v>
      </c>
      <c r="D72" s="59">
        <v>11219156</v>
      </c>
      <c r="E72" s="59">
        <v>18000000</v>
      </c>
      <c r="F72" s="58">
        <v>1</v>
      </c>
    </row>
    <row r="73" spans="1:8" ht="23.1" customHeight="1">
      <c r="A73" s="54"/>
      <c r="B73" s="55" t="s">
        <v>513</v>
      </c>
      <c r="C73" s="56" t="s">
        <v>514</v>
      </c>
      <c r="D73" s="59">
        <v>8901241141</v>
      </c>
      <c r="E73" s="59">
        <v>8960536293</v>
      </c>
      <c r="F73" s="58">
        <v>1.0969</v>
      </c>
      <c r="G73" s="223"/>
      <c r="H73" s="223"/>
    </row>
    <row r="74" spans="1:8" ht="23.1" customHeight="1">
      <c r="A74" s="54"/>
      <c r="B74" s="55" t="s">
        <v>515</v>
      </c>
      <c r="C74" s="56" t="s">
        <v>516</v>
      </c>
      <c r="D74" s="59">
        <v>244784133</v>
      </c>
      <c r="E74" s="59">
        <v>246414747</v>
      </c>
      <c r="F74" s="58">
        <v>1.0969</v>
      </c>
    </row>
    <row r="75" spans="1:8" ht="23.1" customHeight="1">
      <c r="A75" s="54"/>
      <c r="B75" s="55" t="s">
        <v>517</v>
      </c>
      <c r="C75" s="56" t="s">
        <v>518</v>
      </c>
      <c r="D75" s="59">
        <v>489568264</v>
      </c>
      <c r="E75" s="59">
        <v>492829497</v>
      </c>
      <c r="F75" s="58">
        <v>1.0969</v>
      </c>
    </row>
    <row r="76" spans="1:8" ht="23.1" customHeight="1">
      <c r="A76" s="54"/>
      <c r="B76" s="55" t="s">
        <v>519</v>
      </c>
      <c r="C76" s="56" t="s">
        <v>520</v>
      </c>
      <c r="D76" s="59">
        <v>0</v>
      </c>
      <c r="E76" s="59">
        <v>124875357</v>
      </c>
      <c r="F76" s="58">
        <v>0</v>
      </c>
    </row>
    <row r="77" spans="1:8" ht="23.1" customHeight="1">
      <c r="A77" s="54"/>
      <c r="B77" s="55" t="s">
        <v>521</v>
      </c>
      <c r="C77" s="56" t="s">
        <v>522</v>
      </c>
      <c r="D77" s="60">
        <v>0</v>
      </c>
      <c r="E77" s="60">
        <v>124875357</v>
      </c>
      <c r="F77" s="58">
        <v>0</v>
      </c>
    </row>
    <row r="78" spans="1:8" ht="23.1" customHeight="1">
      <c r="A78" s="54"/>
      <c r="B78" s="55" t="s">
        <v>523</v>
      </c>
      <c r="C78" s="56" t="s">
        <v>524</v>
      </c>
      <c r="D78" s="60">
        <v>0</v>
      </c>
      <c r="E78" s="60">
        <v>0</v>
      </c>
      <c r="F78" s="58">
        <v>0</v>
      </c>
    </row>
    <row r="79" spans="1:8" ht="23.1" customHeight="1">
      <c r="A79" s="54"/>
      <c r="B79" s="55" t="s">
        <v>525</v>
      </c>
      <c r="C79" s="56" t="s">
        <v>526</v>
      </c>
      <c r="D79" s="59">
        <v>226331030</v>
      </c>
      <c r="E79" s="59">
        <v>230413406</v>
      </c>
      <c r="F79" s="58">
        <v>1.0847</v>
      </c>
    </row>
    <row r="80" spans="1:8" ht="23.1" customHeight="1">
      <c r="A80" s="54"/>
      <c r="B80" s="55" t="s">
        <v>527</v>
      </c>
      <c r="C80" s="56" t="s">
        <v>528</v>
      </c>
      <c r="D80" s="60">
        <v>222531030</v>
      </c>
      <c r="E80" s="60">
        <v>224013406</v>
      </c>
      <c r="F80" s="58">
        <v>1.0969</v>
      </c>
    </row>
    <row r="81" spans="1:6" ht="23.1" customHeight="1">
      <c r="A81" s="54"/>
      <c r="B81" s="55" t="s">
        <v>529</v>
      </c>
      <c r="C81" s="56" t="s">
        <v>530</v>
      </c>
      <c r="D81" s="60">
        <v>3800000</v>
      </c>
      <c r="E81" s="60">
        <v>6400000</v>
      </c>
      <c r="F81" s="58">
        <v>0.6552</v>
      </c>
    </row>
    <row r="82" spans="1:6" ht="23.1" customHeight="1">
      <c r="A82" s="54"/>
      <c r="B82" s="55" t="s">
        <v>218</v>
      </c>
      <c r="C82" s="56" t="s">
        <v>531</v>
      </c>
      <c r="D82" s="60">
        <v>0</v>
      </c>
      <c r="E82" s="60">
        <v>0</v>
      </c>
      <c r="F82" s="58">
        <v>0</v>
      </c>
    </row>
    <row r="83" spans="1:6" ht="44.25" customHeight="1">
      <c r="A83" s="54"/>
      <c r="B83" s="55" t="s">
        <v>222</v>
      </c>
      <c r="C83" s="56" t="s">
        <v>532</v>
      </c>
      <c r="D83" s="60">
        <v>0</v>
      </c>
      <c r="E83" s="60">
        <v>0</v>
      </c>
      <c r="F83" s="58">
        <v>0</v>
      </c>
    </row>
    <row r="84" spans="1:6" ht="27.75" customHeight="1">
      <c r="A84" s="54"/>
      <c r="B84" s="55" t="s">
        <v>533</v>
      </c>
      <c r="C84" s="56" t="s">
        <v>534</v>
      </c>
      <c r="D84" s="59">
        <v>271622731</v>
      </c>
      <c r="E84" s="59">
        <v>192260000</v>
      </c>
      <c r="F84" s="58">
        <v>1.0550999999999999</v>
      </c>
    </row>
    <row r="85" spans="1:6" ht="23.1" customHeight="1">
      <c r="A85" s="54"/>
      <c r="B85" s="55" t="s">
        <v>535</v>
      </c>
      <c r="C85" s="56" t="s">
        <v>536</v>
      </c>
      <c r="D85" s="59">
        <v>0</v>
      </c>
      <c r="E85" s="59">
        <v>0</v>
      </c>
      <c r="F85" s="58">
        <v>0</v>
      </c>
    </row>
    <row r="86" spans="1:6" ht="23.1" customHeight="1">
      <c r="A86" s="54"/>
      <c r="B86" s="55" t="s">
        <v>537</v>
      </c>
      <c r="C86" s="56" t="s">
        <v>538</v>
      </c>
      <c r="D86" s="59">
        <v>0</v>
      </c>
      <c r="E86" s="59">
        <v>0</v>
      </c>
      <c r="F86" s="58">
        <v>0</v>
      </c>
    </row>
    <row r="87" spans="1:6" ht="23.1" customHeight="1">
      <c r="A87" s="54"/>
      <c r="B87" s="55" t="s">
        <v>539</v>
      </c>
      <c r="C87" s="56" t="s">
        <v>540</v>
      </c>
      <c r="D87" s="59">
        <v>11000000</v>
      </c>
      <c r="E87" s="59">
        <v>11000000</v>
      </c>
      <c r="F87" s="58">
        <v>0.66669999999999996</v>
      </c>
    </row>
    <row r="88" spans="1:6" ht="36.75" customHeight="1">
      <c r="A88" s="54"/>
      <c r="B88" s="55" t="s">
        <v>541</v>
      </c>
      <c r="C88" s="56" t="s">
        <v>542</v>
      </c>
      <c r="D88" s="59">
        <v>1922470560</v>
      </c>
      <c r="E88" s="59">
        <v>3691549966</v>
      </c>
      <c r="F88" s="58">
        <v>1.2784</v>
      </c>
    </row>
    <row r="89" spans="1:6" ht="33" customHeight="1">
      <c r="A89" s="54"/>
      <c r="B89" s="55" t="s">
        <v>543</v>
      </c>
      <c r="C89" s="56" t="s">
        <v>544</v>
      </c>
      <c r="D89" s="59">
        <v>1537976448</v>
      </c>
      <c r="E89" s="59">
        <v>2953239970</v>
      </c>
      <c r="F89" s="58">
        <v>1.2784</v>
      </c>
    </row>
    <row r="90" spans="1:6" ht="23.1" customHeight="1">
      <c r="A90" s="54"/>
      <c r="B90" s="55" t="s">
        <v>545</v>
      </c>
      <c r="C90" s="56" t="s">
        <v>546</v>
      </c>
      <c r="D90" s="59">
        <v>1555637783</v>
      </c>
      <c r="E90" s="59">
        <v>1549445645</v>
      </c>
      <c r="F90" s="58">
        <v>1.1184000000000001</v>
      </c>
    </row>
    <row r="91" spans="1:6" ht="23.1" customHeight="1">
      <c r="A91" s="54"/>
      <c r="B91" s="55" t="s">
        <v>547</v>
      </c>
      <c r="C91" s="56" t="s">
        <v>548</v>
      </c>
      <c r="D91" s="59"/>
      <c r="E91" s="59"/>
      <c r="F91" s="58">
        <v>0</v>
      </c>
    </row>
    <row r="92" spans="1:6" ht="24" customHeight="1">
      <c r="A92" s="54"/>
      <c r="B92" s="55" t="s">
        <v>549</v>
      </c>
      <c r="C92" s="56" t="s">
        <v>550</v>
      </c>
      <c r="D92" s="60">
        <v>0</v>
      </c>
      <c r="E92" s="60">
        <v>0</v>
      </c>
      <c r="F92" s="58">
        <v>0</v>
      </c>
    </row>
    <row r="93" spans="1:6" ht="34.5" customHeight="1">
      <c r="A93" s="54"/>
      <c r="B93" s="55" t="s">
        <v>551</v>
      </c>
      <c r="C93" s="56" t="s">
        <v>552</v>
      </c>
      <c r="D93" s="60">
        <v>0</v>
      </c>
      <c r="E93" s="60">
        <v>0</v>
      </c>
      <c r="F93" s="58">
        <v>0</v>
      </c>
    </row>
    <row r="94" spans="1:6" ht="33" customHeight="1">
      <c r="A94" s="54"/>
      <c r="B94" s="55" t="s">
        <v>553</v>
      </c>
      <c r="C94" s="56" t="s">
        <v>554</v>
      </c>
      <c r="D94" s="60">
        <v>0</v>
      </c>
      <c r="E94" s="60">
        <v>0</v>
      </c>
      <c r="F94" s="58">
        <v>0</v>
      </c>
    </row>
    <row r="95" spans="1:6" ht="23.1" customHeight="1">
      <c r="A95" s="54"/>
      <c r="B95" s="55" t="s">
        <v>555</v>
      </c>
      <c r="C95" s="56" t="s">
        <v>556</v>
      </c>
      <c r="D95" s="60">
        <v>0</v>
      </c>
      <c r="E95" s="60">
        <v>0</v>
      </c>
      <c r="F95" s="58">
        <v>0</v>
      </c>
    </row>
    <row r="96" spans="1:6" ht="23.1" customHeight="1">
      <c r="A96" s="54"/>
      <c r="B96" s="55" t="s">
        <v>557</v>
      </c>
      <c r="C96" s="56" t="s">
        <v>558</v>
      </c>
      <c r="D96" s="60">
        <v>0</v>
      </c>
      <c r="E96" s="60">
        <v>0</v>
      </c>
      <c r="F96" s="58">
        <v>0</v>
      </c>
    </row>
    <row r="97" spans="1:6" ht="23.1" customHeight="1">
      <c r="A97" s="54"/>
      <c r="B97" s="55" t="s">
        <v>559</v>
      </c>
      <c r="C97" s="56" t="s">
        <v>560</v>
      </c>
      <c r="D97" s="60">
        <v>0</v>
      </c>
      <c r="E97" s="60">
        <v>0</v>
      </c>
      <c r="F97" s="58">
        <v>0</v>
      </c>
    </row>
    <row r="98" spans="1:6" ht="23.1" customHeight="1">
      <c r="A98" s="54"/>
      <c r="B98" s="55" t="s">
        <v>561</v>
      </c>
      <c r="C98" s="56" t="s">
        <v>562</v>
      </c>
      <c r="D98" s="60">
        <v>0</v>
      </c>
      <c r="E98" s="60">
        <v>0</v>
      </c>
      <c r="F98" s="58">
        <v>0</v>
      </c>
    </row>
    <row r="99" spans="1:6" ht="23.1" customHeight="1">
      <c r="A99" s="54"/>
      <c r="B99" s="55" t="s">
        <v>563</v>
      </c>
      <c r="C99" s="56" t="s">
        <v>564</v>
      </c>
      <c r="D99" s="60">
        <v>0</v>
      </c>
      <c r="E99" s="60">
        <v>0</v>
      </c>
      <c r="F99" s="58">
        <v>0</v>
      </c>
    </row>
    <row r="100" spans="1:6" ht="23.1" customHeight="1">
      <c r="A100" s="54"/>
      <c r="B100" s="55" t="s">
        <v>565</v>
      </c>
      <c r="C100" s="56" t="s">
        <v>566</v>
      </c>
      <c r="D100" s="59">
        <v>0</v>
      </c>
      <c r="E100" s="59">
        <v>0</v>
      </c>
      <c r="F100" s="58">
        <v>0</v>
      </c>
    </row>
    <row r="101" spans="1:6" ht="23.1" customHeight="1">
      <c r="A101" s="54"/>
      <c r="B101" s="55" t="s">
        <v>567</v>
      </c>
      <c r="C101" s="56" t="s">
        <v>568</v>
      </c>
      <c r="D101" s="60">
        <v>0</v>
      </c>
      <c r="E101" s="60">
        <v>0</v>
      </c>
      <c r="F101" s="58">
        <v>0</v>
      </c>
    </row>
    <row r="102" spans="1:6" ht="23.1" customHeight="1">
      <c r="A102" s="54"/>
      <c r="B102" s="55" t="s">
        <v>569</v>
      </c>
      <c r="C102" s="56" t="s">
        <v>570</v>
      </c>
      <c r="D102" s="60">
        <v>0</v>
      </c>
      <c r="E102" s="60">
        <v>0</v>
      </c>
      <c r="F102" s="58">
        <v>0</v>
      </c>
    </row>
    <row r="103" spans="1:6" ht="23.1" customHeight="1">
      <c r="A103" s="54" t="s">
        <v>571</v>
      </c>
      <c r="B103" s="55" t="s">
        <v>572</v>
      </c>
      <c r="C103" s="56" t="s">
        <v>573</v>
      </c>
      <c r="D103" s="57">
        <v>16575615518</v>
      </c>
      <c r="E103" s="57">
        <v>114665194521</v>
      </c>
      <c r="F103" s="58">
        <v>0.61380000000000001</v>
      </c>
    </row>
    <row r="104" spans="1:6" ht="23.1" customHeight="1">
      <c r="A104" s="54"/>
      <c r="B104" s="55" t="s">
        <v>574</v>
      </c>
      <c r="C104" s="56" t="s">
        <v>575</v>
      </c>
      <c r="D104" s="57">
        <v>12042996448394</v>
      </c>
      <c r="E104" s="57">
        <v>13579217103837</v>
      </c>
      <c r="F104" s="58">
        <v>1.0488</v>
      </c>
    </row>
    <row r="105" spans="1:6" ht="23.1" customHeight="1">
      <c r="A105" s="54"/>
      <c r="B105" s="55" t="s">
        <v>576</v>
      </c>
      <c r="C105" s="56" t="s">
        <v>577</v>
      </c>
      <c r="D105" s="57">
        <v>327100000</v>
      </c>
      <c r="E105" s="57">
        <v>352900000</v>
      </c>
      <c r="F105" s="58">
        <v>0.90310000000000001</v>
      </c>
    </row>
    <row r="106" spans="1:6" ht="23.1" customHeight="1">
      <c r="A106" s="61"/>
      <c r="B106" s="62" t="s">
        <v>578</v>
      </c>
      <c r="C106" s="63" t="s">
        <v>579</v>
      </c>
      <c r="D106" s="64">
        <v>36817.47</v>
      </c>
      <c r="E106" s="64">
        <v>38478.93</v>
      </c>
      <c r="F106" s="65">
        <v>1.1613</v>
      </c>
    </row>
    <row r="107" spans="1:6">
      <c r="A107" s="1"/>
      <c r="B107" s="1"/>
      <c r="C107" s="53"/>
      <c r="D107" s="1"/>
      <c r="E107" s="1"/>
      <c r="F107" s="1"/>
    </row>
    <row r="108" spans="1:6" ht="15.75" customHeight="1">
      <c r="A108" s="322" t="s">
        <v>166</v>
      </c>
      <c r="B108" s="322"/>
      <c r="C108" s="322"/>
      <c r="D108" s="322" t="s">
        <v>167</v>
      </c>
      <c r="E108" s="322"/>
      <c r="F108" s="322"/>
    </row>
    <row r="109" spans="1:6" ht="12.75" customHeight="1">
      <c r="A109" s="320" t="s">
        <v>168</v>
      </c>
      <c r="B109" s="320"/>
      <c r="C109" s="320"/>
      <c r="D109" s="321" t="s">
        <v>169</v>
      </c>
      <c r="E109" s="321"/>
      <c r="F109" s="321"/>
    </row>
    <row r="110" spans="1:6" ht="12.75" customHeight="1">
      <c r="A110" s="1"/>
      <c r="B110" s="1"/>
      <c r="C110" s="1"/>
      <c r="D110" s="1"/>
      <c r="E110" s="1"/>
      <c r="F110" s="1"/>
    </row>
    <row r="111" spans="1:6" ht="12.75" customHeight="1">
      <c r="A111" s="1"/>
      <c r="B111" s="1"/>
      <c r="C111" s="1"/>
      <c r="D111" s="1"/>
      <c r="E111" s="1"/>
      <c r="F111" s="1"/>
    </row>
    <row r="112" spans="1:6" ht="18" customHeight="1">
      <c r="A112" s="1"/>
      <c r="B112" s="1"/>
      <c r="C112" s="1"/>
      <c r="D112" s="1"/>
      <c r="E112" s="1"/>
      <c r="F112" s="1"/>
    </row>
    <row r="113" spans="1:6" ht="18" customHeight="1">
      <c r="A113" s="1"/>
      <c r="B113" s="1"/>
      <c r="C113" s="1"/>
      <c r="D113" s="1"/>
      <c r="E113" s="1"/>
      <c r="F113" s="1"/>
    </row>
    <row r="114" spans="1:6" ht="18" customHeight="1">
      <c r="A114" s="1"/>
      <c r="B114" s="1"/>
      <c r="C114" s="1"/>
      <c r="D114" s="1"/>
      <c r="E114" s="1"/>
      <c r="F114" s="1"/>
    </row>
    <row r="115" spans="1:6" ht="18" customHeight="1">
      <c r="A115" s="322" t="s">
        <v>170</v>
      </c>
      <c r="B115" s="322"/>
      <c r="C115" s="322"/>
      <c r="D115" s="322" t="s">
        <v>171</v>
      </c>
      <c r="E115" s="322"/>
      <c r="F115" s="322"/>
    </row>
    <row r="116" spans="1:6" ht="12.75" customHeight="1">
      <c r="A116" s="323" t="s">
        <v>174</v>
      </c>
      <c r="B116" s="323"/>
      <c r="C116" s="323"/>
      <c r="D116" s="323" t="s">
        <v>175</v>
      </c>
      <c r="E116" s="323"/>
      <c r="F116" s="323"/>
    </row>
    <row r="117" spans="1:6" ht="18" customHeight="1">
      <c r="A117" s="323" t="s">
        <v>172</v>
      </c>
      <c r="B117" s="323"/>
      <c r="C117" s="323"/>
      <c r="D117" s="323" t="s">
        <v>173</v>
      </c>
      <c r="E117" s="323"/>
      <c r="F117" s="323"/>
    </row>
  </sheetData>
  <mergeCells count="25">
    <mergeCell ref="C6:F6"/>
    <mergeCell ref="A1:B1"/>
    <mergeCell ref="D1:F1"/>
    <mergeCell ref="A2:F2"/>
    <mergeCell ref="A4:F4"/>
    <mergeCell ref="A5:F5"/>
    <mergeCell ref="A108:C108"/>
    <mergeCell ref="D108:F108"/>
    <mergeCell ref="C7:F7"/>
    <mergeCell ref="C8:F8"/>
    <mergeCell ref="C9:F9"/>
    <mergeCell ref="C10:F10"/>
    <mergeCell ref="C11:F11"/>
    <mergeCell ref="C13:F13"/>
    <mergeCell ref="A15:F15"/>
    <mergeCell ref="A16:F16"/>
    <mergeCell ref="E17:F17"/>
    <mergeCell ref="A109:C109"/>
    <mergeCell ref="D109:F109"/>
    <mergeCell ref="A115:C115"/>
    <mergeCell ref="D115:F115"/>
    <mergeCell ref="A117:C117"/>
    <mergeCell ref="D117:F117"/>
    <mergeCell ref="A116:C116"/>
    <mergeCell ref="D116:F116"/>
  </mergeCells>
  <printOptions horizontalCentered="1"/>
  <pageMargins left="0.78740157480314965" right="0" top="0.39370078740157483" bottom="0.39370078740157483" header="0.51181102362204722" footer="0.51181102362204722"/>
  <pageSetup paperSize="9" scale="88"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zoomScaleNormal="100" workbookViewId="0">
      <selection activeCell="C8" sqref="C8:F8"/>
    </sheetView>
  </sheetViews>
  <sheetFormatPr defaultRowHeight="15"/>
  <cols>
    <col min="1" max="1" width="4.28515625" style="3" customWidth="1"/>
    <col min="2" max="2" width="38.7109375" style="3" customWidth="1"/>
    <col min="3" max="3" width="10" style="3" customWidth="1"/>
    <col min="4" max="6" width="17.140625" style="3" customWidth="1"/>
    <col min="7" max="256" width="9.140625" style="3"/>
    <col min="257" max="257" width="4.28515625" style="3" customWidth="1"/>
    <col min="258" max="258" width="38.7109375" style="3" customWidth="1"/>
    <col min="259" max="259" width="8.42578125" style="3" customWidth="1"/>
    <col min="260" max="262" width="17.140625" style="3" customWidth="1"/>
    <col min="263" max="512" width="9.140625" style="3"/>
    <col min="513" max="513" width="4.28515625" style="3" customWidth="1"/>
    <col min="514" max="514" width="38.7109375" style="3" customWidth="1"/>
    <col min="515" max="515" width="8.42578125" style="3" customWidth="1"/>
    <col min="516" max="518" width="17.140625" style="3" customWidth="1"/>
    <col min="519" max="768" width="9.140625" style="3"/>
    <col min="769" max="769" width="4.28515625" style="3" customWidth="1"/>
    <col min="770" max="770" width="38.7109375" style="3" customWidth="1"/>
    <col min="771" max="771" width="8.42578125" style="3" customWidth="1"/>
    <col min="772" max="774" width="17.140625" style="3" customWidth="1"/>
    <col min="775" max="1024" width="9.140625" style="3"/>
    <col min="1025" max="1025" width="4.28515625" style="3" customWidth="1"/>
    <col min="1026" max="1026" width="38.7109375" style="3" customWidth="1"/>
    <col min="1027" max="1027" width="8.42578125" style="3" customWidth="1"/>
    <col min="1028" max="1030" width="17.140625" style="3" customWidth="1"/>
    <col min="1031" max="1280" width="9.140625" style="3"/>
    <col min="1281" max="1281" width="4.28515625" style="3" customWidth="1"/>
    <col min="1282" max="1282" width="38.7109375" style="3" customWidth="1"/>
    <col min="1283" max="1283" width="8.42578125" style="3" customWidth="1"/>
    <col min="1284" max="1286" width="17.140625" style="3" customWidth="1"/>
    <col min="1287" max="1536" width="9.140625" style="3"/>
    <col min="1537" max="1537" width="4.28515625" style="3" customWidth="1"/>
    <col min="1538" max="1538" width="38.7109375" style="3" customWidth="1"/>
    <col min="1539" max="1539" width="8.42578125" style="3" customWidth="1"/>
    <col min="1540" max="1542" width="17.140625" style="3" customWidth="1"/>
    <col min="1543" max="1792" width="9.140625" style="3"/>
    <col min="1793" max="1793" width="4.28515625" style="3" customWidth="1"/>
    <col min="1794" max="1794" width="38.7109375" style="3" customWidth="1"/>
    <col min="1795" max="1795" width="8.42578125" style="3" customWidth="1"/>
    <col min="1796" max="1798" width="17.140625" style="3" customWidth="1"/>
    <col min="1799" max="2048" width="9.140625" style="3"/>
    <col min="2049" max="2049" width="4.28515625" style="3" customWidth="1"/>
    <col min="2050" max="2050" width="38.7109375" style="3" customWidth="1"/>
    <col min="2051" max="2051" width="8.42578125" style="3" customWidth="1"/>
    <col min="2052" max="2054" width="17.140625" style="3" customWidth="1"/>
    <col min="2055" max="2304" width="9.140625" style="3"/>
    <col min="2305" max="2305" width="4.28515625" style="3" customWidth="1"/>
    <col min="2306" max="2306" width="38.7109375" style="3" customWidth="1"/>
    <col min="2307" max="2307" width="8.42578125" style="3" customWidth="1"/>
    <col min="2308" max="2310" width="17.140625" style="3" customWidth="1"/>
    <col min="2311" max="2560" width="9.140625" style="3"/>
    <col min="2561" max="2561" width="4.28515625" style="3" customWidth="1"/>
    <col min="2562" max="2562" width="38.7109375" style="3" customWidth="1"/>
    <col min="2563" max="2563" width="8.42578125" style="3" customWidth="1"/>
    <col min="2564" max="2566" width="17.140625" style="3" customWidth="1"/>
    <col min="2567" max="2816" width="9.140625" style="3"/>
    <col min="2817" max="2817" width="4.28515625" style="3" customWidth="1"/>
    <col min="2818" max="2818" width="38.7109375" style="3" customWidth="1"/>
    <col min="2819" max="2819" width="8.42578125" style="3" customWidth="1"/>
    <col min="2820" max="2822" width="17.140625" style="3" customWidth="1"/>
    <col min="2823" max="3072" width="9.140625" style="3"/>
    <col min="3073" max="3073" width="4.28515625" style="3" customWidth="1"/>
    <col min="3074" max="3074" width="38.7109375" style="3" customWidth="1"/>
    <col min="3075" max="3075" width="8.42578125" style="3" customWidth="1"/>
    <col min="3076" max="3078" width="17.140625" style="3" customWidth="1"/>
    <col min="3079" max="3328" width="9.140625" style="3"/>
    <col min="3329" max="3329" width="4.28515625" style="3" customWidth="1"/>
    <col min="3330" max="3330" width="38.7109375" style="3" customWidth="1"/>
    <col min="3331" max="3331" width="8.42578125" style="3" customWidth="1"/>
    <col min="3332" max="3334" width="17.140625" style="3" customWidth="1"/>
    <col min="3335" max="3584" width="9.140625" style="3"/>
    <col min="3585" max="3585" width="4.28515625" style="3" customWidth="1"/>
    <col min="3586" max="3586" width="38.7109375" style="3" customWidth="1"/>
    <col min="3587" max="3587" width="8.42578125" style="3" customWidth="1"/>
    <col min="3588" max="3590" width="17.140625" style="3" customWidth="1"/>
    <col min="3591" max="3840" width="9.140625" style="3"/>
    <col min="3841" max="3841" width="4.28515625" style="3" customWidth="1"/>
    <col min="3842" max="3842" width="38.7109375" style="3" customWidth="1"/>
    <col min="3843" max="3843" width="8.42578125" style="3" customWidth="1"/>
    <col min="3844" max="3846" width="17.140625" style="3" customWidth="1"/>
    <col min="3847" max="4096" width="9.140625" style="3"/>
    <col min="4097" max="4097" width="4.28515625" style="3" customWidth="1"/>
    <col min="4098" max="4098" width="38.7109375" style="3" customWidth="1"/>
    <col min="4099" max="4099" width="8.42578125" style="3" customWidth="1"/>
    <col min="4100" max="4102" width="17.140625" style="3" customWidth="1"/>
    <col min="4103" max="4352" width="9.140625" style="3"/>
    <col min="4353" max="4353" width="4.28515625" style="3" customWidth="1"/>
    <col min="4354" max="4354" width="38.7109375" style="3" customWidth="1"/>
    <col min="4355" max="4355" width="8.42578125" style="3" customWidth="1"/>
    <col min="4356" max="4358" width="17.140625" style="3" customWidth="1"/>
    <col min="4359" max="4608" width="9.140625" style="3"/>
    <col min="4609" max="4609" width="4.28515625" style="3" customWidth="1"/>
    <col min="4610" max="4610" width="38.7109375" style="3" customWidth="1"/>
    <col min="4611" max="4611" width="8.42578125" style="3" customWidth="1"/>
    <col min="4612" max="4614" width="17.140625" style="3" customWidth="1"/>
    <col min="4615" max="4864" width="9.140625" style="3"/>
    <col min="4865" max="4865" width="4.28515625" style="3" customWidth="1"/>
    <col min="4866" max="4866" width="38.7109375" style="3" customWidth="1"/>
    <col min="4867" max="4867" width="8.42578125" style="3" customWidth="1"/>
    <col min="4868" max="4870" width="17.140625" style="3" customWidth="1"/>
    <col min="4871" max="5120" width="9.140625" style="3"/>
    <col min="5121" max="5121" width="4.28515625" style="3" customWidth="1"/>
    <col min="5122" max="5122" width="38.7109375" style="3" customWidth="1"/>
    <col min="5123" max="5123" width="8.42578125" style="3" customWidth="1"/>
    <col min="5124" max="5126" width="17.140625" style="3" customWidth="1"/>
    <col min="5127" max="5376" width="9.140625" style="3"/>
    <col min="5377" max="5377" width="4.28515625" style="3" customWidth="1"/>
    <col min="5378" max="5378" width="38.7109375" style="3" customWidth="1"/>
    <col min="5379" max="5379" width="8.42578125" style="3" customWidth="1"/>
    <col min="5380" max="5382" width="17.140625" style="3" customWidth="1"/>
    <col min="5383" max="5632" width="9.140625" style="3"/>
    <col min="5633" max="5633" width="4.28515625" style="3" customWidth="1"/>
    <col min="5634" max="5634" width="38.7109375" style="3" customWidth="1"/>
    <col min="5635" max="5635" width="8.42578125" style="3" customWidth="1"/>
    <col min="5636" max="5638" width="17.140625" style="3" customWidth="1"/>
    <col min="5639" max="5888" width="9.140625" style="3"/>
    <col min="5889" max="5889" width="4.28515625" style="3" customWidth="1"/>
    <col min="5890" max="5890" width="38.7109375" style="3" customWidth="1"/>
    <col min="5891" max="5891" width="8.42578125" style="3" customWidth="1"/>
    <col min="5892" max="5894" width="17.140625" style="3" customWidth="1"/>
    <col min="5895" max="6144" width="9.140625" style="3"/>
    <col min="6145" max="6145" width="4.28515625" style="3" customWidth="1"/>
    <col min="6146" max="6146" width="38.7109375" style="3" customWidth="1"/>
    <col min="6147" max="6147" width="8.42578125" style="3" customWidth="1"/>
    <col min="6148" max="6150" width="17.140625" style="3" customWidth="1"/>
    <col min="6151" max="6400" width="9.140625" style="3"/>
    <col min="6401" max="6401" width="4.28515625" style="3" customWidth="1"/>
    <col min="6402" max="6402" width="38.7109375" style="3" customWidth="1"/>
    <col min="6403" max="6403" width="8.42578125" style="3" customWidth="1"/>
    <col min="6404" max="6406" width="17.140625" style="3" customWidth="1"/>
    <col min="6407" max="6656" width="9.140625" style="3"/>
    <col min="6657" max="6657" width="4.28515625" style="3" customWidth="1"/>
    <col min="6658" max="6658" width="38.7109375" style="3" customWidth="1"/>
    <col min="6659" max="6659" width="8.42578125" style="3" customWidth="1"/>
    <col min="6660" max="6662" width="17.140625" style="3" customWidth="1"/>
    <col min="6663" max="6912" width="9.140625" style="3"/>
    <col min="6913" max="6913" width="4.28515625" style="3" customWidth="1"/>
    <col min="6914" max="6914" width="38.7109375" style="3" customWidth="1"/>
    <col min="6915" max="6915" width="8.42578125" style="3" customWidth="1"/>
    <col min="6916" max="6918" width="17.140625" style="3" customWidth="1"/>
    <col min="6919" max="7168" width="9.140625" style="3"/>
    <col min="7169" max="7169" width="4.28515625" style="3" customWidth="1"/>
    <col min="7170" max="7170" width="38.7109375" style="3" customWidth="1"/>
    <col min="7171" max="7171" width="8.42578125" style="3" customWidth="1"/>
    <col min="7172" max="7174" width="17.140625" style="3" customWidth="1"/>
    <col min="7175" max="7424" width="9.140625" style="3"/>
    <col min="7425" max="7425" width="4.28515625" style="3" customWidth="1"/>
    <col min="7426" max="7426" width="38.7109375" style="3" customWidth="1"/>
    <col min="7427" max="7427" width="8.42578125" style="3" customWidth="1"/>
    <col min="7428" max="7430" width="17.140625" style="3" customWidth="1"/>
    <col min="7431" max="7680" width="9.140625" style="3"/>
    <col min="7681" max="7681" width="4.28515625" style="3" customWidth="1"/>
    <col min="7682" max="7682" width="38.7109375" style="3" customWidth="1"/>
    <col min="7683" max="7683" width="8.42578125" style="3" customWidth="1"/>
    <col min="7684" max="7686" width="17.140625" style="3" customWidth="1"/>
    <col min="7687" max="7936" width="9.140625" style="3"/>
    <col min="7937" max="7937" width="4.28515625" style="3" customWidth="1"/>
    <col min="7938" max="7938" width="38.7109375" style="3" customWidth="1"/>
    <col min="7939" max="7939" width="8.42578125" style="3" customWidth="1"/>
    <col min="7940" max="7942" width="17.140625" style="3" customWidth="1"/>
    <col min="7943" max="8192" width="9.140625" style="3"/>
    <col min="8193" max="8193" width="4.28515625" style="3" customWidth="1"/>
    <col min="8194" max="8194" width="38.7109375" style="3" customWidth="1"/>
    <col min="8195" max="8195" width="8.42578125" style="3" customWidth="1"/>
    <col min="8196" max="8198" width="17.140625" style="3" customWidth="1"/>
    <col min="8199" max="8448" width="9.140625" style="3"/>
    <col min="8449" max="8449" width="4.28515625" style="3" customWidth="1"/>
    <col min="8450" max="8450" width="38.7109375" style="3" customWidth="1"/>
    <col min="8451" max="8451" width="8.42578125" style="3" customWidth="1"/>
    <col min="8452" max="8454" width="17.140625" style="3" customWidth="1"/>
    <col min="8455" max="8704" width="9.140625" style="3"/>
    <col min="8705" max="8705" width="4.28515625" style="3" customWidth="1"/>
    <col min="8706" max="8706" width="38.7109375" style="3" customWidth="1"/>
    <col min="8707" max="8707" width="8.42578125" style="3" customWidth="1"/>
    <col min="8708" max="8710" width="17.140625" style="3" customWidth="1"/>
    <col min="8711" max="8960" width="9.140625" style="3"/>
    <col min="8961" max="8961" width="4.28515625" style="3" customWidth="1"/>
    <col min="8962" max="8962" width="38.7109375" style="3" customWidth="1"/>
    <col min="8963" max="8963" width="8.42578125" style="3" customWidth="1"/>
    <col min="8964" max="8966" width="17.140625" style="3" customWidth="1"/>
    <col min="8967" max="9216" width="9.140625" style="3"/>
    <col min="9217" max="9217" width="4.28515625" style="3" customWidth="1"/>
    <col min="9218" max="9218" width="38.7109375" style="3" customWidth="1"/>
    <col min="9219" max="9219" width="8.42578125" style="3" customWidth="1"/>
    <col min="9220" max="9222" width="17.140625" style="3" customWidth="1"/>
    <col min="9223" max="9472" width="9.140625" style="3"/>
    <col min="9473" max="9473" width="4.28515625" style="3" customWidth="1"/>
    <col min="9474" max="9474" width="38.7109375" style="3" customWidth="1"/>
    <col min="9475" max="9475" width="8.42578125" style="3" customWidth="1"/>
    <col min="9476" max="9478" width="17.140625" style="3" customWidth="1"/>
    <col min="9479" max="9728" width="9.140625" style="3"/>
    <col min="9729" max="9729" width="4.28515625" style="3" customWidth="1"/>
    <col min="9730" max="9730" width="38.7109375" style="3" customWidth="1"/>
    <col min="9731" max="9731" width="8.42578125" style="3" customWidth="1"/>
    <col min="9732" max="9734" width="17.140625" style="3" customWidth="1"/>
    <col min="9735" max="9984" width="9.140625" style="3"/>
    <col min="9985" max="9985" width="4.28515625" style="3" customWidth="1"/>
    <col min="9986" max="9986" width="38.7109375" style="3" customWidth="1"/>
    <col min="9987" max="9987" width="8.42578125" style="3" customWidth="1"/>
    <col min="9988" max="9990" width="17.140625" style="3" customWidth="1"/>
    <col min="9991" max="10240" width="9.140625" style="3"/>
    <col min="10241" max="10241" width="4.28515625" style="3" customWidth="1"/>
    <col min="10242" max="10242" width="38.7109375" style="3" customWidth="1"/>
    <col min="10243" max="10243" width="8.42578125" style="3" customWidth="1"/>
    <col min="10244" max="10246" width="17.140625" style="3" customWidth="1"/>
    <col min="10247" max="10496" width="9.140625" style="3"/>
    <col min="10497" max="10497" width="4.28515625" style="3" customWidth="1"/>
    <col min="10498" max="10498" width="38.7109375" style="3" customWidth="1"/>
    <col min="10499" max="10499" width="8.42578125" style="3" customWidth="1"/>
    <col min="10500" max="10502" width="17.140625" style="3" customWidth="1"/>
    <col min="10503" max="10752" width="9.140625" style="3"/>
    <col min="10753" max="10753" width="4.28515625" style="3" customWidth="1"/>
    <col min="10754" max="10754" width="38.7109375" style="3" customWidth="1"/>
    <col min="10755" max="10755" width="8.42578125" style="3" customWidth="1"/>
    <col min="10756" max="10758" width="17.140625" style="3" customWidth="1"/>
    <col min="10759" max="11008" width="9.140625" style="3"/>
    <col min="11009" max="11009" width="4.28515625" style="3" customWidth="1"/>
    <col min="11010" max="11010" width="38.7109375" style="3" customWidth="1"/>
    <col min="11011" max="11011" width="8.42578125" style="3" customWidth="1"/>
    <col min="11012" max="11014" width="17.140625" style="3" customWidth="1"/>
    <col min="11015" max="11264" width="9.140625" style="3"/>
    <col min="11265" max="11265" width="4.28515625" style="3" customWidth="1"/>
    <col min="11266" max="11266" width="38.7109375" style="3" customWidth="1"/>
    <col min="11267" max="11267" width="8.42578125" style="3" customWidth="1"/>
    <col min="11268" max="11270" width="17.140625" style="3" customWidth="1"/>
    <col min="11271" max="11520" width="9.140625" style="3"/>
    <col min="11521" max="11521" width="4.28515625" style="3" customWidth="1"/>
    <col min="11522" max="11522" width="38.7109375" style="3" customWidth="1"/>
    <col min="11523" max="11523" width="8.42578125" style="3" customWidth="1"/>
    <col min="11524" max="11526" width="17.140625" style="3" customWidth="1"/>
    <col min="11527" max="11776" width="9.140625" style="3"/>
    <col min="11777" max="11777" width="4.28515625" style="3" customWidth="1"/>
    <col min="11778" max="11778" width="38.7109375" style="3" customWidth="1"/>
    <col min="11779" max="11779" width="8.42578125" style="3" customWidth="1"/>
    <col min="11780" max="11782" width="17.140625" style="3" customWidth="1"/>
    <col min="11783" max="12032" width="9.140625" style="3"/>
    <col min="12033" max="12033" width="4.28515625" style="3" customWidth="1"/>
    <col min="12034" max="12034" width="38.7109375" style="3" customWidth="1"/>
    <col min="12035" max="12035" width="8.42578125" style="3" customWidth="1"/>
    <col min="12036" max="12038" width="17.140625" style="3" customWidth="1"/>
    <col min="12039" max="12288" width="9.140625" style="3"/>
    <col min="12289" max="12289" width="4.28515625" style="3" customWidth="1"/>
    <col min="12290" max="12290" width="38.7109375" style="3" customWidth="1"/>
    <col min="12291" max="12291" width="8.42578125" style="3" customWidth="1"/>
    <col min="12292" max="12294" width="17.140625" style="3" customWidth="1"/>
    <col min="12295" max="12544" width="9.140625" style="3"/>
    <col min="12545" max="12545" width="4.28515625" style="3" customWidth="1"/>
    <col min="12546" max="12546" width="38.7109375" style="3" customWidth="1"/>
    <col min="12547" max="12547" width="8.42578125" style="3" customWidth="1"/>
    <col min="12548" max="12550" width="17.140625" style="3" customWidth="1"/>
    <col min="12551" max="12800" width="9.140625" style="3"/>
    <col min="12801" max="12801" width="4.28515625" style="3" customWidth="1"/>
    <col min="12802" max="12802" width="38.7109375" style="3" customWidth="1"/>
    <col min="12803" max="12803" width="8.42578125" style="3" customWidth="1"/>
    <col min="12804" max="12806" width="17.140625" style="3" customWidth="1"/>
    <col min="12807" max="13056" width="9.140625" style="3"/>
    <col min="13057" max="13057" width="4.28515625" style="3" customWidth="1"/>
    <col min="13058" max="13058" width="38.7109375" style="3" customWidth="1"/>
    <col min="13059" max="13059" width="8.42578125" style="3" customWidth="1"/>
    <col min="13060" max="13062" width="17.140625" style="3" customWidth="1"/>
    <col min="13063" max="13312" width="9.140625" style="3"/>
    <col min="13313" max="13313" width="4.28515625" style="3" customWidth="1"/>
    <col min="13314" max="13314" width="38.7109375" style="3" customWidth="1"/>
    <col min="13315" max="13315" width="8.42578125" style="3" customWidth="1"/>
    <col min="13316" max="13318" width="17.140625" style="3" customWidth="1"/>
    <col min="13319" max="13568" width="9.140625" style="3"/>
    <col min="13569" max="13569" width="4.28515625" style="3" customWidth="1"/>
    <col min="13570" max="13570" width="38.7109375" style="3" customWidth="1"/>
    <col min="13571" max="13571" width="8.42578125" style="3" customWidth="1"/>
    <col min="13572" max="13574" width="17.140625" style="3" customWidth="1"/>
    <col min="13575" max="13824" width="9.140625" style="3"/>
    <col min="13825" max="13825" width="4.28515625" style="3" customWidth="1"/>
    <col min="13826" max="13826" width="38.7109375" style="3" customWidth="1"/>
    <col min="13827" max="13827" width="8.42578125" style="3" customWidth="1"/>
    <col min="13828" max="13830" width="17.140625" style="3" customWidth="1"/>
    <col min="13831" max="14080" width="9.140625" style="3"/>
    <col min="14081" max="14081" width="4.28515625" style="3" customWidth="1"/>
    <col min="14082" max="14082" width="38.7109375" style="3" customWidth="1"/>
    <col min="14083" max="14083" width="8.42578125" style="3" customWidth="1"/>
    <col min="14084" max="14086" width="17.140625" style="3" customWidth="1"/>
    <col min="14087" max="14336" width="9.140625" style="3"/>
    <col min="14337" max="14337" width="4.28515625" style="3" customWidth="1"/>
    <col min="14338" max="14338" width="38.7109375" style="3" customWidth="1"/>
    <col min="14339" max="14339" width="8.42578125" style="3" customWidth="1"/>
    <col min="14340" max="14342" width="17.140625" style="3" customWidth="1"/>
    <col min="14343" max="14592" width="9.140625" style="3"/>
    <col min="14593" max="14593" width="4.28515625" style="3" customWidth="1"/>
    <col min="14594" max="14594" width="38.7109375" style="3" customWidth="1"/>
    <col min="14595" max="14595" width="8.42578125" style="3" customWidth="1"/>
    <col min="14596" max="14598" width="17.140625" style="3" customWidth="1"/>
    <col min="14599" max="14848" width="9.140625" style="3"/>
    <col min="14849" max="14849" width="4.28515625" style="3" customWidth="1"/>
    <col min="14850" max="14850" width="38.7109375" style="3" customWidth="1"/>
    <col min="14851" max="14851" width="8.42578125" style="3" customWidth="1"/>
    <col min="14852" max="14854" width="17.140625" style="3" customWidth="1"/>
    <col min="14855" max="15104" width="9.140625" style="3"/>
    <col min="15105" max="15105" width="4.28515625" style="3" customWidth="1"/>
    <col min="15106" max="15106" width="38.7109375" style="3" customWidth="1"/>
    <col min="15107" max="15107" width="8.42578125" style="3" customWidth="1"/>
    <col min="15108" max="15110" width="17.140625" style="3" customWidth="1"/>
    <col min="15111" max="15360" width="9.140625" style="3"/>
    <col min="15361" max="15361" width="4.28515625" style="3" customWidth="1"/>
    <col min="15362" max="15362" width="38.7109375" style="3" customWidth="1"/>
    <col min="15363" max="15363" width="8.42578125" style="3" customWidth="1"/>
    <col min="15364" max="15366" width="17.140625" style="3" customWidth="1"/>
    <col min="15367" max="15616" width="9.140625" style="3"/>
    <col min="15617" max="15617" width="4.28515625" style="3" customWidth="1"/>
    <col min="15618" max="15618" width="38.7109375" style="3" customWidth="1"/>
    <col min="15619" max="15619" width="8.42578125" style="3" customWidth="1"/>
    <col min="15620" max="15622" width="17.140625" style="3" customWidth="1"/>
    <col min="15623" max="15872" width="9.140625" style="3"/>
    <col min="15873" max="15873" width="4.28515625" style="3" customWidth="1"/>
    <col min="15874" max="15874" width="38.7109375" style="3" customWidth="1"/>
    <col min="15875" max="15875" width="8.42578125" style="3" customWidth="1"/>
    <col min="15876" max="15878" width="17.140625" style="3" customWidth="1"/>
    <col min="15879" max="16128" width="9.140625" style="3"/>
    <col min="16129" max="16129" width="4.28515625" style="3" customWidth="1"/>
    <col min="16130" max="16130" width="38.7109375" style="3" customWidth="1"/>
    <col min="16131" max="16131" width="8.42578125" style="3" customWidth="1"/>
    <col min="16132" max="16134" width="17.140625" style="3" customWidth="1"/>
    <col min="16135" max="16384" width="9.140625" style="3"/>
  </cols>
  <sheetData>
    <row r="1" spans="1:6" ht="41.25" customHeight="1">
      <c r="A1" s="329"/>
      <c r="B1" s="329"/>
      <c r="C1" s="30"/>
      <c r="D1" s="322" t="s">
        <v>0</v>
      </c>
      <c r="E1" s="322"/>
      <c r="F1" s="322"/>
    </row>
    <row r="2" spans="1:6" ht="27.75" customHeight="1">
      <c r="A2" s="330" t="s">
        <v>1</v>
      </c>
      <c r="B2" s="330"/>
      <c r="C2" s="330"/>
      <c r="D2" s="330"/>
      <c r="E2" s="330"/>
      <c r="F2" s="330"/>
    </row>
    <row r="3" spans="1:6" ht="11.25" customHeight="1">
      <c r="A3" s="1"/>
      <c r="B3" s="1"/>
      <c r="C3" s="1"/>
      <c r="D3" s="1"/>
      <c r="E3" s="1"/>
      <c r="F3" s="1"/>
    </row>
    <row r="4" spans="1:6" ht="22.5" customHeight="1">
      <c r="A4" s="322" t="s">
        <v>2</v>
      </c>
      <c r="B4" s="322"/>
      <c r="C4" s="322"/>
      <c r="D4" s="322"/>
      <c r="E4" s="322"/>
      <c r="F4" s="322"/>
    </row>
    <row r="5" spans="1:6" ht="15.75" customHeight="1">
      <c r="A5" s="321" t="s">
        <v>176</v>
      </c>
      <c r="B5" s="321"/>
      <c r="C5" s="321"/>
      <c r="D5" s="321"/>
      <c r="E5" s="321"/>
      <c r="F5" s="321"/>
    </row>
    <row r="6" spans="1:6" ht="15.75" customHeight="1">
      <c r="A6" s="31" t="s">
        <v>4</v>
      </c>
      <c r="B6" s="32" t="s">
        <v>5</v>
      </c>
      <c r="C6" s="325" t="s">
        <v>6</v>
      </c>
      <c r="D6" s="325"/>
      <c r="E6" s="325"/>
      <c r="F6" s="325"/>
    </row>
    <row r="7" spans="1:6" ht="15.75" customHeight="1">
      <c r="A7" s="1"/>
      <c r="B7" s="8" t="s">
        <v>7</v>
      </c>
      <c r="C7" s="324" t="s">
        <v>8</v>
      </c>
      <c r="D7" s="324"/>
      <c r="E7" s="324"/>
      <c r="F7" s="324"/>
    </row>
    <row r="8" spans="1:6" ht="15.75" customHeight="1">
      <c r="A8" s="33" t="s">
        <v>9</v>
      </c>
      <c r="B8" s="32" t="s">
        <v>10</v>
      </c>
      <c r="C8" s="325" t="s">
        <v>11</v>
      </c>
      <c r="D8" s="325"/>
      <c r="E8" s="325"/>
      <c r="F8" s="325"/>
    </row>
    <row r="9" spans="1:6" ht="15.75" customHeight="1">
      <c r="A9" s="1"/>
      <c r="B9" s="8" t="s">
        <v>12</v>
      </c>
      <c r="C9" s="324" t="s">
        <v>13</v>
      </c>
      <c r="D9" s="324"/>
      <c r="E9" s="324"/>
      <c r="F9" s="324"/>
    </row>
    <row r="10" spans="1:6" ht="15.75" customHeight="1">
      <c r="A10" s="33" t="s">
        <v>14</v>
      </c>
      <c r="B10" s="32" t="s">
        <v>177</v>
      </c>
      <c r="C10" s="325" t="s">
        <v>16</v>
      </c>
      <c r="D10" s="325"/>
      <c r="E10" s="325"/>
      <c r="F10" s="325"/>
    </row>
    <row r="11" spans="1:6" ht="15.75" customHeight="1">
      <c r="A11" s="1"/>
      <c r="B11" s="8" t="s">
        <v>17</v>
      </c>
      <c r="C11" s="324" t="s">
        <v>18</v>
      </c>
      <c r="D11" s="324"/>
      <c r="E11" s="324"/>
      <c r="F11" s="324"/>
    </row>
    <row r="12" spans="1:6" ht="15.75" customHeight="1">
      <c r="A12" s="33" t="s">
        <v>19</v>
      </c>
      <c r="B12" s="32" t="s">
        <v>20</v>
      </c>
      <c r="C12" s="332">
        <v>46115</v>
      </c>
      <c r="D12" s="332"/>
      <c r="E12" s="216"/>
      <c r="F12" s="216"/>
    </row>
    <row r="13" spans="1:6" ht="15.75" customHeight="1">
      <c r="A13" s="1"/>
      <c r="B13" s="8" t="s">
        <v>21</v>
      </c>
      <c r="C13" s="326">
        <f>+C12</f>
        <v>46115</v>
      </c>
      <c r="D13" s="326"/>
      <c r="E13" s="326"/>
      <c r="F13" s="326"/>
    </row>
    <row r="14" spans="1:6" ht="15" customHeight="1">
      <c r="A14" s="1"/>
      <c r="B14" s="1"/>
      <c r="C14" s="1"/>
      <c r="D14" s="1"/>
      <c r="E14" s="1"/>
      <c r="F14" s="1"/>
    </row>
    <row r="15" spans="1:6" ht="15.75" customHeight="1">
      <c r="A15" s="327" t="s">
        <v>178</v>
      </c>
      <c r="B15" s="327"/>
      <c r="C15" s="327"/>
      <c r="D15" s="327"/>
      <c r="E15" s="327"/>
      <c r="F15" s="327"/>
    </row>
    <row r="16" spans="1:6" ht="15.75" customHeight="1">
      <c r="A16" s="325" t="s">
        <v>179</v>
      </c>
      <c r="B16" s="325"/>
      <c r="C16" s="325"/>
      <c r="D16" s="325"/>
      <c r="E16" s="325"/>
      <c r="F16" s="325"/>
    </row>
    <row r="17" spans="1:6" ht="15.75" customHeight="1">
      <c r="A17" s="10"/>
      <c r="B17" s="34"/>
      <c r="C17" s="10"/>
      <c r="D17" s="10"/>
      <c r="E17" s="328" t="s">
        <v>24</v>
      </c>
      <c r="F17" s="328"/>
    </row>
    <row r="18" spans="1:6" ht="75" customHeight="1">
      <c r="A18" s="12" t="s">
        <v>180</v>
      </c>
      <c r="B18" s="13" t="s">
        <v>181</v>
      </c>
      <c r="C18" s="13" t="s">
        <v>27</v>
      </c>
      <c r="D18" s="13" t="s">
        <v>182</v>
      </c>
      <c r="E18" s="13" t="s">
        <v>183</v>
      </c>
      <c r="F18" s="14" t="s">
        <v>184</v>
      </c>
    </row>
    <row r="19" spans="1:6" ht="25.5">
      <c r="A19" s="35" t="s">
        <v>32</v>
      </c>
      <c r="B19" s="36" t="s">
        <v>185</v>
      </c>
      <c r="C19" s="37" t="s">
        <v>186</v>
      </c>
      <c r="D19" s="38">
        <v>23320995056</v>
      </c>
      <c r="E19" s="38">
        <v>36178874293</v>
      </c>
      <c r="F19" s="39">
        <v>23320995056</v>
      </c>
    </row>
    <row r="20" spans="1:6" ht="21">
      <c r="A20" s="40" t="s">
        <v>4</v>
      </c>
      <c r="B20" s="41" t="s">
        <v>187</v>
      </c>
      <c r="C20" s="42"/>
      <c r="D20" s="19">
        <v>0</v>
      </c>
      <c r="E20" s="19">
        <v>0</v>
      </c>
      <c r="F20" s="43">
        <v>0</v>
      </c>
    </row>
    <row r="21" spans="1:6" ht="21">
      <c r="A21" s="40" t="s">
        <v>9</v>
      </c>
      <c r="B21" s="41" t="s">
        <v>188</v>
      </c>
      <c r="C21" s="42" t="s">
        <v>189</v>
      </c>
      <c r="D21" s="19">
        <v>23241270000</v>
      </c>
      <c r="E21" s="19">
        <v>36117192200</v>
      </c>
      <c r="F21" s="43">
        <v>23241270000</v>
      </c>
    </row>
    <row r="22" spans="1:6" ht="25.5">
      <c r="A22" s="44"/>
      <c r="B22" s="45" t="s">
        <v>190</v>
      </c>
      <c r="C22" s="46" t="s">
        <v>191</v>
      </c>
      <c r="D22" s="47">
        <v>23241270000</v>
      </c>
      <c r="E22" s="47">
        <v>36117192200</v>
      </c>
      <c r="F22" s="48">
        <v>23241270000</v>
      </c>
    </row>
    <row r="23" spans="1:6" ht="25.5">
      <c r="A23" s="44"/>
      <c r="B23" s="45" t="s">
        <v>192</v>
      </c>
      <c r="C23" s="46" t="s">
        <v>193</v>
      </c>
      <c r="D23" s="47">
        <v>0</v>
      </c>
      <c r="E23" s="47">
        <v>0</v>
      </c>
      <c r="F23" s="48">
        <v>0</v>
      </c>
    </row>
    <row r="24" spans="1:6" ht="21">
      <c r="A24" s="40" t="s">
        <v>14</v>
      </c>
      <c r="B24" s="41" t="s">
        <v>194</v>
      </c>
      <c r="C24" s="42" t="s">
        <v>195</v>
      </c>
      <c r="D24" s="19">
        <v>79725056</v>
      </c>
      <c r="E24" s="19">
        <v>61682093</v>
      </c>
      <c r="F24" s="43">
        <v>79725056</v>
      </c>
    </row>
    <row r="25" spans="1:6" ht="25.5">
      <c r="A25" s="44"/>
      <c r="B25" s="45" t="s">
        <v>196</v>
      </c>
      <c r="C25" s="46" t="s">
        <v>197</v>
      </c>
      <c r="D25" s="47">
        <v>79725056</v>
      </c>
      <c r="E25" s="47">
        <v>61682093</v>
      </c>
      <c r="F25" s="48">
        <v>79725056</v>
      </c>
    </row>
    <row r="26" spans="1:6" ht="25.5">
      <c r="A26" s="44"/>
      <c r="B26" s="45" t="s">
        <v>198</v>
      </c>
      <c r="C26" s="46" t="s">
        <v>199</v>
      </c>
      <c r="D26" s="47">
        <v>0</v>
      </c>
      <c r="E26" s="47">
        <v>0</v>
      </c>
      <c r="F26" s="48">
        <v>0</v>
      </c>
    </row>
    <row r="27" spans="1:6" ht="21">
      <c r="A27" s="40" t="s">
        <v>19</v>
      </c>
      <c r="B27" s="41" t="s">
        <v>200</v>
      </c>
      <c r="C27" s="42" t="s">
        <v>201</v>
      </c>
      <c r="D27" s="19">
        <v>0</v>
      </c>
      <c r="E27" s="19">
        <v>0</v>
      </c>
      <c r="F27" s="43">
        <v>0</v>
      </c>
    </row>
    <row r="28" spans="1:6" ht="25.5">
      <c r="A28" s="44"/>
      <c r="B28" s="45" t="s">
        <v>202</v>
      </c>
      <c r="C28" s="46" t="s">
        <v>203</v>
      </c>
      <c r="D28" s="47">
        <v>0</v>
      </c>
      <c r="E28" s="47">
        <v>0</v>
      </c>
      <c r="F28" s="48">
        <v>0</v>
      </c>
    </row>
    <row r="29" spans="1:6" ht="25.5">
      <c r="A29" s="44"/>
      <c r="B29" s="45" t="s">
        <v>204</v>
      </c>
      <c r="C29" s="46" t="s">
        <v>205</v>
      </c>
      <c r="D29" s="47">
        <v>0</v>
      </c>
      <c r="E29" s="47">
        <v>0</v>
      </c>
      <c r="F29" s="48">
        <v>0</v>
      </c>
    </row>
    <row r="30" spans="1:6" ht="76.5">
      <c r="A30" s="44"/>
      <c r="B30" s="45" t="s">
        <v>206</v>
      </c>
      <c r="C30" s="46" t="s">
        <v>207</v>
      </c>
      <c r="D30" s="47">
        <v>0</v>
      </c>
      <c r="E30" s="47">
        <v>0</v>
      </c>
      <c r="F30" s="48">
        <v>0</v>
      </c>
    </row>
    <row r="31" spans="1:6" ht="25.5">
      <c r="A31" s="35" t="s">
        <v>34</v>
      </c>
      <c r="B31" s="36" t="s">
        <v>208</v>
      </c>
      <c r="C31" s="37" t="s">
        <v>209</v>
      </c>
      <c r="D31" s="38">
        <v>37215717777</v>
      </c>
      <c r="E31" s="38">
        <v>38250860296</v>
      </c>
      <c r="F31" s="39">
        <v>37215717777</v>
      </c>
    </row>
    <row r="32" spans="1:6" ht="31.5">
      <c r="A32" s="40" t="s">
        <v>4</v>
      </c>
      <c r="B32" s="41" t="s">
        <v>210</v>
      </c>
      <c r="C32" s="42" t="s">
        <v>211</v>
      </c>
      <c r="D32" s="19">
        <v>27076746946</v>
      </c>
      <c r="E32" s="19">
        <v>26882587184</v>
      </c>
      <c r="F32" s="43">
        <v>27076746946</v>
      </c>
    </row>
    <row r="33" spans="1:6" ht="21">
      <c r="A33" s="40" t="s">
        <v>9</v>
      </c>
      <c r="B33" s="41" t="s">
        <v>212</v>
      </c>
      <c r="C33" s="42" t="s">
        <v>213</v>
      </c>
      <c r="D33" s="19">
        <v>2428811375</v>
      </c>
      <c r="E33" s="19">
        <v>2511210408</v>
      </c>
      <c r="F33" s="43">
        <v>2428811375</v>
      </c>
    </row>
    <row r="34" spans="1:6" ht="25.5">
      <c r="A34" s="44"/>
      <c r="B34" s="45" t="s">
        <v>214</v>
      </c>
      <c r="C34" s="46" t="s">
        <v>215</v>
      </c>
      <c r="D34" s="47">
        <v>676918673</v>
      </c>
      <c r="E34" s="47">
        <v>672064677</v>
      </c>
      <c r="F34" s="48">
        <v>676918673</v>
      </c>
    </row>
    <row r="35" spans="1:6" ht="25.5">
      <c r="A35" s="44"/>
      <c r="B35" s="45" t="s">
        <v>216</v>
      </c>
      <c r="C35" s="46" t="s">
        <v>217</v>
      </c>
      <c r="D35" s="47">
        <v>13200000</v>
      </c>
      <c r="E35" s="47">
        <v>19500000</v>
      </c>
      <c r="F35" s="48">
        <v>13200000</v>
      </c>
    </row>
    <row r="36" spans="1:6" ht="25.5">
      <c r="A36" s="44"/>
      <c r="B36" s="45" t="s">
        <v>218</v>
      </c>
      <c r="C36" s="46" t="s">
        <v>219</v>
      </c>
      <c r="D36" s="47">
        <v>249471618</v>
      </c>
      <c r="E36" s="47">
        <v>341103436</v>
      </c>
      <c r="F36" s="48">
        <v>249471618</v>
      </c>
    </row>
    <row r="37" spans="1:6" ht="25.5">
      <c r="A37" s="44"/>
      <c r="B37" s="45" t="s">
        <v>220</v>
      </c>
      <c r="C37" s="46" t="s">
        <v>221</v>
      </c>
      <c r="D37" s="47">
        <v>1489221084</v>
      </c>
      <c r="E37" s="47">
        <v>1478542295</v>
      </c>
      <c r="F37" s="48">
        <v>1489221084</v>
      </c>
    </row>
    <row r="38" spans="1:6" ht="51">
      <c r="A38" s="44"/>
      <c r="B38" s="45" t="s">
        <v>222</v>
      </c>
      <c r="C38" s="46" t="s">
        <v>223</v>
      </c>
      <c r="D38" s="47">
        <v>0</v>
      </c>
      <c r="E38" s="47">
        <v>0</v>
      </c>
      <c r="F38" s="48">
        <v>0</v>
      </c>
    </row>
    <row r="39" spans="1:6" ht="52.5">
      <c r="A39" s="40" t="s">
        <v>14</v>
      </c>
      <c r="B39" s="41" t="s">
        <v>224</v>
      </c>
      <c r="C39" s="42" t="s">
        <v>225</v>
      </c>
      <c r="D39" s="19">
        <v>5683995757</v>
      </c>
      <c r="E39" s="19">
        <v>5648436956</v>
      </c>
      <c r="F39" s="43">
        <v>5683995757</v>
      </c>
    </row>
    <row r="40" spans="1:6" ht="25.5">
      <c r="A40" s="44"/>
      <c r="B40" s="45" t="s">
        <v>226</v>
      </c>
      <c r="C40" s="46" t="s">
        <v>227</v>
      </c>
      <c r="D40" s="47">
        <v>744610540</v>
      </c>
      <c r="E40" s="47">
        <v>739271145</v>
      </c>
      <c r="F40" s="48">
        <v>744610540</v>
      </c>
    </row>
    <row r="41" spans="1:6" ht="25.5">
      <c r="A41" s="44"/>
      <c r="B41" s="45" t="s">
        <v>228</v>
      </c>
      <c r="C41" s="46" t="s">
        <v>229</v>
      </c>
      <c r="D41" s="47">
        <v>33000000</v>
      </c>
      <c r="E41" s="47">
        <v>33000000</v>
      </c>
      <c r="F41" s="48">
        <v>33000000</v>
      </c>
    </row>
    <row r="42" spans="1:6" ht="51">
      <c r="A42" s="44"/>
      <c r="B42" s="45" t="s">
        <v>230</v>
      </c>
      <c r="C42" s="46" t="s">
        <v>231</v>
      </c>
      <c r="D42" s="47">
        <v>1861526353</v>
      </c>
      <c r="E42" s="47">
        <v>1848177871</v>
      </c>
      <c r="F42" s="48">
        <v>1861526353</v>
      </c>
    </row>
    <row r="43" spans="1:6" ht="25.5">
      <c r="A43" s="44"/>
      <c r="B43" s="45" t="s">
        <v>232</v>
      </c>
      <c r="C43" s="46" t="s">
        <v>233</v>
      </c>
      <c r="D43" s="47">
        <v>1489221081</v>
      </c>
      <c r="E43" s="47">
        <v>1478542295</v>
      </c>
      <c r="F43" s="48">
        <v>1489221081</v>
      </c>
    </row>
    <row r="44" spans="1:6" ht="25.5">
      <c r="A44" s="44"/>
      <c r="B44" s="45" t="s">
        <v>234</v>
      </c>
      <c r="C44" s="46" t="s">
        <v>235</v>
      </c>
      <c r="D44" s="47">
        <v>1555637783</v>
      </c>
      <c r="E44" s="47">
        <v>1549445645</v>
      </c>
      <c r="F44" s="48">
        <v>1555637783</v>
      </c>
    </row>
    <row r="45" spans="1:6" ht="21">
      <c r="A45" s="40" t="s">
        <v>19</v>
      </c>
      <c r="B45" s="41" t="s">
        <v>236</v>
      </c>
      <c r="C45" s="42"/>
      <c r="D45" s="19">
        <v>0</v>
      </c>
      <c r="E45" s="19">
        <v>0</v>
      </c>
      <c r="F45" s="43">
        <v>0</v>
      </c>
    </row>
    <row r="46" spans="1:6" ht="21">
      <c r="A46" s="40" t="s">
        <v>45</v>
      </c>
      <c r="B46" s="41" t="s">
        <v>237</v>
      </c>
      <c r="C46" s="42"/>
      <c r="D46" s="19">
        <v>0</v>
      </c>
      <c r="E46" s="19">
        <v>0</v>
      </c>
      <c r="F46" s="43">
        <v>0</v>
      </c>
    </row>
    <row r="47" spans="1:6" ht="21">
      <c r="A47" s="40" t="s">
        <v>48</v>
      </c>
      <c r="B47" s="41" t="s">
        <v>238</v>
      </c>
      <c r="C47" s="42" t="s">
        <v>239</v>
      </c>
      <c r="D47" s="19">
        <v>79362731</v>
      </c>
      <c r="E47" s="19">
        <v>84525415</v>
      </c>
      <c r="F47" s="43">
        <v>79362731</v>
      </c>
    </row>
    <row r="48" spans="1:6" ht="63">
      <c r="A48" s="40" t="s">
        <v>51</v>
      </c>
      <c r="B48" s="41" t="s">
        <v>240</v>
      </c>
      <c r="C48" s="42" t="s">
        <v>241</v>
      </c>
      <c r="D48" s="19">
        <v>29219156</v>
      </c>
      <c r="E48" s="19">
        <v>29268560</v>
      </c>
      <c r="F48" s="43">
        <v>29219156</v>
      </c>
    </row>
    <row r="49" spans="1:6" ht="38.25">
      <c r="A49" s="44"/>
      <c r="B49" s="45" t="s">
        <v>242</v>
      </c>
      <c r="C49" s="46" t="s">
        <v>243</v>
      </c>
      <c r="D49" s="47">
        <v>29219156</v>
      </c>
      <c r="E49" s="47">
        <v>29268560</v>
      </c>
      <c r="F49" s="48">
        <v>29219156</v>
      </c>
    </row>
    <row r="50" spans="1:6" ht="25.5">
      <c r="A50" s="44"/>
      <c r="B50" s="45" t="s">
        <v>244</v>
      </c>
      <c r="C50" s="46" t="s">
        <v>245</v>
      </c>
      <c r="D50" s="47">
        <v>0</v>
      </c>
      <c r="E50" s="47">
        <v>0</v>
      </c>
      <c r="F50" s="48">
        <v>0</v>
      </c>
    </row>
    <row r="51" spans="1:6" ht="25.5">
      <c r="A51" s="44"/>
      <c r="B51" s="45" t="s">
        <v>246</v>
      </c>
      <c r="C51" s="46" t="s">
        <v>247</v>
      </c>
      <c r="D51" s="47">
        <v>0</v>
      </c>
      <c r="E51" s="47">
        <v>0</v>
      </c>
      <c r="F51" s="48">
        <v>0</v>
      </c>
    </row>
    <row r="52" spans="1:6" ht="115.5">
      <c r="A52" s="40" t="s">
        <v>54</v>
      </c>
      <c r="B52" s="41" t="s">
        <v>248</v>
      </c>
      <c r="C52" s="42" t="s">
        <v>249</v>
      </c>
      <c r="D52" s="19">
        <v>0</v>
      </c>
      <c r="E52" s="19">
        <v>0</v>
      </c>
      <c r="F52" s="43">
        <v>0</v>
      </c>
    </row>
    <row r="53" spans="1:6" ht="25.5">
      <c r="A53" s="44"/>
      <c r="B53" s="45" t="s">
        <v>250</v>
      </c>
      <c r="C53" s="46" t="s">
        <v>251</v>
      </c>
      <c r="D53" s="47">
        <v>0</v>
      </c>
      <c r="E53" s="47">
        <v>0</v>
      </c>
      <c r="F53" s="48">
        <v>0</v>
      </c>
    </row>
    <row r="54" spans="1:6" ht="25.5">
      <c r="A54" s="44"/>
      <c r="B54" s="45" t="s">
        <v>252</v>
      </c>
      <c r="C54" s="46" t="s">
        <v>253</v>
      </c>
      <c r="D54" s="47">
        <v>0</v>
      </c>
      <c r="E54" s="47">
        <v>0</v>
      </c>
      <c r="F54" s="48">
        <v>0</v>
      </c>
    </row>
    <row r="55" spans="1:6" ht="38.25">
      <c r="A55" s="44"/>
      <c r="B55" s="45" t="s">
        <v>254</v>
      </c>
      <c r="C55" s="46" t="s">
        <v>255</v>
      </c>
      <c r="D55" s="47">
        <v>0</v>
      </c>
      <c r="E55" s="47">
        <v>0</v>
      </c>
      <c r="F55" s="48">
        <v>0</v>
      </c>
    </row>
    <row r="56" spans="1:6" ht="38.25">
      <c r="A56" s="44"/>
      <c r="B56" s="45" t="s">
        <v>256</v>
      </c>
      <c r="C56" s="46" t="s">
        <v>257</v>
      </c>
      <c r="D56" s="47">
        <v>0</v>
      </c>
      <c r="E56" s="47">
        <v>0</v>
      </c>
      <c r="F56" s="48">
        <v>0</v>
      </c>
    </row>
    <row r="57" spans="1:6" ht="25.5">
      <c r="A57" s="44"/>
      <c r="B57" s="45" t="s">
        <v>258</v>
      </c>
      <c r="C57" s="46" t="s">
        <v>259</v>
      </c>
      <c r="D57" s="47">
        <v>0</v>
      </c>
      <c r="E57" s="47">
        <v>0</v>
      </c>
      <c r="F57" s="48">
        <v>0</v>
      </c>
    </row>
    <row r="58" spans="1:6" ht="42">
      <c r="A58" s="40" t="s">
        <v>57</v>
      </c>
      <c r="B58" s="41" t="s">
        <v>260</v>
      </c>
      <c r="C58" s="42" t="s">
        <v>261</v>
      </c>
      <c r="D58" s="19">
        <v>1830805170</v>
      </c>
      <c r="E58" s="19">
        <v>3037872967</v>
      </c>
      <c r="F58" s="43">
        <v>1830805170</v>
      </c>
    </row>
    <row r="59" spans="1:6" ht="25.5">
      <c r="A59" s="44"/>
      <c r="B59" s="45" t="s">
        <v>262</v>
      </c>
      <c r="C59" s="46" t="s">
        <v>263</v>
      </c>
      <c r="D59" s="47">
        <v>1826161110</v>
      </c>
      <c r="E59" s="47">
        <v>3026569987</v>
      </c>
      <c r="F59" s="48">
        <v>1826161110</v>
      </c>
    </row>
    <row r="60" spans="1:6" ht="25.5">
      <c r="A60" s="44"/>
      <c r="B60" s="45" t="s">
        <v>264</v>
      </c>
      <c r="C60" s="46" t="s">
        <v>265</v>
      </c>
      <c r="D60" s="47">
        <v>4644060</v>
      </c>
      <c r="E60" s="47">
        <v>11302980</v>
      </c>
      <c r="F60" s="48">
        <v>4644060</v>
      </c>
    </row>
    <row r="61" spans="1:6" ht="21">
      <c r="A61" s="40" t="s">
        <v>60</v>
      </c>
      <c r="B61" s="41" t="s">
        <v>266</v>
      </c>
      <c r="C61" s="42" t="s">
        <v>267</v>
      </c>
      <c r="D61" s="19">
        <v>86776642</v>
      </c>
      <c r="E61" s="19">
        <v>56958806</v>
      </c>
      <c r="F61" s="43">
        <v>86776642</v>
      </c>
    </row>
    <row r="62" spans="1:6" ht="25.5">
      <c r="A62" s="44"/>
      <c r="B62" s="45" t="s">
        <v>268</v>
      </c>
      <c r="C62" s="46" t="s">
        <v>269</v>
      </c>
      <c r="D62" s="47">
        <v>0</v>
      </c>
      <c r="E62" s="47">
        <v>0</v>
      </c>
      <c r="F62" s="48">
        <v>0</v>
      </c>
    </row>
    <row r="63" spans="1:6" ht="25.5">
      <c r="A63" s="44"/>
      <c r="B63" s="45" t="s">
        <v>270</v>
      </c>
      <c r="C63" s="46" t="s">
        <v>271</v>
      </c>
      <c r="D63" s="47">
        <v>33000000</v>
      </c>
      <c r="E63" s="47">
        <v>0</v>
      </c>
      <c r="F63" s="48">
        <v>33000000</v>
      </c>
    </row>
    <row r="64" spans="1:6" ht="38.25">
      <c r="A64" s="44"/>
      <c r="B64" s="45" t="s">
        <v>272</v>
      </c>
      <c r="C64" s="46" t="s">
        <v>273</v>
      </c>
      <c r="D64" s="47">
        <v>0</v>
      </c>
      <c r="E64" s="47">
        <v>7500000</v>
      </c>
      <c r="F64" s="48">
        <v>0</v>
      </c>
    </row>
    <row r="65" spans="1:6" ht="25.5">
      <c r="A65" s="44"/>
      <c r="B65" s="45" t="s">
        <v>274</v>
      </c>
      <c r="C65" s="46" t="s">
        <v>275</v>
      </c>
      <c r="D65" s="47">
        <v>976642</v>
      </c>
      <c r="E65" s="47">
        <v>1608806</v>
      </c>
      <c r="F65" s="48">
        <v>976642</v>
      </c>
    </row>
    <row r="66" spans="1:6" ht="25.5">
      <c r="A66" s="44"/>
      <c r="B66" s="45" t="s">
        <v>276</v>
      </c>
      <c r="C66" s="46" t="s">
        <v>277</v>
      </c>
      <c r="D66" s="47">
        <v>0</v>
      </c>
      <c r="E66" s="47">
        <v>0</v>
      </c>
      <c r="F66" s="48">
        <v>0</v>
      </c>
    </row>
    <row r="67" spans="1:6" ht="25.5">
      <c r="A67" s="44"/>
      <c r="B67" s="45" t="s">
        <v>278</v>
      </c>
      <c r="C67" s="46" t="s">
        <v>279</v>
      </c>
      <c r="D67" s="47">
        <v>0</v>
      </c>
      <c r="E67" s="47">
        <v>0</v>
      </c>
      <c r="F67" s="48">
        <v>0</v>
      </c>
    </row>
    <row r="68" spans="1:6" ht="25.5">
      <c r="A68" s="44"/>
      <c r="B68" s="45" t="s">
        <v>280</v>
      </c>
      <c r="C68" s="46" t="s">
        <v>281</v>
      </c>
      <c r="D68" s="47">
        <v>0</v>
      </c>
      <c r="E68" s="47">
        <v>0</v>
      </c>
      <c r="F68" s="48">
        <v>0</v>
      </c>
    </row>
    <row r="69" spans="1:6" ht="51">
      <c r="A69" s="44"/>
      <c r="B69" s="45" t="s">
        <v>282</v>
      </c>
      <c r="C69" s="46" t="s">
        <v>283</v>
      </c>
      <c r="D69" s="47">
        <v>52800000</v>
      </c>
      <c r="E69" s="47">
        <v>47850000</v>
      </c>
      <c r="F69" s="48">
        <v>52800000</v>
      </c>
    </row>
    <row r="70" spans="1:6" ht="25.5">
      <c r="A70" s="35" t="s">
        <v>89</v>
      </c>
      <c r="B70" s="36" t="s">
        <v>284</v>
      </c>
      <c r="C70" s="37" t="s">
        <v>285</v>
      </c>
      <c r="D70" s="38">
        <v>-13894722721</v>
      </c>
      <c r="E70" s="38">
        <v>-2071986003</v>
      </c>
      <c r="F70" s="39">
        <v>-13894722721</v>
      </c>
    </row>
    <row r="71" spans="1:6" ht="25.5">
      <c r="A71" s="35" t="s">
        <v>96</v>
      </c>
      <c r="B71" s="36" t="s">
        <v>286</v>
      </c>
      <c r="C71" s="37" t="s">
        <v>287</v>
      </c>
      <c r="D71" s="38">
        <v>-589939061550</v>
      </c>
      <c r="E71" s="38">
        <v>17557040700</v>
      </c>
      <c r="F71" s="39">
        <v>-589939061550</v>
      </c>
    </row>
    <row r="72" spans="1:6" ht="42">
      <c r="A72" s="40" t="s">
        <v>4</v>
      </c>
      <c r="B72" s="41" t="s">
        <v>288</v>
      </c>
      <c r="C72" s="42" t="s">
        <v>289</v>
      </c>
      <c r="D72" s="19">
        <v>302666311904</v>
      </c>
      <c r="E72" s="19">
        <v>375147812331</v>
      </c>
      <c r="F72" s="43">
        <v>302666311904</v>
      </c>
    </row>
    <row r="73" spans="1:6" ht="25.5">
      <c r="A73" s="44"/>
      <c r="B73" s="45" t="s">
        <v>290</v>
      </c>
      <c r="C73" s="46" t="s">
        <v>291</v>
      </c>
      <c r="D73" s="47">
        <v>91796212933</v>
      </c>
      <c r="E73" s="47">
        <v>320264037154</v>
      </c>
      <c r="F73" s="48">
        <v>91796212933</v>
      </c>
    </row>
    <row r="74" spans="1:6" ht="51">
      <c r="A74" s="44"/>
      <c r="B74" s="45" t="s">
        <v>292</v>
      </c>
      <c r="C74" s="46" t="s">
        <v>293</v>
      </c>
      <c r="D74" s="47">
        <v>210740583971</v>
      </c>
      <c r="E74" s="47">
        <v>54883775177</v>
      </c>
      <c r="F74" s="48">
        <v>210740583971</v>
      </c>
    </row>
    <row r="75" spans="1:6" ht="51">
      <c r="A75" s="44"/>
      <c r="B75" s="45" t="s">
        <v>294</v>
      </c>
      <c r="C75" s="46" t="s">
        <v>295</v>
      </c>
      <c r="D75" s="47">
        <v>129515000</v>
      </c>
      <c r="E75" s="47">
        <v>0</v>
      </c>
      <c r="F75" s="48">
        <v>129515000</v>
      </c>
    </row>
    <row r="76" spans="1:6" ht="21">
      <c r="A76" s="40" t="s">
        <v>9</v>
      </c>
      <c r="B76" s="41" t="s">
        <v>296</v>
      </c>
      <c r="C76" s="42" t="s">
        <v>297</v>
      </c>
      <c r="D76" s="19">
        <v>-892605373454</v>
      </c>
      <c r="E76" s="19">
        <v>-357590771631</v>
      </c>
      <c r="F76" s="43">
        <v>-892605373454</v>
      </c>
    </row>
    <row r="77" spans="1:6" ht="63.75">
      <c r="A77" s="35" t="s">
        <v>100</v>
      </c>
      <c r="B77" s="36" t="s">
        <v>298</v>
      </c>
      <c r="C77" s="37" t="s">
        <v>299</v>
      </c>
      <c r="D77" s="38">
        <v>-603833784271</v>
      </c>
      <c r="E77" s="38">
        <v>15485054697</v>
      </c>
      <c r="F77" s="39">
        <v>-603833784271</v>
      </c>
    </row>
    <row r="78" spans="1:6" ht="25.5">
      <c r="A78" s="35" t="s">
        <v>110</v>
      </c>
      <c r="B78" s="36" t="s">
        <v>300</v>
      </c>
      <c r="C78" s="37" t="s">
        <v>301</v>
      </c>
      <c r="D78" s="38">
        <v>13579217103837</v>
      </c>
      <c r="E78" s="38">
        <v>13255398335707</v>
      </c>
      <c r="F78" s="39">
        <v>13579217103837</v>
      </c>
    </row>
    <row r="79" spans="1:6" ht="38.25">
      <c r="A79" s="35" t="s">
        <v>136</v>
      </c>
      <c r="B79" s="36" t="s">
        <v>302</v>
      </c>
      <c r="C79" s="37" t="s">
        <v>303</v>
      </c>
      <c r="D79" s="38">
        <v>-1536220655443</v>
      </c>
      <c r="E79" s="38">
        <v>323818768130</v>
      </c>
      <c r="F79" s="39">
        <v>-1536220655443</v>
      </c>
    </row>
    <row r="80" spans="1:6" ht="21">
      <c r="A80" s="40"/>
      <c r="B80" s="41" t="s">
        <v>304</v>
      </c>
      <c r="C80" s="42" t="s">
        <v>305</v>
      </c>
      <c r="D80" s="19">
        <v>0</v>
      </c>
      <c r="E80" s="19">
        <v>0</v>
      </c>
      <c r="F80" s="43">
        <v>0</v>
      </c>
    </row>
    <row r="81" spans="1:6" ht="42">
      <c r="A81" s="40" t="s">
        <v>4</v>
      </c>
      <c r="B81" s="41" t="s">
        <v>306</v>
      </c>
      <c r="C81" s="42" t="s">
        <v>307</v>
      </c>
      <c r="D81" s="19">
        <v>-603833784271</v>
      </c>
      <c r="E81" s="19">
        <v>15485054697</v>
      </c>
      <c r="F81" s="43">
        <v>-603833784271</v>
      </c>
    </row>
    <row r="82" spans="1:6" ht="42">
      <c r="A82" s="40" t="s">
        <v>9</v>
      </c>
      <c r="B82" s="41" t="s">
        <v>308</v>
      </c>
      <c r="C82" s="42"/>
      <c r="D82" s="19">
        <v>0</v>
      </c>
      <c r="E82" s="19">
        <v>0</v>
      </c>
      <c r="F82" s="43">
        <v>0</v>
      </c>
    </row>
    <row r="83" spans="1:6" ht="42">
      <c r="A83" s="40" t="s">
        <v>14</v>
      </c>
      <c r="B83" s="41" t="s">
        <v>309</v>
      </c>
      <c r="C83" s="42" t="s">
        <v>310</v>
      </c>
      <c r="D83" s="19">
        <v>-932386871172</v>
      </c>
      <c r="E83" s="19">
        <v>308333713433</v>
      </c>
      <c r="F83" s="43">
        <v>-932386871172</v>
      </c>
    </row>
    <row r="84" spans="1:6" ht="51">
      <c r="A84" s="44"/>
      <c r="B84" s="45" t="s">
        <v>311</v>
      </c>
      <c r="C84" s="46" t="s">
        <v>312</v>
      </c>
      <c r="D84" s="47">
        <v>544196463080</v>
      </c>
      <c r="E84" s="47">
        <v>567496680733</v>
      </c>
      <c r="F84" s="48">
        <v>544196463080</v>
      </c>
    </row>
    <row r="85" spans="1:6" ht="51">
      <c r="A85" s="44"/>
      <c r="B85" s="45" t="s">
        <v>313</v>
      </c>
      <c r="C85" s="46" t="s">
        <v>314</v>
      </c>
      <c r="D85" s="47">
        <v>-1476583334252</v>
      </c>
      <c r="E85" s="47">
        <v>-259162967300</v>
      </c>
      <c r="F85" s="48">
        <v>-1476583334252</v>
      </c>
    </row>
    <row r="86" spans="1:6" ht="25.5">
      <c r="A86" s="35" t="s">
        <v>154</v>
      </c>
      <c r="B86" s="36" t="s">
        <v>315</v>
      </c>
      <c r="C86" s="37" t="s">
        <v>316</v>
      </c>
      <c r="D86" s="38">
        <v>12042996448394</v>
      </c>
      <c r="E86" s="38">
        <v>13579217103837</v>
      </c>
      <c r="F86" s="39">
        <v>12042996448394</v>
      </c>
    </row>
    <row r="87" spans="1:6" ht="51">
      <c r="A87" s="35" t="s">
        <v>317</v>
      </c>
      <c r="B87" s="36" t="s">
        <v>318</v>
      </c>
      <c r="C87" s="37" t="s">
        <v>319</v>
      </c>
      <c r="D87" s="38">
        <v>0</v>
      </c>
      <c r="E87" s="38">
        <v>0</v>
      </c>
      <c r="F87" s="39">
        <v>0</v>
      </c>
    </row>
    <row r="88" spans="1:6" ht="42">
      <c r="A88" s="49"/>
      <c r="B88" s="50" t="s">
        <v>320</v>
      </c>
      <c r="C88" s="51" t="s">
        <v>321</v>
      </c>
      <c r="D88" s="25">
        <v>0</v>
      </c>
      <c r="E88" s="25">
        <v>0</v>
      </c>
      <c r="F88" s="52">
        <v>0</v>
      </c>
    </row>
    <row r="89" spans="1:6" ht="11.25" customHeight="1">
      <c r="A89" s="1"/>
      <c r="B89" s="1"/>
      <c r="C89" s="53"/>
      <c r="D89" s="1"/>
      <c r="E89" s="1"/>
      <c r="F89" s="1"/>
    </row>
    <row r="90" spans="1:6" ht="15.75" customHeight="1">
      <c r="A90" s="322" t="s">
        <v>166</v>
      </c>
      <c r="B90" s="322"/>
      <c r="C90" s="322"/>
      <c r="D90" s="322" t="s">
        <v>167</v>
      </c>
      <c r="E90" s="322"/>
      <c r="F90" s="322"/>
    </row>
    <row r="91" spans="1:6" ht="15.75" customHeight="1">
      <c r="A91" s="320" t="s">
        <v>168</v>
      </c>
      <c r="B91" s="320"/>
      <c r="C91" s="320"/>
      <c r="D91" s="321" t="s">
        <v>169</v>
      </c>
      <c r="E91" s="321"/>
      <c r="F91" s="321"/>
    </row>
    <row r="92" spans="1:6" ht="15.75" customHeight="1">
      <c r="A92" s="1"/>
      <c r="B92" s="1"/>
      <c r="C92" s="1"/>
      <c r="D92" s="1"/>
      <c r="E92" s="1"/>
      <c r="F92" s="1"/>
    </row>
    <row r="93" spans="1:6" ht="15.75" customHeight="1">
      <c r="A93" s="1"/>
      <c r="B93" s="1"/>
      <c r="C93" s="1"/>
      <c r="D93" s="1"/>
      <c r="E93" s="1"/>
      <c r="F93" s="1"/>
    </row>
    <row r="94" spans="1:6" ht="15" customHeight="1">
      <c r="A94" s="1"/>
      <c r="B94" s="1"/>
      <c r="C94" s="1"/>
      <c r="D94" s="1"/>
      <c r="E94" s="1"/>
      <c r="F94" s="1"/>
    </row>
    <row r="95" spans="1:6" ht="15" customHeight="1">
      <c r="A95" s="1"/>
      <c r="B95" s="1"/>
      <c r="C95" s="1"/>
      <c r="D95" s="1"/>
      <c r="E95" s="1"/>
      <c r="F95" s="1"/>
    </row>
    <row r="96" spans="1:6" ht="15.75" customHeight="1">
      <c r="A96" s="1"/>
      <c r="B96" s="1"/>
      <c r="C96" s="1"/>
      <c r="D96" s="1"/>
      <c r="E96" s="1"/>
      <c r="F96" s="1"/>
    </row>
    <row r="97" spans="1:6" ht="15.75" customHeight="1">
      <c r="A97" s="322" t="s">
        <v>170</v>
      </c>
      <c r="B97" s="322"/>
      <c r="C97" s="322"/>
      <c r="D97" s="322" t="s">
        <v>171</v>
      </c>
      <c r="E97" s="322"/>
      <c r="F97" s="322"/>
    </row>
    <row r="98" spans="1:6" ht="15.75" customHeight="1">
      <c r="A98" s="323" t="s">
        <v>174</v>
      </c>
      <c r="B98" s="323"/>
      <c r="C98" s="323"/>
      <c r="D98" s="323" t="s">
        <v>175</v>
      </c>
      <c r="E98" s="323"/>
      <c r="F98" s="323"/>
    </row>
    <row r="99" spans="1:6" ht="15.75" customHeight="1">
      <c r="A99" s="323" t="s">
        <v>172</v>
      </c>
      <c r="B99" s="323"/>
      <c r="C99" s="323"/>
      <c r="D99" s="323" t="s">
        <v>173</v>
      </c>
      <c r="E99" s="323"/>
      <c r="F99" s="323"/>
    </row>
  </sheetData>
  <mergeCells count="26">
    <mergeCell ref="A1:B1"/>
    <mergeCell ref="D1:F1"/>
    <mergeCell ref="A2:F2"/>
    <mergeCell ref="A4:F4"/>
    <mergeCell ref="A5:F5"/>
    <mergeCell ref="C6:F6"/>
    <mergeCell ref="C12:D12"/>
    <mergeCell ref="C7:F7"/>
    <mergeCell ref="C8:F8"/>
    <mergeCell ref="C9:F9"/>
    <mergeCell ref="C10:F10"/>
    <mergeCell ref="C11:F11"/>
    <mergeCell ref="A99:C99"/>
    <mergeCell ref="D99:F99"/>
    <mergeCell ref="C13:F13"/>
    <mergeCell ref="A15:F15"/>
    <mergeCell ref="A16:F16"/>
    <mergeCell ref="E17:F17"/>
    <mergeCell ref="A90:C90"/>
    <mergeCell ref="D90:F90"/>
    <mergeCell ref="A98:C98"/>
    <mergeCell ref="D98:F98"/>
    <mergeCell ref="A91:C91"/>
    <mergeCell ref="D91:F91"/>
    <mergeCell ref="A97:C97"/>
    <mergeCell ref="D97:F97"/>
  </mergeCells>
  <printOptions horizontalCentered="1"/>
  <pageMargins left="0.78740157480314965" right="0.19685039370078741" top="0.39370078740157483" bottom="0" header="0.51181102362204722" footer="0.51181102362204722"/>
  <pageSetup paperSize="9" scale="84"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88"/>
  <sheetViews>
    <sheetView showGridLines="0" showZeros="0" showOutlineSymbols="0" zoomScaleNormal="100" workbookViewId="0">
      <selection activeCell="D86" sqref="D86:G86"/>
    </sheetView>
  </sheetViews>
  <sheetFormatPr defaultRowHeight="15"/>
  <cols>
    <col min="1" max="1" width="5.7109375" style="3" customWidth="1"/>
    <col min="2" max="2" width="35.7109375" style="3" customWidth="1"/>
    <col min="3" max="3" width="10" style="3" customWidth="1"/>
    <col min="4" max="5" width="12.140625" style="3" customWidth="1"/>
    <col min="6" max="6" width="16.85546875" style="3" customWidth="1"/>
    <col min="7" max="7" width="12.140625" style="3" customWidth="1"/>
    <col min="8" max="256" width="9.140625" style="3"/>
    <col min="257" max="257" width="5.7109375" style="3" customWidth="1"/>
    <col min="258" max="258" width="35.7109375" style="3" customWidth="1"/>
    <col min="259" max="259" width="10" style="3" customWidth="1"/>
    <col min="260" max="261" width="12.140625" style="3" customWidth="1"/>
    <col min="262" max="262" width="16.85546875" style="3" customWidth="1"/>
    <col min="263" max="263" width="12.140625" style="3" customWidth="1"/>
    <col min="264" max="512" width="9.140625" style="3"/>
    <col min="513" max="513" width="5.7109375" style="3" customWidth="1"/>
    <col min="514" max="514" width="35.7109375" style="3" customWidth="1"/>
    <col min="515" max="515" width="10" style="3" customWidth="1"/>
    <col min="516" max="517" width="12.140625" style="3" customWidth="1"/>
    <col min="518" max="518" width="16.85546875" style="3" customWidth="1"/>
    <col min="519" max="519" width="12.140625" style="3" customWidth="1"/>
    <col min="520" max="768" width="9.140625" style="3"/>
    <col min="769" max="769" width="5.7109375" style="3" customWidth="1"/>
    <col min="770" max="770" width="35.7109375" style="3" customWidth="1"/>
    <col min="771" max="771" width="10" style="3" customWidth="1"/>
    <col min="772" max="773" width="12.140625" style="3" customWidth="1"/>
    <col min="774" max="774" width="16.85546875" style="3" customWidth="1"/>
    <col min="775" max="775" width="12.140625" style="3" customWidth="1"/>
    <col min="776" max="1024" width="9.140625" style="3"/>
    <col min="1025" max="1025" width="5.7109375" style="3" customWidth="1"/>
    <col min="1026" max="1026" width="35.7109375" style="3" customWidth="1"/>
    <col min="1027" max="1027" width="10" style="3" customWidth="1"/>
    <col min="1028" max="1029" width="12.140625" style="3" customWidth="1"/>
    <col min="1030" max="1030" width="16.85546875" style="3" customWidth="1"/>
    <col min="1031" max="1031" width="12.140625" style="3" customWidth="1"/>
    <col min="1032" max="1280" width="9.140625" style="3"/>
    <col min="1281" max="1281" width="5.7109375" style="3" customWidth="1"/>
    <col min="1282" max="1282" width="35.7109375" style="3" customWidth="1"/>
    <col min="1283" max="1283" width="10" style="3" customWidth="1"/>
    <col min="1284" max="1285" width="12.140625" style="3" customWidth="1"/>
    <col min="1286" max="1286" width="16.85546875" style="3" customWidth="1"/>
    <col min="1287" max="1287" width="12.140625" style="3" customWidth="1"/>
    <col min="1288" max="1536" width="9.140625" style="3"/>
    <col min="1537" max="1537" width="5.7109375" style="3" customWidth="1"/>
    <col min="1538" max="1538" width="35.7109375" style="3" customWidth="1"/>
    <col min="1539" max="1539" width="10" style="3" customWidth="1"/>
    <col min="1540" max="1541" width="12.140625" style="3" customWidth="1"/>
    <col min="1542" max="1542" width="16.85546875" style="3" customWidth="1"/>
    <col min="1543" max="1543" width="12.140625" style="3" customWidth="1"/>
    <col min="1544" max="1792" width="9.140625" style="3"/>
    <col min="1793" max="1793" width="5.7109375" style="3" customWidth="1"/>
    <col min="1794" max="1794" width="35.7109375" style="3" customWidth="1"/>
    <col min="1795" max="1795" width="10" style="3" customWidth="1"/>
    <col min="1796" max="1797" width="12.140625" style="3" customWidth="1"/>
    <col min="1798" max="1798" width="16.85546875" style="3" customWidth="1"/>
    <col min="1799" max="1799" width="12.140625" style="3" customWidth="1"/>
    <col min="1800" max="2048" width="9.140625" style="3"/>
    <col min="2049" max="2049" width="5.7109375" style="3" customWidth="1"/>
    <col min="2050" max="2050" width="35.7109375" style="3" customWidth="1"/>
    <col min="2051" max="2051" width="10" style="3" customWidth="1"/>
    <col min="2052" max="2053" width="12.140625" style="3" customWidth="1"/>
    <col min="2054" max="2054" width="16.85546875" style="3" customWidth="1"/>
    <col min="2055" max="2055" width="12.140625" style="3" customWidth="1"/>
    <col min="2056" max="2304" width="9.140625" style="3"/>
    <col min="2305" max="2305" width="5.7109375" style="3" customWidth="1"/>
    <col min="2306" max="2306" width="35.7109375" style="3" customWidth="1"/>
    <col min="2307" max="2307" width="10" style="3" customWidth="1"/>
    <col min="2308" max="2309" width="12.140625" style="3" customWidth="1"/>
    <col min="2310" max="2310" width="16.85546875" style="3" customWidth="1"/>
    <col min="2311" max="2311" width="12.140625" style="3" customWidth="1"/>
    <col min="2312" max="2560" width="9.140625" style="3"/>
    <col min="2561" max="2561" width="5.7109375" style="3" customWidth="1"/>
    <col min="2562" max="2562" width="35.7109375" style="3" customWidth="1"/>
    <col min="2563" max="2563" width="10" style="3" customWidth="1"/>
    <col min="2564" max="2565" width="12.140625" style="3" customWidth="1"/>
    <col min="2566" max="2566" width="16.85546875" style="3" customWidth="1"/>
    <col min="2567" max="2567" width="12.140625" style="3" customWidth="1"/>
    <col min="2568" max="2816" width="9.140625" style="3"/>
    <col min="2817" max="2817" width="5.7109375" style="3" customWidth="1"/>
    <col min="2818" max="2818" width="35.7109375" style="3" customWidth="1"/>
    <col min="2819" max="2819" width="10" style="3" customWidth="1"/>
    <col min="2820" max="2821" width="12.140625" style="3" customWidth="1"/>
    <col min="2822" max="2822" width="16.85546875" style="3" customWidth="1"/>
    <col min="2823" max="2823" width="12.140625" style="3" customWidth="1"/>
    <col min="2824" max="3072" width="9.140625" style="3"/>
    <col min="3073" max="3073" width="5.7109375" style="3" customWidth="1"/>
    <col min="3074" max="3074" width="35.7109375" style="3" customWidth="1"/>
    <col min="3075" max="3075" width="10" style="3" customWidth="1"/>
    <col min="3076" max="3077" width="12.140625" style="3" customWidth="1"/>
    <col min="3078" max="3078" width="16.85546875" style="3" customWidth="1"/>
    <col min="3079" max="3079" width="12.140625" style="3" customWidth="1"/>
    <col min="3080" max="3328" width="9.140625" style="3"/>
    <col min="3329" max="3329" width="5.7109375" style="3" customWidth="1"/>
    <col min="3330" max="3330" width="35.7109375" style="3" customWidth="1"/>
    <col min="3331" max="3331" width="10" style="3" customWidth="1"/>
    <col min="3332" max="3333" width="12.140625" style="3" customWidth="1"/>
    <col min="3334" max="3334" width="16.85546875" style="3" customWidth="1"/>
    <col min="3335" max="3335" width="12.140625" style="3" customWidth="1"/>
    <col min="3336" max="3584" width="9.140625" style="3"/>
    <col min="3585" max="3585" width="5.7109375" style="3" customWidth="1"/>
    <col min="3586" max="3586" width="35.7109375" style="3" customWidth="1"/>
    <col min="3587" max="3587" width="10" style="3" customWidth="1"/>
    <col min="3588" max="3589" width="12.140625" style="3" customWidth="1"/>
    <col min="3590" max="3590" width="16.85546875" style="3" customWidth="1"/>
    <col min="3591" max="3591" width="12.140625" style="3" customWidth="1"/>
    <col min="3592" max="3840" width="9.140625" style="3"/>
    <col min="3841" max="3841" width="5.7109375" style="3" customWidth="1"/>
    <col min="3842" max="3842" width="35.7109375" style="3" customWidth="1"/>
    <col min="3843" max="3843" width="10" style="3" customWidth="1"/>
    <col min="3844" max="3845" width="12.140625" style="3" customWidth="1"/>
    <col min="3846" max="3846" width="16.85546875" style="3" customWidth="1"/>
    <col min="3847" max="3847" width="12.140625" style="3" customWidth="1"/>
    <col min="3848" max="4096" width="9.140625" style="3"/>
    <col min="4097" max="4097" width="5.7109375" style="3" customWidth="1"/>
    <col min="4098" max="4098" width="35.7109375" style="3" customWidth="1"/>
    <col min="4099" max="4099" width="10" style="3" customWidth="1"/>
    <col min="4100" max="4101" width="12.140625" style="3" customWidth="1"/>
    <col min="4102" max="4102" width="16.85546875" style="3" customWidth="1"/>
    <col min="4103" max="4103" width="12.140625" style="3" customWidth="1"/>
    <col min="4104" max="4352" width="9.140625" style="3"/>
    <col min="4353" max="4353" width="5.7109375" style="3" customWidth="1"/>
    <col min="4354" max="4354" width="35.7109375" style="3" customWidth="1"/>
    <col min="4355" max="4355" width="10" style="3" customWidth="1"/>
    <col min="4356" max="4357" width="12.140625" style="3" customWidth="1"/>
    <col min="4358" max="4358" width="16.85546875" style="3" customWidth="1"/>
    <col min="4359" max="4359" width="12.140625" style="3" customWidth="1"/>
    <col min="4360" max="4608" width="9.140625" style="3"/>
    <col min="4609" max="4609" width="5.7109375" style="3" customWidth="1"/>
    <col min="4610" max="4610" width="35.7109375" style="3" customWidth="1"/>
    <col min="4611" max="4611" width="10" style="3" customWidth="1"/>
    <col min="4612" max="4613" width="12.140625" style="3" customWidth="1"/>
    <col min="4614" max="4614" width="16.85546875" style="3" customWidth="1"/>
    <col min="4615" max="4615" width="12.140625" style="3" customWidth="1"/>
    <col min="4616" max="4864" width="9.140625" style="3"/>
    <col min="4865" max="4865" width="5.7109375" style="3" customWidth="1"/>
    <col min="4866" max="4866" width="35.7109375" style="3" customWidth="1"/>
    <col min="4867" max="4867" width="10" style="3" customWidth="1"/>
    <col min="4868" max="4869" width="12.140625" style="3" customWidth="1"/>
    <col min="4870" max="4870" width="16.85546875" style="3" customWidth="1"/>
    <col min="4871" max="4871" width="12.140625" style="3" customWidth="1"/>
    <col min="4872" max="5120" width="9.140625" style="3"/>
    <col min="5121" max="5121" width="5.7109375" style="3" customWidth="1"/>
    <col min="5122" max="5122" width="35.7109375" style="3" customWidth="1"/>
    <col min="5123" max="5123" width="10" style="3" customWidth="1"/>
    <col min="5124" max="5125" width="12.140625" style="3" customWidth="1"/>
    <col min="5126" max="5126" width="16.85546875" style="3" customWidth="1"/>
    <col min="5127" max="5127" width="12.140625" style="3" customWidth="1"/>
    <col min="5128" max="5376" width="9.140625" style="3"/>
    <col min="5377" max="5377" width="5.7109375" style="3" customWidth="1"/>
    <col min="5378" max="5378" width="35.7109375" style="3" customWidth="1"/>
    <col min="5379" max="5379" width="10" style="3" customWidth="1"/>
    <col min="5380" max="5381" width="12.140625" style="3" customWidth="1"/>
    <col min="5382" max="5382" width="16.85546875" style="3" customWidth="1"/>
    <col min="5383" max="5383" width="12.140625" style="3" customWidth="1"/>
    <col min="5384" max="5632" width="9.140625" style="3"/>
    <col min="5633" max="5633" width="5.7109375" style="3" customWidth="1"/>
    <col min="5634" max="5634" width="35.7109375" style="3" customWidth="1"/>
    <col min="5635" max="5635" width="10" style="3" customWidth="1"/>
    <col min="5636" max="5637" width="12.140625" style="3" customWidth="1"/>
    <col min="5638" max="5638" width="16.85546875" style="3" customWidth="1"/>
    <col min="5639" max="5639" width="12.140625" style="3" customWidth="1"/>
    <col min="5640" max="5888" width="9.140625" style="3"/>
    <col min="5889" max="5889" width="5.7109375" style="3" customWidth="1"/>
    <col min="5890" max="5890" width="35.7109375" style="3" customWidth="1"/>
    <col min="5891" max="5891" width="10" style="3" customWidth="1"/>
    <col min="5892" max="5893" width="12.140625" style="3" customWidth="1"/>
    <col min="5894" max="5894" width="16.85546875" style="3" customWidth="1"/>
    <col min="5895" max="5895" width="12.140625" style="3" customWidth="1"/>
    <col min="5896" max="6144" width="9.140625" style="3"/>
    <col min="6145" max="6145" width="5.7109375" style="3" customWidth="1"/>
    <col min="6146" max="6146" width="35.7109375" style="3" customWidth="1"/>
    <col min="6147" max="6147" width="10" style="3" customWidth="1"/>
    <col min="6148" max="6149" width="12.140625" style="3" customWidth="1"/>
    <col min="6150" max="6150" width="16.85546875" style="3" customWidth="1"/>
    <col min="6151" max="6151" width="12.140625" style="3" customWidth="1"/>
    <col min="6152" max="6400" width="9.140625" style="3"/>
    <col min="6401" max="6401" width="5.7109375" style="3" customWidth="1"/>
    <col min="6402" max="6402" width="35.7109375" style="3" customWidth="1"/>
    <col min="6403" max="6403" width="10" style="3" customWidth="1"/>
    <col min="6404" max="6405" width="12.140625" style="3" customWidth="1"/>
    <col min="6406" max="6406" width="16.85546875" style="3" customWidth="1"/>
    <col min="6407" max="6407" width="12.140625" style="3" customWidth="1"/>
    <col min="6408" max="6656" width="9.140625" style="3"/>
    <col min="6657" max="6657" width="5.7109375" style="3" customWidth="1"/>
    <col min="6658" max="6658" width="35.7109375" style="3" customWidth="1"/>
    <col min="6659" max="6659" width="10" style="3" customWidth="1"/>
    <col min="6660" max="6661" width="12.140625" style="3" customWidth="1"/>
    <col min="6662" max="6662" width="16.85546875" style="3" customWidth="1"/>
    <col min="6663" max="6663" width="12.140625" style="3" customWidth="1"/>
    <col min="6664" max="6912" width="9.140625" style="3"/>
    <col min="6913" max="6913" width="5.7109375" style="3" customWidth="1"/>
    <col min="6914" max="6914" width="35.7109375" style="3" customWidth="1"/>
    <col min="6915" max="6915" width="10" style="3" customWidth="1"/>
    <col min="6916" max="6917" width="12.140625" style="3" customWidth="1"/>
    <col min="6918" max="6918" width="16.85546875" style="3" customWidth="1"/>
    <col min="6919" max="6919" width="12.140625" style="3" customWidth="1"/>
    <col min="6920" max="7168" width="9.140625" style="3"/>
    <col min="7169" max="7169" width="5.7109375" style="3" customWidth="1"/>
    <col min="7170" max="7170" width="35.7109375" style="3" customWidth="1"/>
    <col min="7171" max="7171" width="10" style="3" customWidth="1"/>
    <col min="7172" max="7173" width="12.140625" style="3" customWidth="1"/>
    <col min="7174" max="7174" width="16.85546875" style="3" customWidth="1"/>
    <col min="7175" max="7175" width="12.140625" style="3" customWidth="1"/>
    <col min="7176" max="7424" width="9.140625" style="3"/>
    <col min="7425" max="7425" width="5.7109375" style="3" customWidth="1"/>
    <col min="7426" max="7426" width="35.7109375" style="3" customWidth="1"/>
    <col min="7427" max="7427" width="10" style="3" customWidth="1"/>
    <col min="7428" max="7429" width="12.140625" style="3" customWidth="1"/>
    <col min="7430" max="7430" width="16.85546875" style="3" customWidth="1"/>
    <col min="7431" max="7431" width="12.140625" style="3" customWidth="1"/>
    <col min="7432" max="7680" width="9.140625" style="3"/>
    <col min="7681" max="7681" width="5.7109375" style="3" customWidth="1"/>
    <col min="7682" max="7682" width="35.7109375" style="3" customWidth="1"/>
    <col min="7683" max="7683" width="10" style="3" customWidth="1"/>
    <col min="7684" max="7685" width="12.140625" style="3" customWidth="1"/>
    <col min="7686" max="7686" width="16.85546875" style="3" customWidth="1"/>
    <col min="7687" max="7687" width="12.140625" style="3" customWidth="1"/>
    <col min="7688" max="7936" width="9.140625" style="3"/>
    <col min="7937" max="7937" width="5.7109375" style="3" customWidth="1"/>
    <col min="7938" max="7938" width="35.7109375" style="3" customWidth="1"/>
    <col min="7939" max="7939" width="10" style="3" customWidth="1"/>
    <col min="7940" max="7941" width="12.140625" style="3" customWidth="1"/>
    <col min="7942" max="7942" width="16.85546875" style="3" customWidth="1"/>
    <col min="7943" max="7943" width="12.140625" style="3" customWidth="1"/>
    <col min="7944" max="8192" width="9.140625" style="3"/>
    <col min="8193" max="8193" width="5.7109375" style="3" customWidth="1"/>
    <col min="8194" max="8194" width="35.7109375" style="3" customWidth="1"/>
    <col min="8195" max="8195" width="10" style="3" customWidth="1"/>
    <col min="8196" max="8197" width="12.140625" style="3" customWidth="1"/>
    <col min="8198" max="8198" width="16.85546875" style="3" customWidth="1"/>
    <col min="8199" max="8199" width="12.140625" style="3" customWidth="1"/>
    <col min="8200" max="8448" width="9.140625" style="3"/>
    <col min="8449" max="8449" width="5.7109375" style="3" customWidth="1"/>
    <col min="8450" max="8450" width="35.7109375" style="3" customWidth="1"/>
    <col min="8451" max="8451" width="10" style="3" customWidth="1"/>
    <col min="8452" max="8453" width="12.140625" style="3" customWidth="1"/>
    <col min="8454" max="8454" width="16.85546875" style="3" customWidth="1"/>
    <col min="8455" max="8455" width="12.140625" style="3" customWidth="1"/>
    <col min="8456" max="8704" width="9.140625" style="3"/>
    <col min="8705" max="8705" width="5.7109375" style="3" customWidth="1"/>
    <col min="8706" max="8706" width="35.7109375" style="3" customWidth="1"/>
    <col min="8707" max="8707" width="10" style="3" customWidth="1"/>
    <col min="8708" max="8709" width="12.140625" style="3" customWidth="1"/>
    <col min="8710" max="8710" width="16.85546875" style="3" customWidth="1"/>
    <col min="8711" max="8711" width="12.140625" style="3" customWidth="1"/>
    <col min="8712" max="8960" width="9.140625" style="3"/>
    <col min="8961" max="8961" width="5.7109375" style="3" customWidth="1"/>
    <col min="8962" max="8962" width="35.7109375" style="3" customWidth="1"/>
    <col min="8963" max="8963" width="10" style="3" customWidth="1"/>
    <col min="8964" max="8965" width="12.140625" style="3" customWidth="1"/>
    <col min="8966" max="8966" width="16.85546875" style="3" customWidth="1"/>
    <col min="8967" max="8967" width="12.140625" style="3" customWidth="1"/>
    <col min="8968" max="9216" width="9.140625" style="3"/>
    <col min="9217" max="9217" width="5.7109375" style="3" customWidth="1"/>
    <col min="9218" max="9218" width="35.7109375" style="3" customWidth="1"/>
    <col min="9219" max="9219" width="10" style="3" customWidth="1"/>
    <col min="9220" max="9221" width="12.140625" style="3" customWidth="1"/>
    <col min="9222" max="9222" width="16.85546875" style="3" customWidth="1"/>
    <col min="9223" max="9223" width="12.140625" style="3" customWidth="1"/>
    <col min="9224" max="9472" width="9.140625" style="3"/>
    <col min="9473" max="9473" width="5.7109375" style="3" customWidth="1"/>
    <col min="9474" max="9474" width="35.7109375" style="3" customWidth="1"/>
    <col min="9475" max="9475" width="10" style="3" customWidth="1"/>
    <col min="9476" max="9477" width="12.140625" style="3" customWidth="1"/>
    <col min="9478" max="9478" width="16.85546875" style="3" customWidth="1"/>
    <col min="9479" max="9479" width="12.140625" style="3" customWidth="1"/>
    <col min="9480" max="9728" width="9.140625" style="3"/>
    <col min="9729" max="9729" width="5.7109375" style="3" customWidth="1"/>
    <col min="9730" max="9730" width="35.7109375" style="3" customWidth="1"/>
    <col min="9731" max="9731" width="10" style="3" customWidth="1"/>
    <col min="9732" max="9733" width="12.140625" style="3" customWidth="1"/>
    <col min="9734" max="9734" width="16.85546875" style="3" customWidth="1"/>
    <col min="9735" max="9735" width="12.140625" style="3" customWidth="1"/>
    <col min="9736" max="9984" width="9.140625" style="3"/>
    <col min="9985" max="9985" width="5.7109375" style="3" customWidth="1"/>
    <col min="9986" max="9986" width="35.7109375" style="3" customWidth="1"/>
    <col min="9987" max="9987" width="10" style="3" customWidth="1"/>
    <col min="9988" max="9989" width="12.140625" style="3" customWidth="1"/>
    <col min="9990" max="9990" width="16.85546875" style="3" customWidth="1"/>
    <col min="9991" max="9991" width="12.140625" style="3" customWidth="1"/>
    <col min="9992" max="10240" width="9.140625" style="3"/>
    <col min="10241" max="10241" width="5.7109375" style="3" customWidth="1"/>
    <col min="10242" max="10242" width="35.7109375" style="3" customWidth="1"/>
    <col min="10243" max="10243" width="10" style="3" customWidth="1"/>
    <col min="10244" max="10245" width="12.140625" style="3" customWidth="1"/>
    <col min="10246" max="10246" width="16.85546875" style="3" customWidth="1"/>
    <col min="10247" max="10247" width="12.140625" style="3" customWidth="1"/>
    <col min="10248" max="10496" width="9.140625" style="3"/>
    <col min="10497" max="10497" width="5.7109375" style="3" customWidth="1"/>
    <col min="10498" max="10498" width="35.7109375" style="3" customWidth="1"/>
    <col min="10499" max="10499" width="10" style="3" customWidth="1"/>
    <col min="10500" max="10501" width="12.140625" style="3" customWidth="1"/>
    <col min="10502" max="10502" width="16.85546875" style="3" customWidth="1"/>
    <col min="10503" max="10503" width="12.140625" style="3" customWidth="1"/>
    <col min="10504" max="10752" width="9.140625" style="3"/>
    <col min="10753" max="10753" width="5.7109375" style="3" customWidth="1"/>
    <col min="10754" max="10754" width="35.7109375" style="3" customWidth="1"/>
    <col min="10755" max="10755" width="10" style="3" customWidth="1"/>
    <col min="10756" max="10757" width="12.140625" style="3" customWidth="1"/>
    <col min="10758" max="10758" width="16.85546875" style="3" customWidth="1"/>
    <col min="10759" max="10759" width="12.140625" style="3" customWidth="1"/>
    <col min="10760" max="11008" width="9.140625" style="3"/>
    <col min="11009" max="11009" width="5.7109375" style="3" customWidth="1"/>
    <col min="11010" max="11010" width="35.7109375" style="3" customWidth="1"/>
    <col min="11011" max="11011" width="10" style="3" customWidth="1"/>
    <col min="11012" max="11013" width="12.140625" style="3" customWidth="1"/>
    <col min="11014" max="11014" width="16.85546875" style="3" customWidth="1"/>
    <col min="11015" max="11015" width="12.140625" style="3" customWidth="1"/>
    <col min="11016" max="11264" width="9.140625" style="3"/>
    <col min="11265" max="11265" width="5.7109375" style="3" customWidth="1"/>
    <col min="11266" max="11266" width="35.7109375" style="3" customWidth="1"/>
    <col min="11267" max="11267" width="10" style="3" customWidth="1"/>
    <col min="11268" max="11269" width="12.140625" style="3" customWidth="1"/>
    <col min="11270" max="11270" width="16.85546875" style="3" customWidth="1"/>
    <col min="11271" max="11271" width="12.140625" style="3" customWidth="1"/>
    <col min="11272" max="11520" width="9.140625" style="3"/>
    <col min="11521" max="11521" width="5.7109375" style="3" customWidth="1"/>
    <col min="11522" max="11522" width="35.7109375" style="3" customWidth="1"/>
    <col min="11523" max="11523" width="10" style="3" customWidth="1"/>
    <col min="11524" max="11525" width="12.140625" style="3" customWidth="1"/>
    <col min="11526" max="11526" width="16.85546875" style="3" customWidth="1"/>
    <col min="11527" max="11527" width="12.140625" style="3" customWidth="1"/>
    <col min="11528" max="11776" width="9.140625" style="3"/>
    <col min="11777" max="11777" width="5.7109375" style="3" customWidth="1"/>
    <col min="11778" max="11778" width="35.7109375" style="3" customWidth="1"/>
    <col min="11779" max="11779" width="10" style="3" customWidth="1"/>
    <col min="11780" max="11781" width="12.140625" style="3" customWidth="1"/>
    <col min="11782" max="11782" width="16.85546875" style="3" customWidth="1"/>
    <col min="11783" max="11783" width="12.140625" style="3" customWidth="1"/>
    <col min="11784" max="12032" width="9.140625" style="3"/>
    <col min="12033" max="12033" width="5.7109375" style="3" customWidth="1"/>
    <col min="12034" max="12034" width="35.7109375" style="3" customWidth="1"/>
    <col min="12035" max="12035" width="10" style="3" customWidth="1"/>
    <col min="12036" max="12037" width="12.140625" style="3" customWidth="1"/>
    <col min="12038" max="12038" width="16.85546875" style="3" customWidth="1"/>
    <col min="12039" max="12039" width="12.140625" style="3" customWidth="1"/>
    <col min="12040" max="12288" width="9.140625" style="3"/>
    <col min="12289" max="12289" width="5.7109375" style="3" customWidth="1"/>
    <col min="12290" max="12290" width="35.7109375" style="3" customWidth="1"/>
    <col min="12291" max="12291" width="10" style="3" customWidth="1"/>
    <col min="12292" max="12293" width="12.140625" style="3" customWidth="1"/>
    <col min="12294" max="12294" width="16.85546875" style="3" customWidth="1"/>
    <col min="12295" max="12295" width="12.140625" style="3" customWidth="1"/>
    <col min="12296" max="12544" width="9.140625" style="3"/>
    <col min="12545" max="12545" width="5.7109375" style="3" customWidth="1"/>
    <col min="12546" max="12546" width="35.7109375" style="3" customWidth="1"/>
    <col min="12547" max="12547" width="10" style="3" customWidth="1"/>
    <col min="12548" max="12549" width="12.140625" style="3" customWidth="1"/>
    <col min="12550" max="12550" width="16.85546875" style="3" customWidth="1"/>
    <col min="12551" max="12551" width="12.140625" style="3" customWidth="1"/>
    <col min="12552" max="12800" width="9.140625" style="3"/>
    <col min="12801" max="12801" width="5.7109375" style="3" customWidth="1"/>
    <col min="12802" max="12802" width="35.7109375" style="3" customWidth="1"/>
    <col min="12803" max="12803" width="10" style="3" customWidth="1"/>
    <col min="12804" max="12805" width="12.140625" style="3" customWidth="1"/>
    <col min="12806" max="12806" width="16.85546875" style="3" customWidth="1"/>
    <col min="12807" max="12807" width="12.140625" style="3" customWidth="1"/>
    <col min="12808" max="13056" width="9.140625" style="3"/>
    <col min="13057" max="13057" width="5.7109375" style="3" customWidth="1"/>
    <col min="13058" max="13058" width="35.7109375" style="3" customWidth="1"/>
    <col min="13059" max="13059" width="10" style="3" customWidth="1"/>
    <col min="13060" max="13061" width="12.140625" style="3" customWidth="1"/>
    <col min="13062" max="13062" width="16.85546875" style="3" customWidth="1"/>
    <col min="13063" max="13063" width="12.140625" style="3" customWidth="1"/>
    <col min="13064" max="13312" width="9.140625" style="3"/>
    <col min="13313" max="13313" width="5.7109375" style="3" customWidth="1"/>
    <col min="13314" max="13314" width="35.7109375" style="3" customWidth="1"/>
    <col min="13315" max="13315" width="10" style="3" customWidth="1"/>
    <col min="13316" max="13317" width="12.140625" style="3" customWidth="1"/>
    <col min="13318" max="13318" width="16.85546875" style="3" customWidth="1"/>
    <col min="13319" max="13319" width="12.140625" style="3" customWidth="1"/>
    <col min="13320" max="13568" width="9.140625" style="3"/>
    <col min="13569" max="13569" width="5.7109375" style="3" customWidth="1"/>
    <col min="13570" max="13570" width="35.7109375" style="3" customWidth="1"/>
    <col min="13571" max="13571" width="10" style="3" customWidth="1"/>
    <col min="13572" max="13573" width="12.140625" style="3" customWidth="1"/>
    <col min="13574" max="13574" width="16.85546875" style="3" customWidth="1"/>
    <col min="13575" max="13575" width="12.140625" style="3" customWidth="1"/>
    <col min="13576" max="13824" width="9.140625" style="3"/>
    <col min="13825" max="13825" width="5.7109375" style="3" customWidth="1"/>
    <col min="13826" max="13826" width="35.7109375" style="3" customWidth="1"/>
    <col min="13827" max="13827" width="10" style="3" customWidth="1"/>
    <col min="13828" max="13829" width="12.140625" style="3" customWidth="1"/>
    <col min="13830" max="13830" width="16.85546875" style="3" customWidth="1"/>
    <col min="13831" max="13831" width="12.140625" style="3" customWidth="1"/>
    <col min="13832" max="14080" width="9.140625" style="3"/>
    <col min="14081" max="14081" width="5.7109375" style="3" customWidth="1"/>
    <col min="14082" max="14082" width="35.7109375" style="3" customWidth="1"/>
    <col min="14083" max="14083" width="10" style="3" customWidth="1"/>
    <col min="14084" max="14085" width="12.140625" style="3" customWidth="1"/>
    <col min="14086" max="14086" width="16.85546875" style="3" customWidth="1"/>
    <col min="14087" max="14087" width="12.140625" style="3" customWidth="1"/>
    <col min="14088" max="14336" width="9.140625" style="3"/>
    <col min="14337" max="14337" width="5.7109375" style="3" customWidth="1"/>
    <col min="14338" max="14338" width="35.7109375" style="3" customWidth="1"/>
    <col min="14339" max="14339" width="10" style="3" customWidth="1"/>
    <col min="14340" max="14341" width="12.140625" style="3" customWidth="1"/>
    <col min="14342" max="14342" width="16.85546875" style="3" customWidth="1"/>
    <col min="14343" max="14343" width="12.140625" style="3" customWidth="1"/>
    <col min="14344" max="14592" width="9.140625" style="3"/>
    <col min="14593" max="14593" width="5.7109375" style="3" customWidth="1"/>
    <col min="14594" max="14594" width="35.7109375" style="3" customWidth="1"/>
    <col min="14595" max="14595" width="10" style="3" customWidth="1"/>
    <col min="14596" max="14597" width="12.140625" style="3" customWidth="1"/>
    <col min="14598" max="14598" width="16.85546875" style="3" customWidth="1"/>
    <col min="14599" max="14599" width="12.140625" style="3" customWidth="1"/>
    <col min="14600" max="14848" width="9.140625" style="3"/>
    <col min="14849" max="14849" width="5.7109375" style="3" customWidth="1"/>
    <col min="14850" max="14850" width="35.7109375" style="3" customWidth="1"/>
    <col min="14851" max="14851" width="10" style="3" customWidth="1"/>
    <col min="14852" max="14853" width="12.140625" style="3" customWidth="1"/>
    <col min="14854" max="14854" width="16.85546875" style="3" customWidth="1"/>
    <col min="14855" max="14855" width="12.140625" style="3" customWidth="1"/>
    <col min="14856" max="15104" width="9.140625" style="3"/>
    <col min="15105" max="15105" width="5.7109375" style="3" customWidth="1"/>
    <col min="15106" max="15106" width="35.7109375" style="3" customWidth="1"/>
    <col min="15107" max="15107" width="10" style="3" customWidth="1"/>
    <col min="15108" max="15109" width="12.140625" style="3" customWidth="1"/>
    <col min="15110" max="15110" width="16.85546875" style="3" customWidth="1"/>
    <col min="15111" max="15111" width="12.140625" style="3" customWidth="1"/>
    <col min="15112" max="15360" width="9.140625" style="3"/>
    <col min="15361" max="15361" width="5.7109375" style="3" customWidth="1"/>
    <col min="15362" max="15362" width="35.7109375" style="3" customWidth="1"/>
    <col min="15363" max="15363" width="10" style="3" customWidth="1"/>
    <col min="15364" max="15365" width="12.140625" style="3" customWidth="1"/>
    <col min="15366" max="15366" width="16.85546875" style="3" customWidth="1"/>
    <col min="15367" max="15367" width="12.140625" style="3" customWidth="1"/>
    <col min="15368" max="15616" width="9.140625" style="3"/>
    <col min="15617" max="15617" width="5.7109375" style="3" customWidth="1"/>
    <col min="15618" max="15618" width="35.7109375" style="3" customWidth="1"/>
    <col min="15619" max="15619" width="10" style="3" customWidth="1"/>
    <col min="15620" max="15621" width="12.140625" style="3" customWidth="1"/>
    <col min="15622" max="15622" width="16.85546875" style="3" customWidth="1"/>
    <col min="15623" max="15623" width="12.140625" style="3" customWidth="1"/>
    <col min="15624" max="15872" width="9.140625" style="3"/>
    <col min="15873" max="15873" width="5.7109375" style="3" customWidth="1"/>
    <col min="15874" max="15874" width="35.7109375" style="3" customWidth="1"/>
    <col min="15875" max="15875" width="10" style="3" customWidth="1"/>
    <col min="15876" max="15877" width="12.140625" style="3" customWidth="1"/>
    <col min="15878" max="15878" width="16.85546875" style="3" customWidth="1"/>
    <col min="15879" max="15879" width="12.140625" style="3" customWidth="1"/>
    <col min="15880" max="16128" width="9.140625" style="3"/>
    <col min="16129" max="16129" width="5.7109375" style="3" customWidth="1"/>
    <col min="16130" max="16130" width="35.7109375" style="3" customWidth="1"/>
    <col min="16131" max="16131" width="10" style="3" customWidth="1"/>
    <col min="16132" max="16133" width="12.140625" style="3" customWidth="1"/>
    <col min="16134" max="16134" width="16.85546875" style="3" customWidth="1"/>
    <col min="16135" max="16135" width="12.140625" style="3" customWidth="1"/>
    <col min="16136" max="16384" width="9.140625" style="3"/>
  </cols>
  <sheetData>
    <row r="1" spans="1:7" ht="22.5" customHeight="1">
      <c r="A1" s="1"/>
      <c r="B1" s="1"/>
      <c r="C1" s="2"/>
      <c r="D1" s="339" t="s">
        <v>0</v>
      </c>
      <c r="E1" s="339"/>
      <c r="F1" s="339"/>
      <c r="G1" s="339"/>
    </row>
    <row r="2" spans="1:7" ht="27.75" customHeight="1">
      <c r="A2" s="330" t="s">
        <v>1</v>
      </c>
      <c r="B2" s="330"/>
      <c r="C2" s="330"/>
      <c r="D2" s="330"/>
      <c r="E2" s="330"/>
      <c r="F2" s="330"/>
      <c r="G2" s="330"/>
    </row>
    <row r="3" spans="1:7" ht="11.25" customHeight="1">
      <c r="A3" s="1"/>
      <c r="B3" s="1"/>
      <c r="C3" s="1"/>
      <c r="D3" s="1"/>
      <c r="E3" s="1"/>
      <c r="F3" s="1"/>
      <c r="G3" s="1"/>
    </row>
    <row r="4" spans="1:7" ht="24.75" customHeight="1">
      <c r="A4" s="340" t="s">
        <v>2</v>
      </c>
      <c r="B4" s="340"/>
      <c r="C4" s="340"/>
      <c r="D4" s="340"/>
      <c r="E4" s="340"/>
      <c r="F4" s="340"/>
      <c r="G4" s="340"/>
    </row>
    <row r="5" spans="1:7" ht="18.75" customHeight="1">
      <c r="A5" s="321" t="s">
        <v>3</v>
      </c>
      <c r="B5" s="321"/>
      <c r="C5" s="321"/>
      <c r="D5" s="321"/>
      <c r="E5" s="321"/>
      <c r="F5" s="321"/>
      <c r="G5" s="321"/>
    </row>
    <row r="6" spans="1:7" ht="15.75" customHeight="1">
      <c r="A6" s="4" t="s">
        <v>4</v>
      </c>
      <c r="B6" s="5" t="s">
        <v>5</v>
      </c>
      <c r="C6" s="334" t="s">
        <v>6</v>
      </c>
      <c r="D6" s="334"/>
      <c r="E6" s="334"/>
      <c r="F6" s="334"/>
      <c r="G6" s="334"/>
    </row>
    <row r="7" spans="1:7" ht="15.75" customHeight="1">
      <c r="A7" s="1"/>
      <c r="B7" s="6" t="s">
        <v>7</v>
      </c>
      <c r="C7" s="335" t="s">
        <v>8</v>
      </c>
      <c r="D7" s="335"/>
      <c r="E7" s="335"/>
      <c r="F7" s="335"/>
      <c r="G7" s="335"/>
    </row>
    <row r="8" spans="1:7" ht="15.75" customHeight="1">
      <c r="A8" s="7" t="s">
        <v>9</v>
      </c>
      <c r="B8" s="5" t="s">
        <v>10</v>
      </c>
      <c r="C8" s="334" t="s">
        <v>11</v>
      </c>
      <c r="D8" s="334"/>
      <c r="E8" s="334"/>
      <c r="F8" s="334"/>
      <c r="G8" s="334"/>
    </row>
    <row r="9" spans="1:7" ht="15.75" customHeight="1">
      <c r="A9" s="1"/>
      <c r="B9" s="6" t="s">
        <v>12</v>
      </c>
      <c r="C9" s="335" t="s">
        <v>13</v>
      </c>
      <c r="D9" s="335"/>
      <c r="E9" s="335"/>
      <c r="F9" s="335"/>
      <c r="G9" s="335"/>
    </row>
    <row r="10" spans="1:7" ht="15.75" customHeight="1">
      <c r="A10" s="7" t="s">
        <v>14</v>
      </c>
      <c r="B10" s="5" t="s">
        <v>15</v>
      </c>
      <c r="C10" s="334" t="s">
        <v>16</v>
      </c>
      <c r="D10" s="334"/>
      <c r="E10" s="334"/>
      <c r="F10" s="334"/>
      <c r="G10" s="334"/>
    </row>
    <row r="11" spans="1:7" ht="15.75" customHeight="1">
      <c r="A11" s="8"/>
      <c r="B11" s="6" t="s">
        <v>17</v>
      </c>
      <c r="C11" s="335" t="s">
        <v>18</v>
      </c>
      <c r="D11" s="335"/>
      <c r="E11" s="335"/>
      <c r="F11" s="335"/>
      <c r="G11" s="335"/>
    </row>
    <row r="12" spans="1:7" ht="15.75" customHeight="1">
      <c r="A12" s="7" t="s">
        <v>19</v>
      </c>
      <c r="B12" s="5" t="s">
        <v>20</v>
      </c>
      <c r="C12" s="332">
        <v>46115</v>
      </c>
      <c r="D12" s="332"/>
      <c r="E12" s="216"/>
      <c r="F12" s="216"/>
      <c r="G12" s="217"/>
    </row>
    <row r="13" spans="1:7" ht="15.75" customHeight="1">
      <c r="A13" s="1"/>
      <c r="B13" s="6" t="s">
        <v>21</v>
      </c>
      <c r="C13" s="326">
        <f>+C12</f>
        <v>46115</v>
      </c>
      <c r="D13" s="326"/>
      <c r="E13" s="326"/>
      <c r="F13" s="326"/>
      <c r="G13" s="218"/>
    </row>
    <row r="14" spans="1:7" ht="7.5" customHeight="1">
      <c r="A14" s="1"/>
      <c r="B14" s="1"/>
      <c r="C14" s="9"/>
      <c r="D14" s="1"/>
      <c r="E14" s="1"/>
      <c r="F14" s="1"/>
      <c r="G14" s="1"/>
    </row>
    <row r="15" spans="1:7" ht="26.25" customHeight="1">
      <c r="A15" s="336" t="s">
        <v>22</v>
      </c>
      <c r="B15" s="336"/>
      <c r="C15" s="336"/>
      <c r="D15" s="336"/>
      <c r="E15" s="336"/>
      <c r="F15" s="336"/>
      <c r="G15" s="336"/>
    </row>
    <row r="16" spans="1:7" ht="15.75" customHeight="1">
      <c r="A16" s="334" t="s">
        <v>23</v>
      </c>
      <c r="B16" s="334"/>
      <c r="C16" s="334"/>
      <c r="D16" s="334"/>
      <c r="E16" s="334"/>
      <c r="F16" s="334"/>
      <c r="G16" s="334"/>
    </row>
    <row r="17" spans="1:7" ht="15.75" customHeight="1">
      <c r="A17" s="10"/>
      <c r="B17" s="10"/>
      <c r="C17" s="11"/>
      <c r="D17" s="10"/>
      <c r="E17" s="10"/>
      <c r="F17" s="328" t="s">
        <v>24</v>
      </c>
      <c r="G17" s="328"/>
    </row>
    <row r="18" spans="1:7" ht="75" customHeight="1">
      <c r="A18" s="12" t="s">
        <v>25</v>
      </c>
      <c r="B18" s="13" t="s">
        <v>26</v>
      </c>
      <c r="C18" s="13" t="s">
        <v>27</v>
      </c>
      <c r="D18" s="13" t="s">
        <v>28</v>
      </c>
      <c r="E18" s="13" t="s">
        <v>29</v>
      </c>
      <c r="F18" s="13" t="s">
        <v>30</v>
      </c>
      <c r="G18" s="14" t="s">
        <v>31</v>
      </c>
    </row>
    <row r="19" spans="1:7" ht="21">
      <c r="A19" s="15" t="s">
        <v>32</v>
      </c>
      <c r="B19" s="16" t="s">
        <v>33</v>
      </c>
      <c r="C19" s="17"/>
      <c r="D19" s="18">
        <v>0</v>
      </c>
      <c r="E19" s="19">
        <v>0</v>
      </c>
      <c r="F19" s="19">
        <v>0</v>
      </c>
      <c r="G19" s="20">
        <v>0</v>
      </c>
    </row>
    <row r="20" spans="1:7" ht="42">
      <c r="A20" s="15" t="s">
        <v>34</v>
      </c>
      <c r="B20" s="16" t="s">
        <v>35</v>
      </c>
      <c r="C20" s="17" t="s">
        <v>36</v>
      </c>
      <c r="D20" s="18">
        <v>0</v>
      </c>
      <c r="E20" s="19">
        <v>0</v>
      </c>
      <c r="F20" s="19">
        <v>0</v>
      </c>
      <c r="G20" s="20">
        <v>0</v>
      </c>
    </row>
    <row r="21" spans="1:7" ht="16.5" customHeight="1">
      <c r="A21" s="15" t="s">
        <v>4</v>
      </c>
      <c r="B21" s="16" t="s">
        <v>37</v>
      </c>
      <c r="C21" s="17" t="s">
        <v>38</v>
      </c>
      <c r="D21" s="18">
        <v>34642736</v>
      </c>
      <c r="E21" s="19">
        <v>23550</v>
      </c>
      <c r="F21" s="19">
        <v>815836432800</v>
      </c>
      <c r="G21" s="20">
        <v>6.7699999999999996E-2</v>
      </c>
    </row>
    <row r="22" spans="1:7" ht="16.5" customHeight="1">
      <c r="A22" s="15" t="s">
        <v>9</v>
      </c>
      <c r="B22" s="16" t="s">
        <v>39</v>
      </c>
      <c r="C22" s="17" t="s">
        <v>40</v>
      </c>
      <c r="D22" s="18">
        <v>1222300</v>
      </c>
      <c r="E22" s="19">
        <v>129100</v>
      </c>
      <c r="F22" s="19">
        <v>157798930000</v>
      </c>
      <c r="G22" s="20">
        <v>1.3100000000000001E-2</v>
      </c>
    </row>
    <row r="23" spans="1:7" ht="16.5" customHeight="1">
      <c r="A23" s="15" t="s">
        <v>14</v>
      </c>
      <c r="B23" s="16" t="s">
        <v>41</v>
      </c>
      <c r="C23" s="17" t="s">
        <v>42</v>
      </c>
      <c r="D23" s="18">
        <v>2514725</v>
      </c>
      <c r="E23" s="19">
        <v>85400</v>
      </c>
      <c r="F23" s="19">
        <v>214757515000</v>
      </c>
      <c r="G23" s="20">
        <v>1.78E-2</v>
      </c>
    </row>
    <row r="24" spans="1:7" ht="16.5" customHeight="1">
      <c r="A24" s="15" t="s">
        <v>19</v>
      </c>
      <c r="B24" s="16" t="s">
        <v>43</v>
      </c>
      <c r="C24" s="17" t="s">
        <v>44</v>
      </c>
      <c r="D24" s="18">
        <v>7123295</v>
      </c>
      <c r="E24" s="19">
        <v>34600</v>
      </c>
      <c r="F24" s="19">
        <v>246466007000</v>
      </c>
      <c r="G24" s="20">
        <v>2.0400000000000001E-2</v>
      </c>
    </row>
    <row r="25" spans="1:7" ht="16.5" customHeight="1">
      <c r="A25" s="15" t="s">
        <v>45</v>
      </c>
      <c r="B25" s="16" t="s">
        <v>46</v>
      </c>
      <c r="C25" s="17" t="s">
        <v>47</v>
      </c>
      <c r="D25" s="18">
        <v>18414861</v>
      </c>
      <c r="E25" s="19">
        <v>74700</v>
      </c>
      <c r="F25" s="19">
        <v>1375590116700</v>
      </c>
      <c r="G25" s="20">
        <v>0.11409999999999999</v>
      </c>
    </row>
    <row r="26" spans="1:7" ht="16.5" customHeight="1">
      <c r="A26" s="15" t="s">
        <v>48</v>
      </c>
      <c r="B26" s="16" t="s">
        <v>49</v>
      </c>
      <c r="C26" s="17" t="s">
        <v>50</v>
      </c>
      <c r="D26" s="18">
        <v>12396666</v>
      </c>
      <c r="E26" s="19">
        <v>79500</v>
      </c>
      <c r="F26" s="19">
        <v>985534947000</v>
      </c>
      <c r="G26" s="20">
        <v>8.1699999999999995E-2</v>
      </c>
    </row>
    <row r="27" spans="1:7" ht="16.5" customHeight="1">
      <c r="A27" s="15" t="s">
        <v>51</v>
      </c>
      <c r="B27" s="16" t="s">
        <v>52</v>
      </c>
      <c r="C27" s="17" t="s">
        <v>53</v>
      </c>
      <c r="D27" s="18">
        <v>24061535</v>
      </c>
      <c r="E27" s="19">
        <v>25450</v>
      </c>
      <c r="F27" s="19">
        <v>612366065750</v>
      </c>
      <c r="G27" s="20">
        <v>5.0799999999999998E-2</v>
      </c>
    </row>
    <row r="28" spans="1:7" ht="16.5" customHeight="1">
      <c r="A28" s="15" t="s">
        <v>54</v>
      </c>
      <c r="B28" s="16" t="s">
        <v>55</v>
      </c>
      <c r="C28" s="17" t="s">
        <v>56</v>
      </c>
      <c r="D28" s="18">
        <v>7450196</v>
      </c>
      <c r="E28" s="19">
        <v>26000</v>
      </c>
      <c r="F28" s="19">
        <v>193705096000</v>
      </c>
      <c r="G28" s="20">
        <v>1.61E-2</v>
      </c>
    </row>
    <row r="29" spans="1:7" ht="16.5" customHeight="1">
      <c r="A29" s="15" t="s">
        <v>57</v>
      </c>
      <c r="B29" s="16" t="s">
        <v>58</v>
      </c>
      <c r="C29" s="17" t="s">
        <v>59</v>
      </c>
      <c r="D29" s="18">
        <v>31868628</v>
      </c>
      <c r="E29" s="19">
        <v>26450</v>
      </c>
      <c r="F29" s="19">
        <v>842925210600</v>
      </c>
      <c r="G29" s="20">
        <v>6.9900000000000004E-2</v>
      </c>
    </row>
    <row r="30" spans="1:7" ht="16.5" customHeight="1">
      <c r="A30" s="15" t="s">
        <v>60</v>
      </c>
      <c r="B30" s="16" t="s">
        <v>61</v>
      </c>
      <c r="C30" s="17" t="s">
        <v>62</v>
      </c>
      <c r="D30" s="18">
        <v>18099699</v>
      </c>
      <c r="E30" s="19">
        <v>11550</v>
      </c>
      <c r="F30" s="19">
        <v>209051523450</v>
      </c>
      <c r="G30" s="20">
        <v>1.7299999999999999E-2</v>
      </c>
    </row>
    <row r="31" spans="1:7" ht="16.5" customHeight="1">
      <c r="A31" s="15" t="s">
        <v>63</v>
      </c>
      <c r="B31" s="16" t="s">
        <v>64</v>
      </c>
      <c r="C31" s="17" t="s">
        <v>65</v>
      </c>
      <c r="D31" s="18">
        <v>22534400</v>
      </c>
      <c r="E31" s="19">
        <v>81800</v>
      </c>
      <c r="F31" s="19">
        <v>1843313920000</v>
      </c>
      <c r="G31" s="20">
        <v>0.15290000000000001</v>
      </c>
    </row>
    <row r="32" spans="1:7" ht="16.5" customHeight="1">
      <c r="A32" s="15" t="s">
        <v>66</v>
      </c>
      <c r="B32" s="16" t="s">
        <v>67</v>
      </c>
      <c r="C32" s="17" t="s">
        <v>68</v>
      </c>
      <c r="D32" s="18">
        <v>12315930</v>
      </c>
      <c r="E32" s="19">
        <v>29000</v>
      </c>
      <c r="F32" s="19">
        <v>357161970000</v>
      </c>
      <c r="G32" s="20">
        <v>2.9600000000000001E-2</v>
      </c>
    </row>
    <row r="33" spans="1:7" ht="16.5" customHeight="1">
      <c r="A33" s="15" t="s">
        <v>69</v>
      </c>
      <c r="B33" s="16" t="s">
        <v>70</v>
      </c>
      <c r="C33" s="17" t="s">
        <v>71</v>
      </c>
      <c r="D33" s="18">
        <v>3886302</v>
      </c>
      <c r="E33" s="19">
        <v>11150</v>
      </c>
      <c r="F33" s="19">
        <v>43332267300</v>
      </c>
      <c r="G33" s="20">
        <v>3.5999999999999999E-3</v>
      </c>
    </row>
    <row r="34" spans="1:7" ht="16.5" customHeight="1">
      <c r="A34" s="15" t="s">
        <v>72</v>
      </c>
      <c r="B34" s="16" t="s">
        <v>73</v>
      </c>
      <c r="C34" s="17" t="s">
        <v>74</v>
      </c>
      <c r="D34" s="18">
        <v>13909704</v>
      </c>
      <c r="E34" s="19">
        <v>108000</v>
      </c>
      <c r="F34" s="19">
        <v>1502248032000</v>
      </c>
      <c r="G34" s="20">
        <v>0.1246</v>
      </c>
    </row>
    <row r="35" spans="1:7" ht="16.5" customHeight="1">
      <c r="A35" s="15" t="s">
        <v>75</v>
      </c>
      <c r="B35" s="16" t="s">
        <v>76</v>
      </c>
      <c r="C35" s="17" t="s">
        <v>77</v>
      </c>
      <c r="D35" s="18">
        <v>8451766</v>
      </c>
      <c r="E35" s="19">
        <v>68500</v>
      </c>
      <c r="F35" s="19">
        <v>578945971000</v>
      </c>
      <c r="G35" s="20">
        <v>4.8000000000000001E-2</v>
      </c>
    </row>
    <row r="36" spans="1:7" ht="16.5" customHeight="1">
      <c r="A36" s="15" t="s">
        <v>78</v>
      </c>
      <c r="B36" s="16" t="s">
        <v>79</v>
      </c>
      <c r="C36" s="17" t="s">
        <v>80</v>
      </c>
      <c r="D36" s="18">
        <v>31001000</v>
      </c>
      <c r="E36" s="19">
        <v>30700</v>
      </c>
      <c r="F36" s="19">
        <v>951730700000</v>
      </c>
      <c r="G36" s="20">
        <v>7.8899999999999998E-2</v>
      </c>
    </row>
    <row r="37" spans="1:7" ht="16.5" customHeight="1">
      <c r="A37" s="15" t="s">
        <v>81</v>
      </c>
      <c r="B37" s="16" t="s">
        <v>82</v>
      </c>
      <c r="C37" s="17" t="s">
        <v>83</v>
      </c>
      <c r="D37" s="18">
        <v>9348855</v>
      </c>
      <c r="E37" s="19">
        <v>16300</v>
      </c>
      <c r="F37" s="19">
        <v>152386336500</v>
      </c>
      <c r="G37" s="20">
        <v>1.26E-2</v>
      </c>
    </row>
    <row r="38" spans="1:7" ht="16.5" customHeight="1">
      <c r="A38" s="15" t="s">
        <v>84</v>
      </c>
      <c r="B38" s="16" t="s">
        <v>85</v>
      </c>
      <c r="C38" s="17" t="s">
        <v>86</v>
      </c>
      <c r="D38" s="18">
        <v>29027716</v>
      </c>
      <c r="E38" s="19">
        <v>26700</v>
      </c>
      <c r="F38" s="19">
        <v>775040017200</v>
      </c>
      <c r="G38" s="20">
        <v>6.4299999999999996E-2</v>
      </c>
    </row>
    <row r="39" spans="1:7" ht="16.5" customHeight="1">
      <c r="A39" s="15"/>
      <c r="B39" s="16" t="s">
        <v>87</v>
      </c>
      <c r="C39" s="17" t="s">
        <v>88</v>
      </c>
      <c r="D39" s="18"/>
      <c r="E39" s="19">
        <v>0</v>
      </c>
      <c r="F39" s="19">
        <v>11858191058300</v>
      </c>
      <c r="G39" s="20">
        <v>0.98329999999999995</v>
      </c>
    </row>
    <row r="40" spans="1:7" ht="42">
      <c r="A40" s="15" t="s">
        <v>89</v>
      </c>
      <c r="B40" s="16" t="s">
        <v>90</v>
      </c>
      <c r="C40" s="17" t="s">
        <v>91</v>
      </c>
      <c r="D40" s="18">
        <v>0</v>
      </c>
      <c r="E40" s="19">
        <v>0</v>
      </c>
      <c r="F40" s="19">
        <v>0</v>
      </c>
      <c r="G40" s="20">
        <v>0</v>
      </c>
    </row>
    <row r="41" spans="1:7" ht="21">
      <c r="A41" s="15"/>
      <c r="B41" s="16" t="s">
        <v>92</v>
      </c>
      <c r="C41" s="17" t="s">
        <v>93</v>
      </c>
      <c r="D41" s="18">
        <v>0</v>
      </c>
      <c r="E41" s="19">
        <v>0</v>
      </c>
      <c r="F41" s="19">
        <v>0</v>
      </c>
      <c r="G41" s="20">
        <v>0</v>
      </c>
    </row>
    <row r="42" spans="1:7" ht="21">
      <c r="A42" s="15"/>
      <c r="B42" s="16" t="s">
        <v>94</v>
      </c>
      <c r="C42" s="17" t="s">
        <v>95</v>
      </c>
      <c r="D42" s="18"/>
      <c r="E42" s="19">
        <v>0</v>
      </c>
      <c r="F42" s="19">
        <v>11858191058300</v>
      </c>
      <c r="G42" s="20">
        <v>0.98329999999999995</v>
      </c>
    </row>
    <row r="43" spans="1:7" ht="21">
      <c r="A43" s="15" t="s">
        <v>96</v>
      </c>
      <c r="B43" s="16" t="s">
        <v>97</v>
      </c>
      <c r="C43" s="17" t="s">
        <v>98</v>
      </c>
      <c r="D43" s="18">
        <v>0</v>
      </c>
      <c r="E43" s="19">
        <v>0</v>
      </c>
      <c r="F43" s="19">
        <v>0</v>
      </c>
      <c r="G43" s="20">
        <v>0</v>
      </c>
    </row>
    <row r="44" spans="1:7" ht="16.5" customHeight="1">
      <c r="A44" s="15"/>
      <c r="B44" s="16" t="s">
        <v>87</v>
      </c>
      <c r="C44" s="17" t="s">
        <v>99</v>
      </c>
      <c r="D44" s="18">
        <v>0</v>
      </c>
      <c r="E44" s="19">
        <v>0</v>
      </c>
      <c r="F44" s="19">
        <v>0</v>
      </c>
      <c r="G44" s="20">
        <v>0</v>
      </c>
    </row>
    <row r="45" spans="1:7" ht="21">
      <c r="A45" s="15" t="s">
        <v>100</v>
      </c>
      <c r="B45" s="16" t="s">
        <v>101</v>
      </c>
      <c r="C45" s="17" t="s">
        <v>102</v>
      </c>
      <c r="D45" s="18">
        <v>0</v>
      </c>
      <c r="E45" s="19">
        <v>0</v>
      </c>
      <c r="F45" s="19">
        <v>0</v>
      </c>
      <c r="G45" s="20">
        <v>0</v>
      </c>
    </row>
    <row r="46" spans="1:7" ht="21">
      <c r="A46" s="15" t="s">
        <v>4</v>
      </c>
      <c r="B46" s="16" t="s">
        <v>103</v>
      </c>
      <c r="C46" s="17" t="s">
        <v>104</v>
      </c>
      <c r="D46" s="18">
        <v>0</v>
      </c>
      <c r="E46" s="19">
        <v>0</v>
      </c>
      <c r="F46" s="19">
        <v>0</v>
      </c>
      <c r="G46" s="20">
        <v>0</v>
      </c>
    </row>
    <row r="47" spans="1:7" ht="21">
      <c r="A47" s="15" t="s">
        <v>9</v>
      </c>
      <c r="B47" s="16" t="s">
        <v>105</v>
      </c>
      <c r="C47" s="17" t="s">
        <v>106</v>
      </c>
      <c r="D47" s="18">
        <v>0</v>
      </c>
      <c r="E47" s="19">
        <v>0</v>
      </c>
      <c r="F47" s="19">
        <v>0</v>
      </c>
      <c r="G47" s="20">
        <v>0</v>
      </c>
    </row>
    <row r="48" spans="1:7" ht="21">
      <c r="A48" s="15"/>
      <c r="B48" s="16" t="s">
        <v>92</v>
      </c>
      <c r="C48" s="17" t="s">
        <v>107</v>
      </c>
      <c r="D48" s="18">
        <v>0</v>
      </c>
      <c r="E48" s="19">
        <v>0</v>
      </c>
      <c r="F48" s="19">
        <v>0</v>
      </c>
      <c r="G48" s="20">
        <v>0</v>
      </c>
    </row>
    <row r="49" spans="1:7" ht="21">
      <c r="A49" s="15"/>
      <c r="B49" s="16" t="s">
        <v>108</v>
      </c>
      <c r="C49" s="17" t="s">
        <v>109</v>
      </c>
      <c r="D49" s="18"/>
      <c r="E49" s="19">
        <v>0</v>
      </c>
      <c r="F49" s="19">
        <v>11858191058300</v>
      </c>
      <c r="G49" s="20">
        <v>0.98329999999999995</v>
      </c>
    </row>
    <row r="50" spans="1:7" ht="21">
      <c r="A50" s="15" t="s">
        <v>110</v>
      </c>
      <c r="B50" s="16" t="s">
        <v>111</v>
      </c>
      <c r="C50" s="17" t="s">
        <v>112</v>
      </c>
      <c r="D50" s="18">
        <v>0</v>
      </c>
      <c r="E50" s="19">
        <v>0</v>
      </c>
      <c r="F50" s="19">
        <v>0</v>
      </c>
      <c r="G50" s="20">
        <v>0</v>
      </c>
    </row>
    <row r="51" spans="1:7" ht="21">
      <c r="A51" s="15" t="s">
        <v>4</v>
      </c>
      <c r="B51" s="16" t="s">
        <v>113</v>
      </c>
      <c r="C51" s="17" t="s">
        <v>114</v>
      </c>
      <c r="D51" s="18">
        <v>0</v>
      </c>
      <c r="E51" s="19">
        <v>0</v>
      </c>
      <c r="F51" s="19">
        <v>9246566000</v>
      </c>
      <c r="G51" s="20">
        <v>8.0000000000000004E-4</v>
      </c>
    </row>
    <row r="52" spans="1:7" ht="21">
      <c r="A52" s="15" t="s">
        <v>9</v>
      </c>
      <c r="B52" s="16" t="s">
        <v>115</v>
      </c>
      <c r="C52" s="17" t="s">
        <v>116</v>
      </c>
      <c r="D52" s="18">
        <v>0</v>
      </c>
      <c r="E52" s="19">
        <v>0</v>
      </c>
      <c r="F52" s="19">
        <v>0</v>
      </c>
      <c r="G52" s="20">
        <v>0</v>
      </c>
    </row>
    <row r="53" spans="1:7" ht="21">
      <c r="A53" s="15" t="s">
        <v>14</v>
      </c>
      <c r="B53" s="16" t="s">
        <v>117</v>
      </c>
      <c r="C53" s="17" t="s">
        <v>118</v>
      </c>
      <c r="D53" s="18">
        <v>0</v>
      </c>
      <c r="E53" s="19">
        <v>0</v>
      </c>
      <c r="F53" s="19">
        <v>0</v>
      </c>
      <c r="G53" s="20">
        <v>0</v>
      </c>
    </row>
    <row r="54" spans="1:7" ht="31.5">
      <c r="A54" s="15" t="s">
        <v>19</v>
      </c>
      <c r="B54" s="16" t="s">
        <v>119</v>
      </c>
      <c r="C54" s="17" t="s">
        <v>120</v>
      </c>
      <c r="D54" s="18">
        <v>0</v>
      </c>
      <c r="E54" s="19">
        <v>0</v>
      </c>
      <c r="F54" s="19">
        <v>0</v>
      </c>
      <c r="G54" s="20">
        <v>0</v>
      </c>
    </row>
    <row r="55" spans="1:7" ht="31.5">
      <c r="A55" s="15" t="s">
        <v>45</v>
      </c>
      <c r="B55" s="16" t="s">
        <v>121</v>
      </c>
      <c r="C55" s="17" t="s">
        <v>122</v>
      </c>
      <c r="D55" s="18">
        <v>0</v>
      </c>
      <c r="E55" s="19">
        <v>0</v>
      </c>
      <c r="F55" s="19">
        <v>0</v>
      </c>
      <c r="G55" s="20">
        <v>0</v>
      </c>
    </row>
    <row r="56" spans="1:7" ht="21">
      <c r="A56" s="15" t="s">
        <v>48</v>
      </c>
      <c r="B56" s="16" t="s">
        <v>123</v>
      </c>
      <c r="C56" s="17" t="s">
        <v>124</v>
      </c>
      <c r="D56" s="18">
        <v>0</v>
      </c>
      <c r="E56" s="19">
        <v>0</v>
      </c>
      <c r="F56" s="19">
        <v>0</v>
      </c>
      <c r="G56" s="20">
        <v>0</v>
      </c>
    </row>
    <row r="57" spans="1:7" ht="21">
      <c r="A57" s="15" t="s">
        <v>51</v>
      </c>
      <c r="B57" s="16" t="s">
        <v>125</v>
      </c>
      <c r="C57" s="17" t="s">
        <v>126</v>
      </c>
      <c r="D57" s="18">
        <v>0</v>
      </c>
      <c r="E57" s="19">
        <v>0</v>
      </c>
      <c r="F57" s="19">
        <v>0</v>
      </c>
      <c r="G57" s="20">
        <v>0</v>
      </c>
    </row>
    <row r="58" spans="1:7" ht="21">
      <c r="A58" s="15" t="s">
        <v>54</v>
      </c>
      <c r="B58" s="16" t="s">
        <v>127</v>
      </c>
      <c r="C58" s="17" t="s">
        <v>128</v>
      </c>
      <c r="D58" s="18">
        <v>0</v>
      </c>
      <c r="E58" s="19">
        <v>0</v>
      </c>
      <c r="F58" s="19">
        <v>0</v>
      </c>
      <c r="G58" s="20">
        <v>0</v>
      </c>
    </row>
    <row r="59" spans="1:7" ht="21">
      <c r="A59" s="15" t="s">
        <v>57</v>
      </c>
      <c r="B59" s="16" t="s">
        <v>129</v>
      </c>
      <c r="C59" s="17" t="s">
        <v>130</v>
      </c>
      <c r="D59" s="18">
        <v>0</v>
      </c>
      <c r="E59" s="19">
        <v>0</v>
      </c>
      <c r="F59" s="19">
        <v>0</v>
      </c>
      <c r="G59" s="20">
        <v>0</v>
      </c>
    </row>
    <row r="60" spans="1:7" ht="42">
      <c r="A60" s="15" t="s">
        <v>60</v>
      </c>
      <c r="B60" s="16" t="s">
        <v>131</v>
      </c>
      <c r="C60" s="17" t="s">
        <v>132</v>
      </c>
      <c r="D60" s="18">
        <v>0</v>
      </c>
      <c r="E60" s="19">
        <v>0</v>
      </c>
      <c r="F60" s="19">
        <v>0</v>
      </c>
      <c r="G60" s="20">
        <v>0</v>
      </c>
    </row>
    <row r="61" spans="1:7" ht="21">
      <c r="A61" s="15" t="s">
        <v>63</v>
      </c>
      <c r="B61" s="16" t="s">
        <v>133</v>
      </c>
      <c r="C61" s="17" t="s">
        <v>134</v>
      </c>
      <c r="D61" s="18">
        <v>0</v>
      </c>
      <c r="E61" s="19">
        <v>0</v>
      </c>
      <c r="F61" s="19">
        <v>0</v>
      </c>
      <c r="G61" s="20">
        <v>0</v>
      </c>
    </row>
    <row r="62" spans="1:7" ht="21">
      <c r="A62" s="15"/>
      <c r="B62" s="16" t="s">
        <v>92</v>
      </c>
      <c r="C62" s="17" t="s">
        <v>135</v>
      </c>
      <c r="D62" s="18">
        <v>0</v>
      </c>
      <c r="E62" s="19">
        <v>0</v>
      </c>
      <c r="F62" s="19">
        <v>9246566000</v>
      </c>
      <c r="G62" s="20">
        <v>8.0000000000000004E-4</v>
      </c>
    </row>
    <row r="63" spans="1:7" ht="21">
      <c r="A63" s="15" t="s">
        <v>136</v>
      </c>
      <c r="B63" s="16" t="s">
        <v>137</v>
      </c>
      <c r="C63" s="17" t="s">
        <v>138</v>
      </c>
      <c r="D63" s="18">
        <v>0</v>
      </c>
      <c r="E63" s="19">
        <v>0</v>
      </c>
      <c r="F63" s="19">
        <v>0</v>
      </c>
      <c r="G63" s="20">
        <v>0</v>
      </c>
    </row>
    <row r="64" spans="1:7" ht="21">
      <c r="A64" s="15" t="s">
        <v>4</v>
      </c>
      <c r="B64" s="16" t="s">
        <v>139</v>
      </c>
      <c r="C64" s="17" t="s">
        <v>140</v>
      </c>
      <c r="D64" s="18">
        <v>0</v>
      </c>
      <c r="E64" s="19">
        <v>0</v>
      </c>
      <c r="F64" s="19">
        <v>192134439612</v>
      </c>
      <c r="G64" s="20">
        <v>1.5900000000000001E-2</v>
      </c>
    </row>
    <row r="65" spans="1:7" ht="21">
      <c r="A65" s="15"/>
      <c r="B65" s="16" t="s">
        <v>141</v>
      </c>
      <c r="C65" s="17" t="s">
        <v>142</v>
      </c>
      <c r="D65" s="18">
        <v>0</v>
      </c>
      <c r="E65" s="19">
        <v>0</v>
      </c>
      <c r="F65" s="19">
        <v>0</v>
      </c>
      <c r="G65" s="20">
        <v>0</v>
      </c>
    </row>
    <row r="66" spans="1:7" ht="21">
      <c r="A66" s="15"/>
      <c r="B66" s="16" t="s">
        <v>143</v>
      </c>
      <c r="C66" s="17" t="s">
        <v>144</v>
      </c>
      <c r="D66" s="18">
        <v>0</v>
      </c>
      <c r="E66" s="19">
        <v>0</v>
      </c>
      <c r="F66" s="19">
        <v>192134439612</v>
      </c>
      <c r="G66" s="20">
        <v>1.5900000000000001E-2</v>
      </c>
    </row>
    <row r="67" spans="1:7" ht="21">
      <c r="A67" s="15"/>
      <c r="B67" s="16" t="s">
        <v>145</v>
      </c>
      <c r="C67" s="17" t="s">
        <v>146</v>
      </c>
      <c r="D67" s="18">
        <v>0</v>
      </c>
      <c r="E67" s="19">
        <v>0</v>
      </c>
      <c r="F67" s="19">
        <v>0</v>
      </c>
      <c r="G67" s="20">
        <v>0</v>
      </c>
    </row>
    <row r="68" spans="1:7" ht="21">
      <c r="A68" s="15" t="s">
        <v>9</v>
      </c>
      <c r="B68" s="16" t="s">
        <v>147</v>
      </c>
      <c r="C68" s="17" t="s">
        <v>148</v>
      </c>
      <c r="D68" s="18">
        <v>0</v>
      </c>
      <c r="E68" s="19">
        <v>0</v>
      </c>
      <c r="F68" s="19">
        <v>0</v>
      </c>
      <c r="G68" s="20">
        <v>0</v>
      </c>
    </row>
    <row r="69" spans="1:7" ht="21">
      <c r="A69" s="15" t="s">
        <v>14</v>
      </c>
      <c r="B69" s="16" t="s">
        <v>149</v>
      </c>
      <c r="C69" s="17" t="s">
        <v>150</v>
      </c>
      <c r="D69" s="18">
        <v>0</v>
      </c>
      <c r="E69" s="19">
        <v>0</v>
      </c>
      <c r="F69" s="19">
        <v>0</v>
      </c>
      <c r="G69" s="20">
        <v>0</v>
      </c>
    </row>
    <row r="70" spans="1:7" ht="21">
      <c r="A70" s="15" t="s">
        <v>19</v>
      </c>
      <c r="B70" s="16" t="s">
        <v>151</v>
      </c>
      <c r="C70" s="17" t="s">
        <v>152</v>
      </c>
      <c r="D70" s="18">
        <v>0</v>
      </c>
      <c r="E70" s="19">
        <v>0</v>
      </c>
      <c r="F70" s="19">
        <v>0</v>
      </c>
      <c r="G70" s="20">
        <v>0</v>
      </c>
    </row>
    <row r="71" spans="1:7" ht="21">
      <c r="A71" s="15"/>
      <c r="B71" s="16" t="s">
        <v>92</v>
      </c>
      <c r="C71" s="17" t="s">
        <v>153</v>
      </c>
      <c r="D71" s="18">
        <v>0</v>
      </c>
      <c r="E71" s="19">
        <v>0</v>
      </c>
      <c r="F71" s="19">
        <v>192134439612</v>
      </c>
      <c r="G71" s="20">
        <v>1.5900000000000001E-2</v>
      </c>
    </row>
    <row r="72" spans="1:7" ht="21">
      <c r="A72" s="21" t="s">
        <v>154</v>
      </c>
      <c r="B72" s="22" t="s">
        <v>155</v>
      </c>
      <c r="C72" s="23" t="s">
        <v>156</v>
      </c>
      <c r="D72" s="24"/>
      <c r="E72" s="25">
        <v>0</v>
      </c>
      <c r="F72" s="25">
        <v>12059572063912</v>
      </c>
      <c r="G72" s="26">
        <v>1</v>
      </c>
    </row>
    <row r="73" spans="1:7" ht="11.25" customHeight="1">
      <c r="A73" s="1"/>
      <c r="B73" s="1"/>
      <c r="C73" s="1"/>
      <c r="D73" s="1"/>
      <c r="E73" s="1"/>
      <c r="F73" s="1"/>
      <c r="G73" s="1"/>
    </row>
    <row r="74" spans="1:7" ht="15.75" customHeight="1">
      <c r="A74" s="337" t="s">
        <v>157</v>
      </c>
      <c r="B74" s="337"/>
      <c r="C74" s="1"/>
      <c r="D74" s="1"/>
      <c r="E74" s="1"/>
      <c r="F74" s="1"/>
      <c r="G74" s="1"/>
    </row>
    <row r="75" spans="1:7" ht="26.25" customHeight="1">
      <c r="A75" s="338" t="s">
        <v>158</v>
      </c>
      <c r="B75" s="338"/>
      <c r="C75" s="338"/>
      <c r="D75" s="338"/>
      <c r="E75" s="338"/>
      <c r="F75" s="338"/>
      <c r="G75" s="338"/>
    </row>
    <row r="76" spans="1:7" ht="9.75" customHeight="1">
      <c r="A76" s="10"/>
      <c r="B76" s="10"/>
      <c r="C76" s="10"/>
      <c r="D76" s="10"/>
      <c r="E76" s="10"/>
      <c r="F76" s="10"/>
      <c r="G76" s="10"/>
    </row>
    <row r="77" spans="1:7" ht="62.25" customHeight="1">
      <c r="A77" s="27" t="s">
        <v>159</v>
      </c>
      <c r="B77" s="28" t="s">
        <v>160</v>
      </c>
      <c r="C77" s="28" t="s">
        <v>161</v>
      </c>
      <c r="D77" s="28" t="s">
        <v>162</v>
      </c>
      <c r="E77" s="28" t="s">
        <v>163</v>
      </c>
      <c r="F77" s="28" t="s">
        <v>164</v>
      </c>
      <c r="G77" s="29" t="s">
        <v>165</v>
      </c>
    </row>
    <row r="78" spans="1:7" ht="8.25" customHeight="1">
      <c r="A78" s="1"/>
      <c r="B78" s="1"/>
      <c r="C78" s="1"/>
      <c r="D78" s="1"/>
      <c r="E78" s="1"/>
      <c r="F78" s="1"/>
      <c r="G78" s="1"/>
    </row>
    <row r="79" spans="1:7" ht="12.75" customHeight="1">
      <c r="A79" s="333" t="s">
        <v>166</v>
      </c>
      <c r="B79" s="333"/>
      <c r="C79" s="333"/>
      <c r="D79" s="333" t="s">
        <v>167</v>
      </c>
      <c r="E79" s="333"/>
      <c r="F79" s="333"/>
      <c r="G79" s="333"/>
    </row>
    <row r="80" spans="1:7" ht="15.75" customHeight="1">
      <c r="A80" s="321" t="s">
        <v>168</v>
      </c>
      <c r="B80" s="321"/>
      <c r="C80" s="321"/>
      <c r="D80" s="321" t="s">
        <v>169</v>
      </c>
      <c r="E80" s="321"/>
      <c r="F80" s="321"/>
      <c r="G80" s="321"/>
    </row>
    <row r="81" spans="1:7" ht="15" customHeight="1">
      <c r="A81" s="1"/>
      <c r="B81" s="1"/>
      <c r="C81" s="1"/>
      <c r="D81" s="1"/>
      <c r="E81" s="1"/>
      <c r="F81" s="1"/>
      <c r="G81" s="1"/>
    </row>
    <row r="82" spans="1:7" ht="15" customHeight="1">
      <c r="A82" s="1"/>
      <c r="B82" s="1"/>
      <c r="C82" s="1"/>
      <c r="D82" s="1"/>
      <c r="E82" s="1"/>
      <c r="F82" s="1"/>
      <c r="G82" s="1"/>
    </row>
    <row r="83" spans="1:7" ht="15.75" customHeight="1">
      <c r="A83" s="1"/>
      <c r="B83" s="1"/>
      <c r="C83" s="1"/>
      <c r="D83" s="1"/>
      <c r="E83" s="1"/>
      <c r="F83" s="1"/>
      <c r="G83" s="1"/>
    </row>
    <row r="84" spans="1:7" ht="15.75" customHeight="1">
      <c r="A84" s="1"/>
      <c r="B84" s="1"/>
      <c r="C84" s="1"/>
      <c r="D84" s="1"/>
      <c r="E84" s="1"/>
      <c r="F84" s="1"/>
      <c r="G84" s="1"/>
    </row>
    <row r="85" spans="1:7" ht="15.75" customHeight="1">
      <c r="A85" s="1"/>
      <c r="B85" s="1"/>
      <c r="C85" s="1"/>
      <c r="D85" s="1"/>
      <c r="E85" s="1"/>
      <c r="F85" s="1"/>
      <c r="G85" s="1"/>
    </row>
    <row r="86" spans="1:7" ht="15.75" customHeight="1">
      <c r="A86" s="333" t="s">
        <v>170</v>
      </c>
      <c r="B86" s="333"/>
      <c r="C86" s="333"/>
      <c r="D86" s="333" t="s">
        <v>171</v>
      </c>
      <c r="E86" s="333"/>
      <c r="F86" s="333"/>
      <c r="G86" s="333"/>
    </row>
    <row r="87" spans="1:7" ht="15.75" customHeight="1">
      <c r="A87" s="323" t="s">
        <v>174</v>
      </c>
      <c r="B87" s="323"/>
      <c r="C87" s="323"/>
      <c r="D87" s="323" t="s">
        <v>175</v>
      </c>
      <c r="E87" s="323"/>
      <c r="F87" s="323"/>
      <c r="G87" s="323"/>
    </row>
    <row r="88" spans="1:7" ht="15.75" customHeight="1">
      <c r="A88" s="323" t="s">
        <v>172</v>
      </c>
      <c r="B88" s="323"/>
      <c r="C88" s="323"/>
      <c r="D88" s="323" t="s">
        <v>173</v>
      </c>
      <c r="E88" s="323"/>
      <c r="F88" s="323"/>
      <c r="G88" s="323"/>
    </row>
  </sheetData>
  <mergeCells count="27">
    <mergeCell ref="C7:G7"/>
    <mergeCell ref="C12:D12"/>
    <mergeCell ref="C13:F13"/>
    <mergeCell ref="D1:G1"/>
    <mergeCell ref="A2:G2"/>
    <mergeCell ref="A4:G4"/>
    <mergeCell ref="A5:G5"/>
    <mergeCell ref="C6:G6"/>
    <mergeCell ref="A79:C79"/>
    <mergeCell ref="D79:G79"/>
    <mergeCell ref="C8:G8"/>
    <mergeCell ref="C9:G9"/>
    <mergeCell ref="C10:G10"/>
    <mergeCell ref="C11:G11"/>
    <mergeCell ref="A15:G15"/>
    <mergeCell ref="A16:G16"/>
    <mergeCell ref="F17:G17"/>
    <mergeCell ref="A74:B74"/>
    <mergeCell ref="A75:G75"/>
    <mergeCell ref="A88:C88"/>
    <mergeCell ref="D88:G88"/>
    <mergeCell ref="A87:C87"/>
    <mergeCell ref="D87:G87"/>
    <mergeCell ref="A80:C80"/>
    <mergeCell ref="D80:G80"/>
    <mergeCell ref="A86:C86"/>
    <mergeCell ref="D86:G86"/>
  </mergeCells>
  <printOptions horizontalCentered="1"/>
  <pageMargins left="0.78740157480314965" right="0.19685039370078741" top="0.59055118110236227" bottom="0" header="0.51181102362204722" footer="0.51181102362204722"/>
  <pageSetup paperSize="9" scale="88"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G15" sqref="G15"/>
    </sheetView>
  </sheetViews>
  <sheetFormatPr defaultColWidth="9.28515625" defaultRowHeight="10.5"/>
  <cols>
    <col min="1" max="1" width="5.42578125" style="229" customWidth="1"/>
    <col min="2" max="2" width="42.85546875" style="229" customWidth="1"/>
    <col min="3" max="3" width="7.28515625" style="229" customWidth="1"/>
    <col min="4" max="4" width="20.28515625" style="229" customWidth="1"/>
    <col min="5" max="5" width="14.5703125" style="229" customWidth="1"/>
    <col min="6" max="6" width="11.7109375" style="229" customWidth="1"/>
    <col min="7" max="7" width="17.5703125" style="229" customWidth="1"/>
    <col min="8" max="8" width="8.28515625" style="229" customWidth="1"/>
    <col min="9" max="9" width="16.28515625" style="229" customWidth="1"/>
    <col min="10" max="10" width="8.5703125" style="229" customWidth="1"/>
    <col min="11" max="11" width="18.5703125" style="229" customWidth="1"/>
    <col min="12" max="256" width="9.28515625" style="229"/>
    <col min="257" max="257" width="5.42578125" style="229" customWidth="1"/>
    <col min="258" max="258" width="42.85546875" style="229" customWidth="1"/>
    <col min="259" max="259" width="7.28515625" style="229" customWidth="1"/>
    <col min="260" max="260" width="20.28515625" style="229" customWidth="1"/>
    <col min="261" max="261" width="14.5703125" style="229" customWidth="1"/>
    <col min="262" max="262" width="11.7109375" style="229" customWidth="1"/>
    <col min="263" max="263" width="17.5703125" style="229" customWidth="1"/>
    <col min="264" max="264" width="8.28515625" style="229" customWidth="1"/>
    <col min="265" max="265" width="16.28515625" style="229" customWidth="1"/>
    <col min="266" max="266" width="8.5703125" style="229" customWidth="1"/>
    <col min="267" max="267" width="18.5703125" style="229" customWidth="1"/>
    <col min="268" max="512" width="9.28515625" style="229"/>
    <col min="513" max="513" width="5.42578125" style="229" customWidth="1"/>
    <col min="514" max="514" width="42.85546875" style="229" customWidth="1"/>
    <col min="515" max="515" width="7.28515625" style="229" customWidth="1"/>
    <col min="516" max="516" width="20.28515625" style="229" customWidth="1"/>
    <col min="517" max="517" width="14.5703125" style="229" customWidth="1"/>
    <col min="518" max="518" width="11.7109375" style="229" customWidth="1"/>
    <col min="519" max="519" width="17.5703125" style="229" customWidth="1"/>
    <col min="520" max="520" width="8.28515625" style="229" customWidth="1"/>
    <col min="521" max="521" width="16.28515625" style="229" customWidth="1"/>
    <col min="522" max="522" width="8.5703125" style="229" customWidth="1"/>
    <col min="523" max="523" width="18.5703125" style="229" customWidth="1"/>
    <col min="524" max="768" width="9.28515625" style="229"/>
    <col min="769" max="769" width="5.42578125" style="229" customWidth="1"/>
    <col min="770" max="770" width="42.85546875" style="229" customWidth="1"/>
    <col min="771" max="771" width="7.28515625" style="229" customWidth="1"/>
    <col min="772" max="772" width="20.28515625" style="229" customWidth="1"/>
    <col min="773" max="773" width="14.5703125" style="229" customWidth="1"/>
    <col min="774" max="774" width="11.7109375" style="229" customWidth="1"/>
    <col min="775" max="775" width="17.5703125" style="229" customWidth="1"/>
    <col min="776" max="776" width="8.28515625" style="229" customWidth="1"/>
    <col min="777" max="777" width="16.28515625" style="229" customWidth="1"/>
    <col min="778" max="778" width="8.5703125" style="229" customWidth="1"/>
    <col min="779" max="779" width="18.5703125" style="229" customWidth="1"/>
    <col min="780" max="1024" width="9.28515625" style="229"/>
    <col min="1025" max="1025" width="5.42578125" style="229" customWidth="1"/>
    <col min="1026" max="1026" width="42.85546875" style="229" customWidth="1"/>
    <col min="1027" max="1027" width="7.28515625" style="229" customWidth="1"/>
    <col min="1028" max="1028" width="20.28515625" style="229" customWidth="1"/>
    <col min="1029" max="1029" width="14.5703125" style="229" customWidth="1"/>
    <col min="1030" max="1030" width="11.7109375" style="229" customWidth="1"/>
    <col min="1031" max="1031" width="17.5703125" style="229" customWidth="1"/>
    <col min="1032" max="1032" width="8.28515625" style="229" customWidth="1"/>
    <col min="1033" max="1033" width="16.28515625" style="229" customWidth="1"/>
    <col min="1034" max="1034" width="8.5703125" style="229" customWidth="1"/>
    <col min="1035" max="1035" width="18.5703125" style="229" customWidth="1"/>
    <col min="1036" max="1280" width="9.28515625" style="229"/>
    <col min="1281" max="1281" width="5.42578125" style="229" customWidth="1"/>
    <col min="1282" max="1282" width="42.85546875" style="229" customWidth="1"/>
    <col min="1283" max="1283" width="7.28515625" style="229" customWidth="1"/>
    <col min="1284" max="1284" width="20.28515625" style="229" customWidth="1"/>
    <col min="1285" max="1285" width="14.5703125" style="229" customWidth="1"/>
    <col min="1286" max="1286" width="11.7109375" style="229" customWidth="1"/>
    <col min="1287" max="1287" width="17.5703125" style="229" customWidth="1"/>
    <col min="1288" max="1288" width="8.28515625" style="229" customWidth="1"/>
    <col min="1289" max="1289" width="16.28515625" style="229" customWidth="1"/>
    <col min="1290" max="1290" width="8.5703125" style="229" customWidth="1"/>
    <col min="1291" max="1291" width="18.5703125" style="229" customWidth="1"/>
    <col min="1292" max="1536" width="9.28515625" style="229"/>
    <col min="1537" max="1537" width="5.42578125" style="229" customWidth="1"/>
    <col min="1538" max="1538" width="42.85546875" style="229" customWidth="1"/>
    <col min="1539" max="1539" width="7.28515625" style="229" customWidth="1"/>
    <col min="1540" max="1540" width="20.28515625" style="229" customWidth="1"/>
    <col min="1541" max="1541" width="14.5703125" style="229" customWidth="1"/>
    <col min="1542" max="1542" width="11.7109375" style="229" customWidth="1"/>
    <col min="1543" max="1543" width="17.5703125" style="229" customWidth="1"/>
    <col min="1544" max="1544" width="8.28515625" style="229" customWidth="1"/>
    <col min="1545" max="1545" width="16.28515625" style="229" customWidth="1"/>
    <col min="1546" max="1546" width="8.5703125" style="229" customWidth="1"/>
    <col min="1547" max="1547" width="18.5703125" style="229" customWidth="1"/>
    <col min="1548" max="1792" width="9.28515625" style="229"/>
    <col min="1793" max="1793" width="5.42578125" style="229" customWidth="1"/>
    <col min="1794" max="1794" width="42.85546875" style="229" customWidth="1"/>
    <col min="1795" max="1795" width="7.28515625" style="229" customWidth="1"/>
    <col min="1796" max="1796" width="20.28515625" style="229" customWidth="1"/>
    <col min="1797" max="1797" width="14.5703125" style="229" customWidth="1"/>
    <col min="1798" max="1798" width="11.7109375" style="229" customWidth="1"/>
    <col min="1799" max="1799" width="17.5703125" style="229" customWidth="1"/>
    <col min="1800" max="1800" width="8.28515625" style="229" customWidth="1"/>
    <col min="1801" max="1801" width="16.28515625" style="229" customWidth="1"/>
    <col min="1802" max="1802" width="8.5703125" style="229" customWidth="1"/>
    <col min="1803" max="1803" width="18.5703125" style="229" customWidth="1"/>
    <col min="1804" max="2048" width="9.28515625" style="229"/>
    <col min="2049" max="2049" width="5.42578125" style="229" customWidth="1"/>
    <col min="2050" max="2050" width="42.85546875" style="229" customWidth="1"/>
    <col min="2051" max="2051" width="7.28515625" style="229" customWidth="1"/>
    <col min="2052" max="2052" width="20.28515625" style="229" customWidth="1"/>
    <col min="2053" max="2053" width="14.5703125" style="229" customWidth="1"/>
    <col min="2054" max="2054" width="11.7109375" style="229" customWidth="1"/>
    <col min="2055" max="2055" width="17.5703125" style="229" customWidth="1"/>
    <col min="2056" max="2056" width="8.28515625" style="229" customWidth="1"/>
    <col min="2057" max="2057" width="16.28515625" style="229" customWidth="1"/>
    <col min="2058" max="2058" width="8.5703125" style="229" customWidth="1"/>
    <col min="2059" max="2059" width="18.5703125" style="229" customWidth="1"/>
    <col min="2060" max="2304" width="9.28515625" style="229"/>
    <col min="2305" max="2305" width="5.42578125" style="229" customWidth="1"/>
    <col min="2306" max="2306" width="42.85546875" style="229" customWidth="1"/>
    <col min="2307" max="2307" width="7.28515625" style="229" customWidth="1"/>
    <col min="2308" max="2308" width="20.28515625" style="229" customWidth="1"/>
    <col min="2309" max="2309" width="14.5703125" style="229" customWidth="1"/>
    <col min="2310" max="2310" width="11.7109375" style="229" customWidth="1"/>
    <col min="2311" max="2311" width="17.5703125" style="229" customWidth="1"/>
    <col min="2312" max="2312" width="8.28515625" style="229" customWidth="1"/>
    <col min="2313" max="2313" width="16.28515625" style="229" customWidth="1"/>
    <col min="2314" max="2314" width="8.5703125" style="229" customWidth="1"/>
    <col min="2315" max="2315" width="18.5703125" style="229" customWidth="1"/>
    <col min="2316" max="2560" width="9.28515625" style="229"/>
    <col min="2561" max="2561" width="5.42578125" style="229" customWidth="1"/>
    <col min="2562" max="2562" width="42.85546875" style="229" customWidth="1"/>
    <col min="2563" max="2563" width="7.28515625" style="229" customWidth="1"/>
    <col min="2564" max="2564" width="20.28515625" style="229" customWidth="1"/>
    <col min="2565" max="2565" width="14.5703125" style="229" customWidth="1"/>
    <col min="2566" max="2566" width="11.7109375" style="229" customWidth="1"/>
    <col min="2567" max="2567" width="17.5703125" style="229" customWidth="1"/>
    <col min="2568" max="2568" width="8.28515625" style="229" customWidth="1"/>
    <col min="2569" max="2569" width="16.28515625" style="229" customWidth="1"/>
    <col min="2570" max="2570" width="8.5703125" style="229" customWidth="1"/>
    <col min="2571" max="2571" width="18.5703125" style="229" customWidth="1"/>
    <col min="2572" max="2816" width="9.28515625" style="229"/>
    <col min="2817" max="2817" width="5.42578125" style="229" customWidth="1"/>
    <col min="2818" max="2818" width="42.85546875" style="229" customWidth="1"/>
    <col min="2819" max="2819" width="7.28515625" style="229" customWidth="1"/>
    <col min="2820" max="2820" width="20.28515625" style="229" customWidth="1"/>
    <col min="2821" max="2821" width="14.5703125" style="229" customWidth="1"/>
    <col min="2822" max="2822" width="11.7109375" style="229" customWidth="1"/>
    <col min="2823" max="2823" width="17.5703125" style="229" customWidth="1"/>
    <col min="2824" max="2824" width="8.28515625" style="229" customWidth="1"/>
    <col min="2825" max="2825" width="16.28515625" style="229" customWidth="1"/>
    <col min="2826" max="2826" width="8.5703125" style="229" customWidth="1"/>
    <col min="2827" max="2827" width="18.5703125" style="229" customWidth="1"/>
    <col min="2828" max="3072" width="9.28515625" style="229"/>
    <col min="3073" max="3073" width="5.42578125" style="229" customWidth="1"/>
    <col min="3074" max="3074" width="42.85546875" style="229" customWidth="1"/>
    <col min="3075" max="3075" width="7.28515625" style="229" customWidth="1"/>
    <col min="3076" max="3076" width="20.28515625" style="229" customWidth="1"/>
    <col min="3077" max="3077" width="14.5703125" style="229" customWidth="1"/>
    <col min="3078" max="3078" width="11.7109375" style="229" customWidth="1"/>
    <col min="3079" max="3079" width="17.5703125" style="229" customWidth="1"/>
    <col min="3080" max="3080" width="8.28515625" style="229" customWidth="1"/>
    <col min="3081" max="3081" width="16.28515625" style="229" customWidth="1"/>
    <col min="3082" max="3082" width="8.5703125" style="229" customWidth="1"/>
    <col min="3083" max="3083" width="18.5703125" style="229" customWidth="1"/>
    <col min="3084" max="3328" width="9.28515625" style="229"/>
    <col min="3329" max="3329" width="5.42578125" style="229" customWidth="1"/>
    <col min="3330" max="3330" width="42.85546875" style="229" customWidth="1"/>
    <col min="3331" max="3331" width="7.28515625" style="229" customWidth="1"/>
    <col min="3332" max="3332" width="20.28515625" style="229" customWidth="1"/>
    <col min="3333" max="3333" width="14.5703125" style="229" customWidth="1"/>
    <col min="3334" max="3334" width="11.7109375" style="229" customWidth="1"/>
    <col min="3335" max="3335" width="17.5703125" style="229" customWidth="1"/>
    <col min="3336" max="3336" width="8.28515625" style="229" customWidth="1"/>
    <col min="3337" max="3337" width="16.28515625" style="229" customWidth="1"/>
    <col min="3338" max="3338" width="8.5703125" style="229" customWidth="1"/>
    <col min="3339" max="3339" width="18.5703125" style="229" customWidth="1"/>
    <col min="3340" max="3584" width="9.28515625" style="229"/>
    <col min="3585" max="3585" width="5.42578125" style="229" customWidth="1"/>
    <col min="3586" max="3586" width="42.85546875" style="229" customWidth="1"/>
    <col min="3587" max="3587" width="7.28515625" style="229" customWidth="1"/>
    <col min="3588" max="3588" width="20.28515625" style="229" customWidth="1"/>
    <col min="3589" max="3589" width="14.5703125" style="229" customWidth="1"/>
    <col min="3590" max="3590" width="11.7109375" style="229" customWidth="1"/>
    <col min="3591" max="3591" width="17.5703125" style="229" customWidth="1"/>
    <col min="3592" max="3592" width="8.28515625" style="229" customWidth="1"/>
    <col min="3593" max="3593" width="16.28515625" style="229" customWidth="1"/>
    <col min="3594" max="3594" width="8.5703125" style="229" customWidth="1"/>
    <col min="3595" max="3595" width="18.5703125" style="229" customWidth="1"/>
    <col min="3596" max="3840" width="9.28515625" style="229"/>
    <col min="3841" max="3841" width="5.42578125" style="229" customWidth="1"/>
    <col min="3842" max="3842" width="42.85546875" style="229" customWidth="1"/>
    <col min="3843" max="3843" width="7.28515625" style="229" customWidth="1"/>
    <col min="3844" max="3844" width="20.28515625" style="229" customWidth="1"/>
    <col min="3845" max="3845" width="14.5703125" style="229" customWidth="1"/>
    <col min="3846" max="3846" width="11.7109375" style="229" customWidth="1"/>
    <col min="3847" max="3847" width="17.5703125" style="229" customWidth="1"/>
    <col min="3848" max="3848" width="8.28515625" style="229" customWidth="1"/>
    <col min="3849" max="3849" width="16.28515625" style="229" customWidth="1"/>
    <col min="3850" max="3850" width="8.5703125" style="229" customWidth="1"/>
    <col min="3851" max="3851" width="18.5703125" style="229" customWidth="1"/>
    <col min="3852" max="4096" width="9.28515625" style="229"/>
    <col min="4097" max="4097" width="5.42578125" style="229" customWidth="1"/>
    <col min="4098" max="4098" width="42.85546875" style="229" customWidth="1"/>
    <col min="4099" max="4099" width="7.28515625" style="229" customWidth="1"/>
    <col min="4100" max="4100" width="20.28515625" style="229" customWidth="1"/>
    <col min="4101" max="4101" width="14.5703125" style="229" customWidth="1"/>
    <col min="4102" max="4102" width="11.7109375" style="229" customWidth="1"/>
    <col min="4103" max="4103" width="17.5703125" style="229" customWidth="1"/>
    <col min="4104" max="4104" width="8.28515625" style="229" customWidth="1"/>
    <col min="4105" max="4105" width="16.28515625" style="229" customWidth="1"/>
    <col min="4106" max="4106" width="8.5703125" style="229" customWidth="1"/>
    <col min="4107" max="4107" width="18.5703125" style="229" customWidth="1"/>
    <col min="4108" max="4352" width="9.28515625" style="229"/>
    <col min="4353" max="4353" width="5.42578125" style="229" customWidth="1"/>
    <col min="4354" max="4354" width="42.85546875" style="229" customWidth="1"/>
    <col min="4355" max="4355" width="7.28515625" style="229" customWidth="1"/>
    <col min="4356" max="4356" width="20.28515625" style="229" customWidth="1"/>
    <col min="4357" max="4357" width="14.5703125" style="229" customWidth="1"/>
    <col min="4358" max="4358" width="11.7109375" style="229" customWidth="1"/>
    <col min="4359" max="4359" width="17.5703125" style="229" customWidth="1"/>
    <col min="4360" max="4360" width="8.28515625" style="229" customWidth="1"/>
    <col min="4361" max="4361" width="16.28515625" style="229" customWidth="1"/>
    <col min="4362" max="4362" width="8.5703125" style="229" customWidth="1"/>
    <col min="4363" max="4363" width="18.5703125" style="229" customWidth="1"/>
    <col min="4364" max="4608" width="9.28515625" style="229"/>
    <col min="4609" max="4609" width="5.42578125" style="229" customWidth="1"/>
    <col min="4610" max="4610" width="42.85546875" style="229" customWidth="1"/>
    <col min="4611" max="4611" width="7.28515625" style="229" customWidth="1"/>
    <col min="4612" max="4612" width="20.28515625" style="229" customWidth="1"/>
    <col min="4613" max="4613" width="14.5703125" style="229" customWidth="1"/>
    <col min="4614" max="4614" width="11.7109375" style="229" customWidth="1"/>
    <col min="4615" max="4615" width="17.5703125" style="229" customWidth="1"/>
    <col min="4616" max="4616" width="8.28515625" style="229" customWidth="1"/>
    <col min="4617" max="4617" width="16.28515625" style="229" customWidth="1"/>
    <col min="4618" max="4618" width="8.5703125" style="229" customWidth="1"/>
    <col min="4619" max="4619" width="18.5703125" style="229" customWidth="1"/>
    <col min="4620" max="4864" width="9.28515625" style="229"/>
    <col min="4865" max="4865" width="5.42578125" style="229" customWidth="1"/>
    <col min="4866" max="4866" width="42.85546875" style="229" customWidth="1"/>
    <col min="4867" max="4867" width="7.28515625" style="229" customWidth="1"/>
    <col min="4868" max="4868" width="20.28515625" style="229" customWidth="1"/>
    <col min="4869" max="4869" width="14.5703125" style="229" customWidth="1"/>
    <col min="4870" max="4870" width="11.7109375" style="229" customWidth="1"/>
    <col min="4871" max="4871" width="17.5703125" style="229" customWidth="1"/>
    <col min="4872" max="4872" width="8.28515625" style="229" customWidth="1"/>
    <col min="4873" max="4873" width="16.28515625" style="229" customWidth="1"/>
    <col min="4874" max="4874" width="8.5703125" style="229" customWidth="1"/>
    <col min="4875" max="4875" width="18.5703125" style="229" customWidth="1"/>
    <col min="4876" max="5120" width="9.28515625" style="229"/>
    <col min="5121" max="5121" width="5.42578125" style="229" customWidth="1"/>
    <col min="5122" max="5122" width="42.85546875" style="229" customWidth="1"/>
    <col min="5123" max="5123" width="7.28515625" style="229" customWidth="1"/>
    <col min="5124" max="5124" width="20.28515625" style="229" customWidth="1"/>
    <col min="5125" max="5125" width="14.5703125" style="229" customWidth="1"/>
    <col min="5126" max="5126" width="11.7109375" style="229" customWidth="1"/>
    <col min="5127" max="5127" width="17.5703125" style="229" customWidth="1"/>
    <col min="5128" max="5128" width="8.28515625" style="229" customWidth="1"/>
    <col min="5129" max="5129" width="16.28515625" style="229" customWidth="1"/>
    <col min="5130" max="5130" width="8.5703125" style="229" customWidth="1"/>
    <col min="5131" max="5131" width="18.5703125" style="229" customWidth="1"/>
    <col min="5132" max="5376" width="9.28515625" style="229"/>
    <col min="5377" max="5377" width="5.42578125" style="229" customWidth="1"/>
    <col min="5378" max="5378" width="42.85546875" style="229" customWidth="1"/>
    <col min="5379" max="5379" width="7.28515625" style="229" customWidth="1"/>
    <col min="5380" max="5380" width="20.28515625" style="229" customWidth="1"/>
    <col min="5381" max="5381" width="14.5703125" style="229" customWidth="1"/>
    <col min="5382" max="5382" width="11.7109375" style="229" customWidth="1"/>
    <col min="5383" max="5383" width="17.5703125" style="229" customWidth="1"/>
    <col min="5384" max="5384" width="8.28515625" style="229" customWidth="1"/>
    <col min="5385" max="5385" width="16.28515625" style="229" customWidth="1"/>
    <col min="5386" max="5386" width="8.5703125" style="229" customWidth="1"/>
    <col min="5387" max="5387" width="18.5703125" style="229" customWidth="1"/>
    <col min="5388" max="5632" width="9.28515625" style="229"/>
    <col min="5633" max="5633" width="5.42578125" style="229" customWidth="1"/>
    <col min="5634" max="5634" width="42.85546875" style="229" customWidth="1"/>
    <col min="5635" max="5635" width="7.28515625" style="229" customWidth="1"/>
    <col min="5636" max="5636" width="20.28515625" style="229" customWidth="1"/>
    <col min="5637" max="5637" width="14.5703125" style="229" customWidth="1"/>
    <col min="5638" max="5638" width="11.7109375" style="229" customWidth="1"/>
    <col min="5639" max="5639" width="17.5703125" style="229" customWidth="1"/>
    <col min="5640" max="5640" width="8.28515625" style="229" customWidth="1"/>
    <col min="5641" max="5641" width="16.28515625" style="229" customWidth="1"/>
    <col min="5642" max="5642" width="8.5703125" style="229" customWidth="1"/>
    <col min="5643" max="5643" width="18.5703125" style="229" customWidth="1"/>
    <col min="5644" max="5888" width="9.28515625" style="229"/>
    <col min="5889" max="5889" width="5.42578125" style="229" customWidth="1"/>
    <col min="5890" max="5890" width="42.85546875" style="229" customWidth="1"/>
    <col min="5891" max="5891" width="7.28515625" style="229" customWidth="1"/>
    <col min="5892" max="5892" width="20.28515625" style="229" customWidth="1"/>
    <col min="5893" max="5893" width="14.5703125" style="229" customWidth="1"/>
    <col min="5894" max="5894" width="11.7109375" style="229" customWidth="1"/>
    <col min="5895" max="5895" width="17.5703125" style="229" customWidth="1"/>
    <col min="5896" max="5896" width="8.28515625" style="229" customWidth="1"/>
    <col min="5897" max="5897" width="16.28515625" style="229" customWidth="1"/>
    <col min="5898" max="5898" width="8.5703125" style="229" customWidth="1"/>
    <col min="5899" max="5899" width="18.5703125" style="229" customWidth="1"/>
    <col min="5900" max="6144" width="9.28515625" style="229"/>
    <col min="6145" max="6145" width="5.42578125" style="229" customWidth="1"/>
    <col min="6146" max="6146" width="42.85546875" style="229" customWidth="1"/>
    <col min="6147" max="6147" width="7.28515625" style="229" customWidth="1"/>
    <col min="6148" max="6148" width="20.28515625" style="229" customWidth="1"/>
    <col min="6149" max="6149" width="14.5703125" style="229" customWidth="1"/>
    <col min="6150" max="6150" width="11.7109375" style="229" customWidth="1"/>
    <col min="6151" max="6151" width="17.5703125" style="229" customWidth="1"/>
    <col min="6152" max="6152" width="8.28515625" style="229" customWidth="1"/>
    <col min="6153" max="6153" width="16.28515625" style="229" customWidth="1"/>
    <col min="6154" max="6154" width="8.5703125" style="229" customWidth="1"/>
    <col min="6155" max="6155" width="18.5703125" style="229" customWidth="1"/>
    <col min="6156" max="6400" width="9.28515625" style="229"/>
    <col min="6401" max="6401" width="5.42578125" style="229" customWidth="1"/>
    <col min="6402" max="6402" width="42.85546875" style="229" customWidth="1"/>
    <col min="6403" max="6403" width="7.28515625" style="229" customWidth="1"/>
    <col min="6404" max="6404" width="20.28515625" style="229" customWidth="1"/>
    <col min="6405" max="6405" width="14.5703125" style="229" customWidth="1"/>
    <col min="6406" max="6406" width="11.7109375" style="229" customWidth="1"/>
    <col min="6407" max="6407" width="17.5703125" style="229" customWidth="1"/>
    <col min="6408" max="6408" width="8.28515625" style="229" customWidth="1"/>
    <col min="6409" max="6409" width="16.28515625" style="229" customWidth="1"/>
    <col min="6410" max="6410" width="8.5703125" style="229" customWidth="1"/>
    <col min="6411" max="6411" width="18.5703125" style="229" customWidth="1"/>
    <col min="6412" max="6656" width="9.28515625" style="229"/>
    <col min="6657" max="6657" width="5.42578125" style="229" customWidth="1"/>
    <col min="6658" max="6658" width="42.85546875" style="229" customWidth="1"/>
    <col min="6659" max="6659" width="7.28515625" style="229" customWidth="1"/>
    <col min="6660" max="6660" width="20.28515625" style="229" customWidth="1"/>
    <col min="6661" max="6661" width="14.5703125" style="229" customWidth="1"/>
    <col min="6662" max="6662" width="11.7109375" style="229" customWidth="1"/>
    <col min="6663" max="6663" width="17.5703125" style="229" customWidth="1"/>
    <col min="6664" max="6664" width="8.28515625" style="229" customWidth="1"/>
    <col min="6665" max="6665" width="16.28515625" style="229" customWidth="1"/>
    <col min="6666" max="6666" width="8.5703125" style="229" customWidth="1"/>
    <col min="6667" max="6667" width="18.5703125" style="229" customWidth="1"/>
    <col min="6668" max="6912" width="9.28515625" style="229"/>
    <col min="6913" max="6913" width="5.42578125" style="229" customWidth="1"/>
    <col min="6914" max="6914" width="42.85546875" style="229" customWidth="1"/>
    <col min="6915" max="6915" width="7.28515625" style="229" customWidth="1"/>
    <col min="6916" max="6916" width="20.28515625" style="229" customWidth="1"/>
    <col min="6917" max="6917" width="14.5703125" style="229" customWidth="1"/>
    <col min="6918" max="6918" width="11.7109375" style="229" customWidth="1"/>
    <col min="6919" max="6919" width="17.5703125" style="229" customWidth="1"/>
    <col min="6920" max="6920" width="8.28515625" style="229" customWidth="1"/>
    <col min="6921" max="6921" width="16.28515625" style="229" customWidth="1"/>
    <col min="6922" max="6922" width="8.5703125" style="229" customWidth="1"/>
    <col min="6923" max="6923" width="18.5703125" style="229" customWidth="1"/>
    <col min="6924" max="7168" width="9.28515625" style="229"/>
    <col min="7169" max="7169" width="5.42578125" style="229" customWidth="1"/>
    <col min="7170" max="7170" width="42.85546875" style="229" customWidth="1"/>
    <col min="7171" max="7171" width="7.28515625" style="229" customWidth="1"/>
    <col min="7172" max="7172" width="20.28515625" style="229" customWidth="1"/>
    <col min="7173" max="7173" width="14.5703125" style="229" customWidth="1"/>
    <col min="7174" max="7174" width="11.7109375" style="229" customWidth="1"/>
    <col min="7175" max="7175" width="17.5703125" style="229" customWidth="1"/>
    <col min="7176" max="7176" width="8.28515625" style="229" customWidth="1"/>
    <col min="7177" max="7177" width="16.28515625" style="229" customWidth="1"/>
    <col min="7178" max="7178" width="8.5703125" style="229" customWidth="1"/>
    <col min="7179" max="7179" width="18.5703125" style="229" customWidth="1"/>
    <col min="7180" max="7424" width="9.28515625" style="229"/>
    <col min="7425" max="7425" width="5.42578125" style="229" customWidth="1"/>
    <col min="7426" max="7426" width="42.85546875" style="229" customWidth="1"/>
    <col min="7427" max="7427" width="7.28515625" style="229" customWidth="1"/>
    <col min="7428" max="7428" width="20.28515625" style="229" customWidth="1"/>
    <col min="7429" max="7429" width="14.5703125" style="229" customWidth="1"/>
    <col min="7430" max="7430" width="11.7109375" style="229" customWidth="1"/>
    <col min="7431" max="7431" width="17.5703125" style="229" customWidth="1"/>
    <col min="7432" max="7432" width="8.28515625" style="229" customWidth="1"/>
    <col min="7433" max="7433" width="16.28515625" style="229" customWidth="1"/>
    <col min="7434" max="7434" width="8.5703125" style="229" customWidth="1"/>
    <col min="7435" max="7435" width="18.5703125" style="229" customWidth="1"/>
    <col min="7436" max="7680" width="9.28515625" style="229"/>
    <col min="7681" max="7681" width="5.42578125" style="229" customWidth="1"/>
    <col min="7682" max="7682" width="42.85546875" style="229" customWidth="1"/>
    <col min="7683" max="7683" width="7.28515625" style="229" customWidth="1"/>
    <col min="7684" max="7684" width="20.28515625" style="229" customWidth="1"/>
    <col min="7685" max="7685" width="14.5703125" style="229" customWidth="1"/>
    <col min="7686" max="7686" width="11.7109375" style="229" customWidth="1"/>
    <col min="7687" max="7687" width="17.5703125" style="229" customWidth="1"/>
    <col min="7688" max="7688" width="8.28515625" style="229" customWidth="1"/>
    <col min="7689" max="7689" width="16.28515625" style="229" customWidth="1"/>
    <col min="7690" max="7690" width="8.5703125" style="229" customWidth="1"/>
    <col min="7691" max="7691" width="18.5703125" style="229" customWidth="1"/>
    <col min="7692" max="7936" width="9.28515625" style="229"/>
    <col min="7937" max="7937" width="5.42578125" style="229" customWidth="1"/>
    <col min="7938" max="7938" width="42.85546875" style="229" customWidth="1"/>
    <col min="7939" max="7939" width="7.28515625" style="229" customWidth="1"/>
    <col min="7940" max="7940" width="20.28515625" style="229" customWidth="1"/>
    <col min="7941" max="7941" width="14.5703125" style="229" customWidth="1"/>
    <col min="7942" max="7942" width="11.7109375" style="229" customWidth="1"/>
    <col min="7943" max="7943" width="17.5703125" style="229" customWidth="1"/>
    <col min="7944" max="7944" width="8.28515625" style="229" customWidth="1"/>
    <col min="7945" max="7945" width="16.28515625" style="229" customWidth="1"/>
    <col min="7946" max="7946" width="8.5703125" style="229" customWidth="1"/>
    <col min="7947" max="7947" width="18.5703125" style="229" customWidth="1"/>
    <col min="7948" max="8192" width="9.28515625" style="229"/>
    <col min="8193" max="8193" width="5.42578125" style="229" customWidth="1"/>
    <col min="8194" max="8194" width="42.85546875" style="229" customWidth="1"/>
    <col min="8195" max="8195" width="7.28515625" style="229" customWidth="1"/>
    <col min="8196" max="8196" width="20.28515625" style="229" customWidth="1"/>
    <col min="8197" max="8197" width="14.5703125" style="229" customWidth="1"/>
    <col min="8198" max="8198" width="11.7109375" style="229" customWidth="1"/>
    <col min="8199" max="8199" width="17.5703125" style="229" customWidth="1"/>
    <col min="8200" max="8200" width="8.28515625" style="229" customWidth="1"/>
    <col min="8201" max="8201" width="16.28515625" style="229" customWidth="1"/>
    <col min="8202" max="8202" width="8.5703125" style="229" customWidth="1"/>
    <col min="8203" max="8203" width="18.5703125" style="229" customWidth="1"/>
    <col min="8204" max="8448" width="9.28515625" style="229"/>
    <col min="8449" max="8449" width="5.42578125" style="229" customWidth="1"/>
    <col min="8450" max="8450" width="42.85546875" style="229" customWidth="1"/>
    <col min="8451" max="8451" width="7.28515625" style="229" customWidth="1"/>
    <col min="8452" max="8452" width="20.28515625" style="229" customWidth="1"/>
    <col min="8453" max="8453" width="14.5703125" style="229" customWidth="1"/>
    <col min="8454" max="8454" width="11.7109375" style="229" customWidth="1"/>
    <col min="8455" max="8455" width="17.5703125" style="229" customWidth="1"/>
    <col min="8456" max="8456" width="8.28515625" style="229" customWidth="1"/>
    <col min="8457" max="8457" width="16.28515625" style="229" customWidth="1"/>
    <col min="8458" max="8458" width="8.5703125" style="229" customWidth="1"/>
    <col min="8459" max="8459" width="18.5703125" style="229" customWidth="1"/>
    <col min="8460" max="8704" width="9.28515625" style="229"/>
    <col min="8705" max="8705" width="5.42578125" style="229" customWidth="1"/>
    <col min="8706" max="8706" width="42.85546875" style="229" customWidth="1"/>
    <col min="8707" max="8707" width="7.28515625" style="229" customWidth="1"/>
    <col min="8708" max="8708" width="20.28515625" style="229" customWidth="1"/>
    <col min="8709" max="8709" width="14.5703125" style="229" customWidth="1"/>
    <col min="8710" max="8710" width="11.7109375" style="229" customWidth="1"/>
    <col min="8711" max="8711" width="17.5703125" style="229" customWidth="1"/>
    <col min="8712" max="8712" width="8.28515625" style="229" customWidth="1"/>
    <col min="8713" max="8713" width="16.28515625" style="229" customWidth="1"/>
    <col min="8714" max="8714" width="8.5703125" style="229" customWidth="1"/>
    <col min="8715" max="8715" width="18.5703125" style="229" customWidth="1"/>
    <col min="8716" max="8960" width="9.28515625" style="229"/>
    <col min="8961" max="8961" width="5.42578125" style="229" customWidth="1"/>
    <col min="8962" max="8962" width="42.85546875" style="229" customWidth="1"/>
    <col min="8963" max="8963" width="7.28515625" style="229" customWidth="1"/>
    <col min="8964" max="8964" width="20.28515625" style="229" customWidth="1"/>
    <col min="8965" max="8965" width="14.5703125" style="229" customWidth="1"/>
    <col min="8966" max="8966" width="11.7109375" style="229" customWidth="1"/>
    <col min="8967" max="8967" width="17.5703125" style="229" customWidth="1"/>
    <col min="8968" max="8968" width="8.28515625" style="229" customWidth="1"/>
    <col min="8969" max="8969" width="16.28515625" style="229" customWidth="1"/>
    <col min="8970" max="8970" width="8.5703125" style="229" customWidth="1"/>
    <col min="8971" max="8971" width="18.5703125" style="229" customWidth="1"/>
    <col min="8972" max="9216" width="9.28515625" style="229"/>
    <col min="9217" max="9217" width="5.42578125" style="229" customWidth="1"/>
    <col min="9218" max="9218" width="42.85546875" style="229" customWidth="1"/>
    <col min="9219" max="9219" width="7.28515625" style="229" customWidth="1"/>
    <col min="9220" max="9220" width="20.28515625" style="229" customWidth="1"/>
    <col min="9221" max="9221" width="14.5703125" style="229" customWidth="1"/>
    <col min="9222" max="9222" width="11.7109375" style="229" customWidth="1"/>
    <col min="9223" max="9223" width="17.5703125" style="229" customWidth="1"/>
    <col min="9224" max="9224" width="8.28515625" style="229" customWidth="1"/>
    <col min="9225" max="9225" width="16.28515625" style="229" customWidth="1"/>
    <col min="9226" max="9226" width="8.5703125" style="229" customWidth="1"/>
    <col min="9227" max="9227" width="18.5703125" style="229" customWidth="1"/>
    <col min="9228" max="9472" width="9.28515625" style="229"/>
    <col min="9473" max="9473" width="5.42578125" style="229" customWidth="1"/>
    <col min="9474" max="9474" width="42.85546875" style="229" customWidth="1"/>
    <col min="9475" max="9475" width="7.28515625" style="229" customWidth="1"/>
    <col min="9476" max="9476" width="20.28515625" style="229" customWidth="1"/>
    <col min="9477" max="9477" width="14.5703125" style="229" customWidth="1"/>
    <col min="9478" max="9478" width="11.7109375" style="229" customWidth="1"/>
    <col min="9479" max="9479" width="17.5703125" style="229" customWidth="1"/>
    <col min="9480" max="9480" width="8.28515625" style="229" customWidth="1"/>
    <col min="9481" max="9481" width="16.28515625" style="229" customWidth="1"/>
    <col min="9482" max="9482" width="8.5703125" style="229" customWidth="1"/>
    <col min="9483" max="9483" width="18.5703125" style="229" customWidth="1"/>
    <col min="9484" max="9728" width="9.28515625" style="229"/>
    <col min="9729" max="9729" width="5.42578125" style="229" customWidth="1"/>
    <col min="9730" max="9730" width="42.85546875" style="229" customWidth="1"/>
    <col min="9731" max="9731" width="7.28515625" style="229" customWidth="1"/>
    <col min="9732" max="9732" width="20.28515625" style="229" customWidth="1"/>
    <col min="9733" max="9733" width="14.5703125" style="229" customWidth="1"/>
    <col min="9734" max="9734" width="11.7109375" style="229" customWidth="1"/>
    <col min="9735" max="9735" width="17.5703125" style="229" customWidth="1"/>
    <col min="9736" max="9736" width="8.28515625" style="229" customWidth="1"/>
    <col min="9737" max="9737" width="16.28515625" style="229" customWidth="1"/>
    <col min="9738" max="9738" width="8.5703125" style="229" customWidth="1"/>
    <col min="9739" max="9739" width="18.5703125" style="229" customWidth="1"/>
    <col min="9740" max="9984" width="9.28515625" style="229"/>
    <col min="9985" max="9985" width="5.42578125" style="229" customWidth="1"/>
    <col min="9986" max="9986" width="42.85546875" style="229" customWidth="1"/>
    <col min="9987" max="9987" width="7.28515625" style="229" customWidth="1"/>
    <col min="9988" max="9988" width="20.28515625" style="229" customWidth="1"/>
    <col min="9989" max="9989" width="14.5703125" style="229" customWidth="1"/>
    <col min="9990" max="9990" width="11.7109375" style="229" customWidth="1"/>
    <col min="9991" max="9991" width="17.5703125" style="229" customWidth="1"/>
    <col min="9992" max="9992" width="8.28515625" style="229" customWidth="1"/>
    <col min="9993" max="9993" width="16.28515625" style="229" customWidth="1"/>
    <col min="9994" max="9994" width="8.5703125" style="229" customWidth="1"/>
    <col min="9995" max="9995" width="18.5703125" style="229" customWidth="1"/>
    <col min="9996" max="10240" width="9.28515625" style="229"/>
    <col min="10241" max="10241" width="5.42578125" style="229" customWidth="1"/>
    <col min="10242" max="10242" width="42.85546875" style="229" customWidth="1"/>
    <col min="10243" max="10243" width="7.28515625" style="229" customWidth="1"/>
    <col min="10244" max="10244" width="20.28515625" style="229" customWidth="1"/>
    <col min="10245" max="10245" width="14.5703125" style="229" customWidth="1"/>
    <col min="10246" max="10246" width="11.7109375" style="229" customWidth="1"/>
    <col min="10247" max="10247" width="17.5703125" style="229" customWidth="1"/>
    <col min="10248" max="10248" width="8.28515625" style="229" customWidth="1"/>
    <col min="10249" max="10249" width="16.28515625" style="229" customWidth="1"/>
    <col min="10250" max="10250" width="8.5703125" style="229" customWidth="1"/>
    <col min="10251" max="10251" width="18.5703125" style="229" customWidth="1"/>
    <col min="10252" max="10496" width="9.28515625" style="229"/>
    <col min="10497" max="10497" width="5.42578125" style="229" customWidth="1"/>
    <col min="10498" max="10498" width="42.85546875" style="229" customWidth="1"/>
    <col min="10499" max="10499" width="7.28515625" style="229" customWidth="1"/>
    <col min="10500" max="10500" width="20.28515625" style="229" customWidth="1"/>
    <col min="10501" max="10501" width="14.5703125" style="229" customWidth="1"/>
    <col min="10502" max="10502" width="11.7109375" style="229" customWidth="1"/>
    <col min="10503" max="10503" width="17.5703125" style="229" customWidth="1"/>
    <col min="10504" max="10504" width="8.28515625" style="229" customWidth="1"/>
    <col min="10505" max="10505" width="16.28515625" style="229" customWidth="1"/>
    <col min="10506" max="10506" width="8.5703125" style="229" customWidth="1"/>
    <col min="10507" max="10507" width="18.5703125" style="229" customWidth="1"/>
    <col min="10508" max="10752" width="9.28515625" style="229"/>
    <col min="10753" max="10753" width="5.42578125" style="229" customWidth="1"/>
    <col min="10754" max="10754" width="42.85546875" style="229" customWidth="1"/>
    <col min="10755" max="10755" width="7.28515625" style="229" customWidth="1"/>
    <col min="10756" max="10756" width="20.28515625" style="229" customWidth="1"/>
    <col min="10757" max="10757" width="14.5703125" style="229" customWidth="1"/>
    <col min="10758" max="10758" width="11.7109375" style="229" customWidth="1"/>
    <col min="10759" max="10759" width="17.5703125" style="229" customWidth="1"/>
    <col min="10760" max="10760" width="8.28515625" style="229" customWidth="1"/>
    <col min="10761" max="10761" width="16.28515625" style="229" customWidth="1"/>
    <col min="10762" max="10762" width="8.5703125" style="229" customWidth="1"/>
    <col min="10763" max="10763" width="18.5703125" style="229" customWidth="1"/>
    <col min="10764" max="11008" width="9.28515625" style="229"/>
    <col min="11009" max="11009" width="5.42578125" style="229" customWidth="1"/>
    <col min="11010" max="11010" width="42.85546875" style="229" customWidth="1"/>
    <col min="11011" max="11011" width="7.28515625" style="229" customWidth="1"/>
    <col min="11012" max="11012" width="20.28515625" style="229" customWidth="1"/>
    <col min="11013" max="11013" width="14.5703125" style="229" customWidth="1"/>
    <col min="11014" max="11014" width="11.7109375" style="229" customWidth="1"/>
    <col min="11015" max="11015" width="17.5703125" style="229" customWidth="1"/>
    <col min="11016" max="11016" width="8.28515625" style="229" customWidth="1"/>
    <col min="11017" max="11017" width="16.28515625" style="229" customWidth="1"/>
    <col min="11018" max="11018" width="8.5703125" style="229" customWidth="1"/>
    <col min="11019" max="11019" width="18.5703125" style="229" customWidth="1"/>
    <col min="11020" max="11264" width="9.28515625" style="229"/>
    <col min="11265" max="11265" width="5.42578125" style="229" customWidth="1"/>
    <col min="11266" max="11266" width="42.85546875" style="229" customWidth="1"/>
    <col min="11267" max="11267" width="7.28515625" style="229" customWidth="1"/>
    <col min="11268" max="11268" width="20.28515625" style="229" customWidth="1"/>
    <col min="11269" max="11269" width="14.5703125" style="229" customWidth="1"/>
    <col min="11270" max="11270" width="11.7109375" style="229" customWidth="1"/>
    <col min="11271" max="11271" width="17.5703125" style="229" customWidth="1"/>
    <col min="11272" max="11272" width="8.28515625" style="229" customWidth="1"/>
    <col min="11273" max="11273" width="16.28515625" style="229" customWidth="1"/>
    <col min="11274" max="11274" width="8.5703125" style="229" customWidth="1"/>
    <col min="11275" max="11275" width="18.5703125" style="229" customWidth="1"/>
    <col min="11276" max="11520" width="9.28515625" style="229"/>
    <col min="11521" max="11521" width="5.42578125" style="229" customWidth="1"/>
    <col min="11522" max="11522" width="42.85546875" style="229" customWidth="1"/>
    <col min="11523" max="11523" width="7.28515625" style="229" customWidth="1"/>
    <col min="11524" max="11524" width="20.28515625" style="229" customWidth="1"/>
    <col min="11525" max="11525" width="14.5703125" style="229" customWidth="1"/>
    <col min="11526" max="11526" width="11.7109375" style="229" customWidth="1"/>
    <col min="11527" max="11527" width="17.5703125" style="229" customWidth="1"/>
    <col min="11528" max="11528" width="8.28515625" style="229" customWidth="1"/>
    <col min="11529" max="11529" width="16.28515625" style="229" customWidth="1"/>
    <col min="11530" max="11530" width="8.5703125" style="229" customWidth="1"/>
    <col min="11531" max="11531" width="18.5703125" style="229" customWidth="1"/>
    <col min="11532" max="11776" width="9.28515625" style="229"/>
    <col min="11777" max="11777" width="5.42578125" style="229" customWidth="1"/>
    <col min="11778" max="11778" width="42.85546875" style="229" customWidth="1"/>
    <col min="11779" max="11779" width="7.28515625" style="229" customWidth="1"/>
    <col min="11780" max="11780" width="20.28515625" style="229" customWidth="1"/>
    <col min="11781" max="11781" width="14.5703125" style="229" customWidth="1"/>
    <col min="11782" max="11782" width="11.7109375" style="229" customWidth="1"/>
    <col min="11783" max="11783" width="17.5703125" style="229" customWidth="1"/>
    <col min="11784" max="11784" width="8.28515625" style="229" customWidth="1"/>
    <col min="11785" max="11785" width="16.28515625" style="229" customWidth="1"/>
    <col min="11786" max="11786" width="8.5703125" style="229" customWidth="1"/>
    <col min="11787" max="11787" width="18.5703125" style="229" customWidth="1"/>
    <col min="11788" max="12032" width="9.28515625" style="229"/>
    <col min="12033" max="12033" width="5.42578125" style="229" customWidth="1"/>
    <col min="12034" max="12034" width="42.85546875" style="229" customWidth="1"/>
    <col min="12035" max="12035" width="7.28515625" style="229" customWidth="1"/>
    <col min="12036" max="12036" width="20.28515625" style="229" customWidth="1"/>
    <col min="12037" max="12037" width="14.5703125" style="229" customWidth="1"/>
    <col min="12038" max="12038" width="11.7109375" style="229" customWidth="1"/>
    <col min="12039" max="12039" width="17.5703125" style="229" customWidth="1"/>
    <col min="12040" max="12040" width="8.28515625" style="229" customWidth="1"/>
    <col min="12041" max="12041" width="16.28515625" style="229" customWidth="1"/>
    <col min="12042" max="12042" width="8.5703125" style="229" customWidth="1"/>
    <col min="12043" max="12043" width="18.5703125" style="229" customWidth="1"/>
    <col min="12044" max="12288" width="9.28515625" style="229"/>
    <col min="12289" max="12289" width="5.42578125" style="229" customWidth="1"/>
    <col min="12290" max="12290" width="42.85546875" style="229" customWidth="1"/>
    <col min="12291" max="12291" width="7.28515625" style="229" customWidth="1"/>
    <col min="12292" max="12292" width="20.28515625" style="229" customWidth="1"/>
    <col min="12293" max="12293" width="14.5703125" style="229" customWidth="1"/>
    <col min="12294" max="12294" width="11.7109375" style="229" customWidth="1"/>
    <col min="12295" max="12295" width="17.5703125" style="229" customWidth="1"/>
    <col min="12296" max="12296" width="8.28515625" style="229" customWidth="1"/>
    <col min="12297" max="12297" width="16.28515625" style="229" customWidth="1"/>
    <col min="12298" max="12298" width="8.5703125" style="229" customWidth="1"/>
    <col min="12299" max="12299" width="18.5703125" style="229" customWidth="1"/>
    <col min="12300" max="12544" width="9.28515625" style="229"/>
    <col min="12545" max="12545" width="5.42578125" style="229" customWidth="1"/>
    <col min="12546" max="12546" width="42.85546875" style="229" customWidth="1"/>
    <col min="12547" max="12547" width="7.28515625" style="229" customWidth="1"/>
    <col min="12548" max="12548" width="20.28515625" style="229" customWidth="1"/>
    <col min="12549" max="12549" width="14.5703125" style="229" customWidth="1"/>
    <col min="12550" max="12550" width="11.7109375" style="229" customWidth="1"/>
    <col min="12551" max="12551" width="17.5703125" style="229" customWidth="1"/>
    <col min="12552" max="12552" width="8.28515625" style="229" customWidth="1"/>
    <col min="12553" max="12553" width="16.28515625" style="229" customWidth="1"/>
    <col min="12554" max="12554" width="8.5703125" style="229" customWidth="1"/>
    <col min="12555" max="12555" width="18.5703125" style="229" customWidth="1"/>
    <col min="12556" max="12800" width="9.28515625" style="229"/>
    <col min="12801" max="12801" width="5.42578125" style="229" customWidth="1"/>
    <col min="12802" max="12802" width="42.85546875" style="229" customWidth="1"/>
    <col min="12803" max="12803" width="7.28515625" style="229" customWidth="1"/>
    <col min="12804" max="12804" width="20.28515625" style="229" customWidth="1"/>
    <col min="12805" max="12805" width="14.5703125" style="229" customWidth="1"/>
    <col min="12806" max="12806" width="11.7109375" style="229" customWidth="1"/>
    <col min="12807" max="12807" width="17.5703125" style="229" customWidth="1"/>
    <col min="12808" max="12808" width="8.28515625" style="229" customWidth="1"/>
    <col min="12809" max="12809" width="16.28515625" style="229" customWidth="1"/>
    <col min="12810" max="12810" width="8.5703125" style="229" customWidth="1"/>
    <col min="12811" max="12811" width="18.5703125" style="229" customWidth="1"/>
    <col min="12812" max="13056" width="9.28515625" style="229"/>
    <col min="13057" max="13057" width="5.42578125" style="229" customWidth="1"/>
    <col min="13058" max="13058" width="42.85546875" style="229" customWidth="1"/>
    <col min="13059" max="13059" width="7.28515625" style="229" customWidth="1"/>
    <col min="13060" max="13060" width="20.28515625" style="229" customWidth="1"/>
    <col min="13061" max="13061" width="14.5703125" style="229" customWidth="1"/>
    <col min="13062" max="13062" width="11.7109375" style="229" customWidth="1"/>
    <col min="13063" max="13063" width="17.5703125" style="229" customWidth="1"/>
    <col min="13064" max="13064" width="8.28515625" style="229" customWidth="1"/>
    <col min="13065" max="13065" width="16.28515625" style="229" customWidth="1"/>
    <col min="13066" max="13066" width="8.5703125" style="229" customWidth="1"/>
    <col min="13067" max="13067" width="18.5703125" style="229" customWidth="1"/>
    <col min="13068" max="13312" width="9.28515625" style="229"/>
    <col min="13313" max="13313" width="5.42578125" style="229" customWidth="1"/>
    <col min="13314" max="13314" width="42.85546875" style="229" customWidth="1"/>
    <col min="13315" max="13315" width="7.28515625" style="229" customWidth="1"/>
    <col min="13316" max="13316" width="20.28515625" style="229" customWidth="1"/>
    <col min="13317" max="13317" width="14.5703125" style="229" customWidth="1"/>
    <col min="13318" max="13318" width="11.7109375" style="229" customWidth="1"/>
    <col min="13319" max="13319" width="17.5703125" style="229" customWidth="1"/>
    <col min="13320" max="13320" width="8.28515625" style="229" customWidth="1"/>
    <col min="13321" max="13321" width="16.28515625" style="229" customWidth="1"/>
    <col min="13322" max="13322" width="8.5703125" style="229" customWidth="1"/>
    <col min="13323" max="13323" width="18.5703125" style="229" customWidth="1"/>
    <col min="13324" max="13568" width="9.28515625" style="229"/>
    <col min="13569" max="13569" width="5.42578125" style="229" customWidth="1"/>
    <col min="13570" max="13570" width="42.85546875" style="229" customWidth="1"/>
    <col min="13571" max="13571" width="7.28515625" style="229" customWidth="1"/>
    <col min="13572" max="13572" width="20.28515625" style="229" customWidth="1"/>
    <col min="13573" max="13573" width="14.5703125" style="229" customWidth="1"/>
    <col min="13574" max="13574" width="11.7109375" style="229" customWidth="1"/>
    <col min="13575" max="13575" width="17.5703125" style="229" customWidth="1"/>
    <col min="13576" max="13576" width="8.28515625" style="229" customWidth="1"/>
    <col min="13577" max="13577" width="16.28515625" style="229" customWidth="1"/>
    <col min="13578" max="13578" width="8.5703125" style="229" customWidth="1"/>
    <col min="13579" max="13579" width="18.5703125" style="229" customWidth="1"/>
    <col min="13580" max="13824" width="9.28515625" style="229"/>
    <col min="13825" max="13825" width="5.42578125" style="229" customWidth="1"/>
    <col min="13826" max="13826" width="42.85546875" style="229" customWidth="1"/>
    <col min="13827" max="13827" width="7.28515625" style="229" customWidth="1"/>
    <col min="13828" max="13828" width="20.28515625" style="229" customWidth="1"/>
    <col min="13829" max="13829" width="14.5703125" style="229" customWidth="1"/>
    <col min="13830" max="13830" width="11.7109375" style="229" customWidth="1"/>
    <col min="13831" max="13831" width="17.5703125" style="229" customWidth="1"/>
    <col min="13832" max="13832" width="8.28515625" style="229" customWidth="1"/>
    <col min="13833" max="13833" width="16.28515625" style="229" customWidth="1"/>
    <col min="13834" max="13834" width="8.5703125" style="229" customWidth="1"/>
    <col min="13835" max="13835" width="18.5703125" style="229" customWidth="1"/>
    <col min="13836" max="14080" width="9.28515625" style="229"/>
    <col min="14081" max="14081" width="5.42578125" style="229" customWidth="1"/>
    <col min="14082" max="14082" width="42.85546875" style="229" customWidth="1"/>
    <col min="14083" max="14083" width="7.28515625" style="229" customWidth="1"/>
    <col min="14084" max="14084" width="20.28515625" style="229" customWidth="1"/>
    <col min="14085" max="14085" width="14.5703125" style="229" customWidth="1"/>
    <col min="14086" max="14086" width="11.7109375" style="229" customWidth="1"/>
    <col min="14087" max="14087" width="17.5703125" style="229" customWidth="1"/>
    <col min="14088" max="14088" width="8.28515625" style="229" customWidth="1"/>
    <col min="14089" max="14089" width="16.28515625" style="229" customWidth="1"/>
    <col min="14090" max="14090" width="8.5703125" style="229" customWidth="1"/>
    <col min="14091" max="14091" width="18.5703125" style="229" customWidth="1"/>
    <col min="14092" max="14336" width="9.28515625" style="229"/>
    <col min="14337" max="14337" width="5.42578125" style="229" customWidth="1"/>
    <col min="14338" max="14338" width="42.85546875" style="229" customWidth="1"/>
    <col min="14339" max="14339" width="7.28515625" style="229" customWidth="1"/>
    <col min="14340" max="14340" width="20.28515625" style="229" customWidth="1"/>
    <col min="14341" max="14341" width="14.5703125" style="229" customWidth="1"/>
    <col min="14342" max="14342" width="11.7109375" style="229" customWidth="1"/>
    <col min="14343" max="14343" width="17.5703125" style="229" customWidth="1"/>
    <col min="14344" max="14344" width="8.28515625" style="229" customWidth="1"/>
    <col min="14345" max="14345" width="16.28515625" style="229" customWidth="1"/>
    <col min="14346" max="14346" width="8.5703125" style="229" customWidth="1"/>
    <col min="14347" max="14347" width="18.5703125" style="229" customWidth="1"/>
    <col min="14348" max="14592" width="9.28515625" style="229"/>
    <col min="14593" max="14593" width="5.42578125" style="229" customWidth="1"/>
    <col min="14594" max="14594" width="42.85546875" style="229" customWidth="1"/>
    <col min="14595" max="14595" width="7.28515625" style="229" customWidth="1"/>
    <col min="14596" max="14596" width="20.28515625" style="229" customWidth="1"/>
    <col min="14597" max="14597" width="14.5703125" style="229" customWidth="1"/>
    <col min="14598" max="14598" width="11.7109375" style="229" customWidth="1"/>
    <col min="14599" max="14599" width="17.5703125" style="229" customWidth="1"/>
    <col min="14600" max="14600" width="8.28515625" style="229" customWidth="1"/>
    <col min="14601" max="14601" width="16.28515625" style="229" customWidth="1"/>
    <col min="14602" max="14602" width="8.5703125" style="229" customWidth="1"/>
    <col min="14603" max="14603" width="18.5703125" style="229" customWidth="1"/>
    <col min="14604" max="14848" width="9.28515625" style="229"/>
    <col min="14849" max="14849" width="5.42578125" style="229" customWidth="1"/>
    <col min="14850" max="14850" width="42.85546875" style="229" customWidth="1"/>
    <col min="14851" max="14851" width="7.28515625" style="229" customWidth="1"/>
    <col min="14852" max="14852" width="20.28515625" style="229" customWidth="1"/>
    <col min="14853" max="14853" width="14.5703125" style="229" customWidth="1"/>
    <col min="14854" max="14854" width="11.7109375" style="229" customWidth="1"/>
    <col min="14855" max="14855" width="17.5703125" style="229" customWidth="1"/>
    <col min="14856" max="14856" width="8.28515625" style="229" customWidth="1"/>
    <col min="14857" max="14857" width="16.28515625" style="229" customWidth="1"/>
    <col min="14858" max="14858" width="8.5703125" style="229" customWidth="1"/>
    <col min="14859" max="14859" width="18.5703125" style="229" customWidth="1"/>
    <col min="14860" max="15104" width="9.28515625" style="229"/>
    <col min="15105" max="15105" width="5.42578125" style="229" customWidth="1"/>
    <col min="15106" max="15106" width="42.85546875" style="229" customWidth="1"/>
    <col min="15107" max="15107" width="7.28515625" style="229" customWidth="1"/>
    <col min="15108" max="15108" width="20.28515625" style="229" customWidth="1"/>
    <col min="15109" max="15109" width="14.5703125" style="229" customWidth="1"/>
    <col min="15110" max="15110" width="11.7109375" style="229" customWidth="1"/>
    <col min="15111" max="15111" width="17.5703125" style="229" customWidth="1"/>
    <col min="15112" max="15112" width="8.28515625" style="229" customWidth="1"/>
    <col min="15113" max="15113" width="16.28515625" style="229" customWidth="1"/>
    <col min="15114" max="15114" width="8.5703125" style="229" customWidth="1"/>
    <col min="15115" max="15115" width="18.5703125" style="229" customWidth="1"/>
    <col min="15116" max="15360" width="9.28515625" style="229"/>
    <col min="15361" max="15361" width="5.42578125" style="229" customWidth="1"/>
    <col min="15362" max="15362" width="42.85546875" style="229" customWidth="1"/>
    <col min="15363" max="15363" width="7.28515625" style="229" customWidth="1"/>
    <col min="15364" max="15364" width="20.28515625" style="229" customWidth="1"/>
    <col min="15365" max="15365" width="14.5703125" style="229" customWidth="1"/>
    <col min="15366" max="15366" width="11.7109375" style="229" customWidth="1"/>
    <col min="15367" max="15367" width="17.5703125" style="229" customWidth="1"/>
    <col min="15368" max="15368" width="8.28515625" style="229" customWidth="1"/>
    <col min="15369" max="15369" width="16.28515625" style="229" customWidth="1"/>
    <col min="15370" max="15370" width="8.5703125" style="229" customWidth="1"/>
    <col min="15371" max="15371" width="18.5703125" style="229" customWidth="1"/>
    <col min="15372" max="15616" width="9.28515625" style="229"/>
    <col min="15617" max="15617" width="5.42578125" style="229" customWidth="1"/>
    <col min="15618" max="15618" width="42.85546875" style="229" customWidth="1"/>
    <col min="15619" max="15619" width="7.28515625" style="229" customWidth="1"/>
    <col min="15620" max="15620" width="20.28515625" style="229" customWidth="1"/>
    <col min="15621" max="15621" width="14.5703125" style="229" customWidth="1"/>
    <col min="15622" max="15622" width="11.7109375" style="229" customWidth="1"/>
    <col min="15623" max="15623" width="17.5703125" style="229" customWidth="1"/>
    <col min="15624" max="15624" width="8.28515625" style="229" customWidth="1"/>
    <col min="15625" max="15625" width="16.28515625" style="229" customWidth="1"/>
    <col min="15626" max="15626" width="8.5703125" style="229" customWidth="1"/>
    <col min="15627" max="15627" width="18.5703125" style="229" customWidth="1"/>
    <col min="15628" max="15872" width="9.28515625" style="229"/>
    <col min="15873" max="15873" width="5.42578125" style="229" customWidth="1"/>
    <col min="15874" max="15874" width="42.85546875" style="229" customWidth="1"/>
    <col min="15875" max="15875" width="7.28515625" style="229" customWidth="1"/>
    <col min="15876" max="15876" width="20.28515625" style="229" customWidth="1"/>
    <col min="15877" max="15877" width="14.5703125" style="229" customWidth="1"/>
    <col min="15878" max="15878" width="11.7109375" style="229" customWidth="1"/>
    <col min="15879" max="15879" width="17.5703125" style="229" customWidth="1"/>
    <col min="15880" max="15880" width="8.28515625" style="229" customWidth="1"/>
    <col min="15881" max="15881" width="16.28515625" style="229" customWidth="1"/>
    <col min="15882" max="15882" width="8.5703125" style="229" customWidth="1"/>
    <col min="15883" max="15883" width="18.5703125" style="229" customWidth="1"/>
    <col min="15884" max="16128" width="9.28515625" style="229"/>
    <col min="16129" max="16129" width="5.42578125" style="229" customWidth="1"/>
    <col min="16130" max="16130" width="42.85546875" style="229" customWidth="1"/>
    <col min="16131" max="16131" width="7.28515625" style="229" customWidth="1"/>
    <col min="16132" max="16132" width="20.28515625" style="229" customWidth="1"/>
    <col min="16133" max="16133" width="14.5703125" style="229" customWidth="1"/>
    <col min="16134" max="16134" width="11.7109375" style="229" customWidth="1"/>
    <col min="16135" max="16135" width="17.5703125" style="229" customWidth="1"/>
    <col min="16136" max="16136" width="8.28515625" style="229" customWidth="1"/>
    <col min="16137" max="16137" width="16.28515625" style="229" customWidth="1"/>
    <col min="16138" max="16138" width="8.5703125" style="229" customWidth="1"/>
    <col min="16139" max="16139" width="18.5703125" style="229" customWidth="1"/>
    <col min="16140" max="16384" width="9.28515625" style="229"/>
  </cols>
  <sheetData>
    <row r="1" spans="1:11" ht="24" customHeight="1">
      <c r="B1" s="230"/>
      <c r="C1" s="230"/>
      <c r="D1" s="230"/>
      <c r="E1" s="230"/>
      <c r="F1" s="230"/>
      <c r="G1" s="230"/>
      <c r="H1" s="342" t="s">
        <v>322</v>
      </c>
      <c r="I1" s="342"/>
      <c r="J1" s="342"/>
      <c r="K1" s="342"/>
    </row>
    <row r="2" spans="1:11" ht="26.25" customHeight="1">
      <c r="A2" s="343" t="s">
        <v>1121</v>
      </c>
      <c r="B2" s="343"/>
      <c r="C2" s="343"/>
      <c r="D2" s="343"/>
      <c r="E2" s="343"/>
      <c r="F2" s="343"/>
      <c r="G2" s="343"/>
      <c r="H2" s="343"/>
      <c r="I2" s="343"/>
      <c r="J2" s="343"/>
      <c r="K2" s="343"/>
    </row>
    <row r="3" spans="1:11" ht="28.5" customHeight="1">
      <c r="A3" s="344" t="s">
        <v>1122</v>
      </c>
      <c r="B3" s="344"/>
      <c r="C3" s="344"/>
      <c r="D3" s="344"/>
      <c r="E3" s="344"/>
      <c r="F3" s="344"/>
      <c r="G3" s="344"/>
      <c r="H3" s="344"/>
      <c r="I3" s="344"/>
      <c r="J3" s="344"/>
      <c r="K3" s="344"/>
    </row>
    <row r="4" spans="1:11" ht="18" customHeight="1">
      <c r="A4" s="345" t="s">
        <v>1062</v>
      </c>
      <c r="B4" s="346"/>
      <c r="C4" s="346"/>
      <c r="D4" s="346"/>
      <c r="E4" s="346"/>
      <c r="F4" s="346"/>
      <c r="G4" s="346"/>
      <c r="H4" s="346"/>
      <c r="I4" s="346"/>
      <c r="J4" s="346"/>
      <c r="K4" s="346"/>
    </row>
    <row r="5" spans="1:11">
      <c r="A5" s="231"/>
      <c r="B5" s="232"/>
      <c r="C5" s="232"/>
      <c r="D5" s="233"/>
      <c r="E5" s="233"/>
      <c r="F5" s="232"/>
      <c r="G5" s="232"/>
      <c r="H5" s="232"/>
      <c r="I5" s="232"/>
      <c r="J5" s="232"/>
      <c r="K5" s="232"/>
    </row>
    <row r="6" spans="1:11">
      <c r="A6" s="234">
        <v>1</v>
      </c>
      <c r="B6" s="235" t="s">
        <v>10</v>
      </c>
      <c r="C6" s="235" t="s">
        <v>1123</v>
      </c>
      <c r="D6" s="233"/>
      <c r="E6" s="233"/>
      <c r="F6" s="232"/>
      <c r="G6" s="232"/>
      <c r="H6" s="232"/>
      <c r="I6" s="232"/>
      <c r="J6" s="232"/>
      <c r="K6" s="232"/>
    </row>
    <row r="7" spans="1:11">
      <c r="A7" s="234"/>
      <c r="B7" s="236" t="s">
        <v>12</v>
      </c>
      <c r="C7" s="236" t="s">
        <v>13</v>
      </c>
      <c r="D7" s="237"/>
      <c r="E7" s="237"/>
      <c r="F7" s="238"/>
      <c r="G7" s="238"/>
      <c r="H7" s="238"/>
      <c r="I7" s="238"/>
      <c r="J7" s="238"/>
      <c r="K7" s="238"/>
    </row>
    <row r="8" spans="1:11" ht="12.75" customHeight="1">
      <c r="A8" s="239">
        <v>2</v>
      </c>
      <c r="B8" s="240" t="s">
        <v>15</v>
      </c>
      <c r="C8" s="241" t="s">
        <v>1066</v>
      </c>
      <c r="D8" s="241"/>
      <c r="E8" s="241"/>
      <c r="F8" s="241"/>
      <c r="G8" s="241"/>
      <c r="H8" s="241"/>
      <c r="I8" s="242"/>
      <c r="J8" s="242"/>
      <c r="K8" s="242"/>
    </row>
    <row r="9" spans="1:11" ht="12.75" customHeight="1">
      <c r="A9" s="239"/>
      <c r="B9" s="243" t="s">
        <v>1067</v>
      </c>
      <c r="C9" s="244" t="s">
        <v>859</v>
      </c>
      <c r="D9" s="245"/>
      <c r="E9" s="245"/>
      <c r="F9" s="245"/>
      <c r="G9" s="245"/>
      <c r="H9" s="245"/>
      <c r="I9" s="246"/>
      <c r="J9" s="246"/>
      <c r="K9" s="246"/>
    </row>
    <row r="10" spans="1:11" ht="12.75" customHeight="1">
      <c r="A10" s="239">
        <v>3</v>
      </c>
      <c r="B10" s="240" t="s">
        <v>391</v>
      </c>
      <c r="C10" s="241" t="s">
        <v>1068</v>
      </c>
      <c r="D10" s="241"/>
      <c r="E10" s="241"/>
      <c r="F10" s="241"/>
      <c r="G10" s="241"/>
      <c r="H10" s="241"/>
      <c r="I10" s="242"/>
      <c r="J10" s="242"/>
      <c r="K10" s="242"/>
    </row>
    <row r="11" spans="1:11" ht="12.75" customHeight="1">
      <c r="A11" s="239"/>
      <c r="B11" s="243" t="s">
        <v>1069</v>
      </c>
      <c r="C11" s="245" t="s">
        <v>1070</v>
      </c>
      <c r="D11" s="245"/>
      <c r="E11" s="245"/>
      <c r="F11" s="245"/>
      <c r="G11" s="245"/>
      <c r="H11" s="245"/>
      <c r="I11" s="242"/>
      <c r="J11" s="242"/>
      <c r="K11" s="242"/>
    </row>
    <row r="12" spans="1:11" ht="13.5" customHeight="1">
      <c r="A12" s="239">
        <v>4</v>
      </c>
      <c r="B12" s="240" t="s">
        <v>20</v>
      </c>
      <c r="C12" s="332">
        <v>46115</v>
      </c>
      <c r="D12" s="332"/>
      <c r="E12" s="332"/>
      <c r="F12" s="332"/>
      <c r="G12" s="241"/>
      <c r="H12" s="241"/>
      <c r="I12" s="247"/>
      <c r="J12" s="247"/>
      <c r="K12" s="247"/>
    </row>
    <row r="13" spans="1:11" ht="13.5" customHeight="1">
      <c r="A13" s="245"/>
      <c r="B13" s="243" t="s">
        <v>21</v>
      </c>
      <c r="C13" s="326">
        <f>+C12</f>
        <v>46115</v>
      </c>
      <c r="D13" s="326"/>
      <c r="E13" s="326"/>
      <c r="F13" s="326"/>
      <c r="G13" s="341"/>
      <c r="H13" s="341"/>
      <c r="I13" s="248"/>
      <c r="J13" s="248"/>
      <c r="K13" s="248"/>
    </row>
    <row r="14" spans="1:11">
      <c r="A14" s="249" t="s">
        <v>1078</v>
      </c>
      <c r="B14" s="249" t="s">
        <v>1124</v>
      </c>
      <c r="C14" s="250"/>
      <c r="D14" s="251"/>
      <c r="E14" s="251"/>
      <c r="F14" s="251"/>
      <c r="G14" s="252"/>
      <c r="H14" s="252"/>
      <c r="I14" s="248"/>
      <c r="J14" s="248"/>
      <c r="K14" s="248"/>
    </row>
    <row r="15" spans="1:11">
      <c r="A15" s="235" t="s">
        <v>96</v>
      </c>
      <c r="B15" s="235" t="s">
        <v>1125</v>
      </c>
      <c r="C15" s="253"/>
      <c r="D15" s="254"/>
      <c r="E15" s="254"/>
      <c r="F15" s="255"/>
      <c r="G15" s="255"/>
      <c r="H15" s="255"/>
      <c r="I15" s="255"/>
      <c r="J15" s="255"/>
      <c r="K15" s="255"/>
    </row>
    <row r="16" spans="1:11" ht="24.75" customHeight="1">
      <c r="A16" s="347" t="s">
        <v>25</v>
      </c>
      <c r="B16" s="347" t="s">
        <v>1126</v>
      </c>
      <c r="C16" s="362" t="s">
        <v>27</v>
      </c>
      <c r="D16" s="347" t="s">
        <v>1127</v>
      </c>
      <c r="E16" s="347" t="s">
        <v>1128</v>
      </c>
      <c r="F16" s="347" t="s">
        <v>1129</v>
      </c>
      <c r="G16" s="347" t="s">
        <v>1130</v>
      </c>
      <c r="H16" s="349" t="s">
        <v>1131</v>
      </c>
      <c r="I16" s="350"/>
      <c r="J16" s="349" t="s">
        <v>1132</v>
      </c>
      <c r="K16" s="350"/>
    </row>
    <row r="17" spans="1:11" ht="58.5" customHeight="1">
      <c r="A17" s="348"/>
      <c r="B17" s="348"/>
      <c r="C17" s="363"/>
      <c r="D17" s="348"/>
      <c r="E17" s="348"/>
      <c r="F17" s="348"/>
      <c r="G17" s="348"/>
      <c r="H17" s="256" t="s">
        <v>1133</v>
      </c>
      <c r="I17" s="256" t="s">
        <v>1134</v>
      </c>
      <c r="J17" s="256" t="s">
        <v>1135</v>
      </c>
      <c r="K17" s="256" t="s">
        <v>1136</v>
      </c>
    </row>
    <row r="18" spans="1:11" ht="21">
      <c r="A18" s="257">
        <v>1</v>
      </c>
      <c r="B18" s="258" t="s">
        <v>1137</v>
      </c>
      <c r="C18" s="259" t="s">
        <v>387</v>
      </c>
      <c r="D18" s="351"/>
      <c r="E18" s="352"/>
      <c r="F18" s="352"/>
      <c r="G18" s="352"/>
      <c r="H18" s="352"/>
      <c r="I18" s="352"/>
      <c r="J18" s="352"/>
      <c r="K18" s="353"/>
    </row>
    <row r="19" spans="1:11" ht="21">
      <c r="A19" s="257" t="s">
        <v>32</v>
      </c>
      <c r="B19" s="258" t="s">
        <v>1138</v>
      </c>
      <c r="C19" s="259" t="s">
        <v>1139</v>
      </c>
      <c r="D19" s="354"/>
      <c r="E19" s="355"/>
      <c r="F19" s="355"/>
      <c r="G19" s="355"/>
      <c r="H19" s="355"/>
      <c r="I19" s="355"/>
      <c r="J19" s="355"/>
      <c r="K19" s="356"/>
    </row>
    <row r="20" spans="1:11" ht="21">
      <c r="A20" s="257">
        <v>2</v>
      </c>
      <c r="B20" s="258" t="s">
        <v>1140</v>
      </c>
      <c r="C20" s="259" t="s">
        <v>1141</v>
      </c>
      <c r="D20" s="354"/>
      <c r="E20" s="355"/>
      <c r="F20" s="355"/>
      <c r="G20" s="355"/>
      <c r="H20" s="355"/>
      <c r="I20" s="355"/>
      <c r="J20" s="355"/>
      <c r="K20" s="356"/>
    </row>
    <row r="21" spans="1:11" ht="21">
      <c r="A21" s="257" t="s">
        <v>34</v>
      </c>
      <c r="B21" s="258" t="s">
        <v>1142</v>
      </c>
      <c r="C21" s="259" t="s">
        <v>1143</v>
      </c>
      <c r="D21" s="354"/>
      <c r="E21" s="355"/>
      <c r="F21" s="355"/>
      <c r="G21" s="355"/>
      <c r="H21" s="355"/>
      <c r="I21" s="355"/>
      <c r="J21" s="355"/>
      <c r="K21" s="356"/>
    </row>
    <row r="22" spans="1:11" ht="21">
      <c r="A22" s="257" t="s">
        <v>1078</v>
      </c>
      <c r="B22" s="260" t="s">
        <v>1144</v>
      </c>
      <c r="C22" s="259" t="s">
        <v>1145</v>
      </c>
      <c r="D22" s="354"/>
      <c r="E22" s="355"/>
      <c r="F22" s="355"/>
      <c r="G22" s="355"/>
      <c r="H22" s="355"/>
      <c r="I22" s="355"/>
      <c r="J22" s="355"/>
      <c r="K22" s="356"/>
    </row>
    <row r="23" spans="1:11" ht="21">
      <c r="A23" s="261" t="s">
        <v>14</v>
      </c>
      <c r="B23" s="260" t="s">
        <v>1146</v>
      </c>
      <c r="C23" s="259" t="s">
        <v>1147</v>
      </c>
      <c r="D23" s="354"/>
      <c r="E23" s="355"/>
      <c r="F23" s="355"/>
      <c r="G23" s="355"/>
      <c r="H23" s="355"/>
      <c r="I23" s="355"/>
      <c r="J23" s="355"/>
      <c r="K23" s="356"/>
    </row>
    <row r="24" spans="1:11" ht="21">
      <c r="A24" s="261" t="s">
        <v>89</v>
      </c>
      <c r="B24" s="258" t="s">
        <v>1148</v>
      </c>
      <c r="C24" s="259" t="s">
        <v>1149</v>
      </c>
      <c r="D24" s="354"/>
      <c r="E24" s="355"/>
      <c r="F24" s="355"/>
      <c r="G24" s="355"/>
      <c r="H24" s="355"/>
      <c r="I24" s="355"/>
      <c r="J24" s="355"/>
      <c r="K24" s="356"/>
    </row>
    <row r="25" spans="1:11" ht="21">
      <c r="A25" s="261" t="s">
        <v>19</v>
      </c>
      <c r="B25" s="258" t="s">
        <v>1150</v>
      </c>
      <c r="C25" s="259" t="s">
        <v>1151</v>
      </c>
      <c r="D25" s="354"/>
      <c r="E25" s="355"/>
      <c r="F25" s="355"/>
      <c r="G25" s="355"/>
      <c r="H25" s="355"/>
      <c r="I25" s="355"/>
      <c r="J25" s="355"/>
      <c r="K25" s="356"/>
    </row>
    <row r="26" spans="1:11" ht="21">
      <c r="A26" s="261" t="s">
        <v>96</v>
      </c>
      <c r="B26" s="258" t="s">
        <v>1148</v>
      </c>
      <c r="C26" s="259" t="s">
        <v>1152</v>
      </c>
      <c r="D26" s="354"/>
      <c r="E26" s="355"/>
      <c r="F26" s="355"/>
      <c r="G26" s="355"/>
      <c r="H26" s="355"/>
      <c r="I26" s="355"/>
      <c r="J26" s="355"/>
      <c r="K26" s="356"/>
    </row>
    <row r="27" spans="1:11" ht="25.5" customHeight="1">
      <c r="A27" s="257" t="s">
        <v>1103</v>
      </c>
      <c r="B27" s="260" t="s">
        <v>1153</v>
      </c>
      <c r="C27" s="259" t="s">
        <v>1154</v>
      </c>
      <c r="D27" s="357"/>
      <c r="E27" s="358"/>
      <c r="F27" s="358"/>
      <c r="G27" s="358"/>
      <c r="H27" s="358"/>
      <c r="I27" s="358"/>
      <c r="J27" s="358"/>
      <c r="K27" s="359"/>
    </row>
    <row r="28" spans="1:11" ht="9" customHeight="1">
      <c r="A28" s="255"/>
      <c r="B28" s="262"/>
      <c r="C28" s="262"/>
      <c r="D28" s="255"/>
      <c r="E28" s="255"/>
      <c r="F28" s="255"/>
      <c r="G28" s="255"/>
      <c r="H28" s="255"/>
      <c r="I28" s="255"/>
      <c r="J28" s="255"/>
      <c r="K28" s="255"/>
    </row>
    <row r="29" spans="1:11">
      <c r="A29" s="360" t="s">
        <v>166</v>
      </c>
      <c r="B29" s="360"/>
      <c r="C29" s="360"/>
      <c r="E29" s="263"/>
      <c r="F29" s="264"/>
      <c r="G29" s="264"/>
      <c r="H29" s="361" t="s">
        <v>167</v>
      </c>
      <c r="I29" s="361"/>
      <c r="J29" s="361"/>
      <c r="K29" s="361"/>
    </row>
    <row r="30" spans="1:11">
      <c r="A30" s="364" t="s">
        <v>168</v>
      </c>
      <c r="B30" s="364"/>
      <c r="C30" s="364"/>
      <c r="E30" s="265"/>
      <c r="F30" s="266"/>
      <c r="G30" s="266"/>
      <c r="H30" s="365" t="s">
        <v>169</v>
      </c>
      <c r="I30" s="365"/>
      <c r="J30" s="365"/>
      <c r="K30" s="365"/>
    </row>
    <row r="31" spans="1:11" ht="36.75" customHeight="1">
      <c r="A31" s="266"/>
      <c r="B31" s="267"/>
      <c r="C31" s="268"/>
      <c r="E31" s="265"/>
      <c r="F31" s="266"/>
      <c r="G31" s="266"/>
      <c r="H31" s="269"/>
      <c r="J31" s="270"/>
      <c r="K31" s="271"/>
    </row>
    <row r="32" spans="1:11" ht="36.75" customHeight="1">
      <c r="A32" s="267"/>
      <c r="B32" s="267"/>
      <c r="C32" s="272"/>
      <c r="D32" s="273"/>
      <c r="E32" s="274"/>
      <c r="F32" s="275"/>
      <c r="G32" s="270"/>
      <c r="H32" s="270"/>
      <c r="J32" s="270"/>
      <c r="K32" s="270"/>
    </row>
    <row r="33" spans="1:11">
      <c r="A33" s="276"/>
      <c r="B33" s="276"/>
      <c r="C33" s="277"/>
      <c r="D33" s="278"/>
      <c r="E33" s="279"/>
      <c r="F33" s="275"/>
      <c r="G33" s="280"/>
      <c r="H33" s="276"/>
      <c r="I33" s="276"/>
      <c r="J33" s="277"/>
      <c r="K33" s="270"/>
    </row>
    <row r="34" spans="1:11" s="281" customFormat="1" ht="12.75" customHeight="1">
      <c r="A34" s="364" t="s">
        <v>1155</v>
      </c>
      <c r="B34" s="364"/>
      <c r="C34" s="364"/>
      <c r="E34" s="266"/>
      <c r="F34" s="266"/>
      <c r="G34" s="282"/>
      <c r="H34" s="366" t="s">
        <v>1065</v>
      </c>
      <c r="I34" s="366"/>
      <c r="J34" s="366"/>
      <c r="K34" s="366"/>
    </row>
    <row r="35" spans="1:11" s="281" customFormat="1" ht="12.75" customHeight="1">
      <c r="A35" s="364" t="s">
        <v>174</v>
      </c>
      <c r="B35" s="364"/>
      <c r="C35" s="364"/>
      <c r="H35" s="333" t="s">
        <v>175</v>
      </c>
      <c r="I35" s="333"/>
      <c r="J35" s="333"/>
      <c r="K35" s="333"/>
    </row>
    <row r="36" spans="1:11" s="281" customFormat="1" ht="12.75" customHeight="1">
      <c r="A36" s="364" t="s">
        <v>172</v>
      </c>
      <c r="B36" s="364"/>
      <c r="C36" s="364"/>
      <c r="E36" s="283"/>
      <c r="F36" s="284"/>
      <c r="G36" s="282"/>
      <c r="H36" s="333" t="s">
        <v>173</v>
      </c>
      <c r="I36" s="333"/>
      <c r="J36" s="333"/>
      <c r="K36" s="333"/>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3622047244094491" right="0.15748031496062992" top="0.55118110236220474" bottom="0.23622047244094491" header="0.31496062992125984" footer="0.19685039370078741"/>
  <pageSetup paperSize="9" scale="8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7"/>
  <sheetViews>
    <sheetView showGridLines="0" showZeros="0" showOutlineSymbols="0" view="pageBreakPreview" zoomScaleNormal="100" zoomScaleSheetLayoutView="100" workbookViewId="0">
      <selection activeCell="E67" sqref="E67:G67"/>
    </sheetView>
  </sheetViews>
  <sheetFormatPr defaultColWidth="9.140625" defaultRowHeight="10.5"/>
  <cols>
    <col min="1" max="1" width="4.28515625" style="102" customWidth="1"/>
    <col min="2" max="2" width="12.5703125" style="102" customWidth="1"/>
    <col min="3" max="3" width="16.28515625" style="102" customWidth="1"/>
    <col min="4" max="4" width="26.42578125" style="102" customWidth="1"/>
    <col min="5" max="5" width="9.140625" style="102"/>
    <col min="6" max="6" width="19.28515625" style="102" customWidth="1"/>
    <col min="7" max="7" width="20.5703125" style="102" customWidth="1"/>
    <col min="8" max="16384" width="9.140625" style="102"/>
  </cols>
  <sheetData>
    <row r="1" spans="1:7" ht="30.75" customHeight="1">
      <c r="A1" s="375"/>
      <c r="B1" s="375"/>
      <c r="C1" s="101"/>
      <c r="D1" s="101"/>
      <c r="E1" s="381" t="s">
        <v>322</v>
      </c>
      <c r="F1" s="381"/>
      <c r="G1" s="381"/>
    </row>
    <row r="2" spans="1:7" ht="27" customHeight="1">
      <c r="A2" s="382" t="s">
        <v>1</v>
      </c>
      <c r="B2" s="382"/>
      <c r="C2" s="382"/>
      <c r="D2" s="382"/>
      <c r="E2" s="382"/>
      <c r="F2" s="382"/>
      <c r="G2" s="382"/>
    </row>
    <row r="3" spans="1:7" ht="6.75" customHeight="1">
      <c r="A3" s="101"/>
      <c r="B3" s="101"/>
      <c r="C3" s="101"/>
      <c r="D3" s="101"/>
      <c r="E3" s="101"/>
      <c r="F3" s="101"/>
      <c r="G3" s="101"/>
    </row>
    <row r="4" spans="1:7" ht="24.75" customHeight="1">
      <c r="A4" s="383" t="s">
        <v>2</v>
      </c>
      <c r="B4" s="383"/>
      <c r="C4" s="383"/>
      <c r="D4" s="383"/>
      <c r="E4" s="383"/>
      <c r="F4" s="383"/>
      <c r="G4" s="383"/>
    </row>
    <row r="5" spans="1:7" ht="18.75" customHeight="1">
      <c r="A5" s="369" t="s">
        <v>176</v>
      </c>
      <c r="B5" s="369"/>
      <c r="C5" s="369"/>
      <c r="D5" s="369"/>
      <c r="E5" s="369"/>
      <c r="F5" s="369"/>
      <c r="G5" s="369"/>
    </row>
    <row r="6" spans="1:7" ht="12.75" customHeight="1">
      <c r="A6" s="103" t="s">
        <v>4</v>
      </c>
      <c r="B6" s="378" t="s">
        <v>5</v>
      </c>
      <c r="C6" s="378"/>
      <c r="D6" s="378" t="s">
        <v>6</v>
      </c>
      <c r="E6" s="378"/>
      <c r="F6" s="378"/>
      <c r="G6" s="378"/>
    </row>
    <row r="7" spans="1:7" ht="12.75" customHeight="1">
      <c r="A7" s="101"/>
      <c r="B7" s="375" t="s">
        <v>7</v>
      </c>
      <c r="C7" s="375"/>
      <c r="D7" s="375" t="s">
        <v>8</v>
      </c>
      <c r="E7" s="375"/>
      <c r="F7" s="375"/>
      <c r="G7" s="375"/>
    </row>
    <row r="8" spans="1:7" ht="12.75" customHeight="1">
      <c r="A8" s="103" t="s">
        <v>9</v>
      </c>
      <c r="B8" s="378" t="s">
        <v>10</v>
      </c>
      <c r="C8" s="378"/>
      <c r="D8" s="378" t="s">
        <v>11</v>
      </c>
      <c r="E8" s="378"/>
      <c r="F8" s="378"/>
      <c r="G8" s="378"/>
    </row>
    <row r="9" spans="1:7" ht="12.75" customHeight="1">
      <c r="A9" s="101"/>
      <c r="B9" s="375" t="s">
        <v>12</v>
      </c>
      <c r="C9" s="375"/>
      <c r="D9" s="375" t="s">
        <v>13</v>
      </c>
      <c r="E9" s="375"/>
      <c r="F9" s="375"/>
      <c r="G9" s="375"/>
    </row>
    <row r="10" spans="1:7" ht="12.75" customHeight="1">
      <c r="A10" s="103" t="s">
        <v>14</v>
      </c>
      <c r="B10" s="378" t="s">
        <v>177</v>
      </c>
      <c r="C10" s="378"/>
      <c r="D10" s="378" t="s">
        <v>16</v>
      </c>
      <c r="E10" s="378"/>
      <c r="F10" s="378"/>
      <c r="G10" s="378"/>
    </row>
    <row r="11" spans="1:7" ht="12.75" customHeight="1">
      <c r="A11" s="101"/>
      <c r="B11" s="375" t="s">
        <v>17</v>
      </c>
      <c r="C11" s="375"/>
      <c r="D11" s="375" t="s">
        <v>18</v>
      </c>
      <c r="E11" s="375"/>
      <c r="F11" s="375"/>
      <c r="G11" s="375"/>
    </row>
    <row r="12" spans="1:7" ht="12.75" customHeight="1">
      <c r="A12" s="103" t="s">
        <v>19</v>
      </c>
      <c r="B12" s="378" t="s">
        <v>20</v>
      </c>
      <c r="C12" s="378"/>
      <c r="D12" s="332">
        <v>46115</v>
      </c>
      <c r="E12" s="332"/>
      <c r="F12" s="332"/>
      <c r="G12" s="332"/>
    </row>
    <row r="13" spans="1:7" ht="12.75" customHeight="1">
      <c r="A13" s="101"/>
      <c r="B13" s="375" t="s">
        <v>21</v>
      </c>
      <c r="C13" s="375"/>
      <c r="D13" s="326">
        <f>+D12</f>
        <v>46115</v>
      </c>
      <c r="E13" s="326"/>
      <c r="F13" s="326"/>
      <c r="G13" s="326"/>
    </row>
    <row r="14" spans="1:7" ht="5.25" customHeight="1">
      <c r="A14" s="101"/>
      <c r="B14" s="101"/>
      <c r="C14" s="101"/>
      <c r="D14" s="101"/>
      <c r="E14" s="379"/>
      <c r="F14" s="379"/>
      <c r="G14" s="379"/>
    </row>
    <row r="15" spans="1:7" ht="15.75" customHeight="1">
      <c r="A15" s="380" t="s">
        <v>178</v>
      </c>
      <c r="B15" s="380"/>
      <c r="C15" s="380"/>
      <c r="D15" s="380"/>
      <c r="E15" s="380"/>
      <c r="F15" s="380"/>
      <c r="G15" s="380"/>
    </row>
    <row r="16" spans="1:7" ht="15.75" customHeight="1">
      <c r="A16" s="378" t="s">
        <v>323</v>
      </c>
      <c r="B16" s="378"/>
      <c r="C16" s="378"/>
      <c r="D16" s="378"/>
      <c r="E16" s="378"/>
      <c r="F16" s="378"/>
      <c r="G16" s="378"/>
    </row>
    <row r="17" spans="1:9" ht="11.25" customHeight="1">
      <c r="A17" s="105"/>
      <c r="B17" s="106"/>
      <c r="C17" s="105"/>
      <c r="D17" s="377" t="s">
        <v>24</v>
      </c>
      <c r="E17" s="377"/>
      <c r="F17" s="377"/>
      <c r="G17" s="377"/>
    </row>
    <row r="18" spans="1:9" ht="32.25" customHeight="1">
      <c r="A18" s="107" t="s">
        <v>324</v>
      </c>
      <c r="B18" s="376" t="s">
        <v>181</v>
      </c>
      <c r="C18" s="376"/>
      <c r="D18" s="376"/>
      <c r="E18" s="108" t="s">
        <v>27</v>
      </c>
      <c r="F18" s="108" t="s">
        <v>182</v>
      </c>
      <c r="G18" s="109" t="s">
        <v>183</v>
      </c>
    </row>
    <row r="19" spans="1:9" ht="21.95" customHeight="1">
      <c r="A19" s="110" t="s">
        <v>32</v>
      </c>
      <c r="B19" s="370" t="s">
        <v>325</v>
      </c>
      <c r="C19" s="370"/>
      <c r="D19" s="370"/>
      <c r="E19" s="111" t="s">
        <v>326</v>
      </c>
      <c r="F19" s="112">
        <v>0</v>
      </c>
      <c r="G19" s="113">
        <v>0</v>
      </c>
    </row>
    <row r="20" spans="1:9" ht="33" customHeight="1">
      <c r="A20" s="110" t="s">
        <v>4</v>
      </c>
      <c r="B20" s="370" t="s">
        <v>327</v>
      </c>
      <c r="C20" s="370"/>
      <c r="D20" s="370"/>
      <c r="E20" s="111" t="s">
        <v>328</v>
      </c>
      <c r="F20" s="114">
        <v>8.0009999999999994E-3</v>
      </c>
      <c r="G20" s="115">
        <v>8.0000000000000002E-3</v>
      </c>
      <c r="H20" s="116"/>
      <c r="I20" s="116"/>
    </row>
    <row r="21" spans="1:9" ht="33" customHeight="1">
      <c r="A21" s="110" t="s">
        <v>9</v>
      </c>
      <c r="B21" s="370" t="s">
        <v>329</v>
      </c>
      <c r="C21" s="370"/>
      <c r="D21" s="370"/>
      <c r="E21" s="111" t="s">
        <v>330</v>
      </c>
      <c r="F21" s="114">
        <v>7.18E-4</v>
      </c>
      <c r="G21" s="115">
        <v>7.4700000000000005E-4</v>
      </c>
      <c r="H21" s="116"/>
      <c r="I21" s="116"/>
    </row>
    <row r="22" spans="1:9" ht="41.25" customHeight="1">
      <c r="A22" s="110" t="s">
        <v>14</v>
      </c>
      <c r="B22" s="370" t="s">
        <v>332</v>
      </c>
      <c r="C22" s="370"/>
      <c r="D22" s="370"/>
      <c r="E22" s="111" t="s">
        <v>333</v>
      </c>
      <c r="F22" s="114">
        <v>1.6800000000000001E-3</v>
      </c>
      <c r="G22" s="115">
        <v>1.681E-3</v>
      </c>
      <c r="H22" s="116"/>
      <c r="I22" s="116"/>
    </row>
    <row r="23" spans="1:9" ht="33" customHeight="1">
      <c r="A23" s="110" t="s">
        <v>19</v>
      </c>
      <c r="B23" s="370" t="s">
        <v>335</v>
      </c>
      <c r="C23" s="370"/>
      <c r="D23" s="370"/>
      <c r="E23" s="111" t="s">
        <v>336</v>
      </c>
      <c r="F23" s="114">
        <v>2.3E-5</v>
      </c>
      <c r="G23" s="115">
        <v>2.5000000000000001E-5</v>
      </c>
      <c r="H23" s="116"/>
      <c r="I23" s="116"/>
    </row>
    <row r="24" spans="1:9" ht="41.25" customHeight="1">
      <c r="A24" s="110" t="s">
        <v>45</v>
      </c>
      <c r="B24" s="370" t="s">
        <v>338</v>
      </c>
      <c r="C24" s="370"/>
      <c r="D24" s="370"/>
      <c r="E24" s="111"/>
      <c r="F24" s="114">
        <v>0</v>
      </c>
      <c r="G24" s="115">
        <v>0</v>
      </c>
      <c r="H24" s="116"/>
      <c r="I24" s="116"/>
    </row>
    <row r="25" spans="1:9" ht="42.75" customHeight="1">
      <c r="A25" s="110" t="s">
        <v>48</v>
      </c>
      <c r="B25" s="370" t="s">
        <v>339</v>
      </c>
      <c r="C25" s="370"/>
      <c r="D25" s="370"/>
      <c r="E25" s="111"/>
      <c r="F25" s="114">
        <v>0</v>
      </c>
      <c r="G25" s="115">
        <v>0</v>
      </c>
      <c r="H25" s="116"/>
      <c r="I25" s="116"/>
    </row>
    <row r="26" spans="1:9" ht="49.5" customHeight="1">
      <c r="A26" s="110" t="s">
        <v>51</v>
      </c>
      <c r="B26" s="370" t="s">
        <v>1120</v>
      </c>
      <c r="C26" s="370"/>
      <c r="D26" s="370"/>
      <c r="E26" s="111" t="s">
        <v>340</v>
      </c>
      <c r="F26" s="114">
        <v>9.0000000000000002E-6</v>
      </c>
      <c r="G26" s="115">
        <v>9.0000000000000002E-6</v>
      </c>
      <c r="H26" s="116"/>
      <c r="I26" s="116"/>
    </row>
    <row r="27" spans="1:9" ht="21.95" customHeight="1">
      <c r="A27" s="110" t="s">
        <v>54</v>
      </c>
      <c r="B27" s="370" t="s">
        <v>342</v>
      </c>
      <c r="C27" s="370"/>
      <c r="D27" s="370"/>
      <c r="E27" s="111" t="s">
        <v>343</v>
      </c>
      <c r="F27" s="114">
        <v>1.0456E-2</v>
      </c>
      <c r="G27" s="115">
        <v>1.048E-2</v>
      </c>
      <c r="H27" s="116"/>
      <c r="I27" s="116"/>
    </row>
    <row r="28" spans="1:9" ht="42.75" customHeight="1">
      <c r="A28" s="110" t="s">
        <v>57</v>
      </c>
      <c r="B28" s="370" t="s">
        <v>345</v>
      </c>
      <c r="C28" s="370"/>
      <c r="D28" s="370"/>
      <c r="E28" s="111" t="s">
        <v>346</v>
      </c>
      <c r="F28" s="114">
        <v>0.26979599999999998</v>
      </c>
      <c r="G28" s="115">
        <v>0.280366</v>
      </c>
      <c r="H28" s="116"/>
      <c r="I28" s="116"/>
    </row>
    <row r="29" spans="1:9" ht="42.75" customHeight="1">
      <c r="A29" s="110" t="s">
        <v>60</v>
      </c>
      <c r="B29" s="370" t="s">
        <v>347</v>
      </c>
      <c r="C29" s="370"/>
      <c r="D29" s="370"/>
      <c r="E29" s="111"/>
      <c r="F29" s="114">
        <v>0</v>
      </c>
      <c r="G29" s="115">
        <v>0</v>
      </c>
      <c r="H29" s="116"/>
      <c r="I29" s="116"/>
    </row>
    <row r="30" spans="1:9" ht="21.95" customHeight="1">
      <c r="A30" s="110" t="s">
        <v>34</v>
      </c>
      <c r="B30" s="370" t="s">
        <v>348</v>
      </c>
      <c r="C30" s="370"/>
      <c r="D30" s="370"/>
      <c r="E30" s="111" t="s">
        <v>349</v>
      </c>
      <c r="F30" s="112">
        <v>0</v>
      </c>
      <c r="G30" s="113">
        <v>0</v>
      </c>
      <c r="H30" s="116"/>
      <c r="I30" s="116"/>
    </row>
    <row r="31" spans="1:9" ht="21.95" customHeight="1">
      <c r="A31" s="110" t="s">
        <v>4</v>
      </c>
      <c r="B31" s="370" t="s">
        <v>350</v>
      </c>
      <c r="C31" s="370"/>
      <c r="D31" s="370"/>
      <c r="E31" s="111" t="s">
        <v>351</v>
      </c>
      <c r="F31" s="117">
        <v>3529000000000</v>
      </c>
      <c r="G31" s="118">
        <v>3449000000000</v>
      </c>
      <c r="H31" s="116"/>
      <c r="I31" s="116"/>
    </row>
    <row r="32" spans="1:9" ht="21.95" customHeight="1">
      <c r="A32" s="110"/>
      <c r="B32" s="370" t="s">
        <v>352</v>
      </c>
      <c r="C32" s="370"/>
      <c r="D32" s="370"/>
      <c r="E32" s="111" t="s">
        <v>353</v>
      </c>
      <c r="F32" s="117">
        <v>3529000000000</v>
      </c>
      <c r="G32" s="118">
        <v>3449000000000</v>
      </c>
      <c r="H32" s="116"/>
      <c r="I32" s="116"/>
    </row>
    <row r="33" spans="1:9" ht="21.95" customHeight="1">
      <c r="A33" s="110"/>
      <c r="B33" s="370" t="s">
        <v>354</v>
      </c>
      <c r="C33" s="370"/>
      <c r="D33" s="370"/>
      <c r="E33" s="111" t="s">
        <v>355</v>
      </c>
      <c r="F33" s="117">
        <v>352900000</v>
      </c>
      <c r="G33" s="118">
        <v>344900000</v>
      </c>
      <c r="H33" s="116"/>
      <c r="I33" s="116"/>
    </row>
    <row r="34" spans="1:9" ht="21.95" customHeight="1">
      <c r="A34" s="110" t="s">
        <v>9</v>
      </c>
      <c r="B34" s="370" t="s">
        <v>356</v>
      </c>
      <c r="C34" s="370"/>
      <c r="D34" s="370"/>
      <c r="E34" s="111" t="s">
        <v>357</v>
      </c>
      <c r="F34" s="117">
        <v>-258000000000</v>
      </c>
      <c r="G34" s="118">
        <v>80000000000</v>
      </c>
      <c r="H34" s="116"/>
      <c r="I34" s="116"/>
    </row>
    <row r="35" spans="1:9" ht="21.95" customHeight="1">
      <c r="A35" s="110"/>
      <c r="B35" s="370" t="s">
        <v>358</v>
      </c>
      <c r="C35" s="370"/>
      <c r="D35" s="370"/>
      <c r="E35" s="111" t="s">
        <v>359</v>
      </c>
      <c r="F35" s="117">
        <v>-25800000</v>
      </c>
      <c r="G35" s="118">
        <v>8000000</v>
      </c>
      <c r="H35" s="116"/>
      <c r="I35" s="116"/>
    </row>
    <row r="36" spans="1:9" ht="21.95" customHeight="1">
      <c r="A36" s="110"/>
      <c r="B36" s="370" t="s">
        <v>360</v>
      </c>
      <c r="C36" s="370"/>
      <c r="D36" s="370"/>
      <c r="E36" s="111" t="s">
        <v>361</v>
      </c>
      <c r="F36" s="117">
        <v>-258000000000</v>
      </c>
      <c r="G36" s="118">
        <v>80000000000</v>
      </c>
      <c r="H36" s="116"/>
      <c r="I36" s="116"/>
    </row>
    <row r="37" spans="1:9" ht="21.95" customHeight="1">
      <c r="A37" s="110"/>
      <c r="B37" s="370" t="s">
        <v>362</v>
      </c>
      <c r="C37" s="370"/>
      <c r="D37" s="370"/>
      <c r="E37" s="111" t="s">
        <v>363</v>
      </c>
      <c r="F37" s="117">
        <v>13900000</v>
      </c>
      <c r="G37" s="118">
        <v>14700000</v>
      </c>
      <c r="H37" s="116"/>
      <c r="I37" s="116"/>
    </row>
    <row r="38" spans="1:9" ht="21.95" customHeight="1">
      <c r="A38" s="110"/>
      <c r="B38" s="370" t="s">
        <v>364</v>
      </c>
      <c r="C38" s="370"/>
      <c r="D38" s="370"/>
      <c r="E38" s="111" t="s">
        <v>365</v>
      </c>
      <c r="F38" s="117">
        <v>139000000000</v>
      </c>
      <c r="G38" s="118">
        <v>147000000000</v>
      </c>
      <c r="H38" s="116"/>
      <c r="I38" s="116"/>
    </row>
    <row r="39" spans="1:9" ht="21.95" customHeight="1">
      <c r="A39" s="110"/>
      <c r="B39" s="370" t="s">
        <v>366</v>
      </c>
      <c r="C39" s="370"/>
      <c r="D39" s="370"/>
      <c r="E39" s="111" t="s">
        <v>367</v>
      </c>
      <c r="F39" s="117">
        <v>-39700000</v>
      </c>
      <c r="G39" s="118">
        <v>-6700000</v>
      </c>
      <c r="H39" s="116"/>
      <c r="I39" s="116"/>
    </row>
    <row r="40" spans="1:9" ht="21.95" customHeight="1">
      <c r="A40" s="110"/>
      <c r="B40" s="370" t="s">
        <v>368</v>
      </c>
      <c r="C40" s="370"/>
      <c r="D40" s="370"/>
      <c r="E40" s="111" t="s">
        <v>369</v>
      </c>
      <c r="F40" s="117">
        <v>-397000000000</v>
      </c>
      <c r="G40" s="118">
        <v>-67000000000</v>
      </c>
      <c r="H40" s="116"/>
      <c r="I40" s="116"/>
    </row>
    <row r="41" spans="1:9" ht="21.95" customHeight="1">
      <c r="A41" s="110" t="s">
        <v>14</v>
      </c>
      <c r="B41" s="370" t="s">
        <v>370</v>
      </c>
      <c r="C41" s="370"/>
      <c r="D41" s="370"/>
      <c r="E41" s="111" t="s">
        <v>371</v>
      </c>
      <c r="F41" s="117">
        <v>3271000000000</v>
      </c>
      <c r="G41" s="118">
        <v>3529000000000</v>
      </c>
      <c r="H41" s="116"/>
      <c r="I41" s="116"/>
    </row>
    <row r="42" spans="1:9" ht="21.95" customHeight="1">
      <c r="A42" s="110"/>
      <c r="B42" s="370" t="s">
        <v>372</v>
      </c>
      <c r="C42" s="370"/>
      <c r="D42" s="370"/>
      <c r="E42" s="111" t="s">
        <v>373</v>
      </c>
      <c r="F42" s="117">
        <v>3271000000000</v>
      </c>
      <c r="G42" s="118">
        <v>3529000000000</v>
      </c>
      <c r="H42" s="116"/>
      <c r="I42" s="116"/>
    </row>
    <row r="43" spans="1:9" ht="21.95" customHeight="1">
      <c r="A43" s="110"/>
      <c r="B43" s="370" t="s">
        <v>374</v>
      </c>
      <c r="C43" s="370"/>
      <c r="D43" s="370"/>
      <c r="E43" s="111" t="s">
        <v>375</v>
      </c>
      <c r="F43" s="117">
        <v>327100000</v>
      </c>
      <c r="G43" s="118">
        <v>352900000</v>
      </c>
      <c r="H43" s="116"/>
      <c r="I43" s="116"/>
    </row>
    <row r="44" spans="1:9" ht="31.5" customHeight="1">
      <c r="A44" s="110" t="s">
        <v>19</v>
      </c>
      <c r="B44" s="370" t="s">
        <v>376</v>
      </c>
      <c r="C44" s="370"/>
      <c r="D44" s="370"/>
      <c r="E44" s="111" t="s">
        <v>377</v>
      </c>
      <c r="F44" s="119">
        <v>1.26E-2</v>
      </c>
      <c r="G44" s="120">
        <v>1.17E-2</v>
      </c>
      <c r="H44" s="116"/>
      <c r="I44" s="116"/>
    </row>
    <row r="45" spans="1:9" ht="23.25" customHeight="1">
      <c r="A45" s="110" t="s">
        <v>45</v>
      </c>
      <c r="B45" s="371" t="s">
        <v>378</v>
      </c>
      <c r="C45" s="372"/>
      <c r="D45" s="373"/>
      <c r="E45" s="111" t="s">
        <v>379</v>
      </c>
      <c r="F45" s="119">
        <v>0.77559999999999996</v>
      </c>
      <c r="G45" s="120">
        <v>0.82030000000000003</v>
      </c>
      <c r="H45" s="116"/>
      <c r="I45" s="116"/>
    </row>
    <row r="46" spans="1:9" ht="23.25" customHeight="1">
      <c r="A46" s="110" t="s">
        <v>48</v>
      </c>
      <c r="B46" s="371" t="s">
        <v>380</v>
      </c>
      <c r="C46" s="372"/>
      <c r="D46" s="373"/>
      <c r="E46" s="111" t="s">
        <v>381</v>
      </c>
      <c r="F46" s="119">
        <v>0.93200000000000005</v>
      </c>
      <c r="G46" s="120">
        <v>0.94679999999999997</v>
      </c>
      <c r="H46" s="116"/>
      <c r="I46" s="116"/>
    </row>
    <row r="47" spans="1:9" ht="21.95" customHeight="1">
      <c r="A47" s="110" t="s">
        <v>51</v>
      </c>
      <c r="B47" s="370" t="s">
        <v>382</v>
      </c>
      <c r="C47" s="370"/>
      <c r="D47" s="370"/>
      <c r="E47" s="111" t="s">
        <v>383</v>
      </c>
      <c r="F47" s="121">
        <v>36817.47</v>
      </c>
      <c r="G47" s="122">
        <v>38478.93</v>
      </c>
      <c r="H47" s="116"/>
      <c r="I47" s="116"/>
    </row>
    <row r="48" spans="1:9" ht="21.95" customHeight="1">
      <c r="A48" s="110" t="s">
        <v>54</v>
      </c>
      <c r="B48" s="370" t="s">
        <v>384</v>
      </c>
      <c r="C48" s="370"/>
      <c r="D48" s="370"/>
      <c r="E48" s="111" t="s">
        <v>385</v>
      </c>
      <c r="F48" s="123">
        <v>36670</v>
      </c>
      <c r="G48" s="124">
        <v>38300</v>
      </c>
      <c r="H48" s="116"/>
      <c r="I48" s="116"/>
    </row>
    <row r="49" spans="1:9" ht="21.95" customHeight="1">
      <c r="A49" s="125" t="s">
        <v>57</v>
      </c>
      <c r="B49" s="374" t="s">
        <v>386</v>
      </c>
      <c r="C49" s="374"/>
      <c r="D49" s="374"/>
      <c r="E49" s="126" t="s">
        <v>387</v>
      </c>
      <c r="F49" s="127">
        <v>10025</v>
      </c>
      <c r="G49" s="128">
        <v>6934</v>
      </c>
      <c r="H49" s="116"/>
      <c r="I49" s="116"/>
    </row>
    <row r="50" spans="1:9" ht="4.5" customHeight="1">
      <c r="A50" s="101"/>
      <c r="B50" s="101"/>
      <c r="C50" s="101"/>
      <c r="D50" s="101"/>
      <c r="E50" s="101"/>
      <c r="F50" s="129"/>
      <c r="G50" s="129"/>
    </row>
    <row r="51" spans="1:9" ht="14.25" customHeight="1">
      <c r="A51" s="375" t="s">
        <v>388</v>
      </c>
      <c r="B51" s="375"/>
      <c r="C51" s="375"/>
      <c r="D51" s="375"/>
      <c r="E51" s="375"/>
      <c r="F51" s="375"/>
      <c r="G51" s="375"/>
    </row>
    <row r="52" spans="1:9" ht="238.5" customHeight="1">
      <c r="A52" s="368" t="s">
        <v>852</v>
      </c>
      <c r="B52" s="368"/>
      <c r="C52" s="368"/>
      <c r="D52" s="368"/>
      <c r="E52" s="368"/>
      <c r="F52" s="368"/>
      <c r="G52" s="368"/>
    </row>
    <row r="53" spans="1:9" ht="122.25" customHeight="1">
      <c r="A53" s="368" t="s">
        <v>853</v>
      </c>
      <c r="B53" s="368"/>
      <c r="C53" s="368"/>
      <c r="D53" s="368"/>
      <c r="E53" s="368"/>
      <c r="F53" s="368"/>
      <c r="G53" s="368"/>
    </row>
    <row r="54" spans="1:9" ht="112.5" customHeight="1">
      <c r="A54" s="368" t="s">
        <v>854</v>
      </c>
      <c r="B54" s="368"/>
      <c r="C54" s="368"/>
      <c r="D54" s="368"/>
      <c r="E54" s="368"/>
      <c r="F54" s="368"/>
      <c r="G54" s="368"/>
    </row>
    <row r="55" spans="1:9" ht="48.75" customHeight="1">
      <c r="A55" s="368" t="s">
        <v>855</v>
      </c>
      <c r="B55" s="368"/>
      <c r="C55" s="368"/>
      <c r="D55" s="368"/>
      <c r="E55" s="368"/>
      <c r="F55" s="368"/>
      <c r="G55" s="368"/>
    </row>
    <row r="56" spans="1:9" ht="4.5" customHeight="1">
      <c r="A56" s="101"/>
      <c r="B56" s="130"/>
      <c r="C56" s="101"/>
      <c r="D56" s="101"/>
      <c r="E56" s="101"/>
      <c r="F56" s="101"/>
      <c r="G56" s="101"/>
    </row>
    <row r="57" spans="1:9" ht="14.25" customHeight="1">
      <c r="A57" s="367" t="s">
        <v>389</v>
      </c>
      <c r="B57" s="367"/>
      <c r="C57" s="367"/>
      <c r="D57" s="367"/>
      <c r="E57" s="367" t="s">
        <v>167</v>
      </c>
      <c r="F57" s="367"/>
      <c r="G57" s="367"/>
    </row>
    <row r="58" spans="1:9" ht="12" customHeight="1">
      <c r="A58" s="369" t="s">
        <v>168</v>
      </c>
      <c r="B58" s="369"/>
      <c r="C58" s="369"/>
      <c r="D58" s="369"/>
      <c r="E58" s="369" t="s">
        <v>169</v>
      </c>
      <c r="F58" s="369"/>
      <c r="G58" s="369"/>
    </row>
    <row r="59" spans="1:9" ht="15" customHeight="1">
      <c r="A59" s="101"/>
      <c r="B59" s="101"/>
      <c r="C59" s="101"/>
      <c r="D59" s="101"/>
      <c r="E59" s="101"/>
      <c r="F59" s="101"/>
      <c r="G59" s="101"/>
    </row>
    <row r="60" spans="1:9" ht="15" customHeight="1">
      <c r="A60" s="101"/>
      <c r="B60" s="101"/>
      <c r="C60" s="101"/>
      <c r="D60" s="101"/>
      <c r="E60" s="101"/>
      <c r="F60" s="101"/>
      <c r="G60" s="101"/>
    </row>
    <row r="61" spans="1:9" ht="15.75" customHeight="1">
      <c r="A61" s="101"/>
      <c r="B61" s="101"/>
      <c r="C61" s="101"/>
      <c r="D61" s="101"/>
      <c r="E61" s="101"/>
      <c r="F61" s="101"/>
      <c r="G61" s="101"/>
    </row>
    <row r="62" spans="1:9" ht="15" customHeight="1">
      <c r="A62" s="101"/>
      <c r="B62" s="101"/>
      <c r="C62" s="101"/>
      <c r="D62" s="101"/>
      <c r="E62" s="101"/>
      <c r="F62" s="101"/>
      <c r="G62" s="101"/>
    </row>
    <row r="63" spans="1:9" ht="15.75" customHeight="1">
      <c r="A63" s="101"/>
      <c r="B63" s="101"/>
      <c r="C63" s="101"/>
      <c r="D63" s="101"/>
      <c r="E63" s="101"/>
      <c r="F63" s="101"/>
      <c r="G63" s="101"/>
    </row>
    <row r="64" spans="1:9" ht="15.75" customHeight="1">
      <c r="A64" s="101"/>
      <c r="B64" s="101"/>
      <c r="C64" s="101"/>
      <c r="D64" s="101"/>
      <c r="E64" s="101"/>
      <c r="F64" s="101"/>
      <c r="G64" s="101"/>
    </row>
    <row r="65" spans="1:7" ht="15.75" customHeight="1">
      <c r="A65" s="367" t="s">
        <v>170</v>
      </c>
      <c r="B65" s="367"/>
      <c r="C65" s="367"/>
      <c r="D65" s="367"/>
      <c r="E65" s="367" t="s">
        <v>171</v>
      </c>
      <c r="F65" s="367"/>
      <c r="G65" s="367"/>
    </row>
    <row r="66" spans="1:7">
      <c r="A66" s="367" t="s">
        <v>174</v>
      </c>
      <c r="B66" s="367"/>
      <c r="C66" s="367"/>
      <c r="D66" s="367"/>
      <c r="E66" s="367" t="s">
        <v>175</v>
      </c>
      <c r="F66" s="367"/>
      <c r="G66" s="367"/>
    </row>
    <row r="67" spans="1:7">
      <c r="A67" s="367" t="s">
        <v>172</v>
      </c>
      <c r="B67" s="367"/>
      <c r="C67" s="367"/>
      <c r="D67" s="367"/>
      <c r="E67" s="367" t="s">
        <v>173</v>
      </c>
      <c r="F67" s="367"/>
      <c r="G67" s="367"/>
    </row>
  </sheetData>
  <mergeCells count="72">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4:G54"/>
    <mergeCell ref="B42:D42"/>
    <mergeCell ref="B43:D43"/>
    <mergeCell ref="B44:D44"/>
    <mergeCell ref="B45:D45"/>
    <mergeCell ref="B46:D46"/>
    <mergeCell ref="B47:D47"/>
    <mergeCell ref="B48:D48"/>
    <mergeCell ref="B49:D49"/>
    <mergeCell ref="A51:G51"/>
    <mergeCell ref="A52:G52"/>
    <mergeCell ref="A53:G53"/>
    <mergeCell ref="A67:D67"/>
    <mergeCell ref="E67:G67"/>
    <mergeCell ref="A66:D66"/>
    <mergeCell ref="E66:G66"/>
    <mergeCell ref="A55:G55"/>
    <mergeCell ref="A57:D57"/>
    <mergeCell ref="E57:G57"/>
    <mergeCell ref="A58:D58"/>
    <mergeCell ref="E58:G58"/>
    <mergeCell ref="A65:D65"/>
    <mergeCell ref="E65:G65"/>
  </mergeCells>
  <printOptions horizontalCentered="1"/>
  <pageMargins left="0.78740157480314965" right="0.19685039370078741" top="0.39370078740157483" bottom="0" header="0.31496062992125984" footer="0.31496062992125984"/>
  <pageSetup paperSize="9" scale="85"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88"/>
  <sheetViews>
    <sheetView showGridLines="0" showZeros="0" showOutlineSymbols="0" zoomScaleNormal="100" workbookViewId="0">
      <selection activeCell="A89" sqref="A89"/>
    </sheetView>
  </sheetViews>
  <sheetFormatPr defaultRowHeight="15"/>
  <cols>
    <col min="1" max="1" width="35.7109375" style="3" customWidth="1"/>
    <col min="2" max="3" width="8.5703125" style="3" customWidth="1"/>
    <col min="4" max="7" width="16.42578125" style="3" customWidth="1"/>
    <col min="8" max="8" width="13.85546875" style="3" bestFit="1" customWidth="1"/>
    <col min="9" max="256" width="9.140625" style="3"/>
    <col min="257" max="257" width="35.7109375" style="3" customWidth="1"/>
    <col min="258" max="259" width="8.5703125" style="3" customWidth="1"/>
    <col min="260" max="263" width="16.42578125" style="3" customWidth="1"/>
    <col min="264" max="512" width="9.140625" style="3"/>
    <col min="513" max="513" width="35.7109375" style="3" customWidth="1"/>
    <col min="514" max="515" width="8.5703125" style="3" customWidth="1"/>
    <col min="516" max="519" width="16.42578125" style="3" customWidth="1"/>
    <col min="520" max="768" width="9.140625" style="3"/>
    <col min="769" max="769" width="35.7109375" style="3" customWidth="1"/>
    <col min="770" max="771" width="8.5703125" style="3" customWidth="1"/>
    <col min="772" max="775" width="16.42578125" style="3" customWidth="1"/>
    <col min="776" max="1024" width="9.140625" style="3"/>
    <col min="1025" max="1025" width="35.7109375" style="3" customWidth="1"/>
    <col min="1026" max="1027" width="8.5703125" style="3" customWidth="1"/>
    <col min="1028" max="1031" width="16.42578125" style="3" customWidth="1"/>
    <col min="1032" max="1280" width="9.140625" style="3"/>
    <col min="1281" max="1281" width="35.7109375" style="3" customWidth="1"/>
    <col min="1282" max="1283" width="8.5703125" style="3" customWidth="1"/>
    <col min="1284" max="1287" width="16.42578125" style="3" customWidth="1"/>
    <col min="1288" max="1536" width="9.140625" style="3"/>
    <col min="1537" max="1537" width="35.7109375" style="3" customWidth="1"/>
    <col min="1538" max="1539" width="8.5703125" style="3" customWidth="1"/>
    <col min="1540" max="1543" width="16.42578125" style="3" customWidth="1"/>
    <col min="1544" max="1792" width="9.140625" style="3"/>
    <col min="1793" max="1793" width="35.7109375" style="3" customWidth="1"/>
    <col min="1794" max="1795" width="8.5703125" style="3" customWidth="1"/>
    <col min="1796" max="1799" width="16.42578125" style="3" customWidth="1"/>
    <col min="1800" max="2048" width="9.140625" style="3"/>
    <col min="2049" max="2049" width="35.7109375" style="3" customWidth="1"/>
    <col min="2050" max="2051" width="8.5703125" style="3" customWidth="1"/>
    <col min="2052" max="2055" width="16.42578125" style="3" customWidth="1"/>
    <col min="2056" max="2304" width="9.140625" style="3"/>
    <col min="2305" max="2305" width="35.7109375" style="3" customWidth="1"/>
    <col min="2306" max="2307" width="8.5703125" style="3" customWidth="1"/>
    <col min="2308" max="2311" width="16.42578125" style="3" customWidth="1"/>
    <col min="2312" max="2560" width="9.140625" style="3"/>
    <col min="2561" max="2561" width="35.7109375" style="3" customWidth="1"/>
    <col min="2562" max="2563" width="8.5703125" style="3" customWidth="1"/>
    <col min="2564" max="2567" width="16.42578125" style="3" customWidth="1"/>
    <col min="2568" max="2816" width="9.140625" style="3"/>
    <col min="2817" max="2817" width="35.7109375" style="3" customWidth="1"/>
    <col min="2818" max="2819" width="8.5703125" style="3" customWidth="1"/>
    <col min="2820" max="2823" width="16.42578125" style="3" customWidth="1"/>
    <col min="2824" max="3072" width="9.140625" style="3"/>
    <col min="3073" max="3073" width="35.7109375" style="3" customWidth="1"/>
    <col min="3074" max="3075" width="8.5703125" style="3" customWidth="1"/>
    <col min="3076" max="3079" width="16.42578125" style="3" customWidth="1"/>
    <col min="3080" max="3328" width="9.140625" style="3"/>
    <col min="3329" max="3329" width="35.7109375" style="3" customWidth="1"/>
    <col min="3330" max="3331" width="8.5703125" style="3" customWidth="1"/>
    <col min="3332" max="3335" width="16.42578125" style="3" customWidth="1"/>
    <col min="3336" max="3584" width="9.140625" style="3"/>
    <col min="3585" max="3585" width="35.7109375" style="3" customWidth="1"/>
    <col min="3586" max="3587" width="8.5703125" style="3" customWidth="1"/>
    <col min="3588" max="3591" width="16.42578125" style="3" customWidth="1"/>
    <col min="3592" max="3840" width="9.140625" style="3"/>
    <col min="3841" max="3841" width="35.7109375" style="3" customWidth="1"/>
    <col min="3842" max="3843" width="8.5703125" style="3" customWidth="1"/>
    <col min="3844" max="3847" width="16.42578125" style="3" customWidth="1"/>
    <col min="3848" max="4096" width="9.140625" style="3"/>
    <col min="4097" max="4097" width="35.7109375" style="3" customWidth="1"/>
    <col min="4098" max="4099" width="8.5703125" style="3" customWidth="1"/>
    <col min="4100" max="4103" width="16.42578125" style="3" customWidth="1"/>
    <col min="4104" max="4352" width="9.140625" style="3"/>
    <col min="4353" max="4353" width="35.7109375" style="3" customWidth="1"/>
    <col min="4354" max="4355" width="8.5703125" style="3" customWidth="1"/>
    <col min="4356" max="4359" width="16.42578125" style="3" customWidth="1"/>
    <col min="4360" max="4608" width="9.140625" style="3"/>
    <col min="4609" max="4609" width="35.7109375" style="3" customWidth="1"/>
    <col min="4610" max="4611" width="8.5703125" style="3" customWidth="1"/>
    <col min="4612" max="4615" width="16.42578125" style="3" customWidth="1"/>
    <col min="4616" max="4864" width="9.140625" style="3"/>
    <col min="4865" max="4865" width="35.7109375" style="3" customWidth="1"/>
    <col min="4866" max="4867" width="8.5703125" style="3" customWidth="1"/>
    <col min="4868" max="4871" width="16.42578125" style="3" customWidth="1"/>
    <col min="4872" max="5120" width="9.140625" style="3"/>
    <col min="5121" max="5121" width="35.7109375" style="3" customWidth="1"/>
    <col min="5122" max="5123" width="8.5703125" style="3" customWidth="1"/>
    <col min="5124" max="5127" width="16.42578125" style="3" customWidth="1"/>
    <col min="5128" max="5376" width="9.140625" style="3"/>
    <col min="5377" max="5377" width="35.7109375" style="3" customWidth="1"/>
    <col min="5378" max="5379" width="8.5703125" style="3" customWidth="1"/>
    <col min="5380" max="5383" width="16.42578125" style="3" customWidth="1"/>
    <col min="5384" max="5632" width="9.140625" style="3"/>
    <col min="5633" max="5633" width="35.7109375" style="3" customWidth="1"/>
    <col min="5634" max="5635" width="8.5703125" style="3" customWidth="1"/>
    <col min="5636" max="5639" width="16.42578125" style="3" customWidth="1"/>
    <col min="5640" max="5888" width="9.140625" style="3"/>
    <col min="5889" max="5889" width="35.7109375" style="3" customWidth="1"/>
    <col min="5890" max="5891" width="8.5703125" style="3" customWidth="1"/>
    <col min="5892" max="5895" width="16.42578125" style="3" customWidth="1"/>
    <col min="5896" max="6144" width="9.140625" style="3"/>
    <col min="6145" max="6145" width="35.7109375" style="3" customWidth="1"/>
    <col min="6146" max="6147" width="8.5703125" style="3" customWidth="1"/>
    <col min="6148" max="6151" width="16.42578125" style="3" customWidth="1"/>
    <col min="6152" max="6400" width="9.140625" style="3"/>
    <col min="6401" max="6401" width="35.7109375" style="3" customWidth="1"/>
    <col min="6402" max="6403" width="8.5703125" style="3" customWidth="1"/>
    <col min="6404" max="6407" width="16.42578125" style="3" customWidth="1"/>
    <col min="6408" max="6656" width="9.140625" style="3"/>
    <col min="6657" max="6657" width="35.7109375" style="3" customWidth="1"/>
    <col min="6658" max="6659" width="8.5703125" style="3" customWidth="1"/>
    <col min="6660" max="6663" width="16.42578125" style="3" customWidth="1"/>
    <col min="6664" max="6912" width="9.140625" style="3"/>
    <col min="6913" max="6913" width="35.7109375" style="3" customWidth="1"/>
    <col min="6914" max="6915" width="8.5703125" style="3" customWidth="1"/>
    <col min="6916" max="6919" width="16.42578125" style="3" customWidth="1"/>
    <col min="6920" max="7168" width="9.140625" style="3"/>
    <col min="7169" max="7169" width="35.7109375" style="3" customWidth="1"/>
    <col min="7170" max="7171" width="8.5703125" style="3" customWidth="1"/>
    <col min="7172" max="7175" width="16.42578125" style="3" customWidth="1"/>
    <col min="7176" max="7424" width="9.140625" style="3"/>
    <col min="7425" max="7425" width="35.7109375" style="3" customWidth="1"/>
    <col min="7426" max="7427" width="8.5703125" style="3" customWidth="1"/>
    <col min="7428" max="7431" width="16.42578125" style="3" customWidth="1"/>
    <col min="7432" max="7680" width="9.140625" style="3"/>
    <col min="7681" max="7681" width="35.7109375" style="3" customWidth="1"/>
    <col min="7682" max="7683" width="8.5703125" style="3" customWidth="1"/>
    <col min="7684" max="7687" width="16.42578125" style="3" customWidth="1"/>
    <col min="7688" max="7936" width="9.140625" style="3"/>
    <col min="7937" max="7937" width="35.7109375" style="3" customWidth="1"/>
    <col min="7938" max="7939" width="8.5703125" style="3" customWidth="1"/>
    <col min="7940" max="7943" width="16.42578125" style="3" customWidth="1"/>
    <col min="7944" max="8192" width="9.140625" style="3"/>
    <col min="8193" max="8193" width="35.7109375" style="3" customWidth="1"/>
    <col min="8194" max="8195" width="8.5703125" style="3" customWidth="1"/>
    <col min="8196" max="8199" width="16.42578125" style="3" customWidth="1"/>
    <col min="8200" max="8448" width="9.140625" style="3"/>
    <col min="8449" max="8449" width="35.7109375" style="3" customWidth="1"/>
    <col min="8450" max="8451" width="8.5703125" style="3" customWidth="1"/>
    <col min="8452" max="8455" width="16.42578125" style="3" customWidth="1"/>
    <col min="8456" max="8704" width="9.140625" style="3"/>
    <col min="8705" max="8705" width="35.7109375" style="3" customWidth="1"/>
    <col min="8706" max="8707" width="8.5703125" style="3" customWidth="1"/>
    <col min="8708" max="8711" width="16.42578125" style="3" customWidth="1"/>
    <col min="8712" max="8960" width="9.140625" style="3"/>
    <col min="8961" max="8961" width="35.7109375" style="3" customWidth="1"/>
    <col min="8962" max="8963" width="8.5703125" style="3" customWidth="1"/>
    <col min="8964" max="8967" width="16.42578125" style="3" customWidth="1"/>
    <col min="8968" max="9216" width="9.140625" style="3"/>
    <col min="9217" max="9217" width="35.7109375" style="3" customWidth="1"/>
    <col min="9218" max="9219" width="8.5703125" style="3" customWidth="1"/>
    <col min="9220" max="9223" width="16.42578125" style="3" customWidth="1"/>
    <col min="9224" max="9472" width="9.140625" style="3"/>
    <col min="9473" max="9473" width="35.7109375" style="3" customWidth="1"/>
    <col min="9474" max="9475" width="8.5703125" style="3" customWidth="1"/>
    <col min="9476" max="9479" width="16.42578125" style="3" customWidth="1"/>
    <col min="9480" max="9728" width="9.140625" style="3"/>
    <col min="9729" max="9729" width="35.7109375" style="3" customWidth="1"/>
    <col min="9730" max="9731" width="8.5703125" style="3" customWidth="1"/>
    <col min="9732" max="9735" width="16.42578125" style="3" customWidth="1"/>
    <col min="9736" max="9984" width="9.140625" style="3"/>
    <col min="9985" max="9985" width="35.7109375" style="3" customWidth="1"/>
    <col min="9986" max="9987" width="8.5703125" style="3" customWidth="1"/>
    <col min="9988" max="9991" width="16.42578125" style="3" customWidth="1"/>
    <col min="9992" max="10240" width="9.140625" style="3"/>
    <col min="10241" max="10241" width="35.7109375" style="3" customWidth="1"/>
    <col min="10242" max="10243" width="8.5703125" style="3" customWidth="1"/>
    <col min="10244" max="10247" width="16.42578125" style="3" customWidth="1"/>
    <col min="10248" max="10496" width="9.140625" style="3"/>
    <col min="10497" max="10497" width="35.7109375" style="3" customWidth="1"/>
    <col min="10498" max="10499" width="8.5703125" style="3" customWidth="1"/>
    <col min="10500" max="10503" width="16.42578125" style="3" customWidth="1"/>
    <col min="10504" max="10752" width="9.140625" style="3"/>
    <col min="10753" max="10753" width="35.7109375" style="3" customWidth="1"/>
    <col min="10754" max="10755" width="8.5703125" style="3" customWidth="1"/>
    <col min="10756" max="10759" width="16.42578125" style="3" customWidth="1"/>
    <col min="10760" max="11008" width="9.140625" style="3"/>
    <col min="11009" max="11009" width="35.7109375" style="3" customWidth="1"/>
    <col min="11010" max="11011" width="8.5703125" style="3" customWidth="1"/>
    <col min="11012" max="11015" width="16.42578125" style="3" customWidth="1"/>
    <col min="11016" max="11264" width="9.140625" style="3"/>
    <col min="11265" max="11265" width="35.7109375" style="3" customWidth="1"/>
    <col min="11266" max="11267" width="8.5703125" style="3" customWidth="1"/>
    <col min="11268" max="11271" width="16.42578125" style="3" customWidth="1"/>
    <col min="11272" max="11520" width="9.140625" style="3"/>
    <col min="11521" max="11521" width="35.7109375" style="3" customWidth="1"/>
    <col min="11522" max="11523" width="8.5703125" style="3" customWidth="1"/>
    <col min="11524" max="11527" width="16.42578125" style="3" customWidth="1"/>
    <col min="11528" max="11776" width="9.140625" style="3"/>
    <col min="11777" max="11777" width="35.7109375" style="3" customWidth="1"/>
    <col min="11778" max="11779" width="8.5703125" style="3" customWidth="1"/>
    <col min="11780" max="11783" width="16.42578125" style="3" customWidth="1"/>
    <col min="11784" max="12032" width="9.140625" style="3"/>
    <col min="12033" max="12033" width="35.7109375" style="3" customWidth="1"/>
    <col min="12034" max="12035" width="8.5703125" style="3" customWidth="1"/>
    <col min="12036" max="12039" width="16.42578125" style="3" customWidth="1"/>
    <col min="12040" max="12288" width="9.140625" style="3"/>
    <col min="12289" max="12289" width="35.7109375" style="3" customWidth="1"/>
    <col min="12290" max="12291" width="8.5703125" style="3" customWidth="1"/>
    <col min="12292" max="12295" width="16.42578125" style="3" customWidth="1"/>
    <col min="12296" max="12544" width="9.140625" style="3"/>
    <col min="12545" max="12545" width="35.7109375" style="3" customWidth="1"/>
    <col min="12546" max="12547" width="8.5703125" style="3" customWidth="1"/>
    <col min="12548" max="12551" width="16.42578125" style="3" customWidth="1"/>
    <col min="12552" max="12800" width="9.140625" style="3"/>
    <col min="12801" max="12801" width="35.7109375" style="3" customWidth="1"/>
    <col min="12802" max="12803" width="8.5703125" style="3" customWidth="1"/>
    <col min="12804" max="12807" width="16.42578125" style="3" customWidth="1"/>
    <col min="12808" max="13056" width="9.140625" style="3"/>
    <col min="13057" max="13057" width="35.7109375" style="3" customWidth="1"/>
    <col min="13058" max="13059" width="8.5703125" style="3" customWidth="1"/>
    <col min="13060" max="13063" width="16.42578125" style="3" customWidth="1"/>
    <col min="13064" max="13312" width="9.140625" style="3"/>
    <col min="13313" max="13313" width="35.7109375" style="3" customWidth="1"/>
    <col min="13314" max="13315" width="8.5703125" style="3" customWidth="1"/>
    <col min="13316" max="13319" width="16.42578125" style="3" customWidth="1"/>
    <col min="13320" max="13568" width="9.140625" style="3"/>
    <col min="13569" max="13569" width="35.7109375" style="3" customWidth="1"/>
    <col min="13570" max="13571" width="8.5703125" style="3" customWidth="1"/>
    <col min="13572" max="13575" width="16.42578125" style="3" customWidth="1"/>
    <col min="13576" max="13824" width="9.140625" style="3"/>
    <col min="13825" max="13825" width="35.7109375" style="3" customWidth="1"/>
    <col min="13826" max="13827" width="8.5703125" style="3" customWidth="1"/>
    <col min="13828" max="13831" width="16.42578125" style="3" customWidth="1"/>
    <col min="13832" max="14080" width="9.140625" style="3"/>
    <col min="14081" max="14081" width="35.7109375" style="3" customWidth="1"/>
    <col min="14082" max="14083" width="8.5703125" style="3" customWidth="1"/>
    <col min="14084" max="14087" width="16.42578125" style="3" customWidth="1"/>
    <col min="14088" max="14336" width="9.140625" style="3"/>
    <col min="14337" max="14337" width="35.7109375" style="3" customWidth="1"/>
    <col min="14338" max="14339" width="8.5703125" style="3" customWidth="1"/>
    <col min="14340" max="14343" width="16.42578125" style="3" customWidth="1"/>
    <col min="14344" max="14592" width="9.140625" style="3"/>
    <col min="14593" max="14593" width="35.7109375" style="3" customWidth="1"/>
    <col min="14594" max="14595" width="8.5703125" style="3" customWidth="1"/>
    <col min="14596" max="14599" width="16.42578125" style="3" customWidth="1"/>
    <col min="14600" max="14848" width="9.140625" style="3"/>
    <col min="14849" max="14849" width="35.7109375" style="3" customWidth="1"/>
    <col min="14850" max="14851" width="8.5703125" style="3" customWidth="1"/>
    <col min="14852" max="14855" width="16.42578125" style="3" customWidth="1"/>
    <col min="14856" max="15104" width="9.140625" style="3"/>
    <col min="15105" max="15105" width="35.7109375" style="3" customWidth="1"/>
    <col min="15106" max="15107" width="8.5703125" style="3" customWidth="1"/>
    <col min="15108" max="15111" width="16.42578125" style="3" customWidth="1"/>
    <col min="15112" max="15360" width="9.140625" style="3"/>
    <col min="15361" max="15361" width="35.7109375" style="3" customWidth="1"/>
    <col min="15362" max="15363" width="8.5703125" style="3" customWidth="1"/>
    <col min="15364" max="15367" width="16.42578125" style="3" customWidth="1"/>
    <col min="15368" max="15616" width="9.140625" style="3"/>
    <col min="15617" max="15617" width="35.7109375" style="3" customWidth="1"/>
    <col min="15618" max="15619" width="8.5703125" style="3" customWidth="1"/>
    <col min="15620" max="15623" width="16.42578125" style="3" customWidth="1"/>
    <col min="15624" max="15872" width="9.140625" style="3"/>
    <col min="15873" max="15873" width="35.7109375" style="3" customWidth="1"/>
    <col min="15874" max="15875" width="8.5703125" style="3" customWidth="1"/>
    <col min="15876" max="15879" width="16.42578125" style="3" customWidth="1"/>
    <col min="15880" max="16128" width="9.140625" style="3"/>
    <col min="16129" max="16129" width="35.7109375" style="3" customWidth="1"/>
    <col min="16130" max="16131" width="8.5703125" style="3" customWidth="1"/>
    <col min="16132" max="16135" width="16.42578125" style="3" customWidth="1"/>
    <col min="16136" max="16384" width="9.140625" style="3"/>
  </cols>
  <sheetData>
    <row r="1" spans="1:7" ht="47.25" customHeight="1">
      <c r="A1" s="1"/>
      <c r="B1" s="329"/>
      <c r="C1" s="329"/>
      <c r="D1" s="322" t="s">
        <v>856</v>
      </c>
      <c r="E1" s="322"/>
      <c r="F1" s="322"/>
      <c r="G1" s="322"/>
    </row>
    <row r="2" spans="1:7" ht="30" customHeight="1">
      <c r="A2" s="399" t="s">
        <v>582</v>
      </c>
      <c r="B2" s="399"/>
      <c r="C2" s="399"/>
      <c r="D2" s="399"/>
      <c r="E2" s="399"/>
      <c r="F2" s="399"/>
      <c r="G2" s="399"/>
    </row>
    <row r="3" spans="1:7" ht="9.75" customHeight="1">
      <c r="A3" s="1"/>
      <c r="B3" s="329"/>
      <c r="C3" s="329"/>
      <c r="D3" s="329"/>
      <c r="E3" s="329"/>
      <c r="F3" s="329"/>
      <c r="G3" s="329"/>
    </row>
    <row r="4" spans="1:7" ht="13.5" customHeight="1">
      <c r="A4" s="397" t="s">
        <v>857</v>
      </c>
      <c r="B4" s="397"/>
      <c r="C4" s="397"/>
      <c r="D4" s="397"/>
      <c r="E4" s="397"/>
      <c r="F4" s="397"/>
      <c r="G4" s="397"/>
    </row>
    <row r="5" spans="1:7" ht="13.5" customHeight="1">
      <c r="A5" s="398" t="s">
        <v>858</v>
      </c>
      <c r="B5" s="398"/>
      <c r="C5" s="398"/>
      <c r="D5" s="398"/>
      <c r="E5" s="398"/>
      <c r="F5" s="398"/>
      <c r="G5" s="398"/>
    </row>
    <row r="6" spans="1:7" ht="12" customHeight="1">
      <c r="A6" s="321" t="s">
        <v>1112</v>
      </c>
      <c r="B6" s="321"/>
      <c r="C6" s="321"/>
      <c r="D6" s="321"/>
      <c r="E6" s="321"/>
      <c r="F6" s="321"/>
      <c r="G6" s="321"/>
    </row>
    <row r="7" spans="1:7" ht="9.75" customHeight="1">
      <c r="A7" s="1"/>
      <c r="B7" s="329"/>
      <c r="C7" s="329"/>
      <c r="D7" s="329"/>
      <c r="E7" s="329"/>
      <c r="F7" s="329"/>
      <c r="G7" s="329"/>
    </row>
    <row r="8" spans="1:7" ht="15.75" customHeight="1">
      <c r="A8" s="5" t="s">
        <v>10</v>
      </c>
      <c r="B8" s="325" t="s">
        <v>11</v>
      </c>
      <c r="C8" s="325"/>
      <c r="D8" s="325"/>
      <c r="E8" s="325"/>
      <c r="F8" s="325"/>
      <c r="G8" s="325"/>
    </row>
    <row r="9" spans="1:7" ht="15.75" customHeight="1">
      <c r="A9" s="6" t="s">
        <v>12</v>
      </c>
      <c r="B9" s="324" t="s">
        <v>13</v>
      </c>
      <c r="C9" s="324"/>
      <c r="D9" s="324"/>
      <c r="E9" s="324"/>
      <c r="F9" s="324"/>
      <c r="G9" s="324"/>
    </row>
    <row r="10" spans="1:7" ht="15.75" customHeight="1">
      <c r="A10" s="5" t="s">
        <v>15</v>
      </c>
      <c r="B10" s="325" t="s">
        <v>16</v>
      </c>
      <c r="C10" s="325"/>
      <c r="D10" s="325"/>
      <c r="E10" s="325"/>
      <c r="F10" s="325"/>
      <c r="G10" s="325"/>
    </row>
    <row r="11" spans="1:7" ht="15.75" customHeight="1">
      <c r="A11" s="6" t="s">
        <v>17</v>
      </c>
      <c r="B11" s="324" t="s">
        <v>859</v>
      </c>
      <c r="C11" s="324"/>
      <c r="D11" s="324"/>
      <c r="E11" s="324"/>
      <c r="F11" s="324"/>
      <c r="G11" s="324"/>
    </row>
    <row r="12" spans="1:7" ht="12" customHeight="1">
      <c r="A12" s="5" t="s">
        <v>391</v>
      </c>
      <c r="B12" s="327" t="s">
        <v>860</v>
      </c>
      <c r="C12" s="327"/>
      <c r="D12" s="327"/>
      <c r="E12" s="327"/>
      <c r="F12" s="327"/>
      <c r="G12" s="327"/>
    </row>
    <row r="13" spans="1:7" ht="15.75" customHeight="1">
      <c r="A13" s="6" t="s">
        <v>7</v>
      </c>
      <c r="B13" s="324" t="s">
        <v>8</v>
      </c>
      <c r="C13" s="324"/>
      <c r="D13" s="324"/>
      <c r="E13" s="324"/>
      <c r="F13" s="324"/>
      <c r="G13" s="324"/>
    </row>
    <row r="14" spans="1:7" ht="15.75" customHeight="1">
      <c r="A14" s="5" t="s">
        <v>20</v>
      </c>
      <c r="B14" s="332">
        <v>46115</v>
      </c>
      <c r="C14" s="332"/>
      <c r="D14" s="216"/>
      <c r="E14" s="216"/>
      <c r="F14" s="219"/>
      <c r="G14" s="219"/>
    </row>
    <row r="15" spans="1:7" ht="15.75" customHeight="1">
      <c r="A15" s="6" t="s">
        <v>21</v>
      </c>
      <c r="B15" s="326">
        <f>+B14</f>
        <v>46115</v>
      </c>
      <c r="C15" s="326"/>
      <c r="D15" s="326"/>
      <c r="E15" s="326"/>
      <c r="F15" s="220"/>
      <c r="G15" s="220"/>
    </row>
    <row r="16" spans="1:7" ht="16.5" customHeight="1">
      <c r="A16" s="10"/>
      <c r="B16" s="388"/>
      <c r="C16" s="388"/>
      <c r="D16" s="388"/>
      <c r="E16" s="388"/>
      <c r="F16" s="328" t="s">
        <v>24</v>
      </c>
      <c r="G16" s="328"/>
    </row>
    <row r="17" spans="1:8" ht="33.75" customHeight="1">
      <c r="A17" s="390" t="s">
        <v>181</v>
      </c>
      <c r="B17" s="392" t="s">
        <v>617</v>
      </c>
      <c r="C17" s="394" t="s">
        <v>861</v>
      </c>
      <c r="D17" s="394" t="s">
        <v>862</v>
      </c>
      <c r="E17" s="394"/>
      <c r="F17" s="394" t="s">
        <v>863</v>
      </c>
      <c r="G17" s="396"/>
    </row>
    <row r="18" spans="1:8" ht="33.75" customHeight="1">
      <c r="A18" s="391"/>
      <c r="B18" s="393"/>
      <c r="C18" s="395"/>
      <c r="D18" s="138" t="s">
        <v>1113</v>
      </c>
      <c r="E18" s="138" t="s">
        <v>864</v>
      </c>
      <c r="F18" s="138" t="s">
        <v>1114</v>
      </c>
      <c r="G18" s="139" t="s">
        <v>864</v>
      </c>
    </row>
    <row r="19" spans="1:8" ht="38.25">
      <c r="A19" s="140" t="s">
        <v>865</v>
      </c>
      <c r="B19" s="141" t="s">
        <v>866</v>
      </c>
      <c r="C19" s="142"/>
      <c r="D19" s="38">
        <v>-566618066494</v>
      </c>
      <c r="E19" s="38">
        <v>-566618066494</v>
      </c>
      <c r="F19" s="38">
        <v>-678305836517</v>
      </c>
      <c r="G19" s="39">
        <v>-678305836517</v>
      </c>
    </row>
    <row r="20" spans="1:8" ht="25.5">
      <c r="A20" s="143" t="s">
        <v>867</v>
      </c>
      <c r="B20" s="144" t="s">
        <v>868</v>
      </c>
      <c r="C20" s="145"/>
      <c r="D20" s="70">
        <v>23241270000</v>
      </c>
      <c r="E20" s="70">
        <v>23241270000</v>
      </c>
      <c r="F20" s="70">
        <v>15437090400</v>
      </c>
      <c r="G20" s="71">
        <v>15437090400</v>
      </c>
    </row>
    <row r="21" spans="1:8" ht="25.5">
      <c r="A21" s="146" t="s">
        <v>869</v>
      </c>
      <c r="B21" s="147" t="s">
        <v>870</v>
      </c>
      <c r="C21" s="148"/>
      <c r="D21" s="47">
        <v>23241270000</v>
      </c>
      <c r="E21" s="47">
        <v>23241270000</v>
      </c>
      <c r="F21" s="47">
        <v>15437090400</v>
      </c>
      <c r="G21" s="48">
        <v>15437090400</v>
      </c>
      <c r="H21" s="224"/>
    </row>
    <row r="22" spans="1:8" ht="25.5">
      <c r="A22" s="146" t="s">
        <v>871</v>
      </c>
      <c r="B22" s="147" t="s">
        <v>872</v>
      </c>
      <c r="C22" s="148"/>
      <c r="D22" s="47">
        <v>0</v>
      </c>
      <c r="E22" s="47">
        <v>0</v>
      </c>
      <c r="F22" s="47">
        <v>0</v>
      </c>
      <c r="G22" s="48">
        <v>0</v>
      </c>
    </row>
    <row r="23" spans="1:8" ht="25.5">
      <c r="A23" s="143" t="s">
        <v>873</v>
      </c>
      <c r="B23" s="144" t="s">
        <v>874</v>
      </c>
      <c r="C23" s="145"/>
      <c r="D23" s="70">
        <v>79725056</v>
      </c>
      <c r="E23" s="70">
        <v>79725056</v>
      </c>
      <c r="F23" s="70">
        <v>95563283</v>
      </c>
      <c r="G23" s="71">
        <v>95563283</v>
      </c>
    </row>
    <row r="24" spans="1:8" ht="25.5">
      <c r="A24" s="146" t="s">
        <v>875</v>
      </c>
      <c r="B24" s="147" t="s">
        <v>876</v>
      </c>
      <c r="C24" s="148"/>
      <c r="D24" s="47">
        <v>79725056</v>
      </c>
      <c r="E24" s="47">
        <v>79725056</v>
      </c>
      <c r="F24" s="47">
        <v>95563283</v>
      </c>
      <c r="G24" s="48">
        <v>95563283</v>
      </c>
    </row>
    <row r="25" spans="1:8" ht="25.5">
      <c r="A25" s="146" t="s">
        <v>877</v>
      </c>
      <c r="B25" s="147" t="s">
        <v>878</v>
      </c>
      <c r="C25" s="148"/>
      <c r="D25" s="47">
        <v>0</v>
      </c>
      <c r="E25" s="47">
        <v>0</v>
      </c>
      <c r="F25" s="47">
        <v>0</v>
      </c>
      <c r="G25" s="48">
        <v>0</v>
      </c>
    </row>
    <row r="26" spans="1:8" ht="51">
      <c r="A26" s="143" t="s">
        <v>879</v>
      </c>
      <c r="B26" s="144" t="s">
        <v>880</v>
      </c>
      <c r="C26" s="145"/>
      <c r="D26" s="70">
        <v>302666311904</v>
      </c>
      <c r="E26" s="70">
        <v>302666311904</v>
      </c>
      <c r="F26" s="70">
        <v>218450183239</v>
      </c>
      <c r="G26" s="71">
        <v>218450183239</v>
      </c>
    </row>
    <row r="27" spans="1:8" ht="38.25">
      <c r="A27" s="146" t="s">
        <v>881</v>
      </c>
      <c r="B27" s="147" t="s">
        <v>882</v>
      </c>
      <c r="C27" s="148"/>
      <c r="D27" s="47">
        <v>91796212933</v>
      </c>
      <c r="E27" s="47">
        <v>91796212933</v>
      </c>
      <c r="F27" s="47">
        <v>123885558561</v>
      </c>
      <c r="G27" s="48">
        <v>123885558561</v>
      </c>
    </row>
    <row r="28" spans="1:8" ht="51">
      <c r="A28" s="146" t="s">
        <v>883</v>
      </c>
      <c r="B28" s="147" t="s">
        <v>884</v>
      </c>
      <c r="C28" s="148"/>
      <c r="D28" s="47">
        <v>210740583971</v>
      </c>
      <c r="E28" s="47">
        <v>210740583971</v>
      </c>
      <c r="F28" s="47">
        <v>94564624678</v>
      </c>
      <c r="G28" s="48">
        <v>94564624678</v>
      </c>
    </row>
    <row r="29" spans="1:8" ht="63.75">
      <c r="A29" s="146" t="s">
        <v>885</v>
      </c>
      <c r="B29" s="147" t="s">
        <v>886</v>
      </c>
      <c r="C29" s="148"/>
      <c r="D29" s="47">
        <v>129515000</v>
      </c>
      <c r="E29" s="47">
        <v>129515000</v>
      </c>
      <c r="F29" s="47">
        <v>0</v>
      </c>
      <c r="G29" s="48">
        <v>0</v>
      </c>
    </row>
    <row r="30" spans="1:8" ht="51">
      <c r="A30" s="143" t="s">
        <v>887</v>
      </c>
      <c r="B30" s="144" t="s">
        <v>888</v>
      </c>
      <c r="C30" s="145"/>
      <c r="D30" s="70">
        <v>-892605373454</v>
      </c>
      <c r="E30" s="70">
        <v>-892605373454</v>
      </c>
      <c r="F30" s="70">
        <v>-912288673439</v>
      </c>
      <c r="G30" s="71">
        <v>-912288673439</v>
      </c>
    </row>
    <row r="31" spans="1:8" ht="25.5">
      <c r="A31" s="143" t="s">
        <v>889</v>
      </c>
      <c r="B31" s="144" t="s">
        <v>890</v>
      </c>
      <c r="C31" s="145"/>
      <c r="D31" s="70">
        <v>0</v>
      </c>
      <c r="E31" s="70">
        <v>0</v>
      </c>
      <c r="F31" s="70">
        <v>0</v>
      </c>
      <c r="G31" s="71">
        <v>0</v>
      </c>
    </row>
    <row r="32" spans="1:8" ht="51">
      <c r="A32" s="143" t="s">
        <v>891</v>
      </c>
      <c r="B32" s="144" t="s">
        <v>892</v>
      </c>
      <c r="C32" s="145"/>
      <c r="D32" s="70">
        <v>0</v>
      </c>
      <c r="E32" s="70">
        <v>0</v>
      </c>
      <c r="F32" s="70">
        <v>0</v>
      </c>
      <c r="G32" s="71">
        <v>0</v>
      </c>
    </row>
    <row r="33" spans="1:7" ht="25.5">
      <c r="A33" s="143" t="s">
        <v>893</v>
      </c>
      <c r="B33" s="144" t="s">
        <v>894</v>
      </c>
      <c r="C33" s="145"/>
      <c r="D33" s="70">
        <v>0</v>
      </c>
      <c r="E33" s="70">
        <v>0</v>
      </c>
      <c r="F33" s="70">
        <v>0</v>
      </c>
      <c r="G33" s="71">
        <v>0</v>
      </c>
    </row>
    <row r="34" spans="1:7" ht="76.5">
      <c r="A34" s="143" t="s">
        <v>895</v>
      </c>
      <c r="B34" s="144" t="s">
        <v>896</v>
      </c>
      <c r="C34" s="145"/>
      <c r="D34" s="70">
        <v>0</v>
      </c>
      <c r="E34" s="70">
        <v>0</v>
      </c>
      <c r="F34" s="70">
        <v>0</v>
      </c>
      <c r="G34" s="71">
        <v>0</v>
      </c>
    </row>
    <row r="35" spans="1:7" ht="25.5">
      <c r="A35" s="140" t="s">
        <v>897</v>
      </c>
      <c r="B35" s="141" t="s">
        <v>60</v>
      </c>
      <c r="C35" s="142"/>
      <c r="D35" s="38">
        <v>1830805170</v>
      </c>
      <c r="E35" s="38">
        <v>1830805170</v>
      </c>
      <c r="F35" s="38">
        <v>1976207063</v>
      </c>
      <c r="G35" s="39">
        <v>1976207063</v>
      </c>
    </row>
    <row r="36" spans="1:7" ht="51">
      <c r="A36" s="143" t="s">
        <v>898</v>
      </c>
      <c r="B36" s="144" t="s">
        <v>63</v>
      </c>
      <c r="C36" s="145"/>
      <c r="D36" s="70">
        <v>1830805170</v>
      </c>
      <c r="E36" s="70">
        <v>1830805170</v>
      </c>
      <c r="F36" s="70">
        <v>1976207063</v>
      </c>
      <c r="G36" s="71">
        <v>1976207063</v>
      </c>
    </row>
    <row r="37" spans="1:7" ht="25.5">
      <c r="A37" s="146" t="s">
        <v>899</v>
      </c>
      <c r="B37" s="147" t="s">
        <v>900</v>
      </c>
      <c r="C37" s="148"/>
      <c r="D37" s="47">
        <v>1826161110</v>
      </c>
      <c r="E37" s="47">
        <v>1826161110</v>
      </c>
      <c r="F37" s="47">
        <v>1962117429</v>
      </c>
      <c r="G37" s="48">
        <v>1962117429</v>
      </c>
    </row>
    <row r="38" spans="1:7" ht="25.5">
      <c r="A38" s="146" t="s">
        <v>901</v>
      </c>
      <c r="B38" s="147" t="s">
        <v>902</v>
      </c>
      <c r="C38" s="148"/>
      <c r="D38" s="47">
        <v>4644060</v>
      </c>
      <c r="E38" s="47">
        <v>4644060</v>
      </c>
      <c r="F38" s="47">
        <v>14089634</v>
      </c>
      <c r="G38" s="48">
        <v>14089634</v>
      </c>
    </row>
    <row r="39" spans="1:7" ht="38.25">
      <c r="A39" s="143" t="s">
        <v>903</v>
      </c>
      <c r="B39" s="144" t="s">
        <v>66</v>
      </c>
      <c r="C39" s="145"/>
      <c r="D39" s="70">
        <v>0</v>
      </c>
      <c r="E39" s="70">
        <v>0</v>
      </c>
      <c r="F39" s="70">
        <v>0</v>
      </c>
      <c r="G39" s="71">
        <v>0</v>
      </c>
    </row>
    <row r="40" spans="1:7" ht="25.5">
      <c r="A40" s="143" t="s">
        <v>904</v>
      </c>
      <c r="B40" s="144" t="s">
        <v>69</v>
      </c>
      <c r="C40" s="145"/>
      <c r="D40" s="70">
        <v>0</v>
      </c>
      <c r="E40" s="70">
        <v>0</v>
      </c>
      <c r="F40" s="70">
        <v>0</v>
      </c>
      <c r="G40" s="71">
        <v>0</v>
      </c>
    </row>
    <row r="41" spans="1:7" ht="63.75">
      <c r="A41" s="143" t="s">
        <v>905</v>
      </c>
      <c r="B41" s="144" t="s">
        <v>72</v>
      </c>
      <c r="C41" s="145"/>
      <c r="D41" s="70">
        <v>0</v>
      </c>
      <c r="E41" s="70">
        <v>0</v>
      </c>
      <c r="F41" s="70">
        <v>0</v>
      </c>
      <c r="G41" s="71">
        <v>0</v>
      </c>
    </row>
    <row r="42" spans="1:7" ht="25.5">
      <c r="A42" s="143" t="s">
        <v>906</v>
      </c>
      <c r="B42" s="144" t="s">
        <v>75</v>
      </c>
      <c r="C42" s="145"/>
      <c r="D42" s="70">
        <v>0</v>
      </c>
      <c r="E42" s="70">
        <v>0</v>
      </c>
      <c r="F42" s="70">
        <v>0</v>
      </c>
      <c r="G42" s="71">
        <v>0</v>
      </c>
    </row>
    <row r="43" spans="1:7" ht="25.5">
      <c r="A43" s="140" t="s">
        <v>907</v>
      </c>
      <c r="B43" s="141" t="s">
        <v>331</v>
      </c>
      <c r="C43" s="142"/>
      <c r="D43" s="38">
        <v>35384912607</v>
      </c>
      <c r="E43" s="38">
        <v>35384912607</v>
      </c>
      <c r="F43" s="38">
        <v>31204810772</v>
      </c>
      <c r="G43" s="39">
        <v>31204810772</v>
      </c>
    </row>
    <row r="44" spans="1:7" ht="25.5">
      <c r="A44" s="143" t="s">
        <v>908</v>
      </c>
      <c r="B44" s="144" t="s">
        <v>909</v>
      </c>
      <c r="C44" s="145"/>
      <c r="D44" s="70">
        <v>27076746946</v>
      </c>
      <c r="E44" s="70">
        <v>27076746946</v>
      </c>
      <c r="F44" s="70">
        <v>24060873965</v>
      </c>
      <c r="G44" s="71">
        <v>24060873965</v>
      </c>
    </row>
    <row r="45" spans="1:7" ht="25.5">
      <c r="A45" s="143" t="s">
        <v>910</v>
      </c>
      <c r="B45" s="144" t="s">
        <v>911</v>
      </c>
      <c r="C45" s="145"/>
      <c r="D45" s="70">
        <v>939590291</v>
      </c>
      <c r="E45" s="70">
        <v>939590291</v>
      </c>
      <c r="F45" s="70">
        <v>875890685</v>
      </c>
      <c r="G45" s="71">
        <v>875890685</v>
      </c>
    </row>
    <row r="46" spans="1:7" ht="25.5">
      <c r="A46" s="146" t="s">
        <v>912</v>
      </c>
      <c r="B46" s="147" t="s">
        <v>913</v>
      </c>
      <c r="C46" s="148"/>
      <c r="D46" s="47">
        <v>676918673</v>
      </c>
      <c r="E46" s="47">
        <v>676918673</v>
      </c>
      <c r="F46" s="47">
        <v>601521845</v>
      </c>
      <c r="G46" s="48">
        <v>601521845</v>
      </c>
    </row>
    <row r="47" spans="1:7" ht="38.25">
      <c r="A47" s="146" t="s">
        <v>914</v>
      </c>
      <c r="B47" s="147" t="s">
        <v>915</v>
      </c>
      <c r="C47" s="148"/>
      <c r="D47" s="47">
        <v>13200000</v>
      </c>
      <c r="E47" s="47">
        <v>13200000</v>
      </c>
      <c r="F47" s="47">
        <v>14500000</v>
      </c>
      <c r="G47" s="48">
        <v>14500000</v>
      </c>
    </row>
    <row r="48" spans="1:7" ht="25.5">
      <c r="A48" s="146" t="s">
        <v>916</v>
      </c>
      <c r="B48" s="147" t="s">
        <v>917</v>
      </c>
      <c r="C48" s="148"/>
      <c r="D48" s="47">
        <v>249471618</v>
      </c>
      <c r="E48" s="47">
        <v>249471618</v>
      </c>
      <c r="F48" s="47">
        <v>259868840</v>
      </c>
      <c r="G48" s="48">
        <v>259868840</v>
      </c>
    </row>
    <row r="49" spans="1:7" ht="76.5">
      <c r="A49" s="146" t="s">
        <v>918</v>
      </c>
      <c r="B49" s="147" t="s">
        <v>919</v>
      </c>
      <c r="C49" s="148"/>
      <c r="D49" s="47">
        <v>0</v>
      </c>
      <c r="E49" s="47">
        <v>0</v>
      </c>
      <c r="F49" s="47">
        <v>0</v>
      </c>
      <c r="G49" s="48">
        <v>0</v>
      </c>
    </row>
    <row r="50" spans="1:7" ht="25.5">
      <c r="A50" s="143" t="s">
        <v>920</v>
      </c>
      <c r="B50" s="144" t="s">
        <v>921</v>
      </c>
      <c r="C50" s="145"/>
      <c r="D50" s="70">
        <v>1489221084</v>
      </c>
      <c r="E50" s="70">
        <v>1489221084</v>
      </c>
      <c r="F50" s="70">
        <v>1323348071</v>
      </c>
      <c r="G50" s="71">
        <v>1323348071</v>
      </c>
    </row>
    <row r="51" spans="1:7" ht="25.5">
      <c r="A51" s="143" t="s">
        <v>922</v>
      </c>
      <c r="B51" s="144" t="s">
        <v>923</v>
      </c>
      <c r="C51" s="145"/>
      <c r="D51" s="70">
        <v>744610540</v>
      </c>
      <c r="E51" s="70">
        <v>744610540</v>
      </c>
      <c r="F51" s="70">
        <v>661674029</v>
      </c>
      <c r="G51" s="71">
        <v>661674029</v>
      </c>
    </row>
    <row r="52" spans="1:7" ht="25.5">
      <c r="A52" s="143" t="s">
        <v>924</v>
      </c>
      <c r="B52" s="144" t="s">
        <v>925</v>
      </c>
      <c r="C52" s="145"/>
      <c r="D52" s="70">
        <v>33000000</v>
      </c>
      <c r="E52" s="70">
        <v>33000000</v>
      </c>
      <c r="F52" s="70">
        <v>16500000</v>
      </c>
      <c r="G52" s="71">
        <v>16500000</v>
      </c>
    </row>
    <row r="53" spans="1:7" ht="38.25">
      <c r="A53" s="143" t="s">
        <v>926</v>
      </c>
      <c r="B53" s="144" t="s">
        <v>927</v>
      </c>
      <c r="C53" s="145"/>
      <c r="D53" s="70">
        <v>4906385217</v>
      </c>
      <c r="E53" s="70">
        <v>4906385217</v>
      </c>
      <c r="F53" s="70">
        <v>4097857816</v>
      </c>
      <c r="G53" s="71">
        <v>4097857816</v>
      </c>
    </row>
    <row r="54" spans="1:7" ht="51">
      <c r="A54" s="146" t="s">
        <v>928</v>
      </c>
      <c r="B54" s="147" t="s">
        <v>929</v>
      </c>
      <c r="C54" s="148"/>
      <c r="D54" s="47">
        <v>1861526353</v>
      </c>
      <c r="E54" s="47">
        <v>1861526353</v>
      </c>
      <c r="F54" s="47">
        <v>1503804627</v>
      </c>
      <c r="G54" s="48">
        <v>1503804627</v>
      </c>
    </row>
    <row r="55" spans="1:7" ht="51">
      <c r="A55" s="146" t="s">
        <v>930</v>
      </c>
      <c r="B55" s="147" t="s">
        <v>931</v>
      </c>
      <c r="C55" s="148"/>
      <c r="D55" s="47">
        <v>1489221081</v>
      </c>
      <c r="E55" s="47">
        <v>1489221081</v>
      </c>
      <c r="F55" s="47">
        <v>1203043701</v>
      </c>
      <c r="G55" s="48">
        <v>1203043701</v>
      </c>
    </row>
    <row r="56" spans="1:7" ht="25.5">
      <c r="A56" s="146" t="s">
        <v>932</v>
      </c>
      <c r="B56" s="147" t="s">
        <v>933</v>
      </c>
      <c r="C56" s="148"/>
      <c r="D56" s="47">
        <v>1555637783</v>
      </c>
      <c r="E56" s="47">
        <v>1555637783</v>
      </c>
      <c r="F56" s="47">
        <v>1391009488</v>
      </c>
      <c r="G56" s="48">
        <v>1391009488</v>
      </c>
    </row>
    <row r="57" spans="1:7" ht="38.25">
      <c r="A57" s="143" t="s">
        <v>934</v>
      </c>
      <c r="B57" s="144" t="s">
        <v>935</v>
      </c>
      <c r="C57" s="145"/>
      <c r="D57" s="70">
        <v>0</v>
      </c>
      <c r="E57" s="70">
        <v>0</v>
      </c>
      <c r="F57" s="70">
        <v>0</v>
      </c>
      <c r="G57" s="71">
        <v>0</v>
      </c>
    </row>
    <row r="58" spans="1:7" ht="25.5">
      <c r="A58" s="143" t="s">
        <v>936</v>
      </c>
      <c r="B58" s="144" t="s">
        <v>937</v>
      </c>
      <c r="C58" s="145"/>
      <c r="D58" s="70">
        <v>79362731</v>
      </c>
      <c r="E58" s="70">
        <v>79362731</v>
      </c>
      <c r="F58" s="70">
        <v>75945225</v>
      </c>
      <c r="G58" s="71">
        <v>75945225</v>
      </c>
    </row>
    <row r="59" spans="1:7" ht="25.5">
      <c r="A59" s="143" t="s">
        <v>938</v>
      </c>
      <c r="B59" s="144" t="s">
        <v>939</v>
      </c>
      <c r="C59" s="145"/>
      <c r="D59" s="70"/>
      <c r="E59" s="70">
        <v>0</v>
      </c>
      <c r="F59" s="70">
        <v>0</v>
      </c>
      <c r="G59" s="71">
        <v>0</v>
      </c>
    </row>
    <row r="60" spans="1:7" ht="25.5">
      <c r="A60" s="143" t="s">
        <v>940</v>
      </c>
      <c r="B60" s="144" t="s">
        <v>941</v>
      </c>
      <c r="C60" s="145"/>
      <c r="D60" s="70">
        <v>115995798</v>
      </c>
      <c r="E60" s="70">
        <v>115995798</v>
      </c>
      <c r="F60" s="70">
        <v>92720981</v>
      </c>
      <c r="G60" s="71">
        <v>92720981</v>
      </c>
    </row>
    <row r="61" spans="1:7" ht="38.25">
      <c r="A61" s="146" t="s">
        <v>942</v>
      </c>
      <c r="B61" s="147" t="s">
        <v>943</v>
      </c>
      <c r="C61" s="148"/>
      <c r="D61" s="47">
        <v>29219156</v>
      </c>
      <c r="E61" s="47">
        <v>29219156</v>
      </c>
      <c r="F61" s="47">
        <v>29219156</v>
      </c>
      <c r="G61" s="48">
        <v>29219156</v>
      </c>
    </row>
    <row r="62" spans="1:7" ht="38.25">
      <c r="A62" s="146" t="s">
        <v>944</v>
      </c>
      <c r="B62" s="147" t="s">
        <v>945</v>
      </c>
      <c r="C62" s="148"/>
      <c r="D62" s="47">
        <v>0</v>
      </c>
      <c r="E62" s="47">
        <v>0</v>
      </c>
      <c r="F62" s="47">
        <v>0</v>
      </c>
      <c r="G62" s="48">
        <v>0</v>
      </c>
    </row>
    <row r="63" spans="1:7" ht="25.5">
      <c r="A63" s="146" t="s">
        <v>946</v>
      </c>
      <c r="B63" s="147" t="s">
        <v>947</v>
      </c>
      <c r="C63" s="148"/>
      <c r="D63" s="47">
        <v>0</v>
      </c>
      <c r="E63" s="47">
        <v>0</v>
      </c>
      <c r="F63" s="47">
        <v>0</v>
      </c>
      <c r="G63" s="48">
        <v>0</v>
      </c>
    </row>
    <row r="64" spans="1:7" ht="25.5">
      <c r="A64" s="146" t="s">
        <v>948</v>
      </c>
      <c r="B64" s="147" t="s">
        <v>949</v>
      </c>
      <c r="C64" s="148"/>
      <c r="D64" s="47">
        <v>0</v>
      </c>
      <c r="E64" s="47">
        <v>0</v>
      </c>
      <c r="F64" s="47">
        <v>0</v>
      </c>
      <c r="G64" s="48">
        <v>0</v>
      </c>
    </row>
    <row r="65" spans="1:7" ht="25.5">
      <c r="A65" s="146" t="s">
        <v>950</v>
      </c>
      <c r="B65" s="147" t="s">
        <v>951</v>
      </c>
      <c r="C65" s="148"/>
      <c r="D65" s="47">
        <v>0</v>
      </c>
      <c r="E65" s="47">
        <v>0</v>
      </c>
      <c r="F65" s="47">
        <v>0</v>
      </c>
      <c r="G65" s="48">
        <v>0</v>
      </c>
    </row>
    <row r="66" spans="1:7" ht="25.5">
      <c r="A66" s="146" t="s">
        <v>952</v>
      </c>
      <c r="B66" s="147" t="s">
        <v>953</v>
      </c>
      <c r="C66" s="148"/>
      <c r="D66" s="47">
        <v>0</v>
      </c>
      <c r="E66" s="47">
        <v>0</v>
      </c>
      <c r="F66" s="47">
        <v>0</v>
      </c>
      <c r="G66" s="48">
        <v>0</v>
      </c>
    </row>
    <row r="67" spans="1:7" ht="25.5">
      <c r="A67" s="146" t="s">
        <v>954</v>
      </c>
      <c r="B67" s="147" t="s">
        <v>955</v>
      </c>
      <c r="C67" s="148"/>
      <c r="D67" s="47">
        <v>0</v>
      </c>
      <c r="E67" s="47">
        <v>0</v>
      </c>
      <c r="F67" s="47">
        <v>0</v>
      </c>
      <c r="G67" s="48">
        <v>0</v>
      </c>
    </row>
    <row r="68" spans="1:7" ht="25.5">
      <c r="A68" s="146" t="s">
        <v>956</v>
      </c>
      <c r="B68" s="147" t="s">
        <v>957</v>
      </c>
      <c r="C68" s="148"/>
      <c r="D68" s="47">
        <v>976642</v>
      </c>
      <c r="E68" s="47">
        <v>976642</v>
      </c>
      <c r="F68" s="47">
        <v>1501825</v>
      </c>
      <c r="G68" s="48">
        <v>1501825</v>
      </c>
    </row>
    <row r="69" spans="1:7" ht="38.25">
      <c r="A69" s="146" t="s">
        <v>958</v>
      </c>
      <c r="B69" s="147" t="s">
        <v>959</v>
      </c>
      <c r="C69" s="148"/>
      <c r="D69" s="47">
        <v>0</v>
      </c>
      <c r="E69" s="47">
        <v>0</v>
      </c>
      <c r="F69" s="47">
        <v>0</v>
      </c>
      <c r="G69" s="48">
        <v>0</v>
      </c>
    </row>
    <row r="70" spans="1:7" ht="25.5">
      <c r="A70" s="146" t="s">
        <v>960</v>
      </c>
      <c r="B70" s="147" t="s">
        <v>961</v>
      </c>
      <c r="C70" s="148"/>
      <c r="D70" s="47">
        <v>0</v>
      </c>
      <c r="E70" s="47">
        <v>0</v>
      </c>
      <c r="F70" s="47">
        <v>0</v>
      </c>
      <c r="G70" s="48">
        <v>0</v>
      </c>
    </row>
    <row r="71" spans="1:7" ht="38.25">
      <c r="A71" s="146" t="s">
        <v>962</v>
      </c>
      <c r="B71" s="147" t="s">
        <v>963</v>
      </c>
      <c r="C71" s="148"/>
      <c r="D71" s="47">
        <v>0</v>
      </c>
      <c r="E71" s="47">
        <v>0</v>
      </c>
      <c r="F71" s="47">
        <v>14000000</v>
      </c>
      <c r="G71" s="48">
        <v>14000000</v>
      </c>
    </row>
    <row r="72" spans="1:7" ht="76.5">
      <c r="A72" s="146" t="s">
        <v>282</v>
      </c>
      <c r="B72" s="147" t="s">
        <v>964</v>
      </c>
      <c r="C72" s="148"/>
      <c r="D72" s="47">
        <v>52800000</v>
      </c>
      <c r="E72" s="47">
        <v>52800000</v>
      </c>
      <c r="F72" s="47">
        <v>18000000</v>
      </c>
      <c r="G72" s="48">
        <v>18000000</v>
      </c>
    </row>
    <row r="73" spans="1:7" ht="25.5">
      <c r="A73" s="146" t="s">
        <v>965</v>
      </c>
      <c r="B73" s="147" t="s">
        <v>966</v>
      </c>
      <c r="C73" s="148"/>
      <c r="D73" s="47">
        <v>33000000</v>
      </c>
      <c r="E73" s="47">
        <v>33000000</v>
      </c>
      <c r="F73" s="47">
        <v>30000000</v>
      </c>
      <c r="G73" s="48">
        <v>30000000</v>
      </c>
    </row>
    <row r="74" spans="1:7" ht="25.5">
      <c r="A74" s="146" t="s">
        <v>967</v>
      </c>
      <c r="B74" s="147" t="s">
        <v>968</v>
      </c>
      <c r="C74" s="148"/>
      <c r="D74" s="47">
        <v>0</v>
      </c>
      <c r="E74" s="47">
        <v>0</v>
      </c>
      <c r="F74" s="47">
        <v>0</v>
      </c>
      <c r="G74" s="48">
        <v>0</v>
      </c>
    </row>
    <row r="75" spans="1:7" ht="38.25">
      <c r="A75" s="140" t="s">
        <v>969</v>
      </c>
      <c r="B75" s="141" t="s">
        <v>970</v>
      </c>
      <c r="C75" s="142"/>
      <c r="D75" s="38">
        <v>-603833784271</v>
      </c>
      <c r="E75" s="38">
        <v>-603833784271</v>
      </c>
      <c r="F75" s="38">
        <v>-711486854352</v>
      </c>
      <c r="G75" s="39">
        <v>-711486854352</v>
      </c>
    </row>
    <row r="76" spans="1:7" ht="38.25">
      <c r="A76" s="140" t="s">
        <v>971</v>
      </c>
      <c r="B76" s="141" t="s">
        <v>972</v>
      </c>
      <c r="C76" s="142"/>
      <c r="D76" s="38">
        <v>0</v>
      </c>
      <c r="E76" s="38">
        <v>0</v>
      </c>
      <c r="F76" s="38">
        <v>0</v>
      </c>
      <c r="G76" s="39">
        <v>0</v>
      </c>
    </row>
    <row r="77" spans="1:7" ht="25.5">
      <c r="A77" s="143" t="s">
        <v>973</v>
      </c>
      <c r="B77" s="144" t="s">
        <v>974</v>
      </c>
      <c r="C77" s="145"/>
      <c r="D77" s="70">
        <v>0</v>
      </c>
      <c r="E77" s="70">
        <v>0</v>
      </c>
      <c r="F77" s="70">
        <v>0</v>
      </c>
      <c r="G77" s="71">
        <v>0</v>
      </c>
    </row>
    <row r="78" spans="1:7" ht="25.5">
      <c r="A78" s="143" t="s">
        <v>975</v>
      </c>
      <c r="B78" s="144" t="s">
        <v>976</v>
      </c>
      <c r="C78" s="145"/>
      <c r="D78" s="70">
        <v>0</v>
      </c>
      <c r="E78" s="70">
        <v>0</v>
      </c>
      <c r="F78" s="70">
        <v>0</v>
      </c>
      <c r="G78" s="71">
        <v>0</v>
      </c>
    </row>
    <row r="79" spans="1:7" ht="51">
      <c r="A79" s="140" t="s">
        <v>977</v>
      </c>
      <c r="B79" s="141" t="s">
        <v>334</v>
      </c>
      <c r="C79" s="142"/>
      <c r="D79" s="38">
        <v>-603833784271</v>
      </c>
      <c r="E79" s="38">
        <v>-603833784271</v>
      </c>
      <c r="F79" s="38">
        <v>-711486854352</v>
      </c>
      <c r="G79" s="39">
        <v>-711486854352</v>
      </c>
    </row>
    <row r="80" spans="1:7" ht="25.5">
      <c r="A80" s="143" t="s">
        <v>978</v>
      </c>
      <c r="B80" s="144" t="s">
        <v>979</v>
      </c>
      <c r="C80" s="145"/>
      <c r="D80" s="70">
        <v>288771589183</v>
      </c>
      <c r="E80" s="70">
        <v>288771589183</v>
      </c>
      <c r="F80" s="70">
        <v>200801819087</v>
      </c>
      <c r="G80" s="71">
        <v>200801819087</v>
      </c>
    </row>
    <row r="81" spans="1:7" ht="25.5">
      <c r="A81" s="143" t="s">
        <v>980</v>
      </c>
      <c r="B81" s="144" t="s">
        <v>981</v>
      </c>
      <c r="C81" s="145"/>
      <c r="D81" s="70">
        <v>-892605373454</v>
      </c>
      <c r="E81" s="70">
        <v>-892605373454</v>
      </c>
      <c r="F81" s="70">
        <v>-912288673439</v>
      </c>
      <c r="G81" s="71">
        <v>-912288673439</v>
      </c>
    </row>
    <row r="82" spans="1:7" ht="25.5">
      <c r="A82" s="140" t="s">
        <v>982</v>
      </c>
      <c r="B82" s="141" t="s">
        <v>337</v>
      </c>
      <c r="C82" s="142"/>
      <c r="D82" s="38">
        <v>0</v>
      </c>
      <c r="E82" s="38">
        <v>0</v>
      </c>
      <c r="F82" s="38">
        <v>0</v>
      </c>
      <c r="G82" s="39">
        <v>0</v>
      </c>
    </row>
    <row r="83" spans="1:7" ht="51">
      <c r="A83" s="149" t="s">
        <v>983</v>
      </c>
      <c r="B83" s="150" t="s">
        <v>984</v>
      </c>
      <c r="C83" s="151"/>
      <c r="D83" s="152">
        <v>-603833784271</v>
      </c>
      <c r="E83" s="152">
        <v>-603833784271</v>
      </c>
      <c r="F83" s="152">
        <v>-711486854352</v>
      </c>
      <c r="G83" s="153">
        <v>-711486854352</v>
      </c>
    </row>
    <row r="84" spans="1:7" ht="10.5" customHeight="1">
      <c r="A84" s="1"/>
      <c r="B84" s="329"/>
      <c r="C84" s="329"/>
      <c r="D84" s="329"/>
      <c r="E84" s="329"/>
      <c r="F84" s="329"/>
      <c r="G84" s="329"/>
    </row>
    <row r="85" spans="1:7" ht="15" customHeight="1">
      <c r="A85" s="7" t="s">
        <v>611</v>
      </c>
      <c r="B85" s="381" t="s">
        <v>1118</v>
      </c>
      <c r="C85" s="381"/>
      <c r="D85" s="381"/>
      <c r="E85" s="381"/>
      <c r="F85" s="389" t="s">
        <v>173</v>
      </c>
      <c r="G85" s="389"/>
    </row>
    <row r="86" spans="1:7" ht="15" customHeight="1">
      <c r="A86" s="154" t="s">
        <v>612</v>
      </c>
      <c r="B86" s="386" t="s">
        <v>612</v>
      </c>
      <c r="C86" s="386"/>
      <c r="D86" s="386"/>
      <c r="E86" s="386"/>
      <c r="F86" s="387" t="s">
        <v>613</v>
      </c>
      <c r="G86" s="387"/>
    </row>
    <row r="87" spans="1:7" ht="65.25" customHeight="1">
      <c r="A87" s="1"/>
      <c r="B87" s="384"/>
      <c r="C87" s="384"/>
      <c r="D87" s="384"/>
      <c r="E87" s="384"/>
      <c r="F87" s="329"/>
      <c r="G87" s="329"/>
    </row>
    <row r="88" spans="1:7" ht="15.75" customHeight="1">
      <c r="A88" s="7" t="s">
        <v>1060</v>
      </c>
      <c r="B88" s="385" t="s">
        <v>1061</v>
      </c>
      <c r="C88" s="385"/>
      <c r="D88" s="385"/>
      <c r="E88" s="385"/>
      <c r="F88" s="323" t="s">
        <v>175</v>
      </c>
      <c r="G88" s="323"/>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6:C16"/>
    <mergeCell ref="D16:E16"/>
    <mergeCell ref="F16:G16"/>
    <mergeCell ref="B85:E85"/>
    <mergeCell ref="F85:G85"/>
    <mergeCell ref="B14:C14"/>
    <mergeCell ref="B15:E15"/>
    <mergeCell ref="B84:C84"/>
    <mergeCell ref="D84:E84"/>
    <mergeCell ref="F84:G84"/>
    <mergeCell ref="B87:C87"/>
    <mergeCell ref="D87:E87"/>
    <mergeCell ref="F87:G87"/>
    <mergeCell ref="B88:E88"/>
    <mergeCell ref="F88:G88"/>
  </mergeCells>
  <printOptions horizontalCentered="1"/>
  <pageMargins left="0.78740157480314965" right="0.19685039370078741" top="0.39370078740157483" bottom="0.19685039370078741" header="0.51181102362204722" footer="0.51181102362204722"/>
  <pageSetup paperSize="9" scale="78"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1"/>
  <sheetViews>
    <sheetView showGridLines="0" showZeros="0" showOutlineSymbols="0" zoomScaleNormal="100" workbookViewId="0">
      <selection activeCell="A132" sqref="A132"/>
    </sheetView>
  </sheetViews>
  <sheetFormatPr defaultRowHeight="15"/>
  <cols>
    <col min="1" max="1" width="6.28515625" style="3" customWidth="1"/>
    <col min="2" max="2" width="42.85546875" style="3" customWidth="1"/>
    <col min="3" max="4" width="7.85546875" style="3" customWidth="1"/>
    <col min="5" max="6" width="21.140625" style="3" customWidth="1"/>
    <col min="7" max="256" width="9.140625" style="3"/>
    <col min="257" max="257" width="6.28515625" style="3" customWidth="1"/>
    <col min="258" max="258" width="42.85546875" style="3" customWidth="1"/>
    <col min="259" max="260" width="7.85546875" style="3" customWidth="1"/>
    <col min="261" max="262" width="21.140625" style="3" customWidth="1"/>
    <col min="263" max="512" width="9.140625" style="3"/>
    <col min="513" max="513" width="6.28515625" style="3" customWidth="1"/>
    <col min="514" max="514" width="42.85546875" style="3" customWidth="1"/>
    <col min="515" max="516" width="7.85546875" style="3" customWidth="1"/>
    <col min="517" max="518" width="21.140625" style="3" customWidth="1"/>
    <col min="519" max="768" width="9.140625" style="3"/>
    <col min="769" max="769" width="6.28515625" style="3" customWidth="1"/>
    <col min="770" max="770" width="42.85546875" style="3" customWidth="1"/>
    <col min="771" max="772" width="7.85546875" style="3" customWidth="1"/>
    <col min="773" max="774" width="21.140625" style="3" customWidth="1"/>
    <col min="775" max="1024" width="9.140625" style="3"/>
    <col min="1025" max="1025" width="6.28515625" style="3" customWidth="1"/>
    <col min="1026" max="1026" width="42.85546875" style="3" customWidth="1"/>
    <col min="1027" max="1028" width="7.85546875" style="3" customWidth="1"/>
    <col min="1029" max="1030" width="21.140625" style="3" customWidth="1"/>
    <col min="1031" max="1280" width="9.140625" style="3"/>
    <col min="1281" max="1281" width="6.28515625" style="3" customWidth="1"/>
    <col min="1282" max="1282" width="42.85546875" style="3" customWidth="1"/>
    <col min="1283" max="1284" width="7.85546875" style="3" customWidth="1"/>
    <col min="1285" max="1286" width="21.140625" style="3" customWidth="1"/>
    <col min="1287" max="1536" width="9.140625" style="3"/>
    <col min="1537" max="1537" width="6.28515625" style="3" customWidth="1"/>
    <col min="1538" max="1538" width="42.85546875" style="3" customWidth="1"/>
    <col min="1539" max="1540" width="7.85546875" style="3" customWidth="1"/>
    <col min="1541" max="1542" width="21.140625" style="3" customWidth="1"/>
    <col min="1543" max="1792" width="9.140625" style="3"/>
    <col min="1793" max="1793" width="6.28515625" style="3" customWidth="1"/>
    <col min="1794" max="1794" width="42.85546875" style="3" customWidth="1"/>
    <col min="1795" max="1796" width="7.85546875" style="3" customWidth="1"/>
    <col min="1797" max="1798" width="21.140625" style="3" customWidth="1"/>
    <col min="1799" max="2048" width="9.140625" style="3"/>
    <col min="2049" max="2049" width="6.28515625" style="3" customWidth="1"/>
    <col min="2050" max="2050" width="42.85546875" style="3" customWidth="1"/>
    <col min="2051" max="2052" width="7.85546875" style="3" customWidth="1"/>
    <col min="2053" max="2054" width="21.140625" style="3" customWidth="1"/>
    <col min="2055" max="2304" width="9.140625" style="3"/>
    <col min="2305" max="2305" width="6.28515625" style="3" customWidth="1"/>
    <col min="2306" max="2306" width="42.85546875" style="3" customWidth="1"/>
    <col min="2307" max="2308" width="7.85546875" style="3" customWidth="1"/>
    <col min="2309" max="2310" width="21.140625" style="3" customWidth="1"/>
    <col min="2311" max="2560" width="9.140625" style="3"/>
    <col min="2561" max="2561" width="6.28515625" style="3" customWidth="1"/>
    <col min="2562" max="2562" width="42.85546875" style="3" customWidth="1"/>
    <col min="2563" max="2564" width="7.85546875" style="3" customWidth="1"/>
    <col min="2565" max="2566" width="21.140625" style="3" customWidth="1"/>
    <col min="2567" max="2816" width="9.140625" style="3"/>
    <col min="2817" max="2817" width="6.28515625" style="3" customWidth="1"/>
    <col min="2818" max="2818" width="42.85546875" style="3" customWidth="1"/>
    <col min="2819" max="2820" width="7.85546875" style="3" customWidth="1"/>
    <col min="2821" max="2822" width="21.140625" style="3" customWidth="1"/>
    <col min="2823" max="3072" width="9.140625" style="3"/>
    <col min="3073" max="3073" width="6.28515625" style="3" customWidth="1"/>
    <col min="3074" max="3074" width="42.85546875" style="3" customWidth="1"/>
    <col min="3075" max="3076" width="7.85546875" style="3" customWidth="1"/>
    <col min="3077" max="3078" width="21.140625" style="3" customWidth="1"/>
    <col min="3079" max="3328" width="9.140625" style="3"/>
    <col min="3329" max="3329" width="6.28515625" style="3" customWidth="1"/>
    <col min="3330" max="3330" width="42.85546875" style="3" customWidth="1"/>
    <col min="3331" max="3332" width="7.85546875" style="3" customWidth="1"/>
    <col min="3333" max="3334" width="21.140625" style="3" customWidth="1"/>
    <col min="3335" max="3584" width="9.140625" style="3"/>
    <col min="3585" max="3585" width="6.28515625" style="3" customWidth="1"/>
    <col min="3586" max="3586" width="42.85546875" style="3" customWidth="1"/>
    <col min="3587" max="3588" width="7.85546875" style="3" customWidth="1"/>
    <col min="3589" max="3590" width="21.140625" style="3" customWidth="1"/>
    <col min="3591" max="3840" width="9.140625" style="3"/>
    <col min="3841" max="3841" width="6.28515625" style="3" customWidth="1"/>
    <col min="3842" max="3842" width="42.85546875" style="3" customWidth="1"/>
    <col min="3843" max="3844" width="7.85546875" style="3" customWidth="1"/>
    <col min="3845" max="3846" width="21.140625" style="3" customWidth="1"/>
    <col min="3847" max="4096" width="9.140625" style="3"/>
    <col min="4097" max="4097" width="6.28515625" style="3" customWidth="1"/>
    <col min="4098" max="4098" width="42.85546875" style="3" customWidth="1"/>
    <col min="4099" max="4100" width="7.85546875" style="3" customWidth="1"/>
    <col min="4101" max="4102" width="21.140625" style="3" customWidth="1"/>
    <col min="4103" max="4352" width="9.140625" style="3"/>
    <col min="4353" max="4353" width="6.28515625" style="3" customWidth="1"/>
    <col min="4354" max="4354" width="42.85546875" style="3" customWidth="1"/>
    <col min="4355" max="4356" width="7.85546875" style="3" customWidth="1"/>
    <col min="4357" max="4358" width="21.140625" style="3" customWidth="1"/>
    <col min="4359" max="4608" width="9.140625" style="3"/>
    <col min="4609" max="4609" width="6.28515625" style="3" customWidth="1"/>
    <col min="4610" max="4610" width="42.85546875" style="3" customWidth="1"/>
    <col min="4611" max="4612" width="7.85546875" style="3" customWidth="1"/>
    <col min="4613" max="4614" width="21.140625" style="3" customWidth="1"/>
    <col min="4615" max="4864" width="9.140625" style="3"/>
    <col min="4865" max="4865" width="6.28515625" style="3" customWidth="1"/>
    <col min="4866" max="4866" width="42.85546875" style="3" customWidth="1"/>
    <col min="4867" max="4868" width="7.85546875" style="3" customWidth="1"/>
    <col min="4869" max="4870" width="21.140625" style="3" customWidth="1"/>
    <col min="4871" max="5120" width="9.140625" style="3"/>
    <col min="5121" max="5121" width="6.28515625" style="3" customWidth="1"/>
    <col min="5122" max="5122" width="42.85546875" style="3" customWidth="1"/>
    <col min="5123" max="5124" width="7.85546875" style="3" customWidth="1"/>
    <col min="5125" max="5126" width="21.140625" style="3" customWidth="1"/>
    <col min="5127" max="5376" width="9.140625" style="3"/>
    <col min="5377" max="5377" width="6.28515625" style="3" customWidth="1"/>
    <col min="5378" max="5378" width="42.85546875" style="3" customWidth="1"/>
    <col min="5379" max="5380" width="7.85546875" style="3" customWidth="1"/>
    <col min="5381" max="5382" width="21.140625" style="3" customWidth="1"/>
    <col min="5383" max="5632" width="9.140625" style="3"/>
    <col min="5633" max="5633" width="6.28515625" style="3" customWidth="1"/>
    <col min="5634" max="5634" width="42.85546875" style="3" customWidth="1"/>
    <col min="5635" max="5636" width="7.85546875" style="3" customWidth="1"/>
    <col min="5637" max="5638" width="21.140625" style="3" customWidth="1"/>
    <col min="5639" max="5888" width="9.140625" style="3"/>
    <col min="5889" max="5889" width="6.28515625" style="3" customWidth="1"/>
    <col min="5890" max="5890" width="42.85546875" style="3" customWidth="1"/>
    <col min="5891" max="5892" width="7.85546875" style="3" customWidth="1"/>
    <col min="5893" max="5894" width="21.140625" style="3" customWidth="1"/>
    <col min="5895" max="6144" width="9.140625" style="3"/>
    <col min="6145" max="6145" width="6.28515625" style="3" customWidth="1"/>
    <col min="6146" max="6146" width="42.85546875" style="3" customWidth="1"/>
    <col min="6147" max="6148" width="7.85546875" style="3" customWidth="1"/>
    <col min="6149" max="6150" width="21.140625" style="3" customWidth="1"/>
    <col min="6151" max="6400" width="9.140625" style="3"/>
    <col min="6401" max="6401" width="6.28515625" style="3" customWidth="1"/>
    <col min="6402" max="6402" width="42.85546875" style="3" customWidth="1"/>
    <col min="6403" max="6404" width="7.85546875" style="3" customWidth="1"/>
    <col min="6405" max="6406" width="21.140625" style="3" customWidth="1"/>
    <col min="6407" max="6656" width="9.140625" style="3"/>
    <col min="6657" max="6657" width="6.28515625" style="3" customWidth="1"/>
    <col min="6658" max="6658" width="42.85546875" style="3" customWidth="1"/>
    <col min="6659" max="6660" width="7.85546875" style="3" customWidth="1"/>
    <col min="6661" max="6662" width="21.140625" style="3" customWidth="1"/>
    <col min="6663" max="6912" width="9.140625" style="3"/>
    <col min="6913" max="6913" width="6.28515625" style="3" customWidth="1"/>
    <col min="6914" max="6914" width="42.85546875" style="3" customWidth="1"/>
    <col min="6915" max="6916" width="7.85546875" style="3" customWidth="1"/>
    <col min="6917" max="6918" width="21.140625" style="3" customWidth="1"/>
    <col min="6919" max="7168" width="9.140625" style="3"/>
    <col min="7169" max="7169" width="6.28515625" style="3" customWidth="1"/>
    <col min="7170" max="7170" width="42.85546875" style="3" customWidth="1"/>
    <col min="7171" max="7172" width="7.85546875" style="3" customWidth="1"/>
    <col min="7173" max="7174" width="21.140625" style="3" customWidth="1"/>
    <col min="7175" max="7424" width="9.140625" style="3"/>
    <col min="7425" max="7425" width="6.28515625" style="3" customWidth="1"/>
    <col min="7426" max="7426" width="42.85546875" style="3" customWidth="1"/>
    <col min="7427" max="7428" width="7.85546875" style="3" customWidth="1"/>
    <col min="7429" max="7430" width="21.140625" style="3" customWidth="1"/>
    <col min="7431" max="7680" width="9.140625" style="3"/>
    <col min="7681" max="7681" width="6.28515625" style="3" customWidth="1"/>
    <col min="7682" max="7682" width="42.85546875" style="3" customWidth="1"/>
    <col min="7683" max="7684" width="7.85546875" style="3" customWidth="1"/>
    <col min="7685" max="7686" width="21.140625" style="3" customWidth="1"/>
    <col min="7687" max="7936" width="9.140625" style="3"/>
    <col min="7937" max="7937" width="6.28515625" style="3" customWidth="1"/>
    <col min="7938" max="7938" width="42.85546875" style="3" customWidth="1"/>
    <col min="7939" max="7940" width="7.85546875" style="3" customWidth="1"/>
    <col min="7941" max="7942" width="21.140625" style="3" customWidth="1"/>
    <col min="7943" max="8192" width="9.140625" style="3"/>
    <col min="8193" max="8193" width="6.28515625" style="3" customWidth="1"/>
    <col min="8194" max="8194" width="42.85546875" style="3" customWidth="1"/>
    <col min="8195" max="8196" width="7.85546875" style="3" customWidth="1"/>
    <col min="8197" max="8198" width="21.140625" style="3" customWidth="1"/>
    <col min="8199" max="8448" width="9.140625" style="3"/>
    <col min="8449" max="8449" width="6.28515625" style="3" customWidth="1"/>
    <col min="8450" max="8450" width="42.85546875" style="3" customWidth="1"/>
    <col min="8451" max="8452" width="7.85546875" style="3" customWidth="1"/>
    <col min="8453" max="8454" width="21.140625" style="3" customWidth="1"/>
    <col min="8455" max="8704" width="9.140625" style="3"/>
    <col min="8705" max="8705" width="6.28515625" style="3" customWidth="1"/>
    <col min="8706" max="8706" width="42.85546875" style="3" customWidth="1"/>
    <col min="8707" max="8708" width="7.85546875" style="3" customWidth="1"/>
    <col min="8709" max="8710" width="21.140625" style="3" customWidth="1"/>
    <col min="8711" max="8960" width="9.140625" style="3"/>
    <col min="8961" max="8961" width="6.28515625" style="3" customWidth="1"/>
    <col min="8962" max="8962" width="42.85546875" style="3" customWidth="1"/>
    <col min="8963" max="8964" width="7.85546875" style="3" customWidth="1"/>
    <col min="8965" max="8966" width="21.140625" style="3" customWidth="1"/>
    <col min="8967" max="9216" width="9.140625" style="3"/>
    <col min="9217" max="9217" width="6.28515625" style="3" customWidth="1"/>
    <col min="9218" max="9218" width="42.85546875" style="3" customWidth="1"/>
    <col min="9219" max="9220" width="7.85546875" style="3" customWidth="1"/>
    <col min="9221" max="9222" width="21.140625" style="3" customWidth="1"/>
    <col min="9223" max="9472" width="9.140625" style="3"/>
    <col min="9473" max="9473" width="6.28515625" style="3" customWidth="1"/>
    <col min="9474" max="9474" width="42.85546875" style="3" customWidth="1"/>
    <col min="9475" max="9476" width="7.85546875" style="3" customWidth="1"/>
    <col min="9477" max="9478" width="21.140625" style="3" customWidth="1"/>
    <col min="9479" max="9728" width="9.140625" style="3"/>
    <col min="9729" max="9729" width="6.28515625" style="3" customWidth="1"/>
    <col min="9730" max="9730" width="42.85546875" style="3" customWidth="1"/>
    <col min="9731" max="9732" width="7.85546875" style="3" customWidth="1"/>
    <col min="9733" max="9734" width="21.140625" style="3" customWidth="1"/>
    <col min="9735" max="9984" width="9.140625" style="3"/>
    <col min="9985" max="9985" width="6.28515625" style="3" customWidth="1"/>
    <col min="9986" max="9986" width="42.85546875" style="3" customWidth="1"/>
    <col min="9987" max="9988" width="7.85546875" style="3" customWidth="1"/>
    <col min="9989" max="9990" width="21.140625" style="3" customWidth="1"/>
    <col min="9991" max="10240" width="9.140625" style="3"/>
    <col min="10241" max="10241" width="6.28515625" style="3" customWidth="1"/>
    <col min="10242" max="10242" width="42.85546875" style="3" customWidth="1"/>
    <col min="10243" max="10244" width="7.85546875" style="3" customWidth="1"/>
    <col min="10245" max="10246" width="21.140625" style="3" customWidth="1"/>
    <col min="10247" max="10496" width="9.140625" style="3"/>
    <col min="10497" max="10497" width="6.28515625" style="3" customWidth="1"/>
    <col min="10498" max="10498" width="42.85546875" style="3" customWidth="1"/>
    <col min="10499" max="10500" width="7.85546875" style="3" customWidth="1"/>
    <col min="10501" max="10502" width="21.140625" style="3" customWidth="1"/>
    <col min="10503" max="10752" width="9.140625" style="3"/>
    <col min="10753" max="10753" width="6.28515625" style="3" customWidth="1"/>
    <col min="10754" max="10754" width="42.85546875" style="3" customWidth="1"/>
    <col min="10755" max="10756" width="7.85546875" style="3" customWidth="1"/>
    <col min="10757" max="10758" width="21.140625" style="3" customWidth="1"/>
    <col min="10759" max="11008" width="9.140625" style="3"/>
    <col min="11009" max="11009" width="6.28515625" style="3" customWidth="1"/>
    <col min="11010" max="11010" width="42.85546875" style="3" customWidth="1"/>
    <col min="11011" max="11012" width="7.85546875" style="3" customWidth="1"/>
    <col min="11013" max="11014" width="21.140625" style="3" customWidth="1"/>
    <col min="11015" max="11264" width="9.140625" style="3"/>
    <col min="11265" max="11265" width="6.28515625" style="3" customWidth="1"/>
    <col min="11266" max="11266" width="42.85546875" style="3" customWidth="1"/>
    <col min="11267" max="11268" width="7.85546875" style="3" customWidth="1"/>
    <col min="11269" max="11270" width="21.140625" style="3" customWidth="1"/>
    <col min="11271" max="11520" width="9.140625" style="3"/>
    <col min="11521" max="11521" width="6.28515625" style="3" customWidth="1"/>
    <col min="11522" max="11522" width="42.85546875" style="3" customWidth="1"/>
    <col min="11523" max="11524" width="7.85546875" style="3" customWidth="1"/>
    <col min="11525" max="11526" width="21.140625" style="3" customWidth="1"/>
    <col min="11527" max="11776" width="9.140625" style="3"/>
    <col min="11777" max="11777" width="6.28515625" style="3" customWidth="1"/>
    <col min="11778" max="11778" width="42.85546875" style="3" customWidth="1"/>
    <col min="11779" max="11780" width="7.85546875" style="3" customWidth="1"/>
    <col min="11781" max="11782" width="21.140625" style="3" customWidth="1"/>
    <col min="11783" max="12032" width="9.140625" style="3"/>
    <col min="12033" max="12033" width="6.28515625" style="3" customWidth="1"/>
    <col min="12034" max="12034" width="42.85546875" style="3" customWidth="1"/>
    <col min="12035" max="12036" width="7.85546875" style="3" customWidth="1"/>
    <col min="12037" max="12038" width="21.140625" style="3" customWidth="1"/>
    <col min="12039" max="12288" width="9.140625" style="3"/>
    <col min="12289" max="12289" width="6.28515625" style="3" customWidth="1"/>
    <col min="12290" max="12290" width="42.85546875" style="3" customWidth="1"/>
    <col min="12291" max="12292" width="7.85546875" style="3" customWidth="1"/>
    <col min="12293" max="12294" width="21.140625" style="3" customWidth="1"/>
    <col min="12295" max="12544" width="9.140625" style="3"/>
    <col min="12545" max="12545" width="6.28515625" style="3" customWidth="1"/>
    <col min="12546" max="12546" width="42.85546875" style="3" customWidth="1"/>
    <col min="12547" max="12548" width="7.85546875" style="3" customWidth="1"/>
    <col min="12549" max="12550" width="21.140625" style="3" customWidth="1"/>
    <col min="12551" max="12800" width="9.140625" style="3"/>
    <col min="12801" max="12801" width="6.28515625" style="3" customWidth="1"/>
    <col min="12802" max="12802" width="42.85546875" style="3" customWidth="1"/>
    <col min="12803" max="12804" width="7.85546875" style="3" customWidth="1"/>
    <col min="12805" max="12806" width="21.140625" style="3" customWidth="1"/>
    <col min="12807" max="13056" width="9.140625" style="3"/>
    <col min="13057" max="13057" width="6.28515625" style="3" customWidth="1"/>
    <col min="13058" max="13058" width="42.85546875" style="3" customWidth="1"/>
    <col min="13059" max="13060" width="7.85546875" style="3" customWidth="1"/>
    <col min="13061" max="13062" width="21.140625" style="3" customWidth="1"/>
    <col min="13063" max="13312" width="9.140625" style="3"/>
    <col min="13313" max="13313" width="6.28515625" style="3" customWidth="1"/>
    <col min="13314" max="13314" width="42.85546875" style="3" customWidth="1"/>
    <col min="13315" max="13316" width="7.85546875" style="3" customWidth="1"/>
    <col min="13317" max="13318" width="21.140625" style="3" customWidth="1"/>
    <col min="13319" max="13568" width="9.140625" style="3"/>
    <col min="13569" max="13569" width="6.28515625" style="3" customWidth="1"/>
    <col min="13570" max="13570" width="42.85546875" style="3" customWidth="1"/>
    <col min="13571" max="13572" width="7.85546875" style="3" customWidth="1"/>
    <col min="13573" max="13574" width="21.140625" style="3" customWidth="1"/>
    <col min="13575" max="13824" width="9.140625" style="3"/>
    <col min="13825" max="13825" width="6.28515625" style="3" customWidth="1"/>
    <col min="13826" max="13826" width="42.85546875" style="3" customWidth="1"/>
    <col min="13827" max="13828" width="7.85546875" style="3" customWidth="1"/>
    <col min="13829" max="13830" width="21.140625" style="3" customWidth="1"/>
    <col min="13831" max="14080" width="9.140625" style="3"/>
    <col min="14081" max="14081" width="6.28515625" style="3" customWidth="1"/>
    <col min="14082" max="14082" width="42.85546875" style="3" customWidth="1"/>
    <col min="14083" max="14084" width="7.85546875" style="3" customWidth="1"/>
    <col min="14085" max="14086" width="21.140625" style="3" customWidth="1"/>
    <col min="14087" max="14336" width="9.140625" style="3"/>
    <col min="14337" max="14337" width="6.28515625" style="3" customWidth="1"/>
    <col min="14338" max="14338" width="42.85546875" style="3" customWidth="1"/>
    <col min="14339" max="14340" width="7.85546875" style="3" customWidth="1"/>
    <col min="14341" max="14342" width="21.140625" style="3" customWidth="1"/>
    <col min="14343" max="14592" width="9.140625" style="3"/>
    <col min="14593" max="14593" width="6.28515625" style="3" customWidth="1"/>
    <col min="14594" max="14594" width="42.85546875" style="3" customWidth="1"/>
    <col min="14595" max="14596" width="7.85546875" style="3" customWidth="1"/>
    <col min="14597" max="14598" width="21.140625" style="3" customWidth="1"/>
    <col min="14599" max="14848" width="9.140625" style="3"/>
    <col min="14849" max="14849" width="6.28515625" style="3" customWidth="1"/>
    <col min="14850" max="14850" width="42.85546875" style="3" customWidth="1"/>
    <col min="14851" max="14852" width="7.85546875" style="3" customWidth="1"/>
    <col min="14853" max="14854" width="21.140625" style="3" customWidth="1"/>
    <col min="14855" max="15104" width="9.140625" style="3"/>
    <col min="15105" max="15105" width="6.28515625" style="3" customWidth="1"/>
    <col min="15106" max="15106" width="42.85546875" style="3" customWidth="1"/>
    <col min="15107" max="15108" width="7.85546875" style="3" customWidth="1"/>
    <col min="15109" max="15110" width="21.140625" style="3" customWidth="1"/>
    <col min="15111" max="15360" width="9.140625" style="3"/>
    <col min="15361" max="15361" width="6.28515625" style="3" customWidth="1"/>
    <col min="15362" max="15362" width="42.85546875" style="3" customWidth="1"/>
    <col min="15363" max="15364" width="7.85546875" style="3" customWidth="1"/>
    <col min="15365" max="15366" width="21.140625" style="3" customWidth="1"/>
    <col min="15367" max="15616" width="9.140625" style="3"/>
    <col min="15617" max="15617" width="6.28515625" style="3" customWidth="1"/>
    <col min="15618" max="15618" width="42.85546875" style="3" customWidth="1"/>
    <col min="15619" max="15620" width="7.85546875" style="3" customWidth="1"/>
    <col min="15621" max="15622" width="21.140625" style="3" customWidth="1"/>
    <col min="15623" max="15872" width="9.140625" style="3"/>
    <col min="15873" max="15873" width="6.28515625" style="3" customWidth="1"/>
    <col min="15874" max="15874" width="42.85546875" style="3" customWidth="1"/>
    <col min="15875" max="15876" width="7.85546875" style="3" customWidth="1"/>
    <col min="15877" max="15878" width="21.140625" style="3" customWidth="1"/>
    <col min="15879" max="16128" width="9.140625" style="3"/>
    <col min="16129" max="16129" width="6.28515625" style="3" customWidth="1"/>
    <col min="16130" max="16130" width="42.85546875" style="3" customWidth="1"/>
    <col min="16131" max="16132" width="7.85546875" style="3" customWidth="1"/>
    <col min="16133" max="16134" width="21.140625" style="3" customWidth="1"/>
    <col min="16135" max="16384" width="9.140625" style="3"/>
  </cols>
  <sheetData>
    <row r="1" spans="1:6" ht="52.5" customHeight="1">
      <c r="A1" s="329"/>
      <c r="B1" s="329"/>
      <c r="C1" s="322" t="s">
        <v>614</v>
      </c>
      <c r="D1" s="322"/>
      <c r="E1" s="322"/>
      <c r="F1" s="322"/>
    </row>
    <row r="2" spans="1:6" ht="35.25" customHeight="1">
      <c r="A2" s="403" t="s">
        <v>582</v>
      </c>
      <c r="B2" s="403"/>
      <c r="C2" s="403"/>
      <c r="D2" s="403"/>
      <c r="E2" s="403"/>
      <c r="F2" s="403"/>
    </row>
    <row r="3" spans="1:6" ht="3.75" customHeight="1">
      <c r="A3" s="1"/>
      <c r="B3" s="1"/>
      <c r="C3" s="1"/>
      <c r="D3" s="1"/>
      <c r="E3" s="1"/>
      <c r="F3" s="1"/>
    </row>
    <row r="4" spans="1:6" ht="30.75" customHeight="1">
      <c r="A4" s="331" t="s">
        <v>615</v>
      </c>
      <c r="B4" s="331"/>
      <c r="C4" s="331"/>
      <c r="D4" s="331"/>
      <c r="E4" s="331"/>
      <c r="F4" s="331"/>
    </row>
    <row r="5" spans="1:6" ht="11.25" customHeight="1">
      <c r="A5" s="321" t="s">
        <v>1116</v>
      </c>
      <c r="B5" s="321"/>
      <c r="C5" s="321"/>
      <c r="D5" s="321"/>
      <c r="E5" s="321"/>
      <c r="F5" s="321"/>
    </row>
    <row r="6" spans="1:6" ht="5.25" customHeight="1">
      <c r="A6" s="1"/>
      <c r="B6" s="1"/>
      <c r="C6" s="79"/>
      <c r="D6" s="1"/>
      <c r="E6" s="1"/>
      <c r="F6" s="1"/>
    </row>
    <row r="7" spans="1:6" ht="4.5" customHeight="1">
      <c r="A7" s="1"/>
      <c r="B7" s="1"/>
      <c r="C7" s="1"/>
      <c r="D7" s="1"/>
      <c r="E7" s="1"/>
      <c r="F7" s="1"/>
    </row>
    <row r="8" spans="1:6" ht="12.75" customHeight="1">
      <c r="A8" s="325" t="s">
        <v>10</v>
      </c>
      <c r="B8" s="325"/>
      <c r="C8" s="325" t="s">
        <v>11</v>
      </c>
      <c r="D8" s="325"/>
      <c r="E8" s="325"/>
      <c r="F8" s="325"/>
    </row>
    <row r="9" spans="1:6" ht="12.75" customHeight="1">
      <c r="A9" s="324" t="s">
        <v>12</v>
      </c>
      <c r="B9" s="324"/>
      <c r="C9" s="324" t="s">
        <v>13</v>
      </c>
      <c r="D9" s="324"/>
      <c r="E9" s="324"/>
      <c r="F9" s="324"/>
    </row>
    <row r="10" spans="1:6" ht="12.75" customHeight="1">
      <c r="A10" s="325" t="s">
        <v>15</v>
      </c>
      <c r="B10" s="325"/>
      <c r="C10" s="325" t="s">
        <v>16</v>
      </c>
      <c r="D10" s="325"/>
      <c r="E10" s="325"/>
      <c r="F10" s="325"/>
    </row>
    <row r="11" spans="1:6" ht="12.75" customHeight="1">
      <c r="A11" s="324" t="s">
        <v>17</v>
      </c>
      <c r="B11" s="324"/>
      <c r="C11" s="324" t="s">
        <v>18</v>
      </c>
      <c r="D11" s="324"/>
      <c r="E11" s="324"/>
      <c r="F11" s="324"/>
    </row>
    <row r="12" spans="1:6" ht="12.75" customHeight="1">
      <c r="A12" s="325" t="s">
        <v>391</v>
      </c>
      <c r="B12" s="325"/>
      <c r="C12" s="325" t="s">
        <v>6</v>
      </c>
      <c r="D12" s="325"/>
      <c r="E12" s="325"/>
      <c r="F12" s="325"/>
    </row>
    <row r="13" spans="1:6" ht="12.75" customHeight="1">
      <c r="A13" s="324" t="s">
        <v>7</v>
      </c>
      <c r="B13" s="324"/>
      <c r="C13" s="324" t="s">
        <v>8</v>
      </c>
      <c r="D13" s="324"/>
      <c r="E13" s="324"/>
      <c r="F13" s="324"/>
    </row>
    <row r="14" spans="1:6" ht="12.75" customHeight="1">
      <c r="A14" s="325" t="s">
        <v>20</v>
      </c>
      <c r="B14" s="325"/>
      <c r="C14" s="332">
        <v>46115</v>
      </c>
      <c r="D14" s="332"/>
      <c r="E14" s="216"/>
      <c r="F14" s="216"/>
    </row>
    <row r="15" spans="1:6" ht="12.75" customHeight="1">
      <c r="A15" s="324" t="s">
        <v>21</v>
      </c>
      <c r="B15" s="324"/>
      <c r="C15" s="326">
        <f>+C14</f>
        <v>46115</v>
      </c>
      <c r="D15" s="326"/>
      <c r="E15" s="326"/>
      <c r="F15" s="326"/>
    </row>
    <row r="16" spans="1:6" ht="12.75" customHeight="1">
      <c r="A16" s="10"/>
      <c r="B16" s="80"/>
      <c r="C16" s="10"/>
      <c r="D16" s="10"/>
      <c r="E16" s="10"/>
      <c r="F16" s="81" t="s">
        <v>24</v>
      </c>
    </row>
    <row r="17" spans="1:6" ht="36" customHeight="1">
      <c r="A17" s="12" t="s">
        <v>25</v>
      </c>
      <c r="B17" s="13" t="s">
        <v>616</v>
      </c>
      <c r="C17" s="13" t="s">
        <v>617</v>
      </c>
      <c r="D17" s="13" t="s">
        <v>618</v>
      </c>
      <c r="E17" s="82" t="s">
        <v>620</v>
      </c>
      <c r="F17" s="14" t="s">
        <v>619</v>
      </c>
    </row>
    <row r="18" spans="1:6" ht="25.5">
      <c r="A18" s="83" t="s">
        <v>32</v>
      </c>
      <c r="B18" s="84" t="s">
        <v>621</v>
      </c>
      <c r="C18" s="85" t="s">
        <v>32</v>
      </c>
      <c r="D18" s="85"/>
      <c r="E18" s="131"/>
      <c r="F18" s="134"/>
    </row>
    <row r="19" spans="1:6" ht="25.5">
      <c r="A19" s="83" t="s">
        <v>4</v>
      </c>
      <c r="B19" s="84" t="s">
        <v>622</v>
      </c>
      <c r="C19" s="85" t="s">
        <v>623</v>
      </c>
      <c r="D19" s="85"/>
      <c r="E19" s="131">
        <f>E20+E25+E26</f>
        <v>192134439612</v>
      </c>
      <c r="F19" s="134">
        <f>F20+F25+F26</f>
        <v>239516907294</v>
      </c>
    </row>
    <row r="20" spans="1:6" ht="25.5">
      <c r="A20" s="87" t="s">
        <v>624</v>
      </c>
      <c r="B20" s="88" t="s">
        <v>625</v>
      </c>
      <c r="C20" s="89" t="s">
        <v>626</v>
      </c>
      <c r="D20" s="89"/>
      <c r="E20" s="132">
        <f>E21+E22+E23+E24</f>
        <v>192134439612</v>
      </c>
      <c r="F20" s="135">
        <f>F21+F22+F23+F24</f>
        <v>239516907294</v>
      </c>
    </row>
    <row r="21" spans="1:6" ht="38.25">
      <c r="A21" s="91"/>
      <c r="B21" s="92" t="s">
        <v>627</v>
      </c>
      <c r="C21" s="93" t="s">
        <v>628</v>
      </c>
      <c r="D21" s="93"/>
      <c r="E21" s="133"/>
      <c r="F21" s="136"/>
    </row>
    <row r="22" spans="1:6" ht="38.25">
      <c r="A22" s="91"/>
      <c r="B22" s="92" t="s">
        <v>629</v>
      </c>
      <c r="C22" s="93" t="s">
        <v>630</v>
      </c>
      <c r="D22" s="93"/>
      <c r="E22" s="133"/>
      <c r="F22" s="136"/>
    </row>
    <row r="23" spans="1:6" ht="25.5">
      <c r="A23" s="91"/>
      <c r="B23" s="92" t="s">
        <v>143</v>
      </c>
      <c r="C23" s="93" t="s">
        <v>631</v>
      </c>
      <c r="D23" s="93"/>
      <c r="E23" s="133">
        <v>192134439612</v>
      </c>
      <c r="F23" s="136">
        <v>239516907294</v>
      </c>
    </row>
    <row r="24" spans="1:6" ht="38.25">
      <c r="A24" s="91"/>
      <c r="B24" s="92" t="s">
        <v>632</v>
      </c>
      <c r="C24" s="93" t="s">
        <v>633</v>
      </c>
      <c r="D24" s="93"/>
      <c r="E24" s="133"/>
      <c r="F24" s="136"/>
    </row>
    <row r="25" spans="1:6" ht="25.5">
      <c r="A25" s="87" t="s">
        <v>634</v>
      </c>
      <c r="B25" s="88" t="s">
        <v>635</v>
      </c>
      <c r="C25" s="89" t="s">
        <v>636</v>
      </c>
      <c r="D25" s="89"/>
      <c r="E25" s="132"/>
      <c r="F25" s="135"/>
    </row>
    <row r="26" spans="1:6" ht="25.5">
      <c r="A26" s="87" t="s">
        <v>637</v>
      </c>
      <c r="B26" s="88" t="s">
        <v>638</v>
      </c>
      <c r="C26" s="89" t="s">
        <v>639</v>
      </c>
      <c r="D26" s="89"/>
      <c r="E26" s="132"/>
      <c r="F26" s="135"/>
    </row>
    <row r="27" spans="1:6" ht="25.5">
      <c r="A27" s="83" t="s">
        <v>9</v>
      </c>
      <c r="B27" s="84" t="s">
        <v>640</v>
      </c>
      <c r="C27" s="85" t="s">
        <v>641</v>
      </c>
      <c r="D27" s="85"/>
      <c r="E27" s="131">
        <f>E28-E38</f>
        <v>11858191058300</v>
      </c>
      <c r="F27" s="134">
        <f>F28-F38</f>
        <v>13454348644850</v>
      </c>
    </row>
    <row r="28" spans="1:6" ht="25.5">
      <c r="A28" s="87" t="s">
        <v>642</v>
      </c>
      <c r="B28" s="88" t="s">
        <v>643</v>
      </c>
      <c r="C28" s="89" t="s">
        <v>644</v>
      </c>
      <c r="D28" s="89"/>
      <c r="E28" s="132">
        <f>E29+E30+E31+E32+E33+E34+E35+E36+E37</f>
        <v>11858191058300</v>
      </c>
      <c r="F28" s="135">
        <f>F29+F30+F31+F32+F33+F34+F35+F36+F37</f>
        <v>13454348644850</v>
      </c>
    </row>
    <row r="29" spans="1:6" ht="25.5">
      <c r="A29" s="91"/>
      <c r="B29" s="92" t="s">
        <v>645</v>
      </c>
      <c r="C29" s="93" t="s">
        <v>646</v>
      </c>
      <c r="D29" s="93"/>
      <c r="E29" s="133">
        <v>11858191058300</v>
      </c>
      <c r="F29" s="136">
        <v>13454348644850</v>
      </c>
    </row>
    <row r="30" spans="1:6" ht="25.5">
      <c r="A30" s="91"/>
      <c r="B30" s="92" t="s">
        <v>647</v>
      </c>
      <c r="C30" s="93" t="s">
        <v>648</v>
      </c>
      <c r="D30" s="93"/>
      <c r="E30" s="133"/>
      <c r="F30" s="136"/>
    </row>
    <row r="31" spans="1:6" ht="25.5">
      <c r="A31" s="91"/>
      <c r="B31" s="92" t="s">
        <v>649</v>
      </c>
      <c r="C31" s="93" t="s">
        <v>650</v>
      </c>
      <c r="D31" s="93"/>
      <c r="E31" s="133"/>
      <c r="F31" s="136"/>
    </row>
    <row r="32" spans="1:6" ht="25.5">
      <c r="A32" s="91"/>
      <c r="B32" s="92" t="s">
        <v>651</v>
      </c>
      <c r="C32" s="93" t="s">
        <v>652</v>
      </c>
      <c r="D32" s="93"/>
      <c r="E32" s="133"/>
      <c r="F32" s="136"/>
    </row>
    <row r="33" spans="1:6" ht="25.5">
      <c r="A33" s="91"/>
      <c r="B33" s="92" t="s">
        <v>653</v>
      </c>
      <c r="C33" s="93" t="s">
        <v>654</v>
      </c>
      <c r="D33" s="93"/>
      <c r="E33" s="133"/>
      <c r="F33" s="136"/>
    </row>
    <row r="34" spans="1:6" ht="25.5">
      <c r="A34" s="91"/>
      <c r="B34" s="92" t="s">
        <v>655</v>
      </c>
      <c r="C34" s="93" t="s">
        <v>656</v>
      </c>
      <c r="D34" s="93"/>
      <c r="E34" s="133"/>
      <c r="F34" s="136"/>
    </row>
    <row r="35" spans="1:6" ht="25.5">
      <c r="A35" s="91"/>
      <c r="B35" s="92" t="s">
        <v>103</v>
      </c>
      <c r="C35" s="93" t="s">
        <v>657</v>
      </c>
      <c r="D35" s="93"/>
      <c r="E35" s="133"/>
      <c r="F35" s="136"/>
    </row>
    <row r="36" spans="1:6" ht="25.5">
      <c r="A36" s="91"/>
      <c r="B36" s="92" t="s">
        <v>658</v>
      </c>
      <c r="C36" s="93" t="s">
        <v>659</v>
      </c>
      <c r="D36" s="93"/>
      <c r="E36" s="133"/>
      <c r="F36" s="136"/>
    </row>
    <row r="37" spans="1:6" ht="25.5">
      <c r="A37" s="91"/>
      <c r="B37" s="92" t="s">
        <v>432</v>
      </c>
      <c r="C37" s="93" t="s">
        <v>660</v>
      </c>
      <c r="D37" s="93"/>
      <c r="E37" s="133"/>
      <c r="F37" s="136"/>
    </row>
    <row r="38" spans="1:6" ht="25.5">
      <c r="A38" s="87" t="s">
        <v>661</v>
      </c>
      <c r="B38" s="88" t="s">
        <v>662</v>
      </c>
      <c r="C38" s="89" t="s">
        <v>663</v>
      </c>
      <c r="D38" s="89"/>
      <c r="E38" s="132"/>
      <c r="F38" s="135"/>
    </row>
    <row r="39" spans="1:6" ht="25.5">
      <c r="A39" s="83" t="s">
        <v>14</v>
      </c>
      <c r="B39" s="84" t="s">
        <v>664</v>
      </c>
      <c r="C39" s="85" t="s">
        <v>665</v>
      </c>
      <c r="D39" s="85"/>
      <c r="E39" s="131">
        <f>E40+E42+E56-E65</f>
        <v>9246566000</v>
      </c>
      <c r="F39" s="134">
        <f>F40+F42+F56-F65</f>
        <v>16746214</v>
      </c>
    </row>
    <row r="40" spans="1:6" ht="38.25">
      <c r="A40" s="87" t="s">
        <v>666</v>
      </c>
      <c r="B40" s="88" t="s">
        <v>667</v>
      </c>
      <c r="C40" s="89" t="s">
        <v>668</v>
      </c>
      <c r="D40" s="89"/>
      <c r="E40" s="132"/>
      <c r="F40" s="135"/>
    </row>
    <row r="41" spans="1:6" ht="38.25">
      <c r="A41" s="87"/>
      <c r="B41" s="88" t="s">
        <v>669</v>
      </c>
      <c r="C41" s="89" t="s">
        <v>670</v>
      </c>
      <c r="D41" s="89"/>
      <c r="E41" s="132"/>
      <c r="F41" s="135"/>
    </row>
    <row r="42" spans="1:6" ht="38.25">
      <c r="A42" s="87" t="s">
        <v>671</v>
      </c>
      <c r="B42" s="88" t="s">
        <v>672</v>
      </c>
      <c r="C42" s="89" t="s">
        <v>673</v>
      </c>
      <c r="D42" s="89"/>
      <c r="E42" s="132">
        <f>E43+E49+E50</f>
        <v>9246566000</v>
      </c>
      <c r="F42" s="135">
        <f>F43+F49+F50</f>
        <v>0</v>
      </c>
    </row>
    <row r="43" spans="1:6" ht="38.25">
      <c r="A43" s="87" t="s">
        <v>674</v>
      </c>
      <c r="B43" s="88" t="s">
        <v>675</v>
      </c>
      <c r="C43" s="89" t="s">
        <v>676</v>
      </c>
      <c r="D43" s="89"/>
      <c r="E43" s="132"/>
      <c r="F43" s="135"/>
    </row>
    <row r="44" spans="1:6" ht="25.5">
      <c r="A44" s="91"/>
      <c r="B44" s="92" t="s">
        <v>677</v>
      </c>
      <c r="C44" s="93" t="s">
        <v>678</v>
      </c>
      <c r="D44" s="93"/>
      <c r="E44" s="133"/>
      <c r="F44" s="136"/>
    </row>
    <row r="45" spans="1:6" ht="25.5">
      <c r="A45" s="91"/>
      <c r="B45" s="92" t="s">
        <v>679</v>
      </c>
      <c r="C45" s="93" t="s">
        <v>680</v>
      </c>
      <c r="D45" s="93"/>
      <c r="E45" s="133"/>
      <c r="F45" s="136"/>
    </row>
    <row r="46" spans="1:6" ht="38.25">
      <c r="A46" s="91"/>
      <c r="B46" s="92" t="s">
        <v>681</v>
      </c>
      <c r="C46" s="93" t="s">
        <v>682</v>
      </c>
      <c r="D46" s="93"/>
      <c r="E46" s="133"/>
      <c r="F46" s="136"/>
    </row>
    <row r="47" spans="1:6" ht="38.25">
      <c r="A47" s="91"/>
      <c r="B47" s="92" t="s">
        <v>683</v>
      </c>
      <c r="C47" s="93" t="s">
        <v>684</v>
      </c>
      <c r="D47" s="93"/>
      <c r="E47" s="133"/>
      <c r="F47" s="136"/>
    </row>
    <row r="48" spans="1:6" ht="25.5">
      <c r="A48" s="91"/>
      <c r="B48" s="92" t="s">
        <v>685</v>
      </c>
      <c r="C48" s="93" t="s">
        <v>686</v>
      </c>
      <c r="D48" s="93"/>
      <c r="E48" s="133"/>
      <c r="F48" s="136"/>
    </row>
    <row r="49" spans="1:6" ht="51">
      <c r="A49" s="87"/>
      <c r="B49" s="88" t="s">
        <v>687</v>
      </c>
      <c r="C49" s="89" t="s">
        <v>688</v>
      </c>
      <c r="D49" s="89"/>
      <c r="E49" s="132"/>
      <c r="F49" s="135"/>
    </row>
    <row r="50" spans="1:6" ht="38.25">
      <c r="A50" s="87" t="s">
        <v>689</v>
      </c>
      <c r="B50" s="88" t="s">
        <v>690</v>
      </c>
      <c r="C50" s="89" t="s">
        <v>691</v>
      </c>
      <c r="D50" s="89"/>
      <c r="E50" s="132">
        <f>E51+E52+E53+E54+E55</f>
        <v>9246566000</v>
      </c>
      <c r="F50" s="135">
        <f>F51+F52+F53+F54+F55</f>
        <v>0</v>
      </c>
    </row>
    <row r="51" spans="1:6" ht="25.5">
      <c r="A51" s="91"/>
      <c r="B51" s="92" t="s">
        <v>692</v>
      </c>
      <c r="C51" s="93" t="s">
        <v>693</v>
      </c>
      <c r="D51" s="93"/>
      <c r="E51" s="133">
        <v>9246566000</v>
      </c>
      <c r="F51" s="136">
        <v>0</v>
      </c>
    </row>
    <row r="52" spans="1:6" ht="25.5">
      <c r="A52" s="91"/>
      <c r="B52" s="92" t="s">
        <v>694</v>
      </c>
      <c r="C52" s="93" t="s">
        <v>695</v>
      </c>
      <c r="D52" s="93"/>
      <c r="E52" s="133"/>
      <c r="F52" s="136"/>
    </row>
    <row r="53" spans="1:6" ht="38.25">
      <c r="A53" s="91"/>
      <c r="B53" s="92" t="s">
        <v>696</v>
      </c>
      <c r="C53" s="93" t="s">
        <v>697</v>
      </c>
      <c r="D53" s="93"/>
      <c r="E53" s="133"/>
      <c r="F53" s="136"/>
    </row>
    <row r="54" spans="1:6" ht="38.25">
      <c r="A54" s="91"/>
      <c r="B54" s="92" t="s">
        <v>698</v>
      </c>
      <c r="C54" s="93" t="s">
        <v>699</v>
      </c>
      <c r="D54" s="93"/>
      <c r="E54" s="133"/>
      <c r="F54" s="136"/>
    </row>
    <row r="55" spans="1:6" ht="25.5">
      <c r="A55" s="91"/>
      <c r="B55" s="92" t="s">
        <v>700</v>
      </c>
      <c r="C55" s="93" t="s">
        <v>701</v>
      </c>
      <c r="D55" s="93"/>
      <c r="E55" s="133"/>
      <c r="F55" s="136"/>
    </row>
    <row r="56" spans="1:6" ht="25.5">
      <c r="A56" s="87" t="s">
        <v>702</v>
      </c>
      <c r="B56" s="88" t="s">
        <v>703</v>
      </c>
      <c r="C56" s="89" t="s">
        <v>704</v>
      </c>
      <c r="D56" s="89"/>
      <c r="E56" s="132">
        <f>E57+E58+E64</f>
        <v>0</v>
      </c>
      <c r="F56" s="135">
        <f>F57+F58+F64</f>
        <v>16746214</v>
      </c>
    </row>
    <row r="57" spans="1:6" ht="51">
      <c r="A57" s="91"/>
      <c r="B57" s="92" t="s">
        <v>705</v>
      </c>
      <c r="C57" s="93" t="s">
        <v>706</v>
      </c>
      <c r="D57" s="93"/>
      <c r="E57" s="133"/>
      <c r="F57" s="136"/>
    </row>
    <row r="58" spans="1:6" ht="25.5">
      <c r="A58" s="91"/>
      <c r="B58" s="92" t="s">
        <v>111</v>
      </c>
      <c r="C58" s="93" t="s">
        <v>707</v>
      </c>
      <c r="D58" s="93"/>
      <c r="E58" s="133"/>
      <c r="F58" s="136"/>
    </row>
    <row r="59" spans="1:6" ht="25.5">
      <c r="A59" s="91"/>
      <c r="B59" s="92" t="s">
        <v>125</v>
      </c>
      <c r="C59" s="93" t="s">
        <v>708</v>
      </c>
      <c r="D59" s="93"/>
      <c r="E59" s="133"/>
      <c r="F59" s="136"/>
    </row>
    <row r="60" spans="1:6" ht="25.5">
      <c r="A60" s="91"/>
      <c r="B60" s="92" t="s">
        <v>709</v>
      </c>
      <c r="C60" s="93" t="s">
        <v>710</v>
      </c>
      <c r="D60" s="93"/>
      <c r="E60" s="133"/>
      <c r="F60" s="136"/>
    </row>
    <row r="61" spans="1:6" ht="25.5">
      <c r="A61" s="91"/>
      <c r="B61" s="92" t="s">
        <v>711</v>
      </c>
      <c r="C61" s="93" t="s">
        <v>712</v>
      </c>
      <c r="D61" s="93"/>
      <c r="E61" s="133"/>
      <c r="F61" s="136"/>
    </row>
    <row r="62" spans="1:6" ht="51">
      <c r="A62" s="91"/>
      <c r="B62" s="92" t="s">
        <v>131</v>
      </c>
      <c r="C62" s="93" t="s">
        <v>713</v>
      </c>
      <c r="D62" s="93"/>
      <c r="E62" s="133"/>
      <c r="F62" s="136"/>
    </row>
    <row r="63" spans="1:6" ht="38.25">
      <c r="A63" s="91"/>
      <c r="B63" s="92" t="s">
        <v>714</v>
      </c>
      <c r="C63" s="93" t="s">
        <v>715</v>
      </c>
      <c r="D63" s="93"/>
      <c r="E63" s="133"/>
      <c r="F63" s="136"/>
    </row>
    <row r="64" spans="1:6" ht="25.5">
      <c r="A64" s="91"/>
      <c r="B64" s="92" t="s">
        <v>716</v>
      </c>
      <c r="C64" s="93" t="s">
        <v>717</v>
      </c>
      <c r="D64" s="93"/>
      <c r="E64" s="133">
        <v>0</v>
      </c>
      <c r="F64" s="136">
        <v>16746214</v>
      </c>
    </row>
    <row r="65" spans="1:6" ht="25.5">
      <c r="A65" s="87" t="s">
        <v>718</v>
      </c>
      <c r="B65" s="88" t="s">
        <v>719</v>
      </c>
      <c r="C65" s="89" t="s">
        <v>720</v>
      </c>
      <c r="D65" s="89"/>
      <c r="E65" s="132"/>
      <c r="F65" s="135"/>
    </row>
    <row r="66" spans="1:6" ht="25.5">
      <c r="A66" s="83"/>
      <c r="B66" s="84" t="s">
        <v>721</v>
      </c>
      <c r="C66" s="85" t="s">
        <v>722</v>
      </c>
      <c r="D66" s="85"/>
      <c r="E66" s="131">
        <f>E19+E27+E39</f>
        <v>12059572063912</v>
      </c>
      <c r="F66" s="134">
        <f>F19+F27+F39</f>
        <v>13693882298358</v>
      </c>
    </row>
    <row r="67" spans="1:6" ht="25.5">
      <c r="A67" s="83" t="s">
        <v>34</v>
      </c>
      <c r="B67" s="84" t="s">
        <v>723</v>
      </c>
      <c r="C67" s="85" t="s">
        <v>34</v>
      </c>
      <c r="D67" s="85"/>
      <c r="E67" s="131"/>
      <c r="F67" s="134"/>
    </row>
    <row r="68" spans="1:6" ht="25.5">
      <c r="A68" s="87" t="s">
        <v>4</v>
      </c>
      <c r="B68" s="88" t="s">
        <v>724</v>
      </c>
      <c r="C68" s="89" t="s">
        <v>725</v>
      </c>
      <c r="D68" s="89"/>
      <c r="E68" s="132"/>
      <c r="F68" s="135"/>
    </row>
    <row r="69" spans="1:6" ht="25.5">
      <c r="A69" s="87"/>
      <c r="B69" s="88" t="s">
        <v>726</v>
      </c>
      <c r="C69" s="89" t="s">
        <v>727</v>
      </c>
      <c r="D69" s="89"/>
      <c r="E69" s="132"/>
      <c r="F69" s="135"/>
    </row>
    <row r="70" spans="1:6" ht="25.5">
      <c r="A70" s="87"/>
      <c r="B70" s="88" t="s">
        <v>728</v>
      </c>
      <c r="C70" s="89" t="s">
        <v>729</v>
      </c>
      <c r="D70" s="89"/>
      <c r="E70" s="132"/>
      <c r="F70" s="135"/>
    </row>
    <row r="71" spans="1:6" ht="25.5">
      <c r="A71" s="87" t="s">
        <v>9</v>
      </c>
      <c r="B71" s="88" t="s">
        <v>730</v>
      </c>
      <c r="C71" s="89" t="s">
        <v>731</v>
      </c>
      <c r="D71" s="89"/>
      <c r="E71" s="132">
        <v>0</v>
      </c>
      <c r="F71" s="135">
        <v>96057965000</v>
      </c>
    </row>
    <row r="72" spans="1:6" ht="51">
      <c r="A72" s="87" t="s">
        <v>14</v>
      </c>
      <c r="B72" s="88" t="s">
        <v>732</v>
      </c>
      <c r="C72" s="89" t="s">
        <v>733</v>
      </c>
      <c r="D72" s="89"/>
      <c r="E72" s="132"/>
      <c r="F72" s="135"/>
    </row>
    <row r="73" spans="1:6" ht="51">
      <c r="A73" s="91"/>
      <c r="B73" s="92" t="s">
        <v>734</v>
      </c>
      <c r="C73" s="93" t="s">
        <v>735</v>
      </c>
      <c r="D73" s="93"/>
      <c r="E73" s="133"/>
      <c r="F73" s="136"/>
    </row>
    <row r="74" spans="1:6" ht="51">
      <c r="A74" s="91"/>
      <c r="B74" s="92" t="s">
        <v>736</v>
      </c>
      <c r="C74" s="93" t="s">
        <v>737</v>
      </c>
      <c r="D74" s="93"/>
      <c r="E74" s="133"/>
      <c r="F74" s="136"/>
    </row>
    <row r="75" spans="1:6" ht="25.5">
      <c r="A75" s="87" t="s">
        <v>19</v>
      </c>
      <c r="B75" s="88" t="s">
        <v>738</v>
      </c>
      <c r="C75" s="89" t="s">
        <v>739</v>
      </c>
      <c r="D75" s="89"/>
      <c r="E75" s="132"/>
      <c r="F75" s="135"/>
    </row>
    <row r="76" spans="1:6" ht="25.5">
      <c r="A76" s="87" t="s">
        <v>45</v>
      </c>
      <c r="B76" s="88" t="s">
        <v>740</v>
      </c>
      <c r="C76" s="89" t="s">
        <v>741</v>
      </c>
      <c r="D76" s="89"/>
      <c r="E76" s="132"/>
      <c r="F76" s="135"/>
    </row>
    <row r="77" spans="1:6" ht="25.5">
      <c r="A77" s="87" t="s">
        <v>48</v>
      </c>
      <c r="B77" s="88" t="s">
        <v>742</v>
      </c>
      <c r="C77" s="89" t="s">
        <v>743</v>
      </c>
      <c r="D77" s="89"/>
      <c r="E77" s="132">
        <f>E78+E79+E80+E81+E82+E83+E84</f>
        <v>282841887</v>
      </c>
      <c r="F77" s="135">
        <f>F78+F79+F80+F81+F82+F83+F84</f>
        <v>335135357</v>
      </c>
    </row>
    <row r="78" spans="1:6" ht="25.5">
      <c r="A78" s="91"/>
      <c r="B78" s="92" t="s">
        <v>744</v>
      </c>
      <c r="C78" s="93" t="s">
        <v>745</v>
      </c>
      <c r="D78" s="93"/>
      <c r="E78" s="133">
        <v>0</v>
      </c>
      <c r="F78" s="136">
        <v>124875357</v>
      </c>
    </row>
    <row r="79" spans="1:6" ht="25.5">
      <c r="A79" s="91"/>
      <c r="B79" s="92" t="s">
        <v>746</v>
      </c>
      <c r="C79" s="93" t="s">
        <v>747</v>
      </c>
      <c r="D79" s="93"/>
      <c r="E79" s="133">
        <v>271622731</v>
      </c>
      <c r="F79" s="136">
        <v>192260000</v>
      </c>
    </row>
    <row r="80" spans="1:6" ht="25.5">
      <c r="A80" s="91"/>
      <c r="B80" s="92" t="s">
        <v>748</v>
      </c>
      <c r="C80" s="93" t="s">
        <v>749</v>
      </c>
      <c r="D80" s="93"/>
      <c r="E80" s="133"/>
      <c r="F80" s="136"/>
    </row>
    <row r="81" spans="1:6" ht="25.5">
      <c r="A81" s="91"/>
      <c r="B81" s="92" t="s">
        <v>750</v>
      </c>
      <c r="C81" s="93" t="s">
        <v>751</v>
      </c>
      <c r="D81" s="93"/>
      <c r="E81" s="133"/>
      <c r="F81" s="136"/>
    </row>
    <row r="82" spans="1:6" ht="38.25">
      <c r="A82" s="91"/>
      <c r="B82" s="92" t="s">
        <v>752</v>
      </c>
      <c r="C82" s="93" t="s">
        <v>753</v>
      </c>
      <c r="D82" s="93"/>
      <c r="E82" s="133">
        <v>11219156</v>
      </c>
      <c r="F82" s="136">
        <v>18000000</v>
      </c>
    </row>
    <row r="83" spans="1:6" ht="38.25">
      <c r="A83" s="91"/>
      <c r="B83" s="92" t="s">
        <v>754</v>
      </c>
      <c r="C83" s="93" t="s">
        <v>755</v>
      </c>
      <c r="D83" s="93"/>
      <c r="E83" s="133"/>
      <c r="F83" s="136"/>
    </row>
    <row r="84" spans="1:6" ht="38.25">
      <c r="A84" s="91"/>
      <c r="B84" s="92" t="s">
        <v>756</v>
      </c>
      <c r="C84" s="93" t="s">
        <v>757</v>
      </c>
      <c r="D84" s="93"/>
      <c r="E84" s="133"/>
      <c r="F84" s="136"/>
    </row>
    <row r="85" spans="1:6" ht="25.5">
      <c r="A85" s="87" t="s">
        <v>51</v>
      </c>
      <c r="B85" s="88" t="s">
        <v>758</v>
      </c>
      <c r="C85" s="89" t="s">
        <v>759</v>
      </c>
      <c r="D85" s="89"/>
      <c r="E85" s="132">
        <v>0</v>
      </c>
      <c r="F85" s="135">
        <v>136664640</v>
      </c>
    </row>
    <row r="86" spans="1:6" ht="25.5">
      <c r="A86" s="87" t="s">
        <v>54</v>
      </c>
      <c r="B86" s="88" t="s">
        <v>760</v>
      </c>
      <c r="C86" s="89" t="s">
        <v>761</v>
      </c>
      <c r="D86" s="89"/>
      <c r="E86" s="132">
        <v>1403764272</v>
      </c>
      <c r="F86" s="135">
        <v>0</v>
      </c>
    </row>
    <row r="87" spans="1:6" ht="25.5">
      <c r="A87" s="87" t="s">
        <v>57</v>
      </c>
      <c r="B87" s="88" t="s">
        <v>762</v>
      </c>
      <c r="C87" s="89" t="s">
        <v>763</v>
      </c>
      <c r="D87" s="89"/>
      <c r="E87" s="132">
        <f>E88+E89+E94+E95+E96+E97+E98+E99</f>
        <v>14889009359</v>
      </c>
      <c r="F87" s="135">
        <f>F88+F89+F94+F95+F96+F97+F98+F99</f>
        <v>18135429524</v>
      </c>
    </row>
    <row r="88" spans="1:6" ht="25.5">
      <c r="A88" s="91" t="s">
        <v>764</v>
      </c>
      <c r="B88" s="92" t="s">
        <v>765</v>
      </c>
      <c r="C88" s="93" t="s">
        <v>766</v>
      </c>
      <c r="D88" s="93"/>
      <c r="E88" s="133">
        <v>8901241141</v>
      </c>
      <c r="F88" s="136">
        <v>8960536293</v>
      </c>
    </row>
    <row r="89" spans="1:6" ht="25.5">
      <c r="A89" s="91" t="s">
        <v>767</v>
      </c>
      <c r="B89" s="92" t="s">
        <v>768</v>
      </c>
      <c r="C89" s="93" t="s">
        <v>769</v>
      </c>
      <c r="D89" s="93"/>
      <c r="E89" s="133">
        <f>E90+E91+E92</f>
        <v>226331030</v>
      </c>
      <c r="F89" s="136">
        <f>F90+F91+F92</f>
        <v>230413406</v>
      </c>
    </row>
    <row r="90" spans="1:6" ht="25.5">
      <c r="A90" s="91"/>
      <c r="B90" s="92" t="s">
        <v>770</v>
      </c>
      <c r="C90" s="93" t="s">
        <v>771</v>
      </c>
      <c r="D90" s="93"/>
      <c r="E90" s="133">
        <v>222531030</v>
      </c>
      <c r="F90" s="136">
        <v>224013406</v>
      </c>
    </row>
    <row r="91" spans="1:6" ht="25.5">
      <c r="A91" s="91"/>
      <c r="B91" s="92" t="s">
        <v>772</v>
      </c>
      <c r="C91" s="93" t="s">
        <v>773</v>
      </c>
      <c r="D91" s="93"/>
      <c r="E91" s="133">
        <v>3800000</v>
      </c>
      <c r="F91" s="136">
        <v>6400000</v>
      </c>
    </row>
    <row r="92" spans="1:6" ht="25.5">
      <c r="A92" s="91"/>
      <c r="B92" s="92" t="s">
        <v>774</v>
      </c>
      <c r="C92" s="93" t="s">
        <v>775</v>
      </c>
      <c r="D92" s="93"/>
      <c r="E92" s="133"/>
      <c r="F92" s="136"/>
    </row>
    <row r="93" spans="1:6" ht="51">
      <c r="A93" s="91"/>
      <c r="B93" s="92" t="s">
        <v>776</v>
      </c>
      <c r="C93" s="93" t="s">
        <v>777</v>
      </c>
      <c r="D93" s="93"/>
      <c r="E93" s="133"/>
      <c r="F93" s="136"/>
    </row>
    <row r="94" spans="1:6" ht="25.5">
      <c r="A94" s="91" t="s">
        <v>778</v>
      </c>
      <c r="B94" s="92" t="s">
        <v>779</v>
      </c>
      <c r="C94" s="93" t="s">
        <v>780</v>
      </c>
      <c r="D94" s="93"/>
      <c r="E94" s="133">
        <v>244784133</v>
      </c>
      <c r="F94" s="136">
        <v>246414747</v>
      </c>
    </row>
    <row r="95" spans="1:6" ht="25.5">
      <c r="A95" s="91" t="s">
        <v>781</v>
      </c>
      <c r="B95" s="92" t="s">
        <v>782</v>
      </c>
      <c r="C95" s="93" t="s">
        <v>783</v>
      </c>
      <c r="D95" s="93"/>
      <c r="E95" s="133">
        <v>489568264</v>
      </c>
      <c r="F95" s="136">
        <v>492829497</v>
      </c>
    </row>
    <row r="96" spans="1:6" ht="25.5">
      <c r="A96" s="91" t="s">
        <v>784</v>
      </c>
      <c r="B96" s="92" t="s">
        <v>785</v>
      </c>
      <c r="C96" s="93" t="s">
        <v>786</v>
      </c>
      <c r="D96" s="93"/>
      <c r="E96" s="133">
        <v>11000000</v>
      </c>
      <c r="F96" s="136">
        <v>11000000</v>
      </c>
    </row>
    <row r="97" spans="1:6" ht="51">
      <c r="A97" s="91" t="s">
        <v>787</v>
      </c>
      <c r="B97" s="92" t="s">
        <v>788</v>
      </c>
      <c r="C97" s="93" t="s">
        <v>789</v>
      </c>
      <c r="D97" s="93"/>
      <c r="E97" s="133">
        <v>1922470560</v>
      </c>
      <c r="F97" s="136">
        <v>3691549966</v>
      </c>
    </row>
    <row r="98" spans="1:6" ht="38.25">
      <c r="A98" s="91" t="s">
        <v>790</v>
      </c>
      <c r="B98" s="92" t="s">
        <v>791</v>
      </c>
      <c r="C98" s="93" t="s">
        <v>792</v>
      </c>
      <c r="D98" s="93"/>
      <c r="E98" s="133">
        <v>1537976448</v>
      </c>
      <c r="F98" s="136">
        <v>2953239970</v>
      </c>
    </row>
    <row r="99" spans="1:6" ht="25.5">
      <c r="A99" s="91" t="s">
        <v>790</v>
      </c>
      <c r="B99" s="92" t="s">
        <v>793</v>
      </c>
      <c r="C99" s="93" t="s">
        <v>794</v>
      </c>
      <c r="D99" s="93"/>
      <c r="E99" s="133">
        <v>1555637783</v>
      </c>
      <c r="F99" s="136">
        <v>1549445645</v>
      </c>
    </row>
    <row r="100" spans="1:6" ht="25.5">
      <c r="A100" s="87" t="s">
        <v>60</v>
      </c>
      <c r="B100" s="88" t="s">
        <v>795</v>
      </c>
      <c r="C100" s="89" t="s">
        <v>796</v>
      </c>
      <c r="D100" s="89"/>
      <c r="E100" s="132"/>
      <c r="F100" s="135"/>
    </row>
    <row r="101" spans="1:6" ht="25.5">
      <c r="A101" s="91" t="s">
        <v>797</v>
      </c>
      <c r="B101" s="92" t="s">
        <v>798</v>
      </c>
      <c r="C101" s="93" t="s">
        <v>799</v>
      </c>
      <c r="D101" s="93"/>
      <c r="E101" s="133"/>
      <c r="F101" s="136"/>
    </row>
    <row r="102" spans="1:6" ht="38.25">
      <c r="A102" s="91" t="s">
        <v>800</v>
      </c>
      <c r="B102" s="92" t="s">
        <v>801</v>
      </c>
      <c r="C102" s="93" t="s">
        <v>802</v>
      </c>
      <c r="D102" s="93"/>
      <c r="E102" s="133"/>
      <c r="F102" s="136"/>
    </row>
    <row r="103" spans="1:6" ht="25.5">
      <c r="A103" s="91" t="s">
        <v>803</v>
      </c>
      <c r="B103" s="92" t="s">
        <v>804</v>
      </c>
      <c r="C103" s="93" t="s">
        <v>805</v>
      </c>
      <c r="D103" s="93"/>
      <c r="E103" s="133"/>
      <c r="F103" s="136"/>
    </row>
    <row r="104" spans="1:6" ht="38.25">
      <c r="A104" s="91"/>
      <c r="B104" s="92" t="s">
        <v>806</v>
      </c>
      <c r="C104" s="93" t="s">
        <v>807</v>
      </c>
      <c r="D104" s="93"/>
      <c r="E104" s="133"/>
      <c r="F104" s="136"/>
    </row>
    <row r="105" spans="1:6" ht="25.5">
      <c r="A105" s="91"/>
      <c r="B105" s="92" t="s">
        <v>808</v>
      </c>
      <c r="C105" s="93" t="s">
        <v>809</v>
      </c>
      <c r="D105" s="93"/>
      <c r="E105" s="133"/>
      <c r="F105" s="136"/>
    </row>
    <row r="106" spans="1:6" ht="25.5">
      <c r="A106" s="87"/>
      <c r="B106" s="88" t="s">
        <v>810</v>
      </c>
      <c r="C106" s="89" t="s">
        <v>811</v>
      </c>
      <c r="D106" s="89"/>
      <c r="E106" s="132"/>
      <c r="F106" s="135"/>
    </row>
    <row r="107" spans="1:6" ht="25.5">
      <c r="A107" s="91"/>
      <c r="B107" s="92" t="s">
        <v>812</v>
      </c>
      <c r="C107" s="93" t="s">
        <v>813</v>
      </c>
      <c r="D107" s="93"/>
      <c r="E107" s="133"/>
      <c r="F107" s="136"/>
    </row>
    <row r="108" spans="1:6" ht="25.5">
      <c r="A108" s="91"/>
      <c r="B108" s="92" t="s">
        <v>814</v>
      </c>
      <c r="C108" s="93" t="s">
        <v>815</v>
      </c>
      <c r="D108" s="93"/>
      <c r="E108" s="133"/>
      <c r="F108" s="136"/>
    </row>
    <row r="109" spans="1:6" ht="25.5">
      <c r="A109" s="83"/>
      <c r="B109" s="84" t="s">
        <v>816</v>
      </c>
      <c r="C109" s="85" t="s">
        <v>817</v>
      </c>
      <c r="D109" s="85"/>
      <c r="E109" s="131">
        <f>E68+E71+E72+E75+E76+E77+E85+E86+E87+E100</f>
        <v>16575615518</v>
      </c>
      <c r="F109" s="134">
        <f>F68+F71+F72+F75+F76+F77+F85+F86+F87+F100</f>
        <v>114665194521</v>
      </c>
    </row>
    <row r="110" spans="1:6" ht="51">
      <c r="A110" s="83" t="s">
        <v>89</v>
      </c>
      <c r="B110" s="84" t="s">
        <v>818</v>
      </c>
      <c r="C110" s="85" t="s">
        <v>819</v>
      </c>
      <c r="D110" s="85"/>
      <c r="E110" s="131">
        <f>E66-E109</f>
        <v>12042996448394</v>
      </c>
      <c r="F110" s="134">
        <f>F66-F109</f>
        <v>13579217103837</v>
      </c>
    </row>
    <row r="111" spans="1:6" ht="25.5">
      <c r="A111" s="87" t="s">
        <v>4</v>
      </c>
      <c r="B111" s="88" t="s">
        <v>820</v>
      </c>
      <c r="C111" s="89" t="s">
        <v>821</v>
      </c>
      <c r="D111" s="89"/>
      <c r="E111" s="132">
        <f>E112+E113</f>
        <v>3271000000000</v>
      </c>
      <c r="F111" s="135">
        <f>F112+F113</f>
        <v>3529000000000</v>
      </c>
    </row>
    <row r="112" spans="1:6" ht="25.5">
      <c r="A112" s="87" t="s">
        <v>624</v>
      </c>
      <c r="B112" s="88" t="s">
        <v>822</v>
      </c>
      <c r="C112" s="89" t="s">
        <v>823</v>
      </c>
      <c r="D112" s="89"/>
      <c r="E112" s="132">
        <v>13729000000000</v>
      </c>
      <c r="F112" s="135">
        <v>13590000000000</v>
      </c>
    </row>
    <row r="113" spans="1:6" ht="25.5">
      <c r="A113" s="87" t="s">
        <v>634</v>
      </c>
      <c r="B113" s="88" t="s">
        <v>824</v>
      </c>
      <c r="C113" s="89" t="s">
        <v>825</v>
      </c>
      <c r="D113" s="89"/>
      <c r="E113" s="132">
        <v>-10458000000000</v>
      </c>
      <c r="F113" s="135">
        <v>-10061000000000</v>
      </c>
    </row>
    <row r="114" spans="1:6" ht="25.5">
      <c r="A114" s="87" t="s">
        <v>9</v>
      </c>
      <c r="B114" s="88" t="s">
        <v>826</v>
      </c>
      <c r="C114" s="89" t="s">
        <v>827</v>
      </c>
      <c r="D114" s="89"/>
      <c r="E114" s="132">
        <v>-1894605466594</v>
      </c>
      <c r="F114" s="135">
        <v>-1220218595422</v>
      </c>
    </row>
    <row r="115" spans="1:6" ht="25.5">
      <c r="A115" s="87" t="s">
        <v>14</v>
      </c>
      <c r="B115" s="88" t="s">
        <v>828</v>
      </c>
      <c r="C115" s="89" t="s">
        <v>829</v>
      </c>
      <c r="D115" s="89"/>
      <c r="E115" s="132">
        <f>E116+E117</f>
        <v>10666601914988</v>
      </c>
      <c r="F115" s="135">
        <f>F116+F117</f>
        <v>11270435699259</v>
      </c>
    </row>
    <row r="116" spans="1:6" ht="25.5">
      <c r="A116" s="87" t="s">
        <v>666</v>
      </c>
      <c r="B116" s="88" t="s">
        <v>830</v>
      </c>
      <c r="C116" s="89" t="s">
        <v>831</v>
      </c>
      <c r="D116" s="89"/>
      <c r="E116" s="132">
        <v>11270435699259</v>
      </c>
      <c r="F116" s="135">
        <v>11254950644562</v>
      </c>
    </row>
    <row r="117" spans="1:6" ht="25.5">
      <c r="A117" s="87" t="s">
        <v>671</v>
      </c>
      <c r="B117" s="88" t="s">
        <v>832</v>
      </c>
      <c r="C117" s="89" t="s">
        <v>833</v>
      </c>
      <c r="D117" s="89"/>
      <c r="E117" s="132">
        <v>-603833784271</v>
      </c>
      <c r="F117" s="135">
        <v>15485054697</v>
      </c>
    </row>
    <row r="118" spans="1:6" ht="38.25">
      <c r="A118" s="94" t="s">
        <v>96</v>
      </c>
      <c r="B118" s="95" t="s">
        <v>834</v>
      </c>
      <c r="C118" s="96" t="s">
        <v>835</v>
      </c>
      <c r="D118" s="96"/>
      <c r="E118" s="227">
        <v>36817.47</v>
      </c>
      <c r="F118" s="228">
        <v>38478.93</v>
      </c>
    </row>
    <row r="119" spans="1:6" ht="38.25">
      <c r="A119" s="83" t="s">
        <v>100</v>
      </c>
      <c r="B119" s="84" t="s">
        <v>836</v>
      </c>
      <c r="C119" s="85" t="s">
        <v>837</v>
      </c>
      <c r="D119" s="85"/>
      <c r="E119" s="86">
        <f>E120+E121</f>
        <v>0</v>
      </c>
      <c r="F119" s="134"/>
    </row>
    <row r="120" spans="1:6" ht="38.25">
      <c r="A120" s="87" t="s">
        <v>4</v>
      </c>
      <c r="B120" s="88" t="s">
        <v>838</v>
      </c>
      <c r="C120" s="89" t="s">
        <v>839</v>
      </c>
      <c r="D120" s="89"/>
      <c r="E120" s="90">
        <v>0</v>
      </c>
      <c r="F120" s="135"/>
    </row>
    <row r="121" spans="1:6" ht="38.25">
      <c r="A121" s="87" t="s">
        <v>9</v>
      </c>
      <c r="B121" s="88" t="s">
        <v>840</v>
      </c>
      <c r="C121" s="89" t="s">
        <v>841</v>
      </c>
      <c r="D121" s="89"/>
      <c r="E121" s="90">
        <v>0</v>
      </c>
      <c r="F121" s="135"/>
    </row>
    <row r="122" spans="1:6" ht="38.25">
      <c r="A122" s="83" t="s">
        <v>110</v>
      </c>
      <c r="B122" s="84" t="s">
        <v>842</v>
      </c>
      <c r="C122" s="85" t="s">
        <v>110</v>
      </c>
      <c r="D122" s="85"/>
      <c r="E122" s="86">
        <v>0</v>
      </c>
      <c r="F122" s="134"/>
    </row>
    <row r="123" spans="1:6" ht="25.5">
      <c r="A123" s="87" t="s">
        <v>4</v>
      </c>
      <c r="B123" s="88" t="s">
        <v>843</v>
      </c>
      <c r="C123" s="89" t="s">
        <v>844</v>
      </c>
      <c r="D123" s="89"/>
      <c r="E123" s="90">
        <v>0</v>
      </c>
      <c r="F123" s="135"/>
    </row>
    <row r="124" spans="1:6" ht="25.5">
      <c r="A124" s="87" t="s">
        <v>9</v>
      </c>
      <c r="B124" s="88" t="s">
        <v>845</v>
      </c>
      <c r="C124" s="89" t="s">
        <v>846</v>
      </c>
      <c r="D124" s="89"/>
      <c r="E124" s="90">
        <v>0</v>
      </c>
      <c r="F124" s="135"/>
    </row>
    <row r="125" spans="1:6" ht="25.5">
      <c r="A125" s="87" t="s">
        <v>14</v>
      </c>
      <c r="B125" s="88" t="s">
        <v>847</v>
      </c>
      <c r="C125" s="89" t="s">
        <v>848</v>
      </c>
      <c r="D125" s="89"/>
      <c r="E125" s="90">
        <v>0</v>
      </c>
      <c r="F125" s="135"/>
    </row>
    <row r="126" spans="1:6" ht="25.5">
      <c r="A126" s="97" t="s">
        <v>19</v>
      </c>
      <c r="B126" s="98" t="s">
        <v>849</v>
      </c>
      <c r="C126" s="99" t="s">
        <v>850</v>
      </c>
      <c r="D126" s="99"/>
      <c r="E126" s="100">
        <v>327100000</v>
      </c>
      <c r="F126" s="137">
        <v>352900000</v>
      </c>
    </row>
    <row r="127" spans="1:6" ht="10.5" customHeight="1">
      <c r="A127" s="1"/>
      <c r="B127" s="1"/>
      <c r="C127" s="1"/>
      <c r="D127" s="1"/>
      <c r="E127" s="1"/>
      <c r="F127" s="1"/>
    </row>
    <row r="128" spans="1:6" ht="27" customHeight="1">
      <c r="A128" s="322" t="s">
        <v>611</v>
      </c>
      <c r="B128" s="322"/>
      <c r="C128" s="400" t="s">
        <v>1059</v>
      </c>
      <c r="D128" s="400"/>
      <c r="E128" s="322" t="s">
        <v>173</v>
      </c>
      <c r="F128" s="322"/>
    </row>
    <row r="129" spans="1:6" ht="15" customHeight="1">
      <c r="A129" s="401" t="s">
        <v>612</v>
      </c>
      <c r="B129" s="401"/>
      <c r="C129" s="402" t="s">
        <v>612</v>
      </c>
      <c r="D129" s="402"/>
      <c r="E129" s="401" t="s">
        <v>613</v>
      </c>
      <c r="F129" s="401"/>
    </row>
    <row r="130" spans="1:6" ht="64.5" customHeight="1">
      <c r="A130" s="1"/>
      <c r="B130" s="1"/>
      <c r="C130" s="386"/>
      <c r="D130" s="386"/>
      <c r="E130" s="1"/>
      <c r="F130" s="1"/>
    </row>
    <row r="131" spans="1:6" ht="15.75" customHeight="1">
      <c r="A131" s="323" t="s">
        <v>1060</v>
      </c>
      <c r="B131" s="323"/>
      <c r="C131" s="400" t="s">
        <v>1061</v>
      </c>
      <c r="D131" s="400"/>
      <c r="E131" s="323" t="s">
        <v>175</v>
      </c>
      <c r="F131" s="323"/>
    </row>
  </sheetData>
  <mergeCells count="31">
    <mergeCell ref="A8:B8"/>
    <mergeCell ref="C8:F8"/>
    <mergeCell ref="C14:D14"/>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A131:B131"/>
    <mergeCell ref="C131:D131"/>
    <mergeCell ref="E131:F131"/>
    <mergeCell ref="A15:B15"/>
    <mergeCell ref="C15:F15"/>
    <mergeCell ref="A128:B128"/>
    <mergeCell ref="C128:D128"/>
    <mergeCell ref="E128:F128"/>
    <mergeCell ref="A129:B129"/>
    <mergeCell ref="C129:D129"/>
    <mergeCell ref="E129:F129"/>
    <mergeCell ref="C130:D130"/>
  </mergeCells>
  <printOptions horizontalCentered="1"/>
  <pageMargins left="0.78740157480314965" right="0.39370078740157483" top="0.39370078740157483" bottom="0" header="0.51181102362204722" footer="0.51181102362204722"/>
  <pageSetup paperSize="9" scale="84"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30"/>
  <sheetViews>
    <sheetView showGridLines="0" showZeros="0" showOutlineSymbols="0" zoomScaleNormal="100" workbookViewId="0">
      <selection activeCell="A31" sqref="A31"/>
    </sheetView>
  </sheetViews>
  <sheetFormatPr defaultRowHeight="15"/>
  <cols>
    <col min="1" max="1" width="6.28515625" style="3" customWidth="1"/>
    <col min="2" max="2" width="46" style="3" customWidth="1"/>
    <col min="3" max="3" width="8.5703125" style="3" customWidth="1"/>
    <col min="4" max="4" width="23.42578125" style="3" customWidth="1"/>
    <col min="5" max="5" width="23.7109375" style="3" customWidth="1"/>
    <col min="6" max="255" width="9.140625" style="3"/>
    <col min="256" max="256" width="6.28515625" style="3" customWidth="1"/>
    <col min="257" max="257" width="45" style="3" customWidth="1"/>
    <col min="258" max="258" width="8.5703125" style="3" customWidth="1"/>
    <col min="259" max="260" width="21.140625" style="3" customWidth="1"/>
    <col min="261" max="511" width="9.140625" style="3"/>
    <col min="512" max="512" width="6.28515625" style="3" customWidth="1"/>
    <col min="513" max="513" width="45" style="3" customWidth="1"/>
    <col min="514" max="514" width="8.5703125" style="3" customWidth="1"/>
    <col min="515" max="516" width="21.140625" style="3" customWidth="1"/>
    <col min="517" max="767" width="9.140625" style="3"/>
    <col min="768" max="768" width="6.28515625" style="3" customWidth="1"/>
    <col min="769" max="769" width="45" style="3" customWidth="1"/>
    <col min="770" max="770" width="8.5703125" style="3" customWidth="1"/>
    <col min="771" max="772" width="21.140625" style="3" customWidth="1"/>
    <col min="773" max="1023" width="9.140625" style="3"/>
    <col min="1024" max="1024" width="6.28515625" style="3" customWidth="1"/>
    <col min="1025" max="1025" width="45" style="3" customWidth="1"/>
    <col min="1026" max="1026" width="8.5703125" style="3" customWidth="1"/>
    <col min="1027" max="1028" width="21.140625" style="3" customWidth="1"/>
    <col min="1029" max="1279" width="9.140625" style="3"/>
    <col min="1280" max="1280" width="6.28515625" style="3" customWidth="1"/>
    <col min="1281" max="1281" width="45" style="3" customWidth="1"/>
    <col min="1282" max="1282" width="8.5703125" style="3" customWidth="1"/>
    <col min="1283" max="1284" width="21.140625" style="3" customWidth="1"/>
    <col min="1285" max="1535" width="9.140625" style="3"/>
    <col min="1536" max="1536" width="6.28515625" style="3" customWidth="1"/>
    <col min="1537" max="1537" width="45" style="3" customWidth="1"/>
    <col min="1538" max="1538" width="8.5703125" style="3" customWidth="1"/>
    <col min="1539" max="1540" width="21.140625" style="3" customWidth="1"/>
    <col min="1541" max="1791" width="9.140625" style="3"/>
    <col min="1792" max="1792" width="6.28515625" style="3" customWidth="1"/>
    <col min="1793" max="1793" width="45" style="3" customWidth="1"/>
    <col min="1794" max="1794" width="8.5703125" style="3" customWidth="1"/>
    <col min="1795" max="1796" width="21.140625" style="3" customWidth="1"/>
    <col min="1797" max="2047" width="9.140625" style="3"/>
    <col min="2048" max="2048" width="6.28515625" style="3" customWidth="1"/>
    <col min="2049" max="2049" width="45" style="3" customWidth="1"/>
    <col min="2050" max="2050" width="8.5703125" style="3" customWidth="1"/>
    <col min="2051" max="2052" width="21.140625" style="3" customWidth="1"/>
    <col min="2053" max="2303" width="9.140625" style="3"/>
    <col min="2304" max="2304" width="6.28515625" style="3" customWidth="1"/>
    <col min="2305" max="2305" width="45" style="3" customWidth="1"/>
    <col min="2306" max="2306" width="8.5703125" style="3" customWidth="1"/>
    <col min="2307" max="2308" width="21.140625" style="3" customWidth="1"/>
    <col min="2309" max="2559" width="9.140625" style="3"/>
    <col min="2560" max="2560" width="6.28515625" style="3" customWidth="1"/>
    <col min="2561" max="2561" width="45" style="3" customWidth="1"/>
    <col min="2562" max="2562" width="8.5703125" style="3" customWidth="1"/>
    <col min="2563" max="2564" width="21.140625" style="3" customWidth="1"/>
    <col min="2565" max="2815" width="9.140625" style="3"/>
    <col min="2816" max="2816" width="6.28515625" style="3" customWidth="1"/>
    <col min="2817" max="2817" width="45" style="3" customWidth="1"/>
    <col min="2818" max="2818" width="8.5703125" style="3" customWidth="1"/>
    <col min="2819" max="2820" width="21.140625" style="3" customWidth="1"/>
    <col min="2821" max="3071" width="9.140625" style="3"/>
    <col min="3072" max="3072" width="6.28515625" style="3" customWidth="1"/>
    <col min="3073" max="3073" width="45" style="3" customWidth="1"/>
    <col min="3074" max="3074" width="8.5703125" style="3" customWidth="1"/>
    <col min="3075" max="3076" width="21.140625" style="3" customWidth="1"/>
    <col min="3077" max="3327" width="9.140625" style="3"/>
    <col min="3328" max="3328" width="6.28515625" style="3" customWidth="1"/>
    <col min="3329" max="3329" width="45" style="3" customWidth="1"/>
    <col min="3330" max="3330" width="8.5703125" style="3" customWidth="1"/>
    <col min="3331" max="3332" width="21.140625" style="3" customWidth="1"/>
    <col min="3333" max="3583" width="9.140625" style="3"/>
    <col min="3584" max="3584" width="6.28515625" style="3" customWidth="1"/>
    <col min="3585" max="3585" width="45" style="3" customWidth="1"/>
    <col min="3586" max="3586" width="8.5703125" style="3" customWidth="1"/>
    <col min="3587" max="3588" width="21.140625" style="3" customWidth="1"/>
    <col min="3589" max="3839" width="9.140625" style="3"/>
    <col min="3840" max="3840" width="6.28515625" style="3" customWidth="1"/>
    <col min="3841" max="3841" width="45" style="3" customWidth="1"/>
    <col min="3842" max="3842" width="8.5703125" style="3" customWidth="1"/>
    <col min="3843" max="3844" width="21.140625" style="3" customWidth="1"/>
    <col min="3845" max="4095" width="9.140625" style="3"/>
    <col min="4096" max="4096" width="6.28515625" style="3" customWidth="1"/>
    <col min="4097" max="4097" width="45" style="3" customWidth="1"/>
    <col min="4098" max="4098" width="8.5703125" style="3" customWidth="1"/>
    <col min="4099" max="4100" width="21.140625" style="3" customWidth="1"/>
    <col min="4101" max="4351" width="9.140625" style="3"/>
    <col min="4352" max="4352" width="6.28515625" style="3" customWidth="1"/>
    <col min="4353" max="4353" width="45" style="3" customWidth="1"/>
    <col min="4354" max="4354" width="8.5703125" style="3" customWidth="1"/>
    <col min="4355" max="4356" width="21.140625" style="3" customWidth="1"/>
    <col min="4357" max="4607" width="9.140625" style="3"/>
    <col min="4608" max="4608" width="6.28515625" style="3" customWidth="1"/>
    <col min="4609" max="4609" width="45" style="3" customWidth="1"/>
    <col min="4610" max="4610" width="8.5703125" style="3" customWidth="1"/>
    <col min="4611" max="4612" width="21.140625" style="3" customWidth="1"/>
    <col min="4613" max="4863" width="9.140625" style="3"/>
    <col min="4864" max="4864" width="6.28515625" style="3" customWidth="1"/>
    <col min="4865" max="4865" width="45" style="3" customWidth="1"/>
    <col min="4866" max="4866" width="8.5703125" style="3" customWidth="1"/>
    <col min="4867" max="4868" width="21.140625" style="3" customWidth="1"/>
    <col min="4869" max="5119" width="9.140625" style="3"/>
    <col min="5120" max="5120" width="6.28515625" style="3" customWidth="1"/>
    <col min="5121" max="5121" width="45" style="3" customWidth="1"/>
    <col min="5122" max="5122" width="8.5703125" style="3" customWidth="1"/>
    <col min="5123" max="5124" width="21.140625" style="3" customWidth="1"/>
    <col min="5125" max="5375" width="9.140625" style="3"/>
    <col min="5376" max="5376" width="6.28515625" style="3" customWidth="1"/>
    <col min="5377" max="5377" width="45" style="3" customWidth="1"/>
    <col min="5378" max="5378" width="8.5703125" style="3" customWidth="1"/>
    <col min="5379" max="5380" width="21.140625" style="3" customWidth="1"/>
    <col min="5381" max="5631" width="9.140625" style="3"/>
    <col min="5632" max="5632" width="6.28515625" style="3" customWidth="1"/>
    <col min="5633" max="5633" width="45" style="3" customWidth="1"/>
    <col min="5634" max="5634" width="8.5703125" style="3" customWidth="1"/>
    <col min="5635" max="5636" width="21.140625" style="3" customWidth="1"/>
    <col min="5637" max="5887" width="9.140625" style="3"/>
    <col min="5888" max="5888" width="6.28515625" style="3" customWidth="1"/>
    <col min="5889" max="5889" width="45" style="3" customWidth="1"/>
    <col min="5890" max="5890" width="8.5703125" style="3" customWidth="1"/>
    <col min="5891" max="5892" width="21.140625" style="3" customWidth="1"/>
    <col min="5893" max="6143" width="9.140625" style="3"/>
    <col min="6144" max="6144" width="6.28515625" style="3" customWidth="1"/>
    <col min="6145" max="6145" width="45" style="3" customWidth="1"/>
    <col min="6146" max="6146" width="8.5703125" style="3" customWidth="1"/>
    <col min="6147" max="6148" width="21.140625" style="3" customWidth="1"/>
    <col min="6149" max="6399" width="9.140625" style="3"/>
    <col min="6400" max="6400" width="6.28515625" style="3" customWidth="1"/>
    <col min="6401" max="6401" width="45" style="3" customWidth="1"/>
    <col min="6402" max="6402" width="8.5703125" style="3" customWidth="1"/>
    <col min="6403" max="6404" width="21.140625" style="3" customWidth="1"/>
    <col min="6405" max="6655" width="9.140625" style="3"/>
    <col min="6656" max="6656" width="6.28515625" style="3" customWidth="1"/>
    <col min="6657" max="6657" width="45" style="3" customWidth="1"/>
    <col min="6658" max="6658" width="8.5703125" style="3" customWidth="1"/>
    <col min="6659" max="6660" width="21.140625" style="3" customWidth="1"/>
    <col min="6661" max="6911" width="9.140625" style="3"/>
    <col min="6912" max="6912" width="6.28515625" style="3" customWidth="1"/>
    <col min="6913" max="6913" width="45" style="3" customWidth="1"/>
    <col min="6914" max="6914" width="8.5703125" style="3" customWidth="1"/>
    <col min="6915" max="6916" width="21.140625" style="3" customWidth="1"/>
    <col min="6917" max="7167" width="9.140625" style="3"/>
    <col min="7168" max="7168" width="6.28515625" style="3" customWidth="1"/>
    <col min="7169" max="7169" width="45" style="3" customWidth="1"/>
    <col min="7170" max="7170" width="8.5703125" style="3" customWidth="1"/>
    <col min="7171" max="7172" width="21.140625" style="3" customWidth="1"/>
    <col min="7173" max="7423" width="9.140625" style="3"/>
    <col min="7424" max="7424" width="6.28515625" style="3" customWidth="1"/>
    <col min="7425" max="7425" width="45" style="3" customWidth="1"/>
    <col min="7426" max="7426" width="8.5703125" style="3" customWidth="1"/>
    <col min="7427" max="7428" width="21.140625" style="3" customWidth="1"/>
    <col min="7429" max="7679" width="9.140625" style="3"/>
    <col min="7680" max="7680" width="6.28515625" style="3" customWidth="1"/>
    <col min="7681" max="7681" width="45" style="3" customWidth="1"/>
    <col min="7682" max="7682" width="8.5703125" style="3" customWidth="1"/>
    <col min="7683" max="7684" width="21.140625" style="3" customWidth="1"/>
    <col min="7685" max="7935" width="9.140625" style="3"/>
    <col min="7936" max="7936" width="6.28515625" style="3" customWidth="1"/>
    <col min="7937" max="7937" width="45" style="3" customWidth="1"/>
    <col min="7938" max="7938" width="8.5703125" style="3" customWidth="1"/>
    <col min="7939" max="7940" width="21.140625" style="3" customWidth="1"/>
    <col min="7941" max="8191" width="9.140625" style="3"/>
    <col min="8192" max="8192" width="6.28515625" style="3" customWidth="1"/>
    <col min="8193" max="8193" width="45" style="3" customWidth="1"/>
    <col min="8194" max="8194" width="8.5703125" style="3" customWidth="1"/>
    <col min="8195" max="8196" width="21.140625" style="3" customWidth="1"/>
    <col min="8197" max="8447" width="9.140625" style="3"/>
    <col min="8448" max="8448" width="6.28515625" style="3" customWidth="1"/>
    <col min="8449" max="8449" width="45" style="3" customWidth="1"/>
    <col min="8450" max="8450" width="8.5703125" style="3" customWidth="1"/>
    <col min="8451" max="8452" width="21.140625" style="3" customWidth="1"/>
    <col min="8453" max="8703" width="9.140625" style="3"/>
    <col min="8704" max="8704" width="6.28515625" style="3" customWidth="1"/>
    <col min="8705" max="8705" width="45" style="3" customWidth="1"/>
    <col min="8706" max="8706" width="8.5703125" style="3" customWidth="1"/>
    <col min="8707" max="8708" width="21.140625" style="3" customWidth="1"/>
    <col min="8709" max="8959" width="9.140625" style="3"/>
    <col min="8960" max="8960" width="6.28515625" style="3" customWidth="1"/>
    <col min="8961" max="8961" width="45" style="3" customWidth="1"/>
    <col min="8962" max="8962" width="8.5703125" style="3" customWidth="1"/>
    <col min="8963" max="8964" width="21.140625" style="3" customWidth="1"/>
    <col min="8965" max="9215" width="9.140625" style="3"/>
    <col min="9216" max="9216" width="6.28515625" style="3" customWidth="1"/>
    <col min="9217" max="9217" width="45" style="3" customWidth="1"/>
    <col min="9218" max="9218" width="8.5703125" style="3" customWidth="1"/>
    <col min="9219" max="9220" width="21.140625" style="3" customWidth="1"/>
    <col min="9221" max="9471" width="9.140625" style="3"/>
    <col min="9472" max="9472" width="6.28515625" style="3" customWidth="1"/>
    <col min="9473" max="9473" width="45" style="3" customWidth="1"/>
    <col min="9474" max="9474" width="8.5703125" style="3" customWidth="1"/>
    <col min="9475" max="9476" width="21.140625" style="3" customWidth="1"/>
    <col min="9477" max="9727" width="9.140625" style="3"/>
    <col min="9728" max="9728" width="6.28515625" style="3" customWidth="1"/>
    <col min="9729" max="9729" width="45" style="3" customWidth="1"/>
    <col min="9730" max="9730" width="8.5703125" style="3" customWidth="1"/>
    <col min="9731" max="9732" width="21.140625" style="3" customWidth="1"/>
    <col min="9733" max="9983" width="9.140625" style="3"/>
    <col min="9984" max="9984" width="6.28515625" style="3" customWidth="1"/>
    <col min="9985" max="9985" width="45" style="3" customWidth="1"/>
    <col min="9986" max="9986" width="8.5703125" style="3" customWidth="1"/>
    <col min="9987" max="9988" width="21.140625" style="3" customWidth="1"/>
    <col min="9989" max="10239" width="9.140625" style="3"/>
    <col min="10240" max="10240" width="6.28515625" style="3" customWidth="1"/>
    <col min="10241" max="10241" width="45" style="3" customWidth="1"/>
    <col min="10242" max="10242" width="8.5703125" style="3" customWidth="1"/>
    <col min="10243" max="10244" width="21.140625" style="3" customWidth="1"/>
    <col min="10245" max="10495" width="9.140625" style="3"/>
    <col min="10496" max="10496" width="6.28515625" style="3" customWidth="1"/>
    <col min="10497" max="10497" width="45" style="3" customWidth="1"/>
    <col min="10498" max="10498" width="8.5703125" style="3" customWidth="1"/>
    <col min="10499" max="10500" width="21.140625" style="3" customWidth="1"/>
    <col min="10501" max="10751" width="9.140625" style="3"/>
    <col min="10752" max="10752" width="6.28515625" style="3" customWidth="1"/>
    <col min="10753" max="10753" width="45" style="3" customWidth="1"/>
    <col min="10754" max="10754" width="8.5703125" style="3" customWidth="1"/>
    <col min="10755" max="10756" width="21.140625" style="3" customWidth="1"/>
    <col min="10757" max="11007" width="9.140625" style="3"/>
    <col min="11008" max="11008" width="6.28515625" style="3" customWidth="1"/>
    <col min="11009" max="11009" width="45" style="3" customWidth="1"/>
    <col min="11010" max="11010" width="8.5703125" style="3" customWidth="1"/>
    <col min="11011" max="11012" width="21.140625" style="3" customWidth="1"/>
    <col min="11013" max="11263" width="9.140625" style="3"/>
    <col min="11264" max="11264" width="6.28515625" style="3" customWidth="1"/>
    <col min="11265" max="11265" width="45" style="3" customWidth="1"/>
    <col min="11266" max="11266" width="8.5703125" style="3" customWidth="1"/>
    <col min="11267" max="11268" width="21.140625" style="3" customWidth="1"/>
    <col min="11269" max="11519" width="9.140625" style="3"/>
    <col min="11520" max="11520" width="6.28515625" style="3" customWidth="1"/>
    <col min="11521" max="11521" width="45" style="3" customWidth="1"/>
    <col min="11522" max="11522" width="8.5703125" style="3" customWidth="1"/>
    <col min="11523" max="11524" width="21.140625" style="3" customWidth="1"/>
    <col min="11525" max="11775" width="9.140625" style="3"/>
    <col min="11776" max="11776" width="6.28515625" style="3" customWidth="1"/>
    <col min="11777" max="11777" width="45" style="3" customWidth="1"/>
    <col min="11778" max="11778" width="8.5703125" style="3" customWidth="1"/>
    <col min="11779" max="11780" width="21.140625" style="3" customWidth="1"/>
    <col min="11781" max="12031" width="9.140625" style="3"/>
    <col min="12032" max="12032" width="6.28515625" style="3" customWidth="1"/>
    <col min="12033" max="12033" width="45" style="3" customWidth="1"/>
    <col min="12034" max="12034" width="8.5703125" style="3" customWidth="1"/>
    <col min="12035" max="12036" width="21.140625" style="3" customWidth="1"/>
    <col min="12037" max="12287" width="9.140625" style="3"/>
    <col min="12288" max="12288" width="6.28515625" style="3" customWidth="1"/>
    <col min="12289" max="12289" width="45" style="3" customWidth="1"/>
    <col min="12290" max="12290" width="8.5703125" style="3" customWidth="1"/>
    <col min="12291" max="12292" width="21.140625" style="3" customWidth="1"/>
    <col min="12293" max="12543" width="9.140625" style="3"/>
    <col min="12544" max="12544" width="6.28515625" style="3" customWidth="1"/>
    <col min="12545" max="12545" width="45" style="3" customWidth="1"/>
    <col min="12546" max="12546" width="8.5703125" style="3" customWidth="1"/>
    <col min="12547" max="12548" width="21.140625" style="3" customWidth="1"/>
    <col min="12549" max="12799" width="9.140625" style="3"/>
    <col min="12800" max="12800" width="6.28515625" style="3" customWidth="1"/>
    <col min="12801" max="12801" width="45" style="3" customWidth="1"/>
    <col min="12802" max="12802" width="8.5703125" style="3" customWidth="1"/>
    <col min="12803" max="12804" width="21.140625" style="3" customWidth="1"/>
    <col min="12805" max="13055" width="9.140625" style="3"/>
    <col min="13056" max="13056" width="6.28515625" style="3" customWidth="1"/>
    <col min="13057" max="13057" width="45" style="3" customWidth="1"/>
    <col min="13058" max="13058" width="8.5703125" style="3" customWidth="1"/>
    <col min="13059" max="13060" width="21.140625" style="3" customWidth="1"/>
    <col min="13061" max="13311" width="9.140625" style="3"/>
    <col min="13312" max="13312" width="6.28515625" style="3" customWidth="1"/>
    <col min="13313" max="13313" width="45" style="3" customWidth="1"/>
    <col min="13314" max="13314" width="8.5703125" style="3" customWidth="1"/>
    <col min="13315" max="13316" width="21.140625" style="3" customWidth="1"/>
    <col min="13317" max="13567" width="9.140625" style="3"/>
    <col min="13568" max="13568" width="6.28515625" style="3" customWidth="1"/>
    <col min="13569" max="13569" width="45" style="3" customWidth="1"/>
    <col min="13570" max="13570" width="8.5703125" style="3" customWidth="1"/>
    <col min="13571" max="13572" width="21.140625" style="3" customWidth="1"/>
    <col min="13573" max="13823" width="9.140625" style="3"/>
    <col min="13824" max="13824" width="6.28515625" style="3" customWidth="1"/>
    <col min="13825" max="13825" width="45" style="3" customWidth="1"/>
    <col min="13826" max="13826" width="8.5703125" style="3" customWidth="1"/>
    <col min="13827" max="13828" width="21.140625" style="3" customWidth="1"/>
    <col min="13829" max="14079" width="9.140625" style="3"/>
    <col min="14080" max="14080" width="6.28515625" style="3" customWidth="1"/>
    <col min="14081" max="14081" width="45" style="3" customWidth="1"/>
    <col min="14082" max="14082" width="8.5703125" style="3" customWidth="1"/>
    <col min="14083" max="14084" width="21.140625" style="3" customWidth="1"/>
    <col min="14085" max="14335" width="9.140625" style="3"/>
    <col min="14336" max="14336" width="6.28515625" style="3" customWidth="1"/>
    <col min="14337" max="14337" width="45" style="3" customWidth="1"/>
    <col min="14338" max="14338" width="8.5703125" style="3" customWidth="1"/>
    <col min="14339" max="14340" width="21.140625" style="3" customWidth="1"/>
    <col min="14341" max="14591" width="9.140625" style="3"/>
    <col min="14592" max="14592" width="6.28515625" style="3" customWidth="1"/>
    <col min="14593" max="14593" width="45" style="3" customWidth="1"/>
    <col min="14594" max="14594" width="8.5703125" style="3" customWidth="1"/>
    <col min="14595" max="14596" width="21.140625" style="3" customWidth="1"/>
    <col min="14597" max="14847" width="9.140625" style="3"/>
    <col min="14848" max="14848" width="6.28515625" style="3" customWidth="1"/>
    <col min="14849" max="14849" width="45" style="3" customWidth="1"/>
    <col min="14850" max="14850" width="8.5703125" style="3" customWidth="1"/>
    <col min="14851" max="14852" width="21.140625" style="3" customWidth="1"/>
    <col min="14853" max="15103" width="9.140625" style="3"/>
    <col min="15104" max="15104" width="6.28515625" style="3" customWidth="1"/>
    <col min="15105" max="15105" width="45" style="3" customWidth="1"/>
    <col min="15106" max="15106" width="8.5703125" style="3" customWidth="1"/>
    <col min="15107" max="15108" width="21.140625" style="3" customWidth="1"/>
    <col min="15109" max="15359" width="9.140625" style="3"/>
    <col min="15360" max="15360" width="6.28515625" style="3" customWidth="1"/>
    <col min="15361" max="15361" width="45" style="3" customWidth="1"/>
    <col min="15362" max="15362" width="8.5703125" style="3" customWidth="1"/>
    <col min="15363" max="15364" width="21.140625" style="3" customWidth="1"/>
    <col min="15365" max="15615" width="9.140625" style="3"/>
    <col min="15616" max="15616" width="6.28515625" style="3" customWidth="1"/>
    <col min="15617" max="15617" width="45" style="3" customWidth="1"/>
    <col min="15618" max="15618" width="8.5703125" style="3" customWidth="1"/>
    <col min="15619" max="15620" width="21.140625" style="3" customWidth="1"/>
    <col min="15621" max="15871" width="9.140625" style="3"/>
    <col min="15872" max="15872" width="6.28515625" style="3" customWidth="1"/>
    <col min="15873" max="15873" width="45" style="3" customWidth="1"/>
    <col min="15874" max="15874" width="8.5703125" style="3" customWidth="1"/>
    <col min="15875" max="15876" width="21.140625" style="3" customWidth="1"/>
    <col min="15877" max="16127" width="9.140625" style="3"/>
    <col min="16128" max="16128" width="6.28515625" style="3" customWidth="1"/>
    <col min="16129" max="16129" width="45" style="3" customWidth="1"/>
    <col min="16130" max="16130" width="8.5703125" style="3" customWidth="1"/>
    <col min="16131" max="16132" width="21.140625" style="3" customWidth="1"/>
    <col min="16133" max="16384" width="9.140625" style="3"/>
  </cols>
  <sheetData>
    <row r="1" spans="1:5" ht="45" customHeight="1">
      <c r="A1" s="1"/>
      <c r="B1" s="1" t="s">
        <v>580</v>
      </c>
      <c r="C1" s="322" t="s">
        <v>581</v>
      </c>
      <c r="D1" s="322"/>
      <c r="E1" s="322"/>
    </row>
    <row r="2" spans="1:5" ht="35.25" customHeight="1">
      <c r="A2" s="399" t="s">
        <v>582</v>
      </c>
      <c r="B2" s="399"/>
      <c r="C2" s="399"/>
      <c r="D2" s="399"/>
      <c r="E2" s="399"/>
    </row>
    <row r="3" spans="1:5" ht="6" customHeight="1">
      <c r="A3" s="1"/>
      <c r="B3" s="1"/>
      <c r="C3" s="1"/>
      <c r="D3" s="329"/>
      <c r="E3" s="329"/>
    </row>
    <row r="4" spans="1:5" ht="31.5" customHeight="1">
      <c r="A4" s="340" t="s">
        <v>583</v>
      </c>
      <c r="B4" s="340"/>
      <c r="C4" s="340"/>
      <c r="D4" s="340"/>
      <c r="E4" s="340"/>
    </row>
    <row r="5" spans="1:5" ht="15.75" customHeight="1">
      <c r="A5" s="320" t="s">
        <v>176</v>
      </c>
      <c r="B5" s="320"/>
      <c r="C5" s="320"/>
      <c r="D5" s="320"/>
      <c r="E5" s="320"/>
    </row>
    <row r="6" spans="1:5" ht="3.75" customHeight="1">
      <c r="A6" s="1"/>
      <c r="B6" s="1"/>
      <c r="C6" s="1"/>
      <c r="D6" s="329"/>
      <c r="E6" s="329"/>
    </row>
    <row r="7" spans="1:5" ht="15.75" customHeight="1">
      <c r="A7" s="325" t="s">
        <v>584</v>
      </c>
      <c r="B7" s="325"/>
      <c r="C7" s="325" t="s">
        <v>11</v>
      </c>
      <c r="D7" s="325"/>
      <c r="E7" s="325"/>
    </row>
    <row r="8" spans="1:5" ht="15.75" customHeight="1">
      <c r="A8" s="324" t="s">
        <v>12</v>
      </c>
      <c r="B8" s="324"/>
      <c r="C8" s="324" t="s">
        <v>13</v>
      </c>
      <c r="D8" s="324"/>
      <c r="E8" s="324"/>
    </row>
    <row r="9" spans="1:5" ht="15.75" customHeight="1">
      <c r="A9" s="325" t="s">
        <v>177</v>
      </c>
      <c r="B9" s="325"/>
      <c r="C9" s="325" t="s">
        <v>16</v>
      </c>
      <c r="D9" s="325"/>
      <c r="E9" s="325"/>
    </row>
    <row r="10" spans="1:5" ht="15.75" customHeight="1">
      <c r="A10" s="324" t="s">
        <v>585</v>
      </c>
      <c r="B10" s="324"/>
      <c r="C10" s="405" t="s">
        <v>18</v>
      </c>
      <c r="D10" s="405"/>
      <c r="E10" s="405"/>
    </row>
    <row r="11" spans="1:5" ht="15" customHeight="1">
      <c r="A11" s="325" t="s">
        <v>586</v>
      </c>
      <c r="B11" s="325"/>
      <c r="C11" s="332">
        <v>46115</v>
      </c>
      <c r="D11" s="332"/>
      <c r="E11" s="216"/>
    </row>
    <row r="12" spans="1:5" ht="15.75" customHeight="1">
      <c r="A12" s="324" t="s">
        <v>587</v>
      </c>
      <c r="B12" s="324"/>
      <c r="C12" s="326">
        <f>+C11</f>
        <v>46115</v>
      </c>
      <c r="D12" s="326"/>
      <c r="E12" s="326"/>
    </row>
    <row r="13" spans="1:5" ht="15.75" customHeight="1">
      <c r="A13" s="10"/>
      <c r="B13" s="10"/>
      <c r="C13" s="10"/>
      <c r="D13" s="328" t="s">
        <v>588</v>
      </c>
      <c r="E13" s="328"/>
    </row>
    <row r="14" spans="1:5" ht="59.25" customHeight="1">
      <c r="A14" s="66" t="s">
        <v>180</v>
      </c>
      <c r="B14" s="13" t="s">
        <v>589</v>
      </c>
      <c r="C14" s="13" t="s">
        <v>590</v>
      </c>
      <c r="D14" s="13" t="s">
        <v>182</v>
      </c>
      <c r="E14" s="14" t="s">
        <v>183</v>
      </c>
    </row>
    <row r="15" spans="1:5" ht="25.5">
      <c r="A15" s="35" t="s">
        <v>32</v>
      </c>
      <c r="B15" s="36" t="s">
        <v>591</v>
      </c>
      <c r="C15" s="37" t="s">
        <v>592</v>
      </c>
      <c r="D15" s="38">
        <v>13579217103837</v>
      </c>
      <c r="E15" s="39">
        <v>13255398335707</v>
      </c>
    </row>
    <row r="16" spans="1:5" ht="25.5">
      <c r="A16" s="35" t="s">
        <v>34</v>
      </c>
      <c r="B16" s="36" t="s">
        <v>593</v>
      </c>
      <c r="C16" s="37" t="s">
        <v>594</v>
      </c>
      <c r="D16" s="38">
        <v>-603833784271</v>
      </c>
      <c r="E16" s="39">
        <v>15485054697</v>
      </c>
    </row>
    <row r="17" spans="1:5" ht="51">
      <c r="A17" s="67" t="s">
        <v>485</v>
      </c>
      <c r="B17" s="68" t="s">
        <v>595</v>
      </c>
      <c r="C17" s="69" t="s">
        <v>596</v>
      </c>
      <c r="D17" s="70">
        <v>-603833784271</v>
      </c>
      <c r="E17" s="71">
        <v>15485054697</v>
      </c>
    </row>
    <row r="18" spans="1:5" ht="51">
      <c r="A18" s="67" t="s">
        <v>487</v>
      </c>
      <c r="B18" s="68" t="s">
        <v>597</v>
      </c>
      <c r="C18" s="69" t="s">
        <v>598</v>
      </c>
      <c r="D18" s="70">
        <v>0</v>
      </c>
      <c r="E18" s="71">
        <v>0</v>
      </c>
    </row>
    <row r="19" spans="1:5" ht="51">
      <c r="A19" s="35" t="s">
        <v>89</v>
      </c>
      <c r="B19" s="36" t="s">
        <v>599</v>
      </c>
      <c r="C19" s="37" t="s">
        <v>600</v>
      </c>
      <c r="D19" s="38">
        <v>-932386871172</v>
      </c>
      <c r="E19" s="39">
        <v>308333713433</v>
      </c>
    </row>
    <row r="20" spans="1:5" ht="38.25">
      <c r="A20" s="67" t="s">
        <v>601</v>
      </c>
      <c r="B20" s="68" t="s">
        <v>602</v>
      </c>
      <c r="C20" s="69" t="s">
        <v>603</v>
      </c>
      <c r="D20" s="70">
        <v>544196463080</v>
      </c>
      <c r="E20" s="71">
        <v>567496680733</v>
      </c>
    </row>
    <row r="21" spans="1:5" ht="38.25">
      <c r="A21" s="67" t="s">
        <v>604</v>
      </c>
      <c r="B21" s="68" t="s">
        <v>605</v>
      </c>
      <c r="C21" s="69" t="s">
        <v>606</v>
      </c>
      <c r="D21" s="70">
        <v>-1476583334252</v>
      </c>
      <c r="E21" s="71">
        <v>-259162967300</v>
      </c>
    </row>
    <row r="22" spans="1:5" ht="25.5">
      <c r="A22" s="35" t="s">
        <v>96</v>
      </c>
      <c r="B22" s="36" t="s">
        <v>607</v>
      </c>
      <c r="C22" s="37" t="s">
        <v>608</v>
      </c>
      <c r="D22" s="38">
        <v>12042996448394</v>
      </c>
      <c r="E22" s="39">
        <v>13579217103837</v>
      </c>
    </row>
    <row r="23" spans="1:5" ht="25.5">
      <c r="A23" s="72" t="s">
        <v>100</v>
      </c>
      <c r="B23" s="73" t="s">
        <v>609</v>
      </c>
      <c r="C23" s="74" t="s">
        <v>610</v>
      </c>
      <c r="D23" s="75">
        <v>36817.47</v>
      </c>
      <c r="E23" s="76">
        <v>38478.93</v>
      </c>
    </row>
    <row r="24" spans="1:5" ht="15.75" customHeight="1">
      <c r="A24" s="329"/>
      <c r="B24" s="329"/>
      <c r="C24" s="329"/>
      <c r="D24" s="329"/>
      <c r="E24" s="1"/>
    </row>
    <row r="25" spans="1:5" ht="24" customHeight="1">
      <c r="A25" s="322" t="s">
        <v>611</v>
      </c>
      <c r="B25" s="322"/>
      <c r="C25" s="322" t="s">
        <v>1119</v>
      </c>
      <c r="D25" s="322"/>
      <c r="E25" s="77" t="s">
        <v>173</v>
      </c>
    </row>
    <row r="26" spans="1:5" ht="14.25" customHeight="1">
      <c r="A26" s="401" t="s">
        <v>612</v>
      </c>
      <c r="B26" s="401"/>
      <c r="C26" s="321" t="s">
        <v>612</v>
      </c>
      <c r="D26" s="321"/>
      <c r="E26" s="78" t="s">
        <v>613</v>
      </c>
    </row>
    <row r="27" spans="1:5" ht="14.25" customHeight="1">
      <c r="A27" s="226"/>
      <c r="B27" s="226"/>
      <c r="C27" s="225"/>
      <c r="D27" s="225"/>
      <c r="E27" s="226"/>
    </row>
    <row r="28" spans="1:5" ht="14.25" customHeight="1">
      <c r="A28" s="226"/>
      <c r="B28" s="226"/>
      <c r="C28" s="225"/>
      <c r="D28" s="225"/>
      <c r="E28" s="226"/>
    </row>
    <row r="29" spans="1:5" ht="45" customHeight="1">
      <c r="A29" s="329"/>
      <c r="B29" s="329"/>
      <c r="C29" s="404"/>
      <c r="D29" s="404"/>
      <c r="E29" s="1"/>
    </row>
    <row r="30" spans="1:5" ht="15.75" customHeight="1">
      <c r="A30" s="323" t="s">
        <v>1060</v>
      </c>
      <c r="B30" s="323"/>
      <c r="C30" s="323" t="s">
        <v>1061</v>
      </c>
      <c r="D30" s="323"/>
      <c r="E30" s="7" t="s">
        <v>175</v>
      </c>
    </row>
  </sheetData>
  <mergeCells count="29">
    <mergeCell ref="D6:E6"/>
    <mergeCell ref="C11:D11"/>
    <mergeCell ref="C12:E12"/>
    <mergeCell ref="C1:E1"/>
    <mergeCell ref="A2:E2"/>
    <mergeCell ref="D3:E3"/>
    <mergeCell ref="A4:E4"/>
    <mergeCell ref="A5:E5"/>
    <mergeCell ref="A7:B7"/>
    <mergeCell ref="C7:E7"/>
    <mergeCell ref="A8:B8"/>
    <mergeCell ref="C8:E8"/>
    <mergeCell ref="A9:B9"/>
    <mergeCell ref="C9:E9"/>
    <mergeCell ref="A10:B10"/>
    <mergeCell ref="C10:E10"/>
    <mergeCell ref="A11:B11"/>
    <mergeCell ref="A12:B12"/>
    <mergeCell ref="A29:B29"/>
    <mergeCell ref="C29:D29"/>
    <mergeCell ref="A30:B30"/>
    <mergeCell ref="C30:D30"/>
    <mergeCell ref="D13:E13"/>
    <mergeCell ref="A24:B24"/>
    <mergeCell ref="C24:D24"/>
    <mergeCell ref="A25:B25"/>
    <mergeCell ref="C25:D25"/>
    <mergeCell ref="A26:B26"/>
    <mergeCell ref="C26:D26"/>
  </mergeCells>
  <printOptions horizontalCentered="1"/>
  <pageMargins left="0.78740157480314965" right="0.39370078740157483" top="0.39370078740157483" bottom="0.19685039370078741" header="0.51181102362204722" footer="0.51181102362204722"/>
  <pageSetup paperSize="9" scale="83"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2"/>
  <sheetViews>
    <sheetView showGridLines="0" showZeros="0" showOutlineSymbols="0" topLeftCell="A61" zoomScaleNormal="100" workbookViewId="0">
      <selection activeCell="A72" sqref="A72"/>
    </sheetView>
  </sheetViews>
  <sheetFormatPr defaultRowHeight="10.5"/>
  <cols>
    <col min="1" max="1" width="31.28515625" style="156" customWidth="1"/>
    <col min="2" max="2" width="7.85546875" style="156" customWidth="1"/>
    <col min="3" max="3" width="7" style="187" customWidth="1"/>
    <col min="4" max="4" width="9.5703125" style="187" customWidth="1"/>
    <col min="5" max="6" width="21.42578125" style="188" customWidth="1"/>
    <col min="7" max="252" width="9.140625" style="156"/>
    <col min="253" max="253" width="31.28515625" style="156" customWidth="1"/>
    <col min="254" max="255" width="6.42578125" style="156" customWidth="1"/>
    <col min="256" max="256" width="11.7109375" style="156" customWidth="1"/>
    <col min="257" max="257" width="21.42578125" style="156" customWidth="1"/>
    <col min="258" max="258" width="24.5703125" style="156" customWidth="1"/>
    <col min="259" max="508" width="9.140625" style="156"/>
    <col min="509" max="509" width="31.28515625" style="156" customWidth="1"/>
    <col min="510" max="511" width="6.42578125" style="156" customWidth="1"/>
    <col min="512" max="512" width="11.7109375" style="156" customWidth="1"/>
    <col min="513" max="513" width="21.42578125" style="156" customWidth="1"/>
    <col min="514" max="514" width="24.5703125" style="156" customWidth="1"/>
    <col min="515" max="764" width="9.140625" style="156"/>
    <col min="765" max="765" width="31.28515625" style="156" customWidth="1"/>
    <col min="766" max="767" width="6.42578125" style="156" customWidth="1"/>
    <col min="768" max="768" width="11.7109375" style="156" customWidth="1"/>
    <col min="769" max="769" width="21.42578125" style="156" customWidth="1"/>
    <col min="770" max="770" width="24.5703125" style="156" customWidth="1"/>
    <col min="771" max="1020" width="9.140625" style="156"/>
    <col min="1021" max="1021" width="31.28515625" style="156" customWidth="1"/>
    <col min="1022" max="1023" width="6.42578125" style="156" customWidth="1"/>
    <col min="1024" max="1024" width="11.7109375" style="156" customWidth="1"/>
    <col min="1025" max="1025" width="21.42578125" style="156" customWidth="1"/>
    <col min="1026" max="1026" width="24.5703125" style="156" customWidth="1"/>
    <col min="1027" max="1276" width="9.140625" style="156"/>
    <col min="1277" max="1277" width="31.28515625" style="156" customWidth="1"/>
    <col min="1278" max="1279" width="6.42578125" style="156" customWidth="1"/>
    <col min="1280" max="1280" width="11.7109375" style="156" customWidth="1"/>
    <col min="1281" max="1281" width="21.42578125" style="156" customWidth="1"/>
    <col min="1282" max="1282" width="24.5703125" style="156" customWidth="1"/>
    <col min="1283" max="1532" width="9.140625" style="156"/>
    <col min="1533" max="1533" width="31.28515625" style="156" customWidth="1"/>
    <col min="1534" max="1535" width="6.42578125" style="156" customWidth="1"/>
    <col min="1536" max="1536" width="11.7109375" style="156" customWidth="1"/>
    <col min="1537" max="1537" width="21.42578125" style="156" customWidth="1"/>
    <col min="1538" max="1538" width="24.5703125" style="156" customWidth="1"/>
    <col min="1539" max="1788" width="9.140625" style="156"/>
    <col min="1789" max="1789" width="31.28515625" style="156" customWidth="1"/>
    <col min="1790" max="1791" width="6.42578125" style="156" customWidth="1"/>
    <col min="1792" max="1792" width="11.7109375" style="156" customWidth="1"/>
    <col min="1793" max="1793" width="21.42578125" style="156" customWidth="1"/>
    <col min="1794" max="1794" width="24.5703125" style="156" customWidth="1"/>
    <col min="1795" max="2044" width="9.140625" style="156"/>
    <col min="2045" max="2045" width="31.28515625" style="156" customWidth="1"/>
    <col min="2046" max="2047" width="6.42578125" style="156" customWidth="1"/>
    <col min="2048" max="2048" width="11.7109375" style="156" customWidth="1"/>
    <col min="2049" max="2049" width="21.42578125" style="156" customWidth="1"/>
    <col min="2050" max="2050" width="24.5703125" style="156" customWidth="1"/>
    <col min="2051" max="2300" width="9.140625" style="156"/>
    <col min="2301" max="2301" width="31.28515625" style="156" customWidth="1"/>
    <col min="2302" max="2303" width="6.42578125" style="156" customWidth="1"/>
    <col min="2304" max="2304" width="11.7109375" style="156" customWidth="1"/>
    <col min="2305" max="2305" width="21.42578125" style="156" customWidth="1"/>
    <col min="2306" max="2306" width="24.5703125" style="156" customWidth="1"/>
    <col min="2307" max="2556" width="9.140625" style="156"/>
    <col min="2557" max="2557" width="31.28515625" style="156" customWidth="1"/>
    <col min="2558" max="2559" width="6.42578125" style="156" customWidth="1"/>
    <col min="2560" max="2560" width="11.7109375" style="156" customWidth="1"/>
    <col min="2561" max="2561" width="21.42578125" style="156" customWidth="1"/>
    <col min="2562" max="2562" width="24.5703125" style="156" customWidth="1"/>
    <col min="2563" max="2812" width="9.140625" style="156"/>
    <col min="2813" max="2813" width="31.28515625" style="156" customWidth="1"/>
    <col min="2814" max="2815" width="6.42578125" style="156" customWidth="1"/>
    <col min="2816" max="2816" width="11.7109375" style="156" customWidth="1"/>
    <col min="2817" max="2817" width="21.42578125" style="156" customWidth="1"/>
    <col min="2818" max="2818" width="24.5703125" style="156" customWidth="1"/>
    <col min="2819" max="3068" width="9.140625" style="156"/>
    <col min="3069" max="3069" width="31.28515625" style="156" customWidth="1"/>
    <col min="3070" max="3071" width="6.42578125" style="156" customWidth="1"/>
    <col min="3072" max="3072" width="11.7109375" style="156" customWidth="1"/>
    <col min="3073" max="3073" width="21.42578125" style="156" customWidth="1"/>
    <col min="3074" max="3074" width="24.5703125" style="156" customWidth="1"/>
    <col min="3075" max="3324" width="9.140625" style="156"/>
    <col min="3325" max="3325" width="31.28515625" style="156" customWidth="1"/>
    <col min="3326" max="3327" width="6.42578125" style="156" customWidth="1"/>
    <col min="3328" max="3328" width="11.7109375" style="156" customWidth="1"/>
    <col min="3329" max="3329" width="21.42578125" style="156" customWidth="1"/>
    <col min="3330" max="3330" width="24.5703125" style="156" customWidth="1"/>
    <col min="3331" max="3580" width="9.140625" style="156"/>
    <col min="3581" max="3581" width="31.28515625" style="156" customWidth="1"/>
    <col min="3582" max="3583" width="6.42578125" style="156" customWidth="1"/>
    <col min="3584" max="3584" width="11.7109375" style="156" customWidth="1"/>
    <col min="3585" max="3585" width="21.42578125" style="156" customWidth="1"/>
    <col min="3586" max="3586" width="24.5703125" style="156" customWidth="1"/>
    <col min="3587" max="3836" width="9.140625" style="156"/>
    <col min="3837" max="3837" width="31.28515625" style="156" customWidth="1"/>
    <col min="3838" max="3839" width="6.42578125" style="156" customWidth="1"/>
    <col min="3840" max="3840" width="11.7109375" style="156" customWidth="1"/>
    <col min="3841" max="3841" width="21.42578125" style="156" customWidth="1"/>
    <col min="3842" max="3842" width="24.5703125" style="156" customWidth="1"/>
    <col min="3843" max="4092" width="9.140625" style="156"/>
    <col min="4093" max="4093" width="31.28515625" style="156" customWidth="1"/>
    <col min="4094" max="4095" width="6.42578125" style="156" customWidth="1"/>
    <col min="4096" max="4096" width="11.7109375" style="156" customWidth="1"/>
    <col min="4097" max="4097" width="21.42578125" style="156" customWidth="1"/>
    <col min="4098" max="4098" width="24.5703125" style="156" customWidth="1"/>
    <col min="4099" max="4348" width="9.140625" style="156"/>
    <col min="4349" max="4349" width="31.28515625" style="156" customWidth="1"/>
    <col min="4350" max="4351" width="6.42578125" style="156" customWidth="1"/>
    <col min="4352" max="4352" width="11.7109375" style="156" customWidth="1"/>
    <col min="4353" max="4353" width="21.42578125" style="156" customWidth="1"/>
    <col min="4354" max="4354" width="24.5703125" style="156" customWidth="1"/>
    <col min="4355" max="4604" width="9.140625" style="156"/>
    <col min="4605" max="4605" width="31.28515625" style="156" customWidth="1"/>
    <col min="4606" max="4607" width="6.42578125" style="156" customWidth="1"/>
    <col min="4608" max="4608" width="11.7109375" style="156" customWidth="1"/>
    <col min="4609" max="4609" width="21.42578125" style="156" customWidth="1"/>
    <col min="4610" max="4610" width="24.5703125" style="156" customWidth="1"/>
    <col min="4611" max="4860" width="9.140625" style="156"/>
    <col min="4861" max="4861" width="31.28515625" style="156" customWidth="1"/>
    <col min="4862" max="4863" width="6.42578125" style="156" customWidth="1"/>
    <col min="4864" max="4864" width="11.7109375" style="156" customWidth="1"/>
    <col min="4865" max="4865" width="21.42578125" style="156" customWidth="1"/>
    <col min="4866" max="4866" width="24.5703125" style="156" customWidth="1"/>
    <col min="4867" max="5116" width="9.140625" style="156"/>
    <col min="5117" max="5117" width="31.28515625" style="156" customWidth="1"/>
    <col min="5118" max="5119" width="6.42578125" style="156" customWidth="1"/>
    <col min="5120" max="5120" width="11.7109375" style="156" customWidth="1"/>
    <col min="5121" max="5121" width="21.42578125" style="156" customWidth="1"/>
    <col min="5122" max="5122" width="24.5703125" style="156" customWidth="1"/>
    <col min="5123" max="5372" width="9.140625" style="156"/>
    <col min="5373" max="5373" width="31.28515625" style="156" customWidth="1"/>
    <col min="5374" max="5375" width="6.42578125" style="156" customWidth="1"/>
    <col min="5376" max="5376" width="11.7109375" style="156" customWidth="1"/>
    <col min="5377" max="5377" width="21.42578125" style="156" customWidth="1"/>
    <col min="5378" max="5378" width="24.5703125" style="156" customWidth="1"/>
    <col min="5379" max="5628" width="9.140625" style="156"/>
    <col min="5629" max="5629" width="31.28515625" style="156" customWidth="1"/>
    <col min="5630" max="5631" width="6.42578125" style="156" customWidth="1"/>
    <col min="5632" max="5632" width="11.7109375" style="156" customWidth="1"/>
    <col min="5633" max="5633" width="21.42578125" style="156" customWidth="1"/>
    <col min="5634" max="5634" width="24.5703125" style="156" customWidth="1"/>
    <col min="5635" max="5884" width="9.140625" style="156"/>
    <col min="5885" max="5885" width="31.28515625" style="156" customWidth="1"/>
    <col min="5886" max="5887" width="6.42578125" style="156" customWidth="1"/>
    <col min="5888" max="5888" width="11.7109375" style="156" customWidth="1"/>
    <col min="5889" max="5889" width="21.42578125" style="156" customWidth="1"/>
    <col min="5890" max="5890" width="24.5703125" style="156" customWidth="1"/>
    <col min="5891" max="6140" width="9.140625" style="156"/>
    <col min="6141" max="6141" width="31.28515625" style="156" customWidth="1"/>
    <col min="6142" max="6143" width="6.42578125" style="156" customWidth="1"/>
    <col min="6144" max="6144" width="11.7109375" style="156" customWidth="1"/>
    <col min="6145" max="6145" width="21.42578125" style="156" customWidth="1"/>
    <col min="6146" max="6146" width="24.5703125" style="156" customWidth="1"/>
    <col min="6147" max="6396" width="9.140625" style="156"/>
    <col min="6397" max="6397" width="31.28515625" style="156" customWidth="1"/>
    <col min="6398" max="6399" width="6.42578125" style="156" customWidth="1"/>
    <col min="6400" max="6400" width="11.7109375" style="156" customWidth="1"/>
    <col min="6401" max="6401" width="21.42578125" style="156" customWidth="1"/>
    <col min="6402" max="6402" width="24.5703125" style="156" customWidth="1"/>
    <col min="6403" max="6652" width="9.140625" style="156"/>
    <col min="6653" max="6653" width="31.28515625" style="156" customWidth="1"/>
    <col min="6654" max="6655" width="6.42578125" style="156" customWidth="1"/>
    <col min="6656" max="6656" width="11.7109375" style="156" customWidth="1"/>
    <col min="6657" max="6657" width="21.42578125" style="156" customWidth="1"/>
    <col min="6658" max="6658" width="24.5703125" style="156" customWidth="1"/>
    <col min="6659" max="6908" width="9.140625" style="156"/>
    <col min="6909" max="6909" width="31.28515625" style="156" customWidth="1"/>
    <col min="6910" max="6911" width="6.42578125" style="156" customWidth="1"/>
    <col min="6912" max="6912" width="11.7109375" style="156" customWidth="1"/>
    <col min="6913" max="6913" width="21.42578125" style="156" customWidth="1"/>
    <col min="6914" max="6914" width="24.5703125" style="156" customWidth="1"/>
    <col min="6915" max="7164" width="9.140625" style="156"/>
    <col min="7165" max="7165" width="31.28515625" style="156" customWidth="1"/>
    <col min="7166" max="7167" width="6.42578125" style="156" customWidth="1"/>
    <col min="7168" max="7168" width="11.7109375" style="156" customWidth="1"/>
    <col min="7169" max="7169" width="21.42578125" style="156" customWidth="1"/>
    <col min="7170" max="7170" width="24.5703125" style="156" customWidth="1"/>
    <col min="7171" max="7420" width="9.140625" style="156"/>
    <col min="7421" max="7421" width="31.28515625" style="156" customWidth="1"/>
    <col min="7422" max="7423" width="6.42578125" style="156" customWidth="1"/>
    <col min="7424" max="7424" width="11.7109375" style="156" customWidth="1"/>
    <col min="7425" max="7425" width="21.42578125" style="156" customWidth="1"/>
    <col min="7426" max="7426" width="24.5703125" style="156" customWidth="1"/>
    <col min="7427" max="7676" width="9.140625" style="156"/>
    <col min="7677" max="7677" width="31.28515625" style="156" customWidth="1"/>
    <col min="7678" max="7679" width="6.42578125" style="156" customWidth="1"/>
    <col min="7680" max="7680" width="11.7109375" style="156" customWidth="1"/>
    <col min="7681" max="7681" width="21.42578125" style="156" customWidth="1"/>
    <col min="7682" max="7682" width="24.5703125" style="156" customWidth="1"/>
    <col min="7683" max="7932" width="9.140625" style="156"/>
    <col min="7933" max="7933" width="31.28515625" style="156" customWidth="1"/>
    <col min="7934" max="7935" width="6.42578125" style="156" customWidth="1"/>
    <col min="7936" max="7936" width="11.7109375" style="156" customWidth="1"/>
    <col min="7937" max="7937" width="21.42578125" style="156" customWidth="1"/>
    <col min="7938" max="7938" width="24.5703125" style="156" customWidth="1"/>
    <col min="7939" max="8188" width="9.140625" style="156"/>
    <col min="8189" max="8189" width="31.28515625" style="156" customWidth="1"/>
    <col min="8190" max="8191" width="6.42578125" style="156" customWidth="1"/>
    <col min="8192" max="8192" width="11.7109375" style="156" customWidth="1"/>
    <col min="8193" max="8193" width="21.42578125" style="156" customWidth="1"/>
    <col min="8194" max="8194" width="24.5703125" style="156" customWidth="1"/>
    <col min="8195" max="8444" width="9.140625" style="156"/>
    <col min="8445" max="8445" width="31.28515625" style="156" customWidth="1"/>
    <col min="8446" max="8447" width="6.42578125" style="156" customWidth="1"/>
    <col min="8448" max="8448" width="11.7109375" style="156" customWidth="1"/>
    <col min="8449" max="8449" width="21.42578125" style="156" customWidth="1"/>
    <col min="8450" max="8450" width="24.5703125" style="156" customWidth="1"/>
    <col min="8451" max="8700" width="9.140625" style="156"/>
    <col min="8701" max="8701" width="31.28515625" style="156" customWidth="1"/>
    <col min="8702" max="8703" width="6.42578125" style="156" customWidth="1"/>
    <col min="8704" max="8704" width="11.7109375" style="156" customWidth="1"/>
    <col min="8705" max="8705" width="21.42578125" style="156" customWidth="1"/>
    <col min="8706" max="8706" width="24.5703125" style="156" customWidth="1"/>
    <col min="8707" max="8956" width="9.140625" style="156"/>
    <col min="8957" max="8957" width="31.28515625" style="156" customWidth="1"/>
    <col min="8958" max="8959" width="6.42578125" style="156" customWidth="1"/>
    <col min="8960" max="8960" width="11.7109375" style="156" customWidth="1"/>
    <col min="8961" max="8961" width="21.42578125" style="156" customWidth="1"/>
    <col min="8962" max="8962" width="24.5703125" style="156" customWidth="1"/>
    <col min="8963" max="9212" width="9.140625" style="156"/>
    <col min="9213" max="9213" width="31.28515625" style="156" customWidth="1"/>
    <col min="9214" max="9215" width="6.42578125" style="156" customWidth="1"/>
    <col min="9216" max="9216" width="11.7109375" style="156" customWidth="1"/>
    <col min="9217" max="9217" width="21.42578125" style="156" customWidth="1"/>
    <col min="9218" max="9218" width="24.5703125" style="156" customWidth="1"/>
    <col min="9219" max="9468" width="9.140625" style="156"/>
    <col min="9469" max="9469" width="31.28515625" style="156" customWidth="1"/>
    <col min="9470" max="9471" width="6.42578125" style="156" customWidth="1"/>
    <col min="9472" max="9472" width="11.7109375" style="156" customWidth="1"/>
    <col min="9473" max="9473" width="21.42578125" style="156" customWidth="1"/>
    <col min="9474" max="9474" width="24.5703125" style="156" customWidth="1"/>
    <col min="9475" max="9724" width="9.140625" style="156"/>
    <col min="9725" max="9725" width="31.28515625" style="156" customWidth="1"/>
    <col min="9726" max="9727" width="6.42578125" style="156" customWidth="1"/>
    <col min="9728" max="9728" width="11.7109375" style="156" customWidth="1"/>
    <col min="9729" max="9729" width="21.42578125" style="156" customWidth="1"/>
    <col min="9730" max="9730" width="24.5703125" style="156" customWidth="1"/>
    <col min="9731" max="9980" width="9.140625" style="156"/>
    <col min="9981" max="9981" width="31.28515625" style="156" customWidth="1"/>
    <col min="9982" max="9983" width="6.42578125" style="156" customWidth="1"/>
    <col min="9984" max="9984" width="11.7109375" style="156" customWidth="1"/>
    <col min="9985" max="9985" width="21.42578125" style="156" customWidth="1"/>
    <col min="9986" max="9986" width="24.5703125" style="156" customWidth="1"/>
    <col min="9987" max="10236" width="9.140625" style="156"/>
    <col min="10237" max="10237" width="31.28515625" style="156" customWidth="1"/>
    <col min="10238" max="10239" width="6.42578125" style="156" customWidth="1"/>
    <col min="10240" max="10240" width="11.7109375" style="156" customWidth="1"/>
    <col min="10241" max="10241" width="21.42578125" style="156" customWidth="1"/>
    <col min="10242" max="10242" width="24.5703125" style="156" customWidth="1"/>
    <col min="10243" max="10492" width="9.140625" style="156"/>
    <col min="10493" max="10493" width="31.28515625" style="156" customWidth="1"/>
    <col min="10494" max="10495" width="6.42578125" style="156" customWidth="1"/>
    <col min="10496" max="10496" width="11.7109375" style="156" customWidth="1"/>
    <col min="10497" max="10497" width="21.42578125" style="156" customWidth="1"/>
    <col min="10498" max="10498" width="24.5703125" style="156" customWidth="1"/>
    <col min="10499" max="10748" width="9.140625" style="156"/>
    <col min="10749" max="10749" width="31.28515625" style="156" customWidth="1"/>
    <col min="10750" max="10751" width="6.42578125" style="156" customWidth="1"/>
    <col min="10752" max="10752" width="11.7109375" style="156" customWidth="1"/>
    <col min="10753" max="10753" width="21.42578125" style="156" customWidth="1"/>
    <col min="10754" max="10754" width="24.5703125" style="156" customWidth="1"/>
    <col min="10755" max="11004" width="9.140625" style="156"/>
    <col min="11005" max="11005" width="31.28515625" style="156" customWidth="1"/>
    <col min="11006" max="11007" width="6.42578125" style="156" customWidth="1"/>
    <col min="11008" max="11008" width="11.7109375" style="156" customWidth="1"/>
    <col min="11009" max="11009" width="21.42578125" style="156" customWidth="1"/>
    <col min="11010" max="11010" width="24.5703125" style="156" customWidth="1"/>
    <col min="11011" max="11260" width="9.140625" style="156"/>
    <col min="11261" max="11261" width="31.28515625" style="156" customWidth="1"/>
    <col min="11262" max="11263" width="6.42578125" style="156" customWidth="1"/>
    <col min="11264" max="11264" width="11.7109375" style="156" customWidth="1"/>
    <col min="11265" max="11265" width="21.42578125" style="156" customWidth="1"/>
    <col min="11266" max="11266" width="24.5703125" style="156" customWidth="1"/>
    <col min="11267" max="11516" width="9.140625" style="156"/>
    <col min="11517" max="11517" width="31.28515625" style="156" customWidth="1"/>
    <col min="11518" max="11519" width="6.42578125" style="156" customWidth="1"/>
    <col min="11520" max="11520" width="11.7109375" style="156" customWidth="1"/>
    <col min="11521" max="11521" width="21.42578125" style="156" customWidth="1"/>
    <col min="11522" max="11522" width="24.5703125" style="156" customWidth="1"/>
    <col min="11523" max="11772" width="9.140625" style="156"/>
    <col min="11773" max="11773" width="31.28515625" style="156" customWidth="1"/>
    <col min="11774" max="11775" width="6.42578125" style="156" customWidth="1"/>
    <col min="11776" max="11776" width="11.7109375" style="156" customWidth="1"/>
    <col min="11777" max="11777" width="21.42578125" style="156" customWidth="1"/>
    <col min="11778" max="11778" width="24.5703125" style="156" customWidth="1"/>
    <col min="11779" max="12028" width="9.140625" style="156"/>
    <col min="12029" max="12029" width="31.28515625" style="156" customWidth="1"/>
    <col min="12030" max="12031" width="6.42578125" style="156" customWidth="1"/>
    <col min="12032" max="12032" width="11.7109375" style="156" customWidth="1"/>
    <col min="12033" max="12033" width="21.42578125" style="156" customWidth="1"/>
    <col min="12034" max="12034" width="24.5703125" style="156" customWidth="1"/>
    <col min="12035" max="12284" width="9.140625" style="156"/>
    <col min="12285" max="12285" width="31.28515625" style="156" customWidth="1"/>
    <col min="12286" max="12287" width="6.42578125" style="156" customWidth="1"/>
    <col min="12288" max="12288" width="11.7109375" style="156" customWidth="1"/>
    <col min="12289" max="12289" width="21.42578125" style="156" customWidth="1"/>
    <col min="12290" max="12290" width="24.5703125" style="156" customWidth="1"/>
    <col min="12291" max="12540" width="9.140625" style="156"/>
    <col min="12541" max="12541" width="31.28515625" style="156" customWidth="1"/>
    <col min="12542" max="12543" width="6.42578125" style="156" customWidth="1"/>
    <col min="12544" max="12544" width="11.7109375" style="156" customWidth="1"/>
    <col min="12545" max="12545" width="21.42578125" style="156" customWidth="1"/>
    <col min="12546" max="12546" width="24.5703125" style="156" customWidth="1"/>
    <col min="12547" max="12796" width="9.140625" style="156"/>
    <col min="12797" max="12797" width="31.28515625" style="156" customWidth="1"/>
    <col min="12798" max="12799" width="6.42578125" style="156" customWidth="1"/>
    <col min="12800" max="12800" width="11.7109375" style="156" customWidth="1"/>
    <col min="12801" max="12801" width="21.42578125" style="156" customWidth="1"/>
    <col min="12802" max="12802" width="24.5703125" style="156" customWidth="1"/>
    <col min="12803" max="13052" width="9.140625" style="156"/>
    <col min="13053" max="13053" width="31.28515625" style="156" customWidth="1"/>
    <col min="13054" max="13055" width="6.42578125" style="156" customWidth="1"/>
    <col min="13056" max="13056" width="11.7109375" style="156" customWidth="1"/>
    <col min="13057" max="13057" width="21.42578125" style="156" customWidth="1"/>
    <col min="13058" max="13058" width="24.5703125" style="156" customWidth="1"/>
    <col min="13059" max="13308" width="9.140625" style="156"/>
    <col min="13309" max="13309" width="31.28515625" style="156" customWidth="1"/>
    <col min="13310" max="13311" width="6.42578125" style="156" customWidth="1"/>
    <col min="13312" max="13312" width="11.7109375" style="156" customWidth="1"/>
    <col min="13313" max="13313" width="21.42578125" style="156" customWidth="1"/>
    <col min="13314" max="13314" width="24.5703125" style="156" customWidth="1"/>
    <col min="13315" max="13564" width="9.140625" style="156"/>
    <col min="13565" max="13565" width="31.28515625" style="156" customWidth="1"/>
    <col min="13566" max="13567" width="6.42578125" style="156" customWidth="1"/>
    <col min="13568" max="13568" width="11.7109375" style="156" customWidth="1"/>
    <col min="13569" max="13569" width="21.42578125" style="156" customWidth="1"/>
    <col min="13570" max="13570" width="24.5703125" style="156" customWidth="1"/>
    <col min="13571" max="13820" width="9.140625" style="156"/>
    <col min="13821" max="13821" width="31.28515625" style="156" customWidth="1"/>
    <col min="13822" max="13823" width="6.42578125" style="156" customWidth="1"/>
    <col min="13824" max="13824" width="11.7109375" style="156" customWidth="1"/>
    <col min="13825" max="13825" width="21.42578125" style="156" customWidth="1"/>
    <col min="13826" max="13826" width="24.5703125" style="156" customWidth="1"/>
    <col min="13827" max="14076" width="9.140625" style="156"/>
    <col min="14077" max="14077" width="31.28515625" style="156" customWidth="1"/>
    <col min="14078" max="14079" width="6.42578125" style="156" customWidth="1"/>
    <col min="14080" max="14080" width="11.7109375" style="156" customWidth="1"/>
    <col min="14081" max="14081" width="21.42578125" style="156" customWidth="1"/>
    <col min="14082" max="14082" width="24.5703125" style="156" customWidth="1"/>
    <col min="14083" max="14332" width="9.140625" style="156"/>
    <col min="14333" max="14333" width="31.28515625" style="156" customWidth="1"/>
    <col min="14334" max="14335" width="6.42578125" style="156" customWidth="1"/>
    <col min="14336" max="14336" width="11.7109375" style="156" customWidth="1"/>
    <col min="14337" max="14337" width="21.42578125" style="156" customWidth="1"/>
    <col min="14338" max="14338" width="24.5703125" style="156" customWidth="1"/>
    <col min="14339" max="14588" width="9.140625" style="156"/>
    <col min="14589" max="14589" width="31.28515625" style="156" customWidth="1"/>
    <col min="14590" max="14591" width="6.42578125" style="156" customWidth="1"/>
    <col min="14592" max="14592" width="11.7109375" style="156" customWidth="1"/>
    <col min="14593" max="14593" width="21.42578125" style="156" customWidth="1"/>
    <col min="14594" max="14594" width="24.5703125" style="156" customWidth="1"/>
    <col min="14595" max="14844" width="9.140625" style="156"/>
    <col min="14845" max="14845" width="31.28515625" style="156" customWidth="1"/>
    <col min="14846" max="14847" width="6.42578125" style="156" customWidth="1"/>
    <col min="14848" max="14848" width="11.7109375" style="156" customWidth="1"/>
    <col min="14849" max="14849" width="21.42578125" style="156" customWidth="1"/>
    <col min="14850" max="14850" width="24.5703125" style="156" customWidth="1"/>
    <col min="14851" max="15100" width="9.140625" style="156"/>
    <col min="15101" max="15101" width="31.28515625" style="156" customWidth="1"/>
    <col min="15102" max="15103" width="6.42578125" style="156" customWidth="1"/>
    <col min="15104" max="15104" width="11.7109375" style="156" customWidth="1"/>
    <col min="15105" max="15105" width="21.42578125" style="156" customWidth="1"/>
    <col min="15106" max="15106" width="24.5703125" style="156" customWidth="1"/>
    <col min="15107" max="15356" width="9.140625" style="156"/>
    <col min="15357" max="15357" width="31.28515625" style="156" customWidth="1"/>
    <col min="15358" max="15359" width="6.42578125" style="156" customWidth="1"/>
    <col min="15360" max="15360" width="11.7109375" style="156" customWidth="1"/>
    <col min="15361" max="15361" width="21.42578125" style="156" customWidth="1"/>
    <col min="15362" max="15362" width="24.5703125" style="156" customWidth="1"/>
    <col min="15363" max="15612" width="9.140625" style="156"/>
    <col min="15613" max="15613" width="31.28515625" style="156" customWidth="1"/>
    <col min="15614" max="15615" width="6.42578125" style="156" customWidth="1"/>
    <col min="15616" max="15616" width="11.7109375" style="156" customWidth="1"/>
    <col min="15617" max="15617" width="21.42578125" style="156" customWidth="1"/>
    <col min="15618" max="15618" width="24.5703125" style="156" customWidth="1"/>
    <col min="15619" max="15868" width="9.140625" style="156"/>
    <col min="15869" max="15869" width="31.28515625" style="156" customWidth="1"/>
    <col min="15870" max="15871" width="6.42578125" style="156" customWidth="1"/>
    <col min="15872" max="15872" width="11.7109375" style="156" customWidth="1"/>
    <col min="15873" max="15873" width="21.42578125" style="156" customWidth="1"/>
    <col min="15874" max="15874" width="24.5703125" style="156" customWidth="1"/>
    <col min="15875" max="16124" width="9.140625" style="156"/>
    <col min="16125" max="16125" width="31.28515625" style="156" customWidth="1"/>
    <col min="16126" max="16127" width="6.42578125" style="156" customWidth="1"/>
    <col min="16128" max="16128" width="11.7109375" style="156" customWidth="1"/>
    <col min="16129" max="16129" width="21.42578125" style="156" customWidth="1"/>
    <col min="16130" max="16130" width="24.5703125" style="156" customWidth="1"/>
    <col min="16131" max="16384" width="9.140625" style="156"/>
  </cols>
  <sheetData>
    <row r="1" spans="1:6" ht="31.5" customHeight="1">
      <c r="A1" s="155"/>
      <c r="B1" s="425"/>
      <c r="C1" s="425"/>
      <c r="D1" s="425" t="s">
        <v>985</v>
      </c>
      <c r="E1" s="425"/>
      <c r="F1" s="425"/>
    </row>
    <row r="2" spans="1:6" ht="22.5" customHeight="1">
      <c r="A2" s="426" t="s">
        <v>582</v>
      </c>
      <c r="B2" s="426"/>
      <c r="C2" s="426"/>
      <c r="D2" s="426"/>
      <c r="E2" s="426"/>
      <c r="F2" s="426"/>
    </row>
    <row r="3" spans="1:6" ht="2.25" customHeight="1">
      <c r="A3" s="155"/>
      <c r="B3" s="423"/>
      <c r="C3" s="423"/>
      <c r="D3" s="423"/>
      <c r="E3" s="423"/>
      <c r="F3" s="423"/>
    </row>
    <row r="4" spans="1:6" ht="15" customHeight="1">
      <c r="A4" s="425" t="s">
        <v>986</v>
      </c>
      <c r="B4" s="425"/>
      <c r="C4" s="425"/>
      <c r="D4" s="425"/>
      <c r="E4" s="425"/>
      <c r="F4" s="425"/>
    </row>
    <row r="5" spans="1:6" ht="15" customHeight="1">
      <c r="A5" s="414" t="s">
        <v>987</v>
      </c>
      <c r="B5" s="414"/>
      <c r="C5" s="414"/>
      <c r="D5" s="414"/>
      <c r="E5" s="414"/>
      <c r="F5" s="414"/>
    </row>
    <row r="6" spans="1:6" ht="11.25" customHeight="1">
      <c r="A6" s="427" t="s">
        <v>1062</v>
      </c>
      <c r="B6" s="427"/>
      <c r="C6" s="427"/>
      <c r="D6" s="427"/>
      <c r="E6" s="427"/>
      <c r="F6" s="427"/>
    </row>
    <row r="7" spans="1:6" ht="9" customHeight="1">
      <c r="A7" s="155"/>
      <c r="B7" s="423"/>
      <c r="C7" s="423"/>
      <c r="D7" s="428"/>
      <c r="E7" s="428"/>
      <c r="F7" s="428"/>
    </row>
    <row r="8" spans="1:6" ht="12.75" customHeight="1">
      <c r="A8" s="424" t="s">
        <v>10</v>
      </c>
      <c r="B8" s="424"/>
      <c r="C8" s="424"/>
      <c r="D8" s="424" t="s">
        <v>11</v>
      </c>
      <c r="E8" s="424"/>
      <c r="F8" s="424"/>
    </row>
    <row r="9" spans="1:6" ht="12.75" customHeight="1">
      <c r="A9" s="423" t="s">
        <v>12</v>
      </c>
      <c r="B9" s="423"/>
      <c r="C9" s="423"/>
      <c r="D9" s="423" t="s">
        <v>13</v>
      </c>
      <c r="E9" s="423"/>
      <c r="F9" s="423"/>
    </row>
    <row r="10" spans="1:6" ht="12.75" customHeight="1">
      <c r="A10" s="424" t="s">
        <v>15</v>
      </c>
      <c r="B10" s="424"/>
      <c r="C10" s="424"/>
      <c r="D10" s="424" t="s">
        <v>16</v>
      </c>
      <c r="E10" s="424"/>
      <c r="F10" s="424"/>
    </row>
    <row r="11" spans="1:6" ht="12.75" customHeight="1">
      <c r="A11" s="423" t="s">
        <v>17</v>
      </c>
      <c r="B11" s="423"/>
      <c r="C11" s="423"/>
      <c r="D11" s="423" t="s">
        <v>988</v>
      </c>
      <c r="E11" s="423"/>
      <c r="F11" s="423"/>
    </row>
    <row r="12" spans="1:6" ht="12.75" customHeight="1">
      <c r="A12" s="424" t="s">
        <v>391</v>
      </c>
      <c r="B12" s="424"/>
      <c r="C12" s="424"/>
      <c r="D12" s="424" t="s">
        <v>6</v>
      </c>
      <c r="E12" s="424"/>
      <c r="F12" s="424"/>
    </row>
    <row r="13" spans="1:6" ht="12.75" customHeight="1">
      <c r="A13" s="423" t="s">
        <v>7</v>
      </c>
      <c r="B13" s="423"/>
      <c r="C13" s="423"/>
      <c r="D13" s="423" t="s">
        <v>8</v>
      </c>
      <c r="E13" s="423"/>
      <c r="F13" s="423"/>
    </row>
    <row r="14" spans="1:6" ht="12.75" customHeight="1">
      <c r="A14" s="424" t="s">
        <v>20</v>
      </c>
      <c r="B14" s="424"/>
      <c r="C14" s="424"/>
      <c r="D14" s="332">
        <v>46115</v>
      </c>
      <c r="E14" s="332"/>
      <c r="F14" s="221"/>
    </row>
    <row r="15" spans="1:6" ht="12.75" customHeight="1">
      <c r="A15" s="423" t="s">
        <v>21</v>
      </c>
      <c r="B15" s="423"/>
      <c r="C15" s="423"/>
      <c r="D15" s="222">
        <f>+D14</f>
        <v>46115</v>
      </c>
      <c r="E15" s="222"/>
      <c r="F15" s="222"/>
    </row>
    <row r="16" spans="1:6" ht="12.75" customHeight="1">
      <c r="A16" s="157"/>
      <c r="B16" s="419"/>
      <c r="C16" s="419"/>
      <c r="D16" s="420"/>
      <c r="E16" s="420"/>
      <c r="F16" s="420"/>
    </row>
    <row r="17" spans="1:6" ht="39.75" customHeight="1">
      <c r="A17" s="421" t="s">
        <v>989</v>
      </c>
      <c r="B17" s="422"/>
      <c r="C17" s="158" t="s">
        <v>990</v>
      </c>
      <c r="D17" s="158" t="s">
        <v>991</v>
      </c>
      <c r="E17" s="158" t="s">
        <v>1117</v>
      </c>
      <c r="F17" s="159" t="s">
        <v>851</v>
      </c>
    </row>
    <row r="18" spans="1:6" ht="24" customHeight="1">
      <c r="A18" s="410" t="s">
        <v>992</v>
      </c>
      <c r="B18" s="411"/>
      <c r="C18" s="160" t="s">
        <v>32</v>
      </c>
      <c r="D18" s="160"/>
      <c r="E18" s="161"/>
      <c r="F18" s="162"/>
    </row>
    <row r="19" spans="1:6" ht="24" customHeight="1">
      <c r="A19" s="410" t="s">
        <v>993</v>
      </c>
      <c r="B19" s="411"/>
      <c r="C19" s="160" t="s">
        <v>866</v>
      </c>
      <c r="D19" s="160"/>
      <c r="E19" s="161">
        <v>-603833784271</v>
      </c>
      <c r="F19" s="162">
        <v>15485054697</v>
      </c>
    </row>
    <row r="20" spans="1:6" s="166" customFormat="1" ht="35.1" customHeight="1">
      <c r="A20" s="415" t="s">
        <v>994</v>
      </c>
      <c r="B20" s="416"/>
      <c r="C20" s="163" t="s">
        <v>995</v>
      </c>
      <c r="D20" s="163"/>
      <c r="E20" s="164">
        <v>-210740583971</v>
      </c>
      <c r="F20" s="165">
        <v>-54883775177</v>
      </c>
    </row>
    <row r="21" spans="1:6" s="166" customFormat="1" ht="45" customHeight="1">
      <c r="A21" s="415" t="s">
        <v>996</v>
      </c>
      <c r="B21" s="416"/>
      <c r="C21" s="163" t="s">
        <v>997</v>
      </c>
      <c r="D21" s="163"/>
      <c r="E21" s="164">
        <v>-129515000</v>
      </c>
      <c r="F21" s="165">
        <v>0</v>
      </c>
    </row>
    <row r="22" spans="1:6" ht="45" customHeight="1">
      <c r="A22" s="410" t="s">
        <v>998</v>
      </c>
      <c r="B22" s="411"/>
      <c r="C22" s="160" t="s">
        <v>868</v>
      </c>
      <c r="D22" s="160"/>
      <c r="E22" s="161">
        <v>892677955341</v>
      </c>
      <c r="F22" s="162">
        <v>357677565606</v>
      </c>
    </row>
    <row r="23" spans="1:6" ht="45" customHeight="1">
      <c r="A23" s="408" t="s">
        <v>999</v>
      </c>
      <c r="B23" s="409"/>
      <c r="C23" s="167" t="s">
        <v>874</v>
      </c>
      <c r="D23" s="167"/>
      <c r="E23" s="168">
        <v>892605373454</v>
      </c>
      <c r="F23" s="169">
        <v>357590771631</v>
      </c>
    </row>
    <row r="24" spans="1:6" s="166" customFormat="1" ht="22.5" customHeight="1">
      <c r="A24" s="415" t="s">
        <v>1000</v>
      </c>
      <c r="B24" s="416"/>
      <c r="C24" s="163" t="s">
        <v>876</v>
      </c>
      <c r="D24" s="163"/>
      <c r="E24" s="164">
        <v>0</v>
      </c>
      <c r="F24" s="165">
        <v>0</v>
      </c>
    </row>
    <row r="25" spans="1:6" s="166" customFormat="1" ht="35.1" customHeight="1">
      <c r="A25" s="415" t="s">
        <v>1001</v>
      </c>
      <c r="B25" s="416"/>
      <c r="C25" s="163" t="s">
        <v>878</v>
      </c>
      <c r="D25" s="163"/>
      <c r="E25" s="164">
        <v>892605373454</v>
      </c>
      <c r="F25" s="165">
        <v>357590771631</v>
      </c>
    </row>
    <row r="26" spans="1:6" ht="22.5" customHeight="1">
      <c r="A26" s="408" t="s">
        <v>1002</v>
      </c>
      <c r="B26" s="409"/>
      <c r="C26" s="167" t="s">
        <v>880</v>
      </c>
      <c r="D26" s="167"/>
      <c r="E26" s="168">
        <v>72581887</v>
      </c>
      <c r="F26" s="169">
        <v>86793975</v>
      </c>
    </row>
    <row r="27" spans="1:6" ht="45" customHeight="1">
      <c r="A27" s="410" t="s">
        <v>1003</v>
      </c>
      <c r="B27" s="411"/>
      <c r="C27" s="160" t="s">
        <v>888</v>
      </c>
      <c r="D27" s="160"/>
      <c r="E27" s="161">
        <v>77974072099</v>
      </c>
      <c r="F27" s="162">
        <v>318278845126</v>
      </c>
    </row>
    <row r="28" spans="1:6" ht="22.5" customHeight="1">
      <c r="A28" s="408" t="s">
        <v>1004</v>
      </c>
      <c r="B28" s="409"/>
      <c r="C28" s="167" t="s">
        <v>331</v>
      </c>
      <c r="D28" s="167"/>
      <c r="E28" s="168">
        <v>-14033572933</v>
      </c>
      <c r="F28" s="169">
        <v>-307456030154</v>
      </c>
    </row>
    <row r="29" spans="1:6" ht="35.1" customHeight="1">
      <c r="A29" s="408" t="s">
        <v>1005</v>
      </c>
      <c r="B29" s="409"/>
      <c r="C29" s="167" t="s">
        <v>890</v>
      </c>
      <c r="D29" s="167"/>
      <c r="E29" s="168">
        <v>0</v>
      </c>
      <c r="F29" s="169">
        <v>0</v>
      </c>
    </row>
    <row r="30" spans="1:6" ht="45" customHeight="1">
      <c r="A30" s="408" t="s">
        <v>1006</v>
      </c>
      <c r="B30" s="409"/>
      <c r="C30" s="167" t="s">
        <v>892</v>
      </c>
      <c r="D30" s="167"/>
      <c r="E30" s="168">
        <v>-9246566000</v>
      </c>
      <c r="F30" s="169">
        <v>55726405600</v>
      </c>
    </row>
    <row r="31" spans="1:6" ht="22.5" customHeight="1">
      <c r="A31" s="408" t="s">
        <v>1007</v>
      </c>
      <c r="B31" s="409"/>
      <c r="C31" s="167" t="s">
        <v>894</v>
      </c>
      <c r="D31" s="167"/>
      <c r="E31" s="168">
        <v>16746214</v>
      </c>
      <c r="F31" s="169">
        <v>-16746214</v>
      </c>
    </row>
    <row r="32" spans="1:6" ht="22.5" customHeight="1">
      <c r="A32" s="408" t="s">
        <v>1008</v>
      </c>
      <c r="B32" s="409"/>
      <c r="C32" s="167" t="s">
        <v>896</v>
      </c>
      <c r="D32" s="167"/>
      <c r="E32" s="168">
        <v>0</v>
      </c>
      <c r="F32" s="169">
        <v>0</v>
      </c>
    </row>
    <row r="33" spans="1:6" ht="35.1" customHeight="1">
      <c r="A33" s="408" t="s">
        <v>1009</v>
      </c>
      <c r="B33" s="409"/>
      <c r="C33" s="167" t="s">
        <v>60</v>
      </c>
      <c r="D33" s="167"/>
      <c r="E33" s="168">
        <v>-96057965000</v>
      </c>
      <c r="F33" s="169">
        <v>96057965000</v>
      </c>
    </row>
    <row r="34" spans="1:6" ht="54.95" customHeight="1">
      <c r="A34" s="408" t="s">
        <v>1010</v>
      </c>
      <c r="B34" s="409"/>
      <c r="C34" s="167" t="s">
        <v>63</v>
      </c>
      <c r="D34" s="167"/>
      <c r="E34" s="168">
        <v>0</v>
      </c>
      <c r="F34" s="169">
        <v>0</v>
      </c>
    </row>
    <row r="35" spans="1:6" ht="22.5" customHeight="1">
      <c r="A35" s="408" t="s">
        <v>1011</v>
      </c>
      <c r="B35" s="409"/>
      <c r="C35" s="167" t="s">
        <v>66</v>
      </c>
      <c r="D35" s="167"/>
      <c r="E35" s="168">
        <v>0</v>
      </c>
      <c r="F35" s="169">
        <v>0</v>
      </c>
    </row>
    <row r="36" spans="1:6" ht="45" customHeight="1">
      <c r="A36" s="408" t="s">
        <v>1012</v>
      </c>
      <c r="B36" s="409"/>
      <c r="C36" s="167" t="s">
        <v>69</v>
      </c>
      <c r="D36" s="167"/>
      <c r="E36" s="168">
        <v>0</v>
      </c>
      <c r="F36" s="169">
        <v>0</v>
      </c>
    </row>
    <row r="37" spans="1:6" ht="35.1" customHeight="1">
      <c r="A37" s="408" t="s">
        <v>1013</v>
      </c>
      <c r="B37" s="409"/>
      <c r="C37" s="167" t="s">
        <v>72</v>
      </c>
      <c r="D37" s="167"/>
      <c r="E37" s="168">
        <v>-136664640</v>
      </c>
      <c r="F37" s="169">
        <v>119342699</v>
      </c>
    </row>
    <row r="38" spans="1:6" ht="35.1" customHeight="1">
      <c r="A38" s="408" t="s">
        <v>1014</v>
      </c>
      <c r="B38" s="409"/>
      <c r="C38" s="167" t="s">
        <v>75</v>
      </c>
      <c r="D38" s="167"/>
      <c r="E38" s="168">
        <v>1403764272</v>
      </c>
      <c r="F38" s="169">
        <v>-68059534</v>
      </c>
    </row>
    <row r="39" spans="1:6" ht="22.5" customHeight="1">
      <c r="A39" s="408" t="s">
        <v>1015</v>
      </c>
      <c r="B39" s="409"/>
      <c r="C39" s="167" t="s">
        <v>78</v>
      </c>
      <c r="D39" s="167"/>
      <c r="E39" s="168">
        <v>-124875357</v>
      </c>
      <c r="F39" s="169">
        <v>124875357</v>
      </c>
    </row>
    <row r="40" spans="1:6" ht="35.1" customHeight="1">
      <c r="A40" s="408" t="s">
        <v>1016</v>
      </c>
      <c r="B40" s="409"/>
      <c r="C40" s="167" t="s">
        <v>81</v>
      </c>
      <c r="D40" s="167"/>
      <c r="E40" s="168">
        <v>-3246420165</v>
      </c>
      <c r="F40" s="169">
        <v>3313821231</v>
      </c>
    </row>
    <row r="41" spans="1:6" ht="22.5" customHeight="1">
      <c r="A41" s="408" t="s">
        <v>1017</v>
      </c>
      <c r="B41" s="409"/>
      <c r="C41" s="167" t="s">
        <v>84</v>
      </c>
      <c r="D41" s="167"/>
      <c r="E41" s="168">
        <v>0</v>
      </c>
      <c r="F41" s="169">
        <v>0</v>
      </c>
    </row>
    <row r="42" spans="1:6" ht="35.1" customHeight="1">
      <c r="A42" s="417" t="s">
        <v>1018</v>
      </c>
      <c r="B42" s="418"/>
      <c r="C42" s="170" t="s">
        <v>1019</v>
      </c>
      <c r="D42" s="170"/>
      <c r="E42" s="171">
        <v>-43451481510</v>
      </c>
      <c r="F42" s="172">
        <v>166080419111</v>
      </c>
    </row>
    <row r="43" spans="1:6" ht="24.95" customHeight="1">
      <c r="A43" s="410" t="s">
        <v>1020</v>
      </c>
      <c r="B43" s="411"/>
      <c r="C43" s="160" t="s">
        <v>34</v>
      </c>
      <c r="D43" s="160"/>
      <c r="E43" s="161">
        <v>0</v>
      </c>
      <c r="F43" s="162">
        <v>0</v>
      </c>
    </row>
    <row r="44" spans="1:6" ht="21" customHeight="1">
      <c r="A44" s="408" t="s">
        <v>1021</v>
      </c>
      <c r="B44" s="409"/>
      <c r="C44" s="167" t="s">
        <v>979</v>
      </c>
      <c r="D44" s="167"/>
      <c r="E44" s="168">
        <v>2964323080</v>
      </c>
      <c r="F44" s="169">
        <v>4269435733</v>
      </c>
    </row>
    <row r="45" spans="1:6" ht="21" customHeight="1">
      <c r="A45" s="408" t="s">
        <v>1022</v>
      </c>
      <c r="B45" s="409"/>
      <c r="C45" s="167" t="s">
        <v>981</v>
      </c>
      <c r="D45" s="167"/>
      <c r="E45" s="168">
        <v>-6895309252</v>
      </c>
      <c r="F45" s="169">
        <v>-1826947300</v>
      </c>
    </row>
    <row r="46" spans="1:6" ht="21" customHeight="1">
      <c r="A46" s="408" t="s">
        <v>1023</v>
      </c>
      <c r="B46" s="409"/>
      <c r="C46" s="167" t="s">
        <v>1024</v>
      </c>
      <c r="D46" s="167"/>
      <c r="E46" s="168">
        <v>0</v>
      </c>
      <c r="F46" s="169">
        <v>0</v>
      </c>
    </row>
    <row r="47" spans="1:6" ht="21" customHeight="1">
      <c r="A47" s="408" t="s">
        <v>1025</v>
      </c>
      <c r="B47" s="409"/>
      <c r="C47" s="167" t="s">
        <v>1026</v>
      </c>
      <c r="D47" s="167"/>
      <c r="E47" s="168">
        <v>0</v>
      </c>
      <c r="F47" s="169">
        <v>0</v>
      </c>
    </row>
    <row r="48" spans="1:6" ht="21" customHeight="1">
      <c r="A48" s="408" t="s">
        <v>1027</v>
      </c>
      <c r="B48" s="409"/>
      <c r="C48" s="167" t="s">
        <v>1028</v>
      </c>
      <c r="D48" s="167"/>
      <c r="E48" s="168">
        <v>0</v>
      </c>
      <c r="F48" s="169">
        <v>0</v>
      </c>
    </row>
    <row r="49" spans="1:6" ht="33.75" customHeight="1">
      <c r="A49" s="410" t="s">
        <v>1029</v>
      </c>
      <c r="B49" s="411"/>
      <c r="C49" s="160" t="s">
        <v>334</v>
      </c>
      <c r="D49" s="160"/>
      <c r="E49" s="161">
        <v>-3930986172</v>
      </c>
      <c r="F49" s="162">
        <v>2442488433</v>
      </c>
    </row>
    <row r="50" spans="1:6" ht="24.95" customHeight="1">
      <c r="A50" s="410" t="s">
        <v>1030</v>
      </c>
      <c r="B50" s="411"/>
      <c r="C50" s="160" t="s">
        <v>337</v>
      </c>
      <c r="D50" s="160"/>
      <c r="E50" s="161">
        <v>-47382467682</v>
      </c>
      <c r="F50" s="162">
        <v>168522907544</v>
      </c>
    </row>
    <row r="51" spans="1:6" s="173" customFormat="1" ht="32.25" customHeight="1">
      <c r="A51" s="410" t="s">
        <v>1031</v>
      </c>
      <c r="B51" s="411"/>
      <c r="C51" s="160" t="s">
        <v>341</v>
      </c>
      <c r="D51" s="160"/>
      <c r="E51" s="161">
        <v>239516907294</v>
      </c>
      <c r="F51" s="162">
        <v>70993999750</v>
      </c>
    </row>
    <row r="52" spans="1:6" ht="21" customHeight="1">
      <c r="A52" s="408" t="s">
        <v>1032</v>
      </c>
      <c r="B52" s="409"/>
      <c r="C52" s="167" t="s">
        <v>1033</v>
      </c>
      <c r="D52" s="167"/>
      <c r="E52" s="168">
        <v>239516907294</v>
      </c>
      <c r="F52" s="169">
        <v>70993999750</v>
      </c>
    </row>
    <row r="53" spans="1:6" ht="35.25" customHeight="1">
      <c r="A53" s="408" t="s">
        <v>1034</v>
      </c>
      <c r="B53" s="409"/>
      <c r="C53" s="167" t="s">
        <v>1035</v>
      </c>
      <c r="D53" s="167"/>
      <c r="E53" s="168">
        <v>239516907294</v>
      </c>
      <c r="F53" s="169">
        <v>70993999750</v>
      </c>
    </row>
    <row r="54" spans="1:6" s="166" customFormat="1" ht="21" customHeight="1">
      <c r="A54" s="415" t="s">
        <v>1036</v>
      </c>
      <c r="B54" s="416"/>
      <c r="C54" s="163" t="s">
        <v>1037</v>
      </c>
      <c r="D54" s="163"/>
      <c r="E54" s="164">
        <v>239516907294</v>
      </c>
      <c r="F54" s="165">
        <v>70993999750</v>
      </c>
    </row>
    <row r="55" spans="1:6" s="166" customFormat="1" ht="21" customHeight="1">
      <c r="A55" s="415" t="s">
        <v>1038</v>
      </c>
      <c r="B55" s="416"/>
      <c r="C55" s="163" t="s">
        <v>1039</v>
      </c>
      <c r="D55" s="163"/>
      <c r="E55" s="164">
        <v>0</v>
      </c>
      <c r="F55" s="165">
        <v>0</v>
      </c>
    </row>
    <row r="56" spans="1:6" ht="21" customHeight="1">
      <c r="A56" s="408" t="s">
        <v>1040</v>
      </c>
      <c r="B56" s="409"/>
      <c r="C56" s="167" t="s">
        <v>1041</v>
      </c>
      <c r="D56" s="167"/>
      <c r="E56" s="168">
        <v>0</v>
      </c>
      <c r="F56" s="169">
        <v>0</v>
      </c>
    </row>
    <row r="57" spans="1:6" ht="21" customHeight="1">
      <c r="A57" s="408" t="s">
        <v>1042</v>
      </c>
      <c r="B57" s="409"/>
      <c r="C57" s="167" t="s">
        <v>1043</v>
      </c>
      <c r="D57" s="167"/>
      <c r="E57" s="168">
        <v>0</v>
      </c>
      <c r="F57" s="169">
        <v>0</v>
      </c>
    </row>
    <row r="58" spans="1:6" ht="21" customHeight="1">
      <c r="A58" s="408" t="s">
        <v>1044</v>
      </c>
      <c r="B58" s="409"/>
      <c r="C58" s="167" t="s">
        <v>1045</v>
      </c>
      <c r="D58" s="167"/>
      <c r="E58" s="168">
        <v>192134439612</v>
      </c>
      <c r="F58" s="169">
        <v>239516907294</v>
      </c>
    </row>
    <row r="59" spans="1:6" ht="21" customHeight="1">
      <c r="A59" s="408" t="s">
        <v>1046</v>
      </c>
      <c r="B59" s="409"/>
      <c r="C59" s="167" t="s">
        <v>1047</v>
      </c>
      <c r="D59" s="167"/>
      <c r="E59" s="168">
        <v>192134439612</v>
      </c>
      <c r="F59" s="169">
        <v>239516907294</v>
      </c>
    </row>
    <row r="60" spans="1:6" ht="33" customHeight="1">
      <c r="A60" s="408" t="s">
        <v>1034</v>
      </c>
      <c r="B60" s="409"/>
      <c r="C60" s="167" t="s">
        <v>1048</v>
      </c>
      <c r="D60" s="167"/>
      <c r="E60" s="168">
        <v>192134439612</v>
      </c>
      <c r="F60" s="169">
        <v>239516907294</v>
      </c>
    </row>
    <row r="61" spans="1:6" s="166" customFormat="1" ht="21" customHeight="1">
      <c r="A61" s="415" t="s">
        <v>1036</v>
      </c>
      <c r="B61" s="416"/>
      <c r="C61" s="163" t="s">
        <v>1049</v>
      </c>
      <c r="D61" s="163"/>
      <c r="E61" s="164">
        <v>192134439612</v>
      </c>
      <c r="F61" s="165">
        <v>239516907294</v>
      </c>
    </row>
    <row r="62" spans="1:6" s="166" customFormat="1" ht="21" customHeight="1">
      <c r="A62" s="415" t="s">
        <v>1050</v>
      </c>
      <c r="B62" s="416"/>
      <c r="C62" s="163" t="s">
        <v>1051</v>
      </c>
      <c r="D62" s="163"/>
      <c r="E62" s="164">
        <v>0</v>
      </c>
      <c r="F62" s="165">
        <v>0</v>
      </c>
    </row>
    <row r="63" spans="1:6" ht="21" customHeight="1">
      <c r="A63" s="408" t="s">
        <v>1052</v>
      </c>
      <c r="B63" s="409"/>
      <c r="C63" s="167" t="s">
        <v>1053</v>
      </c>
      <c r="D63" s="167"/>
      <c r="E63" s="168">
        <v>0</v>
      </c>
      <c r="F63" s="169">
        <v>0</v>
      </c>
    </row>
    <row r="64" spans="1:6" ht="24.95" customHeight="1">
      <c r="A64" s="410" t="s">
        <v>1054</v>
      </c>
      <c r="B64" s="411"/>
      <c r="C64" s="160" t="s">
        <v>1055</v>
      </c>
      <c r="D64" s="160"/>
      <c r="E64" s="161">
        <v>0</v>
      </c>
      <c r="F64" s="162">
        <v>0</v>
      </c>
    </row>
    <row r="65" spans="1:6" ht="45" customHeight="1">
      <c r="A65" s="410" t="s">
        <v>1056</v>
      </c>
      <c r="B65" s="411"/>
      <c r="C65" s="160" t="s">
        <v>344</v>
      </c>
      <c r="D65" s="160"/>
      <c r="E65" s="161">
        <v>-47382467682</v>
      </c>
      <c r="F65" s="162">
        <v>168522907544</v>
      </c>
    </row>
    <row r="66" spans="1:6" ht="24.95" customHeight="1">
      <c r="A66" s="412" t="s">
        <v>1057</v>
      </c>
      <c r="B66" s="413"/>
      <c r="C66" s="174" t="s">
        <v>1058</v>
      </c>
      <c r="D66" s="174"/>
      <c r="E66" s="175">
        <v>0</v>
      </c>
      <c r="F66" s="176">
        <v>0</v>
      </c>
    </row>
    <row r="67" spans="1:6" ht="10.5" customHeight="1">
      <c r="A67" s="177"/>
      <c r="B67" s="177"/>
      <c r="C67" s="178"/>
      <c r="D67" s="178"/>
      <c r="E67" s="179"/>
      <c r="F67" s="179"/>
    </row>
    <row r="68" spans="1:6" ht="11.25" customHeight="1">
      <c r="A68" s="180" t="s">
        <v>611</v>
      </c>
      <c r="B68" s="414" t="s">
        <v>1059</v>
      </c>
      <c r="C68" s="414"/>
      <c r="D68" s="414"/>
      <c r="E68" s="414" t="s">
        <v>173</v>
      </c>
      <c r="F68" s="414"/>
    </row>
    <row r="69" spans="1:6" s="182" customFormat="1" ht="16.5" customHeight="1">
      <c r="A69" s="181" t="s">
        <v>612</v>
      </c>
      <c r="B69" s="406" t="s">
        <v>612</v>
      </c>
      <c r="C69" s="406"/>
      <c r="D69" s="406"/>
      <c r="E69" s="406" t="s">
        <v>612</v>
      </c>
      <c r="F69" s="406"/>
    </row>
    <row r="70" spans="1:6" ht="10.5" customHeight="1">
      <c r="A70" s="183"/>
      <c r="B70" s="183"/>
      <c r="C70" s="184"/>
      <c r="D70" s="184"/>
      <c r="E70" s="184"/>
      <c r="F70" s="185"/>
    </row>
    <row r="71" spans="1:6" ht="60.75" customHeight="1">
      <c r="A71" s="184"/>
      <c r="B71" s="184"/>
      <c r="C71" s="184"/>
      <c r="D71" s="184"/>
      <c r="E71" s="155"/>
      <c r="F71" s="155"/>
    </row>
    <row r="72" spans="1:6" ht="16.5" customHeight="1">
      <c r="A72" s="186" t="s">
        <v>1060</v>
      </c>
      <c r="B72" s="407" t="s">
        <v>1061</v>
      </c>
      <c r="C72" s="407"/>
      <c r="D72" s="407"/>
      <c r="E72" s="407" t="s">
        <v>175</v>
      </c>
      <c r="F72" s="407"/>
    </row>
  </sheetData>
  <mergeCells count="82">
    <mergeCell ref="A9:C9"/>
    <mergeCell ref="D9:F9"/>
    <mergeCell ref="B1:F1"/>
    <mergeCell ref="A2:F2"/>
    <mergeCell ref="B3:C3"/>
    <mergeCell ref="D3:F3"/>
    <mergeCell ref="A4:F4"/>
    <mergeCell ref="A5:F5"/>
    <mergeCell ref="A6:F6"/>
    <mergeCell ref="B7:C7"/>
    <mergeCell ref="D7:F7"/>
    <mergeCell ref="A8:C8"/>
    <mergeCell ref="D8:F8"/>
    <mergeCell ref="A10:C10"/>
    <mergeCell ref="D10:F10"/>
    <mergeCell ref="A11:C11"/>
    <mergeCell ref="D11:F11"/>
    <mergeCell ref="A12:C12"/>
    <mergeCell ref="D12:F12"/>
    <mergeCell ref="A13:C13"/>
    <mergeCell ref="D13:F13"/>
    <mergeCell ref="A14:C14"/>
    <mergeCell ref="A15:C15"/>
    <mergeCell ref="D14:E14"/>
    <mergeCell ref="A26:B26"/>
    <mergeCell ref="B16:C16"/>
    <mergeCell ref="D16:F16"/>
    <mergeCell ref="A17:B17"/>
    <mergeCell ref="A18:B18"/>
    <mergeCell ref="A19:B19"/>
    <mergeCell ref="A20:B20"/>
    <mergeCell ref="A21:B21"/>
    <mergeCell ref="A22:B22"/>
    <mergeCell ref="A23:B23"/>
    <mergeCell ref="A24:B24"/>
    <mergeCell ref="A25:B25"/>
    <mergeCell ref="A38:B38"/>
    <mergeCell ref="A27:B27"/>
    <mergeCell ref="A28:B28"/>
    <mergeCell ref="A29:B29"/>
    <mergeCell ref="A30:B30"/>
    <mergeCell ref="A31:B31"/>
    <mergeCell ref="A32:B32"/>
    <mergeCell ref="A33:B33"/>
    <mergeCell ref="A34:B34"/>
    <mergeCell ref="A35:B35"/>
    <mergeCell ref="A36:B36"/>
    <mergeCell ref="A37:B37"/>
    <mergeCell ref="A50:B50"/>
    <mergeCell ref="A39:B39"/>
    <mergeCell ref="A40:B40"/>
    <mergeCell ref="A41:B41"/>
    <mergeCell ref="A42:B42"/>
    <mergeCell ref="A43:B43"/>
    <mergeCell ref="A44:B44"/>
    <mergeCell ref="A45:B45"/>
    <mergeCell ref="A46:B46"/>
    <mergeCell ref="A47:B47"/>
    <mergeCell ref="A48:B48"/>
    <mergeCell ref="A49:B49"/>
    <mergeCell ref="A62:B62"/>
    <mergeCell ref="A51:B51"/>
    <mergeCell ref="A52:B52"/>
    <mergeCell ref="A53:B53"/>
    <mergeCell ref="A54:B54"/>
    <mergeCell ref="A55:B55"/>
    <mergeCell ref="A56:B56"/>
    <mergeCell ref="A57:B57"/>
    <mergeCell ref="A58:B58"/>
    <mergeCell ref="A59:B59"/>
    <mergeCell ref="A60:B60"/>
    <mergeCell ref="A61:B61"/>
    <mergeCell ref="B69:D69"/>
    <mergeCell ref="E69:F69"/>
    <mergeCell ref="B72:D72"/>
    <mergeCell ref="E72:F72"/>
    <mergeCell ref="A63:B63"/>
    <mergeCell ref="A64:B64"/>
    <mergeCell ref="A65:B65"/>
    <mergeCell ref="A66:B66"/>
    <mergeCell ref="B68:D68"/>
    <mergeCell ref="E68:F68"/>
  </mergeCells>
  <printOptions horizontalCentered="1"/>
  <pageMargins left="0.78740157480314965" right="0.39370078740157483" top="0.39370078740157483" bottom="0" header="0.51181102362204722" footer="0.51181102362204722"/>
  <pageSetup paperSize="9" scale="91" fitToHeight="3"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CGJE91d9cCdVQLaUElHvuu638+wLX6ekvO8h0mM2/jk=</DigestValue>
    </Reference>
    <Reference Type="http://www.w3.org/2000/09/xmldsig#Object" URI="#idOfficeObject">
      <DigestMethod Algorithm="http://www.w3.org/2001/04/xmlenc#sha256"/>
      <DigestValue>FAouhI2iUNNHWee6HNqvOuB/UzrgsU7lYt1Rjlf9a8M=</DigestValue>
    </Reference>
    <Reference Type="http://uri.etsi.org/01903#SignedProperties" URI="#idSignedProperties">
      <Transforms>
        <Transform Algorithm="http://www.w3.org/TR/2001/REC-xml-c14n-20010315"/>
      </Transforms>
      <DigestMethod Algorithm="http://www.w3.org/2001/04/xmlenc#sha256"/>
      <DigestValue>MKs6x9Jnl6xbYIikwgXZv51eh6xn/jUKlzkxoVUNuO4=</DigestValue>
    </Reference>
  </SignedInfo>
  <SignatureValue>fpSixwtzcMwp1My7fE5Ub3RdB2Zc3ms+lyolUyNS0XYX4SJzq7NIfwXvonxIA6ZVB8u5Zyn2fxDK
v/jJlo91GXxsE+GWZzrt+5Ndfew0cYU0CQNE4Nat7SK+rKvj78UbXvlYM/boz9kooO4dI4vTRpg0
c+cz1M1RXqhjQU6FKuF3MXkcXdaAQknoAi3agIPcGYyz1Y4zh53SrnC82Xba81dphkougnCRiuW9
omJ6DMWM7vhb0iRMocuYjkoBrr+nldfA+4YO89JSKvhF69qugZ4mx6F6WH7ESTFbAahJ5WmQYuKn
QBZuSbyyIxnYefVs7YLZZTtIB1iE2frnCIm7FQ==</SignatureValue>
  <KeyInfo>
    <X509Data>
      <X509Certificate>MIIGOTCCBCGgAwIBAgIQVAEBAZXTmBctkU2+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G7lCBQSOG6pk4gTkdP4bqgSSBUSMavxqBORyBWSeG7hlQgTkFNIC0gQ0hJIE5Iw4FOSCBUUC4gSOG7kiBDSMONIE1JTkgxIjAgBgoJkiaJk/IsZAEBDBJNU1Q6MDEwMDExMjQzNy0wMDIwggEiMA0GCSqGSIb3DQEBAQUAA4IBDwAwggEKAoIBAQDBq7ST2FL8VZNEwYntwUyaWwsdRWYrrJqWIwDkXdn7W5tt4ELdUi6koRxtXPcIgWsaYaxHhRBBijCmUSNYNtW+eduW9g7WncaVAnW6efgsfRLlZHNNYaOP3md+yS0OLy7qTJIMEruUWB4eN/8A1RfpxkM/UjUwAIZwfVyFkHhYnNQwma+7Fa7Uph3WH5hN91v7TuRksS7LrkYiep5PGavCn/81RZFgAjVx3U0srwyT9vT+WYYul49A3yiTr+4GEt+yJ5SclmJmIY642nn5ctmM63oxO0YtZcOyXMjm/daM2F7MctIM+6nFMoSopK3Jj0UGPwDwzKbDUobqCHy/KrffAgMBAAGjggGJMIIBhTAMBgNVHRMBAf8EAjAAMB8GA1UdIwQYMBaAFGuVxMQpI8onE8sE8P106s29CP/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iNrUW8c+oYwDgYDVR0PAQH/BAQDAgTwMA0GCSqGSIb3DQEBCwUAA4ICAQDAdWpRSwkdQp1v/N0sO+g+JMpArqws7JhAYAjxBJHXVgGRdewh/aDExLj1pwHyhIbYzI0WkFE6ZEUN0Z2CxII22tuPExpt3QDqSDpLkf0NShKPrHLu775QwIg4GklwhNDLzLMCgupA6Vk8SY70rD3dNghxBv8mn54QzxBBL7IEajuVkvPFYf0ZXyybs6WDOCqRQwujFYknToWlzqf2jO3qblpse5o9D+yg4W3W4dvURjunfE48HDDS4rLdLxxqjB2E30W1DfB505qoZqDcaK/muFbMoflMZTFvm7qzPHBhtMDZfcs7NYECsANkt1ljQoBWxSo4xGMe8zq9QKLYm1SLNBrtU2vJHeQ60T/nm3v3TDMjH2UnCEFqfQ+rfhgaZsoc1LxVmPsv3lCzvn8XJOC4u+PZhNVnCEDxpXQabnXwEPJtX6Hewnil0SkZdbqKL+yeot4zoIukT16Twy9oTpT4mx8ai5MQ34e7+dV8ltB5exbZmpZ6tRge/6jFvubcGFV/VuBB2EdcrVq7DzNMlrwglDL+s0seKOOxbrpi6S1fJ6n2qNszYWRwKulypD/UoRJGinh8rHyeiPx9IgsK4ohCDZFPAugy+0fD1XR8OX6WC4FmmNcEuu8j8B4zH6mr/yU18Iq6YaZeO47VGoHqeknu1e0t4i4OqFfRJjpSiK/a6w==</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9CiYQL2H4YQpvIdoOXgPTdiSi3qSh2qo2g4vcpTLASM=</DigestValue>
      </Reference>
      <Reference URI="/xl/calcChain.xml?ContentType=application/vnd.openxmlformats-officedocument.spreadsheetml.calcChain+xml">
        <DigestMethod Algorithm="http://www.w3.org/2001/04/xmlenc#sha256"/>
        <DigestValue>IbYELeI10sEjTGIKZTvtf+Hqvh0vq5NNOoPPBQcBUyY=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PoORoF5QkIhatxBoAqsSyHbXfQolck0Fj5kuIk44OuE=</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V36SKR7s6zN+dPfpLTn0XwD2z6Xatj2GPc8KgBimHdo=</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x1sOCVPuR2RMxgj6s8G4M8M0hmUpR2tw9C0A7SFH8N0=</DigestValue>
      </Reference>
      <Reference URI="/xl/drawings/drawing1.xml?ContentType=application/vnd.openxmlformats-officedocument.drawing+xml">
        <DigestMethod Algorithm="http://www.w3.org/2001/04/xmlenc#sha256"/>
        <DigestValue>1wqY4gBoPbjgY3ncsHZUdrDs+7ZHJpq+3X/Au+Nh9IY=</DigestValue>
      </Reference>
      <Reference URI="/xl/drawings/drawing2.xml?ContentType=application/vnd.openxmlformats-officedocument.drawing+xml">
        <DigestMethod Algorithm="http://www.w3.org/2001/04/xmlenc#sha256"/>
        <DigestValue>+qMWBkyjRrz23ZzP2MW+5zIJSeZYcbg2ztIfcGU4N0o=</DigestValue>
      </Reference>
      <Reference URI="/xl/drawings/drawing3.xml?ContentType=application/vnd.openxmlformats-officedocument.drawing+xml">
        <DigestMethod Algorithm="http://www.w3.org/2001/04/xmlenc#sha256"/>
        <DigestValue>PDJ0YHosucqJyDvCyxgEf5IfQFtt9IQ4HiiVclwYId8=</DigestValue>
      </Reference>
      <Reference URI="/xl/drawings/drawing4.xml?ContentType=application/vnd.openxmlformats-officedocument.drawing+xml">
        <DigestMethod Algorithm="http://www.w3.org/2001/04/xmlenc#sha256"/>
        <DigestValue>vP0/5j3qdyR0DeuJDuFOlAPFsAdObOwgyN9Zl+Lym5s=</DigestValue>
      </Reference>
      <Reference URI="/xl/drawings/drawing5.xml?ContentType=application/vnd.openxmlformats-officedocument.drawing+xml">
        <DigestMethod Algorithm="http://www.w3.org/2001/04/xmlenc#sha256"/>
        <DigestValue>Ot4avqLgCQBRfNfVW+h3alpS3AoSl0pgk/WnA4UEHTI=</DigestValue>
      </Reference>
      <Reference URI="/xl/drawings/drawing6.xml?ContentType=application/vnd.openxmlformats-officedocument.drawing+xml">
        <DigestMethod Algorithm="http://www.w3.org/2001/04/xmlenc#sha256"/>
        <DigestValue>jDy8mHlPp3AqAgEQiGeZ/gZYRPXduCsOKCjfcd1AijE=</DigestValue>
      </Reference>
      <Reference URI="/xl/drawings/drawing7.xml?ContentType=application/vnd.openxmlformats-officedocument.drawing+xml">
        <DigestMethod Algorithm="http://www.w3.org/2001/04/xmlenc#sha256"/>
        <DigestValue>b75s4GgMFZq6VMali+xKylVHrjlciFJsJKGeQWIMpT8=</DigestValue>
      </Reference>
      <Reference URI="/xl/drawings/drawing8.xml?ContentType=application/vnd.openxmlformats-officedocument.drawing+xml">
        <DigestMethod Algorithm="http://www.w3.org/2001/04/xmlenc#sha256"/>
        <DigestValue>vIWQ6CRu6dKBHXDgZDzPh1IhTKkHnzSO8sX3ttaZaNo=</DigestValue>
      </Reference>
      <Reference URI="/xl/drawings/drawing9.xml?ContentType=application/vnd.openxmlformats-officedocument.drawing+xml">
        <DigestMethod Algorithm="http://www.w3.org/2001/04/xmlenc#sha256"/>
        <DigestValue>fNSVxNL/t6yKhUIcp+k9gCp6uuXgTt5hhM+qpqLHRi0=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WM4n2haQiUbJXPm0eKUH8NZpFJHs8RpVhS1PK+83qMY=</DigestValue>
      </Reference>
      <Reference URI="/xl/media/image2.jpeg?ContentType=image/jpeg">
        <DigestMethod Algorithm="http://www.w3.org/2001/04/xmlenc#sha256"/>
        <DigestValue>DgTFO5gfiYQiZYw5FvOb4wDRts1d8071RRiNK/berpU=</DigestValue>
      </Reference>
      <Reference URI="/xl/media/image3.jpeg?ContentType=image/jpeg">
        <DigestMethod Algorithm="http://www.w3.org/2001/04/xmlenc#sha256"/>
        <DigestValue>GuyVeiKAt8sPLPpRvPY288+GNM1ooSPDRPpNlgcQ8yU=</DigestValue>
      </Reference>
      <Reference URI="/xl/media/image4.jpeg?ContentType=image/jpeg">
        <DigestMethod Algorithm="http://www.w3.org/2001/04/xmlenc#sha256"/>
        <DigestValue>deuXItOBHA5s+eTu+JEba8R3z6C831RZVJjUdfSe2uw=</DigestValue>
      </Reference>
      <Reference URI="/xl/printerSettings/printerSettings1.bin?ContentType=application/vnd.openxmlformats-officedocument.spreadsheetml.printerSettings">
        <DigestMethod Algorithm="http://www.w3.org/2001/04/xmlenc#sha256"/>
        <DigestValue>XA5cqORbu9vMOUO4EJ+d1IVwr84IWRsS5/CSIz/UOng=</DigestValue>
      </Reference>
      <Reference URI="/xl/printerSettings/printerSettings10.bin?ContentType=application/vnd.openxmlformats-officedocument.spreadsheetml.printerSettings">
        <DigestMethod Algorithm="http://www.w3.org/2001/04/xmlenc#sha256"/>
        <DigestValue>DYteY+TCaZ0WKTKkr+E/iSOWOXLKLtWgoVeyW04LIqc=</DigestValue>
      </Reference>
      <Reference URI="/xl/printerSettings/printerSettings2.bin?ContentType=application/vnd.openxmlformats-officedocument.spreadsheetml.printerSettings">
        <DigestMethod Algorithm="http://www.w3.org/2001/04/xmlenc#sha256"/>
        <DigestValue>DYteY+TCaZ0WKTKkr+E/iSOWOXLKLtWgoVeyW04LIqc=</DigestValue>
      </Reference>
      <Reference URI="/xl/printerSettings/printerSettings3.bin?ContentType=application/vnd.openxmlformats-officedocument.spreadsheetml.printerSettings">
        <DigestMethod Algorithm="http://www.w3.org/2001/04/xmlenc#sha256"/>
        <DigestValue>DYteY+TCaZ0WKTKkr+E/iSOWOXLKLtWgoVeyW04LIqc=</DigestValue>
      </Reference>
      <Reference URI="/xl/printerSettings/printerSettings4.bin?ContentType=application/vnd.openxmlformats-officedocument.spreadsheetml.printerSettings">
        <DigestMethod Algorithm="http://www.w3.org/2001/04/xmlenc#sha256"/>
        <DigestValue>DYteY+TCaZ0WKTKkr+E/iSOWOXLKLtWgoVeyW04LIqc=</DigestValue>
      </Reference>
      <Reference URI="/xl/printerSettings/printerSettings5.bin?ContentType=application/vnd.openxmlformats-officedocument.spreadsheetml.printerSettings">
        <DigestMethod Algorithm="http://www.w3.org/2001/04/xmlenc#sha256"/>
        <DigestValue>SS+b9XicZr9RycI5t+yAd2UtgS79qBCLxIdpF2mojS4=</DigestValue>
      </Reference>
      <Reference URI="/xl/printerSettings/printerSettings6.bin?ContentType=application/vnd.openxmlformats-officedocument.spreadsheetml.printerSettings">
        <DigestMethod Algorithm="http://www.w3.org/2001/04/xmlenc#sha256"/>
        <DigestValue>XA5cqORbu9vMOUO4EJ+d1IVwr84IWRsS5/CSIz/UOng=</DigestValue>
      </Reference>
      <Reference URI="/xl/printerSettings/printerSettings7.bin?ContentType=application/vnd.openxmlformats-officedocument.spreadsheetml.printerSettings">
        <DigestMethod Algorithm="http://www.w3.org/2001/04/xmlenc#sha256"/>
        <DigestValue>DYteY+TCaZ0WKTKkr+E/iSOWOXLKLtWgoVeyW04LIqc=</DigestValue>
      </Reference>
      <Reference URI="/xl/printerSettings/printerSettings8.bin?ContentType=application/vnd.openxmlformats-officedocument.spreadsheetml.printerSettings">
        <DigestMethod Algorithm="http://www.w3.org/2001/04/xmlenc#sha256"/>
        <DigestValue>DYteY+TCaZ0WKTKkr+E/iSOWOXLKLtWgoVeyW04LIqc=</DigestValue>
      </Reference>
      <Reference URI="/xl/printerSettings/printerSettings9.bin?ContentType=application/vnd.openxmlformats-officedocument.spreadsheetml.printerSettings">
        <DigestMethod Algorithm="http://www.w3.org/2001/04/xmlenc#sha256"/>
        <DigestValue>DYteY+TCaZ0WKTKkr+E/iSOWOXLKLtWgoVeyW04LIqc=</DigestValue>
      </Reference>
      <Reference URI="/xl/sharedStrings.xml?ContentType=application/vnd.openxmlformats-officedocument.spreadsheetml.sharedStrings+xml">
        <DigestMethod Algorithm="http://www.w3.org/2001/04/xmlenc#sha256"/>
        <DigestValue>BCFC04dbT/ZT1KSz2+OzWeyNF2MxG7TeXRzH4LvATQg=</DigestValue>
      </Reference>
      <Reference URI="/xl/styles.xml?ContentType=application/vnd.openxmlformats-officedocument.spreadsheetml.styles+xml">
        <DigestMethod Algorithm="http://www.w3.org/2001/04/xmlenc#sha256"/>
        <DigestValue>l15iaWekcu1uOTe4PXT8Rjm9otXZzM59zCa03xyhnrk=</DigestValue>
      </Reference>
      <Reference URI="/xl/theme/theme1.xml?ContentType=application/vnd.openxmlformats-officedocument.theme+xml">
        <DigestMethod Algorithm="http://www.w3.org/2001/04/xmlenc#sha256"/>
        <DigestValue>huwkcPpYYUMl7xsEgPy/DutPJ6II5cdi30kWanGUeYg=</DigestValue>
      </Reference>
      <Reference URI="/xl/workbook.xml?ContentType=application/vnd.openxmlformats-officedocument.spreadsheetml.sheet.main+xml">
        <DigestMethod Algorithm="http://www.w3.org/2001/04/xmlenc#sha256"/>
        <DigestValue>zeml/j1CYpCPh6E+AnjsZwGjk6urBd0qmpdACNalr/w=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iK1cCeJyE0nh61Ysaws+TMA/tgQJwUsR5g0ps2rJkns=</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ch/7Fy21MMu+BePE7V2u7g75sbQp0A/Jxw0Bq56y7z8=</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+xv39IL7tPpsXHT+vo405BfLsmjmbjvDNJ7rppqDbsg=</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eQV2FY1L2l1QSXsKJj5WPN19GWIuFsPPhd+e1hYjLic=</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kAJ1oeQNNg8HxU6Ejt0NPsQTd4QbuWb/PydCbS8Oz30=</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bR675nxdlHeeqVnTO769PI9TLFc8//q5V+sMw6dD8cE=</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9T+yw4wrsh9mj6LX9ttMHSq7Qcj1J3NzJF8ZBQ59Fos=</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CwvGKO7du/4VK3JXwI1xC26LuLly21vgfyS4zPmBQJw=</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C9DxQUDAZZy3QTe+w8JtDLAliJ2w2mmT8od4UsD9boo=</DigestValue>
      </Reference>
      <Reference URI="/xl/worksheets/sheet1.xml?ContentType=application/vnd.openxmlformats-officedocument.spreadsheetml.worksheet+xml">
        <DigestMethod Algorithm="http://www.w3.org/2001/04/xmlenc#sha256"/>
        <DigestValue>AXk/VCH4Yf2hki7Jo4VZ8ob2QIiTWqGjkSSYSD4UQtE=</DigestValue>
      </Reference>
      <Reference URI="/xl/worksheets/sheet10.xml?ContentType=application/vnd.openxmlformats-officedocument.spreadsheetml.worksheet+xml">
        <DigestMethod Algorithm="http://www.w3.org/2001/04/xmlenc#sha256"/>
        <DigestValue>L2WqrwTRlX9JgJ6PVzFhTjSLtTMHC/FHVLV7cpeUgZk=</DigestValue>
      </Reference>
      <Reference URI="/xl/worksheets/sheet2.xml?ContentType=application/vnd.openxmlformats-officedocument.spreadsheetml.worksheet+xml">
        <DigestMethod Algorithm="http://www.w3.org/2001/04/xmlenc#sha256"/>
        <DigestValue>BWfRnxkhAd5AxrXyUf06h/KSCq5KhgCzB5HMclbb6PM=</DigestValue>
      </Reference>
      <Reference URI="/xl/worksheets/sheet3.xml?ContentType=application/vnd.openxmlformats-officedocument.spreadsheetml.worksheet+xml">
        <DigestMethod Algorithm="http://www.w3.org/2001/04/xmlenc#sha256"/>
        <DigestValue>UQIxmAdrnVpclgJQcQsNXv73Lx/web2I5hyO2gbG/Gk=</DigestValue>
      </Reference>
      <Reference URI="/xl/worksheets/sheet4.xml?ContentType=application/vnd.openxmlformats-officedocument.spreadsheetml.worksheet+xml">
        <DigestMethod Algorithm="http://www.w3.org/2001/04/xmlenc#sha256"/>
        <DigestValue>Q0mHvJ0tYffSOTMQW2rUSHryw3NzjXCxAncAKZ7og6k=</DigestValue>
      </Reference>
      <Reference URI="/xl/worksheets/sheet5.xml?ContentType=application/vnd.openxmlformats-officedocument.spreadsheetml.worksheet+xml">
        <DigestMethod Algorithm="http://www.w3.org/2001/04/xmlenc#sha256"/>
        <DigestValue>2SzNcDpFtnPMLYSKWURfT/0yXwtZk8g3bjcjwFx3BgI=</DigestValue>
      </Reference>
      <Reference URI="/xl/worksheets/sheet6.xml?ContentType=application/vnd.openxmlformats-officedocument.spreadsheetml.worksheet+xml">
        <DigestMethod Algorithm="http://www.w3.org/2001/04/xmlenc#sha256"/>
        <DigestValue>S0nkqIRcwNe/g6f8+wXsoPm+DU5vz4BKDwAXHy/CgNo=</DigestValue>
      </Reference>
      <Reference URI="/xl/worksheets/sheet7.xml?ContentType=application/vnd.openxmlformats-officedocument.spreadsheetml.worksheet+xml">
        <DigestMethod Algorithm="http://www.w3.org/2001/04/xmlenc#sha256"/>
        <DigestValue>t2Ha/UI7c54m142kfJfhw09U92XcJ9DFD/aSXqA/7bY=</DigestValue>
      </Reference>
      <Reference URI="/xl/worksheets/sheet8.xml?ContentType=application/vnd.openxmlformats-officedocument.spreadsheetml.worksheet+xml">
        <DigestMethod Algorithm="http://www.w3.org/2001/04/xmlenc#sha256"/>
        <DigestValue>dck1pr0SdL212cwTyEPzsezLgC/HBsnm63a/dr1lAmE=</DigestValue>
      </Reference>
      <Reference URI="/xl/worksheets/sheet9.xml?ContentType=application/vnd.openxmlformats-officedocument.spreadsheetml.worksheet+xml">
        <DigestMethod Algorithm="http://www.w3.org/2001/04/xmlenc#sha256"/>
        <DigestValue>nQKdZH1ZkU4hjzJ0LzN7oeRz2Lw8zZghH46ttxvIUrQ=</DigestValue>
      </Reference>
    </Manifest>
    <SignatureProperties>
      <SignatureProperty Id="idSignatureTime" Target="#idPackageSignature">
        <mdssi:SignatureTime xmlns:mdssi="http://schemas.openxmlformats.org/package/2006/digital-signature">
          <mdssi:Format>YYYY-MM-DDThh:mm:ssTZD</mdssi:Format>
          <mdssi:Value>2026-04-17T07:49:51Z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2026-04-17T07:49:51Z</xd:SigningTime>
          <xd:SigningCertificate>
            <xd:Cert>
              <xd:CertDigest>
                <DigestMethod Algorithm="http://www.w3.org/2001/04/xmlenc#sha256"/>
                <DigestValue>zqXXfa59PKh0npUfDuZu53UNmEHXKdj/Oyus1BuZ3Kg=</DigestValue>
              </xd:CertDigest>
              <xd:IssuerSerial>
                <X509IssuerName>C=VN, O=VIETNAM POSTS AND TELECOMMUNICATIONS GROUP, CN=VNPT-CA SHA2</X509IssuerName>
                <X509SerialNumber>111660364350798302356066188061741145351</X509SerialNumber>
              </xd:IssuerSerial>
            </xd:Cert>
          </xd:SigningCertificate>
          <xd:SignaturePolicyIdentifier>
            <xd:SignaturePolicyImplied/>
          </xd:SignaturePolicyIdentifier>
        </xd:SignedSignatureProperties>
        <xd:SignedDataObjectProperties>
          <xd:CommitmentTypeIndication>
            <xd:CommitmentTypeId>
              <xd:Identifier>http://uri.etsi.org/01903/v1.2.2#ProofOfApproval</xd:Identifier>
              <xd:Description>Approved this document</xd:Description>
            </xd:CommitmentTypeId>
            <xd:AllSignedDataObjects/>
          </xd:CommitmentTypeIndication>
        </xd:SignedDataObjectProperties>
      </xd:SignedProperties>
      <xd:UnsignedProperties>
        <xd:UnsignedSignatureProperties>
          <xd:CertificateValues>
            <xd:EncapsulatedX509Certificate>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6fyF92gz+zuf9WLrtPUPBEe1Vn8NUt9YMg4zQXkFzbO4iX/1tyqK8O7/HwugJ1SyMLli/MAbkwKIOaA/XV+h/XHsv464slLDEtBCtvr02HJiHF6S9Mb+11X41uMZpz6GS4AmwojH37nZ4LZfQzgTmOHd9lJoyadmJEqQWZ1DMEyPILmjqdZ+miQiDHcjYLrmfUeQ9tyoVQa+U8bKBK9ZZuq1RCGapJqbptWYjlstJOd7b/fLRaWl4yR/vv2NMIbg9+ECpq/iWi3SQZ1YsmVPT3x74c0ZM5jMOwdFvRI+gHUqG9Ov0aCy5fpVNVirUSmyWitP9V0OoY67W/iXQWdi7I0KP1azZwHKcpmAZJqEzeBWtpXf/LYl84pyEl8yHJtIjfcGwNiPbJ0GzqTCY9eAejCfoshCgNIqt0xcT0Mzlif3b071sNRVvevBOgiKX76rJ784dme4njx4IE1/mIX8ajpnvi5ZqumIq062EkfcnhLM58avHBEJoc3MFKxdrDxMnieK83YysqWNTAp0kWgxPdzs2MkkLOsTyfI6D1e54I31Q2VaUVltOxMhzzuVE55+d2QAQj4wPaFqKU0h9VR7CfE9c/tGbbebI8c52T31jEnnjqqhnGDK17M/Jsoe86WsIQ6vWhHPJp5B1z78CAwEAAaOCAacwggGj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BAQDAgGGMB0GA1UdDgQWBBRrlcTEKSPKJxPLBPD9dOrNvQj/wTBCBggrBgEFBQcBAQQ2MDQwMgYIKwYBBQUHMAKGJmh0dHBzOi8vcm9vdGNhLmdvdi52bi9jcnQvdm5yY2EyNTYucDdiMBIGA1UdEwEB/wQIMAYBAf8CAQAwNwYDVR0fBDAwLjAsoCqgKIYmaHR0cHM6Ly9yb290Y2EuZ292LnZuL2NybC92bnJjYTI1Ni5jcmwwDQYJKoZIhvcNAQELBQADggIBAJzyb6x6SgKyHvAceKEd/K6ZAMt3050IDeNHDBQ14rfED4So8N0TJ+pNbplvt+Fn/SRzsh0u7+aLodc/TsW47Xub5BoRaEidiD7bTfI75NjPeT9iUMStSvMmF9re3tBW9eBP1t8N4lULOu9m2yF4/Z4uuuFV1SR0zVc1+W0pIwm7uDRs2gpbxGA+PO+SW3Ep2KH2dSWjfP80wazrOZ1AlgQ1n+g3CftEvS076QgRY2zsNDETqNHum81MFRaWgMFzH7yLdY13DxdzhagaaCbsXpvTa69T6/tYLfts/AqFI18EyuvCg9iq4MeWW1/BBeiPVoo8mhSriNAPQVm8e722BUihTpGTGYvyJEa8uO+sVYJcvojYzUul+DubmrS7Bq/5bL+igoNpzaVXNbMmbxeY+MX3IxxPtm8MzBsgfjzJNC8Weiz8wDw6d3e27NOx7pK8J49NpwbSh4fcqAtBiXdnQikQt0mx4PNuNA/u79oXBT7JdO592v+LCwnWuAZrvSOlStSmbrvzqzekupWXL/eDMHWFW+Vxp3CqlORqbDK9yeIVMxw8qrnIDX/IkYYOT9uUjsc4B9Arl/zFmGB56APcb4R8oTBGBFgvTd5XjAXevGr5FJMBeHoo4zRv2kn1O78UBWWUXsuOb7G0hCkXB9xU4jfk1MsjjbfovofrIWgqku61</xd:EncapsulatedX509Certificate>
            <xd:EncapsulatedX509Certificate>MIIG/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G9xj56UoT+8KbW7BeIjkUevwlUmK5/j4HQaIuNg7g9oiQaU2Gt7WM/fTR8p/PkQT7yzuY0uLzSxUO3d8LxBnFRhz/5Vnk6cfWcsZUwCEgU/LHrnVuRjIYsffdc3YDgUJkcbnnxRq6zTF9BG2xH3f3C68C4Y3yERae5MCukpNELXh6GctRR2FkShFeITzJUZSguCEJJAj5qYW3rakJud4XjFFVgMnl6+78PYxvlAA8oFQrUbAywWq6Lzn6zcpo+OZuWfF7NFVGEcAtDuN1oyvst+H68f6giZ4+dKI4dBcrFkYJ+ptf98+Dev/Ij6onjOLgVgE/6LwprDIVY7X0vdqGG7Nbh6gaeugCG5/mYtIVkHhwPK+KcTPETYZJDYxT3rUIahaYh1Qp+LfEDXTJI2XGKey9lBkmFgdGpZY65p3xvrYW+NHccbtPsR+swcuuGRV7UP/ndmRX08GiaMTfKrkR7V5RvferDiQ/vezfq2hDPHizFaqxtImTUu8wFvXGbo11hsrqLCaKQxZToonYp7ECVYFDueuL7E6Up4cXler1qLvp3w+QZVR4r58IKvxVrtHaRiZUsbDa335dAlWjgaJI8QWZ4HOHVZLQjrX+JkjDPJTMHNxuMEkElrCSF3rXqUKZ/JMvqKeY16jQDaH0CAwEAAaOCAScwggEjMA4GA1UdDwEB/wQEAwIBhjAPBgNVHRMBAf8EBTADAQH/MB0GA1UdDgQWBBR+8Iftsbid+wiDb6QW/fG4rGKbATCB4AYDVR0jBIHYMIHVgBR+8Iftsbid+wiDb6QW/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PZV+w7DwvfZD8xuFKQJz9v5TDpz/CYwrhA+BUsxyMbzS6Kv1lNa42Ja63BlEQ1AAVY+ZX3mFbVumOV43kLQgzQayYKPolq1o7Qxz3l2zgzhg4o436Vfek8Lrh/WcP5ezyC8Tt7VCaUOl/fuSaCPYvZbV7bZw/Eyj4xK1ud7Uq2Op54vSTegoh0+ZW28SQEgH49BjyjQTv56sTRolWZ4WxbHtbBJwTj7vliksebvvljoRYo9wg29AuY/Arw3NNhTyIbUFO75colaaF8i+5aAvmPQzfIk9m1bzK15VOk8t8QnV8i4I42jDLbVzbZFQZHbLL8gj+LTHVZc9sfKmfhkH2HDsngb6UvKDuWHB5+XQ5QoSiyGVJ0MeUYohPI6cghZXbIflHGyse9hbARM7Ubrisf/P//FDLlJ3UL7+aLIk9fw6n7Wy0WcgN+QxjfdxUM9VSCx705+uX/aN4y0g5LMNChDOzpBYUg6smm8A0W2LIAMw0Q9U9TLnHO8Ovw3ikuO5rfTSWwbYmyt15NsFp8LM/Q0Nu9QqaMNNy23YbQZZlfFormI9ioWEpjDbWqU9YyH6oHpGjsBbSoR4G0IUsfxaDdE3CXIx48pRolSddeayvR5sdOsNrhJOAFwg==</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2026-04-17T03:52:15Z</dcterms:modified>
</cp:coreProperties>
</file>