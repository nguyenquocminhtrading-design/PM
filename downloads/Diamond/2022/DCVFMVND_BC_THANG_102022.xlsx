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1" i="12" l="1"/>
  <c r="C14" i="14"/>
  <c r="B14" i="13"/>
  <c r="D12" i="17"/>
  <c r="C12" i="16"/>
  <c r="C12" i="8"/>
  <c r="C12" i="9"/>
  <c r="C12" i="11"/>
  <c r="C12" i="12" l="1"/>
  <c r="C15" i="14"/>
  <c r="B15" i="13"/>
  <c r="D13" i="17"/>
  <c r="C13" i="16"/>
  <c r="C13" i="8"/>
  <c r="C13" i="9"/>
  <c r="C13" i="11"/>
  <c r="E13" i="15" l="1"/>
</calcChain>
</file>

<file path=xl/sharedStrings.xml><?xml version="1.0" encoding="utf-8"?>
<sst xmlns="http://schemas.openxmlformats.org/spreadsheetml/2006/main" count="1428" uniqueCount="1070">
  <si>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</si>
  <si>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</si>
  <si>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</si>
  <si>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</si>
  <si>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</si>
  <si>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</si>
  <si>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</si>
  <si>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</si>
  <si>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</si>
  <si>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</si>
  <si>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</si>
  <si>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</si>
  <si>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</si>
  <si>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</si>
  <si>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</si>
  <si>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</si>
  <si>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</si>
  <si>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</si>
  <si>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</si>
  <si>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</si>
  <si>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</si>
  <si>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</si>
  <si>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</si>
  <si>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</si>
  <si>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</si>
  <si>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</si>
  <si>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</si>
  <si>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</si>
  <si>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</si>
  <si>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</si>
  <si>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</si>
  <si>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</si>
  <si>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</si>
  <si>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</si>
  <si>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</si>
  <si>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</si>
  <si>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</si>
  <si>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</si>
  <si>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2246.2</t>
  </si>
  <si>
    <t>CTG</t>
  </si>
  <si>
    <t>2246.3</t>
  </si>
  <si>
    <t>DHC</t>
  </si>
  <si>
    <t>2246.4</t>
  </si>
  <si>
    <t>5</t>
  </si>
  <si>
    <t>EIB</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</si>
  <si>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</si>
  <si>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</si>
  <si>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</si>
  <si>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</si>
  <si>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</si>
  <si>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</si>
  <si>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</si>
  <si>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</si>
  <si>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</si>
  <si>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</si>
  <si>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</si>
  <si>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</si>
  <si>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</si>
  <si>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</si>
  <si>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</si>
  <si>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</si>
  <si>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</si>
  <si>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</si>
  <si>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</si>
  <si>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</si>
  <si>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</si>
  <si>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</si>
  <si>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</si>
  <si>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</si>
  <si>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</si>
  <si>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</si>
  <si>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</si>
  <si>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</si>
  <si>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</si>
  <si>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</si>
  <si>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</si>
  <si>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</si>
  <si>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</si>
  <si>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</si>
  <si>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</si>
  <si>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TCM</t>
  </si>
  <si>
    <t>2246.17</t>
  </si>
  <si>
    <t>18</t>
  </si>
  <si>
    <t>TPB</t>
  </si>
  <si>
    <t>2246.18</t>
  </si>
  <si>
    <t>19</t>
  </si>
  <si>
    <t>VIB</t>
  </si>
  <si>
    <t>2246.19</t>
  </si>
  <si>
    <t>20</t>
  </si>
  <si>
    <t>VPB</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</si>
  <si>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</si>
  <si>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</si>
  <si>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</si>
  <si>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</si>
  <si>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</si>
  <si>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</si>
  <si>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</si>
  <si>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</si>
  <si>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</si>
  <si>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</si>
  <si>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</si>
  <si>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</si>
  <si>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</si>
  <si>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</si>
  <si>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</si>
  <si>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</si>
  <si>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</si>
  <si>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</si>
  <si>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</si>
  <si>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</si>
  <si>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</si>
  <si>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</si>
  <si>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</si>
  <si>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</si>
  <si>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</si>
  <si>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</si>
  <si>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</si>
  <si>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</si>
  <si>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</si>
  <si>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</si>
  <si>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</si>
  <si>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</si>
  <si>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</si>
  <si>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</si>
  <si>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</si>
  <si>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</si>
  <si>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</si>
  <si>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</si>
  <si>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</si>
  <si>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</si>
  <si>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</si>
  <si>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</si>
  <si>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</si>
  <si>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</si>
  <si>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</si>
  <si>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</si>
  <si>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</si>
  <si>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</si>
  <si>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</si>
  <si>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</si>
  <si>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</si>
  <si>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</si>
  <si>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</si>
  <si>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</si>
  <si>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</si>
  <si>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</si>
  <si>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</si>
  <si>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</si>
  <si>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</si>
  <si>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</si>
  <si>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</si>
  <si>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</si>
  <si>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</si>
  <si>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</si>
  <si>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</si>
  <si>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</si>
  <si>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</si>
  <si>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</si>
  <si>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</si>
  <si>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</si>
  <si>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</si>
  <si>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</si>
  <si>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</si>
  <si>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</si>
  <si>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</si>
  <si>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</si>
  <si>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</si>
  <si>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</si>
  <si>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</si>
  <si>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</si>
  <si>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</si>
  <si>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</si>
  <si>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</si>
  <si>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</si>
  <si>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</si>
  <si>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</si>
  <si>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</si>
  <si>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</si>
  <si>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</si>
  <si>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</si>
  <si>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</si>
  <si>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</si>
  <si>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</si>
  <si>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</si>
  <si>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</si>
  <si>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</si>
  <si>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</si>
  <si>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</si>
  <si>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</si>
  <si>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</si>
  <si>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</si>
  <si>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</si>
  <si>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</si>
  <si>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</si>
  <si>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</si>
  <si>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</si>
  <si>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</si>
  <si>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</si>
  <si>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</si>
  <si>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</si>
  <si>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</si>
  <si>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</si>
  <si>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</si>
  <si>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</si>
  <si>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</si>
  <si>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</si>
  <si>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</si>
  <si>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</si>
  <si>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</si>
  <si>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</si>
  <si>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</si>
  <si>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</si>
  <si>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</si>
  <si>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</si>
  <si>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</si>
  <si>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</si>
  <si>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</si>
  <si>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</si>
  <si>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</si>
  <si>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</si>
  <si>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</si>
  <si>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</si>
  <si>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</si>
  <si>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</si>
  <si>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</si>
  <si>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</si>
  <si>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</si>
  <si>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</si>
  <si>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</si>
  <si>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</si>
  <si>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</si>
  <si>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</si>
  <si>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</si>
  <si>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</si>
  <si>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</si>
  <si>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</si>
  <si>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</si>
  <si>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</si>
  <si>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</si>
  <si>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</si>
  <si>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</si>
  <si>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</si>
  <si>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</si>
  <si>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</si>
  <si>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</si>
  <si>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</si>
  <si>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</si>
  <si>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</si>
  <si>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</si>
  <si>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</si>
  <si>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</si>
  <si>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</si>
  <si>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</si>
  <si>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</si>
  <si>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</si>
  <si>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</si>
  <si>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</si>
  <si>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</si>
  <si>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</si>
  <si>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</si>
  <si>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</si>
  <si>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</si>
  <si>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</si>
  <si>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</si>
  <si>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</si>
  <si>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</si>
  <si>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</si>
  <si>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</si>
  <si>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</si>
  <si>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</si>
  <si>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</si>
  <si>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</si>
  <si>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</si>
  <si>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</si>
  <si>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</si>
  <si>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</si>
  <si>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</si>
  <si>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</si>
  <si>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</si>
  <si>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</si>
  <si>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</si>
  <si>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</si>
  <si>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</si>
  <si>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</si>
  <si>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</si>
  <si>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</si>
  <si>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</si>
  <si>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</si>
  <si>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</si>
  <si>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</si>
  <si>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</si>
  <si>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</si>
  <si>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</si>
  <si>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</si>
  <si>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</si>
  <si>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</si>
  <si>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</si>
  <si>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</si>
  <si>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</si>
  <si>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</si>
  <si>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</si>
  <si>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</si>
  <si>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</si>
  <si>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</si>
  <si>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</si>
  <si>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</si>
  <si>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</si>
  <si>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</si>
  <si>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</si>
  <si>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</si>
  <si>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</si>
  <si>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</si>
  <si>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</si>
  <si>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</si>
  <si>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</si>
  <si>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</si>
  <si>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</si>
  <si>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</si>
  <si>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</si>
  <si>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</si>
  <si>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</si>
  <si>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</si>
  <si>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</si>
  <si>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</si>
  <si>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</si>
  <si>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</si>
  <si>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</si>
  <si>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</si>
  <si>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</si>
  <si>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</si>
  <si>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</si>
  <si>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</si>
  <si>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</si>
  <si>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</si>
  <si>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</si>
  <si>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</si>
  <si>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</si>
  <si>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</si>
  <si>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</si>
  <si>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</si>
  <si>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</si>
  <si>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</si>
  <si>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</si>
  <si>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</si>
  <si>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</si>
  <si>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</si>
  <si>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</si>
  <si>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</si>
  <si>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</si>
  <si>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</si>
  <si>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</si>
  <si>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</si>
  <si>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</si>
  <si>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</si>
  <si>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</si>
  <si>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</si>
  <si>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</si>
  <si>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</si>
  <si>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</si>
  <si>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</si>
  <si>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</si>
  <si>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</si>
  <si>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</si>
  <si>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</si>
  <si>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</si>
  <si>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</si>
  <si>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</si>
  <si>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</si>
  <si>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</si>
  <si>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</si>
  <si>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</si>
  <si>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</si>
  <si>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</si>
  <si>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</si>
  <si>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</si>
  <si>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</si>
  <si>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</si>
  <si>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</si>
  <si>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</si>
  <si>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</si>
  <si>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</si>
  <si>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</si>
  <si>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</si>
  <si>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</si>
  <si>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</si>
  <si>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</si>
  <si>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</si>
  <si>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</si>
  <si>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</si>
  <si>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</si>
  <si>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</si>
  <si>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</si>
  <si>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</si>
  <si>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</si>
  <si>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</si>
  <si>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</si>
  <si>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</si>
  <si>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</si>
  <si>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</si>
  <si>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</si>
  <si>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</si>
  <si>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</si>
  <si>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</si>
  <si>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</si>
  <si>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</si>
  <si>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</si>
  <si>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</si>
  <si>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</si>
  <si>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</si>
  <si>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</si>
  <si>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</si>
  <si>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</si>
  <si>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</si>
  <si>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</si>
  <si>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</si>
  <si>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</si>
  <si>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</si>
  <si>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</si>
  <si>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</si>
  <si>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</si>
  <si>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</si>
  <si>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</si>
  <si>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</si>
  <si>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</si>
  <si>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</si>
  <si>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</si>
  <si>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</si>
  <si>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</si>
  <si>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</si>
  <si>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</si>
  <si>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</si>
  <si>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</si>
  <si>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</si>
  <si>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</si>
  <si>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</si>
  <si>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</si>
  <si>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</si>
  <si>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</si>
  <si>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</si>
  <si>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</si>
  <si>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</si>
  <si>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</si>
  <si>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</si>
  <si>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</si>
  <si>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</si>
  <si>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</si>
  <si>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</si>
  <si>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</si>
  <si>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</si>
  <si>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</si>
  <si>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</si>
  <si>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</si>
  <si>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</si>
  <si>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</si>
  <si>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</si>
  <si>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</si>
  <si>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</si>
  <si>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</si>
  <si>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</si>
  <si>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</si>
  <si>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</si>
  <si>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</si>
  <si>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</si>
  <si>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</si>
  <si>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</si>
  <si>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</si>
  <si>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</si>
  <si>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</si>
  <si>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</si>
  <si>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</si>
  <si>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</si>
  <si>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</si>
  <si>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</si>
  <si>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</si>
  <si>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</si>
  <si>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</si>
  <si>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</si>
  <si>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</si>
  <si>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</si>
  <si>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</si>
  <si>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</si>
  <si>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</si>
  <si>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</si>
  <si>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</si>
  <si>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</si>
  <si>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</si>
  <si>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</si>
  <si>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</si>
  <si>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</si>
  <si>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</si>
  <si>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</si>
  <si>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</si>
  <si>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</si>
  <si>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</si>
  <si>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</si>
  <si>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</si>
  <si>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</si>
  <si>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</si>
  <si>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</si>
  <si>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</si>
  <si>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</si>
  <si>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</si>
  <si>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</si>
  <si>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</si>
  <si>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</si>
  <si>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</si>
  <si>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</si>
  <si>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</si>
  <si>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</si>
  <si>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</si>
  <si>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</si>
  <si>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</si>
  <si>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</si>
  <si>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</si>
  <si>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</si>
  <si>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</si>
  <si>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</si>
  <si>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</si>
  <si>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</si>
  <si>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</si>
  <si>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</si>
  <si>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</si>
  <si>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</si>
  <si>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</si>
  <si>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</si>
  <si>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</si>
  <si>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</si>
  <si>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</si>
  <si>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</si>
  <si>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</si>
  <si>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</si>
  <si>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</si>
  <si>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</si>
  <si>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</si>
  <si>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</si>
  <si>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</si>
  <si>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</si>
  <si>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</si>
  <si>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</si>
  <si>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</si>
  <si>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</si>
  <si>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</si>
  <si>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</si>
  <si>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</si>
  <si>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</si>
  <si>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</si>
  <si>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</si>
  <si>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</si>
  <si>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</si>
  <si>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</si>
  <si>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</si>
  <si>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</si>
  <si>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</si>
  <si>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</si>
  <si>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</si>
  <si>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</si>
  <si>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</si>
  <si>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</si>
  <si>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</si>
  <si>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</si>
  <si>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</si>
  <si>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</si>
  <si>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</si>
  <si>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</si>
  <si>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</si>
  <si>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</si>
  <si>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</si>
  <si>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</si>
  <si>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</si>
  <si>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</si>
  <si>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</si>
  <si>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</si>
  <si>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</si>
  <si>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</si>
  <si>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</si>
  <si>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</si>
  <si>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</si>
  <si>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</si>
  <si>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</si>
  <si>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</si>
  <si>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</si>
  <si>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</si>
  <si>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</si>
  <si>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</si>
  <si>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</si>
  <si>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</si>
  <si>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</si>
  <si>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</si>
  <si>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</si>
  <si>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</si>
  <si>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</si>
  <si>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</si>
  <si>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</si>
  <si>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</si>
  <si>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</si>
  <si>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</si>
  <si>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</si>
  <si>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</si>
  <si>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</si>
  <si>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</si>
  <si>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</si>
  <si>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</si>
  <si>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</si>
  <si>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</si>
  <si>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</si>
  <si>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</si>
  <si>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</si>
  <si>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</si>
  <si>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</si>
  <si>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</si>
  <si>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</si>
  <si>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</si>
  <si>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</si>
  <si>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</si>
  <si>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</si>
  <si>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</si>
  <si>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</si>
  <si>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</si>
  <si>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</si>
  <si>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</si>
  <si>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</si>
  <si>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</si>
  <si>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</si>
  <si>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</si>
  <si>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</si>
  <si>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</si>
  <si>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</si>
  <si>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</si>
  <si>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</si>
  <si>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</si>
  <si>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</si>
  <si>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</si>
  <si>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</si>
  <si>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</si>
  <si>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</si>
  <si>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</si>
  <si>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</si>
  <si>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</si>
  <si>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</si>
  <si>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</si>
  <si>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</si>
  <si>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</si>
  <si>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</si>
  <si>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</si>
  <si>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</si>
  <si>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</si>
  <si>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</si>
  <si>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</si>
  <si>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</si>
  <si>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</si>
  <si>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</si>
  <si>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</si>
  <si>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</si>
  <si>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</si>
  <si>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</si>
  <si>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</si>
  <si>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</si>
  <si>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</si>
  <si>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</si>
  <si>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</si>
  <si>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</si>
  <si>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</si>
  <si>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</si>
  <si>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</si>
  <si>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</si>
  <si>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</si>
  <si>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</si>
  <si>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</si>
  <si>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</si>
  <si>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</si>
  <si>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</si>
  <si>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</si>
  <si>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</si>
  <si>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</si>
  <si>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</si>
  <si>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</si>
  <si>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</si>
  <si>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</si>
  <si>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</si>
  <si>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</si>
  <si>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</si>
  <si>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</si>
  <si>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</si>
  <si>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</si>
  <si>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</si>
  <si>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</si>
  <si>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</si>
  <si>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</si>
  <si>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</si>
  <si>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</si>
  <si>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</si>
  <si>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</si>
  <si>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</si>
  <si>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</si>
  <si>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</si>
  <si>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</si>
  <si>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</si>
  <si>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</si>
  <si>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</si>
  <si>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</si>
  <si>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</si>
  <si>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</si>
  <si>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</si>
  <si>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</si>
  <si>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</si>
  <si>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</si>
  <si>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</si>
  <si>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</si>
  <si>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</si>
  <si>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</si>
  <si>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</si>
  <si>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</si>
  <si>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</si>
  <si>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</si>
  <si>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</si>
  <si>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</si>
  <si>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</si>
  <si>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</si>
  <si>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</si>
  <si>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</si>
  <si>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</si>
  <si>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</si>
  <si>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</si>
  <si>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</si>
  <si>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</si>
  <si>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</si>
  <si>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</si>
  <si>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</si>
  <si>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</si>
  <si>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</si>
  <si>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</si>
  <si>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</si>
  <si>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</si>
  <si>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</si>
  <si>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</si>
  <si>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</si>
  <si>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</si>
  <si>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</si>
  <si>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</si>
  <si>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</si>
  <si>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</si>
  <si>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</si>
  <si>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</si>
  <si>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</si>
  <si>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</si>
  <si>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</si>
  <si>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</si>
  <si>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</si>
  <si>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</si>
  <si>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</si>
  <si>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</si>
  <si>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</si>
  <si>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</si>
  <si>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</si>
  <si>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</si>
  <si>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</si>
  <si>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</si>
  <si>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</si>
  <si>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</si>
  <si>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</si>
  <si>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</si>
  <si>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</si>
  <si>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</si>
  <si>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</si>
  <si>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</si>
  <si>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</si>
  <si>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</si>
  <si>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</si>
  <si>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</si>
  <si>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</si>
  <si>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</si>
  <si>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</si>
  <si>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</si>
  <si>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</si>
  <si>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</si>
  <si>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</si>
  <si>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</si>
  <si>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</si>
  <si>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</si>
  <si>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</si>
  <si>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</si>
  <si>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</si>
  <si>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</si>
  <si>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</si>
  <si>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</si>
  <si>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</si>
  <si>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</si>
  <si>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</si>
  <si>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</si>
  <si>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</si>
  <si>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</si>
  <si>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</si>
  <si>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</si>
  <si>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</si>
  <si>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</si>
  <si>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</si>
  <si>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</si>
  <si>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</si>
  <si>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</si>
  <si>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</si>
  <si>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</si>
  <si>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</si>
  <si>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</si>
  <si>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</si>
  <si>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</si>
  <si>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</si>
  <si>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</si>
  <si>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</si>
  <si>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</si>
  <si>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</si>
  <si>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</si>
  <si>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</si>
  <si>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</si>
  <si>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</si>
  <si>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</si>
  <si>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</si>
  <si>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</si>
  <si>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</si>
  <si>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</si>
  <si>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</si>
  <si>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</si>
  <si>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</si>
  <si>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</si>
  <si>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</si>
  <si>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</si>
  <si>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</si>
  <si>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</si>
  <si>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</si>
  <si>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</si>
  <si>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</si>
  <si>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</si>
  <si>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</si>
  <si>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</si>
  <si>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</si>
  <si>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</si>
  <si>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</si>
  <si>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</si>
  <si>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</si>
  <si>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</si>
  <si>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</si>
  <si>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</si>
  <si>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</si>
  <si>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</si>
  <si>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</si>
  <si>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</si>
  <si>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</si>
  <si>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</si>
  <si>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</si>
  <si>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</si>
  <si>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</si>
  <si>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</si>
  <si>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</si>
  <si>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</si>
  <si>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</si>
  <si>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</si>
  <si>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</si>
  <si>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</si>
  <si>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</si>
  <si>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</si>
  <si>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</si>
  <si>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</si>
  <si>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</si>
  <si>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</si>
  <si>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</si>
  <si>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</si>
  <si>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</si>
  <si>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</si>
  <si>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</si>
  <si>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</si>
  <si>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</si>
  <si>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</si>
  <si>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</si>
  <si>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</si>
  <si>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</si>
  <si>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</si>
  <si>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</si>
  <si>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</si>
  <si>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</si>
  <si>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</si>
  <si>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</si>
  <si>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</si>
  <si>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</si>
  <si>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</si>
  <si>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</si>
  <si>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</si>
  <si>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</si>
  <si>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</si>
  <si>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</si>
  <si>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</si>
  <si>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</si>
  <si>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</si>
  <si>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</si>
  <si>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</si>
  <si>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</si>
  <si>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</si>
  <si>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</si>
  <si>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</si>
  <si>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</si>
  <si>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</si>
  <si>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</si>
  <si>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</si>
  <si>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</si>
  <si>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</si>
  <si>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</si>
  <si>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</si>
  <si>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</si>
  <si>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</si>
  <si>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</si>
  <si>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</si>
  <si>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</si>
  <si>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</si>
  <si>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</si>
  <si>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</si>
  <si>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</si>
  <si>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</si>
  <si>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</si>
  <si>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</si>
  <si>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</si>
  <si>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</si>
  <si>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</si>
  <si>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</si>
  <si>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</si>
  <si>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</si>
  <si>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</si>
  <si>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</si>
  <si>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</si>
  <si>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</si>
  <si>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</si>
  <si>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</si>
  <si>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</si>
  <si>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</si>
  <si>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</si>
  <si>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</si>
  <si>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</si>
  <si>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</si>
  <si>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</si>
  <si>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</si>
  <si>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</si>
  <si>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</si>
  <si>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</si>
  <si>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</si>
  <si>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</si>
  <si>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</si>
  <si>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</si>
  <si>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</si>
  <si>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</si>
  <si>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</si>
  <si>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</si>
  <si>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</si>
  <si>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</si>
  <si>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</si>
  <si>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</si>
  <si>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</si>
  <si>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</si>
  <si>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</si>
  <si>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</si>
  <si>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</si>
  <si>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</si>
  <si>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</si>
  <si>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</si>
  <si>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</si>
  <si>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</si>
  <si>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</si>
  <si>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</si>
  <si>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</si>
  <si>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</si>
  <si>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</si>
  <si>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</si>
  <si>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</si>
  <si>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</si>
  <si>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</si>
  <si>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</si>
  <si>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</si>
  <si>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</si>
  <si>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</si>
  <si>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</si>
  <si>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</si>
  <si>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</si>
  <si>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</si>
  <si>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</si>
  <si>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</si>
  <si>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</si>
  <si>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</si>
  <si>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</si>
  <si>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</si>
  <si>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</si>
  <si>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</si>
  <si>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</si>
  <si>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</si>
  <si>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</si>
  <si>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</si>
  <si>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</si>
  <si>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</si>
  <si>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</si>
  <si>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</si>
  <si>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</si>
  <si>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</si>
  <si>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</si>
  <si>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</si>
  <si>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</si>
  <si>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</si>
  <si>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</si>
  <si>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</si>
  <si>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</si>
  <si>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</si>
  <si>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</si>
  <si>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</si>
  <si>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</si>
  <si>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</si>
  <si>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</si>
  <si>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</si>
  <si>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</si>
  <si>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</si>
  <si>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</si>
  <si>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</si>
  <si>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</si>
  <si>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</si>
  <si>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</si>
  <si>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</si>
  <si>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</si>
  <si>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</si>
  <si>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</si>
  <si>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</si>
  <si>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</si>
  <si>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</si>
  <si>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</si>
  <si>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</si>
  <si>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</si>
  <si>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</si>
  <si>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</si>
  <si>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</si>
  <si>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</si>
  <si>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</si>
  <si>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</si>
  <si>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</si>
  <si>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</si>
  <si>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</si>
  <si>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</si>
  <si>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</si>
  <si>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</si>
  <si>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</si>
  <si>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</si>
  <si>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</si>
  <si>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</si>
  <si>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</si>
  <si>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</si>
  <si>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</si>
  <si>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</si>
  <si>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</si>
  <si>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</si>
  <si>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</si>
  <si>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</si>
  <si>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</si>
  <si>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</si>
  <si>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</si>
  <si>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</si>
  <si>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</si>
  <si>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</si>
  <si>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09 năm 2022
Sep 2022</t>
  </si>
  <si>
    <t>Tại ngày 30 tháng 09  năm 2022 
As at 30 Sep 2022</t>
  </si>
  <si>
    <t>Tại ngày 31 tháng 10 năm 2022/ As at 31 Oct 2022</t>
  </si>
  <si>
    <t>Tháng 10 năm 2022/ Oct 2022</t>
  </si>
  <si>
    <t>Tháng 10 năm 2022 / Oct 2022</t>
  </si>
  <si>
    <t>Tại ngày 31 tháng 10  năm2022 
As at 31 Oct 2022</t>
  </si>
  <si>
    <t>Tại ngày 30 tháng 09  năm 2022 
As at 30 Sep 2022</t>
  </si>
  <si>
    <t>Tháng 10 năm 2022
Oct 2022</t>
  </si>
  <si>
    <t>Tại ngày 31 tháng 10 năm 2022 / As at 31 Oct 2022</t>
  </si>
  <si>
    <t>Tháng 10 năm 2021
Oct 2021</t>
  </si>
  <si>
    <t>Tại ngày: 31 tháng 10 năm 2022 / As at 31 Oct 2022</t>
  </si>
  <si>
    <t>Tại ngày 31 tháng 10  năm 2022 
As at 31 Oct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</si>
</sst>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quot;&quot;#,##0"/>
    <numFmt numFmtId="167" formatCode="dd/mmm/yyyy"/>
    <numFmt numFmtId="168" formatCode="_-* #,##0.00&quot; &quot;_₫_-;\-* #,##0.00&quot; &quot;_₫_-;_-* &quot;-&quot;??&quot; &quot;_₫_-;_-@_-"/>
    <numFmt numFmtId="169" formatCode="_(* #,##0_);_(* \(#,##0\);_(* &quot;-&quot;??_);_(@_)"/>
    <numFmt numFmtId="170" formatCode="_-* #,##0.00\ _₫_-;\-* #,##0.00\ _₫_-;_-* &quot;-&quot;??\ _₫_-;_-@_-"/>
    <numFmt numFmtId="171" formatCode="[$-1010000]d/m/yyyy;@"/>
    <numFmt numFmtId="172"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8" fontId="31" fillId="0" borderId="0" applyFont="0" applyFill="0" applyBorder="0" applyAlignment="0" applyProtection="0"/>
    <xf numFmtId="0" fontId="1" fillId="0" borderId="0"/>
    <xf numFmtId="0" fontId="21" fillId="0" borderId="0"/>
  </cellStyleXfs>
  <cellXfs count="327">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4" fontId="13" fillId="6" borderId="0" xfId="0" applyNumberFormat="1" applyFont="1" applyFill="1" applyBorder="1" applyAlignment="1">
      <alignment horizontal="left" vertical="center"/>
    </xf>
    <xf numFmtId="167"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69"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69"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0"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1" fontId="34" fillId="6" borderId="0" xfId="10" applyNumberFormat="1" applyFont="1" applyFill="1" applyAlignment="1">
      <alignment vertical="center" wrapText="1"/>
    </xf>
    <xf numFmtId="0" fontId="33" fillId="6" borderId="0" xfId="10" applyFont="1" applyFill="1" applyBorder="1" applyAlignment="1">
      <alignment vertical="center"/>
    </xf>
    <xf numFmtId="169"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69" fontId="34" fillId="6" borderId="0" xfId="8" applyNumberFormat="1" applyFont="1" applyFill="1" applyBorder="1" applyAlignment="1">
      <alignment horizontal="right" vertical="center" wrapText="1"/>
    </xf>
    <xf numFmtId="169"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69" fontId="34" fillId="6" borderId="0" xfId="8" applyNumberFormat="1" applyFont="1" applyFill="1" applyBorder="1" applyAlignment="1">
      <alignment horizontal="right" vertical="center"/>
    </xf>
    <xf numFmtId="169"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69"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69"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5" fillId="2" borderId="6" xfId="0" applyNumberFormat="1" applyFont="1" applyFill="1" applyBorder="1" applyAlignment="1">
      <alignment horizontal="right"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4" fontId="5" fillId="2" borderId="6" xfId="0" applyNumberFormat="1"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69" fontId="5" fillId="2" borderId="6" xfId="2" applyNumberFormat="1" applyFont="1" applyFill="1" applyBorder="1" applyAlignment="1" applyProtection="1">
      <alignment horizontal="right" vertical="center"/>
    </xf>
    <xf numFmtId="169" fontId="5" fillId="2" borderId="7" xfId="2" applyNumberFormat="1" applyFont="1" applyFill="1" applyBorder="1" applyAlignment="1" applyProtection="1">
      <alignment horizontal="right" vertical="center"/>
    </xf>
    <xf numFmtId="165" fontId="5" fillId="0" borderId="7" xfId="0" applyNumberFormat="1" applyFont="1" applyBorder="1" applyAlignment="1">
      <alignment horizontal="right" vertical="center"/>
    </xf>
    <xf numFmtId="4" fontId="5" fillId="0" borderId="6"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6"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6" fontId="3" fillId="2" borderId="5" xfId="0" applyNumberFormat="1" applyFont="1" applyFill="1" applyBorder="1" applyAlignment="1">
      <alignment horizontal="center" vertical="top"/>
    </xf>
    <xf numFmtId="166" fontId="3" fillId="2" borderId="6" xfId="0" applyNumberFormat="1" applyFont="1" applyFill="1" applyBorder="1" applyAlignment="1">
      <alignment horizontal="left" vertical="top" wrapText="1"/>
    </xf>
    <xf numFmtId="166" fontId="3" fillId="2" borderId="6" xfId="0" applyNumberFormat="1" applyFont="1" applyFill="1" applyBorder="1" applyAlignment="1">
      <alignment horizontal="center" vertical="top"/>
    </xf>
    <xf numFmtId="166" fontId="3" fillId="2" borderId="6" xfId="0" applyNumberFormat="1" applyFont="1" applyFill="1" applyBorder="1" applyAlignment="1">
      <alignment horizontal="right" vertical="top"/>
    </xf>
    <xf numFmtId="166" fontId="3" fillId="2" borderId="7" xfId="0" applyNumberFormat="1" applyFont="1" applyFill="1" applyBorder="1" applyAlignment="1">
      <alignment horizontal="right" vertical="top"/>
    </xf>
    <xf numFmtId="166" fontId="5" fillId="2" borderId="5" xfId="0" applyNumberFormat="1" applyFont="1" applyFill="1" applyBorder="1" applyAlignment="1">
      <alignment horizontal="center" vertical="top"/>
    </xf>
    <xf numFmtId="166" fontId="5" fillId="2" borderId="6" xfId="0" applyNumberFormat="1" applyFont="1" applyFill="1" applyBorder="1" applyAlignment="1">
      <alignment horizontal="left" vertical="top" wrapText="1"/>
    </xf>
    <xf numFmtId="166" fontId="5" fillId="2" borderId="6" xfId="0" applyNumberFormat="1" applyFont="1" applyFill="1" applyBorder="1" applyAlignment="1">
      <alignment horizontal="center" vertical="top"/>
    </xf>
    <xf numFmtId="166" fontId="6" fillId="2" borderId="5" xfId="0" applyNumberFormat="1" applyFont="1" applyFill="1" applyBorder="1" applyAlignment="1">
      <alignment horizontal="center" vertical="top"/>
    </xf>
    <xf numFmtId="166" fontId="6" fillId="2" borderId="6" xfId="0" applyNumberFormat="1" applyFont="1" applyFill="1" applyBorder="1" applyAlignment="1">
      <alignment horizontal="left" vertical="top" wrapText="1"/>
    </xf>
    <xf numFmtId="166" fontId="6" fillId="2" borderId="6" xfId="0" applyNumberFormat="1" applyFont="1" applyFill="1" applyBorder="1" applyAlignment="1">
      <alignment horizontal="center" vertical="top"/>
    </xf>
    <xf numFmtId="169" fontId="5" fillId="2" borderId="6" xfId="2" applyNumberFormat="1" applyFont="1" applyFill="1" applyBorder="1" applyAlignment="1" applyProtection="1">
      <alignment horizontal="right" vertical="top"/>
    </xf>
    <xf numFmtId="169" fontId="5" fillId="2" borderId="7" xfId="2" applyNumberFormat="1" applyFont="1" applyFill="1" applyBorder="1" applyAlignment="1" applyProtection="1">
      <alignment horizontal="right" vertical="top"/>
    </xf>
    <xf numFmtId="166"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166" fontId="5" fillId="2" borderId="8" xfId="0" applyNumberFormat="1" applyFont="1" applyFill="1" applyBorder="1" applyAlignment="1">
      <alignment horizontal="center" vertical="top"/>
    </xf>
    <xf numFmtId="166" fontId="5" fillId="2" borderId="9" xfId="0" applyNumberFormat="1" applyFont="1" applyFill="1" applyBorder="1" applyAlignment="1">
      <alignment horizontal="left" vertical="top" wrapText="1"/>
    </xf>
    <xf numFmtId="166" fontId="5" fillId="2" borderId="9" xfId="0" applyNumberFormat="1" applyFont="1" applyFill="1" applyBorder="1" applyAlignment="1">
      <alignment horizontal="center"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165" fontId="5" fillId="0" borderId="6" xfId="0" applyNumberFormat="1" applyFont="1" applyFill="1" applyBorder="1" applyAlignment="1">
      <alignment horizontal="right" vertical="center"/>
    </xf>
    <xf numFmtId="165" fontId="33" fillId="0" borderId="6"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169" fontId="5" fillId="2" borderId="6" xfId="2" applyNumberFormat="1" applyFont="1" applyFill="1" applyBorder="1" applyAlignment="1">
      <alignment horizontal="right" vertical="top"/>
    </xf>
    <xf numFmtId="4" fontId="29" fillId="0" borderId="0" xfId="0" applyNumberFormat="1" applyFont="1"/>
    <xf numFmtId="169" fontId="5" fillId="2" borderId="7" xfId="2" applyNumberFormat="1" applyFont="1" applyFill="1" applyBorder="1" applyAlignment="1">
      <alignment horizontal="right" vertical="top"/>
    </xf>
    <xf numFmtId="169" fontId="3" fillId="2" borderId="6" xfId="2" applyNumberFormat="1" applyFont="1" applyFill="1" applyBorder="1" applyAlignment="1">
      <alignment horizontal="right" vertical="center"/>
    </xf>
    <xf numFmtId="169" fontId="3" fillId="2" borderId="7" xfId="2" applyNumberFormat="1" applyFont="1" applyFill="1" applyBorder="1" applyAlignment="1">
      <alignment horizontal="right" vertical="center"/>
    </xf>
    <xf numFmtId="169" fontId="5" fillId="2" borderId="6" xfId="2" applyNumberFormat="1" applyFont="1" applyFill="1" applyBorder="1" applyAlignment="1">
      <alignment horizontal="right" vertical="center"/>
    </xf>
    <xf numFmtId="169" fontId="5" fillId="2" borderId="7" xfId="2" applyNumberFormat="1" applyFont="1" applyFill="1" applyBorder="1" applyAlignment="1">
      <alignment horizontal="right" vertical="center"/>
    </xf>
    <xf numFmtId="169" fontId="6" fillId="2" borderId="6" xfId="2" applyNumberFormat="1" applyFont="1" applyFill="1" applyBorder="1" applyAlignment="1">
      <alignment horizontal="right" vertical="center"/>
    </xf>
    <xf numFmtId="169" fontId="6" fillId="2" borderId="7" xfId="2" applyNumberFormat="1" applyFont="1" applyFill="1" applyBorder="1" applyAlignment="1">
      <alignment horizontal="right" vertical="center"/>
    </xf>
    <xf numFmtId="169" fontId="3" fillId="2" borderId="9" xfId="2" applyNumberFormat="1" applyFont="1" applyFill="1" applyBorder="1" applyAlignment="1">
      <alignment horizontal="right" vertical="center"/>
    </xf>
    <xf numFmtId="169" fontId="3" fillId="2" borderId="10" xfId="2" applyNumberFormat="1" applyFont="1" applyFill="1" applyBorder="1" applyAlignment="1">
      <alignment horizontal="right" vertical="center"/>
    </xf>
    <xf numFmtId="169" fontId="5" fillId="2" borderId="9" xfId="2" applyNumberFormat="1" applyFont="1" applyFill="1" applyBorder="1" applyAlignment="1">
      <alignment horizontal="right" vertical="center"/>
    </xf>
    <xf numFmtId="169" fontId="5" fillId="2" borderId="10" xfId="2" applyNumberFormat="1" applyFont="1" applyFill="1" applyBorder="1" applyAlignment="1">
      <alignment horizontal="right" vertical="center"/>
    </xf>
    <xf numFmtId="43" fontId="3" fillId="2" borderId="6" xfId="2" applyFont="1" applyFill="1" applyBorder="1" applyAlignment="1">
      <alignment horizontal="right" vertical="top"/>
    </xf>
    <xf numFmtId="43" fontId="3" fillId="2" borderId="7" xfId="2" applyFont="1" applyFill="1" applyBorder="1" applyAlignment="1">
      <alignment horizontal="right" vertical="top"/>
    </xf>
    <xf numFmtId="169" fontId="3" fillId="2" borderId="6" xfId="2" applyNumberFormat="1" applyFont="1" applyFill="1" applyBorder="1" applyAlignment="1">
      <alignment horizontal="right" vertical="top"/>
    </xf>
    <xf numFmtId="169" fontId="3" fillId="2" borderId="7" xfId="2" applyNumberFormat="1" applyFont="1" applyFill="1" applyBorder="1" applyAlignment="1">
      <alignment horizontal="right" vertical="top"/>
    </xf>
    <xf numFmtId="169" fontId="6" fillId="2" borderId="6" xfId="2" applyNumberFormat="1" applyFont="1" applyFill="1" applyBorder="1" applyAlignment="1">
      <alignment horizontal="right" vertical="top"/>
    </xf>
    <xf numFmtId="169" fontId="6" fillId="2" borderId="7" xfId="2" applyNumberFormat="1" applyFont="1" applyFill="1" applyBorder="1" applyAlignment="1">
      <alignment horizontal="right" vertical="top"/>
    </xf>
    <xf numFmtId="169" fontId="5" fillId="2" borderId="9" xfId="2" applyNumberFormat="1" applyFont="1" applyFill="1" applyBorder="1" applyAlignment="1">
      <alignment horizontal="right" vertical="top"/>
    </xf>
    <xf numFmtId="169" fontId="5" fillId="2" borderId="10" xfId="2" applyNumberFormat="1" applyFont="1" applyFill="1" applyBorder="1" applyAlignment="1">
      <alignment horizontal="right" vertical="top"/>
    </xf>
    <xf numFmtId="43" fontId="3" fillId="2" borderId="9" xfId="2" applyFont="1" applyFill="1" applyBorder="1" applyAlignment="1">
      <alignment horizontal="right" vertical="top"/>
    </xf>
    <xf numFmtId="43" fontId="3" fillId="2" borderId="10" xfId="2" applyFont="1" applyFill="1" applyBorder="1" applyAlignment="1">
      <alignment horizontal="right" vertical="top"/>
    </xf>
    <xf numFmtId="0" fontId="13" fillId="5" borderId="25" xfId="0" applyFont="1" applyFill="1" applyBorder="1" applyAlignment="1">
      <alignment horizontal="left" wrapText="1"/>
    </xf>
    <xf numFmtId="0" fontId="15" fillId="5" borderId="25" xfId="0" applyFont="1" applyFill="1" applyBorder="1" applyAlignment="1">
      <alignment horizontal="left"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172" fontId="18" fillId="4" borderId="21" xfId="4" applyNumberFormat="1" applyFont="1" applyFill="1" applyBorder="1" applyAlignment="1" applyProtection="1">
      <alignment horizontal="left" vertical="top"/>
    </xf>
    <xf numFmtId="0" fontId="13" fillId="5" borderId="0" xfId="0" applyFont="1" applyFill="1" applyAlignment="1">
      <alignment horizontal="left"/>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top"/>
    </xf>
    <xf numFmtId="0" fontId="5" fillId="2" borderId="0" xfId="0" applyFont="1" applyFill="1" applyAlignment="1">
      <alignment horizontal="center" vertical="center"/>
    </xf>
    <xf numFmtId="0" fontId="3" fillId="2" borderId="0" xfId="0" applyFont="1" applyFill="1" applyAlignment="1">
      <alignment horizontal="center" vertical="center" wrapText="1"/>
    </xf>
    <xf numFmtId="0" fontId="5" fillId="2" borderId="0" xfId="0" applyFont="1" applyFill="1" applyAlignment="1">
      <alignment horizontal="left" vertical="top"/>
    </xf>
    <xf numFmtId="0" fontId="3" fillId="2" borderId="0" xfId="0" applyFont="1" applyFill="1" applyAlignment="1">
      <alignment horizontal="left" vertical="top"/>
    </xf>
    <xf numFmtId="14" fontId="32" fillId="6" borderId="0" xfId="0" applyNumberFormat="1" applyFont="1" applyFill="1" applyBorder="1" applyAlignment="1">
      <alignment horizontal="left" vertical="center"/>
    </xf>
    <xf numFmtId="172"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69"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1"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5" fillId="2" borderId="6" xfId="0" applyFont="1" applyFill="1" applyBorder="1" applyAlignment="1">
      <alignment horizontal="left" vertical="center" wrapText="1"/>
    </xf>
    <xf numFmtId="0" fontId="5" fillId="2" borderId="9"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6" fillId="2" borderId="0" xfId="0" applyFont="1" applyFill="1" applyAlignment="1">
      <alignment horizontal="right" vertical="center"/>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6" fillId="2" borderId="0" xfId="0" applyFont="1" applyFill="1" applyAlignment="1">
      <alignment horizontal="center" vertical="top" wrapText="1"/>
    </xf>
    <xf numFmtId="0" fontId="6" fillId="2" borderId="0" xfId="0" applyFont="1" applyFill="1" applyAlignment="1">
      <alignment horizontal="center" vertical="top"/>
    </xf>
    <xf numFmtId="0" fontId="3" fillId="2" borderId="0" xfId="0" applyFont="1" applyFill="1" applyAlignment="1">
      <alignment horizontal="center" vertical="top" wrapText="1"/>
    </xf>
    <xf numFmtId="0" fontId="3" fillId="2" borderId="0" xfId="0" applyFont="1" applyFill="1" applyAlignment="1">
      <alignment horizontal="right" vertical="center" wrapText="1"/>
    </xf>
    <xf numFmtId="0" fontId="4" fillId="2" borderId="0" xfId="0" applyFont="1" applyFill="1" applyAlignment="1">
      <alignment horizontal="center" vertical="top"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F15" sqref="F15"/>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51" t="s">
        <v>976</v>
      </c>
      <c r="B1" s="251"/>
    </row>
    <row r="2" spans="1:10" ht="15.75" customHeight="1" x14ac:dyDescent="0.25">
      <c r="C2" s="252" t="s">
        <v>1060</v>
      </c>
      <c r="D2" s="253"/>
      <c r="E2" s="254"/>
    </row>
    <row r="3" spans="1:10" ht="15.75" customHeight="1" x14ac:dyDescent="0.25">
      <c r="A3" s="4"/>
      <c r="B3" s="4"/>
      <c r="C3" s="255" t="s">
        <v>1061</v>
      </c>
      <c r="D3" s="256"/>
      <c r="E3" s="257"/>
    </row>
    <row r="4" spans="1:10" x14ac:dyDescent="0.25">
      <c r="A4" s="5"/>
      <c r="B4" s="5"/>
    </row>
    <row r="5" spans="1:10" ht="15.75" x14ac:dyDescent="0.25">
      <c r="A5" s="241" t="s">
        <v>977</v>
      </c>
      <c r="B5" s="241"/>
      <c r="E5" s="6"/>
      <c r="F5" s="6"/>
      <c r="G5" s="6"/>
      <c r="H5" s="6"/>
      <c r="I5" s="6"/>
    </row>
    <row r="6" spans="1:10" ht="15.75" x14ac:dyDescent="0.25">
      <c r="A6" s="4"/>
      <c r="B6" s="4"/>
      <c r="C6" s="258" t="s">
        <v>9</v>
      </c>
      <c r="D6" s="259"/>
      <c r="E6" s="7" t="s">
        <v>978</v>
      </c>
      <c r="F6" s="8"/>
      <c r="G6" s="8"/>
      <c r="H6" s="8"/>
      <c r="I6" s="9"/>
    </row>
    <row r="7" spans="1:10" ht="15.75" x14ac:dyDescent="0.25">
      <c r="A7" s="4"/>
      <c r="B7" s="4"/>
      <c r="C7" s="249" t="s">
        <v>11</v>
      </c>
      <c r="D7" s="250"/>
      <c r="E7" s="10" t="s">
        <v>12</v>
      </c>
      <c r="F7" s="11"/>
      <c r="G7" s="11"/>
      <c r="H7" s="11"/>
      <c r="I7" s="12"/>
      <c r="J7" s="13"/>
    </row>
    <row r="8" spans="1:10" ht="15.75" x14ac:dyDescent="0.25">
      <c r="A8" s="4"/>
      <c r="B8" s="4"/>
      <c r="C8" s="247" t="s">
        <v>14</v>
      </c>
      <c r="D8" s="248"/>
      <c r="E8" s="14" t="s">
        <v>979</v>
      </c>
      <c r="F8" s="15"/>
      <c r="G8" s="15"/>
      <c r="H8" s="15"/>
      <c r="I8" s="16"/>
      <c r="J8" s="13"/>
    </row>
    <row r="9" spans="1:10" ht="15.75" x14ac:dyDescent="0.25">
      <c r="A9" s="4"/>
      <c r="B9" s="4"/>
      <c r="C9" s="249" t="s">
        <v>980</v>
      </c>
      <c r="D9" s="250"/>
      <c r="E9" s="10" t="s">
        <v>614</v>
      </c>
      <c r="F9" s="11"/>
      <c r="G9" s="11"/>
      <c r="H9" s="11"/>
      <c r="I9" s="12"/>
      <c r="J9" s="13"/>
    </row>
    <row r="10" spans="1:10" ht="15.75" x14ac:dyDescent="0.25">
      <c r="A10" s="4"/>
      <c r="B10" s="4"/>
      <c r="C10" s="247" t="s">
        <v>387</v>
      </c>
      <c r="D10" s="248"/>
      <c r="E10" s="14" t="s">
        <v>981</v>
      </c>
      <c r="F10" s="15"/>
      <c r="G10" s="15"/>
      <c r="H10" s="15"/>
      <c r="I10" s="16"/>
      <c r="J10" s="13"/>
    </row>
    <row r="11" spans="1:10" ht="15.75" x14ac:dyDescent="0.25">
      <c r="A11" s="4"/>
      <c r="B11" s="4"/>
      <c r="C11" s="249" t="s">
        <v>982</v>
      </c>
      <c r="D11" s="250"/>
      <c r="E11" s="10" t="s">
        <v>983</v>
      </c>
      <c r="F11" s="11"/>
      <c r="G11" s="11"/>
      <c r="H11" s="11"/>
      <c r="I11" s="12"/>
      <c r="J11" s="13"/>
    </row>
    <row r="12" spans="1:10" ht="15.75" x14ac:dyDescent="0.25">
      <c r="A12" s="4"/>
      <c r="B12" s="4"/>
      <c r="C12" s="247" t="s">
        <v>19</v>
      </c>
      <c r="D12" s="248"/>
      <c r="E12" s="17">
        <v>44869</v>
      </c>
      <c r="F12" s="15"/>
      <c r="G12" s="15"/>
      <c r="H12" s="15"/>
      <c r="I12" s="16"/>
      <c r="J12" s="13"/>
    </row>
    <row r="13" spans="1:10" ht="15.75" x14ac:dyDescent="0.25">
      <c r="A13" s="4"/>
      <c r="B13" s="4"/>
      <c r="C13" s="245" t="s">
        <v>20</v>
      </c>
      <c r="D13" s="246"/>
      <c r="E13" s="240">
        <f>+E12</f>
        <v>44869</v>
      </c>
      <c r="F13" s="240"/>
      <c r="G13" s="240"/>
      <c r="H13" s="240"/>
      <c r="I13" s="18"/>
      <c r="J13" s="13"/>
    </row>
    <row r="14" spans="1:10" ht="15.75" x14ac:dyDescent="0.25">
      <c r="C14" s="6"/>
      <c r="D14" s="19"/>
      <c r="E14" s="6"/>
      <c r="F14" s="6"/>
      <c r="G14" s="6"/>
      <c r="H14" s="6"/>
      <c r="I14" s="6"/>
      <c r="J14" s="6"/>
    </row>
    <row r="15" spans="1:10" ht="15.75" x14ac:dyDescent="0.25">
      <c r="A15" s="241" t="s">
        <v>984</v>
      </c>
      <c r="B15" s="241"/>
      <c r="E15" s="6"/>
      <c r="F15" s="6"/>
      <c r="G15" s="6"/>
      <c r="H15" s="6"/>
      <c r="I15" s="6"/>
      <c r="J15" s="6"/>
    </row>
    <row r="16" spans="1:10" ht="15.75" x14ac:dyDescent="0.25">
      <c r="C16" s="242" t="s">
        <v>166</v>
      </c>
      <c r="D16" s="243"/>
      <c r="E16" s="244"/>
      <c r="G16" s="242" t="s">
        <v>985</v>
      </c>
      <c r="H16" s="243"/>
      <c r="I16" s="244"/>
    </row>
    <row r="17" spans="1:9" ht="15.75" x14ac:dyDescent="0.25">
      <c r="A17" s="6"/>
      <c r="B17" s="6"/>
      <c r="C17" s="227" t="s">
        <v>168</v>
      </c>
      <c r="D17" s="228"/>
      <c r="E17" s="229"/>
      <c r="G17" s="227" t="s">
        <v>169</v>
      </c>
      <c r="H17" s="228"/>
      <c r="I17" s="229"/>
    </row>
    <row r="18" spans="1:9" ht="15.75" x14ac:dyDescent="0.25">
      <c r="A18" s="6"/>
      <c r="B18" s="6"/>
      <c r="C18" s="227"/>
      <c r="D18" s="228"/>
      <c r="E18" s="229"/>
      <c r="G18" s="230"/>
      <c r="H18" s="231"/>
      <c r="I18" s="232"/>
    </row>
    <row r="19" spans="1:9" ht="27" customHeight="1" x14ac:dyDescent="0.25">
      <c r="A19" s="6"/>
      <c r="B19" s="6"/>
      <c r="C19" s="227"/>
      <c r="D19" s="228"/>
      <c r="E19" s="229"/>
      <c r="G19" s="230"/>
      <c r="H19" s="231"/>
      <c r="I19" s="232"/>
    </row>
    <row r="20" spans="1:9" ht="15.75" x14ac:dyDescent="0.25">
      <c r="A20" s="6"/>
      <c r="B20" s="6"/>
      <c r="C20" s="227"/>
      <c r="D20" s="228"/>
      <c r="E20" s="229"/>
      <c r="G20" s="230"/>
      <c r="H20" s="231"/>
      <c r="I20" s="232"/>
    </row>
    <row r="21" spans="1:9" ht="15.75" x14ac:dyDescent="0.25">
      <c r="A21" s="6"/>
      <c r="B21" s="6"/>
      <c r="C21" s="227"/>
      <c r="D21" s="228"/>
      <c r="E21" s="229"/>
      <c r="G21" s="230"/>
      <c r="H21" s="231"/>
      <c r="I21" s="232"/>
    </row>
    <row r="22" spans="1:9" ht="15.75" x14ac:dyDescent="0.25">
      <c r="A22" s="6"/>
      <c r="B22" s="6"/>
      <c r="C22" s="227"/>
      <c r="D22" s="228"/>
      <c r="E22" s="229"/>
      <c r="G22" s="230"/>
      <c r="H22" s="231"/>
      <c r="I22" s="232"/>
    </row>
    <row r="23" spans="1:9" ht="15.75" x14ac:dyDescent="0.25">
      <c r="A23" s="6"/>
      <c r="B23" s="6"/>
      <c r="C23" s="227"/>
      <c r="D23" s="228"/>
      <c r="E23" s="229"/>
      <c r="G23" s="230"/>
      <c r="H23" s="231"/>
      <c r="I23" s="232"/>
    </row>
    <row r="24" spans="1:9" ht="15.75" x14ac:dyDescent="0.25">
      <c r="A24" s="6"/>
      <c r="B24" s="6"/>
      <c r="C24" s="233" t="s">
        <v>979</v>
      </c>
      <c r="D24" s="234"/>
      <c r="E24" s="235"/>
      <c r="G24" s="233" t="s">
        <v>978</v>
      </c>
      <c r="H24" s="234"/>
      <c r="I24" s="235"/>
    </row>
    <row r="25" spans="1:9" ht="15.75" x14ac:dyDescent="0.25">
      <c r="A25" s="6"/>
      <c r="B25" s="6"/>
      <c r="C25" s="233" t="s">
        <v>319</v>
      </c>
      <c r="D25" s="234"/>
      <c r="E25" s="235"/>
      <c r="G25" s="233" t="s">
        <v>173</v>
      </c>
      <c r="H25" s="234"/>
      <c r="I25" s="235"/>
    </row>
    <row r="26" spans="1:9" ht="15.75" x14ac:dyDescent="0.25">
      <c r="A26" s="6"/>
      <c r="B26" s="6"/>
      <c r="C26" s="236" t="s">
        <v>986</v>
      </c>
      <c r="D26" s="237"/>
      <c r="E26" s="238"/>
      <c r="G26" s="236" t="s">
        <v>987</v>
      </c>
      <c r="H26" s="237"/>
      <c r="I26" s="238"/>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159</v>
      </c>
      <c r="D29" s="239" t="s">
        <v>988</v>
      </c>
      <c r="E29" s="239"/>
      <c r="F29" s="239"/>
      <c r="G29" s="239"/>
      <c r="H29" s="23" t="s">
        <v>989</v>
      </c>
      <c r="I29" s="21"/>
    </row>
    <row r="30" spans="1:9" ht="15.75" x14ac:dyDescent="0.25">
      <c r="A30" s="6"/>
      <c r="B30" s="6"/>
      <c r="C30" s="22" t="s">
        <v>990</v>
      </c>
      <c r="D30" s="239" t="s">
        <v>991</v>
      </c>
      <c r="E30" s="239"/>
      <c r="F30" s="239"/>
      <c r="G30" s="239"/>
      <c r="H30" s="23"/>
      <c r="I30" s="21"/>
    </row>
    <row r="31" spans="1:9" ht="15.75" x14ac:dyDescent="0.25">
      <c r="A31" s="6"/>
      <c r="B31" s="6"/>
      <c r="C31" s="24" t="s">
        <v>992</v>
      </c>
      <c r="D31" s="226" t="s">
        <v>993</v>
      </c>
      <c r="E31" s="226"/>
      <c r="F31" s="226"/>
      <c r="G31" s="226"/>
      <c r="H31" s="25" t="s">
        <v>994</v>
      </c>
      <c r="I31" s="21"/>
    </row>
    <row r="32" spans="1:9" ht="15.75" x14ac:dyDescent="0.25">
      <c r="A32" s="6"/>
      <c r="B32" s="6"/>
      <c r="C32" s="24" t="s">
        <v>995</v>
      </c>
      <c r="D32" s="226" t="s">
        <v>996</v>
      </c>
      <c r="E32" s="226"/>
      <c r="F32" s="226"/>
      <c r="G32" s="226"/>
      <c r="H32" s="25" t="s">
        <v>997</v>
      </c>
      <c r="I32" s="21"/>
    </row>
    <row r="33" spans="1:9" ht="15.75" x14ac:dyDescent="0.25">
      <c r="A33" s="6"/>
      <c r="B33" s="6"/>
      <c r="C33" s="24" t="s">
        <v>998</v>
      </c>
      <c r="D33" s="226" t="s">
        <v>999</v>
      </c>
      <c r="E33" s="226"/>
      <c r="F33" s="226"/>
      <c r="G33" s="226"/>
      <c r="H33" s="25" t="s">
        <v>1000</v>
      </c>
      <c r="I33" s="21"/>
    </row>
    <row r="34" spans="1:9" ht="15.75" x14ac:dyDescent="0.25">
      <c r="A34" s="6"/>
      <c r="B34" s="6"/>
      <c r="C34" s="24" t="s">
        <v>1001</v>
      </c>
      <c r="D34" s="226" t="s">
        <v>1002</v>
      </c>
      <c r="E34" s="226"/>
      <c r="F34" s="226"/>
      <c r="G34" s="226"/>
      <c r="H34" s="25" t="s">
        <v>1003</v>
      </c>
      <c r="I34" s="21"/>
    </row>
    <row r="35" spans="1:9" ht="15.75" x14ac:dyDescent="0.25">
      <c r="A35" s="6"/>
      <c r="B35" s="6"/>
      <c r="C35" s="24" t="s">
        <v>1004</v>
      </c>
      <c r="D35" s="226" t="s">
        <v>1005</v>
      </c>
      <c r="E35" s="226"/>
      <c r="F35" s="226"/>
      <c r="G35" s="226"/>
      <c r="H35" s="25" t="s">
        <v>1006</v>
      </c>
      <c r="I35" s="21"/>
    </row>
    <row r="36" spans="1:9" ht="15.75" x14ac:dyDescent="0.25">
      <c r="A36" s="6"/>
      <c r="B36" s="6"/>
      <c r="C36" s="24" t="s">
        <v>1007</v>
      </c>
      <c r="D36" s="226" t="s">
        <v>1008</v>
      </c>
      <c r="E36" s="226"/>
      <c r="F36" s="226"/>
      <c r="G36" s="226"/>
      <c r="H36" s="26" t="s">
        <v>1009</v>
      </c>
      <c r="I36" s="21"/>
    </row>
    <row r="37" spans="1:9" ht="15.75" x14ac:dyDescent="0.25">
      <c r="A37" s="6"/>
      <c r="B37" s="6"/>
      <c r="C37" s="24" t="s">
        <v>1010</v>
      </c>
      <c r="D37" s="226" t="s">
        <v>1011</v>
      </c>
      <c r="E37" s="226"/>
      <c r="F37" s="226"/>
      <c r="G37" s="226"/>
      <c r="H37" s="27" t="s">
        <v>1012</v>
      </c>
      <c r="I37" s="21"/>
    </row>
    <row r="38" spans="1:9" ht="15.75" x14ac:dyDescent="0.25">
      <c r="A38" s="6"/>
      <c r="B38" s="6"/>
      <c r="C38" s="24" t="s">
        <v>1013</v>
      </c>
      <c r="D38" s="226" t="s">
        <v>1014</v>
      </c>
      <c r="E38" s="226"/>
      <c r="F38" s="226"/>
      <c r="G38" s="226"/>
      <c r="H38" s="27" t="s">
        <v>1012</v>
      </c>
      <c r="I38" s="21"/>
    </row>
    <row r="39" spans="1:9" ht="15.75" x14ac:dyDescent="0.25">
      <c r="A39" s="6"/>
      <c r="B39" s="6"/>
      <c r="C39" s="22" t="s">
        <v>1015</v>
      </c>
      <c r="D39" s="225" t="s">
        <v>1016</v>
      </c>
      <c r="E39" s="225"/>
      <c r="F39" s="225"/>
      <c r="G39" s="225"/>
      <c r="H39" s="27" t="s">
        <v>1012</v>
      </c>
      <c r="I39" s="21"/>
    </row>
    <row r="40" spans="1:9" ht="15.75" x14ac:dyDescent="0.25">
      <c r="A40" s="6"/>
      <c r="B40" s="6"/>
      <c r="C40" s="24">
        <v>6</v>
      </c>
      <c r="D40" s="226" t="s">
        <v>1017</v>
      </c>
      <c r="E40" s="226"/>
      <c r="F40" s="226"/>
      <c r="G40" s="226"/>
      <c r="H40" s="25" t="s">
        <v>1018</v>
      </c>
      <c r="I40" s="21"/>
    </row>
    <row r="41" spans="1:9" ht="15.75" x14ac:dyDescent="0.25">
      <c r="A41" s="6"/>
      <c r="B41" s="6"/>
      <c r="C41" s="24">
        <v>7</v>
      </c>
      <c r="D41" s="226" t="s">
        <v>1019</v>
      </c>
      <c r="E41" s="226"/>
      <c r="F41" s="226"/>
      <c r="G41" s="226"/>
      <c r="H41" s="25" t="s">
        <v>1020</v>
      </c>
      <c r="I41" s="21"/>
    </row>
    <row r="42" spans="1:9" ht="15.75" x14ac:dyDescent="0.25">
      <c r="A42" s="6"/>
      <c r="B42" s="6"/>
      <c r="C42" s="24">
        <v>8</v>
      </c>
      <c r="D42" s="226" t="s">
        <v>1021</v>
      </c>
      <c r="E42" s="226"/>
      <c r="F42" s="226"/>
      <c r="G42" s="226"/>
      <c r="H42" s="28" t="s">
        <v>1022</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7" zoomScaleNormal="100" zoomScaleSheetLayoutView="100" workbookViewId="0">
      <selection activeCell="D22" sqref="D22"/>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1.140625" style="87" customWidth="1"/>
    <col min="7" max="16384" width="9.140625" style="87"/>
  </cols>
  <sheetData>
    <row r="1" spans="1:6" ht="36" customHeight="1" x14ac:dyDescent="0.15">
      <c r="A1" s="264"/>
      <c r="B1" s="264"/>
      <c r="C1" s="86"/>
      <c r="D1" s="263" t="s">
        <v>0</v>
      </c>
      <c r="E1" s="263"/>
      <c r="F1" s="263"/>
    </row>
    <row r="2" spans="1:6" ht="27.75" customHeight="1" x14ac:dyDescent="0.15">
      <c r="A2" s="271" t="s">
        <v>1</v>
      </c>
      <c r="B2" s="271"/>
      <c r="C2" s="271"/>
      <c r="D2" s="271"/>
      <c r="E2" s="271"/>
      <c r="F2" s="271"/>
    </row>
    <row r="3" spans="1:6" ht="7.5" customHeight="1" x14ac:dyDescent="0.15">
      <c r="A3" s="88"/>
      <c r="B3" s="88"/>
      <c r="C3" s="88"/>
      <c r="D3" s="88"/>
      <c r="E3" s="88"/>
      <c r="F3" s="88"/>
    </row>
    <row r="4" spans="1:6" ht="27" customHeight="1" x14ac:dyDescent="0.15">
      <c r="A4" s="272" t="s">
        <v>386</v>
      </c>
      <c r="B4" s="272"/>
      <c r="C4" s="272"/>
      <c r="D4" s="272"/>
      <c r="E4" s="272"/>
      <c r="F4" s="272"/>
    </row>
    <row r="5" spans="1:6" ht="18" customHeight="1" x14ac:dyDescent="0.15">
      <c r="A5" s="261" t="s">
        <v>1062</v>
      </c>
      <c r="B5" s="261"/>
      <c r="C5" s="261"/>
      <c r="D5" s="261"/>
      <c r="E5" s="261"/>
      <c r="F5" s="261"/>
    </row>
    <row r="6" spans="1:6" ht="12.75" customHeight="1" x14ac:dyDescent="0.15">
      <c r="A6" s="89" t="s">
        <v>3</v>
      </c>
      <c r="B6" s="90" t="s">
        <v>387</v>
      </c>
      <c r="C6" s="265" t="s">
        <v>5</v>
      </c>
      <c r="D6" s="265"/>
      <c r="E6" s="265"/>
      <c r="F6" s="265"/>
    </row>
    <row r="7" spans="1:6" ht="12.75" customHeight="1" x14ac:dyDescent="0.15">
      <c r="A7" s="88"/>
      <c r="B7" s="88" t="s">
        <v>6</v>
      </c>
      <c r="C7" s="264" t="s">
        <v>7</v>
      </c>
      <c r="D7" s="264"/>
      <c r="E7" s="264"/>
      <c r="F7" s="264"/>
    </row>
    <row r="8" spans="1:6" ht="12.75" customHeight="1" x14ac:dyDescent="0.15">
      <c r="A8" s="89" t="s">
        <v>8</v>
      </c>
      <c r="B8" s="90" t="s">
        <v>9</v>
      </c>
      <c r="C8" s="265" t="s">
        <v>10</v>
      </c>
      <c r="D8" s="265"/>
      <c r="E8" s="265"/>
      <c r="F8" s="265"/>
    </row>
    <row r="9" spans="1:6" ht="12.75" customHeight="1" x14ac:dyDescent="0.15">
      <c r="A9" s="88"/>
      <c r="B9" s="88" t="s">
        <v>11</v>
      </c>
      <c r="C9" s="264" t="s">
        <v>12</v>
      </c>
      <c r="D9" s="264"/>
      <c r="E9" s="264"/>
      <c r="F9" s="264"/>
    </row>
    <row r="10" spans="1:6" ht="12.75" customHeight="1" x14ac:dyDescent="0.15">
      <c r="A10" s="89" t="s">
        <v>13</v>
      </c>
      <c r="B10" s="90" t="s">
        <v>176</v>
      </c>
      <c r="C10" s="265" t="s">
        <v>15</v>
      </c>
      <c r="D10" s="265"/>
      <c r="E10" s="265"/>
      <c r="F10" s="265"/>
    </row>
    <row r="11" spans="1:6" ht="12.75" customHeight="1" x14ac:dyDescent="0.15">
      <c r="A11" s="88"/>
      <c r="B11" s="88" t="s">
        <v>16</v>
      </c>
      <c r="C11" s="264" t="s">
        <v>17</v>
      </c>
      <c r="D11" s="264"/>
      <c r="E11" s="264"/>
      <c r="F11" s="264"/>
    </row>
    <row r="12" spans="1:6" ht="12.75" customHeight="1" x14ac:dyDescent="0.15">
      <c r="A12" s="89" t="s">
        <v>18</v>
      </c>
      <c r="B12" s="90" t="s">
        <v>19</v>
      </c>
      <c r="C12" s="266">
        <f>+TONGQUAN!E12</f>
        <v>44869</v>
      </c>
      <c r="D12" s="266"/>
      <c r="E12" s="266"/>
      <c r="F12" s="266"/>
    </row>
    <row r="13" spans="1:6" ht="12.75" customHeight="1" x14ac:dyDescent="0.15">
      <c r="A13" s="88"/>
      <c r="B13" s="88" t="s">
        <v>20</v>
      </c>
      <c r="C13" s="267">
        <f>+C12</f>
        <v>44869</v>
      </c>
      <c r="D13" s="267"/>
      <c r="E13" s="267"/>
      <c r="F13" s="267"/>
    </row>
    <row r="14" spans="1:6" ht="12.75" customHeight="1" x14ac:dyDescent="0.15">
      <c r="A14" s="88"/>
      <c r="B14" s="88"/>
      <c r="C14" s="88"/>
      <c r="D14" s="88"/>
      <c r="E14" s="88"/>
      <c r="F14" s="88"/>
    </row>
    <row r="15" spans="1:6" ht="12.75" customHeight="1" x14ac:dyDescent="0.15">
      <c r="A15" s="268" t="s">
        <v>177</v>
      </c>
      <c r="B15" s="268"/>
      <c r="C15" s="268"/>
      <c r="D15" s="268"/>
      <c r="E15" s="268"/>
      <c r="F15" s="268"/>
    </row>
    <row r="16" spans="1:6" ht="12.75" customHeight="1" x14ac:dyDescent="0.15">
      <c r="A16" s="265" t="s">
        <v>388</v>
      </c>
      <c r="B16" s="265"/>
      <c r="C16" s="265"/>
      <c r="D16" s="265"/>
      <c r="E16" s="265"/>
      <c r="F16" s="265"/>
    </row>
    <row r="17" spans="1:6" ht="12.75" customHeight="1" x14ac:dyDescent="0.15">
      <c r="A17" s="91"/>
      <c r="B17" s="92"/>
      <c r="C17" s="91"/>
      <c r="D17" s="91"/>
      <c r="E17" s="269" t="s">
        <v>23</v>
      </c>
      <c r="F17" s="269"/>
    </row>
    <row r="18" spans="1:6" ht="42" x14ac:dyDescent="0.15">
      <c r="A18" s="93" t="s">
        <v>179</v>
      </c>
      <c r="B18" s="94" t="s">
        <v>180</v>
      </c>
      <c r="C18" s="94" t="s">
        <v>26</v>
      </c>
      <c r="D18" s="94" t="s">
        <v>1063</v>
      </c>
      <c r="E18" s="94" t="s">
        <v>1064</v>
      </c>
      <c r="F18" s="95" t="s">
        <v>389</v>
      </c>
    </row>
    <row r="19" spans="1:6" ht="23.1" customHeight="1" x14ac:dyDescent="0.15">
      <c r="A19" s="96" t="s">
        <v>31</v>
      </c>
      <c r="B19" s="97" t="s">
        <v>390</v>
      </c>
      <c r="C19" s="98" t="s">
        <v>391</v>
      </c>
      <c r="D19" s="205">
        <v>0</v>
      </c>
      <c r="E19" s="205">
        <v>0</v>
      </c>
      <c r="F19" s="100">
        <v>0</v>
      </c>
    </row>
    <row r="20" spans="1:6" ht="23.1" customHeight="1" x14ac:dyDescent="0.15">
      <c r="A20" s="96" t="s">
        <v>392</v>
      </c>
      <c r="B20" s="97" t="s">
        <v>393</v>
      </c>
      <c r="C20" s="98" t="s">
        <v>394</v>
      </c>
      <c r="D20" s="207">
        <v>75581000747</v>
      </c>
      <c r="E20" s="207">
        <v>68206701649</v>
      </c>
      <c r="F20" s="100">
        <v>0.24440000000000001</v>
      </c>
    </row>
    <row r="21" spans="1:6" ht="23.1" customHeight="1" x14ac:dyDescent="0.15">
      <c r="A21" s="96"/>
      <c r="B21" s="97" t="s">
        <v>137</v>
      </c>
      <c r="C21" s="98" t="s">
        <v>395</v>
      </c>
      <c r="D21" s="207">
        <v>0</v>
      </c>
      <c r="E21" s="207">
        <v>0</v>
      </c>
      <c r="F21" s="100">
        <v>0</v>
      </c>
    </row>
    <row r="22" spans="1:6" ht="23.1" customHeight="1" x14ac:dyDescent="0.15">
      <c r="A22" s="96"/>
      <c r="B22" s="97" t="s">
        <v>396</v>
      </c>
      <c r="C22" s="98" t="s">
        <v>397</v>
      </c>
      <c r="D22" s="207">
        <v>75581000747</v>
      </c>
      <c r="E22" s="207">
        <v>68206701649</v>
      </c>
      <c r="F22" s="100">
        <v>0.24440000000000001</v>
      </c>
    </row>
    <row r="23" spans="1:6" ht="33" customHeight="1" x14ac:dyDescent="0.15">
      <c r="A23" s="96"/>
      <c r="B23" s="97" t="s">
        <v>398</v>
      </c>
      <c r="C23" s="98" t="s">
        <v>399</v>
      </c>
      <c r="D23" s="209">
        <v>0</v>
      </c>
      <c r="E23" s="209">
        <v>0</v>
      </c>
      <c r="F23" s="100">
        <v>0</v>
      </c>
    </row>
    <row r="24" spans="1:6" ht="33" customHeight="1" x14ac:dyDescent="0.15">
      <c r="A24" s="96"/>
      <c r="B24" s="97" t="s">
        <v>400</v>
      </c>
      <c r="C24" s="98" t="s">
        <v>401</v>
      </c>
      <c r="D24" s="209">
        <v>0</v>
      </c>
      <c r="E24" s="209">
        <v>0</v>
      </c>
      <c r="F24" s="100">
        <v>0</v>
      </c>
    </row>
    <row r="25" spans="1:6" ht="23.1" customHeight="1" x14ac:dyDescent="0.15">
      <c r="A25" s="96"/>
      <c r="B25" s="97" t="s">
        <v>402</v>
      </c>
      <c r="C25" s="98" t="s">
        <v>403</v>
      </c>
      <c r="D25" s="209">
        <v>75581000747</v>
      </c>
      <c r="E25" s="209">
        <v>68206701649</v>
      </c>
      <c r="F25" s="100">
        <v>0.24440000000000001</v>
      </c>
    </row>
    <row r="26" spans="1:6" ht="33" customHeight="1" x14ac:dyDescent="0.15">
      <c r="A26" s="96"/>
      <c r="B26" s="97" t="s">
        <v>404</v>
      </c>
      <c r="C26" s="98" t="s">
        <v>405</v>
      </c>
      <c r="D26" s="209">
        <v>0</v>
      </c>
      <c r="E26" s="209">
        <v>0</v>
      </c>
      <c r="F26" s="100">
        <v>0</v>
      </c>
    </row>
    <row r="27" spans="1:6" ht="23.1" customHeight="1" x14ac:dyDescent="0.15">
      <c r="A27" s="96"/>
      <c r="B27" s="97" t="s">
        <v>406</v>
      </c>
      <c r="C27" s="98" t="s">
        <v>407</v>
      </c>
      <c r="D27" s="209">
        <v>0</v>
      </c>
      <c r="E27" s="209">
        <v>0</v>
      </c>
      <c r="F27" s="100">
        <v>0</v>
      </c>
    </row>
    <row r="28" spans="1:6" ht="23.1" customHeight="1" x14ac:dyDescent="0.15">
      <c r="A28" s="96"/>
      <c r="B28" s="97" t="s">
        <v>408</v>
      </c>
      <c r="C28" s="98" t="s">
        <v>409</v>
      </c>
      <c r="D28" s="207">
        <v>0</v>
      </c>
      <c r="E28" s="207">
        <v>0</v>
      </c>
      <c r="F28" s="100">
        <v>0</v>
      </c>
    </row>
    <row r="29" spans="1:6" ht="23.1" customHeight="1" x14ac:dyDescent="0.15">
      <c r="A29" s="96" t="s">
        <v>410</v>
      </c>
      <c r="B29" s="97" t="s">
        <v>411</v>
      </c>
      <c r="C29" s="98" t="s">
        <v>412</v>
      </c>
      <c r="D29" s="207">
        <v>14662764834800</v>
      </c>
      <c r="E29" s="207">
        <v>15235133382000</v>
      </c>
      <c r="F29" s="100">
        <v>1.1825000000000001</v>
      </c>
    </row>
    <row r="30" spans="1:6" ht="23.1" customHeight="1" x14ac:dyDescent="0.15">
      <c r="A30" s="96"/>
      <c r="B30" s="97" t="s">
        <v>413</v>
      </c>
      <c r="C30" s="98" t="s">
        <v>414</v>
      </c>
      <c r="D30" s="207">
        <v>14662764834800</v>
      </c>
      <c r="E30" s="207">
        <v>15235133382000</v>
      </c>
      <c r="F30" s="100">
        <v>1.1825000000000001</v>
      </c>
    </row>
    <row r="31" spans="1:6" ht="23.1" customHeight="1" x14ac:dyDescent="0.15">
      <c r="A31" s="96"/>
      <c r="B31" s="97" t="s">
        <v>415</v>
      </c>
      <c r="C31" s="98" t="s">
        <v>416</v>
      </c>
      <c r="D31" s="207">
        <v>0</v>
      </c>
      <c r="E31" s="207">
        <v>0</v>
      </c>
      <c r="F31" s="100">
        <v>0</v>
      </c>
    </row>
    <row r="32" spans="1:6" ht="23.1" customHeight="1" x14ac:dyDescent="0.15">
      <c r="A32" s="96"/>
      <c r="B32" s="97" t="s">
        <v>417</v>
      </c>
      <c r="C32" s="98" t="s">
        <v>418</v>
      </c>
      <c r="D32" s="207">
        <v>0</v>
      </c>
      <c r="E32" s="207">
        <v>0</v>
      </c>
      <c r="F32" s="100">
        <v>0</v>
      </c>
    </row>
    <row r="33" spans="1:6" ht="23.1" customHeight="1" x14ac:dyDescent="0.15">
      <c r="A33" s="96"/>
      <c r="B33" s="97" t="s">
        <v>419</v>
      </c>
      <c r="C33" s="98" t="s">
        <v>420</v>
      </c>
      <c r="D33" s="207">
        <v>0</v>
      </c>
      <c r="E33" s="207">
        <v>0</v>
      </c>
      <c r="F33" s="100">
        <v>0</v>
      </c>
    </row>
    <row r="34" spans="1:6" ht="23.1" customHeight="1" x14ac:dyDescent="0.15">
      <c r="A34" s="96"/>
      <c r="B34" s="97" t="s">
        <v>421</v>
      </c>
      <c r="C34" s="98" t="s">
        <v>422</v>
      </c>
      <c r="D34" s="207">
        <v>0</v>
      </c>
      <c r="E34" s="207">
        <v>0</v>
      </c>
      <c r="F34" s="100">
        <v>0</v>
      </c>
    </row>
    <row r="35" spans="1:6" ht="23.1" customHeight="1" x14ac:dyDescent="0.15">
      <c r="A35" s="96"/>
      <c r="B35" s="97" t="s">
        <v>423</v>
      </c>
      <c r="C35" s="98" t="s">
        <v>424</v>
      </c>
      <c r="D35" s="207">
        <v>0</v>
      </c>
      <c r="E35" s="207">
        <v>0</v>
      </c>
      <c r="F35" s="100">
        <v>0</v>
      </c>
    </row>
    <row r="36" spans="1:6" ht="23.1" customHeight="1" x14ac:dyDescent="0.15">
      <c r="A36" s="96"/>
      <c r="B36" s="97" t="s">
        <v>425</v>
      </c>
      <c r="C36" s="98" t="s">
        <v>426</v>
      </c>
      <c r="D36" s="207">
        <v>0</v>
      </c>
      <c r="E36" s="207">
        <v>0</v>
      </c>
      <c r="F36" s="100">
        <v>0</v>
      </c>
    </row>
    <row r="37" spans="1:6" ht="23.1" customHeight="1" x14ac:dyDescent="0.15">
      <c r="A37" s="96"/>
      <c r="B37" s="97" t="s">
        <v>427</v>
      </c>
      <c r="C37" s="98" t="s">
        <v>428</v>
      </c>
      <c r="D37" s="207">
        <v>0</v>
      </c>
      <c r="E37" s="207">
        <v>0</v>
      </c>
      <c r="F37" s="100">
        <v>0</v>
      </c>
    </row>
    <row r="38" spans="1:6" ht="44.1" customHeight="1" x14ac:dyDescent="0.15">
      <c r="A38" s="96" t="s">
        <v>429</v>
      </c>
      <c r="B38" s="97" t="s">
        <v>430</v>
      </c>
      <c r="C38" s="98"/>
      <c r="D38" s="207">
        <v>0</v>
      </c>
      <c r="E38" s="207">
        <v>0</v>
      </c>
      <c r="F38" s="100">
        <v>0</v>
      </c>
    </row>
    <row r="39" spans="1:6" ht="23.1" customHeight="1" x14ac:dyDescent="0.15">
      <c r="A39" s="96" t="s">
        <v>431</v>
      </c>
      <c r="B39" s="97" t="s">
        <v>432</v>
      </c>
      <c r="C39" s="98" t="s">
        <v>433</v>
      </c>
      <c r="D39" s="207">
        <v>17742422400</v>
      </c>
      <c r="E39" s="207">
        <v>0</v>
      </c>
      <c r="F39" s="100">
        <v>0</v>
      </c>
    </row>
    <row r="40" spans="1:6" ht="23.1" customHeight="1" x14ac:dyDescent="0.15">
      <c r="A40" s="96"/>
      <c r="B40" s="97" t="s">
        <v>434</v>
      </c>
      <c r="C40" s="98" t="s">
        <v>435</v>
      </c>
      <c r="D40" s="207">
        <v>17742422400</v>
      </c>
      <c r="E40" s="207">
        <v>0</v>
      </c>
      <c r="F40" s="100">
        <v>0</v>
      </c>
    </row>
    <row r="41" spans="1:6" ht="23.1" customHeight="1" x14ac:dyDescent="0.15">
      <c r="A41" s="96"/>
      <c r="B41" s="97" t="s">
        <v>436</v>
      </c>
      <c r="C41" s="98" t="s">
        <v>437</v>
      </c>
      <c r="D41" s="207">
        <v>0</v>
      </c>
      <c r="E41" s="207">
        <v>0</v>
      </c>
      <c r="F41" s="100">
        <v>0</v>
      </c>
    </row>
    <row r="42" spans="1:6" ht="23.1" customHeight="1" x14ac:dyDescent="0.15">
      <c r="A42" s="96" t="s">
        <v>438</v>
      </c>
      <c r="B42" s="97" t="s">
        <v>439</v>
      </c>
      <c r="C42" s="98" t="s">
        <v>440</v>
      </c>
      <c r="D42" s="207">
        <v>0</v>
      </c>
      <c r="E42" s="207">
        <v>0</v>
      </c>
      <c r="F42" s="100">
        <v>0</v>
      </c>
    </row>
    <row r="43" spans="1:6" ht="33" customHeight="1" x14ac:dyDescent="0.15">
      <c r="A43" s="96"/>
      <c r="B43" s="97" t="s">
        <v>441</v>
      </c>
      <c r="C43" s="98" t="s">
        <v>442</v>
      </c>
      <c r="D43" s="207">
        <v>0</v>
      </c>
      <c r="E43" s="207">
        <v>0</v>
      </c>
      <c r="F43" s="100">
        <v>0</v>
      </c>
    </row>
    <row r="44" spans="1:6" ht="33" customHeight="1" x14ac:dyDescent="0.15">
      <c r="A44" s="96"/>
      <c r="B44" s="97" t="s">
        <v>443</v>
      </c>
      <c r="C44" s="98" t="s">
        <v>444</v>
      </c>
      <c r="D44" s="207">
        <v>0</v>
      </c>
      <c r="E44" s="207">
        <v>0</v>
      </c>
      <c r="F44" s="100">
        <v>0</v>
      </c>
    </row>
    <row r="45" spans="1:6" ht="23.1" customHeight="1" x14ac:dyDescent="0.15">
      <c r="A45" s="96"/>
      <c r="B45" s="97" t="s">
        <v>445</v>
      </c>
      <c r="C45" s="98" t="s">
        <v>446</v>
      </c>
      <c r="D45" s="207">
        <v>0</v>
      </c>
      <c r="E45" s="207">
        <v>0</v>
      </c>
      <c r="F45" s="100">
        <v>0</v>
      </c>
    </row>
    <row r="46" spans="1:6" ht="23.1" customHeight="1" x14ac:dyDescent="0.15">
      <c r="A46" s="96" t="s">
        <v>447</v>
      </c>
      <c r="B46" s="97" t="s">
        <v>448</v>
      </c>
      <c r="C46" s="98" t="s">
        <v>449</v>
      </c>
      <c r="D46" s="207">
        <v>0</v>
      </c>
      <c r="E46" s="207">
        <v>0</v>
      </c>
      <c r="F46" s="100">
        <v>0</v>
      </c>
    </row>
    <row r="47" spans="1:6" ht="23.1" customHeight="1" x14ac:dyDescent="0.15">
      <c r="A47" s="96" t="s">
        <v>450</v>
      </c>
      <c r="B47" s="97" t="s">
        <v>451</v>
      </c>
      <c r="C47" s="98" t="s">
        <v>452</v>
      </c>
      <c r="D47" s="207">
        <v>22658360000</v>
      </c>
      <c r="E47" s="207">
        <v>0</v>
      </c>
      <c r="F47" s="100">
        <v>3.9699999999999999E-2</v>
      </c>
    </row>
    <row r="48" spans="1:6" ht="23.1" customHeight="1" x14ac:dyDescent="0.15">
      <c r="A48" s="96" t="s">
        <v>453</v>
      </c>
      <c r="B48" s="97" t="s">
        <v>454</v>
      </c>
      <c r="C48" s="98" t="s">
        <v>455</v>
      </c>
      <c r="D48" s="207">
        <v>0</v>
      </c>
      <c r="E48" s="207">
        <v>0</v>
      </c>
      <c r="F48" s="100">
        <v>0</v>
      </c>
    </row>
    <row r="49" spans="1:6" ht="23.1" customHeight="1" x14ac:dyDescent="0.15">
      <c r="A49" s="96"/>
      <c r="B49" s="97" t="s">
        <v>456</v>
      </c>
      <c r="C49" s="98" t="s">
        <v>457</v>
      </c>
      <c r="D49" s="207">
        <v>0</v>
      </c>
      <c r="E49" s="207">
        <v>0</v>
      </c>
      <c r="F49" s="100">
        <v>0</v>
      </c>
    </row>
    <row r="50" spans="1:6" ht="23.1" customHeight="1" x14ac:dyDescent="0.15">
      <c r="A50" s="96"/>
      <c r="B50" s="97" t="s">
        <v>458</v>
      </c>
      <c r="C50" s="98" t="s">
        <v>459</v>
      </c>
      <c r="D50" s="207">
        <v>0</v>
      </c>
      <c r="E50" s="207">
        <v>0</v>
      </c>
      <c r="F50" s="100">
        <v>0</v>
      </c>
    </row>
    <row r="51" spans="1:6" ht="23.1" customHeight="1" x14ac:dyDescent="0.15">
      <c r="A51" s="96"/>
      <c r="B51" s="97" t="s">
        <v>460</v>
      </c>
      <c r="C51" s="98" t="s">
        <v>461</v>
      </c>
      <c r="D51" s="207">
        <v>0</v>
      </c>
      <c r="E51" s="207">
        <v>0</v>
      </c>
      <c r="F51" s="100">
        <v>0</v>
      </c>
    </row>
    <row r="52" spans="1:6" ht="23.1" customHeight="1" x14ac:dyDescent="0.15">
      <c r="A52" s="96" t="s">
        <v>462</v>
      </c>
      <c r="B52" s="97" t="s">
        <v>463</v>
      </c>
      <c r="C52" s="98" t="s">
        <v>464</v>
      </c>
      <c r="D52" s="207">
        <v>0</v>
      </c>
      <c r="E52" s="207">
        <v>0</v>
      </c>
      <c r="F52" s="100">
        <v>0</v>
      </c>
    </row>
    <row r="53" spans="1:6" ht="23.1" customHeight="1" x14ac:dyDescent="0.15">
      <c r="A53" s="96"/>
      <c r="B53" s="97" t="s">
        <v>465</v>
      </c>
      <c r="C53" s="98" t="s">
        <v>466</v>
      </c>
      <c r="D53" s="207">
        <v>0</v>
      </c>
      <c r="E53" s="207">
        <v>0</v>
      </c>
      <c r="F53" s="100">
        <v>0</v>
      </c>
    </row>
    <row r="54" spans="1:6" ht="23.1" customHeight="1" x14ac:dyDescent="0.15">
      <c r="A54" s="96"/>
      <c r="B54" s="97" t="s">
        <v>467</v>
      </c>
      <c r="C54" s="98" t="s">
        <v>468</v>
      </c>
      <c r="D54" s="207">
        <v>0</v>
      </c>
      <c r="E54" s="207">
        <v>0</v>
      </c>
      <c r="F54" s="100">
        <v>0</v>
      </c>
    </row>
    <row r="55" spans="1:6" ht="23.1" customHeight="1" x14ac:dyDescent="0.15">
      <c r="A55" s="96"/>
      <c r="B55" s="97" t="s">
        <v>469</v>
      </c>
      <c r="C55" s="98" t="s">
        <v>470</v>
      </c>
      <c r="D55" s="207">
        <v>0</v>
      </c>
      <c r="E55" s="207">
        <v>0</v>
      </c>
      <c r="F55" s="100">
        <v>0</v>
      </c>
    </row>
    <row r="56" spans="1:6" ht="23.1" customHeight="1" x14ac:dyDescent="0.15">
      <c r="A56" s="96"/>
      <c r="B56" s="97" t="s">
        <v>471</v>
      </c>
      <c r="C56" s="98" t="s">
        <v>472</v>
      </c>
      <c r="D56" s="207">
        <v>0</v>
      </c>
      <c r="E56" s="207">
        <v>0</v>
      </c>
      <c r="F56" s="100">
        <v>0</v>
      </c>
    </row>
    <row r="57" spans="1:6" ht="44.1" customHeight="1" x14ac:dyDescent="0.15">
      <c r="A57" s="96"/>
      <c r="B57" s="97" t="s">
        <v>473</v>
      </c>
      <c r="C57" s="98" t="s">
        <v>474</v>
      </c>
      <c r="D57" s="207">
        <v>0</v>
      </c>
      <c r="E57" s="207">
        <v>0</v>
      </c>
      <c r="F57" s="100">
        <v>0</v>
      </c>
    </row>
    <row r="58" spans="1:6" ht="23.1" customHeight="1" x14ac:dyDescent="0.15">
      <c r="A58" s="96" t="s">
        <v>475</v>
      </c>
      <c r="B58" s="97" t="s">
        <v>476</v>
      </c>
      <c r="C58" s="98" t="s">
        <v>477</v>
      </c>
      <c r="D58" s="205">
        <v>14778746617947</v>
      </c>
      <c r="E58" s="205">
        <v>15303340083649</v>
      </c>
      <c r="F58" s="100">
        <v>1.1129</v>
      </c>
    </row>
    <row r="59" spans="1:6" ht="23.1" customHeight="1" x14ac:dyDescent="0.15">
      <c r="A59" s="96" t="s">
        <v>33</v>
      </c>
      <c r="B59" s="97" t="s">
        <v>478</v>
      </c>
      <c r="C59" s="98" t="s">
        <v>479</v>
      </c>
      <c r="D59" s="205">
        <v>0</v>
      </c>
      <c r="E59" s="205">
        <v>0</v>
      </c>
      <c r="F59" s="100">
        <v>0</v>
      </c>
    </row>
    <row r="60" spans="1:6" ht="33" customHeight="1" x14ac:dyDescent="0.15">
      <c r="A60" s="96" t="s">
        <v>480</v>
      </c>
      <c r="B60" s="97" t="s">
        <v>481</v>
      </c>
      <c r="C60" s="98"/>
      <c r="D60" s="207">
        <v>0</v>
      </c>
      <c r="E60" s="207">
        <v>0</v>
      </c>
      <c r="F60" s="100">
        <v>0</v>
      </c>
    </row>
    <row r="61" spans="1:6" ht="23.1" customHeight="1" x14ac:dyDescent="0.15">
      <c r="A61" s="96" t="s">
        <v>482</v>
      </c>
      <c r="B61" s="97" t="s">
        <v>483</v>
      </c>
      <c r="C61" s="98" t="s">
        <v>484</v>
      </c>
      <c r="D61" s="207">
        <v>20619730000</v>
      </c>
      <c r="E61" s="207">
        <v>0</v>
      </c>
      <c r="F61" s="100">
        <v>9.0300000000000005E-2</v>
      </c>
    </row>
    <row r="62" spans="1:6" ht="23.1" customHeight="1" x14ac:dyDescent="0.15">
      <c r="A62" s="96" t="s">
        <v>485</v>
      </c>
      <c r="B62" s="97" t="s">
        <v>486</v>
      </c>
      <c r="C62" s="98" t="s">
        <v>487</v>
      </c>
      <c r="D62" s="207">
        <v>19083496777</v>
      </c>
      <c r="E62" s="207">
        <v>18899079641</v>
      </c>
      <c r="F62" s="100">
        <v>1.2526999999999999</v>
      </c>
    </row>
    <row r="63" spans="1:6" ht="23.1" customHeight="1" x14ac:dyDescent="0.15">
      <c r="A63" s="96"/>
      <c r="B63" s="97" t="s">
        <v>488</v>
      </c>
      <c r="C63" s="98" t="s">
        <v>489</v>
      </c>
      <c r="D63" s="207">
        <v>2222395000</v>
      </c>
      <c r="E63" s="207">
        <v>270626232</v>
      </c>
      <c r="F63" s="100">
        <v>0</v>
      </c>
    </row>
    <row r="64" spans="1:6" ht="23.1" customHeight="1" x14ac:dyDescent="0.15">
      <c r="A64" s="96"/>
      <c r="B64" s="97" t="s">
        <v>490</v>
      </c>
      <c r="C64" s="98" t="s">
        <v>491</v>
      </c>
      <c r="D64" s="209">
        <v>2222395000</v>
      </c>
      <c r="E64" s="209">
        <v>0</v>
      </c>
      <c r="F64" s="100">
        <v>0</v>
      </c>
    </row>
    <row r="65" spans="1:6" ht="23.1" customHeight="1" x14ac:dyDescent="0.15">
      <c r="A65" s="96"/>
      <c r="B65" s="97" t="s">
        <v>492</v>
      </c>
      <c r="C65" s="98" t="s">
        <v>493</v>
      </c>
      <c r="D65" s="209">
        <v>0</v>
      </c>
      <c r="E65" s="209">
        <v>0</v>
      </c>
      <c r="F65" s="100">
        <v>0</v>
      </c>
    </row>
    <row r="66" spans="1:6" ht="33" customHeight="1" x14ac:dyDescent="0.15">
      <c r="A66" s="96"/>
      <c r="B66" s="97" t="s">
        <v>494</v>
      </c>
      <c r="C66" s="98" t="s">
        <v>495</v>
      </c>
      <c r="D66" s="209">
        <v>0</v>
      </c>
      <c r="E66" s="209">
        <v>270626232</v>
      </c>
      <c r="F66" s="100">
        <v>0</v>
      </c>
    </row>
    <row r="67" spans="1:6" ht="33" customHeight="1" x14ac:dyDescent="0.15">
      <c r="A67" s="96"/>
      <c r="B67" s="97" t="s">
        <v>496</v>
      </c>
      <c r="C67" s="98" t="s">
        <v>497</v>
      </c>
      <c r="D67" s="207">
        <v>0</v>
      </c>
      <c r="E67" s="207">
        <v>0</v>
      </c>
      <c r="F67" s="100">
        <v>0</v>
      </c>
    </row>
    <row r="68" spans="1:6" ht="44.1" customHeight="1" x14ac:dyDescent="0.15">
      <c r="A68" s="96"/>
      <c r="B68" s="97" t="s">
        <v>498</v>
      </c>
      <c r="C68" s="98" t="s">
        <v>499</v>
      </c>
      <c r="D68" s="207">
        <v>0</v>
      </c>
      <c r="E68" s="207">
        <v>0</v>
      </c>
      <c r="F68" s="100">
        <v>0</v>
      </c>
    </row>
    <row r="69" spans="1:6" ht="44.1" customHeight="1" x14ac:dyDescent="0.15">
      <c r="A69" s="96"/>
      <c r="B69" s="97" t="s">
        <v>500</v>
      </c>
      <c r="C69" s="98" t="s">
        <v>501</v>
      </c>
      <c r="D69" s="209">
        <v>0</v>
      </c>
      <c r="E69" s="209">
        <v>0</v>
      </c>
      <c r="F69" s="100">
        <v>0</v>
      </c>
    </row>
    <row r="70" spans="1:6" ht="44.1" customHeight="1" x14ac:dyDescent="0.15">
      <c r="A70" s="96"/>
      <c r="B70" s="97" t="s">
        <v>502</v>
      </c>
      <c r="C70" s="98" t="s">
        <v>503</v>
      </c>
      <c r="D70" s="209">
        <v>0</v>
      </c>
      <c r="E70" s="209">
        <v>0</v>
      </c>
      <c r="F70" s="100">
        <v>0</v>
      </c>
    </row>
    <row r="71" spans="1:6" ht="23.1" customHeight="1" x14ac:dyDescent="0.15">
      <c r="A71" s="96"/>
      <c r="B71" s="97" t="s">
        <v>504</v>
      </c>
      <c r="C71" s="98" t="s">
        <v>505</v>
      </c>
      <c r="D71" s="207">
        <v>0</v>
      </c>
      <c r="E71" s="207">
        <v>0</v>
      </c>
      <c r="F71" s="100">
        <v>0</v>
      </c>
    </row>
    <row r="72" spans="1:6" ht="33" customHeight="1" x14ac:dyDescent="0.15">
      <c r="A72" s="96"/>
      <c r="B72" s="97" t="s">
        <v>506</v>
      </c>
      <c r="C72" s="98" t="s">
        <v>507</v>
      </c>
      <c r="D72" s="207">
        <v>15744847</v>
      </c>
      <c r="E72" s="207">
        <v>15106991</v>
      </c>
      <c r="F72" s="100">
        <v>0.95450000000000002</v>
      </c>
    </row>
    <row r="73" spans="1:6" ht="23.1" customHeight="1" x14ac:dyDescent="0.15">
      <c r="A73" s="96"/>
      <c r="B73" s="97" t="s">
        <v>508</v>
      </c>
      <c r="C73" s="98" t="s">
        <v>509</v>
      </c>
      <c r="D73" s="207">
        <v>9887510103</v>
      </c>
      <c r="E73" s="207">
        <v>10991279304</v>
      </c>
      <c r="F73" s="100">
        <v>1.1539999999999999</v>
      </c>
    </row>
    <row r="74" spans="1:6" ht="23.1" customHeight="1" x14ac:dyDescent="0.15">
      <c r="A74" s="96"/>
      <c r="B74" s="97" t="s">
        <v>510</v>
      </c>
      <c r="C74" s="98" t="s">
        <v>511</v>
      </c>
      <c r="D74" s="207">
        <v>271906528</v>
      </c>
      <c r="E74" s="207">
        <v>302260181</v>
      </c>
      <c r="F74" s="100">
        <v>1.1539999999999999</v>
      </c>
    </row>
    <row r="75" spans="1:6" ht="23.1" customHeight="1" x14ac:dyDescent="0.15">
      <c r="A75" s="96"/>
      <c r="B75" s="97" t="s">
        <v>512</v>
      </c>
      <c r="C75" s="98" t="s">
        <v>513</v>
      </c>
      <c r="D75" s="207">
        <v>543813054</v>
      </c>
      <c r="E75" s="207">
        <v>604520362</v>
      </c>
      <c r="F75" s="100">
        <v>1.1539999999999999</v>
      </c>
    </row>
    <row r="76" spans="1:6" ht="23.1" customHeight="1" x14ac:dyDescent="0.15">
      <c r="A76" s="96"/>
      <c r="B76" s="97" t="s">
        <v>514</v>
      </c>
      <c r="C76" s="98" t="s">
        <v>515</v>
      </c>
      <c r="D76" s="207">
        <v>33987540</v>
      </c>
      <c r="E76" s="207">
        <v>0</v>
      </c>
      <c r="F76" s="100">
        <v>3.4099999999999998E-2</v>
      </c>
    </row>
    <row r="77" spans="1:6" ht="23.1" customHeight="1" x14ac:dyDescent="0.15">
      <c r="A77" s="96"/>
      <c r="B77" s="97" t="s">
        <v>516</v>
      </c>
      <c r="C77" s="98" t="s">
        <v>517</v>
      </c>
      <c r="D77" s="209">
        <v>33987540</v>
      </c>
      <c r="E77" s="209">
        <v>0</v>
      </c>
      <c r="F77" s="100">
        <v>3.4099999999999998E-2</v>
      </c>
    </row>
    <row r="78" spans="1:6" ht="23.1" customHeight="1" x14ac:dyDescent="0.15">
      <c r="A78" s="96"/>
      <c r="B78" s="97" t="s">
        <v>518</v>
      </c>
      <c r="C78" s="98" t="s">
        <v>519</v>
      </c>
      <c r="D78" s="209">
        <v>0</v>
      </c>
      <c r="E78" s="209">
        <v>0</v>
      </c>
      <c r="F78" s="100">
        <v>0</v>
      </c>
    </row>
    <row r="79" spans="1:6" ht="23.1" customHeight="1" x14ac:dyDescent="0.15">
      <c r="A79" s="96"/>
      <c r="B79" s="97" t="s">
        <v>520</v>
      </c>
      <c r="C79" s="98" t="s">
        <v>521</v>
      </c>
      <c r="D79" s="207">
        <v>262887753</v>
      </c>
      <c r="E79" s="207">
        <v>275581983</v>
      </c>
      <c r="F79" s="100">
        <v>1.1831</v>
      </c>
    </row>
    <row r="80" spans="1:6" ht="23.1" customHeight="1" x14ac:dyDescent="0.15">
      <c r="A80" s="96"/>
      <c r="B80" s="97" t="s">
        <v>522</v>
      </c>
      <c r="C80" s="98" t="s">
        <v>523</v>
      </c>
      <c r="D80" s="209">
        <v>247187753</v>
      </c>
      <c r="E80" s="209">
        <v>274781983</v>
      </c>
      <c r="F80" s="100">
        <v>1.1539999999999999</v>
      </c>
    </row>
    <row r="81" spans="1:6" ht="23.1" customHeight="1" x14ac:dyDescent="0.15">
      <c r="A81" s="96"/>
      <c r="B81" s="97" t="s">
        <v>524</v>
      </c>
      <c r="C81" s="98" t="s">
        <v>525</v>
      </c>
      <c r="D81" s="209">
        <v>15700000</v>
      </c>
      <c r="E81" s="209">
        <v>800000</v>
      </c>
      <c r="F81" s="100">
        <v>1.9624999999999999</v>
      </c>
    </row>
    <row r="82" spans="1:6" ht="23.1" customHeight="1" x14ac:dyDescent="0.15">
      <c r="A82" s="96"/>
      <c r="B82" s="97" t="s">
        <v>215</v>
      </c>
      <c r="C82" s="98" t="s">
        <v>526</v>
      </c>
      <c r="D82" s="209">
        <v>0</v>
      </c>
      <c r="E82" s="209">
        <v>0</v>
      </c>
      <c r="F82" s="100">
        <v>0</v>
      </c>
    </row>
    <row r="83" spans="1:6" ht="44.1" customHeight="1" x14ac:dyDescent="0.15">
      <c r="A83" s="96"/>
      <c r="B83" s="97" t="s">
        <v>219</v>
      </c>
      <c r="C83" s="98" t="s">
        <v>527</v>
      </c>
      <c r="D83" s="209">
        <v>0</v>
      </c>
      <c r="E83" s="209">
        <v>0</v>
      </c>
      <c r="F83" s="100">
        <v>0</v>
      </c>
    </row>
    <row r="84" spans="1:6" ht="23.1" customHeight="1" x14ac:dyDescent="0.15">
      <c r="A84" s="96"/>
      <c r="B84" s="97" t="s">
        <v>528</v>
      </c>
      <c r="C84" s="98" t="s">
        <v>529</v>
      </c>
      <c r="D84" s="207">
        <v>105503320</v>
      </c>
      <c r="E84" s="207">
        <v>75267289</v>
      </c>
      <c r="F84" s="100">
        <v>1.4212</v>
      </c>
    </row>
    <row r="85" spans="1:6" ht="23.1" customHeight="1" x14ac:dyDescent="0.15">
      <c r="A85" s="96"/>
      <c r="B85" s="97" t="s">
        <v>530</v>
      </c>
      <c r="C85" s="98" t="s">
        <v>531</v>
      </c>
      <c r="D85" s="207">
        <v>0</v>
      </c>
      <c r="E85" s="207">
        <v>0</v>
      </c>
      <c r="F85" s="100">
        <v>0</v>
      </c>
    </row>
    <row r="86" spans="1:6" ht="23.1" customHeight="1" x14ac:dyDescent="0.15">
      <c r="A86" s="96"/>
      <c r="B86" s="97" t="s">
        <v>532</v>
      </c>
      <c r="C86" s="98" t="s">
        <v>533</v>
      </c>
      <c r="D86" s="207">
        <v>0</v>
      </c>
      <c r="E86" s="207">
        <v>0</v>
      </c>
      <c r="F86" s="100">
        <v>0</v>
      </c>
    </row>
    <row r="87" spans="1:6" ht="23.1" customHeight="1" x14ac:dyDescent="0.15">
      <c r="A87" s="96"/>
      <c r="B87" s="97" t="s">
        <v>534</v>
      </c>
      <c r="C87" s="98" t="s">
        <v>535</v>
      </c>
      <c r="D87" s="207">
        <v>5500000</v>
      </c>
      <c r="E87" s="207">
        <v>16500000</v>
      </c>
      <c r="F87" s="100">
        <v>1</v>
      </c>
    </row>
    <row r="88" spans="1:6" ht="44.1" customHeight="1" x14ac:dyDescent="0.15">
      <c r="A88" s="96"/>
      <c r="B88" s="97" t="s">
        <v>536</v>
      </c>
      <c r="C88" s="98" t="s">
        <v>537</v>
      </c>
      <c r="D88" s="207">
        <v>2805060170</v>
      </c>
      <c r="E88" s="207">
        <v>2187090787</v>
      </c>
      <c r="F88" s="100">
        <v>1.2773000000000001</v>
      </c>
    </row>
    <row r="89" spans="1:6" ht="33" customHeight="1" x14ac:dyDescent="0.15">
      <c r="A89" s="96"/>
      <c r="B89" s="97" t="s">
        <v>538</v>
      </c>
      <c r="C89" s="98" t="s">
        <v>539</v>
      </c>
      <c r="D89" s="207">
        <v>2244048137</v>
      </c>
      <c r="E89" s="207">
        <v>1749672633</v>
      </c>
      <c r="F89" s="100">
        <v>1.2773000000000001</v>
      </c>
    </row>
    <row r="90" spans="1:6" ht="23.1" customHeight="1" x14ac:dyDescent="0.15">
      <c r="A90" s="96"/>
      <c r="B90" s="97" t="s">
        <v>540</v>
      </c>
      <c r="C90" s="98" t="s">
        <v>541</v>
      </c>
      <c r="D90" s="207">
        <v>679766320</v>
      </c>
      <c r="E90" s="207">
        <v>2405799874</v>
      </c>
      <c r="F90" s="100">
        <v>0.98909999999999998</v>
      </c>
    </row>
    <row r="91" spans="1:6" ht="23.1" customHeight="1" x14ac:dyDescent="0.15">
      <c r="A91" s="96"/>
      <c r="B91" s="97" t="s">
        <v>542</v>
      </c>
      <c r="C91" s="98" t="s">
        <v>543</v>
      </c>
      <c r="D91" s="207">
        <v>5374005</v>
      </c>
      <c r="E91" s="207">
        <v>5374005</v>
      </c>
      <c r="F91" s="100">
        <v>1</v>
      </c>
    </row>
    <row r="92" spans="1:6" ht="23.1" customHeight="1" x14ac:dyDescent="0.15">
      <c r="A92" s="96"/>
      <c r="B92" s="97" t="s">
        <v>544</v>
      </c>
      <c r="C92" s="98" t="s">
        <v>545</v>
      </c>
      <c r="D92" s="209">
        <v>0</v>
      </c>
      <c r="E92" s="209">
        <v>0</v>
      </c>
      <c r="F92" s="100">
        <v>0</v>
      </c>
    </row>
    <row r="93" spans="1:6" ht="33" customHeight="1" x14ac:dyDescent="0.15">
      <c r="A93" s="96"/>
      <c r="B93" s="97" t="s">
        <v>546</v>
      </c>
      <c r="C93" s="98" t="s">
        <v>547</v>
      </c>
      <c r="D93" s="209">
        <v>0</v>
      </c>
      <c r="E93" s="209">
        <v>0</v>
      </c>
      <c r="F93" s="100">
        <v>0</v>
      </c>
    </row>
    <row r="94" spans="1:6" ht="23.1" customHeight="1" x14ac:dyDescent="0.15">
      <c r="A94" s="96"/>
      <c r="B94" s="97" t="s">
        <v>548</v>
      </c>
      <c r="C94" s="98" t="s">
        <v>549</v>
      </c>
      <c r="D94" s="209">
        <v>5374005</v>
      </c>
      <c r="E94" s="209">
        <v>5374005</v>
      </c>
      <c r="F94" s="100">
        <v>1</v>
      </c>
    </row>
    <row r="95" spans="1:6" ht="23.1" customHeight="1" x14ac:dyDescent="0.15">
      <c r="A95" s="96"/>
      <c r="B95" s="97" t="s">
        <v>550</v>
      </c>
      <c r="C95" s="98" t="s">
        <v>551</v>
      </c>
      <c r="D95" s="209">
        <v>0</v>
      </c>
      <c r="E95" s="209">
        <v>0</v>
      </c>
      <c r="F95" s="100">
        <v>0</v>
      </c>
    </row>
    <row r="96" spans="1:6" ht="33" customHeight="1" x14ac:dyDescent="0.15">
      <c r="A96" s="96"/>
      <c r="B96" s="97" t="s">
        <v>552</v>
      </c>
      <c r="C96" s="98" t="s">
        <v>553</v>
      </c>
      <c r="D96" s="209">
        <v>0</v>
      </c>
      <c r="E96" s="209">
        <v>0</v>
      </c>
      <c r="F96" s="100">
        <v>0</v>
      </c>
    </row>
    <row r="97" spans="1:6" ht="23.1" customHeight="1" x14ac:dyDescent="0.15">
      <c r="A97" s="96"/>
      <c r="B97" s="97" t="s">
        <v>554</v>
      </c>
      <c r="C97" s="98" t="s">
        <v>555</v>
      </c>
      <c r="D97" s="209">
        <v>0</v>
      </c>
      <c r="E97" s="209">
        <v>0</v>
      </c>
      <c r="F97" s="100">
        <v>0</v>
      </c>
    </row>
    <row r="98" spans="1:6" ht="23.1" customHeight="1" x14ac:dyDescent="0.15">
      <c r="A98" s="96"/>
      <c r="B98" s="97" t="s">
        <v>556</v>
      </c>
      <c r="C98" s="98" t="s">
        <v>557</v>
      </c>
      <c r="D98" s="209">
        <v>0</v>
      </c>
      <c r="E98" s="209">
        <v>0</v>
      </c>
      <c r="F98" s="100">
        <v>0</v>
      </c>
    </row>
    <row r="99" spans="1:6" ht="23.1" customHeight="1" x14ac:dyDescent="0.15">
      <c r="A99" s="96"/>
      <c r="B99" s="97" t="s">
        <v>558</v>
      </c>
      <c r="C99" s="98" t="s">
        <v>559</v>
      </c>
      <c r="D99" s="209">
        <v>0</v>
      </c>
      <c r="E99" s="209">
        <v>0</v>
      </c>
      <c r="F99" s="100">
        <v>0</v>
      </c>
    </row>
    <row r="100" spans="1:6" ht="23.1" customHeight="1" x14ac:dyDescent="0.15">
      <c r="A100" s="96"/>
      <c r="B100" s="97" t="s">
        <v>560</v>
      </c>
      <c r="C100" s="98" t="s">
        <v>561</v>
      </c>
      <c r="D100" s="207">
        <v>0</v>
      </c>
      <c r="E100" s="207">
        <v>0</v>
      </c>
      <c r="F100" s="100">
        <v>0</v>
      </c>
    </row>
    <row r="101" spans="1:6" ht="23.1" customHeight="1" x14ac:dyDescent="0.15">
      <c r="A101" s="96"/>
      <c r="B101" s="97" t="s">
        <v>562</v>
      </c>
      <c r="C101" s="98" t="s">
        <v>563</v>
      </c>
      <c r="D101" s="209">
        <v>0</v>
      </c>
      <c r="E101" s="209">
        <v>0</v>
      </c>
      <c r="F101" s="100">
        <v>0</v>
      </c>
    </row>
    <row r="102" spans="1:6" ht="23.1" customHeight="1" x14ac:dyDescent="0.15">
      <c r="A102" s="96"/>
      <c r="B102" s="97" t="s">
        <v>564</v>
      </c>
      <c r="C102" s="98" t="s">
        <v>565</v>
      </c>
      <c r="D102" s="209">
        <v>0</v>
      </c>
      <c r="E102" s="209">
        <v>0</v>
      </c>
      <c r="F102" s="100">
        <v>0</v>
      </c>
    </row>
    <row r="103" spans="1:6" ht="23.1" customHeight="1" x14ac:dyDescent="0.15">
      <c r="A103" s="96" t="s">
        <v>566</v>
      </c>
      <c r="B103" s="97" t="s">
        <v>567</v>
      </c>
      <c r="C103" s="98" t="s">
        <v>568</v>
      </c>
      <c r="D103" s="205">
        <v>39703226777</v>
      </c>
      <c r="E103" s="205">
        <v>18899079641</v>
      </c>
      <c r="F103" s="100">
        <v>0.16289999999999999</v>
      </c>
    </row>
    <row r="104" spans="1:6" ht="23.1" customHeight="1" x14ac:dyDescent="0.15">
      <c r="A104" s="96"/>
      <c r="B104" s="97" t="s">
        <v>569</v>
      </c>
      <c r="C104" s="98" t="s">
        <v>570</v>
      </c>
      <c r="D104" s="205">
        <v>14739043391170</v>
      </c>
      <c r="E104" s="205">
        <v>15284441004008</v>
      </c>
      <c r="F104" s="100">
        <v>1.1307</v>
      </c>
    </row>
    <row r="105" spans="1:6" ht="23.1" customHeight="1" x14ac:dyDescent="0.15">
      <c r="A105" s="96"/>
      <c r="B105" s="97" t="s">
        <v>571</v>
      </c>
      <c r="C105" s="98" t="s">
        <v>572</v>
      </c>
      <c r="D105" s="205">
        <v>659400000</v>
      </c>
      <c r="E105" s="205">
        <v>622400000</v>
      </c>
      <c r="F105" s="100">
        <v>1.3964000000000001</v>
      </c>
    </row>
    <row r="106" spans="1:6" ht="23.1" customHeight="1" x14ac:dyDescent="0.15">
      <c r="A106" s="102"/>
      <c r="B106" s="103" t="s">
        <v>573</v>
      </c>
      <c r="C106" s="104" t="s">
        <v>574</v>
      </c>
      <c r="D106" s="161">
        <v>22352.2</v>
      </c>
      <c r="E106" s="161">
        <v>24557.26</v>
      </c>
      <c r="F106" s="105">
        <v>0.80969999999999998</v>
      </c>
    </row>
    <row r="107" spans="1:6" ht="2.25" customHeight="1" x14ac:dyDescent="0.15">
      <c r="A107" s="270"/>
      <c r="B107" s="270"/>
      <c r="C107" s="270"/>
      <c r="D107" s="270"/>
      <c r="E107" s="270"/>
      <c r="F107" s="270"/>
    </row>
    <row r="108" spans="1:6" ht="2.25" customHeight="1" x14ac:dyDescent="0.15">
      <c r="A108" s="88"/>
      <c r="B108" s="88"/>
      <c r="C108" s="106"/>
      <c r="D108" s="88"/>
      <c r="E108" s="88"/>
      <c r="F108" s="88"/>
    </row>
    <row r="109" spans="1:6" ht="12.75" customHeight="1" x14ac:dyDescent="0.15">
      <c r="A109" s="263" t="s">
        <v>166</v>
      </c>
      <c r="B109" s="263"/>
      <c r="C109" s="263"/>
      <c r="D109" s="263" t="s">
        <v>167</v>
      </c>
      <c r="E109" s="263"/>
      <c r="F109" s="263"/>
    </row>
    <row r="110" spans="1:6" ht="12.75" customHeight="1" x14ac:dyDescent="0.15">
      <c r="A110" s="261" t="s">
        <v>168</v>
      </c>
      <c r="B110" s="261"/>
      <c r="C110" s="261"/>
      <c r="D110" s="262" t="s">
        <v>169</v>
      </c>
      <c r="E110" s="262"/>
      <c r="F110" s="262"/>
    </row>
    <row r="111" spans="1:6" ht="18" customHeight="1" x14ac:dyDescent="0.15">
      <c r="A111" s="88"/>
      <c r="B111" s="88"/>
      <c r="C111" s="88"/>
      <c r="D111" s="88"/>
      <c r="E111" s="88"/>
      <c r="F111" s="88"/>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63" t="s">
        <v>170</v>
      </c>
      <c r="B116" s="263"/>
      <c r="C116" s="263"/>
      <c r="D116" s="263" t="s">
        <v>171</v>
      </c>
      <c r="E116" s="263"/>
      <c r="F116" s="263"/>
    </row>
    <row r="117" spans="1:6" ht="12.75" customHeight="1" x14ac:dyDescent="0.15">
      <c r="A117" s="260" t="s">
        <v>319</v>
      </c>
      <c r="B117" s="260"/>
      <c r="C117" s="260"/>
      <c r="D117" s="260" t="s">
        <v>173</v>
      </c>
      <c r="E117" s="260"/>
      <c r="F117" s="260"/>
    </row>
    <row r="118" spans="1:6" ht="12.75" customHeight="1" x14ac:dyDescent="0.15">
      <c r="A118" s="260" t="s">
        <v>174</v>
      </c>
      <c r="B118" s="260"/>
      <c r="C118" s="260"/>
      <c r="D118" s="260" t="s">
        <v>175</v>
      </c>
      <c r="E118" s="260"/>
      <c r="F118" s="260"/>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73" zoomScaleNormal="100" zoomScaleSheetLayoutView="100" workbookViewId="0">
      <selection activeCell="B86" sqref="B86"/>
    </sheetView>
  </sheetViews>
  <sheetFormatPr defaultColWidth="9.140625" defaultRowHeight="10.5" x14ac:dyDescent="0.15"/>
  <cols>
    <col min="1" max="1" width="5.140625" style="87" customWidth="1"/>
    <col min="2" max="2" width="39.28515625" style="87" customWidth="1"/>
    <col min="3" max="3" width="6.5703125" style="87" bestFit="1" customWidth="1"/>
    <col min="4" max="6" width="18.42578125" style="87" bestFit="1" customWidth="1"/>
    <col min="7" max="7" width="12.140625" style="87" bestFit="1" customWidth="1"/>
    <col min="8" max="16384" width="9.140625" style="87"/>
  </cols>
  <sheetData>
    <row r="1" spans="1:6" ht="36.75" customHeight="1" x14ac:dyDescent="0.15">
      <c r="A1" s="264"/>
      <c r="B1" s="264"/>
      <c r="C1" s="86"/>
      <c r="D1" s="263" t="s">
        <v>0</v>
      </c>
      <c r="E1" s="263"/>
      <c r="F1" s="263"/>
    </row>
    <row r="2" spans="1:6" ht="27.75" customHeight="1" x14ac:dyDescent="0.15">
      <c r="A2" s="271" t="s">
        <v>1</v>
      </c>
      <c r="B2" s="271"/>
      <c r="C2" s="271"/>
      <c r="D2" s="271"/>
      <c r="E2" s="271"/>
      <c r="F2" s="271"/>
    </row>
    <row r="3" spans="1:6" ht="4.5" customHeight="1" x14ac:dyDescent="0.15">
      <c r="A3" s="88"/>
      <c r="B3" s="88"/>
      <c r="C3" s="88"/>
      <c r="D3" s="88"/>
      <c r="E3" s="88"/>
      <c r="F3" s="88"/>
    </row>
    <row r="4" spans="1:6" ht="28.5" customHeight="1" x14ac:dyDescent="0.15">
      <c r="A4" s="272" t="s">
        <v>2</v>
      </c>
      <c r="B4" s="272"/>
      <c r="C4" s="272"/>
      <c r="D4" s="272"/>
      <c r="E4" s="272"/>
      <c r="F4" s="272"/>
    </row>
    <row r="5" spans="1:6" s="107" customFormat="1" ht="16.5" customHeight="1" x14ac:dyDescent="0.25">
      <c r="A5" s="261" t="s">
        <v>1062</v>
      </c>
      <c r="B5" s="261"/>
      <c r="C5" s="261"/>
      <c r="D5" s="261"/>
      <c r="E5" s="261"/>
      <c r="F5" s="261"/>
    </row>
    <row r="6" spans="1:6" ht="12" customHeight="1" x14ac:dyDescent="0.15">
      <c r="A6" s="108" t="s">
        <v>3</v>
      </c>
      <c r="B6" s="90" t="s">
        <v>4</v>
      </c>
      <c r="C6" s="265" t="s">
        <v>5</v>
      </c>
      <c r="D6" s="265"/>
      <c r="E6" s="265"/>
      <c r="F6" s="265"/>
    </row>
    <row r="7" spans="1:6" ht="12" customHeight="1" x14ac:dyDescent="0.15">
      <c r="A7" s="88"/>
      <c r="B7" s="88" t="s">
        <v>6</v>
      </c>
      <c r="C7" s="264" t="s">
        <v>7</v>
      </c>
      <c r="D7" s="264"/>
      <c r="E7" s="264"/>
      <c r="F7" s="264"/>
    </row>
    <row r="8" spans="1:6" ht="12" customHeight="1" x14ac:dyDescent="0.15">
      <c r="A8" s="89" t="s">
        <v>8</v>
      </c>
      <c r="B8" s="90" t="s">
        <v>9</v>
      </c>
      <c r="C8" s="265" t="s">
        <v>10</v>
      </c>
      <c r="D8" s="265"/>
      <c r="E8" s="265"/>
      <c r="F8" s="265"/>
    </row>
    <row r="9" spans="1:6" ht="12" customHeight="1" x14ac:dyDescent="0.15">
      <c r="A9" s="88"/>
      <c r="B9" s="88" t="s">
        <v>11</v>
      </c>
      <c r="C9" s="264" t="s">
        <v>12</v>
      </c>
      <c r="D9" s="264"/>
      <c r="E9" s="264"/>
      <c r="F9" s="264"/>
    </row>
    <row r="10" spans="1:6" ht="12" customHeight="1" x14ac:dyDescent="0.15">
      <c r="A10" s="89" t="s">
        <v>13</v>
      </c>
      <c r="B10" s="90" t="s">
        <v>176</v>
      </c>
      <c r="C10" s="265" t="s">
        <v>15</v>
      </c>
      <c r="D10" s="265"/>
      <c r="E10" s="265"/>
      <c r="F10" s="265"/>
    </row>
    <row r="11" spans="1:6" ht="12" customHeight="1" x14ac:dyDescent="0.15">
      <c r="A11" s="88"/>
      <c r="B11" s="88" t="s">
        <v>16</v>
      </c>
      <c r="C11" s="264" t="s">
        <v>17</v>
      </c>
      <c r="D11" s="264"/>
      <c r="E11" s="264"/>
      <c r="F11" s="264"/>
    </row>
    <row r="12" spans="1:6" ht="12" customHeight="1" x14ac:dyDescent="0.15">
      <c r="A12" s="89" t="s">
        <v>18</v>
      </c>
      <c r="B12" s="90" t="s">
        <v>19</v>
      </c>
      <c r="C12" s="266">
        <f>+TONGQUAN!E12</f>
        <v>44869</v>
      </c>
      <c r="D12" s="266"/>
      <c r="E12" s="266"/>
      <c r="F12" s="266"/>
    </row>
    <row r="13" spans="1:6" ht="12" customHeight="1" x14ac:dyDescent="0.15">
      <c r="A13" s="88"/>
      <c r="B13" s="88" t="s">
        <v>20</v>
      </c>
      <c r="C13" s="267">
        <f>+C12</f>
        <v>44869</v>
      </c>
      <c r="D13" s="267"/>
      <c r="E13" s="267"/>
      <c r="F13" s="267"/>
    </row>
    <row r="14" spans="1:6" x14ac:dyDescent="0.15">
      <c r="A14" s="88"/>
      <c r="B14" s="88"/>
      <c r="C14" s="88"/>
      <c r="D14" s="88"/>
      <c r="E14" s="88"/>
      <c r="F14" s="88"/>
    </row>
    <row r="15" spans="1:6" ht="12" customHeight="1" x14ac:dyDescent="0.15">
      <c r="A15" s="268" t="s">
        <v>177</v>
      </c>
      <c r="B15" s="268"/>
      <c r="C15" s="268"/>
      <c r="D15" s="268"/>
      <c r="E15" s="268"/>
      <c r="F15" s="268"/>
    </row>
    <row r="16" spans="1:6" ht="12" customHeight="1" x14ac:dyDescent="0.15">
      <c r="A16" s="265" t="s">
        <v>178</v>
      </c>
      <c r="B16" s="265"/>
      <c r="C16" s="265"/>
      <c r="D16" s="265"/>
      <c r="E16" s="265"/>
      <c r="F16" s="265"/>
    </row>
    <row r="17" spans="1:6" x14ac:dyDescent="0.15">
      <c r="A17" s="91"/>
      <c r="B17" s="92"/>
      <c r="C17" s="91"/>
      <c r="D17" s="91"/>
      <c r="E17" s="269" t="s">
        <v>23</v>
      </c>
      <c r="F17" s="269"/>
    </row>
    <row r="18" spans="1:6" s="109" customFormat="1" ht="48" customHeight="1" x14ac:dyDescent="0.25">
      <c r="A18" s="93" t="s">
        <v>179</v>
      </c>
      <c r="B18" s="94" t="s">
        <v>180</v>
      </c>
      <c r="C18" s="94" t="s">
        <v>26</v>
      </c>
      <c r="D18" s="94" t="s">
        <v>1065</v>
      </c>
      <c r="E18" s="94" t="s">
        <v>1058</v>
      </c>
      <c r="F18" s="95" t="s">
        <v>181</v>
      </c>
    </row>
    <row r="19" spans="1:6" s="109" customFormat="1" ht="21" x14ac:dyDescent="0.25">
      <c r="A19" s="110" t="s">
        <v>31</v>
      </c>
      <c r="B19" s="111" t="s">
        <v>182</v>
      </c>
      <c r="C19" s="112" t="s">
        <v>183</v>
      </c>
      <c r="D19" s="205">
        <v>27117452022</v>
      </c>
      <c r="E19" s="205">
        <v>8192013</v>
      </c>
      <c r="F19" s="206">
        <v>151559987667</v>
      </c>
    </row>
    <row r="20" spans="1:6" s="109" customFormat="1" ht="21" x14ac:dyDescent="0.25">
      <c r="A20" s="113" t="s">
        <v>3</v>
      </c>
      <c r="B20" s="114" t="s">
        <v>184</v>
      </c>
      <c r="C20" s="115"/>
      <c r="D20" s="207">
        <v>0</v>
      </c>
      <c r="E20" s="207">
        <v>0</v>
      </c>
      <c r="F20" s="208">
        <v>0</v>
      </c>
    </row>
    <row r="21" spans="1:6" s="109" customFormat="1" ht="21" x14ac:dyDescent="0.25">
      <c r="A21" s="113" t="s">
        <v>8</v>
      </c>
      <c r="B21" s="114" t="s">
        <v>185</v>
      </c>
      <c r="C21" s="115" t="s">
        <v>186</v>
      </c>
      <c r="D21" s="207">
        <v>27099442400</v>
      </c>
      <c r="E21" s="207">
        <v>0</v>
      </c>
      <c r="F21" s="208">
        <v>151295075556</v>
      </c>
    </row>
    <row r="22" spans="1:6" s="109" customFormat="1" ht="21" x14ac:dyDescent="0.25">
      <c r="A22" s="117"/>
      <c r="B22" s="118" t="s">
        <v>187</v>
      </c>
      <c r="C22" s="119" t="s">
        <v>188</v>
      </c>
      <c r="D22" s="209">
        <v>27099442400</v>
      </c>
      <c r="E22" s="209">
        <v>0</v>
      </c>
      <c r="F22" s="210">
        <v>151295075556</v>
      </c>
    </row>
    <row r="23" spans="1:6" s="109" customFormat="1" ht="21" x14ac:dyDescent="0.25">
      <c r="A23" s="117"/>
      <c r="B23" s="118" t="s">
        <v>189</v>
      </c>
      <c r="C23" s="119" t="s">
        <v>190</v>
      </c>
      <c r="D23" s="209">
        <v>0</v>
      </c>
      <c r="E23" s="209">
        <v>0</v>
      </c>
      <c r="F23" s="210">
        <v>0</v>
      </c>
    </row>
    <row r="24" spans="1:6" s="109" customFormat="1" ht="21" x14ac:dyDescent="0.25">
      <c r="A24" s="113" t="s">
        <v>13</v>
      </c>
      <c r="B24" s="114" t="s">
        <v>191</v>
      </c>
      <c r="C24" s="115" t="s">
        <v>192</v>
      </c>
      <c r="D24" s="207">
        <v>18009622</v>
      </c>
      <c r="E24" s="207">
        <v>8192013</v>
      </c>
      <c r="F24" s="208">
        <v>264912111</v>
      </c>
    </row>
    <row r="25" spans="1:6" s="109" customFormat="1" ht="21" x14ac:dyDescent="0.25">
      <c r="A25" s="117"/>
      <c r="B25" s="118" t="s">
        <v>193</v>
      </c>
      <c r="C25" s="119" t="s">
        <v>194</v>
      </c>
      <c r="D25" s="209">
        <v>18009622</v>
      </c>
      <c r="E25" s="209">
        <v>8192013</v>
      </c>
      <c r="F25" s="210">
        <v>264912111</v>
      </c>
    </row>
    <row r="26" spans="1:6" s="109" customFormat="1" ht="21" x14ac:dyDescent="0.25">
      <c r="A26" s="117"/>
      <c r="B26" s="118" t="s">
        <v>195</v>
      </c>
      <c r="C26" s="119" t="s">
        <v>196</v>
      </c>
      <c r="D26" s="209">
        <v>0</v>
      </c>
      <c r="E26" s="209">
        <v>0</v>
      </c>
      <c r="F26" s="210">
        <v>0</v>
      </c>
    </row>
    <row r="27" spans="1:6" s="109" customFormat="1" ht="21" x14ac:dyDescent="0.25">
      <c r="A27" s="113" t="s">
        <v>18</v>
      </c>
      <c r="B27" s="114" t="s">
        <v>197</v>
      </c>
      <c r="C27" s="115" t="s">
        <v>198</v>
      </c>
      <c r="D27" s="207">
        <v>0</v>
      </c>
      <c r="E27" s="207">
        <v>0</v>
      </c>
      <c r="F27" s="208">
        <v>0</v>
      </c>
    </row>
    <row r="28" spans="1:6" s="109" customFormat="1" ht="21" x14ac:dyDescent="0.25">
      <c r="A28" s="117"/>
      <c r="B28" s="118" t="s">
        <v>199</v>
      </c>
      <c r="C28" s="119" t="s">
        <v>200</v>
      </c>
      <c r="D28" s="209">
        <v>0</v>
      </c>
      <c r="E28" s="209">
        <v>0</v>
      </c>
      <c r="F28" s="210">
        <v>0</v>
      </c>
    </row>
    <row r="29" spans="1:6" s="109" customFormat="1" ht="21" x14ac:dyDescent="0.25">
      <c r="A29" s="117"/>
      <c r="B29" s="118" t="s">
        <v>201</v>
      </c>
      <c r="C29" s="119" t="s">
        <v>202</v>
      </c>
      <c r="D29" s="209">
        <v>0</v>
      </c>
      <c r="E29" s="209">
        <v>0</v>
      </c>
      <c r="F29" s="210">
        <v>0</v>
      </c>
    </row>
    <row r="30" spans="1:6" s="109" customFormat="1" ht="53.25" customHeight="1" x14ac:dyDescent="0.25">
      <c r="A30" s="117"/>
      <c r="B30" s="118" t="s">
        <v>203</v>
      </c>
      <c r="C30" s="119" t="s">
        <v>204</v>
      </c>
      <c r="D30" s="209">
        <v>0</v>
      </c>
      <c r="E30" s="209">
        <v>0</v>
      </c>
      <c r="F30" s="210">
        <v>0</v>
      </c>
    </row>
    <row r="31" spans="1:6" s="109" customFormat="1" ht="21" x14ac:dyDescent="0.25">
      <c r="A31" s="110" t="s">
        <v>33</v>
      </c>
      <c r="B31" s="111" t="s">
        <v>205</v>
      </c>
      <c r="C31" s="112" t="s">
        <v>206</v>
      </c>
      <c r="D31" s="205">
        <v>13040543199</v>
      </c>
      <c r="E31" s="205">
        <v>14418373262</v>
      </c>
      <c r="F31" s="206">
        <v>143502762477</v>
      </c>
    </row>
    <row r="32" spans="1:6" s="109" customFormat="1" ht="21" x14ac:dyDescent="0.25">
      <c r="A32" s="113" t="s">
        <v>3</v>
      </c>
      <c r="B32" s="114" t="s">
        <v>207</v>
      </c>
      <c r="C32" s="115" t="s">
        <v>208</v>
      </c>
      <c r="D32" s="207">
        <v>9887510103</v>
      </c>
      <c r="E32" s="207">
        <v>10991279304</v>
      </c>
      <c r="F32" s="208">
        <v>106148371399</v>
      </c>
    </row>
    <row r="33" spans="1:6" s="109" customFormat="1" ht="21" x14ac:dyDescent="0.25">
      <c r="A33" s="113" t="s">
        <v>8</v>
      </c>
      <c r="B33" s="114" t="s">
        <v>209</v>
      </c>
      <c r="C33" s="115" t="s">
        <v>210</v>
      </c>
      <c r="D33" s="207">
        <v>895449896</v>
      </c>
      <c r="E33" s="207">
        <v>988250919</v>
      </c>
      <c r="F33" s="208">
        <v>9359455106</v>
      </c>
    </row>
    <row r="34" spans="1:6" s="109" customFormat="1" ht="21" x14ac:dyDescent="0.25">
      <c r="A34" s="117"/>
      <c r="B34" s="118" t="s">
        <v>211</v>
      </c>
      <c r="C34" s="119" t="s">
        <v>212</v>
      </c>
      <c r="D34" s="209">
        <v>247187753</v>
      </c>
      <c r="E34" s="209">
        <v>274781983</v>
      </c>
      <c r="F34" s="210">
        <v>2653709288</v>
      </c>
    </row>
    <row r="35" spans="1:6" s="109" customFormat="1" ht="21" x14ac:dyDescent="0.25">
      <c r="A35" s="117"/>
      <c r="B35" s="118" t="s">
        <v>213</v>
      </c>
      <c r="C35" s="119" t="s">
        <v>214</v>
      </c>
      <c r="D35" s="209">
        <v>2300000</v>
      </c>
      <c r="E35" s="209">
        <v>800000</v>
      </c>
      <c r="F35" s="210">
        <v>30200000</v>
      </c>
    </row>
    <row r="36" spans="1:6" s="109" customFormat="1" ht="21" x14ac:dyDescent="0.25">
      <c r="A36" s="117"/>
      <c r="B36" s="118" t="s">
        <v>215</v>
      </c>
      <c r="C36" s="119" t="s">
        <v>216</v>
      </c>
      <c r="D36" s="209">
        <v>102149089</v>
      </c>
      <c r="E36" s="209">
        <v>108148574</v>
      </c>
      <c r="F36" s="210">
        <v>837385396</v>
      </c>
    </row>
    <row r="37" spans="1:6" s="109" customFormat="1" ht="21" x14ac:dyDescent="0.25">
      <c r="A37" s="117"/>
      <c r="B37" s="118" t="s">
        <v>217</v>
      </c>
      <c r="C37" s="119" t="s">
        <v>218</v>
      </c>
      <c r="D37" s="209">
        <v>543813054</v>
      </c>
      <c r="E37" s="209">
        <v>604520362</v>
      </c>
      <c r="F37" s="210">
        <v>5838160422</v>
      </c>
    </row>
    <row r="38" spans="1:6" s="109" customFormat="1" ht="42" x14ac:dyDescent="0.25">
      <c r="A38" s="117"/>
      <c r="B38" s="118" t="s">
        <v>219</v>
      </c>
      <c r="C38" s="119" t="s">
        <v>220</v>
      </c>
      <c r="D38" s="209">
        <v>0</v>
      </c>
      <c r="E38" s="209">
        <v>0</v>
      </c>
      <c r="F38" s="210">
        <v>0</v>
      </c>
    </row>
    <row r="39" spans="1:6" s="109" customFormat="1" ht="52.5" x14ac:dyDescent="0.25">
      <c r="A39" s="113" t="s">
        <v>13</v>
      </c>
      <c r="B39" s="114" t="s">
        <v>221</v>
      </c>
      <c r="C39" s="115" t="s">
        <v>222</v>
      </c>
      <c r="D39" s="207">
        <v>2069517735</v>
      </c>
      <c r="E39" s="207">
        <v>2299929556</v>
      </c>
      <c r="F39" s="208">
        <v>21980377265</v>
      </c>
    </row>
    <row r="40" spans="1:6" s="109" customFormat="1" ht="21" x14ac:dyDescent="0.25">
      <c r="A40" s="117"/>
      <c r="B40" s="118" t="s">
        <v>223</v>
      </c>
      <c r="C40" s="119" t="s">
        <v>224</v>
      </c>
      <c r="D40" s="209">
        <v>271906528</v>
      </c>
      <c r="E40" s="209">
        <v>302260181</v>
      </c>
      <c r="F40" s="210">
        <v>2919080215</v>
      </c>
    </row>
    <row r="41" spans="1:6" s="109" customFormat="1" ht="21" x14ac:dyDescent="0.25">
      <c r="A41" s="117"/>
      <c r="B41" s="118" t="s">
        <v>225</v>
      </c>
      <c r="C41" s="119" t="s">
        <v>226</v>
      </c>
      <c r="D41" s="209">
        <v>5500000</v>
      </c>
      <c r="E41" s="209">
        <v>5500000</v>
      </c>
      <c r="F41" s="210">
        <v>55000000</v>
      </c>
    </row>
    <row r="42" spans="1:6" s="109" customFormat="1" ht="31.5" x14ac:dyDescent="0.25">
      <c r="A42" s="117"/>
      <c r="B42" s="118" t="s">
        <v>227</v>
      </c>
      <c r="C42" s="119" t="s">
        <v>228</v>
      </c>
      <c r="D42" s="209">
        <v>617969383</v>
      </c>
      <c r="E42" s="209">
        <v>686954954</v>
      </c>
      <c r="F42" s="210">
        <v>6634273209</v>
      </c>
    </row>
    <row r="43" spans="1:6" s="109" customFormat="1" ht="21" x14ac:dyDescent="0.25">
      <c r="A43" s="117"/>
      <c r="B43" s="118" t="s">
        <v>229</v>
      </c>
      <c r="C43" s="119" t="s">
        <v>230</v>
      </c>
      <c r="D43" s="209">
        <v>494375504</v>
      </c>
      <c r="E43" s="209">
        <v>549563965</v>
      </c>
      <c r="F43" s="210">
        <v>5307418565</v>
      </c>
    </row>
    <row r="44" spans="1:6" s="109" customFormat="1" ht="21" x14ac:dyDescent="0.25">
      <c r="A44" s="117"/>
      <c r="B44" s="118" t="s">
        <v>231</v>
      </c>
      <c r="C44" s="119" t="s">
        <v>232</v>
      </c>
      <c r="D44" s="209">
        <v>679766320</v>
      </c>
      <c r="E44" s="209">
        <v>755650456</v>
      </c>
      <c r="F44" s="210">
        <v>7064605276</v>
      </c>
    </row>
    <row r="45" spans="1:6" s="109" customFormat="1" ht="21" x14ac:dyDescent="0.25">
      <c r="A45" s="113" t="s">
        <v>18</v>
      </c>
      <c r="B45" s="114" t="s">
        <v>233</v>
      </c>
      <c r="C45" s="115"/>
      <c r="D45" s="207">
        <v>0</v>
      </c>
      <c r="E45" s="207">
        <v>0</v>
      </c>
      <c r="F45" s="208">
        <v>0</v>
      </c>
    </row>
    <row r="46" spans="1:6" s="109" customFormat="1" ht="21" x14ac:dyDescent="0.25">
      <c r="A46" s="113" t="s">
        <v>43</v>
      </c>
      <c r="B46" s="114" t="s">
        <v>234</v>
      </c>
      <c r="C46" s="115"/>
      <c r="D46" s="207">
        <v>0</v>
      </c>
      <c r="E46" s="207">
        <v>0</v>
      </c>
      <c r="F46" s="208">
        <v>0</v>
      </c>
    </row>
    <row r="47" spans="1:6" s="109" customFormat="1" ht="21" x14ac:dyDescent="0.25">
      <c r="A47" s="113" t="s">
        <v>46</v>
      </c>
      <c r="B47" s="114" t="s">
        <v>235</v>
      </c>
      <c r="C47" s="115" t="s">
        <v>236</v>
      </c>
      <c r="D47" s="207">
        <v>30236031</v>
      </c>
      <c r="E47" s="207">
        <v>29260676</v>
      </c>
      <c r="F47" s="208">
        <v>213303320</v>
      </c>
    </row>
    <row r="48" spans="1:6" s="109" customFormat="1" ht="52.5" x14ac:dyDescent="0.25">
      <c r="A48" s="113" t="s">
        <v>49</v>
      </c>
      <c r="B48" s="114" t="s">
        <v>237</v>
      </c>
      <c r="C48" s="115" t="s">
        <v>238</v>
      </c>
      <c r="D48" s="207">
        <v>9637856</v>
      </c>
      <c r="E48" s="207">
        <v>9617280</v>
      </c>
      <c r="F48" s="208">
        <v>96744847</v>
      </c>
    </row>
    <row r="49" spans="1:6" s="109" customFormat="1" ht="21" x14ac:dyDescent="0.25">
      <c r="A49" s="117"/>
      <c r="B49" s="118" t="s">
        <v>239</v>
      </c>
      <c r="C49" s="119" t="s">
        <v>240</v>
      </c>
      <c r="D49" s="209">
        <v>9637856</v>
      </c>
      <c r="E49" s="209">
        <v>9617280</v>
      </c>
      <c r="F49" s="210">
        <v>96744847</v>
      </c>
    </row>
    <row r="50" spans="1:6" s="109" customFormat="1" ht="21" x14ac:dyDescent="0.25">
      <c r="A50" s="117"/>
      <c r="B50" s="118" t="s">
        <v>241</v>
      </c>
      <c r="C50" s="119" t="s">
        <v>242</v>
      </c>
      <c r="D50" s="209">
        <v>0</v>
      </c>
      <c r="E50" s="209">
        <v>0</v>
      </c>
      <c r="F50" s="210">
        <v>0</v>
      </c>
    </row>
    <row r="51" spans="1:6" s="109" customFormat="1" ht="21" x14ac:dyDescent="0.25">
      <c r="A51" s="117"/>
      <c r="B51" s="118" t="s">
        <v>243</v>
      </c>
      <c r="C51" s="119" t="s">
        <v>244</v>
      </c>
      <c r="D51" s="209">
        <v>0</v>
      </c>
      <c r="E51" s="209">
        <v>0</v>
      </c>
      <c r="F51" s="210">
        <v>0</v>
      </c>
    </row>
    <row r="52" spans="1:6" s="109" customFormat="1" ht="115.5" x14ac:dyDescent="0.25">
      <c r="A52" s="113" t="s">
        <v>52</v>
      </c>
      <c r="B52" s="114" t="s">
        <v>245</v>
      </c>
      <c r="C52" s="115" t="s">
        <v>246</v>
      </c>
      <c r="D52" s="207">
        <v>0</v>
      </c>
      <c r="E52" s="207">
        <v>0</v>
      </c>
      <c r="F52" s="208">
        <v>60743990</v>
      </c>
    </row>
    <row r="53" spans="1:6" s="109" customFormat="1" ht="21" x14ac:dyDescent="0.25">
      <c r="A53" s="117"/>
      <c r="B53" s="118" t="s">
        <v>247</v>
      </c>
      <c r="C53" s="119" t="s">
        <v>248</v>
      </c>
      <c r="D53" s="209">
        <v>0</v>
      </c>
      <c r="E53" s="209">
        <v>0</v>
      </c>
      <c r="F53" s="210">
        <v>26000000</v>
      </c>
    </row>
    <row r="54" spans="1:6" s="109" customFormat="1" ht="21" x14ac:dyDescent="0.25">
      <c r="A54" s="117"/>
      <c r="B54" s="118" t="s">
        <v>249</v>
      </c>
      <c r="C54" s="119" t="s">
        <v>250</v>
      </c>
      <c r="D54" s="209">
        <v>0</v>
      </c>
      <c r="E54" s="209">
        <v>0</v>
      </c>
      <c r="F54" s="210">
        <v>0</v>
      </c>
    </row>
    <row r="55" spans="1:6" s="109" customFormat="1" ht="31.5" x14ac:dyDescent="0.25">
      <c r="A55" s="117"/>
      <c r="B55" s="118" t="s">
        <v>251</v>
      </c>
      <c r="C55" s="119" t="s">
        <v>252</v>
      </c>
      <c r="D55" s="209">
        <v>0</v>
      </c>
      <c r="E55" s="209">
        <v>0</v>
      </c>
      <c r="F55" s="210">
        <v>0</v>
      </c>
    </row>
    <row r="56" spans="1:6" s="109" customFormat="1" ht="21" x14ac:dyDescent="0.25">
      <c r="A56" s="117"/>
      <c r="B56" s="118" t="s">
        <v>253</v>
      </c>
      <c r="C56" s="119" t="s">
        <v>254</v>
      </c>
      <c r="D56" s="209">
        <v>0</v>
      </c>
      <c r="E56" s="209">
        <v>0</v>
      </c>
      <c r="F56" s="210">
        <v>0</v>
      </c>
    </row>
    <row r="57" spans="1:6" s="109" customFormat="1" ht="21" x14ac:dyDescent="0.25">
      <c r="A57" s="117"/>
      <c r="B57" s="118" t="s">
        <v>255</v>
      </c>
      <c r="C57" s="119" t="s">
        <v>256</v>
      </c>
      <c r="D57" s="209">
        <v>0</v>
      </c>
      <c r="E57" s="209">
        <v>0</v>
      </c>
      <c r="F57" s="210">
        <v>34743990</v>
      </c>
    </row>
    <row r="58" spans="1:6" s="109" customFormat="1" ht="42" x14ac:dyDescent="0.25">
      <c r="A58" s="113" t="s">
        <v>55</v>
      </c>
      <c r="B58" s="114" t="s">
        <v>257</v>
      </c>
      <c r="C58" s="115" t="s">
        <v>258</v>
      </c>
      <c r="D58" s="207">
        <v>137645284</v>
      </c>
      <c r="E58" s="207">
        <v>89435802</v>
      </c>
      <c r="F58" s="208">
        <v>5490836220</v>
      </c>
    </row>
    <row r="59" spans="1:6" s="109" customFormat="1" ht="21" x14ac:dyDescent="0.25">
      <c r="A59" s="117"/>
      <c r="B59" s="118" t="s">
        <v>259</v>
      </c>
      <c r="C59" s="119" t="s">
        <v>260</v>
      </c>
      <c r="D59" s="209">
        <v>137645284</v>
      </c>
      <c r="E59" s="209">
        <v>89435802</v>
      </c>
      <c r="F59" s="210">
        <v>5490836220</v>
      </c>
    </row>
    <row r="60" spans="1:6" s="109" customFormat="1" ht="21" x14ac:dyDescent="0.25">
      <c r="A60" s="117"/>
      <c r="B60" s="118" t="s">
        <v>261</v>
      </c>
      <c r="C60" s="119" t="s">
        <v>262</v>
      </c>
      <c r="D60" s="209">
        <v>0</v>
      </c>
      <c r="E60" s="209">
        <v>0</v>
      </c>
      <c r="F60" s="210">
        <v>0</v>
      </c>
    </row>
    <row r="61" spans="1:6" s="109" customFormat="1" ht="21" x14ac:dyDescent="0.25">
      <c r="A61" s="113" t="s">
        <v>58</v>
      </c>
      <c r="B61" s="114" t="s">
        <v>263</v>
      </c>
      <c r="C61" s="115" t="s">
        <v>264</v>
      </c>
      <c r="D61" s="207">
        <v>10546294</v>
      </c>
      <c r="E61" s="207">
        <v>10599725</v>
      </c>
      <c r="F61" s="208">
        <v>152930330</v>
      </c>
    </row>
    <row r="62" spans="1:6" s="109" customFormat="1" ht="21" x14ac:dyDescent="0.25">
      <c r="A62" s="117"/>
      <c r="B62" s="118" t="s">
        <v>265</v>
      </c>
      <c r="C62" s="119" t="s">
        <v>266</v>
      </c>
      <c r="D62" s="209">
        <v>0</v>
      </c>
      <c r="E62" s="209">
        <v>0</v>
      </c>
      <c r="F62" s="210">
        <v>0</v>
      </c>
    </row>
    <row r="63" spans="1:6" s="109" customFormat="1" ht="21" x14ac:dyDescent="0.25">
      <c r="A63" s="117"/>
      <c r="B63" s="118" t="s">
        <v>267</v>
      </c>
      <c r="C63" s="119" t="s">
        <v>268</v>
      </c>
      <c r="D63" s="209">
        <v>0</v>
      </c>
      <c r="E63" s="209">
        <v>0</v>
      </c>
      <c r="F63" s="210">
        <v>30000000</v>
      </c>
    </row>
    <row r="64" spans="1:6" s="109" customFormat="1" ht="21" x14ac:dyDescent="0.25">
      <c r="A64" s="117"/>
      <c r="B64" s="118" t="s">
        <v>269</v>
      </c>
      <c r="C64" s="119" t="s">
        <v>270</v>
      </c>
      <c r="D64" s="209">
        <v>0</v>
      </c>
      <c r="E64" s="209">
        <v>0</v>
      </c>
      <c r="F64" s="210">
        <v>0</v>
      </c>
    </row>
    <row r="65" spans="1:7" s="109" customFormat="1" ht="21" x14ac:dyDescent="0.25">
      <c r="A65" s="117"/>
      <c r="B65" s="118" t="s">
        <v>271</v>
      </c>
      <c r="C65" s="119" t="s">
        <v>272</v>
      </c>
      <c r="D65" s="209">
        <v>1546294</v>
      </c>
      <c r="E65" s="209">
        <v>1099725</v>
      </c>
      <c r="F65" s="210">
        <v>35930330</v>
      </c>
    </row>
    <row r="66" spans="1:7" s="109" customFormat="1" ht="21" x14ac:dyDescent="0.25">
      <c r="A66" s="117"/>
      <c r="B66" s="118" t="s">
        <v>273</v>
      </c>
      <c r="C66" s="119" t="s">
        <v>274</v>
      </c>
      <c r="D66" s="209">
        <v>0</v>
      </c>
      <c r="E66" s="209">
        <v>0</v>
      </c>
      <c r="F66" s="210">
        <v>0</v>
      </c>
    </row>
    <row r="67" spans="1:7" s="109" customFormat="1" ht="21" x14ac:dyDescent="0.25">
      <c r="A67" s="117"/>
      <c r="B67" s="118" t="s">
        <v>275</v>
      </c>
      <c r="C67" s="119" t="s">
        <v>276</v>
      </c>
      <c r="D67" s="209">
        <v>0</v>
      </c>
      <c r="E67" s="209">
        <v>0</v>
      </c>
      <c r="F67" s="210">
        <v>0</v>
      </c>
    </row>
    <row r="68" spans="1:7" s="109" customFormat="1" ht="21" x14ac:dyDescent="0.25">
      <c r="A68" s="117"/>
      <c r="B68" s="118" t="s">
        <v>277</v>
      </c>
      <c r="C68" s="119" t="s">
        <v>278</v>
      </c>
      <c r="D68" s="209">
        <v>0</v>
      </c>
      <c r="E68" s="209">
        <v>0</v>
      </c>
      <c r="F68" s="210">
        <v>10500000</v>
      </c>
    </row>
    <row r="69" spans="1:7" s="109" customFormat="1" ht="21" x14ac:dyDescent="0.25">
      <c r="A69" s="117"/>
      <c r="B69" s="118" t="s">
        <v>279</v>
      </c>
      <c r="C69" s="119" t="s">
        <v>280</v>
      </c>
      <c r="D69" s="209">
        <v>9000000</v>
      </c>
      <c r="E69" s="209">
        <v>9500000</v>
      </c>
      <c r="F69" s="210">
        <v>76500000</v>
      </c>
    </row>
    <row r="70" spans="1:7" s="109" customFormat="1" ht="31.5" x14ac:dyDescent="0.25">
      <c r="A70" s="110" t="s">
        <v>91</v>
      </c>
      <c r="B70" s="111" t="s">
        <v>281</v>
      </c>
      <c r="C70" s="112" t="s">
        <v>282</v>
      </c>
      <c r="D70" s="205">
        <v>14076908823</v>
      </c>
      <c r="E70" s="205">
        <v>-14410181249</v>
      </c>
      <c r="F70" s="206">
        <v>8057225190</v>
      </c>
    </row>
    <row r="71" spans="1:7" s="109" customFormat="1" ht="21" x14ac:dyDescent="0.25">
      <c r="A71" s="110" t="s">
        <v>98</v>
      </c>
      <c r="B71" s="111" t="s">
        <v>283</v>
      </c>
      <c r="C71" s="112" t="s">
        <v>284</v>
      </c>
      <c r="D71" s="205">
        <v>-1409447627200</v>
      </c>
      <c r="E71" s="205">
        <v>-1987402831050</v>
      </c>
      <c r="F71" s="206">
        <v>-3736192240162</v>
      </c>
    </row>
    <row r="72" spans="1:7" s="109" customFormat="1" ht="42" x14ac:dyDescent="0.25">
      <c r="A72" s="113" t="s">
        <v>3</v>
      </c>
      <c r="B72" s="114" t="s">
        <v>285</v>
      </c>
      <c r="C72" s="115" t="s">
        <v>286</v>
      </c>
      <c r="D72" s="207">
        <v>-13081761725</v>
      </c>
      <c r="E72" s="207">
        <v>60283814047</v>
      </c>
      <c r="F72" s="208">
        <v>904673681607</v>
      </c>
      <c r="G72" s="120"/>
    </row>
    <row r="73" spans="1:7" s="109" customFormat="1" ht="21" x14ac:dyDescent="0.25">
      <c r="A73" s="117"/>
      <c r="B73" s="118" t="s">
        <v>287</v>
      </c>
      <c r="C73" s="119" t="s">
        <v>288</v>
      </c>
      <c r="D73" s="209">
        <v>6452227024</v>
      </c>
      <c r="E73" s="209">
        <v>4314558148</v>
      </c>
      <c r="F73" s="210">
        <v>307602515610</v>
      </c>
    </row>
    <row r="74" spans="1:7" s="109" customFormat="1" ht="31.5" x14ac:dyDescent="0.25">
      <c r="A74" s="117"/>
      <c r="B74" s="118" t="s">
        <v>289</v>
      </c>
      <c r="C74" s="119" t="s">
        <v>290</v>
      </c>
      <c r="D74" s="209">
        <v>-4708320749</v>
      </c>
      <c r="E74" s="209">
        <v>55969255899</v>
      </c>
      <c r="F74" s="210">
        <v>599085939452</v>
      </c>
    </row>
    <row r="75" spans="1:7" s="109" customFormat="1" ht="42" x14ac:dyDescent="0.25">
      <c r="A75" s="117"/>
      <c r="B75" s="118" t="s">
        <v>291</v>
      </c>
      <c r="C75" s="119" t="s">
        <v>292</v>
      </c>
      <c r="D75" s="209">
        <v>-14825668000</v>
      </c>
      <c r="E75" s="209">
        <v>0</v>
      </c>
      <c r="F75" s="210">
        <v>-2014773455</v>
      </c>
    </row>
    <row r="76" spans="1:7" s="109" customFormat="1" ht="21" x14ac:dyDescent="0.25">
      <c r="A76" s="113" t="s">
        <v>8</v>
      </c>
      <c r="B76" s="114" t="s">
        <v>293</v>
      </c>
      <c r="C76" s="115" t="s">
        <v>294</v>
      </c>
      <c r="D76" s="207">
        <v>-1396365865475</v>
      </c>
      <c r="E76" s="207">
        <v>-2047686645097</v>
      </c>
      <c r="F76" s="208">
        <v>-4640865921769</v>
      </c>
      <c r="G76" s="120"/>
    </row>
    <row r="77" spans="1:7" s="109" customFormat="1" ht="52.5" x14ac:dyDescent="0.25">
      <c r="A77" s="110" t="s">
        <v>102</v>
      </c>
      <c r="B77" s="111" t="s">
        <v>295</v>
      </c>
      <c r="C77" s="112" t="s">
        <v>296</v>
      </c>
      <c r="D77" s="205">
        <v>-1395370718377</v>
      </c>
      <c r="E77" s="205">
        <v>-2001813012299</v>
      </c>
      <c r="F77" s="206">
        <v>-3728135014972</v>
      </c>
    </row>
    <row r="78" spans="1:7" s="109" customFormat="1" ht="21" x14ac:dyDescent="0.25">
      <c r="A78" s="110" t="s">
        <v>112</v>
      </c>
      <c r="B78" s="111" t="s">
        <v>297</v>
      </c>
      <c r="C78" s="112" t="s">
        <v>298</v>
      </c>
      <c r="D78" s="205">
        <v>15284441004008</v>
      </c>
      <c r="E78" s="205">
        <v>17699156871708</v>
      </c>
      <c r="F78" s="206">
        <v>13791745107213</v>
      </c>
    </row>
    <row r="79" spans="1:7" s="109" customFormat="1" ht="31.5" x14ac:dyDescent="0.25">
      <c r="A79" s="110" t="s">
        <v>136</v>
      </c>
      <c r="B79" s="111" t="s">
        <v>299</v>
      </c>
      <c r="C79" s="112" t="s">
        <v>300</v>
      </c>
      <c r="D79" s="205">
        <v>-545397612838</v>
      </c>
      <c r="E79" s="205">
        <v>-2414715867700</v>
      </c>
      <c r="F79" s="206">
        <v>947298283957</v>
      </c>
    </row>
    <row r="80" spans="1:7" s="109" customFormat="1" ht="21" x14ac:dyDescent="0.25">
      <c r="A80" s="113"/>
      <c r="B80" s="114" t="s">
        <v>301</v>
      </c>
      <c r="C80" s="115" t="s">
        <v>302</v>
      </c>
      <c r="D80" s="207">
        <v>0</v>
      </c>
      <c r="E80" s="207">
        <v>0</v>
      </c>
      <c r="F80" s="208">
        <v>0</v>
      </c>
    </row>
    <row r="81" spans="1:6" s="109" customFormat="1" ht="42" x14ac:dyDescent="0.25">
      <c r="A81" s="113" t="s">
        <v>3</v>
      </c>
      <c r="B81" s="114" t="s">
        <v>303</v>
      </c>
      <c r="C81" s="115" t="s">
        <v>304</v>
      </c>
      <c r="D81" s="207">
        <v>-1395370718377</v>
      </c>
      <c r="E81" s="207">
        <v>-2001813012299</v>
      </c>
      <c r="F81" s="208">
        <v>-3728135014972</v>
      </c>
    </row>
    <row r="82" spans="1:6" s="109" customFormat="1" ht="42" x14ac:dyDescent="0.25">
      <c r="A82" s="113" t="s">
        <v>8</v>
      </c>
      <c r="B82" s="114" t="s">
        <v>305</v>
      </c>
      <c r="C82" s="115"/>
      <c r="D82" s="207">
        <v>0</v>
      </c>
      <c r="E82" s="207">
        <v>0</v>
      </c>
      <c r="F82" s="208">
        <v>0</v>
      </c>
    </row>
    <row r="83" spans="1:6" s="109" customFormat="1" ht="42" x14ac:dyDescent="0.25">
      <c r="A83" s="113" t="s">
        <v>13</v>
      </c>
      <c r="B83" s="114" t="s">
        <v>306</v>
      </c>
      <c r="C83" s="115" t="s">
        <v>307</v>
      </c>
      <c r="D83" s="207">
        <v>849973105539</v>
      </c>
      <c r="E83" s="207">
        <v>-412902855401</v>
      </c>
      <c r="F83" s="208">
        <v>4675433298929</v>
      </c>
    </row>
    <row r="84" spans="1:6" s="109" customFormat="1" ht="42" x14ac:dyDescent="0.25">
      <c r="A84" s="117"/>
      <c r="B84" s="118" t="s">
        <v>308</v>
      </c>
      <c r="C84" s="119" t="s">
        <v>309</v>
      </c>
      <c r="D84" s="209">
        <v>905901180262</v>
      </c>
      <c r="E84" s="209">
        <v>53378186890</v>
      </c>
      <c r="F84" s="210">
        <v>8377135218288</v>
      </c>
    </row>
    <row r="85" spans="1:6" s="109" customFormat="1" ht="31.5" x14ac:dyDescent="0.25">
      <c r="A85" s="117"/>
      <c r="B85" s="118" t="s">
        <v>310</v>
      </c>
      <c r="C85" s="119" t="s">
        <v>311</v>
      </c>
      <c r="D85" s="209">
        <v>-55928074723</v>
      </c>
      <c r="E85" s="209">
        <v>-466281042291</v>
      </c>
      <c r="F85" s="210">
        <v>-3701701919359</v>
      </c>
    </row>
    <row r="86" spans="1:6" s="109" customFormat="1" ht="21" x14ac:dyDescent="0.25">
      <c r="A86" s="110" t="s">
        <v>154</v>
      </c>
      <c r="B86" s="111" t="s">
        <v>312</v>
      </c>
      <c r="C86" s="112" t="s">
        <v>313</v>
      </c>
      <c r="D86" s="205">
        <v>14739043391170</v>
      </c>
      <c r="E86" s="205">
        <v>15284441004008</v>
      </c>
      <c r="F86" s="206">
        <v>14739043391170</v>
      </c>
    </row>
    <row r="87" spans="1:6" s="109" customFormat="1" ht="42" x14ac:dyDescent="0.25">
      <c r="A87" s="110" t="s">
        <v>314</v>
      </c>
      <c r="B87" s="111" t="s">
        <v>315</v>
      </c>
      <c r="C87" s="112" t="s">
        <v>316</v>
      </c>
      <c r="D87" s="205">
        <v>0</v>
      </c>
      <c r="E87" s="205">
        <v>0</v>
      </c>
      <c r="F87" s="206">
        <v>0</v>
      </c>
    </row>
    <row r="88" spans="1:6" s="109" customFormat="1" ht="42" x14ac:dyDescent="0.25">
      <c r="A88" s="121"/>
      <c r="B88" s="122" t="s">
        <v>317</v>
      </c>
      <c r="C88" s="123" t="s">
        <v>318</v>
      </c>
      <c r="D88" s="213">
        <v>0</v>
      </c>
      <c r="E88" s="213">
        <v>0</v>
      </c>
      <c r="F88" s="214">
        <v>0</v>
      </c>
    </row>
    <row r="89" spans="1:6" x14ac:dyDescent="0.15">
      <c r="A89" s="88"/>
      <c r="B89" s="88"/>
      <c r="C89" s="106"/>
      <c r="D89" s="88"/>
      <c r="E89" s="88"/>
      <c r="F89" s="88"/>
    </row>
    <row r="90" spans="1:6" ht="12.75" customHeight="1" x14ac:dyDescent="0.15">
      <c r="A90" s="263" t="s">
        <v>166</v>
      </c>
      <c r="B90" s="263"/>
      <c r="C90" s="263"/>
      <c r="D90" s="263" t="s">
        <v>167</v>
      </c>
      <c r="E90" s="263"/>
      <c r="F90" s="263"/>
    </row>
    <row r="91" spans="1:6" ht="12.75" customHeight="1" x14ac:dyDescent="0.15">
      <c r="A91" s="261" t="s">
        <v>168</v>
      </c>
      <c r="B91" s="261"/>
      <c r="C91" s="261"/>
      <c r="D91" s="262" t="s">
        <v>169</v>
      </c>
      <c r="E91" s="262"/>
      <c r="F91" s="262"/>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63" t="s">
        <v>170</v>
      </c>
      <c r="B97" s="263"/>
      <c r="C97" s="263"/>
      <c r="D97" s="263" t="s">
        <v>171</v>
      </c>
      <c r="E97" s="263"/>
      <c r="F97" s="263"/>
    </row>
    <row r="98" spans="1:6" ht="12.75" customHeight="1" x14ac:dyDescent="0.15">
      <c r="A98" s="260" t="s">
        <v>319</v>
      </c>
      <c r="B98" s="260"/>
      <c r="C98" s="260"/>
      <c r="D98" s="260" t="s">
        <v>173</v>
      </c>
      <c r="E98" s="260"/>
      <c r="F98" s="260"/>
    </row>
    <row r="99" spans="1:6" ht="12.75" customHeight="1" x14ac:dyDescent="0.15">
      <c r="A99" s="260" t="s">
        <v>174</v>
      </c>
      <c r="B99" s="260"/>
      <c r="C99" s="260"/>
      <c r="D99" s="260" t="s">
        <v>175</v>
      </c>
      <c r="E99" s="260"/>
      <c r="F99" s="260"/>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zoomScaleNormal="100" zoomScaleSheetLayoutView="100" workbookViewId="0">
      <selection activeCell="C11" sqref="C11:G11"/>
    </sheetView>
  </sheetViews>
  <sheetFormatPr defaultColWidth="9.140625" defaultRowHeight="10.5" x14ac:dyDescent="0.25"/>
  <cols>
    <col min="1" max="1" width="5.28515625" style="109" customWidth="1"/>
    <col min="2" max="2" width="42.7109375" style="109" customWidth="1"/>
    <col min="3" max="3" width="9.140625" style="109"/>
    <col min="4" max="4" width="12.42578125" style="109" bestFit="1" customWidth="1"/>
    <col min="5" max="5" width="11.42578125" style="109" bestFit="1" customWidth="1"/>
    <col min="6" max="6" width="19" style="109" bestFit="1" customWidth="1"/>
    <col min="7" max="7" width="10.7109375" style="109" bestFit="1" customWidth="1"/>
    <col min="8" max="8" width="9.140625" style="109"/>
    <col min="9" max="9" width="16.5703125" style="109" bestFit="1" customWidth="1"/>
    <col min="10" max="16384" width="9.140625" style="109"/>
  </cols>
  <sheetData>
    <row r="1" spans="1:7" ht="30.75" customHeight="1" x14ac:dyDescent="0.25">
      <c r="A1" s="124"/>
      <c r="B1" s="124"/>
      <c r="C1" s="86"/>
      <c r="D1" s="263" t="s">
        <v>0</v>
      </c>
      <c r="E1" s="263"/>
      <c r="F1" s="263"/>
      <c r="G1" s="263"/>
    </row>
    <row r="2" spans="1:7" ht="27.75" customHeight="1" x14ac:dyDescent="0.25">
      <c r="A2" s="271" t="s">
        <v>1</v>
      </c>
      <c r="B2" s="271"/>
      <c r="C2" s="271"/>
      <c r="D2" s="271"/>
      <c r="E2" s="271"/>
      <c r="F2" s="271"/>
      <c r="G2" s="271"/>
    </row>
    <row r="3" spans="1:7" ht="6" customHeight="1" x14ac:dyDescent="0.25">
      <c r="A3" s="124"/>
      <c r="B3" s="124"/>
      <c r="C3" s="124"/>
      <c r="D3" s="124"/>
      <c r="E3" s="124"/>
      <c r="F3" s="124"/>
      <c r="G3" s="124"/>
    </row>
    <row r="4" spans="1:7" ht="30" customHeight="1" x14ac:dyDescent="0.25">
      <c r="A4" s="272" t="s">
        <v>2</v>
      </c>
      <c r="B4" s="272"/>
      <c r="C4" s="272"/>
      <c r="D4" s="272"/>
      <c r="E4" s="272"/>
      <c r="F4" s="272"/>
      <c r="G4" s="272"/>
    </row>
    <row r="5" spans="1:7" ht="12.75" customHeight="1" x14ac:dyDescent="0.25">
      <c r="A5" s="262" t="s">
        <v>1066</v>
      </c>
      <c r="B5" s="262"/>
      <c r="C5" s="262"/>
      <c r="D5" s="262"/>
      <c r="E5" s="262"/>
      <c r="F5" s="262"/>
      <c r="G5" s="262"/>
    </row>
    <row r="6" spans="1:7" ht="12.75" customHeight="1" x14ac:dyDescent="0.25">
      <c r="A6" s="108" t="s">
        <v>3</v>
      </c>
      <c r="B6" s="125" t="s">
        <v>4</v>
      </c>
      <c r="C6" s="274" t="s">
        <v>5</v>
      </c>
      <c r="D6" s="274"/>
      <c r="E6" s="274"/>
      <c r="F6" s="274"/>
      <c r="G6" s="274"/>
    </row>
    <row r="7" spans="1:7" ht="12.75" customHeight="1" x14ac:dyDescent="0.25">
      <c r="A7" s="124"/>
      <c r="B7" s="124" t="s">
        <v>6</v>
      </c>
      <c r="C7" s="275" t="s">
        <v>7</v>
      </c>
      <c r="D7" s="275"/>
      <c r="E7" s="275"/>
      <c r="F7" s="275"/>
      <c r="G7" s="275"/>
    </row>
    <row r="8" spans="1:7" ht="12.75" customHeight="1" x14ac:dyDescent="0.25">
      <c r="A8" s="108" t="s">
        <v>8</v>
      </c>
      <c r="B8" s="125" t="s">
        <v>9</v>
      </c>
      <c r="C8" s="274" t="s">
        <v>10</v>
      </c>
      <c r="D8" s="274"/>
      <c r="E8" s="274"/>
      <c r="F8" s="274"/>
      <c r="G8" s="274"/>
    </row>
    <row r="9" spans="1:7" ht="12.75" customHeight="1" x14ac:dyDescent="0.25">
      <c r="A9" s="124"/>
      <c r="B9" s="124" t="s">
        <v>11</v>
      </c>
      <c r="C9" s="275" t="s">
        <v>12</v>
      </c>
      <c r="D9" s="275"/>
      <c r="E9" s="275"/>
      <c r="F9" s="275"/>
      <c r="G9" s="275"/>
    </row>
    <row r="10" spans="1:7" ht="12.75" customHeight="1" x14ac:dyDescent="0.25">
      <c r="A10" s="108" t="s">
        <v>13</v>
      </c>
      <c r="B10" s="125" t="s">
        <v>14</v>
      </c>
      <c r="C10" s="274" t="s">
        <v>15</v>
      </c>
      <c r="D10" s="274"/>
      <c r="E10" s="274"/>
      <c r="F10" s="274"/>
      <c r="G10" s="274"/>
    </row>
    <row r="11" spans="1:7" ht="12.75" customHeight="1" x14ac:dyDescent="0.25">
      <c r="A11" s="124"/>
      <c r="B11" s="124" t="s">
        <v>16</v>
      </c>
      <c r="C11" s="275" t="s">
        <v>17</v>
      </c>
      <c r="D11" s="275"/>
      <c r="E11" s="275"/>
      <c r="F11" s="275"/>
      <c r="G11" s="275"/>
    </row>
    <row r="12" spans="1:7" ht="12.75" customHeight="1" x14ac:dyDescent="0.25">
      <c r="A12" s="108" t="s">
        <v>18</v>
      </c>
      <c r="B12" s="125" t="s">
        <v>19</v>
      </c>
      <c r="C12" s="266">
        <f>+TONGQUAN!E12</f>
        <v>44869</v>
      </c>
      <c r="D12" s="266"/>
      <c r="E12" s="266"/>
      <c r="F12" s="266"/>
      <c r="G12" s="266"/>
    </row>
    <row r="13" spans="1:7" ht="12.75" customHeight="1" x14ac:dyDescent="0.25">
      <c r="A13" s="124"/>
      <c r="B13" s="124" t="s">
        <v>20</v>
      </c>
      <c r="C13" s="267">
        <f>+C12</f>
        <v>44869</v>
      </c>
      <c r="D13" s="267"/>
      <c r="E13" s="267"/>
      <c r="F13" s="267"/>
      <c r="G13" s="267"/>
    </row>
    <row r="14" spans="1:7" ht="9" customHeight="1" x14ac:dyDescent="0.25">
      <c r="A14" s="124"/>
      <c r="B14" s="124"/>
      <c r="C14" s="126"/>
      <c r="D14" s="124"/>
      <c r="E14" s="124"/>
      <c r="F14" s="124"/>
      <c r="G14" s="124"/>
    </row>
    <row r="15" spans="1:7" ht="12.75" customHeight="1" x14ac:dyDescent="0.25">
      <c r="A15" s="276" t="s">
        <v>21</v>
      </c>
      <c r="B15" s="276"/>
      <c r="C15" s="276"/>
      <c r="D15" s="276"/>
      <c r="E15" s="276"/>
      <c r="F15" s="276"/>
      <c r="G15" s="276"/>
    </row>
    <row r="16" spans="1:7" ht="12.75" customHeight="1" x14ac:dyDescent="0.25">
      <c r="A16" s="274" t="s">
        <v>22</v>
      </c>
      <c r="B16" s="274"/>
      <c r="C16" s="274"/>
      <c r="D16" s="274"/>
      <c r="E16" s="274"/>
      <c r="F16" s="274"/>
      <c r="G16" s="274"/>
    </row>
    <row r="17" spans="1:7" ht="12.75" customHeight="1" x14ac:dyDescent="0.25">
      <c r="A17" s="127"/>
      <c r="B17" s="127"/>
      <c r="C17" s="128"/>
      <c r="D17" s="127"/>
      <c r="E17" s="127"/>
      <c r="F17" s="277" t="s">
        <v>23</v>
      </c>
      <c r="G17" s="277"/>
    </row>
    <row r="18" spans="1:7" ht="74.25" customHeight="1" x14ac:dyDescent="0.25">
      <c r="A18" s="93" t="s">
        <v>24</v>
      </c>
      <c r="B18" s="94" t="s">
        <v>25</v>
      </c>
      <c r="C18" s="94" t="s">
        <v>26</v>
      </c>
      <c r="D18" s="94" t="s">
        <v>27</v>
      </c>
      <c r="E18" s="94" t="s">
        <v>28</v>
      </c>
      <c r="F18" s="94" t="s">
        <v>29</v>
      </c>
      <c r="G18" s="95" t="s">
        <v>30</v>
      </c>
    </row>
    <row r="19" spans="1:7" ht="21" x14ac:dyDescent="0.25">
      <c r="A19" s="96" t="s">
        <v>31</v>
      </c>
      <c r="B19" s="97" t="s">
        <v>32</v>
      </c>
      <c r="C19" s="98"/>
      <c r="D19" s="129">
        <v>0</v>
      </c>
      <c r="E19" s="116">
        <v>0</v>
      </c>
      <c r="F19" s="116">
        <v>0</v>
      </c>
      <c r="G19" s="100">
        <v>0</v>
      </c>
    </row>
    <row r="20" spans="1:7" ht="23.25" customHeight="1" x14ac:dyDescent="0.25">
      <c r="A20" s="96" t="s">
        <v>33</v>
      </c>
      <c r="B20" s="97" t="s">
        <v>34</v>
      </c>
      <c r="C20" s="98" t="s">
        <v>35</v>
      </c>
      <c r="D20" s="129">
        <v>0</v>
      </c>
      <c r="E20" s="116">
        <v>0</v>
      </c>
      <c r="F20" s="116">
        <v>0</v>
      </c>
      <c r="G20" s="100">
        <v>0</v>
      </c>
    </row>
    <row r="21" spans="1:7" ht="15" customHeight="1" x14ac:dyDescent="0.25">
      <c r="A21" s="96" t="s">
        <v>3</v>
      </c>
      <c r="B21" s="97" t="s">
        <v>36</v>
      </c>
      <c r="C21" s="98" t="s">
        <v>37</v>
      </c>
      <c r="D21" s="207">
        <v>54678616</v>
      </c>
      <c r="E21" s="207">
        <v>22400</v>
      </c>
      <c r="F21" s="207">
        <v>1224800998400</v>
      </c>
      <c r="G21" s="100">
        <v>8.2900000000000001E-2</v>
      </c>
    </row>
    <row r="22" spans="1:7" ht="15" customHeight="1" x14ac:dyDescent="0.25">
      <c r="A22" s="96" t="s">
        <v>8</v>
      </c>
      <c r="B22" s="97" t="s">
        <v>39</v>
      </c>
      <c r="C22" s="98" t="s">
        <v>38</v>
      </c>
      <c r="D22" s="207">
        <v>3979015</v>
      </c>
      <c r="E22" s="207">
        <v>24600</v>
      </c>
      <c r="F22" s="207">
        <v>97883769000</v>
      </c>
      <c r="G22" s="100">
        <v>6.6E-3</v>
      </c>
    </row>
    <row r="23" spans="1:7" ht="15" customHeight="1" x14ac:dyDescent="0.25">
      <c r="A23" s="96" t="s">
        <v>13</v>
      </c>
      <c r="B23" s="97" t="s">
        <v>41</v>
      </c>
      <c r="C23" s="98" t="s">
        <v>40</v>
      </c>
      <c r="D23" s="207">
        <v>684600</v>
      </c>
      <c r="E23" s="207">
        <v>49000</v>
      </c>
      <c r="F23" s="207">
        <v>33545400000</v>
      </c>
      <c r="G23" s="100">
        <v>2.3E-3</v>
      </c>
    </row>
    <row r="24" spans="1:7" ht="15" customHeight="1" x14ac:dyDescent="0.25">
      <c r="A24" s="96" t="s">
        <v>18</v>
      </c>
      <c r="B24" s="97" t="s">
        <v>44</v>
      </c>
      <c r="C24" s="98" t="s">
        <v>42</v>
      </c>
      <c r="D24" s="207">
        <v>4329800</v>
      </c>
      <c r="E24" s="207">
        <v>37000</v>
      </c>
      <c r="F24" s="207">
        <v>160202600000</v>
      </c>
      <c r="G24" s="100">
        <v>1.0800000000000001E-2</v>
      </c>
    </row>
    <row r="25" spans="1:7" ht="15" customHeight="1" x14ac:dyDescent="0.25">
      <c r="A25" s="96" t="s">
        <v>43</v>
      </c>
      <c r="B25" s="97" t="s">
        <v>47</v>
      </c>
      <c r="C25" s="98" t="s">
        <v>45</v>
      </c>
      <c r="D25" s="207">
        <v>30920934</v>
      </c>
      <c r="E25" s="207">
        <v>75600</v>
      </c>
      <c r="F25" s="207">
        <v>2337622610400</v>
      </c>
      <c r="G25" s="100">
        <v>0.15820000000000001</v>
      </c>
    </row>
    <row r="26" spans="1:7" ht="15" customHeight="1" x14ac:dyDescent="0.25">
      <c r="A26" s="96" t="s">
        <v>46</v>
      </c>
      <c r="B26" s="97" t="s">
        <v>50</v>
      </c>
      <c r="C26" s="98" t="s">
        <v>48</v>
      </c>
      <c r="D26" s="207">
        <v>7987250</v>
      </c>
      <c r="E26" s="207">
        <v>45950</v>
      </c>
      <c r="F26" s="207">
        <v>367014137500</v>
      </c>
      <c r="G26" s="100">
        <v>2.4799999999999999E-2</v>
      </c>
    </row>
    <row r="27" spans="1:7" ht="15" customHeight="1" x14ac:dyDescent="0.25">
      <c r="A27" s="96" t="s">
        <v>49</v>
      </c>
      <c r="B27" s="97" t="s">
        <v>53</v>
      </c>
      <c r="C27" s="98" t="s">
        <v>51</v>
      </c>
      <c r="D27" s="207">
        <v>9433702</v>
      </c>
      <c r="E27" s="207">
        <v>22700</v>
      </c>
      <c r="F27" s="207">
        <v>214145035400</v>
      </c>
      <c r="G27" s="100">
        <v>1.4500000000000001E-2</v>
      </c>
    </row>
    <row r="28" spans="1:7" ht="15" customHeight="1" x14ac:dyDescent="0.25">
      <c r="A28" s="96" t="s">
        <v>52</v>
      </c>
      <c r="B28" s="97" t="s">
        <v>56</v>
      </c>
      <c r="C28" s="98" t="s">
        <v>54</v>
      </c>
      <c r="D28" s="207">
        <v>48211620</v>
      </c>
      <c r="E28" s="207">
        <v>17700</v>
      </c>
      <c r="F28" s="207">
        <v>853345674000</v>
      </c>
      <c r="G28" s="100">
        <v>5.7700000000000001E-2</v>
      </c>
    </row>
    <row r="29" spans="1:7" ht="15" customHeight="1" x14ac:dyDescent="0.25">
      <c r="A29" s="96" t="s">
        <v>55</v>
      </c>
      <c r="B29" s="97" t="s">
        <v>59</v>
      </c>
      <c r="C29" s="98" t="s">
        <v>57</v>
      </c>
      <c r="D29" s="207">
        <v>31961087</v>
      </c>
      <c r="E29" s="207">
        <v>12400</v>
      </c>
      <c r="F29" s="207">
        <v>396317478800</v>
      </c>
      <c r="G29" s="100">
        <v>2.6800000000000001E-2</v>
      </c>
    </row>
    <row r="30" spans="1:7" ht="15" customHeight="1" x14ac:dyDescent="0.25">
      <c r="A30" s="96" t="s">
        <v>58</v>
      </c>
      <c r="B30" s="97" t="s">
        <v>62</v>
      </c>
      <c r="C30" s="98" t="s">
        <v>60</v>
      </c>
      <c r="D30" s="207">
        <v>41361840</v>
      </c>
      <c r="E30" s="207">
        <v>51600</v>
      </c>
      <c r="F30" s="207">
        <v>2134270944000</v>
      </c>
      <c r="G30" s="100">
        <v>0.1444</v>
      </c>
    </row>
    <row r="31" spans="1:7" ht="15" customHeight="1" x14ac:dyDescent="0.25">
      <c r="A31" s="96" t="s">
        <v>61</v>
      </c>
      <c r="B31" s="97" t="s">
        <v>65</v>
      </c>
      <c r="C31" s="98" t="s">
        <v>63</v>
      </c>
      <c r="D31" s="207">
        <v>3799788</v>
      </c>
      <c r="E31" s="207">
        <v>22800</v>
      </c>
      <c r="F31" s="207">
        <v>86635166400</v>
      </c>
      <c r="G31" s="100">
        <v>5.8999999999999999E-3</v>
      </c>
    </row>
    <row r="32" spans="1:7" ht="15" customHeight="1" x14ac:dyDescent="0.25">
      <c r="A32" s="96" t="s">
        <v>64</v>
      </c>
      <c r="B32" s="97" t="s">
        <v>68</v>
      </c>
      <c r="C32" s="98" t="s">
        <v>66</v>
      </c>
      <c r="D32" s="207">
        <v>7200400</v>
      </c>
      <c r="E32" s="207">
        <v>13200</v>
      </c>
      <c r="F32" s="207">
        <v>95045280000</v>
      </c>
      <c r="G32" s="100">
        <v>6.4000000000000003E-3</v>
      </c>
    </row>
    <row r="33" spans="1:7" ht="15" customHeight="1" x14ac:dyDescent="0.25">
      <c r="A33" s="96" t="s">
        <v>67</v>
      </c>
      <c r="B33" s="97" t="s">
        <v>71</v>
      </c>
      <c r="C33" s="98" t="s">
        <v>69</v>
      </c>
      <c r="D33" s="207">
        <v>22173628</v>
      </c>
      <c r="E33" s="207">
        <v>103300</v>
      </c>
      <c r="F33" s="207">
        <v>2290535772400</v>
      </c>
      <c r="G33" s="100">
        <v>0.155</v>
      </c>
    </row>
    <row r="34" spans="1:7" ht="15" customHeight="1" x14ac:dyDescent="0.25">
      <c r="A34" s="96" t="s">
        <v>70</v>
      </c>
      <c r="B34" s="97" t="s">
        <v>74</v>
      </c>
      <c r="C34" s="98" t="s">
        <v>72</v>
      </c>
      <c r="D34" s="207">
        <v>19634984</v>
      </c>
      <c r="E34" s="207">
        <v>79000</v>
      </c>
      <c r="F34" s="207">
        <v>1551163736000</v>
      </c>
      <c r="G34" s="100">
        <v>0.105</v>
      </c>
    </row>
    <row r="35" spans="1:7" ht="15" customHeight="1" x14ac:dyDescent="0.25">
      <c r="A35" s="96" t="s">
        <v>73</v>
      </c>
      <c r="B35" s="97" t="s">
        <v>77</v>
      </c>
      <c r="C35" s="98" t="s">
        <v>75</v>
      </c>
      <c r="D35" s="207">
        <v>43138300</v>
      </c>
      <c r="E35" s="207">
        <v>24600</v>
      </c>
      <c r="F35" s="207">
        <v>1061202180000</v>
      </c>
      <c r="G35" s="100">
        <v>7.1800000000000003E-2</v>
      </c>
    </row>
    <row r="36" spans="1:7" ht="15" customHeight="1" x14ac:dyDescent="0.25">
      <c r="A36" s="96" t="s">
        <v>76</v>
      </c>
      <c r="B36" s="97" t="s">
        <v>80</v>
      </c>
      <c r="C36" s="98" t="s">
        <v>78</v>
      </c>
      <c r="D36" s="207">
        <v>511450</v>
      </c>
      <c r="E36" s="207">
        <v>43900</v>
      </c>
      <c r="F36" s="207">
        <v>22452655000</v>
      </c>
      <c r="G36" s="100">
        <v>1.5E-3</v>
      </c>
    </row>
    <row r="37" spans="1:7" ht="15" customHeight="1" x14ac:dyDescent="0.25">
      <c r="A37" s="96" t="s">
        <v>79</v>
      </c>
      <c r="B37" s="97" t="s">
        <v>83</v>
      </c>
      <c r="C37" s="98" t="s">
        <v>81</v>
      </c>
      <c r="D37" s="207">
        <v>15540525</v>
      </c>
      <c r="E37" s="207">
        <v>20700</v>
      </c>
      <c r="F37" s="207">
        <v>321688867500</v>
      </c>
      <c r="G37" s="100">
        <v>2.18E-2</v>
      </c>
    </row>
    <row r="38" spans="1:7" ht="15" customHeight="1" x14ac:dyDescent="0.25">
      <c r="A38" s="96" t="s">
        <v>82</v>
      </c>
      <c r="B38" s="97" t="s">
        <v>86</v>
      </c>
      <c r="C38" s="98" t="s">
        <v>84</v>
      </c>
      <c r="D38" s="207">
        <v>16817104</v>
      </c>
      <c r="E38" s="207">
        <v>19600</v>
      </c>
      <c r="F38" s="207">
        <v>329615238400</v>
      </c>
      <c r="G38" s="100">
        <v>2.23E-2</v>
      </c>
    </row>
    <row r="39" spans="1:7" ht="15" customHeight="1" x14ac:dyDescent="0.25">
      <c r="A39" s="96" t="s">
        <v>85</v>
      </c>
      <c r="B39" s="97" t="s">
        <v>89</v>
      </c>
      <c r="C39" s="98" t="s">
        <v>87</v>
      </c>
      <c r="D39" s="207">
        <v>66377816</v>
      </c>
      <c r="E39" s="207">
        <v>16350</v>
      </c>
      <c r="F39" s="207">
        <v>1085277291600</v>
      </c>
      <c r="G39" s="100">
        <v>7.3400000000000007E-2</v>
      </c>
    </row>
    <row r="40" spans="1:7" ht="15" customHeight="1" x14ac:dyDescent="0.25">
      <c r="A40" s="96"/>
      <c r="B40" s="97" t="s">
        <v>94</v>
      </c>
      <c r="C40" s="98" t="s">
        <v>90</v>
      </c>
      <c r="D40" s="207"/>
      <c r="E40" s="207">
        <v>0</v>
      </c>
      <c r="F40" s="207">
        <v>14662764834800</v>
      </c>
      <c r="G40" s="100">
        <v>0.99219999999999997</v>
      </c>
    </row>
    <row r="41" spans="1:7" ht="42" x14ac:dyDescent="0.25">
      <c r="A41" s="96" t="s">
        <v>91</v>
      </c>
      <c r="B41" s="97" t="s">
        <v>92</v>
      </c>
      <c r="C41" s="98" t="s">
        <v>93</v>
      </c>
      <c r="D41" s="207">
        <v>0</v>
      </c>
      <c r="E41" s="207">
        <v>0</v>
      </c>
      <c r="F41" s="207">
        <v>0</v>
      </c>
      <c r="G41" s="100">
        <v>0</v>
      </c>
    </row>
    <row r="42" spans="1:7" ht="21" x14ac:dyDescent="0.25">
      <c r="A42" s="96"/>
      <c r="B42" s="97" t="s">
        <v>94</v>
      </c>
      <c r="C42" s="98" t="s">
        <v>95</v>
      </c>
      <c r="D42" s="207">
        <v>0</v>
      </c>
      <c r="E42" s="207">
        <v>0</v>
      </c>
      <c r="F42" s="207">
        <v>0</v>
      </c>
      <c r="G42" s="100">
        <v>0</v>
      </c>
    </row>
    <row r="43" spans="1:7" ht="21" x14ac:dyDescent="0.25">
      <c r="A43" s="96"/>
      <c r="B43" s="97" t="s">
        <v>96</v>
      </c>
      <c r="C43" s="98" t="s">
        <v>97</v>
      </c>
      <c r="D43" s="207"/>
      <c r="E43" s="207">
        <v>0</v>
      </c>
      <c r="F43" s="207">
        <v>14662764834800</v>
      </c>
      <c r="G43" s="100">
        <v>0.99219999999999997</v>
      </c>
    </row>
    <row r="44" spans="1:7" ht="21" x14ac:dyDescent="0.25">
      <c r="A44" s="96" t="s">
        <v>98</v>
      </c>
      <c r="B44" s="97" t="s">
        <v>99</v>
      </c>
      <c r="C44" s="98" t="s">
        <v>100</v>
      </c>
      <c r="D44" s="207">
        <v>0</v>
      </c>
      <c r="E44" s="207">
        <v>0</v>
      </c>
      <c r="F44" s="207">
        <v>0</v>
      </c>
      <c r="G44" s="100">
        <v>0</v>
      </c>
    </row>
    <row r="45" spans="1:7" ht="21" x14ac:dyDescent="0.25">
      <c r="A45" s="96"/>
      <c r="B45" s="97" t="s">
        <v>94</v>
      </c>
      <c r="C45" s="98" t="s">
        <v>101</v>
      </c>
      <c r="D45" s="207">
        <v>0</v>
      </c>
      <c r="E45" s="207">
        <v>0</v>
      </c>
      <c r="F45" s="207">
        <v>0</v>
      </c>
      <c r="G45" s="100">
        <v>0</v>
      </c>
    </row>
    <row r="46" spans="1:7" ht="21" x14ac:dyDescent="0.25">
      <c r="A46" s="96" t="s">
        <v>102</v>
      </c>
      <c r="B46" s="97" t="s">
        <v>103</v>
      </c>
      <c r="C46" s="98" t="s">
        <v>104</v>
      </c>
      <c r="D46" s="207">
        <v>0</v>
      </c>
      <c r="E46" s="207">
        <v>0</v>
      </c>
      <c r="F46" s="207">
        <v>0</v>
      </c>
      <c r="G46" s="100">
        <v>0</v>
      </c>
    </row>
    <row r="47" spans="1:7" ht="21" x14ac:dyDescent="0.25">
      <c r="A47" s="96" t="s">
        <v>3</v>
      </c>
      <c r="B47" s="97" t="s">
        <v>105</v>
      </c>
      <c r="C47" s="98" t="s">
        <v>106</v>
      </c>
      <c r="D47" s="207">
        <v>0</v>
      </c>
      <c r="E47" s="207">
        <v>0</v>
      </c>
      <c r="F47" s="207">
        <v>0</v>
      </c>
      <c r="G47" s="100">
        <v>0</v>
      </c>
    </row>
    <row r="48" spans="1:7" ht="21" x14ac:dyDescent="0.25">
      <c r="A48" s="96" t="s">
        <v>8</v>
      </c>
      <c r="B48" s="97" t="s">
        <v>107</v>
      </c>
      <c r="C48" s="98" t="s">
        <v>108</v>
      </c>
      <c r="D48" s="207">
        <v>0</v>
      </c>
      <c r="E48" s="207">
        <v>0</v>
      </c>
      <c r="F48" s="207">
        <v>0</v>
      </c>
      <c r="G48" s="100">
        <v>0</v>
      </c>
    </row>
    <row r="49" spans="1:7" ht="21" x14ac:dyDescent="0.25">
      <c r="A49" s="96"/>
      <c r="B49" s="97" t="s">
        <v>94</v>
      </c>
      <c r="C49" s="98" t="s">
        <v>109</v>
      </c>
      <c r="D49" s="207">
        <v>0</v>
      </c>
      <c r="E49" s="207">
        <v>0</v>
      </c>
      <c r="F49" s="207">
        <v>0</v>
      </c>
      <c r="G49" s="100">
        <v>0</v>
      </c>
    </row>
    <row r="50" spans="1:7" ht="21" x14ac:dyDescent="0.25">
      <c r="A50" s="96"/>
      <c r="B50" s="97" t="s">
        <v>110</v>
      </c>
      <c r="C50" s="98" t="s">
        <v>111</v>
      </c>
      <c r="D50" s="207"/>
      <c r="E50" s="207">
        <v>0</v>
      </c>
      <c r="F50" s="207">
        <v>14662764834800</v>
      </c>
      <c r="G50" s="100">
        <v>0.99219999999999997</v>
      </c>
    </row>
    <row r="51" spans="1:7" ht="21" x14ac:dyDescent="0.25">
      <c r="A51" s="96" t="s">
        <v>112</v>
      </c>
      <c r="B51" s="97" t="s">
        <v>113</v>
      </c>
      <c r="C51" s="98" t="s">
        <v>114</v>
      </c>
      <c r="D51" s="207">
        <v>0</v>
      </c>
      <c r="E51" s="207">
        <v>0</v>
      </c>
      <c r="F51" s="207">
        <v>0</v>
      </c>
      <c r="G51" s="100">
        <v>0</v>
      </c>
    </row>
    <row r="52" spans="1:7" ht="21" x14ac:dyDescent="0.25">
      <c r="A52" s="96" t="s">
        <v>3</v>
      </c>
      <c r="B52" s="97" t="s">
        <v>115</v>
      </c>
      <c r="C52" s="98" t="s">
        <v>116</v>
      </c>
      <c r="D52" s="207">
        <v>0</v>
      </c>
      <c r="E52" s="207">
        <v>0</v>
      </c>
      <c r="F52" s="207">
        <v>17742422400</v>
      </c>
      <c r="G52" s="100">
        <v>1.1999999999999999E-3</v>
      </c>
    </row>
    <row r="53" spans="1:7" ht="21" x14ac:dyDescent="0.25">
      <c r="A53" s="96" t="s">
        <v>8</v>
      </c>
      <c r="B53" s="97" t="s">
        <v>117</v>
      </c>
      <c r="C53" s="98" t="s">
        <v>118</v>
      </c>
      <c r="D53" s="207">
        <v>0</v>
      </c>
      <c r="E53" s="207">
        <v>0</v>
      </c>
      <c r="F53" s="207">
        <v>0</v>
      </c>
      <c r="G53" s="100">
        <v>0</v>
      </c>
    </row>
    <row r="54" spans="1:7" ht="21" x14ac:dyDescent="0.25">
      <c r="A54" s="96" t="s">
        <v>13</v>
      </c>
      <c r="B54" s="97" t="s">
        <v>119</v>
      </c>
      <c r="C54" s="98" t="s">
        <v>120</v>
      </c>
      <c r="D54" s="207">
        <v>0</v>
      </c>
      <c r="E54" s="207">
        <v>0</v>
      </c>
      <c r="F54" s="207">
        <v>0</v>
      </c>
      <c r="G54" s="100">
        <v>0</v>
      </c>
    </row>
    <row r="55" spans="1:7" ht="22.5" customHeight="1" x14ac:dyDescent="0.25">
      <c r="A55" s="96" t="s">
        <v>18</v>
      </c>
      <c r="B55" s="97" t="s">
        <v>121</v>
      </c>
      <c r="C55" s="98" t="s">
        <v>122</v>
      </c>
      <c r="D55" s="207">
        <v>0</v>
      </c>
      <c r="E55" s="207">
        <v>0</v>
      </c>
      <c r="F55" s="207">
        <v>22658360000</v>
      </c>
      <c r="G55" s="100">
        <v>1.5E-3</v>
      </c>
    </row>
    <row r="56" spans="1:7" ht="21" x14ac:dyDescent="0.25">
      <c r="A56" s="96" t="s">
        <v>43</v>
      </c>
      <c r="B56" s="97" t="s">
        <v>123</v>
      </c>
      <c r="C56" s="98" t="s">
        <v>124</v>
      </c>
      <c r="D56" s="207">
        <v>0</v>
      </c>
      <c r="E56" s="207">
        <v>0</v>
      </c>
      <c r="F56" s="207">
        <v>0</v>
      </c>
      <c r="G56" s="100">
        <v>0</v>
      </c>
    </row>
    <row r="57" spans="1:7" ht="21" x14ac:dyDescent="0.25">
      <c r="A57" s="96" t="s">
        <v>46</v>
      </c>
      <c r="B57" s="97" t="s">
        <v>125</v>
      </c>
      <c r="C57" s="98" t="s">
        <v>126</v>
      </c>
      <c r="D57" s="207">
        <v>0</v>
      </c>
      <c r="E57" s="207">
        <v>0</v>
      </c>
      <c r="F57" s="207">
        <v>0</v>
      </c>
      <c r="G57" s="100">
        <v>0</v>
      </c>
    </row>
    <row r="58" spans="1:7" ht="21" x14ac:dyDescent="0.25">
      <c r="A58" s="96" t="s">
        <v>49</v>
      </c>
      <c r="B58" s="97" t="s">
        <v>127</v>
      </c>
      <c r="C58" s="98" t="s">
        <v>128</v>
      </c>
      <c r="D58" s="207">
        <v>0</v>
      </c>
      <c r="E58" s="207">
        <v>0</v>
      </c>
      <c r="F58" s="207">
        <v>0</v>
      </c>
      <c r="G58" s="100">
        <v>0</v>
      </c>
    </row>
    <row r="59" spans="1:7" ht="21" x14ac:dyDescent="0.25">
      <c r="A59" s="96" t="s">
        <v>52</v>
      </c>
      <c r="B59" s="97" t="s">
        <v>129</v>
      </c>
      <c r="C59" s="98" t="s">
        <v>130</v>
      </c>
      <c r="D59" s="207">
        <v>0</v>
      </c>
      <c r="E59" s="207">
        <v>0</v>
      </c>
      <c r="F59" s="207">
        <v>0</v>
      </c>
      <c r="G59" s="100">
        <v>0</v>
      </c>
    </row>
    <row r="60" spans="1:7" ht="21" x14ac:dyDescent="0.25">
      <c r="A60" s="96" t="s">
        <v>55</v>
      </c>
      <c r="B60" s="97" t="s">
        <v>131</v>
      </c>
      <c r="C60" s="98" t="s">
        <v>132</v>
      </c>
      <c r="D60" s="207">
        <v>0</v>
      </c>
      <c r="E60" s="207">
        <v>0</v>
      </c>
      <c r="F60" s="207">
        <v>0</v>
      </c>
      <c r="G60" s="100">
        <v>0</v>
      </c>
    </row>
    <row r="61" spans="1:7" ht="21" customHeight="1" x14ac:dyDescent="0.25">
      <c r="A61" s="96" t="s">
        <v>58</v>
      </c>
      <c r="B61" s="97" t="s">
        <v>133</v>
      </c>
      <c r="C61" s="98" t="s">
        <v>134</v>
      </c>
      <c r="D61" s="207">
        <v>0</v>
      </c>
      <c r="E61" s="207">
        <v>0</v>
      </c>
      <c r="F61" s="207">
        <v>0</v>
      </c>
      <c r="G61" s="100">
        <v>0</v>
      </c>
    </row>
    <row r="62" spans="1:7" ht="21" x14ac:dyDescent="0.25">
      <c r="A62" s="96"/>
      <c r="B62" s="97" t="s">
        <v>94</v>
      </c>
      <c r="C62" s="98" t="s">
        <v>135</v>
      </c>
      <c r="D62" s="207">
        <v>0</v>
      </c>
      <c r="E62" s="207">
        <v>0</v>
      </c>
      <c r="F62" s="207">
        <v>40400782400</v>
      </c>
      <c r="G62" s="100">
        <v>2.7000000000000001E-3</v>
      </c>
    </row>
    <row r="63" spans="1:7" ht="21" x14ac:dyDescent="0.25">
      <c r="A63" s="96" t="s">
        <v>136</v>
      </c>
      <c r="B63" s="97" t="s">
        <v>137</v>
      </c>
      <c r="C63" s="98" t="s">
        <v>138</v>
      </c>
      <c r="D63" s="207">
        <v>0</v>
      </c>
      <c r="E63" s="207">
        <v>0</v>
      </c>
      <c r="F63" s="207">
        <v>0</v>
      </c>
      <c r="G63" s="100">
        <v>0</v>
      </c>
    </row>
    <row r="64" spans="1:7" ht="21" x14ac:dyDescent="0.25">
      <c r="A64" s="96" t="s">
        <v>3</v>
      </c>
      <c r="B64" s="97" t="s">
        <v>139</v>
      </c>
      <c r="C64" s="98" t="s">
        <v>140</v>
      </c>
      <c r="D64" s="207">
        <v>0</v>
      </c>
      <c r="E64" s="207">
        <v>0</v>
      </c>
      <c r="F64" s="207">
        <v>75581000747</v>
      </c>
      <c r="G64" s="100">
        <v>5.1000000000000004E-3</v>
      </c>
    </row>
    <row r="65" spans="1:9" ht="21" x14ac:dyDescent="0.25">
      <c r="A65" s="96"/>
      <c r="B65" s="97" t="s">
        <v>141</v>
      </c>
      <c r="C65" s="98" t="s">
        <v>142</v>
      </c>
      <c r="D65" s="207">
        <v>0</v>
      </c>
      <c r="E65" s="207">
        <v>0</v>
      </c>
      <c r="F65" s="207">
        <v>0</v>
      </c>
      <c r="G65" s="100">
        <v>0</v>
      </c>
    </row>
    <row r="66" spans="1:9" ht="21" x14ac:dyDescent="0.25">
      <c r="A66" s="96"/>
      <c r="B66" s="97" t="s">
        <v>143</v>
      </c>
      <c r="C66" s="98" t="s">
        <v>144</v>
      </c>
      <c r="D66" s="207">
        <v>0</v>
      </c>
      <c r="E66" s="207">
        <v>0</v>
      </c>
      <c r="F66" s="207">
        <v>75581000747</v>
      </c>
      <c r="G66" s="100">
        <v>5.1000000000000004E-3</v>
      </c>
    </row>
    <row r="67" spans="1:9" ht="21" x14ac:dyDescent="0.25">
      <c r="A67" s="96"/>
      <c r="B67" s="97" t="s">
        <v>145</v>
      </c>
      <c r="C67" s="98" t="s">
        <v>146</v>
      </c>
      <c r="D67" s="207">
        <v>0</v>
      </c>
      <c r="E67" s="207">
        <v>0</v>
      </c>
      <c r="F67" s="207">
        <v>0</v>
      </c>
      <c r="G67" s="100">
        <v>0</v>
      </c>
    </row>
    <row r="68" spans="1:9" ht="21" x14ac:dyDescent="0.25">
      <c r="A68" s="96" t="s">
        <v>8</v>
      </c>
      <c r="B68" s="97" t="s">
        <v>147</v>
      </c>
      <c r="C68" s="98" t="s">
        <v>148</v>
      </c>
      <c r="D68" s="207">
        <v>0</v>
      </c>
      <c r="E68" s="207">
        <v>0</v>
      </c>
      <c r="F68" s="207">
        <v>0</v>
      </c>
      <c r="G68" s="100">
        <v>0</v>
      </c>
    </row>
    <row r="69" spans="1:9" ht="21" x14ac:dyDescent="0.25">
      <c r="A69" s="96" t="s">
        <v>13</v>
      </c>
      <c r="B69" s="97" t="s">
        <v>149</v>
      </c>
      <c r="C69" s="98" t="s">
        <v>150</v>
      </c>
      <c r="D69" s="207">
        <v>0</v>
      </c>
      <c r="E69" s="207">
        <v>0</v>
      </c>
      <c r="F69" s="207">
        <v>0</v>
      </c>
      <c r="G69" s="100">
        <v>0</v>
      </c>
    </row>
    <row r="70" spans="1:9" ht="21" x14ac:dyDescent="0.25">
      <c r="A70" s="96" t="s">
        <v>18</v>
      </c>
      <c r="B70" s="97" t="s">
        <v>151</v>
      </c>
      <c r="C70" s="98" t="s">
        <v>152</v>
      </c>
      <c r="D70" s="207">
        <v>0</v>
      </c>
      <c r="E70" s="207">
        <v>0</v>
      </c>
      <c r="F70" s="207">
        <v>0</v>
      </c>
      <c r="G70" s="100">
        <v>0</v>
      </c>
    </row>
    <row r="71" spans="1:9" ht="21" x14ac:dyDescent="0.25">
      <c r="A71" s="96"/>
      <c r="B71" s="97" t="s">
        <v>94</v>
      </c>
      <c r="C71" s="98" t="s">
        <v>153</v>
      </c>
      <c r="D71" s="207">
        <v>0</v>
      </c>
      <c r="E71" s="207">
        <v>0</v>
      </c>
      <c r="F71" s="207">
        <v>75581000747</v>
      </c>
      <c r="G71" s="100">
        <v>5.1000000000000004E-3</v>
      </c>
    </row>
    <row r="72" spans="1:9" ht="21" x14ac:dyDescent="0.25">
      <c r="A72" s="102" t="s">
        <v>154</v>
      </c>
      <c r="B72" s="103" t="s">
        <v>155</v>
      </c>
      <c r="C72" s="104" t="s">
        <v>156</v>
      </c>
      <c r="D72" s="213"/>
      <c r="E72" s="213">
        <v>0</v>
      </c>
      <c r="F72" s="213">
        <v>14778746617947</v>
      </c>
      <c r="G72" s="105">
        <v>1</v>
      </c>
    </row>
    <row r="73" spans="1:9" x14ac:dyDescent="0.25">
      <c r="A73" s="124"/>
      <c r="B73" s="124"/>
      <c r="C73" s="124"/>
      <c r="D73" s="124"/>
      <c r="E73" s="124"/>
      <c r="F73" s="124"/>
      <c r="G73" s="124"/>
      <c r="I73" s="120"/>
    </row>
    <row r="74" spans="1:9" ht="4.5" customHeight="1" x14ac:dyDescent="0.25">
      <c r="A74" s="278" t="s">
        <v>157</v>
      </c>
      <c r="B74" s="278"/>
      <c r="C74" s="124"/>
      <c r="D74" s="124"/>
      <c r="E74" s="124"/>
      <c r="F74" s="124"/>
      <c r="G74" s="124"/>
    </row>
    <row r="75" spans="1:9" ht="11.25" customHeight="1" x14ac:dyDescent="0.25">
      <c r="A75" s="279" t="s">
        <v>158</v>
      </c>
      <c r="B75" s="279"/>
      <c r="C75" s="279"/>
      <c r="D75" s="279"/>
      <c r="E75" s="279"/>
      <c r="F75" s="279"/>
      <c r="G75" s="279"/>
    </row>
    <row r="76" spans="1:9" ht="19.5" customHeight="1" x14ac:dyDescent="0.25">
      <c r="A76" s="127"/>
      <c r="B76" s="127"/>
      <c r="C76" s="127"/>
      <c r="D76" s="127"/>
      <c r="E76" s="127"/>
      <c r="F76" s="127"/>
      <c r="G76" s="127"/>
    </row>
    <row r="77" spans="1:9" ht="43.5" customHeight="1" x14ac:dyDescent="0.25">
      <c r="A77" s="130" t="s">
        <v>159</v>
      </c>
      <c r="B77" s="131" t="s">
        <v>160</v>
      </c>
      <c r="C77" s="131" t="s">
        <v>161</v>
      </c>
      <c r="D77" s="131" t="s">
        <v>162</v>
      </c>
      <c r="E77" s="131" t="s">
        <v>163</v>
      </c>
      <c r="F77" s="131" t="s">
        <v>164</v>
      </c>
      <c r="G77" s="132" t="s">
        <v>165</v>
      </c>
    </row>
    <row r="78" spans="1:9" x14ac:dyDescent="0.25">
      <c r="A78" s="124"/>
      <c r="B78" s="124"/>
      <c r="C78" s="124"/>
      <c r="D78" s="124"/>
      <c r="E78" s="124"/>
      <c r="F78" s="124"/>
      <c r="G78" s="124"/>
    </row>
    <row r="79" spans="1:9" ht="15" customHeight="1" x14ac:dyDescent="0.25">
      <c r="A79" s="273" t="s">
        <v>166</v>
      </c>
      <c r="B79" s="273"/>
      <c r="C79" s="273"/>
      <c r="D79" s="273" t="s">
        <v>167</v>
      </c>
      <c r="E79" s="273"/>
      <c r="F79" s="273"/>
      <c r="G79" s="273"/>
    </row>
    <row r="80" spans="1:9" ht="15" customHeight="1" x14ac:dyDescent="0.25">
      <c r="A80" s="262" t="s">
        <v>168</v>
      </c>
      <c r="B80" s="262"/>
      <c r="C80" s="262"/>
      <c r="D80" s="262" t="s">
        <v>169</v>
      </c>
      <c r="E80" s="262"/>
      <c r="F80" s="262"/>
      <c r="G80" s="262"/>
    </row>
    <row r="81" spans="1:7" ht="15" customHeight="1" x14ac:dyDescent="0.25">
      <c r="A81" s="124"/>
      <c r="B81" s="124"/>
      <c r="C81" s="124"/>
      <c r="D81" s="124"/>
      <c r="E81" s="124"/>
      <c r="F81" s="124"/>
      <c r="G81" s="124"/>
    </row>
    <row r="82" spans="1:7" ht="15" customHeight="1" x14ac:dyDescent="0.25">
      <c r="A82" s="124"/>
      <c r="B82" s="124"/>
      <c r="C82" s="124"/>
      <c r="D82" s="124"/>
      <c r="E82" s="124"/>
      <c r="F82" s="124"/>
      <c r="G82" s="124"/>
    </row>
    <row r="83" spans="1:7" ht="15" customHeight="1" x14ac:dyDescent="0.25">
      <c r="A83" s="124"/>
      <c r="B83" s="124"/>
      <c r="C83" s="124"/>
      <c r="D83" s="124"/>
      <c r="E83" s="124"/>
      <c r="F83" s="124"/>
      <c r="G83" s="124"/>
    </row>
    <row r="84" spans="1:7" ht="15.75" customHeight="1" x14ac:dyDescent="0.25">
      <c r="A84" s="124"/>
      <c r="B84" s="124"/>
      <c r="C84" s="124"/>
      <c r="D84" s="124"/>
      <c r="E84" s="124"/>
      <c r="F84" s="124"/>
      <c r="G84" s="124"/>
    </row>
    <row r="85" spans="1:7" ht="15.75" customHeight="1" x14ac:dyDescent="0.25">
      <c r="A85" s="124"/>
      <c r="B85" s="124"/>
      <c r="C85" s="124"/>
      <c r="D85" s="124"/>
      <c r="E85" s="124"/>
      <c r="F85" s="124"/>
      <c r="G85" s="124"/>
    </row>
    <row r="86" spans="1:7" ht="15.75" customHeight="1" x14ac:dyDescent="0.25">
      <c r="A86" s="273" t="s">
        <v>170</v>
      </c>
      <c r="B86" s="273"/>
      <c r="C86" s="273"/>
      <c r="D86" s="273" t="s">
        <v>171</v>
      </c>
      <c r="E86" s="273"/>
      <c r="F86" s="273"/>
      <c r="G86" s="273"/>
    </row>
    <row r="87" spans="1:7" ht="15" customHeight="1" x14ac:dyDescent="0.25">
      <c r="A87" s="273" t="s">
        <v>172</v>
      </c>
      <c r="B87" s="273"/>
      <c r="C87" s="273"/>
      <c r="D87" s="273" t="s">
        <v>173</v>
      </c>
      <c r="E87" s="273"/>
      <c r="F87" s="273"/>
      <c r="G87" s="273"/>
    </row>
    <row r="88" spans="1:7" ht="15" customHeight="1" x14ac:dyDescent="0.25">
      <c r="A88" s="273" t="s">
        <v>174</v>
      </c>
      <c r="B88" s="273"/>
      <c r="C88" s="273"/>
      <c r="D88" s="273" t="s">
        <v>175</v>
      </c>
      <c r="E88" s="273"/>
      <c r="F88" s="273"/>
      <c r="G88" s="273"/>
    </row>
    <row r="89" spans="1:7" ht="15" customHeight="1" x14ac:dyDescent="0.25"/>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58999997377395597" bottom="0.58999997377395597" header="0.5" footer="0.5"/>
  <pageSetup paperSize="9" scale="95"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A12" sqref="A12"/>
    </sheetView>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302" t="s">
        <v>320</v>
      </c>
      <c r="I1" s="302"/>
      <c r="J1" s="302"/>
      <c r="K1" s="302"/>
    </row>
    <row r="2" spans="1:11" ht="26.25" customHeight="1" x14ac:dyDescent="0.15">
      <c r="A2" s="303" t="s">
        <v>1023</v>
      </c>
      <c r="B2" s="303"/>
      <c r="C2" s="303"/>
      <c r="D2" s="303"/>
      <c r="E2" s="303"/>
      <c r="F2" s="303"/>
      <c r="G2" s="303"/>
      <c r="H2" s="303"/>
      <c r="I2" s="303"/>
      <c r="J2" s="303"/>
      <c r="K2" s="303"/>
    </row>
    <row r="3" spans="1:11" ht="28.5" customHeight="1" x14ac:dyDescent="0.15">
      <c r="A3" s="304" t="s">
        <v>1024</v>
      </c>
      <c r="B3" s="304"/>
      <c r="C3" s="304"/>
      <c r="D3" s="304"/>
      <c r="E3" s="304"/>
      <c r="F3" s="304"/>
      <c r="G3" s="304"/>
      <c r="H3" s="304"/>
      <c r="I3" s="304"/>
      <c r="J3" s="304"/>
      <c r="K3" s="304"/>
    </row>
    <row r="4" spans="1:11" ht="18" customHeight="1" x14ac:dyDescent="0.15">
      <c r="A4" s="305" t="s">
        <v>1061</v>
      </c>
      <c r="B4" s="306"/>
      <c r="C4" s="306"/>
      <c r="D4" s="306"/>
      <c r="E4" s="306"/>
      <c r="F4" s="306"/>
      <c r="G4" s="306"/>
      <c r="H4" s="306"/>
      <c r="I4" s="306"/>
      <c r="J4" s="306"/>
      <c r="K4" s="306"/>
    </row>
    <row r="5" spans="1:11" x14ac:dyDescent="0.15">
      <c r="A5" s="33"/>
      <c r="B5" s="34"/>
      <c r="C5" s="34"/>
      <c r="D5" s="35"/>
      <c r="E5" s="35"/>
      <c r="F5" s="34"/>
      <c r="G5" s="34"/>
      <c r="H5" s="34"/>
      <c r="I5" s="34"/>
      <c r="J5" s="34"/>
      <c r="K5" s="34"/>
    </row>
    <row r="6" spans="1:11" x14ac:dyDescent="0.15">
      <c r="A6" s="36">
        <v>1</v>
      </c>
      <c r="B6" s="37" t="s">
        <v>9</v>
      </c>
      <c r="C6" s="37" t="s">
        <v>1025</v>
      </c>
      <c r="D6" s="35"/>
      <c r="E6" s="35"/>
      <c r="F6" s="34"/>
      <c r="G6" s="34"/>
      <c r="H6" s="34"/>
      <c r="I6" s="34"/>
      <c r="J6" s="34"/>
      <c r="K6" s="34"/>
    </row>
    <row r="7" spans="1:11" x14ac:dyDescent="0.15">
      <c r="A7" s="36"/>
      <c r="B7" s="38" t="s">
        <v>11</v>
      </c>
      <c r="C7" s="38" t="s">
        <v>12</v>
      </c>
      <c r="D7" s="39"/>
      <c r="E7" s="39"/>
      <c r="F7" s="40"/>
      <c r="G7" s="40"/>
      <c r="H7" s="40"/>
      <c r="I7" s="40"/>
      <c r="J7" s="40"/>
      <c r="K7" s="40"/>
    </row>
    <row r="8" spans="1:11" ht="12.75" customHeight="1" x14ac:dyDescent="0.15">
      <c r="A8" s="41">
        <v>2</v>
      </c>
      <c r="B8" s="42" t="s">
        <v>14</v>
      </c>
      <c r="C8" s="43" t="s">
        <v>979</v>
      </c>
      <c r="D8" s="43"/>
      <c r="E8" s="43"/>
      <c r="F8" s="43"/>
      <c r="G8" s="43"/>
      <c r="H8" s="43"/>
      <c r="I8" s="44"/>
      <c r="J8" s="44"/>
      <c r="K8" s="44"/>
    </row>
    <row r="9" spans="1:11" ht="12.75" customHeight="1" x14ac:dyDescent="0.15">
      <c r="A9" s="41"/>
      <c r="B9" s="45" t="s">
        <v>980</v>
      </c>
      <c r="C9" s="46" t="s">
        <v>614</v>
      </c>
      <c r="D9" s="47"/>
      <c r="E9" s="47"/>
      <c r="F9" s="47"/>
      <c r="G9" s="47"/>
      <c r="H9" s="47"/>
      <c r="I9" s="48"/>
      <c r="J9" s="48"/>
      <c r="K9" s="48"/>
    </row>
    <row r="10" spans="1:11" ht="12.75" customHeight="1" x14ac:dyDescent="0.15">
      <c r="A10" s="41">
        <v>3</v>
      </c>
      <c r="B10" s="42" t="s">
        <v>387</v>
      </c>
      <c r="C10" s="43" t="s">
        <v>981</v>
      </c>
      <c r="D10" s="43"/>
      <c r="E10" s="43"/>
      <c r="F10" s="43"/>
      <c r="G10" s="43"/>
      <c r="H10" s="43"/>
      <c r="I10" s="44"/>
      <c r="J10" s="44"/>
      <c r="K10" s="44"/>
    </row>
    <row r="11" spans="1:11" ht="12.75" customHeight="1" x14ac:dyDescent="0.15">
      <c r="A11" s="41"/>
      <c r="B11" s="45" t="s">
        <v>982</v>
      </c>
      <c r="C11" s="47" t="s">
        <v>983</v>
      </c>
      <c r="D11" s="47"/>
      <c r="E11" s="47"/>
      <c r="F11" s="47"/>
      <c r="G11" s="47"/>
      <c r="H11" s="47"/>
      <c r="I11" s="44"/>
      <c r="J11" s="44"/>
      <c r="K11" s="44"/>
    </row>
    <row r="12" spans="1:11" ht="13.5" customHeight="1" x14ac:dyDescent="0.15">
      <c r="A12" s="41">
        <v>4</v>
      </c>
      <c r="B12" s="42" t="s">
        <v>19</v>
      </c>
      <c r="C12" s="266">
        <f>+TONGQUAN!E12</f>
        <v>44869</v>
      </c>
      <c r="D12" s="266"/>
      <c r="E12" s="266"/>
      <c r="F12" s="266"/>
      <c r="G12" s="43"/>
      <c r="H12" s="43"/>
      <c r="I12" s="49"/>
      <c r="J12" s="49"/>
      <c r="K12" s="49"/>
    </row>
    <row r="13" spans="1:11" ht="13.5" customHeight="1" x14ac:dyDescent="0.15">
      <c r="A13" s="47"/>
      <c r="B13" s="45" t="s">
        <v>20</v>
      </c>
      <c r="C13" s="267">
        <f>+C12</f>
        <v>44869</v>
      </c>
      <c r="D13" s="267"/>
      <c r="E13" s="267"/>
      <c r="F13" s="267"/>
      <c r="G13" s="301"/>
      <c r="H13" s="301"/>
      <c r="I13" s="50"/>
      <c r="J13" s="50"/>
      <c r="K13" s="50"/>
    </row>
    <row r="14" spans="1:11" x14ac:dyDescent="0.15">
      <c r="A14" s="51" t="s">
        <v>990</v>
      </c>
      <c r="B14" s="51" t="s">
        <v>1026</v>
      </c>
      <c r="C14" s="52"/>
      <c r="D14" s="53"/>
      <c r="E14" s="53"/>
      <c r="F14" s="53"/>
      <c r="G14" s="54"/>
      <c r="H14" s="54"/>
      <c r="I14" s="50"/>
      <c r="J14" s="50"/>
      <c r="K14" s="50"/>
    </row>
    <row r="15" spans="1:11" x14ac:dyDescent="0.15">
      <c r="A15" s="37" t="s">
        <v>98</v>
      </c>
      <c r="B15" s="37" t="s">
        <v>1027</v>
      </c>
      <c r="C15" s="55"/>
      <c r="D15" s="56"/>
      <c r="E15" s="56"/>
      <c r="F15" s="57"/>
      <c r="G15" s="57"/>
      <c r="H15" s="57"/>
      <c r="I15" s="57"/>
      <c r="J15" s="57"/>
      <c r="K15" s="57"/>
    </row>
    <row r="16" spans="1:11" ht="24.75" customHeight="1" x14ac:dyDescent="0.15">
      <c r="A16" s="284" t="s">
        <v>24</v>
      </c>
      <c r="B16" s="284" t="s">
        <v>1028</v>
      </c>
      <c r="C16" s="299" t="s">
        <v>26</v>
      </c>
      <c r="D16" s="284" t="s">
        <v>1029</v>
      </c>
      <c r="E16" s="284" t="s">
        <v>1030</v>
      </c>
      <c r="F16" s="284" t="s">
        <v>1031</v>
      </c>
      <c r="G16" s="284" t="s">
        <v>1032</v>
      </c>
      <c r="H16" s="286" t="s">
        <v>1033</v>
      </c>
      <c r="I16" s="287"/>
      <c r="J16" s="286" t="s">
        <v>1034</v>
      </c>
      <c r="K16" s="287"/>
    </row>
    <row r="17" spans="1:11" ht="58.5" customHeight="1" x14ac:dyDescent="0.15">
      <c r="A17" s="285"/>
      <c r="B17" s="285"/>
      <c r="C17" s="300"/>
      <c r="D17" s="285"/>
      <c r="E17" s="285"/>
      <c r="F17" s="285"/>
      <c r="G17" s="285"/>
      <c r="H17" s="198" t="s">
        <v>1035</v>
      </c>
      <c r="I17" s="198" t="s">
        <v>1036</v>
      </c>
      <c r="J17" s="198" t="s">
        <v>1037</v>
      </c>
      <c r="K17" s="198" t="s">
        <v>1038</v>
      </c>
    </row>
    <row r="18" spans="1:11" ht="21" x14ac:dyDescent="0.15">
      <c r="A18" s="58">
        <v>1</v>
      </c>
      <c r="B18" s="59" t="s">
        <v>1039</v>
      </c>
      <c r="C18" s="60" t="s">
        <v>381</v>
      </c>
      <c r="D18" s="288"/>
      <c r="E18" s="289"/>
      <c r="F18" s="289"/>
      <c r="G18" s="289"/>
      <c r="H18" s="289"/>
      <c r="I18" s="289"/>
      <c r="J18" s="289"/>
      <c r="K18" s="290"/>
    </row>
    <row r="19" spans="1:11" ht="21" x14ac:dyDescent="0.15">
      <c r="A19" s="58" t="s">
        <v>31</v>
      </c>
      <c r="B19" s="59" t="s">
        <v>1040</v>
      </c>
      <c r="C19" s="60" t="s">
        <v>1041</v>
      </c>
      <c r="D19" s="291"/>
      <c r="E19" s="292"/>
      <c r="F19" s="292"/>
      <c r="G19" s="292"/>
      <c r="H19" s="292"/>
      <c r="I19" s="292"/>
      <c r="J19" s="292"/>
      <c r="K19" s="293"/>
    </row>
    <row r="20" spans="1:11" ht="21" x14ac:dyDescent="0.15">
      <c r="A20" s="58">
        <v>2</v>
      </c>
      <c r="B20" s="59" t="s">
        <v>1042</v>
      </c>
      <c r="C20" s="60" t="s">
        <v>1043</v>
      </c>
      <c r="D20" s="291"/>
      <c r="E20" s="292"/>
      <c r="F20" s="292"/>
      <c r="G20" s="292"/>
      <c r="H20" s="292"/>
      <c r="I20" s="292"/>
      <c r="J20" s="292"/>
      <c r="K20" s="293"/>
    </row>
    <row r="21" spans="1:11" ht="21" x14ac:dyDescent="0.15">
      <c r="A21" s="58" t="s">
        <v>33</v>
      </c>
      <c r="B21" s="59" t="s">
        <v>1044</v>
      </c>
      <c r="C21" s="60" t="s">
        <v>1045</v>
      </c>
      <c r="D21" s="291"/>
      <c r="E21" s="292"/>
      <c r="F21" s="292"/>
      <c r="G21" s="292"/>
      <c r="H21" s="292"/>
      <c r="I21" s="292"/>
      <c r="J21" s="292"/>
      <c r="K21" s="293"/>
    </row>
    <row r="22" spans="1:11" ht="21" x14ac:dyDescent="0.15">
      <c r="A22" s="58" t="s">
        <v>990</v>
      </c>
      <c r="B22" s="61" t="s">
        <v>1046</v>
      </c>
      <c r="C22" s="60" t="s">
        <v>1047</v>
      </c>
      <c r="D22" s="291"/>
      <c r="E22" s="292"/>
      <c r="F22" s="292"/>
      <c r="G22" s="292"/>
      <c r="H22" s="292"/>
      <c r="I22" s="292"/>
      <c r="J22" s="292"/>
      <c r="K22" s="293"/>
    </row>
    <row r="23" spans="1:11" ht="21" x14ac:dyDescent="0.15">
      <c r="A23" s="62" t="s">
        <v>13</v>
      </c>
      <c r="B23" s="61" t="s">
        <v>1048</v>
      </c>
      <c r="C23" s="60" t="s">
        <v>1049</v>
      </c>
      <c r="D23" s="291"/>
      <c r="E23" s="292"/>
      <c r="F23" s="292"/>
      <c r="G23" s="292"/>
      <c r="H23" s="292"/>
      <c r="I23" s="292"/>
      <c r="J23" s="292"/>
      <c r="K23" s="293"/>
    </row>
    <row r="24" spans="1:11" ht="21" x14ac:dyDescent="0.15">
      <c r="A24" s="62" t="s">
        <v>91</v>
      </c>
      <c r="B24" s="59" t="s">
        <v>1050</v>
      </c>
      <c r="C24" s="60" t="s">
        <v>1051</v>
      </c>
      <c r="D24" s="291"/>
      <c r="E24" s="292"/>
      <c r="F24" s="292"/>
      <c r="G24" s="292"/>
      <c r="H24" s="292"/>
      <c r="I24" s="292"/>
      <c r="J24" s="292"/>
      <c r="K24" s="293"/>
    </row>
    <row r="25" spans="1:11" ht="21" x14ac:dyDescent="0.15">
      <c r="A25" s="62" t="s">
        <v>18</v>
      </c>
      <c r="B25" s="59" t="s">
        <v>1052</v>
      </c>
      <c r="C25" s="60" t="s">
        <v>1053</v>
      </c>
      <c r="D25" s="291"/>
      <c r="E25" s="292"/>
      <c r="F25" s="292"/>
      <c r="G25" s="292"/>
      <c r="H25" s="292"/>
      <c r="I25" s="292"/>
      <c r="J25" s="292"/>
      <c r="K25" s="293"/>
    </row>
    <row r="26" spans="1:11" ht="21" x14ac:dyDescent="0.15">
      <c r="A26" s="62" t="s">
        <v>98</v>
      </c>
      <c r="B26" s="59" t="s">
        <v>1050</v>
      </c>
      <c r="C26" s="60" t="s">
        <v>1054</v>
      </c>
      <c r="D26" s="291"/>
      <c r="E26" s="292"/>
      <c r="F26" s="292"/>
      <c r="G26" s="292"/>
      <c r="H26" s="292"/>
      <c r="I26" s="292"/>
      <c r="J26" s="292"/>
      <c r="K26" s="293"/>
    </row>
    <row r="27" spans="1:11" ht="25.5" customHeight="1" x14ac:dyDescent="0.15">
      <c r="A27" s="58" t="s">
        <v>1015</v>
      </c>
      <c r="B27" s="61" t="s">
        <v>1055</v>
      </c>
      <c r="C27" s="60" t="s">
        <v>1056</v>
      </c>
      <c r="D27" s="294"/>
      <c r="E27" s="295"/>
      <c r="F27" s="295"/>
      <c r="G27" s="295"/>
      <c r="H27" s="295"/>
      <c r="I27" s="295"/>
      <c r="J27" s="295"/>
      <c r="K27" s="296"/>
    </row>
    <row r="28" spans="1:11" ht="9" customHeight="1" x14ac:dyDescent="0.15">
      <c r="A28" s="57"/>
      <c r="B28" s="63"/>
      <c r="C28" s="63"/>
      <c r="D28" s="57"/>
      <c r="E28" s="57"/>
      <c r="F28" s="57"/>
      <c r="G28" s="57"/>
      <c r="H28" s="57"/>
      <c r="I28" s="57"/>
      <c r="J28" s="57"/>
      <c r="K28" s="57"/>
    </row>
    <row r="29" spans="1:11" x14ac:dyDescent="0.15">
      <c r="A29" s="297" t="s">
        <v>166</v>
      </c>
      <c r="B29" s="297"/>
      <c r="C29" s="297"/>
      <c r="E29" s="64"/>
      <c r="F29" s="65"/>
      <c r="G29" s="65"/>
      <c r="H29" s="298" t="s">
        <v>167</v>
      </c>
      <c r="I29" s="298"/>
      <c r="J29" s="298"/>
      <c r="K29" s="298"/>
    </row>
    <row r="30" spans="1:11" x14ac:dyDescent="0.15">
      <c r="A30" s="280" t="s">
        <v>168</v>
      </c>
      <c r="B30" s="280"/>
      <c r="C30" s="280"/>
      <c r="E30" s="66"/>
      <c r="F30" s="67"/>
      <c r="G30" s="67"/>
      <c r="H30" s="282" t="s">
        <v>169</v>
      </c>
      <c r="I30" s="282"/>
      <c r="J30" s="282"/>
      <c r="K30" s="282"/>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280" t="s">
        <v>1057</v>
      </c>
      <c r="B34" s="280"/>
      <c r="C34" s="280"/>
      <c r="E34" s="67"/>
      <c r="F34" s="67"/>
      <c r="G34" s="83"/>
      <c r="H34" s="283" t="s">
        <v>978</v>
      </c>
      <c r="I34" s="283"/>
      <c r="J34" s="283"/>
      <c r="K34" s="283"/>
    </row>
    <row r="35" spans="1:11" s="82" customFormat="1" ht="12.75" customHeight="1" x14ac:dyDescent="0.25">
      <c r="A35" s="280" t="s">
        <v>319</v>
      </c>
      <c r="B35" s="280"/>
      <c r="C35" s="280"/>
      <c r="E35" s="84"/>
      <c r="F35" s="85"/>
      <c r="G35" s="83"/>
      <c r="H35" s="281" t="s">
        <v>173</v>
      </c>
      <c r="I35" s="281"/>
      <c r="J35" s="281"/>
      <c r="K35" s="281"/>
    </row>
    <row r="36" spans="1:11" s="82" customFormat="1" ht="12.75" customHeight="1" x14ac:dyDescent="0.25">
      <c r="A36" s="280" t="s">
        <v>174</v>
      </c>
      <c r="B36" s="280"/>
      <c r="C36" s="280"/>
      <c r="H36" s="281" t="s">
        <v>175</v>
      </c>
      <c r="I36" s="281"/>
      <c r="J36" s="281"/>
      <c r="K36" s="281"/>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topLeftCell="A14" workbookViewId="0">
      <selection activeCell="F39" sqref="F39"/>
    </sheetView>
  </sheetViews>
  <sheetFormatPr defaultColWidth="9.140625" defaultRowHeight="10.5" x14ac:dyDescent="0.25"/>
  <cols>
    <col min="1" max="1" width="4.28515625" style="109" customWidth="1"/>
    <col min="2" max="2" width="12.5703125" style="109" customWidth="1"/>
    <col min="3" max="3" width="16.28515625" style="109" customWidth="1"/>
    <col min="4" max="4" width="16.140625" style="109" customWidth="1"/>
    <col min="5" max="5" width="9.140625" style="109"/>
    <col min="6" max="6" width="19.28515625" style="109" customWidth="1"/>
    <col min="7" max="7" width="20.5703125" style="109" customWidth="1"/>
    <col min="8" max="16384" width="9.140625" style="109"/>
  </cols>
  <sheetData>
    <row r="1" spans="1:7" ht="30.75" customHeight="1" x14ac:dyDescent="0.25">
      <c r="A1" s="275"/>
      <c r="B1" s="275"/>
      <c r="C1" s="124"/>
      <c r="D1" s="124"/>
      <c r="E1" s="263" t="s">
        <v>320</v>
      </c>
      <c r="F1" s="263"/>
      <c r="G1" s="263"/>
    </row>
    <row r="2" spans="1:7" ht="32.25" customHeight="1" x14ac:dyDescent="0.25">
      <c r="A2" s="271" t="s">
        <v>1</v>
      </c>
      <c r="B2" s="271"/>
      <c r="C2" s="271"/>
      <c r="D2" s="271"/>
      <c r="E2" s="271"/>
      <c r="F2" s="271"/>
      <c r="G2" s="271"/>
    </row>
    <row r="3" spans="1:7" ht="6.75" customHeight="1" x14ac:dyDescent="0.25">
      <c r="A3" s="124"/>
      <c r="B3" s="124"/>
      <c r="C3" s="124"/>
      <c r="D3" s="124"/>
      <c r="E3" s="124"/>
      <c r="F3" s="124"/>
      <c r="G3" s="124"/>
    </row>
    <row r="4" spans="1:7" ht="24.75" customHeight="1" x14ac:dyDescent="0.25">
      <c r="A4" s="272" t="s">
        <v>2</v>
      </c>
      <c r="B4" s="272"/>
      <c r="C4" s="272"/>
      <c r="D4" s="272"/>
      <c r="E4" s="272"/>
      <c r="F4" s="272"/>
      <c r="G4" s="272"/>
    </row>
    <row r="5" spans="1:7" ht="22.5" customHeight="1" x14ac:dyDescent="0.25">
      <c r="A5" s="262" t="s">
        <v>1062</v>
      </c>
      <c r="B5" s="262"/>
      <c r="C5" s="262"/>
      <c r="D5" s="262"/>
      <c r="E5" s="262"/>
      <c r="F5" s="262"/>
      <c r="G5" s="262"/>
    </row>
    <row r="6" spans="1:7" ht="12.75" customHeight="1" x14ac:dyDescent="0.25">
      <c r="A6" s="108" t="s">
        <v>3</v>
      </c>
      <c r="B6" s="274" t="s">
        <v>4</v>
      </c>
      <c r="C6" s="274"/>
      <c r="D6" s="274" t="s">
        <v>5</v>
      </c>
      <c r="E6" s="274"/>
      <c r="F6" s="274"/>
      <c r="G6" s="274"/>
    </row>
    <row r="7" spans="1:7" ht="12.75" customHeight="1" x14ac:dyDescent="0.25">
      <c r="A7" s="124"/>
      <c r="B7" s="275" t="s">
        <v>6</v>
      </c>
      <c r="C7" s="275"/>
      <c r="D7" s="275" t="s">
        <v>7</v>
      </c>
      <c r="E7" s="275"/>
      <c r="F7" s="275"/>
      <c r="G7" s="275"/>
    </row>
    <row r="8" spans="1:7" ht="12.75" customHeight="1" x14ac:dyDescent="0.25">
      <c r="A8" s="108" t="s">
        <v>8</v>
      </c>
      <c r="B8" s="274" t="s">
        <v>9</v>
      </c>
      <c r="C8" s="274"/>
      <c r="D8" s="274" t="s">
        <v>10</v>
      </c>
      <c r="E8" s="274"/>
      <c r="F8" s="274"/>
      <c r="G8" s="274"/>
    </row>
    <row r="9" spans="1:7" ht="12.75" customHeight="1" x14ac:dyDescent="0.25">
      <c r="A9" s="124"/>
      <c r="B9" s="275" t="s">
        <v>11</v>
      </c>
      <c r="C9" s="275"/>
      <c r="D9" s="275" t="s">
        <v>12</v>
      </c>
      <c r="E9" s="275"/>
      <c r="F9" s="275"/>
      <c r="G9" s="275"/>
    </row>
    <row r="10" spans="1:7" ht="12.75" customHeight="1" x14ac:dyDescent="0.25">
      <c r="A10" s="108" t="s">
        <v>13</v>
      </c>
      <c r="B10" s="274" t="s">
        <v>176</v>
      </c>
      <c r="C10" s="274"/>
      <c r="D10" s="274" t="s">
        <v>15</v>
      </c>
      <c r="E10" s="274"/>
      <c r="F10" s="274"/>
      <c r="G10" s="274"/>
    </row>
    <row r="11" spans="1:7" ht="12.75" customHeight="1" x14ac:dyDescent="0.25">
      <c r="A11" s="124"/>
      <c r="B11" s="275" t="s">
        <v>16</v>
      </c>
      <c r="C11" s="275"/>
      <c r="D11" s="275" t="s">
        <v>17</v>
      </c>
      <c r="E11" s="275"/>
      <c r="F11" s="275"/>
      <c r="G11" s="275"/>
    </row>
    <row r="12" spans="1:7" ht="12.75" customHeight="1" x14ac:dyDescent="0.25">
      <c r="A12" s="108" t="s">
        <v>18</v>
      </c>
      <c r="B12" s="274" t="s">
        <v>19</v>
      </c>
      <c r="C12" s="274"/>
      <c r="D12" s="266">
        <f>+TONGQUAN!E12</f>
        <v>44869</v>
      </c>
      <c r="E12" s="266"/>
      <c r="F12" s="266"/>
      <c r="G12" s="266"/>
    </row>
    <row r="13" spans="1:7" ht="12.75" customHeight="1" x14ac:dyDescent="0.25">
      <c r="A13" s="124"/>
      <c r="B13" s="275" t="s">
        <v>20</v>
      </c>
      <c r="C13" s="275"/>
      <c r="D13" s="267">
        <f>+D12</f>
        <v>44869</v>
      </c>
      <c r="E13" s="267"/>
      <c r="F13" s="267"/>
      <c r="G13" s="267"/>
    </row>
    <row r="14" spans="1:7" ht="9" customHeight="1" x14ac:dyDescent="0.25">
      <c r="A14" s="124"/>
      <c r="B14" s="124"/>
      <c r="C14" s="124"/>
      <c r="D14" s="124"/>
      <c r="E14" s="310"/>
      <c r="F14" s="310"/>
      <c r="G14" s="310"/>
    </row>
    <row r="15" spans="1:7" ht="15.75" customHeight="1" x14ac:dyDescent="0.25">
      <c r="A15" s="276" t="s">
        <v>177</v>
      </c>
      <c r="B15" s="276"/>
      <c r="C15" s="276"/>
      <c r="D15" s="276"/>
      <c r="E15" s="276"/>
      <c r="F15" s="276"/>
      <c r="G15" s="276"/>
    </row>
    <row r="16" spans="1:7" ht="15.75" customHeight="1" x14ac:dyDescent="0.25">
      <c r="A16" s="274" t="s">
        <v>321</v>
      </c>
      <c r="B16" s="274"/>
      <c r="C16" s="274"/>
      <c r="D16" s="274"/>
      <c r="E16" s="274"/>
      <c r="F16" s="274"/>
      <c r="G16" s="274"/>
    </row>
    <row r="17" spans="1:11" ht="12.75" customHeight="1" x14ac:dyDescent="0.25">
      <c r="A17" s="127"/>
      <c r="B17" s="133"/>
      <c r="C17" s="127"/>
      <c r="D17" s="277" t="s">
        <v>23</v>
      </c>
      <c r="E17" s="277"/>
      <c r="F17" s="277"/>
      <c r="G17" s="277"/>
    </row>
    <row r="18" spans="1:11" ht="44.25" customHeight="1" x14ac:dyDescent="0.25">
      <c r="A18" s="93" t="s">
        <v>322</v>
      </c>
      <c r="B18" s="309" t="s">
        <v>180</v>
      </c>
      <c r="C18" s="309"/>
      <c r="D18" s="309"/>
      <c r="E18" s="94" t="s">
        <v>26</v>
      </c>
      <c r="F18" s="94" t="s">
        <v>1065</v>
      </c>
      <c r="G18" s="95" t="s">
        <v>1058</v>
      </c>
    </row>
    <row r="19" spans="1:11" ht="21.95" customHeight="1" x14ac:dyDescent="0.25">
      <c r="A19" s="96" t="s">
        <v>31</v>
      </c>
      <c r="B19" s="307" t="s">
        <v>323</v>
      </c>
      <c r="C19" s="307"/>
      <c r="D19" s="307"/>
      <c r="E19" s="98" t="s">
        <v>324</v>
      </c>
      <c r="F19" s="99">
        <v>0</v>
      </c>
      <c r="G19" s="134">
        <v>0</v>
      </c>
    </row>
    <row r="20" spans="1:11" ht="33" customHeight="1" x14ac:dyDescent="0.25">
      <c r="A20" s="96" t="s">
        <v>3</v>
      </c>
      <c r="B20" s="307" t="s">
        <v>325</v>
      </c>
      <c r="C20" s="307"/>
      <c r="D20" s="307"/>
      <c r="E20" s="98" t="s">
        <v>326</v>
      </c>
      <c r="F20" s="135">
        <v>8.1539999999999998E-3</v>
      </c>
      <c r="G20" s="100">
        <v>7.8910000000000004E-3</v>
      </c>
      <c r="H20" s="136"/>
      <c r="I20" s="136"/>
      <c r="J20" s="136"/>
      <c r="K20" s="136"/>
    </row>
    <row r="21" spans="1:11" ht="33" customHeight="1" x14ac:dyDescent="0.25">
      <c r="A21" s="96" t="s">
        <v>8</v>
      </c>
      <c r="B21" s="307" t="s">
        <v>327</v>
      </c>
      <c r="C21" s="307"/>
      <c r="D21" s="307"/>
      <c r="E21" s="98" t="s">
        <v>328</v>
      </c>
      <c r="F21" s="135">
        <v>7.3800000000000005E-4</v>
      </c>
      <c r="G21" s="100">
        <v>7.0899999999999999E-4</v>
      </c>
      <c r="H21" s="136"/>
      <c r="I21" s="136"/>
      <c r="J21" s="136"/>
      <c r="K21" s="136"/>
    </row>
    <row r="22" spans="1:11" ht="42.6" customHeight="1" x14ac:dyDescent="0.25">
      <c r="A22" s="96" t="s">
        <v>13</v>
      </c>
      <c r="B22" s="307" t="s">
        <v>329</v>
      </c>
      <c r="C22" s="307"/>
      <c r="D22" s="307"/>
      <c r="E22" s="98" t="s">
        <v>330</v>
      </c>
      <c r="F22" s="135">
        <v>1.707E-3</v>
      </c>
      <c r="G22" s="100">
        <v>1.6509999999999999E-3</v>
      </c>
      <c r="H22" s="136"/>
      <c r="I22" s="136"/>
      <c r="J22" s="136"/>
      <c r="K22" s="136"/>
    </row>
    <row r="23" spans="1:11" ht="33" customHeight="1" x14ac:dyDescent="0.25">
      <c r="A23" s="96" t="s">
        <v>18</v>
      </c>
      <c r="B23" s="307" t="s">
        <v>331</v>
      </c>
      <c r="C23" s="307"/>
      <c r="D23" s="307"/>
      <c r="E23" s="98" t="s">
        <v>332</v>
      </c>
      <c r="F23" s="135">
        <v>2.5000000000000001E-5</v>
      </c>
      <c r="G23" s="100">
        <v>2.0999999999999999E-5</v>
      </c>
      <c r="H23" s="136"/>
      <c r="I23" s="136"/>
      <c r="J23" s="136"/>
      <c r="K23" s="136"/>
    </row>
    <row r="24" spans="1:11" ht="42.6" customHeight="1" x14ac:dyDescent="0.25">
      <c r="A24" s="96" t="s">
        <v>43</v>
      </c>
      <c r="B24" s="307" t="s">
        <v>333</v>
      </c>
      <c r="C24" s="307"/>
      <c r="D24" s="307"/>
      <c r="E24" s="98"/>
      <c r="F24" s="135"/>
      <c r="G24" s="100"/>
      <c r="H24" s="136"/>
      <c r="I24" s="136"/>
      <c r="J24" s="136"/>
      <c r="K24" s="136"/>
    </row>
    <row r="25" spans="1:11" ht="42.6" customHeight="1" x14ac:dyDescent="0.25">
      <c r="A25" s="96" t="s">
        <v>46</v>
      </c>
      <c r="B25" s="307" t="s">
        <v>334</v>
      </c>
      <c r="C25" s="307"/>
      <c r="D25" s="307"/>
      <c r="E25" s="98"/>
      <c r="F25" s="135"/>
      <c r="G25" s="100"/>
      <c r="H25" s="136"/>
      <c r="I25" s="136"/>
      <c r="J25" s="136"/>
      <c r="K25" s="136"/>
    </row>
    <row r="26" spans="1:11" ht="61.5" customHeight="1" x14ac:dyDescent="0.25">
      <c r="A26" s="96" t="s">
        <v>49</v>
      </c>
      <c r="B26" s="307" t="s">
        <v>335</v>
      </c>
      <c r="C26" s="307"/>
      <c r="D26" s="307"/>
      <c r="E26" s="98" t="s">
        <v>336</v>
      </c>
      <c r="F26" s="135">
        <v>7.9999999999999996E-6</v>
      </c>
      <c r="G26" s="100">
        <v>6.9999999999999999E-6</v>
      </c>
      <c r="H26" s="136"/>
      <c r="I26" s="136"/>
      <c r="J26" s="136"/>
      <c r="K26" s="136"/>
    </row>
    <row r="27" spans="1:11" ht="21.95" customHeight="1" x14ac:dyDescent="0.25">
      <c r="A27" s="96" t="s">
        <v>52</v>
      </c>
      <c r="B27" s="307" t="s">
        <v>337</v>
      </c>
      <c r="C27" s="307"/>
      <c r="D27" s="307"/>
      <c r="E27" s="98" t="s">
        <v>338</v>
      </c>
      <c r="F27" s="135">
        <v>1.0754E-2</v>
      </c>
      <c r="G27" s="100">
        <v>1.0351000000000001E-2</v>
      </c>
      <c r="H27" s="136"/>
      <c r="I27" s="136"/>
      <c r="J27" s="136"/>
      <c r="K27" s="136"/>
    </row>
    <row r="28" spans="1:11" ht="56.1" customHeight="1" x14ac:dyDescent="0.25">
      <c r="A28" s="96" t="s">
        <v>55</v>
      </c>
      <c r="B28" s="307" t="s">
        <v>339</v>
      </c>
      <c r="C28" s="307"/>
      <c r="D28" s="307"/>
      <c r="E28" s="98" t="s">
        <v>340</v>
      </c>
      <c r="F28" s="199">
        <v>4.6587999999999997E-2</v>
      </c>
      <c r="G28" s="100">
        <v>2.1402999999999998E-2</v>
      </c>
      <c r="H28" s="136"/>
      <c r="I28" s="136"/>
      <c r="J28" s="136"/>
      <c r="K28" s="136"/>
    </row>
    <row r="29" spans="1:11" ht="48" customHeight="1" x14ac:dyDescent="0.25">
      <c r="A29" s="96" t="s">
        <v>58</v>
      </c>
      <c r="B29" s="307" t="s">
        <v>341</v>
      </c>
      <c r="C29" s="307"/>
      <c r="D29" s="307"/>
      <c r="E29" s="98"/>
      <c r="F29" s="101">
        <v>0</v>
      </c>
      <c r="G29" s="137">
        <v>0</v>
      </c>
      <c r="H29" s="136"/>
      <c r="I29" s="136"/>
      <c r="J29" s="136"/>
      <c r="K29" s="136"/>
    </row>
    <row r="30" spans="1:11" ht="21.95" customHeight="1" x14ac:dyDescent="0.25">
      <c r="A30" s="96" t="s">
        <v>33</v>
      </c>
      <c r="B30" s="307" t="s">
        <v>342</v>
      </c>
      <c r="C30" s="307"/>
      <c r="D30" s="307"/>
      <c r="E30" s="98" t="s">
        <v>343</v>
      </c>
      <c r="F30" s="99">
        <v>0</v>
      </c>
      <c r="G30" s="134">
        <v>0</v>
      </c>
      <c r="H30" s="136"/>
      <c r="I30" s="136"/>
      <c r="J30" s="136"/>
      <c r="K30" s="136"/>
    </row>
    <row r="31" spans="1:11" ht="21.95" customHeight="1" x14ac:dyDescent="0.25">
      <c r="A31" s="96" t="s">
        <v>3</v>
      </c>
      <c r="B31" s="307" t="s">
        <v>344</v>
      </c>
      <c r="C31" s="307"/>
      <c r="D31" s="307"/>
      <c r="E31" s="98" t="s">
        <v>345</v>
      </c>
      <c r="F31" s="138">
        <v>6224000000000</v>
      </c>
      <c r="G31" s="139">
        <v>6379000000000</v>
      </c>
      <c r="H31" s="136"/>
      <c r="I31" s="136"/>
      <c r="J31" s="136"/>
      <c r="K31" s="136"/>
    </row>
    <row r="32" spans="1:11" ht="21.95" customHeight="1" x14ac:dyDescent="0.25">
      <c r="A32" s="96"/>
      <c r="B32" s="307" t="s">
        <v>346</v>
      </c>
      <c r="C32" s="307"/>
      <c r="D32" s="307"/>
      <c r="E32" s="98" t="s">
        <v>347</v>
      </c>
      <c r="F32" s="138">
        <v>6224000000000</v>
      </c>
      <c r="G32" s="139">
        <v>6379000000000</v>
      </c>
      <c r="H32" s="136"/>
      <c r="I32" s="136"/>
      <c r="J32" s="136"/>
      <c r="K32" s="136"/>
    </row>
    <row r="33" spans="1:11" ht="21.95" customHeight="1" x14ac:dyDescent="0.25">
      <c r="A33" s="96"/>
      <c r="B33" s="307" t="s">
        <v>348</v>
      </c>
      <c r="C33" s="307"/>
      <c r="D33" s="307"/>
      <c r="E33" s="98" t="s">
        <v>349</v>
      </c>
      <c r="F33" s="138">
        <v>622400000</v>
      </c>
      <c r="G33" s="139">
        <v>637900000</v>
      </c>
      <c r="H33" s="136"/>
      <c r="I33" s="136"/>
      <c r="J33" s="136"/>
      <c r="K33" s="136"/>
    </row>
    <row r="34" spans="1:11" ht="21.95" customHeight="1" x14ac:dyDescent="0.25">
      <c r="A34" s="96" t="s">
        <v>8</v>
      </c>
      <c r="B34" s="307" t="s">
        <v>350</v>
      </c>
      <c r="C34" s="307"/>
      <c r="D34" s="307"/>
      <c r="E34" s="98" t="s">
        <v>351</v>
      </c>
      <c r="F34" s="138">
        <v>370000000000</v>
      </c>
      <c r="G34" s="139">
        <v>-155000000000</v>
      </c>
      <c r="H34" s="136"/>
      <c r="I34" s="136"/>
      <c r="J34" s="136"/>
      <c r="K34" s="136"/>
    </row>
    <row r="35" spans="1:11" ht="21.95" customHeight="1" x14ac:dyDescent="0.25">
      <c r="A35" s="96"/>
      <c r="B35" s="307" t="s">
        <v>352</v>
      </c>
      <c r="C35" s="307"/>
      <c r="D35" s="307"/>
      <c r="E35" s="98" t="s">
        <v>353</v>
      </c>
      <c r="F35" s="138">
        <v>37000000</v>
      </c>
      <c r="G35" s="139">
        <v>-15500000</v>
      </c>
      <c r="H35" s="136"/>
      <c r="I35" s="136"/>
      <c r="J35" s="136"/>
      <c r="K35" s="136"/>
    </row>
    <row r="36" spans="1:11" ht="21.95" customHeight="1" x14ac:dyDescent="0.25">
      <c r="A36" s="96"/>
      <c r="B36" s="307" t="s">
        <v>354</v>
      </c>
      <c r="C36" s="307"/>
      <c r="D36" s="307"/>
      <c r="E36" s="98" t="s">
        <v>355</v>
      </c>
      <c r="F36" s="138">
        <v>370000000000</v>
      </c>
      <c r="G36" s="139">
        <v>-155000000000</v>
      </c>
      <c r="H36" s="136"/>
      <c r="I36" s="136"/>
      <c r="J36" s="136"/>
      <c r="K36" s="136"/>
    </row>
    <row r="37" spans="1:11" ht="21.95" customHeight="1" x14ac:dyDescent="0.25">
      <c r="A37" s="96"/>
      <c r="B37" s="307" t="s">
        <v>356</v>
      </c>
      <c r="C37" s="307"/>
      <c r="D37" s="307"/>
      <c r="E37" s="98" t="s">
        <v>357</v>
      </c>
      <c r="F37" s="138">
        <v>39600000</v>
      </c>
      <c r="G37" s="139">
        <v>2000000</v>
      </c>
      <c r="H37" s="136"/>
      <c r="I37" s="136"/>
      <c r="J37" s="136"/>
      <c r="K37" s="136"/>
    </row>
    <row r="38" spans="1:11" ht="21.95" customHeight="1" x14ac:dyDescent="0.25">
      <c r="A38" s="96"/>
      <c r="B38" s="307" t="s">
        <v>358</v>
      </c>
      <c r="C38" s="307"/>
      <c r="D38" s="307"/>
      <c r="E38" s="98" t="s">
        <v>359</v>
      </c>
      <c r="F38" s="138">
        <v>396000000000</v>
      </c>
      <c r="G38" s="139">
        <v>20000000000</v>
      </c>
      <c r="H38" s="136"/>
      <c r="I38" s="136"/>
      <c r="J38" s="136"/>
      <c r="K38" s="136"/>
    </row>
    <row r="39" spans="1:11" ht="21.95" customHeight="1" x14ac:dyDescent="0.25">
      <c r="A39" s="96"/>
      <c r="B39" s="307" t="s">
        <v>360</v>
      </c>
      <c r="C39" s="307"/>
      <c r="D39" s="307"/>
      <c r="E39" s="98" t="s">
        <v>361</v>
      </c>
      <c r="F39" s="138">
        <v>-2600000</v>
      </c>
      <c r="G39" s="139">
        <v>-17500000</v>
      </c>
      <c r="H39" s="136"/>
      <c r="I39" s="136"/>
      <c r="J39" s="136"/>
      <c r="K39" s="136"/>
    </row>
    <row r="40" spans="1:11" ht="21.95" customHeight="1" x14ac:dyDescent="0.25">
      <c r="A40" s="96"/>
      <c r="B40" s="307" t="s">
        <v>362</v>
      </c>
      <c r="C40" s="307"/>
      <c r="D40" s="307"/>
      <c r="E40" s="98" t="s">
        <v>363</v>
      </c>
      <c r="F40" s="138">
        <v>-26000000000</v>
      </c>
      <c r="G40" s="139">
        <v>-175000000000</v>
      </c>
      <c r="H40" s="136"/>
      <c r="I40" s="136"/>
      <c r="J40" s="136"/>
      <c r="K40" s="136"/>
    </row>
    <row r="41" spans="1:11" ht="21.95" customHeight="1" x14ac:dyDescent="0.25">
      <c r="A41" s="96" t="s">
        <v>13</v>
      </c>
      <c r="B41" s="307" t="s">
        <v>364</v>
      </c>
      <c r="C41" s="307"/>
      <c r="D41" s="307"/>
      <c r="E41" s="98" t="s">
        <v>365</v>
      </c>
      <c r="F41" s="138">
        <v>6594000000000</v>
      </c>
      <c r="G41" s="139">
        <v>6224000000000</v>
      </c>
      <c r="H41" s="136"/>
      <c r="I41" s="136"/>
      <c r="J41" s="136"/>
      <c r="K41" s="136"/>
    </row>
    <row r="42" spans="1:11" ht="21.95" customHeight="1" x14ac:dyDescent="0.25">
      <c r="A42" s="96"/>
      <c r="B42" s="307" t="s">
        <v>366</v>
      </c>
      <c r="C42" s="307"/>
      <c r="D42" s="307"/>
      <c r="E42" s="98" t="s">
        <v>367</v>
      </c>
      <c r="F42" s="138">
        <v>6594000000000</v>
      </c>
      <c r="G42" s="139">
        <v>6224000000000</v>
      </c>
      <c r="H42" s="136"/>
      <c r="I42" s="136"/>
      <c r="J42" s="136"/>
      <c r="K42" s="136"/>
    </row>
    <row r="43" spans="1:11" ht="21.95" customHeight="1" x14ac:dyDescent="0.25">
      <c r="A43" s="96"/>
      <c r="B43" s="307" t="s">
        <v>368</v>
      </c>
      <c r="C43" s="307"/>
      <c r="D43" s="307"/>
      <c r="E43" s="98" t="s">
        <v>369</v>
      </c>
      <c r="F43" s="138">
        <v>659400000</v>
      </c>
      <c r="G43" s="139">
        <v>622400000</v>
      </c>
      <c r="H43" s="136"/>
      <c r="I43" s="136"/>
      <c r="J43" s="136"/>
      <c r="K43" s="136"/>
    </row>
    <row r="44" spans="1:11" ht="41.25" customHeight="1" x14ac:dyDescent="0.25">
      <c r="A44" s="96" t="s">
        <v>18</v>
      </c>
      <c r="B44" s="307" t="s">
        <v>370</v>
      </c>
      <c r="C44" s="307"/>
      <c r="D44" s="307"/>
      <c r="E44" s="98" t="s">
        <v>371</v>
      </c>
      <c r="F44" s="200">
        <v>3.0000000000000001E-5</v>
      </c>
      <c r="G44" s="140">
        <v>3.8999999999999999E-5</v>
      </c>
      <c r="H44" s="136"/>
      <c r="I44" s="136"/>
      <c r="J44" s="136"/>
      <c r="K44" s="136"/>
    </row>
    <row r="45" spans="1:11" ht="21.75" customHeight="1" x14ac:dyDescent="0.25">
      <c r="A45" s="96" t="s">
        <v>43</v>
      </c>
      <c r="B45" s="307" t="s">
        <v>372</v>
      </c>
      <c r="C45" s="307"/>
      <c r="D45" s="307"/>
      <c r="E45" s="98" t="s">
        <v>373</v>
      </c>
      <c r="F45" s="200">
        <v>0.72629999999999995</v>
      </c>
      <c r="G45" s="140">
        <v>0.72060000000000002</v>
      </c>
      <c r="H45" s="136"/>
      <c r="I45" s="136"/>
      <c r="J45" s="136"/>
      <c r="K45" s="136"/>
    </row>
    <row r="46" spans="1:11" ht="21.95" customHeight="1" x14ac:dyDescent="0.25">
      <c r="A46" s="96" t="s">
        <v>46</v>
      </c>
      <c r="B46" s="307" t="s">
        <v>374</v>
      </c>
      <c r="C46" s="307"/>
      <c r="D46" s="307"/>
      <c r="E46" s="98" t="s">
        <v>375</v>
      </c>
      <c r="F46" s="200">
        <v>0.96960000000000002</v>
      </c>
      <c r="G46" s="140">
        <v>0.96960000000000002</v>
      </c>
      <c r="H46" s="136"/>
      <c r="I46" s="136"/>
      <c r="J46" s="136"/>
      <c r="K46" s="136"/>
    </row>
    <row r="47" spans="1:11" ht="21.95" customHeight="1" x14ac:dyDescent="0.25">
      <c r="A47" s="96" t="s">
        <v>49</v>
      </c>
      <c r="B47" s="307" t="s">
        <v>376</v>
      </c>
      <c r="C47" s="307"/>
      <c r="D47" s="307"/>
      <c r="E47" s="98" t="s">
        <v>377</v>
      </c>
      <c r="F47" s="141">
        <v>22352.2</v>
      </c>
      <c r="G47" s="142">
        <v>24557.26</v>
      </c>
      <c r="H47" s="136"/>
      <c r="I47" s="136"/>
      <c r="J47" s="136"/>
      <c r="K47" s="136"/>
    </row>
    <row r="48" spans="1:11" ht="21.95" customHeight="1" x14ac:dyDescent="0.25">
      <c r="A48" s="96" t="s">
        <v>52</v>
      </c>
      <c r="B48" s="307" t="s">
        <v>378</v>
      </c>
      <c r="C48" s="307"/>
      <c r="D48" s="307"/>
      <c r="E48" s="98" t="s">
        <v>379</v>
      </c>
      <c r="F48" s="143">
        <v>22250</v>
      </c>
      <c r="G48" s="144">
        <v>25500</v>
      </c>
      <c r="H48" s="136"/>
      <c r="I48" s="136"/>
      <c r="J48" s="136"/>
      <c r="K48" s="136"/>
    </row>
    <row r="49" spans="1:11" ht="21.95" customHeight="1" x14ac:dyDescent="0.25">
      <c r="A49" s="102" t="s">
        <v>55</v>
      </c>
      <c r="B49" s="308" t="s">
        <v>380</v>
      </c>
      <c r="C49" s="308"/>
      <c r="D49" s="308"/>
      <c r="E49" s="104" t="s">
        <v>381</v>
      </c>
      <c r="F49" s="201">
        <v>5601</v>
      </c>
      <c r="G49" s="145">
        <v>5493</v>
      </c>
      <c r="H49" s="136"/>
      <c r="I49" s="136"/>
      <c r="J49" s="136"/>
      <c r="K49" s="136"/>
    </row>
    <row r="50" spans="1:11" ht="7.5" customHeight="1" x14ac:dyDescent="0.25">
      <c r="A50" s="124"/>
      <c r="B50" s="124"/>
      <c r="C50" s="124"/>
      <c r="D50" s="124"/>
      <c r="E50" s="124"/>
      <c r="F50" s="146"/>
      <c r="G50" s="146"/>
    </row>
    <row r="51" spans="1:11" ht="14.25" customHeight="1" x14ac:dyDescent="0.25">
      <c r="A51" s="275" t="s">
        <v>382</v>
      </c>
      <c r="B51" s="275"/>
      <c r="C51" s="275"/>
      <c r="D51" s="275"/>
      <c r="E51" s="275"/>
      <c r="F51" s="275"/>
      <c r="G51" s="275"/>
    </row>
    <row r="52" spans="1:11" ht="48.75" customHeight="1" x14ac:dyDescent="0.25">
      <c r="A52" s="270" t="s">
        <v>383</v>
      </c>
      <c r="B52" s="270"/>
      <c r="C52" s="270"/>
      <c r="D52" s="270"/>
      <c r="E52" s="270"/>
      <c r="F52" s="270"/>
      <c r="G52" s="270"/>
    </row>
    <row r="53" spans="1:11" ht="48.75" customHeight="1" x14ac:dyDescent="0.25">
      <c r="A53" s="270" t="s">
        <v>384</v>
      </c>
      <c r="B53" s="270"/>
      <c r="C53" s="270"/>
      <c r="D53" s="270"/>
      <c r="E53" s="270"/>
      <c r="F53" s="270"/>
      <c r="G53" s="270"/>
    </row>
    <row r="54" spans="1:11" ht="9.75" customHeight="1" x14ac:dyDescent="0.25">
      <c r="A54" s="124"/>
      <c r="B54" s="147"/>
      <c r="C54" s="124"/>
      <c r="D54" s="124"/>
      <c r="E54" s="124"/>
      <c r="F54" s="124"/>
      <c r="G54" s="124"/>
    </row>
    <row r="55" spans="1:11" ht="14.25" customHeight="1" x14ac:dyDescent="0.25">
      <c r="A55" s="273" t="s">
        <v>385</v>
      </c>
      <c r="B55" s="273"/>
      <c r="C55" s="273"/>
      <c r="D55" s="273"/>
      <c r="E55" s="273" t="s">
        <v>167</v>
      </c>
      <c r="F55" s="273"/>
      <c r="G55" s="273"/>
    </row>
    <row r="56" spans="1:11" ht="12" customHeight="1" x14ac:dyDescent="0.25">
      <c r="A56" s="262" t="s">
        <v>168</v>
      </c>
      <c r="B56" s="262"/>
      <c r="C56" s="262"/>
      <c r="D56" s="262"/>
      <c r="E56" s="262" t="s">
        <v>169</v>
      </c>
      <c r="F56" s="262"/>
      <c r="G56" s="262"/>
    </row>
    <row r="57" spans="1:11" ht="15" customHeight="1" x14ac:dyDescent="0.25">
      <c r="A57" s="124"/>
      <c r="B57" s="124"/>
      <c r="C57" s="124"/>
      <c r="D57" s="124"/>
      <c r="E57" s="124"/>
      <c r="F57" s="124"/>
      <c r="G57" s="124"/>
    </row>
    <row r="58" spans="1:11" ht="15" customHeight="1" x14ac:dyDescent="0.25">
      <c r="A58" s="124"/>
      <c r="B58" s="124"/>
      <c r="C58" s="124"/>
      <c r="D58" s="124"/>
      <c r="E58" s="124"/>
      <c r="F58" s="124"/>
      <c r="G58" s="124"/>
    </row>
    <row r="59" spans="1:11" ht="15.75" customHeight="1" x14ac:dyDescent="0.25">
      <c r="A59" s="124"/>
      <c r="B59" s="124"/>
      <c r="C59" s="124"/>
      <c r="D59" s="124"/>
      <c r="E59" s="124"/>
      <c r="F59" s="124"/>
      <c r="G59" s="124"/>
    </row>
    <row r="60" spans="1:11" ht="15" customHeight="1" x14ac:dyDescent="0.25">
      <c r="A60" s="124"/>
      <c r="B60" s="124"/>
      <c r="C60" s="124"/>
      <c r="D60" s="124"/>
      <c r="E60" s="124"/>
      <c r="F60" s="124"/>
      <c r="G60" s="124"/>
    </row>
    <row r="61" spans="1:11" ht="15.75" customHeight="1" x14ac:dyDescent="0.25">
      <c r="A61" s="124"/>
      <c r="B61" s="124"/>
      <c r="C61" s="124"/>
      <c r="D61" s="124"/>
      <c r="E61" s="124"/>
      <c r="F61" s="124"/>
      <c r="G61" s="124"/>
    </row>
    <row r="62" spans="1:11" ht="15.75" customHeight="1" x14ac:dyDescent="0.25">
      <c r="A62" s="124"/>
      <c r="B62" s="124"/>
      <c r="C62" s="124"/>
      <c r="D62" s="124"/>
      <c r="E62" s="124"/>
      <c r="F62" s="124"/>
      <c r="G62" s="124"/>
    </row>
    <row r="63" spans="1:11" ht="15.75" customHeight="1" x14ac:dyDescent="0.25">
      <c r="A63" s="273" t="s">
        <v>170</v>
      </c>
      <c r="B63" s="273"/>
      <c r="C63" s="273"/>
      <c r="D63" s="273"/>
      <c r="E63" s="273" t="s">
        <v>171</v>
      </c>
      <c r="F63" s="273"/>
      <c r="G63" s="273"/>
    </row>
    <row r="64" spans="1:11" ht="15.75" customHeight="1" x14ac:dyDescent="0.25">
      <c r="A64" s="273" t="s">
        <v>172</v>
      </c>
      <c r="B64" s="273"/>
      <c r="C64" s="273"/>
      <c r="D64" s="273"/>
      <c r="E64" s="273" t="s">
        <v>173</v>
      </c>
      <c r="F64" s="273"/>
      <c r="G64" s="273"/>
    </row>
    <row r="65" spans="1:7" ht="15.75" customHeight="1" x14ac:dyDescent="0.25">
      <c r="A65" s="273" t="s">
        <v>174</v>
      </c>
      <c r="B65" s="273"/>
      <c r="C65" s="273"/>
      <c r="D65" s="273"/>
      <c r="E65" s="273" t="s">
        <v>175</v>
      </c>
      <c r="F65" s="273"/>
      <c r="G65" s="273"/>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58999997377395597" bottom="0.58999997377395597"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67" zoomScaleNormal="100" zoomScaleSheetLayoutView="100" workbookViewId="0">
      <selection activeCell="F22" sqref="F22"/>
    </sheetView>
  </sheetViews>
  <sheetFormatPr defaultColWidth="9.140625" defaultRowHeight="10.5" x14ac:dyDescent="0.15"/>
  <cols>
    <col min="1" max="1" width="30.85546875" style="87" customWidth="1"/>
    <col min="2" max="2" width="5.5703125" style="163" customWidth="1"/>
    <col min="3" max="3" width="6.42578125" style="87" customWidth="1"/>
    <col min="4" max="4" width="20.7109375" style="87" bestFit="1" customWidth="1"/>
    <col min="5" max="5" width="20.5703125" style="87" bestFit="1" customWidth="1"/>
    <col min="6" max="6" width="19.7109375" style="87" bestFit="1" customWidth="1"/>
    <col min="7" max="7" width="20.7109375" style="87" bestFit="1" customWidth="1"/>
    <col min="8" max="16384" width="9.140625" style="87"/>
  </cols>
  <sheetData>
    <row r="1" spans="1:7" ht="47.25" customHeight="1" x14ac:dyDescent="0.15">
      <c r="A1" s="88"/>
      <c r="B1" s="264"/>
      <c r="C1" s="264"/>
      <c r="D1" s="263" t="s">
        <v>611</v>
      </c>
      <c r="E1" s="263"/>
      <c r="F1" s="263"/>
      <c r="G1" s="263"/>
    </row>
    <row r="2" spans="1:7" ht="23.25" customHeight="1" x14ac:dyDescent="0.15">
      <c r="A2" s="322" t="s">
        <v>576</v>
      </c>
      <c r="B2" s="322"/>
      <c r="C2" s="322"/>
      <c r="D2" s="322"/>
      <c r="E2" s="322"/>
      <c r="F2" s="322"/>
      <c r="G2" s="322"/>
    </row>
    <row r="3" spans="1:7" ht="6" customHeight="1" x14ac:dyDescent="0.15">
      <c r="A3" s="88"/>
      <c r="B3" s="264"/>
      <c r="C3" s="264"/>
      <c r="D3" s="264"/>
      <c r="E3" s="264"/>
      <c r="F3" s="264"/>
      <c r="G3" s="264"/>
    </row>
    <row r="4" spans="1:7" s="148" customFormat="1" ht="12.75" customHeight="1" x14ac:dyDescent="0.2">
      <c r="A4" s="320" t="s">
        <v>612</v>
      </c>
      <c r="B4" s="320"/>
      <c r="C4" s="320"/>
      <c r="D4" s="320"/>
      <c r="E4" s="320"/>
      <c r="F4" s="320"/>
      <c r="G4" s="320"/>
    </row>
    <row r="5" spans="1:7" s="148" customFormat="1" ht="12.75" customHeight="1" x14ac:dyDescent="0.2">
      <c r="A5" s="321" t="s">
        <v>613</v>
      </c>
      <c r="B5" s="321"/>
      <c r="C5" s="321"/>
      <c r="D5" s="321"/>
      <c r="E5" s="321"/>
      <c r="F5" s="321"/>
      <c r="G5" s="321"/>
    </row>
    <row r="6" spans="1:7" ht="12.75" customHeight="1" x14ac:dyDescent="0.15">
      <c r="A6" s="262" t="s">
        <v>1062</v>
      </c>
      <c r="B6" s="262"/>
      <c r="C6" s="262"/>
      <c r="D6" s="262"/>
      <c r="E6" s="262"/>
      <c r="F6" s="262"/>
      <c r="G6" s="262"/>
    </row>
    <row r="7" spans="1:7" ht="12.75" customHeight="1" x14ac:dyDescent="0.15">
      <c r="A7" s="88"/>
      <c r="B7" s="264"/>
      <c r="C7" s="264"/>
      <c r="D7" s="264"/>
      <c r="E7" s="264"/>
      <c r="F7" s="264"/>
      <c r="G7" s="264"/>
    </row>
    <row r="8" spans="1:7" ht="12.75" customHeight="1" x14ac:dyDescent="0.15">
      <c r="A8" s="125" t="s">
        <v>9</v>
      </c>
      <c r="B8" s="265" t="s">
        <v>10</v>
      </c>
      <c r="C8" s="265"/>
      <c r="D8" s="265"/>
      <c r="E8" s="265"/>
      <c r="F8" s="265"/>
      <c r="G8" s="265"/>
    </row>
    <row r="9" spans="1:7" ht="12.75" customHeight="1" x14ac:dyDescent="0.15">
      <c r="A9" s="124" t="s">
        <v>11</v>
      </c>
      <c r="B9" s="264" t="s">
        <v>12</v>
      </c>
      <c r="C9" s="264"/>
      <c r="D9" s="264"/>
      <c r="E9" s="264"/>
      <c r="F9" s="264"/>
      <c r="G9" s="264"/>
    </row>
    <row r="10" spans="1:7" ht="12.75" customHeight="1" x14ac:dyDescent="0.15">
      <c r="A10" s="125" t="s">
        <v>14</v>
      </c>
      <c r="B10" s="265" t="s">
        <v>15</v>
      </c>
      <c r="C10" s="265"/>
      <c r="D10" s="265"/>
      <c r="E10" s="265"/>
      <c r="F10" s="265"/>
      <c r="G10" s="265"/>
    </row>
    <row r="11" spans="1:7" ht="12.75" customHeight="1" x14ac:dyDescent="0.15">
      <c r="A11" s="124" t="s">
        <v>16</v>
      </c>
      <c r="B11" s="264" t="s">
        <v>614</v>
      </c>
      <c r="C11" s="264"/>
      <c r="D11" s="264"/>
      <c r="E11" s="264"/>
      <c r="F11" s="264"/>
      <c r="G11" s="264"/>
    </row>
    <row r="12" spans="1:7" ht="12.75" customHeight="1" x14ac:dyDescent="0.15">
      <c r="A12" s="125" t="s">
        <v>387</v>
      </c>
      <c r="B12" s="268" t="s">
        <v>615</v>
      </c>
      <c r="C12" s="268"/>
      <c r="D12" s="268"/>
      <c r="E12" s="268"/>
      <c r="F12" s="268"/>
      <c r="G12" s="268"/>
    </row>
    <row r="13" spans="1:7" ht="12.75" customHeight="1" x14ac:dyDescent="0.15">
      <c r="A13" s="124" t="s">
        <v>6</v>
      </c>
      <c r="B13" s="264" t="s">
        <v>7</v>
      </c>
      <c r="C13" s="264"/>
      <c r="D13" s="264"/>
      <c r="E13" s="264"/>
      <c r="F13" s="264"/>
      <c r="G13" s="264"/>
    </row>
    <row r="14" spans="1:7" ht="12.75" customHeight="1" x14ac:dyDescent="0.15">
      <c r="A14" s="125" t="s">
        <v>19</v>
      </c>
      <c r="B14" s="266">
        <f>+TONGQUAN!E12</f>
        <v>44869</v>
      </c>
      <c r="C14" s="266"/>
      <c r="D14" s="266"/>
      <c r="E14" s="266"/>
      <c r="F14" s="266"/>
      <c r="G14" s="266"/>
    </row>
    <row r="15" spans="1:7" ht="12.75" customHeight="1" x14ac:dyDescent="0.15">
      <c r="A15" s="124" t="s">
        <v>20</v>
      </c>
      <c r="B15" s="267">
        <f>+B14</f>
        <v>44869</v>
      </c>
      <c r="C15" s="267"/>
      <c r="D15" s="267"/>
      <c r="E15" s="267"/>
      <c r="F15" s="267"/>
      <c r="G15" s="267"/>
    </row>
    <row r="16" spans="1:7" ht="12.75" customHeight="1" x14ac:dyDescent="0.15">
      <c r="A16" s="91"/>
      <c r="B16" s="313"/>
      <c r="C16" s="313"/>
      <c r="D16" s="313"/>
      <c r="E16" s="313"/>
      <c r="F16" s="269" t="s">
        <v>23</v>
      </c>
      <c r="G16" s="269"/>
    </row>
    <row r="17" spans="1:7" s="149" customFormat="1" ht="27.75" customHeight="1" x14ac:dyDescent="0.25">
      <c r="A17" s="315" t="s">
        <v>180</v>
      </c>
      <c r="B17" s="309" t="s">
        <v>616</v>
      </c>
      <c r="C17" s="309" t="s">
        <v>617</v>
      </c>
      <c r="D17" s="318" t="s">
        <v>618</v>
      </c>
      <c r="E17" s="318"/>
      <c r="F17" s="318" t="s">
        <v>619</v>
      </c>
      <c r="G17" s="319"/>
    </row>
    <row r="18" spans="1:7" s="149" customFormat="1" ht="33.75" customHeight="1" x14ac:dyDescent="0.25">
      <c r="A18" s="316"/>
      <c r="B18" s="317"/>
      <c r="C18" s="317"/>
      <c r="D18" s="1" t="s">
        <v>1065</v>
      </c>
      <c r="E18" s="1" t="s">
        <v>620</v>
      </c>
      <c r="F18" s="1" t="s">
        <v>1067</v>
      </c>
      <c r="G18" s="2" t="s">
        <v>620</v>
      </c>
    </row>
    <row r="19" spans="1:7" s="109" customFormat="1" ht="31.5" x14ac:dyDescent="0.25">
      <c r="A19" s="150" t="s">
        <v>621</v>
      </c>
      <c r="B19" s="151" t="s">
        <v>622</v>
      </c>
      <c r="C19" s="152"/>
      <c r="D19" s="205">
        <v>-1382330175178</v>
      </c>
      <c r="E19" s="205">
        <v>-3584632252495</v>
      </c>
      <c r="F19" s="205">
        <v>752852295715</v>
      </c>
      <c r="G19" s="206">
        <v>5166872367816</v>
      </c>
    </row>
    <row r="20" spans="1:7" s="109" customFormat="1" ht="21" x14ac:dyDescent="0.25">
      <c r="A20" s="153" t="s">
        <v>623</v>
      </c>
      <c r="B20" s="154" t="s">
        <v>624</v>
      </c>
      <c r="C20" s="98"/>
      <c r="D20" s="207">
        <v>27099442400</v>
      </c>
      <c r="E20" s="207">
        <v>151295075556</v>
      </c>
      <c r="F20" s="207">
        <v>0</v>
      </c>
      <c r="G20" s="208">
        <v>86844616156</v>
      </c>
    </row>
    <row r="21" spans="1:7" s="109" customFormat="1" ht="21" x14ac:dyDescent="0.25">
      <c r="A21" s="155" t="s">
        <v>625</v>
      </c>
      <c r="B21" s="156" t="s">
        <v>626</v>
      </c>
      <c r="C21" s="157"/>
      <c r="D21" s="209">
        <v>27099442400</v>
      </c>
      <c r="E21" s="209">
        <v>151295075556</v>
      </c>
      <c r="F21" s="209">
        <v>0</v>
      </c>
      <c r="G21" s="210">
        <v>86844616156</v>
      </c>
    </row>
    <row r="22" spans="1:7" s="109" customFormat="1" ht="21" x14ac:dyDescent="0.25">
      <c r="A22" s="155" t="s">
        <v>627</v>
      </c>
      <c r="B22" s="156" t="s">
        <v>628</v>
      </c>
      <c r="C22" s="157"/>
      <c r="D22" s="209">
        <v>0</v>
      </c>
      <c r="E22" s="209">
        <v>0</v>
      </c>
      <c r="F22" s="209">
        <v>0</v>
      </c>
      <c r="G22" s="210">
        <v>0</v>
      </c>
    </row>
    <row r="23" spans="1:7" s="109" customFormat="1" ht="21" x14ac:dyDescent="0.25">
      <c r="A23" s="153" t="s">
        <v>629</v>
      </c>
      <c r="B23" s="154" t="s">
        <v>630</v>
      </c>
      <c r="C23" s="98"/>
      <c r="D23" s="207">
        <v>18009622</v>
      </c>
      <c r="E23" s="207">
        <v>264912111</v>
      </c>
      <c r="F23" s="207">
        <v>16956070</v>
      </c>
      <c r="G23" s="208">
        <v>510765116</v>
      </c>
    </row>
    <row r="24" spans="1:7" s="109" customFormat="1" ht="21" x14ac:dyDescent="0.25">
      <c r="A24" s="155" t="s">
        <v>631</v>
      </c>
      <c r="B24" s="156" t="s">
        <v>632</v>
      </c>
      <c r="C24" s="157"/>
      <c r="D24" s="209">
        <v>18009622</v>
      </c>
      <c r="E24" s="209">
        <v>264912111</v>
      </c>
      <c r="F24" s="209">
        <v>16956070</v>
      </c>
      <c r="G24" s="210">
        <v>510765116</v>
      </c>
    </row>
    <row r="25" spans="1:7" s="109" customFormat="1" ht="31.5" x14ac:dyDescent="0.25">
      <c r="A25" s="155" t="s">
        <v>633</v>
      </c>
      <c r="B25" s="156" t="s">
        <v>634</v>
      </c>
      <c r="C25" s="157"/>
      <c r="D25" s="209">
        <v>0</v>
      </c>
      <c r="E25" s="209">
        <v>0</v>
      </c>
      <c r="F25" s="209">
        <v>0</v>
      </c>
      <c r="G25" s="210">
        <v>0</v>
      </c>
    </row>
    <row r="26" spans="1:7" s="109" customFormat="1" ht="42" x14ac:dyDescent="0.25">
      <c r="A26" s="153" t="s">
        <v>635</v>
      </c>
      <c r="B26" s="154" t="s">
        <v>636</v>
      </c>
      <c r="C26" s="98"/>
      <c r="D26" s="207">
        <v>-13081761725</v>
      </c>
      <c r="E26" s="207">
        <v>904673681607</v>
      </c>
      <c r="F26" s="207">
        <v>292825380271</v>
      </c>
      <c r="G26" s="208">
        <v>2047338778933</v>
      </c>
    </row>
    <row r="27" spans="1:7" s="109" customFormat="1" ht="31.5" x14ac:dyDescent="0.25">
      <c r="A27" s="155" t="s">
        <v>637</v>
      </c>
      <c r="B27" s="156" t="s">
        <v>638</v>
      </c>
      <c r="C27" s="157"/>
      <c r="D27" s="209">
        <v>6452227024</v>
      </c>
      <c r="E27" s="209">
        <v>307602515610</v>
      </c>
      <c r="F27" s="209">
        <v>259112803630</v>
      </c>
      <c r="G27" s="210">
        <v>1133599074134</v>
      </c>
    </row>
    <row r="28" spans="1:7" s="109" customFormat="1" ht="42" x14ac:dyDescent="0.25">
      <c r="A28" s="155" t="s">
        <v>639</v>
      </c>
      <c r="B28" s="156" t="s">
        <v>640</v>
      </c>
      <c r="C28" s="157"/>
      <c r="D28" s="209">
        <v>-4708320749</v>
      </c>
      <c r="E28" s="209">
        <v>599085939452</v>
      </c>
      <c r="F28" s="209">
        <v>33712576641</v>
      </c>
      <c r="G28" s="210">
        <v>913739704799</v>
      </c>
    </row>
    <row r="29" spans="1:7" s="109" customFormat="1" ht="52.5" x14ac:dyDescent="0.25">
      <c r="A29" s="155" t="s">
        <v>641</v>
      </c>
      <c r="B29" s="156" t="s">
        <v>642</v>
      </c>
      <c r="C29" s="157"/>
      <c r="D29" s="209">
        <v>-14825668000</v>
      </c>
      <c r="E29" s="209">
        <v>-2014773455</v>
      </c>
      <c r="F29" s="209">
        <v>0</v>
      </c>
      <c r="G29" s="210">
        <v>0</v>
      </c>
    </row>
    <row r="30" spans="1:7" s="109" customFormat="1" ht="42" x14ac:dyDescent="0.25">
      <c r="A30" s="153" t="s">
        <v>643</v>
      </c>
      <c r="B30" s="154" t="s">
        <v>644</v>
      </c>
      <c r="C30" s="98"/>
      <c r="D30" s="207">
        <v>-1396365865475</v>
      </c>
      <c r="E30" s="207">
        <v>-4640865921769</v>
      </c>
      <c r="F30" s="207">
        <v>460009959374</v>
      </c>
      <c r="G30" s="208">
        <v>3032178207611</v>
      </c>
    </row>
    <row r="31" spans="1:7" s="109" customFormat="1" ht="21" x14ac:dyDescent="0.25">
      <c r="A31" s="153" t="s">
        <v>645</v>
      </c>
      <c r="B31" s="154" t="s">
        <v>646</v>
      </c>
      <c r="C31" s="98"/>
      <c r="D31" s="207">
        <v>0</v>
      </c>
      <c r="E31" s="207">
        <v>0</v>
      </c>
      <c r="F31" s="207">
        <v>0</v>
      </c>
      <c r="G31" s="208">
        <v>0</v>
      </c>
    </row>
    <row r="32" spans="1:7" s="109" customFormat="1" ht="42" x14ac:dyDescent="0.25">
      <c r="A32" s="153" t="s">
        <v>647</v>
      </c>
      <c r="B32" s="154" t="s">
        <v>648</v>
      </c>
      <c r="C32" s="98"/>
      <c r="D32" s="207">
        <v>0</v>
      </c>
      <c r="E32" s="207">
        <v>0</v>
      </c>
      <c r="F32" s="207">
        <v>0</v>
      </c>
      <c r="G32" s="208">
        <v>0</v>
      </c>
    </row>
    <row r="33" spans="1:7" s="109" customFormat="1" ht="21" x14ac:dyDescent="0.25">
      <c r="A33" s="153" t="s">
        <v>649</v>
      </c>
      <c r="B33" s="154" t="s">
        <v>650</v>
      </c>
      <c r="C33" s="98"/>
      <c r="D33" s="207">
        <v>0</v>
      </c>
      <c r="E33" s="207">
        <v>0</v>
      </c>
      <c r="F33" s="207">
        <v>0</v>
      </c>
      <c r="G33" s="208">
        <v>0</v>
      </c>
    </row>
    <row r="34" spans="1:7" s="109" customFormat="1" ht="63" x14ac:dyDescent="0.25">
      <c r="A34" s="153" t="s">
        <v>651</v>
      </c>
      <c r="B34" s="154" t="s">
        <v>652</v>
      </c>
      <c r="C34" s="98"/>
      <c r="D34" s="207">
        <v>0</v>
      </c>
      <c r="E34" s="207">
        <v>0</v>
      </c>
      <c r="F34" s="207">
        <v>0</v>
      </c>
      <c r="G34" s="208">
        <v>0</v>
      </c>
    </row>
    <row r="35" spans="1:7" s="109" customFormat="1" ht="21" x14ac:dyDescent="0.25">
      <c r="A35" s="150" t="s">
        <v>653</v>
      </c>
      <c r="B35" s="151" t="s">
        <v>58</v>
      </c>
      <c r="C35" s="152"/>
      <c r="D35" s="205">
        <v>137645284</v>
      </c>
      <c r="E35" s="205">
        <v>5490836220</v>
      </c>
      <c r="F35" s="205">
        <v>1520004897</v>
      </c>
      <c r="G35" s="206">
        <v>9663133033</v>
      </c>
    </row>
    <row r="36" spans="1:7" s="109" customFormat="1" ht="42" x14ac:dyDescent="0.25">
      <c r="A36" s="153" t="s">
        <v>654</v>
      </c>
      <c r="B36" s="154" t="s">
        <v>61</v>
      </c>
      <c r="C36" s="98"/>
      <c r="D36" s="207">
        <v>137645284</v>
      </c>
      <c r="E36" s="207">
        <v>5490836220</v>
      </c>
      <c r="F36" s="207">
        <v>1520004897</v>
      </c>
      <c r="G36" s="208">
        <v>9663133033</v>
      </c>
    </row>
    <row r="37" spans="1:7" s="109" customFormat="1" ht="21" x14ac:dyDescent="0.25">
      <c r="A37" s="155" t="s">
        <v>655</v>
      </c>
      <c r="B37" s="156" t="s">
        <v>656</v>
      </c>
      <c r="C37" s="157"/>
      <c r="D37" s="209">
        <v>137645284</v>
      </c>
      <c r="E37" s="209">
        <v>5490836220</v>
      </c>
      <c r="F37" s="209">
        <v>1520004897</v>
      </c>
      <c r="G37" s="210">
        <v>9663133033</v>
      </c>
    </row>
    <row r="38" spans="1:7" s="109" customFormat="1" ht="21" x14ac:dyDescent="0.25">
      <c r="A38" s="155" t="s">
        <v>657</v>
      </c>
      <c r="B38" s="156" t="s">
        <v>658</v>
      </c>
      <c r="C38" s="157"/>
      <c r="D38" s="209">
        <v>0</v>
      </c>
      <c r="E38" s="209">
        <v>0</v>
      </c>
      <c r="F38" s="209">
        <v>0</v>
      </c>
      <c r="G38" s="210">
        <v>0</v>
      </c>
    </row>
    <row r="39" spans="1:7" s="109" customFormat="1" ht="31.5" x14ac:dyDescent="0.25">
      <c r="A39" s="153" t="s">
        <v>659</v>
      </c>
      <c r="B39" s="154" t="s">
        <v>64</v>
      </c>
      <c r="C39" s="98"/>
      <c r="D39" s="207">
        <v>0</v>
      </c>
      <c r="E39" s="207">
        <v>0</v>
      </c>
      <c r="F39" s="207">
        <v>0</v>
      </c>
      <c r="G39" s="208">
        <v>0</v>
      </c>
    </row>
    <row r="40" spans="1:7" s="109" customFormat="1" ht="21" x14ac:dyDescent="0.25">
      <c r="A40" s="153" t="s">
        <v>660</v>
      </c>
      <c r="B40" s="154" t="s">
        <v>67</v>
      </c>
      <c r="C40" s="98"/>
      <c r="D40" s="207">
        <v>0</v>
      </c>
      <c r="E40" s="207">
        <v>0</v>
      </c>
      <c r="F40" s="207">
        <v>0</v>
      </c>
      <c r="G40" s="208">
        <v>0</v>
      </c>
    </row>
    <row r="41" spans="1:7" s="109" customFormat="1" ht="63" x14ac:dyDescent="0.25">
      <c r="A41" s="153" t="s">
        <v>661</v>
      </c>
      <c r="B41" s="154" t="s">
        <v>70</v>
      </c>
      <c r="C41" s="98"/>
      <c r="D41" s="207">
        <v>0</v>
      </c>
      <c r="E41" s="207">
        <v>0</v>
      </c>
      <c r="F41" s="207">
        <v>0</v>
      </c>
      <c r="G41" s="208">
        <v>0</v>
      </c>
    </row>
    <row r="42" spans="1:7" s="109" customFormat="1" ht="21" x14ac:dyDescent="0.25">
      <c r="A42" s="153" t="s">
        <v>662</v>
      </c>
      <c r="B42" s="154" t="s">
        <v>73</v>
      </c>
      <c r="C42" s="98"/>
      <c r="D42" s="207">
        <v>0</v>
      </c>
      <c r="E42" s="207">
        <v>0</v>
      </c>
      <c r="F42" s="207">
        <v>0</v>
      </c>
      <c r="G42" s="208">
        <v>0</v>
      </c>
    </row>
    <row r="43" spans="1:7" s="109" customFormat="1" ht="21" x14ac:dyDescent="0.25">
      <c r="A43" s="150" t="s">
        <v>663</v>
      </c>
      <c r="B43" s="151" t="s">
        <v>88</v>
      </c>
      <c r="C43" s="152"/>
      <c r="D43" s="205">
        <v>12902897915</v>
      </c>
      <c r="E43" s="205">
        <v>138011926257</v>
      </c>
      <c r="F43" s="205">
        <v>11243928303</v>
      </c>
      <c r="G43" s="206">
        <v>96880327729</v>
      </c>
    </row>
    <row r="44" spans="1:7" s="109" customFormat="1" ht="21" x14ac:dyDescent="0.25">
      <c r="A44" s="153" t="s">
        <v>664</v>
      </c>
      <c r="B44" s="154" t="s">
        <v>665</v>
      </c>
      <c r="C44" s="98"/>
      <c r="D44" s="207">
        <v>9887510103</v>
      </c>
      <c r="E44" s="207">
        <v>106148371399</v>
      </c>
      <c r="F44" s="207">
        <v>8568012792</v>
      </c>
      <c r="G44" s="208">
        <v>74587558639</v>
      </c>
    </row>
    <row r="45" spans="1:7" s="109" customFormat="1" ht="21" x14ac:dyDescent="0.25">
      <c r="A45" s="153" t="s">
        <v>666</v>
      </c>
      <c r="B45" s="154" t="s">
        <v>667</v>
      </c>
      <c r="C45" s="98"/>
      <c r="D45" s="207">
        <v>351636842</v>
      </c>
      <c r="E45" s="207">
        <v>3521294684</v>
      </c>
      <c r="F45" s="207">
        <v>279868241</v>
      </c>
      <c r="G45" s="208">
        <v>2454469124</v>
      </c>
    </row>
    <row r="46" spans="1:7" s="109" customFormat="1" ht="21" x14ac:dyDescent="0.25">
      <c r="A46" s="155" t="s">
        <v>668</v>
      </c>
      <c r="B46" s="156" t="s">
        <v>669</v>
      </c>
      <c r="C46" s="157"/>
      <c r="D46" s="209">
        <v>247187753</v>
      </c>
      <c r="E46" s="209">
        <v>2653709288</v>
      </c>
      <c r="F46" s="209">
        <v>214200319</v>
      </c>
      <c r="G46" s="210">
        <v>1864688964</v>
      </c>
    </row>
    <row r="47" spans="1:7" s="109" customFormat="1" ht="31.5" x14ac:dyDescent="0.25">
      <c r="A47" s="155" t="s">
        <v>670</v>
      </c>
      <c r="B47" s="156" t="s">
        <v>671</v>
      </c>
      <c r="C47" s="157"/>
      <c r="D47" s="209">
        <v>2300000</v>
      </c>
      <c r="E47" s="209">
        <v>30200000</v>
      </c>
      <c r="F47" s="209">
        <v>5700000</v>
      </c>
      <c r="G47" s="210">
        <v>43400000</v>
      </c>
    </row>
    <row r="48" spans="1:7" s="109" customFormat="1" ht="21" x14ac:dyDescent="0.25">
      <c r="A48" s="155" t="s">
        <v>672</v>
      </c>
      <c r="B48" s="156" t="s">
        <v>673</v>
      </c>
      <c r="C48" s="157"/>
      <c r="D48" s="209">
        <v>102149089</v>
      </c>
      <c r="E48" s="209">
        <v>837385396</v>
      </c>
      <c r="F48" s="209">
        <v>59967922</v>
      </c>
      <c r="G48" s="210">
        <v>546380160</v>
      </c>
    </row>
    <row r="49" spans="1:7" s="109" customFormat="1" ht="63" x14ac:dyDescent="0.25">
      <c r="A49" s="155" t="s">
        <v>674</v>
      </c>
      <c r="B49" s="156" t="s">
        <v>675</v>
      </c>
      <c r="C49" s="157"/>
      <c r="D49" s="209">
        <v>0</v>
      </c>
      <c r="E49" s="209">
        <v>0</v>
      </c>
      <c r="F49" s="209">
        <v>0</v>
      </c>
      <c r="G49" s="210">
        <v>0</v>
      </c>
    </row>
    <row r="50" spans="1:7" s="109" customFormat="1" ht="21" x14ac:dyDescent="0.25">
      <c r="A50" s="153" t="s">
        <v>676</v>
      </c>
      <c r="B50" s="154" t="s">
        <v>677</v>
      </c>
      <c r="C50" s="98"/>
      <c r="D50" s="207">
        <v>543813054</v>
      </c>
      <c r="E50" s="207">
        <v>5838160422</v>
      </c>
      <c r="F50" s="207">
        <v>471240705</v>
      </c>
      <c r="G50" s="208">
        <v>4102315738</v>
      </c>
    </row>
    <row r="51" spans="1:7" s="109" customFormat="1" ht="21" x14ac:dyDescent="0.25">
      <c r="A51" s="153" t="s">
        <v>678</v>
      </c>
      <c r="B51" s="154" t="s">
        <v>679</v>
      </c>
      <c r="C51" s="98"/>
      <c r="D51" s="207">
        <v>271906528</v>
      </c>
      <c r="E51" s="207">
        <v>2919080215</v>
      </c>
      <c r="F51" s="207">
        <v>235620351</v>
      </c>
      <c r="G51" s="208">
        <v>2051157858</v>
      </c>
    </row>
    <row r="52" spans="1:7" s="109" customFormat="1" ht="21" x14ac:dyDescent="0.25">
      <c r="A52" s="153" t="s">
        <v>680</v>
      </c>
      <c r="B52" s="154" t="s">
        <v>681</v>
      </c>
      <c r="C52" s="98"/>
      <c r="D52" s="207">
        <v>5500000</v>
      </c>
      <c r="E52" s="207">
        <v>55000000</v>
      </c>
      <c r="F52" s="207">
        <v>5500000</v>
      </c>
      <c r="G52" s="208">
        <v>55000000</v>
      </c>
    </row>
    <row r="53" spans="1:7" s="109" customFormat="1" ht="31.5" x14ac:dyDescent="0.25">
      <c r="A53" s="153" t="s">
        <v>682</v>
      </c>
      <c r="B53" s="154" t="s">
        <v>683</v>
      </c>
      <c r="C53" s="98"/>
      <c r="D53" s="207">
        <v>1792111207</v>
      </c>
      <c r="E53" s="207">
        <v>19006297050</v>
      </c>
      <c r="F53" s="207">
        <v>1651163156</v>
      </c>
      <c r="G53" s="208">
        <v>13278489033</v>
      </c>
    </row>
    <row r="54" spans="1:7" s="109" customFormat="1" ht="42" x14ac:dyDescent="0.25">
      <c r="A54" s="155" t="s">
        <v>684</v>
      </c>
      <c r="B54" s="156" t="s">
        <v>685</v>
      </c>
      <c r="C54" s="157"/>
      <c r="D54" s="209">
        <v>617969383</v>
      </c>
      <c r="E54" s="209">
        <v>6634273209</v>
      </c>
      <c r="F54" s="209">
        <v>535500797</v>
      </c>
      <c r="G54" s="210">
        <v>4661722412</v>
      </c>
    </row>
    <row r="55" spans="1:7" s="109" customFormat="1" ht="42" x14ac:dyDescent="0.25">
      <c r="A55" s="155" t="s">
        <v>686</v>
      </c>
      <c r="B55" s="156" t="s">
        <v>687</v>
      </c>
      <c r="C55" s="157"/>
      <c r="D55" s="209">
        <v>494375504</v>
      </c>
      <c r="E55" s="209">
        <v>5307418565</v>
      </c>
      <c r="F55" s="209">
        <v>428400641</v>
      </c>
      <c r="G55" s="210">
        <v>3729377942</v>
      </c>
    </row>
    <row r="56" spans="1:7" s="109" customFormat="1" ht="21" x14ac:dyDescent="0.25">
      <c r="A56" s="155" t="s">
        <v>688</v>
      </c>
      <c r="B56" s="156" t="s">
        <v>689</v>
      </c>
      <c r="C56" s="157"/>
      <c r="D56" s="209">
        <v>679766320</v>
      </c>
      <c r="E56" s="209">
        <v>7064605276</v>
      </c>
      <c r="F56" s="209">
        <v>687261718</v>
      </c>
      <c r="G56" s="210">
        <v>4887388679</v>
      </c>
    </row>
    <row r="57" spans="1:7" s="109" customFormat="1" ht="31.5" x14ac:dyDescent="0.25">
      <c r="A57" s="153" t="s">
        <v>690</v>
      </c>
      <c r="B57" s="154" t="s">
        <v>691</v>
      </c>
      <c r="C57" s="98"/>
      <c r="D57" s="207">
        <v>0</v>
      </c>
      <c r="E57" s="207">
        <v>26000000</v>
      </c>
      <c r="F57" s="207">
        <v>0</v>
      </c>
      <c r="G57" s="208">
        <v>27142500</v>
      </c>
    </row>
    <row r="58" spans="1:7" s="109" customFormat="1" ht="21" x14ac:dyDescent="0.25">
      <c r="A58" s="153" t="s">
        <v>692</v>
      </c>
      <c r="B58" s="154" t="s">
        <v>693</v>
      </c>
      <c r="C58" s="98"/>
      <c r="D58" s="207">
        <v>30236031</v>
      </c>
      <c r="E58" s="207">
        <v>213303320</v>
      </c>
      <c r="F58" s="207">
        <v>18176664</v>
      </c>
      <c r="G58" s="208">
        <v>129233047</v>
      </c>
    </row>
    <row r="59" spans="1:7" s="109" customFormat="1" ht="21" x14ac:dyDescent="0.25">
      <c r="A59" s="153" t="s">
        <v>694</v>
      </c>
      <c r="B59" s="154" t="s">
        <v>695</v>
      </c>
      <c r="C59" s="98"/>
      <c r="D59" s="207">
        <v>0</v>
      </c>
      <c r="E59" s="207">
        <v>0</v>
      </c>
      <c r="F59" s="207">
        <v>0</v>
      </c>
      <c r="G59" s="208">
        <v>0</v>
      </c>
    </row>
    <row r="60" spans="1:7" s="109" customFormat="1" ht="21" x14ac:dyDescent="0.25">
      <c r="A60" s="153" t="s">
        <v>696</v>
      </c>
      <c r="B60" s="154" t="s">
        <v>697</v>
      </c>
      <c r="C60" s="98"/>
      <c r="D60" s="207">
        <v>20184150</v>
      </c>
      <c r="E60" s="207">
        <v>284419167</v>
      </c>
      <c r="F60" s="207">
        <v>14346394</v>
      </c>
      <c r="G60" s="208">
        <v>194961790</v>
      </c>
    </row>
    <row r="61" spans="1:7" s="109" customFormat="1" ht="31.5" x14ac:dyDescent="0.25">
      <c r="A61" s="155" t="s">
        <v>698</v>
      </c>
      <c r="B61" s="156" t="s">
        <v>699</v>
      </c>
      <c r="C61" s="157"/>
      <c r="D61" s="209">
        <v>9637856</v>
      </c>
      <c r="E61" s="209">
        <v>96744847</v>
      </c>
      <c r="F61" s="209">
        <v>9764372</v>
      </c>
      <c r="G61" s="210">
        <v>97495777</v>
      </c>
    </row>
    <row r="62" spans="1:7" s="109" customFormat="1" ht="31.5" x14ac:dyDescent="0.25">
      <c r="A62" s="155" t="s">
        <v>700</v>
      </c>
      <c r="B62" s="156" t="s">
        <v>701</v>
      </c>
      <c r="C62" s="157"/>
      <c r="D62" s="209">
        <v>0</v>
      </c>
      <c r="E62" s="209">
        <v>0</v>
      </c>
      <c r="F62" s="209">
        <v>0</v>
      </c>
      <c r="G62" s="210">
        <v>0</v>
      </c>
    </row>
    <row r="63" spans="1:7" s="109" customFormat="1" ht="21" x14ac:dyDescent="0.25">
      <c r="A63" s="155" t="s">
        <v>702</v>
      </c>
      <c r="B63" s="156" t="s">
        <v>703</v>
      </c>
      <c r="C63" s="157"/>
      <c r="D63" s="209">
        <v>0</v>
      </c>
      <c r="E63" s="209">
        <v>0</v>
      </c>
      <c r="F63" s="209">
        <v>0</v>
      </c>
      <c r="G63" s="210">
        <v>0</v>
      </c>
    </row>
    <row r="64" spans="1:7" s="109" customFormat="1" ht="21" x14ac:dyDescent="0.25">
      <c r="A64" s="155" t="s">
        <v>704</v>
      </c>
      <c r="B64" s="156" t="s">
        <v>705</v>
      </c>
      <c r="C64" s="157"/>
      <c r="D64" s="209">
        <v>0</v>
      </c>
      <c r="E64" s="209">
        <v>0</v>
      </c>
      <c r="F64" s="209">
        <v>0</v>
      </c>
      <c r="G64" s="210">
        <v>0</v>
      </c>
    </row>
    <row r="65" spans="1:7" s="109" customFormat="1" ht="21" x14ac:dyDescent="0.25">
      <c r="A65" s="155" t="s">
        <v>706</v>
      </c>
      <c r="B65" s="156" t="s">
        <v>707</v>
      </c>
      <c r="C65" s="157"/>
      <c r="D65" s="209">
        <v>0</v>
      </c>
      <c r="E65" s="209">
        <v>0</v>
      </c>
      <c r="F65" s="209">
        <v>0</v>
      </c>
      <c r="G65" s="210">
        <v>0</v>
      </c>
    </row>
    <row r="66" spans="1:7" s="109" customFormat="1" ht="21" x14ac:dyDescent="0.25">
      <c r="A66" s="155" t="s">
        <v>708</v>
      </c>
      <c r="B66" s="156" t="s">
        <v>709</v>
      </c>
      <c r="C66" s="157"/>
      <c r="D66" s="209">
        <v>0</v>
      </c>
      <c r="E66" s="209">
        <v>0</v>
      </c>
      <c r="F66" s="209">
        <v>0</v>
      </c>
      <c r="G66" s="210">
        <v>0</v>
      </c>
    </row>
    <row r="67" spans="1:7" s="109" customFormat="1" ht="21" x14ac:dyDescent="0.25">
      <c r="A67" s="155" t="s">
        <v>710</v>
      </c>
      <c r="B67" s="156" t="s">
        <v>711</v>
      </c>
      <c r="C67" s="157"/>
      <c r="D67" s="209">
        <v>0</v>
      </c>
      <c r="E67" s="209">
        <v>0</v>
      </c>
      <c r="F67" s="209">
        <v>0</v>
      </c>
      <c r="G67" s="210">
        <v>0</v>
      </c>
    </row>
    <row r="68" spans="1:7" s="109" customFormat="1" ht="21" x14ac:dyDescent="0.25">
      <c r="A68" s="155" t="s">
        <v>712</v>
      </c>
      <c r="B68" s="156" t="s">
        <v>713</v>
      </c>
      <c r="C68" s="157"/>
      <c r="D68" s="209">
        <v>1546294</v>
      </c>
      <c r="E68" s="209">
        <v>35930330</v>
      </c>
      <c r="F68" s="209">
        <v>4582022</v>
      </c>
      <c r="G68" s="210">
        <v>38682825</v>
      </c>
    </row>
    <row r="69" spans="1:7" s="109" customFormat="1" ht="31.5" x14ac:dyDescent="0.25">
      <c r="A69" s="155" t="s">
        <v>714</v>
      </c>
      <c r="B69" s="156" t="s">
        <v>715</v>
      </c>
      <c r="C69" s="157"/>
      <c r="D69" s="209">
        <v>0</v>
      </c>
      <c r="E69" s="209">
        <v>0</v>
      </c>
      <c r="F69" s="209">
        <v>0</v>
      </c>
      <c r="G69" s="210">
        <v>0</v>
      </c>
    </row>
    <row r="70" spans="1:7" s="109" customFormat="1" ht="21" x14ac:dyDescent="0.25">
      <c r="A70" s="155" t="s">
        <v>716</v>
      </c>
      <c r="B70" s="156" t="s">
        <v>717</v>
      </c>
      <c r="C70" s="157"/>
      <c r="D70" s="209">
        <v>0</v>
      </c>
      <c r="E70" s="209">
        <v>34743990</v>
      </c>
      <c r="F70" s="209">
        <v>0</v>
      </c>
      <c r="G70" s="210">
        <v>18283188</v>
      </c>
    </row>
    <row r="71" spans="1:7" s="109" customFormat="1" ht="31.5" x14ac:dyDescent="0.25">
      <c r="A71" s="155" t="s">
        <v>718</v>
      </c>
      <c r="B71" s="156" t="s">
        <v>719</v>
      </c>
      <c r="C71" s="157"/>
      <c r="D71" s="209">
        <v>0</v>
      </c>
      <c r="E71" s="209">
        <v>10500000</v>
      </c>
      <c r="F71" s="209">
        <v>0</v>
      </c>
      <c r="G71" s="210">
        <v>10500000</v>
      </c>
    </row>
    <row r="72" spans="1:7" s="109" customFormat="1" ht="21" x14ac:dyDescent="0.25">
      <c r="A72" s="155" t="s">
        <v>720</v>
      </c>
      <c r="B72" s="156" t="s">
        <v>721</v>
      </c>
      <c r="C72" s="157"/>
      <c r="D72" s="209">
        <v>9000000</v>
      </c>
      <c r="E72" s="209">
        <v>76500000</v>
      </c>
      <c r="F72" s="209">
        <v>0</v>
      </c>
      <c r="G72" s="210">
        <v>0</v>
      </c>
    </row>
    <row r="73" spans="1:7" s="109" customFormat="1" ht="21" x14ac:dyDescent="0.25">
      <c r="A73" s="155" t="s">
        <v>722</v>
      </c>
      <c r="B73" s="156" t="s">
        <v>723</v>
      </c>
      <c r="C73" s="157"/>
      <c r="D73" s="209">
        <v>0</v>
      </c>
      <c r="E73" s="209">
        <v>30000000</v>
      </c>
      <c r="F73" s="209">
        <v>0</v>
      </c>
      <c r="G73" s="210">
        <v>30000000</v>
      </c>
    </row>
    <row r="74" spans="1:7" s="109" customFormat="1" ht="21" x14ac:dyDescent="0.25">
      <c r="A74" s="155" t="s">
        <v>724</v>
      </c>
      <c r="B74" s="156" t="s">
        <v>725</v>
      </c>
      <c r="C74" s="157"/>
      <c r="D74" s="209">
        <v>0</v>
      </c>
      <c r="E74" s="209">
        <v>0</v>
      </c>
      <c r="F74" s="209">
        <v>0</v>
      </c>
      <c r="G74" s="210">
        <v>0</v>
      </c>
    </row>
    <row r="75" spans="1:7" s="109" customFormat="1" ht="31.5" x14ac:dyDescent="0.25">
      <c r="A75" s="150" t="s">
        <v>726</v>
      </c>
      <c r="B75" s="151" t="s">
        <v>727</v>
      </c>
      <c r="C75" s="152"/>
      <c r="D75" s="205">
        <v>-1395370718377</v>
      </c>
      <c r="E75" s="205">
        <v>-3728135014972</v>
      </c>
      <c r="F75" s="205">
        <v>740088362515</v>
      </c>
      <c r="G75" s="206">
        <v>5060328907054</v>
      </c>
    </row>
    <row r="76" spans="1:7" s="109" customFormat="1" ht="31.5" x14ac:dyDescent="0.25">
      <c r="A76" s="150" t="s">
        <v>728</v>
      </c>
      <c r="B76" s="151" t="s">
        <v>729</v>
      </c>
      <c r="C76" s="152"/>
      <c r="D76" s="205">
        <v>0</v>
      </c>
      <c r="E76" s="205">
        <v>0</v>
      </c>
      <c r="F76" s="205">
        <v>0</v>
      </c>
      <c r="G76" s="206">
        <v>0</v>
      </c>
    </row>
    <row r="77" spans="1:7" s="109" customFormat="1" ht="21" x14ac:dyDescent="0.25">
      <c r="A77" s="153" t="s">
        <v>730</v>
      </c>
      <c r="B77" s="154" t="s">
        <v>731</v>
      </c>
      <c r="C77" s="98"/>
      <c r="D77" s="207">
        <v>0</v>
      </c>
      <c r="E77" s="207">
        <v>0</v>
      </c>
      <c r="F77" s="207">
        <v>0</v>
      </c>
      <c r="G77" s="208">
        <v>0</v>
      </c>
    </row>
    <row r="78" spans="1:7" s="109" customFormat="1" ht="21" x14ac:dyDescent="0.25">
      <c r="A78" s="153" t="s">
        <v>732</v>
      </c>
      <c r="B78" s="154" t="s">
        <v>733</v>
      </c>
      <c r="C78" s="98"/>
      <c r="D78" s="207">
        <v>0</v>
      </c>
      <c r="E78" s="207">
        <v>0</v>
      </c>
      <c r="F78" s="207">
        <v>0</v>
      </c>
      <c r="G78" s="208">
        <v>0</v>
      </c>
    </row>
    <row r="79" spans="1:7" s="109" customFormat="1" ht="42" x14ac:dyDescent="0.25">
      <c r="A79" s="150" t="s">
        <v>734</v>
      </c>
      <c r="B79" s="151" t="s">
        <v>735</v>
      </c>
      <c r="C79" s="152"/>
      <c r="D79" s="205">
        <v>-1395370718377</v>
      </c>
      <c r="E79" s="205">
        <v>-3728135014972</v>
      </c>
      <c r="F79" s="205">
        <v>740088362515</v>
      </c>
      <c r="G79" s="206">
        <v>5060328907054</v>
      </c>
    </row>
    <row r="80" spans="1:7" s="109" customFormat="1" ht="21" x14ac:dyDescent="0.25">
      <c r="A80" s="153" t="s">
        <v>736</v>
      </c>
      <c r="B80" s="154" t="s">
        <v>737</v>
      </c>
      <c r="C80" s="98"/>
      <c r="D80" s="207">
        <v>995147098</v>
      </c>
      <c r="E80" s="207">
        <v>912730906797</v>
      </c>
      <c r="F80" s="207">
        <v>280078403141</v>
      </c>
      <c r="G80" s="208">
        <v>2028150699443</v>
      </c>
    </row>
    <row r="81" spans="1:7" s="109" customFormat="1" ht="21" x14ac:dyDescent="0.25">
      <c r="A81" s="153" t="s">
        <v>738</v>
      </c>
      <c r="B81" s="154" t="s">
        <v>739</v>
      </c>
      <c r="C81" s="98"/>
      <c r="D81" s="207">
        <v>-1396365865475</v>
      </c>
      <c r="E81" s="207">
        <v>-4640865921769</v>
      </c>
      <c r="F81" s="207">
        <v>460009959374</v>
      </c>
      <c r="G81" s="208">
        <v>3032178207611</v>
      </c>
    </row>
    <row r="82" spans="1:7" s="109" customFormat="1" ht="21" x14ac:dyDescent="0.25">
      <c r="A82" s="150" t="s">
        <v>740</v>
      </c>
      <c r="B82" s="151" t="s">
        <v>741</v>
      </c>
      <c r="C82" s="152"/>
      <c r="D82" s="205">
        <v>0</v>
      </c>
      <c r="E82" s="205">
        <v>0</v>
      </c>
      <c r="F82" s="205">
        <v>0</v>
      </c>
      <c r="G82" s="206">
        <v>0</v>
      </c>
    </row>
    <row r="83" spans="1:7" s="109" customFormat="1" ht="42" x14ac:dyDescent="0.25">
      <c r="A83" s="158" t="s">
        <v>742</v>
      </c>
      <c r="B83" s="159" t="s">
        <v>743</v>
      </c>
      <c r="C83" s="160"/>
      <c r="D83" s="211">
        <v>-1395370718377</v>
      </c>
      <c r="E83" s="211">
        <v>-3728135014972</v>
      </c>
      <c r="F83" s="211">
        <v>740088362515</v>
      </c>
      <c r="G83" s="212">
        <v>5060328907054</v>
      </c>
    </row>
    <row r="84" spans="1:7" ht="10.5" customHeight="1" x14ac:dyDescent="0.15">
      <c r="A84" s="88"/>
      <c r="B84" s="264"/>
      <c r="C84" s="264"/>
      <c r="D84" s="264"/>
      <c r="E84" s="264"/>
      <c r="F84" s="264"/>
      <c r="G84" s="264"/>
    </row>
    <row r="85" spans="1:7" ht="15" customHeight="1" x14ac:dyDescent="0.15">
      <c r="A85" s="89" t="s">
        <v>605</v>
      </c>
      <c r="B85" s="263" t="s">
        <v>606</v>
      </c>
      <c r="C85" s="263"/>
      <c r="D85" s="263"/>
      <c r="E85" s="263"/>
      <c r="F85" s="314" t="s">
        <v>173</v>
      </c>
      <c r="G85" s="314"/>
    </row>
    <row r="86" spans="1:7" ht="15" customHeight="1" x14ac:dyDescent="0.15">
      <c r="A86" s="162" t="s">
        <v>607</v>
      </c>
      <c r="B86" s="311" t="s">
        <v>607</v>
      </c>
      <c r="C86" s="311"/>
      <c r="D86" s="311"/>
      <c r="E86" s="311"/>
      <c r="F86" s="312" t="s">
        <v>608</v>
      </c>
      <c r="G86" s="312"/>
    </row>
    <row r="87" spans="1:7" ht="77.25" customHeight="1" x14ac:dyDescent="0.15">
      <c r="A87" s="88"/>
      <c r="B87" s="264"/>
      <c r="C87" s="264"/>
      <c r="D87" s="264"/>
      <c r="E87" s="264"/>
      <c r="F87" s="264"/>
      <c r="G87" s="264"/>
    </row>
    <row r="88" spans="1:7" ht="15.75" customHeight="1" x14ac:dyDescent="0.15">
      <c r="A88" s="89" t="s">
        <v>609</v>
      </c>
      <c r="B88" s="260" t="s">
        <v>610</v>
      </c>
      <c r="C88" s="260"/>
      <c r="D88" s="260"/>
      <c r="E88" s="260"/>
      <c r="F88" s="260" t="s">
        <v>175</v>
      </c>
      <c r="G88" s="260"/>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18" right="0.5" top="0.58999997377395597" bottom="0.58999997377395597" header="0.5" footer="0.5"/>
  <pageSetup paperSize="9" scale="79"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zoomScaleNormal="100" zoomScaleSheetLayoutView="100" workbookViewId="0">
      <selection activeCell="E21" sqref="E21"/>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64"/>
      <c r="B1" s="264"/>
      <c r="C1" s="263" t="s">
        <v>744</v>
      </c>
      <c r="D1" s="263"/>
      <c r="E1" s="263"/>
      <c r="F1" s="263"/>
    </row>
    <row r="2" spans="1:6" ht="27" customHeight="1" x14ac:dyDescent="0.15">
      <c r="A2" s="271" t="s">
        <v>576</v>
      </c>
      <c r="B2" s="271"/>
      <c r="C2" s="271"/>
      <c r="D2" s="271"/>
      <c r="E2" s="271"/>
      <c r="F2" s="271"/>
    </row>
    <row r="3" spans="1:6" ht="3.75" customHeight="1" x14ac:dyDescent="0.15">
      <c r="A3" s="88"/>
      <c r="B3" s="88"/>
      <c r="C3" s="88"/>
      <c r="D3" s="88"/>
      <c r="E3" s="88"/>
      <c r="F3" s="88"/>
    </row>
    <row r="4" spans="1:6" ht="30.75" customHeight="1" x14ac:dyDescent="0.15">
      <c r="A4" s="272" t="s">
        <v>745</v>
      </c>
      <c r="B4" s="272"/>
      <c r="C4" s="272"/>
      <c r="D4" s="272"/>
      <c r="E4" s="272"/>
      <c r="F4" s="272"/>
    </row>
    <row r="5" spans="1:6" ht="11.25" customHeight="1" x14ac:dyDescent="0.15">
      <c r="A5" s="262" t="s">
        <v>1068</v>
      </c>
      <c r="B5" s="262"/>
      <c r="C5" s="262"/>
      <c r="D5" s="262"/>
      <c r="E5" s="262"/>
      <c r="F5" s="262"/>
    </row>
    <row r="6" spans="1:6" ht="5.25" customHeight="1" x14ac:dyDescent="0.15">
      <c r="A6" s="88"/>
      <c r="B6" s="88"/>
      <c r="C6" s="164"/>
      <c r="D6" s="88"/>
      <c r="E6" s="88"/>
      <c r="F6" s="88"/>
    </row>
    <row r="7" spans="1:6" ht="4.5" customHeight="1" x14ac:dyDescent="0.15">
      <c r="A7" s="88"/>
      <c r="B7" s="88"/>
      <c r="C7" s="88"/>
      <c r="D7" s="88"/>
      <c r="E7" s="88"/>
      <c r="F7" s="88"/>
    </row>
    <row r="8" spans="1:6" ht="12.75" customHeight="1" x14ac:dyDescent="0.15">
      <c r="A8" s="265" t="s">
        <v>9</v>
      </c>
      <c r="B8" s="265"/>
      <c r="C8" s="265" t="s">
        <v>10</v>
      </c>
      <c r="D8" s="265"/>
      <c r="E8" s="265"/>
      <c r="F8" s="265"/>
    </row>
    <row r="9" spans="1:6" ht="12.75" customHeight="1" x14ac:dyDescent="0.15">
      <c r="A9" s="264" t="s">
        <v>11</v>
      </c>
      <c r="B9" s="264"/>
      <c r="C9" s="264" t="s">
        <v>12</v>
      </c>
      <c r="D9" s="264"/>
      <c r="E9" s="264"/>
      <c r="F9" s="264"/>
    </row>
    <row r="10" spans="1:6" ht="12.75" customHeight="1" x14ac:dyDescent="0.15">
      <c r="A10" s="265" t="s">
        <v>14</v>
      </c>
      <c r="B10" s="265"/>
      <c r="C10" s="265" t="s">
        <v>15</v>
      </c>
      <c r="D10" s="265"/>
      <c r="E10" s="265"/>
      <c r="F10" s="265"/>
    </row>
    <row r="11" spans="1:6" ht="12.75" customHeight="1" x14ac:dyDescent="0.15">
      <c r="A11" s="264" t="s">
        <v>16</v>
      </c>
      <c r="B11" s="264"/>
      <c r="C11" s="264" t="s">
        <v>17</v>
      </c>
      <c r="D11" s="264"/>
      <c r="E11" s="264"/>
      <c r="F11" s="264"/>
    </row>
    <row r="12" spans="1:6" ht="12.75" customHeight="1" x14ac:dyDescent="0.15">
      <c r="A12" s="265" t="s">
        <v>387</v>
      </c>
      <c r="B12" s="265"/>
      <c r="C12" s="265" t="s">
        <v>5</v>
      </c>
      <c r="D12" s="265"/>
      <c r="E12" s="265"/>
      <c r="F12" s="265"/>
    </row>
    <row r="13" spans="1:6" ht="12.75" customHeight="1" x14ac:dyDescent="0.15">
      <c r="A13" s="264" t="s">
        <v>6</v>
      </c>
      <c r="B13" s="264"/>
      <c r="C13" s="264" t="s">
        <v>7</v>
      </c>
      <c r="D13" s="264"/>
      <c r="E13" s="264"/>
      <c r="F13" s="264"/>
    </row>
    <row r="14" spans="1:6" ht="12.75" customHeight="1" x14ac:dyDescent="0.15">
      <c r="A14" s="265" t="s">
        <v>19</v>
      </c>
      <c r="B14" s="265"/>
      <c r="C14" s="266">
        <f>+TONGQUAN!E12</f>
        <v>44869</v>
      </c>
      <c r="D14" s="266"/>
      <c r="E14" s="266"/>
      <c r="F14" s="266"/>
    </row>
    <row r="15" spans="1:6" ht="12.75" customHeight="1" x14ac:dyDescent="0.15">
      <c r="A15" s="264" t="s">
        <v>20</v>
      </c>
      <c r="B15" s="264"/>
      <c r="C15" s="267">
        <f>+C14</f>
        <v>44869</v>
      </c>
      <c r="D15" s="267"/>
      <c r="E15" s="267"/>
      <c r="F15" s="267"/>
    </row>
    <row r="16" spans="1:6" ht="12.75" customHeight="1" x14ac:dyDescent="0.15">
      <c r="A16" s="91"/>
      <c r="B16" s="91"/>
      <c r="C16" s="91"/>
      <c r="D16" s="91"/>
      <c r="E16" s="91"/>
      <c r="F16" s="92" t="s">
        <v>23</v>
      </c>
    </row>
    <row r="17" spans="1:6" ht="39.75" customHeight="1" x14ac:dyDescent="0.15">
      <c r="A17" s="93" t="s">
        <v>24</v>
      </c>
      <c r="B17" s="94" t="s">
        <v>746</v>
      </c>
      <c r="C17" s="94" t="s">
        <v>616</v>
      </c>
      <c r="D17" s="94" t="s">
        <v>747</v>
      </c>
      <c r="E17" s="165" t="s">
        <v>1069</v>
      </c>
      <c r="F17" s="95" t="s">
        <v>1059</v>
      </c>
    </row>
    <row r="18" spans="1:6" ht="21" x14ac:dyDescent="0.15">
      <c r="A18" s="166" t="s">
        <v>31</v>
      </c>
      <c r="B18" s="167" t="s">
        <v>748</v>
      </c>
      <c r="C18" s="168" t="s">
        <v>31</v>
      </c>
      <c r="D18" s="168"/>
      <c r="E18" s="169">
        <v>0</v>
      </c>
      <c r="F18" s="170">
        <v>0</v>
      </c>
    </row>
    <row r="19" spans="1:6" ht="21" x14ac:dyDescent="0.15">
      <c r="A19" s="166" t="s">
        <v>3</v>
      </c>
      <c r="B19" s="167" t="s">
        <v>749</v>
      </c>
      <c r="C19" s="168" t="s">
        <v>750</v>
      </c>
      <c r="D19" s="168"/>
      <c r="E19" s="217">
        <v>75581000747</v>
      </c>
      <c r="F19" s="218">
        <v>68206701649</v>
      </c>
    </row>
    <row r="20" spans="1:6" ht="21" x14ac:dyDescent="0.15">
      <c r="A20" s="171" t="s">
        <v>751</v>
      </c>
      <c r="B20" s="172" t="s">
        <v>752</v>
      </c>
      <c r="C20" s="173" t="s">
        <v>753</v>
      </c>
      <c r="D20" s="173"/>
      <c r="E20" s="202">
        <v>75581000747</v>
      </c>
      <c r="F20" s="204">
        <v>68206701649</v>
      </c>
    </row>
    <row r="21" spans="1:6" ht="31.5" x14ac:dyDescent="0.15">
      <c r="A21" s="174"/>
      <c r="B21" s="175" t="s">
        <v>754</v>
      </c>
      <c r="C21" s="176" t="s">
        <v>755</v>
      </c>
      <c r="D21" s="176"/>
      <c r="E21" s="219">
        <v>0</v>
      </c>
      <c r="F21" s="220">
        <v>0</v>
      </c>
    </row>
    <row r="22" spans="1:6" ht="24" customHeight="1" x14ac:dyDescent="0.15">
      <c r="A22" s="174"/>
      <c r="B22" s="175" t="s">
        <v>756</v>
      </c>
      <c r="C22" s="176" t="s">
        <v>757</v>
      </c>
      <c r="D22" s="176"/>
      <c r="E22" s="219">
        <v>0</v>
      </c>
      <c r="F22" s="220">
        <v>0</v>
      </c>
    </row>
    <row r="23" spans="1:6" ht="21" x14ac:dyDescent="0.15">
      <c r="A23" s="174"/>
      <c r="B23" s="175" t="s">
        <v>143</v>
      </c>
      <c r="C23" s="176" t="s">
        <v>758</v>
      </c>
      <c r="D23" s="176"/>
      <c r="E23" s="219">
        <v>75581000747</v>
      </c>
      <c r="F23" s="220">
        <v>68206701649</v>
      </c>
    </row>
    <row r="24" spans="1:6" ht="31.5" x14ac:dyDescent="0.15">
      <c r="A24" s="174"/>
      <c r="B24" s="175" t="s">
        <v>759</v>
      </c>
      <c r="C24" s="176" t="s">
        <v>760</v>
      </c>
      <c r="D24" s="176"/>
      <c r="E24" s="219">
        <v>0</v>
      </c>
      <c r="F24" s="220">
        <v>0</v>
      </c>
    </row>
    <row r="25" spans="1:6" ht="21" x14ac:dyDescent="0.15">
      <c r="A25" s="171" t="s">
        <v>761</v>
      </c>
      <c r="B25" s="172" t="s">
        <v>762</v>
      </c>
      <c r="C25" s="173" t="s">
        <v>763</v>
      </c>
      <c r="D25" s="173"/>
      <c r="E25" s="202">
        <v>0</v>
      </c>
      <c r="F25" s="204">
        <v>0</v>
      </c>
    </row>
    <row r="26" spans="1:6" ht="21" x14ac:dyDescent="0.15">
      <c r="A26" s="171" t="s">
        <v>764</v>
      </c>
      <c r="B26" s="172" t="s">
        <v>765</v>
      </c>
      <c r="C26" s="173" t="s">
        <v>766</v>
      </c>
      <c r="D26" s="173"/>
      <c r="E26" s="202">
        <v>0</v>
      </c>
      <c r="F26" s="204">
        <v>0</v>
      </c>
    </row>
    <row r="27" spans="1:6" ht="21" x14ac:dyDescent="0.15">
      <c r="A27" s="166" t="s">
        <v>8</v>
      </c>
      <c r="B27" s="167" t="s">
        <v>767</v>
      </c>
      <c r="C27" s="168" t="s">
        <v>768</v>
      </c>
      <c r="D27" s="168"/>
      <c r="E27" s="217">
        <v>14662764834800</v>
      </c>
      <c r="F27" s="218">
        <v>15235133382000</v>
      </c>
    </row>
    <row r="28" spans="1:6" ht="21" x14ac:dyDescent="0.15">
      <c r="A28" s="171" t="s">
        <v>769</v>
      </c>
      <c r="B28" s="172" t="s">
        <v>770</v>
      </c>
      <c r="C28" s="173" t="s">
        <v>771</v>
      </c>
      <c r="D28" s="173"/>
      <c r="E28" s="202">
        <v>14662764834800</v>
      </c>
      <c r="F28" s="204">
        <v>15235133382000</v>
      </c>
    </row>
    <row r="29" spans="1:6" ht="21" x14ac:dyDescent="0.15">
      <c r="A29" s="174"/>
      <c r="B29" s="175" t="s">
        <v>772</v>
      </c>
      <c r="C29" s="176" t="s">
        <v>773</v>
      </c>
      <c r="D29" s="176"/>
      <c r="E29" s="219">
        <v>14662764834800</v>
      </c>
      <c r="F29" s="220">
        <v>15235133382000</v>
      </c>
    </row>
    <row r="30" spans="1:6" ht="21" x14ac:dyDescent="0.15">
      <c r="A30" s="174"/>
      <c r="B30" s="175" t="s">
        <v>774</v>
      </c>
      <c r="C30" s="176" t="s">
        <v>775</v>
      </c>
      <c r="D30" s="176"/>
      <c r="E30" s="219">
        <v>0</v>
      </c>
      <c r="F30" s="220">
        <v>0</v>
      </c>
    </row>
    <row r="31" spans="1:6" ht="21" x14ac:dyDescent="0.15">
      <c r="A31" s="174"/>
      <c r="B31" s="175" t="s">
        <v>776</v>
      </c>
      <c r="C31" s="176" t="s">
        <v>777</v>
      </c>
      <c r="D31" s="176"/>
      <c r="E31" s="219">
        <v>0</v>
      </c>
      <c r="F31" s="220">
        <v>0</v>
      </c>
    </row>
    <row r="32" spans="1:6" ht="21" x14ac:dyDescent="0.15">
      <c r="A32" s="174"/>
      <c r="B32" s="175" t="s">
        <v>778</v>
      </c>
      <c r="C32" s="176" t="s">
        <v>779</v>
      </c>
      <c r="D32" s="176"/>
      <c r="E32" s="219">
        <v>0</v>
      </c>
      <c r="F32" s="220">
        <v>0</v>
      </c>
    </row>
    <row r="33" spans="1:6" ht="21" x14ac:dyDescent="0.15">
      <c r="A33" s="174"/>
      <c r="B33" s="175" t="s">
        <v>780</v>
      </c>
      <c r="C33" s="176" t="s">
        <v>781</v>
      </c>
      <c r="D33" s="176"/>
      <c r="E33" s="219">
        <v>0</v>
      </c>
      <c r="F33" s="220">
        <v>0</v>
      </c>
    </row>
    <row r="34" spans="1:6" ht="21" x14ac:dyDescent="0.15">
      <c r="A34" s="174"/>
      <c r="B34" s="175" t="s">
        <v>782</v>
      </c>
      <c r="C34" s="176" t="s">
        <v>783</v>
      </c>
      <c r="D34" s="176"/>
      <c r="E34" s="219">
        <v>0</v>
      </c>
      <c r="F34" s="220">
        <v>0</v>
      </c>
    </row>
    <row r="35" spans="1:6" ht="21" x14ac:dyDescent="0.15">
      <c r="A35" s="174"/>
      <c r="B35" s="175" t="s">
        <v>105</v>
      </c>
      <c r="C35" s="176" t="s">
        <v>784</v>
      </c>
      <c r="D35" s="176"/>
      <c r="E35" s="219">
        <v>0</v>
      </c>
      <c r="F35" s="220">
        <v>0</v>
      </c>
    </row>
    <row r="36" spans="1:6" ht="21" x14ac:dyDescent="0.15">
      <c r="A36" s="174"/>
      <c r="B36" s="175" t="s">
        <v>785</v>
      </c>
      <c r="C36" s="176" t="s">
        <v>786</v>
      </c>
      <c r="D36" s="176"/>
      <c r="E36" s="219">
        <v>0</v>
      </c>
      <c r="F36" s="220">
        <v>0</v>
      </c>
    </row>
    <row r="37" spans="1:6" ht="21" x14ac:dyDescent="0.15">
      <c r="A37" s="174"/>
      <c r="B37" s="175" t="s">
        <v>427</v>
      </c>
      <c r="C37" s="176" t="s">
        <v>787</v>
      </c>
      <c r="D37" s="176"/>
      <c r="E37" s="219">
        <v>0</v>
      </c>
      <c r="F37" s="220">
        <v>0</v>
      </c>
    </row>
    <row r="38" spans="1:6" ht="21" x14ac:dyDescent="0.15">
      <c r="A38" s="171" t="s">
        <v>788</v>
      </c>
      <c r="B38" s="172" t="s">
        <v>789</v>
      </c>
      <c r="C38" s="173" t="s">
        <v>790</v>
      </c>
      <c r="D38" s="173"/>
      <c r="E38" s="202">
        <v>0</v>
      </c>
      <c r="F38" s="204">
        <v>0</v>
      </c>
    </row>
    <row r="39" spans="1:6" ht="21" x14ac:dyDescent="0.15">
      <c r="A39" s="166" t="s">
        <v>13</v>
      </c>
      <c r="B39" s="167" t="s">
        <v>791</v>
      </c>
      <c r="C39" s="168" t="s">
        <v>792</v>
      </c>
      <c r="D39" s="168"/>
      <c r="E39" s="217">
        <v>40400782400</v>
      </c>
      <c r="F39" s="218">
        <v>0</v>
      </c>
    </row>
    <row r="40" spans="1:6" ht="22.5" customHeight="1" x14ac:dyDescent="0.15">
      <c r="A40" s="171" t="s">
        <v>793</v>
      </c>
      <c r="B40" s="172" t="s">
        <v>794</v>
      </c>
      <c r="C40" s="173" t="s">
        <v>795</v>
      </c>
      <c r="D40" s="173"/>
      <c r="E40" s="202">
        <v>22658360000</v>
      </c>
      <c r="F40" s="204">
        <v>0</v>
      </c>
    </row>
    <row r="41" spans="1:6" ht="22.5" customHeight="1" x14ac:dyDescent="0.15">
      <c r="A41" s="171"/>
      <c r="B41" s="172" t="s">
        <v>796</v>
      </c>
      <c r="C41" s="173" t="s">
        <v>797</v>
      </c>
      <c r="D41" s="173"/>
      <c r="E41" s="202">
        <v>0</v>
      </c>
      <c r="F41" s="204">
        <v>0</v>
      </c>
    </row>
    <row r="42" spans="1:6" ht="31.5" x14ac:dyDescent="0.15">
      <c r="A42" s="171" t="s">
        <v>798</v>
      </c>
      <c r="B42" s="172" t="s">
        <v>799</v>
      </c>
      <c r="C42" s="173" t="s">
        <v>800</v>
      </c>
      <c r="D42" s="173"/>
      <c r="E42" s="202">
        <v>17742422400</v>
      </c>
      <c r="F42" s="204">
        <v>0</v>
      </c>
    </row>
    <row r="43" spans="1:6" ht="31.5" x14ac:dyDescent="0.15">
      <c r="A43" s="171" t="s">
        <v>801</v>
      </c>
      <c r="B43" s="172" t="s">
        <v>802</v>
      </c>
      <c r="C43" s="173" t="s">
        <v>803</v>
      </c>
      <c r="D43" s="173"/>
      <c r="E43" s="202">
        <v>0</v>
      </c>
      <c r="F43" s="204">
        <v>0</v>
      </c>
    </row>
    <row r="44" spans="1:6" ht="21" x14ac:dyDescent="0.15">
      <c r="A44" s="174"/>
      <c r="B44" s="175" t="s">
        <v>804</v>
      </c>
      <c r="C44" s="176" t="s">
        <v>805</v>
      </c>
      <c r="D44" s="176"/>
      <c r="E44" s="219">
        <v>0</v>
      </c>
      <c r="F44" s="220">
        <v>0</v>
      </c>
    </row>
    <row r="45" spans="1:6" ht="21" x14ac:dyDescent="0.15">
      <c r="A45" s="174"/>
      <c r="B45" s="175" t="s">
        <v>806</v>
      </c>
      <c r="C45" s="176" t="s">
        <v>807</v>
      </c>
      <c r="D45" s="176"/>
      <c r="E45" s="219">
        <v>0</v>
      </c>
      <c r="F45" s="220">
        <v>0</v>
      </c>
    </row>
    <row r="46" spans="1:6" ht="31.5" x14ac:dyDescent="0.15">
      <c r="A46" s="174"/>
      <c r="B46" s="175" t="s">
        <v>808</v>
      </c>
      <c r="C46" s="176" t="s">
        <v>809</v>
      </c>
      <c r="D46" s="176"/>
      <c r="E46" s="219">
        <v>0</v>
      </c>
      <c r="F46" s="220">
        <v>0</v>
      </c>
    </row>
    <row r="47" spans="1:6" ht="31.5" x14ac:dyDescent="0.15">
      <c r="A47" s="174"/>
      <c r="B47" s="175" t="s">
        <v>810</v>
      </c>
      <c r="C47" s="176" t="s">
        <v>811</v>
      </c>
      <c r="D47" s="176"/>
      <c r="E47" s="219">
        <v>0</v>
      </c>
      <c r="F47" s="220">
        <v>0</v>
      </c>
    </row>
    <row r="48" spans="1:6" ht="21" x14ac:dyDescent="0.15">
      <c r="A48" s="174"/>
      <c r="B48" s="175" t="s">
        <v>812</v>
      </c>
      <c r="C48" s="176" t="s">
        <v>813</v>
      </c>
      <c r="D48" s="176"/>
      <c r="E48" s="219">
        <v>0</v>
      </c>
      <c r="F48" s="220">
        <v>0</v>
      </c>
    </row>
    <row r="49" spans="1:6" ht="42" x14ac:dyDescent="0.15">
      <c r="A49" s="171"/>
      <c r="B49" s="172" t="s">
        <v>814</v>
      </c>
      <c r="C49" s="173" t="s">
        <v>815</v>
      </c>
      <c r="D49" s="173"/>
      <c r="E49" s="202">
        <v>0</v>
      </c>
      <c r="F49" s="204">
        <v>0</v>
      </c>
    </row>
    <row r="50" spans="1:6" ht="24" customHeight="1" x14ac:dyDescent="0.15">
      <c r="A50" s="171" t="s">
        <v>816</v>
      </c>
      <c r="B50" s="172" t="s">
        <v>817</v>
      </c>
      <c r="C50" s="173" t="s">
        <v>818</v>
      </c>
      <c r="D50" s="173"/>
      <c r="E50" s="202">
        <v>17742422400</v>
      </c>
      <c r="F50" s="204">
        <v>0</v>
      </c>
    </row>
    <row r="51" spans="1:6" ht="21" x14ac:dyDescent="0.15">
      <c r="A51" s="174"/>
      <c r="B51" s="175" t="s">
        <v>819</v>
      </c>
      <c r="C51" s="176" t="s">
        <v>820</v>
      </c>
      <c r="D51" s="176"/>
      <c r="E51" s="219">
        <v>17742422400</v>
      </c>
      <c r="F51" s="220">
        <v>0</v>
      </c>
    </row>
    <row r="52" spans="1:6" ht="21" x14ac:dyDescent="0.15">
      <c r="A52" s="174"/>
      <c r="B52" s="175" t="s">
        <v>821</v>
      </c>
      <c r="C52" s="176" t="s">
        <v>822</v>
      </c>
      <c r="D52" s="176"/>
      <c r="E52" s="219">
        <v>0</v>
      </c>
      <c r="F52" s="220">
        <v>0</v>
      </c>
    </row>
    <row r="53" spans="1:6" ht="31.5" x14ac:dyDescent="0.15">
      <c r="A53" s="174"/>
      <c r="B53" s="175" t="s">
        <v>823</v>
      </c>
      <c r="C53" s="176" t="s">
        <v>824</v>
      </c>
      <c r="D53" s="176"/>
      <c r="E53" s="219">
        <v>0</v>
      </c>
      <c r="F53" s="220">
        <v>0</v>
      </c>
    </row>
    <row r="54" spans="1:6" ht="31.5" x14ac:dyDescent="0.15">
      <c r="A54" s="174"/>
      <c r="B54" s="175" t="s">
        <v>825</v>
      </c>
      <c r="C54" s="176" t="s">
        <v>826</v>
      </c>
      <c r="D54" s="176"/>
      <c r="E54" s="219">
        <v>0</v>
      </c>
      <c r="F54" s="220">
        <v>0</v>
      </c>
    </row>
    <row r="55" spans="1:6" ht="21" x14ac:dyDescent="0.15">
      <c r="A55" s="174"/>
      <c r="B55" s="175" t="s">
        <v>827</v>
      </c>
      <c r="C55" s="176" t="s">
        <v>828</v>
      </c>
      <c r="D55" s="176"/>
      <c r="E55" s="219">
        <v>0</v>
      </c>
      <c r="F55" s="220">
        <v>0</v>
      </c>
    </row>
    <row r="56" spans="1:6" ht="21" x14ac:dyDescent="0.15">
      <c r="A56" s="171" t="s">
        <v>829</v>
      </c>
      <c r="B56" s="172" t="s">
        <v>830</v>
      </c>
      <c r="C56" s="173" t="s">
        <v>831</v>
      </c>
      <c r="D56" s="173"/>
      <c r="E56" s="202">
        <v>0</v>
      </c>
      <c r="F56" s="204">
        <v>0</v>
      </c>
    </row>
    <row r="57" spans="1:6" ht="42" x14ac:dyDescent="0.15">
      <c r="A57" s="174"/>
      <c r="B57" s="175" t="s">
        <v>832</v>
      </c>
      <c r="C57" s="176" t="s">
        <v>833</v>
      </c>
      <c r="D57" s="176"/>
      <c r="E57" s="219">
        <v>0</v>
      </c>
      <c r="F57" s="220">
        <v>0</v>
      </c>
    </row>
    <row r="58" spans="1:6" ht="21" x14ac:dyDescent="0.15">
      <c r="A58" s="174"/>
      <c r="B58" s="175" t="s">
        <v>113</v>
      </c>
      <c r="C58" s="176" t="s">
        <v>834</v>
      </c>
      <c r="D58" s="176"/>
      <c r="E58" s="219">
        <v>0</v>
      </c>
      <c r="F58" s="220">
        <v>0</v>
      </c>
    </row>
    <row r="59" spans="1:6" ht="21" x14ac:dyDescent="0.15">
      <c r="A59" s="174"/>
      <c r="B59" s="175" t="s">
        <v>127</v>
      </c>
      <c r="C59" s="176" t="s">
        <v>835</v>
      </c>
      <c r="D59" s="176"/>
      <c r="E59" s="219">
        <v>0</v>
      </c>
      <c r="F59" s="220">
        <v>0</v>
      </c>
    </row>
    <row r="60" spans="1:6" ht="21" x14ac:dyDescent="0.15">
      <c r="A60" s="174"/>
      <c r="B60" s="175" t="s">
        <v>836</v>
      </c>
      <c r="C60" s="176" t="s">
        <v>837</v>
      </c>
      <c r="D60" s="176"/>
      <c r="E60" s="219">
        <v>0</v>
      </c>
      <c r="F60" s="220">
        <v>0</v>
      </c>
    </row>
    <row r="61" spans="1:6" ht="21" x14ac:dyDescent="0.15">
      <c r="A61" s="174"/>
      <c r="B61" s="175" t="s">
        <v>838</v>
      </c>
      <c r="C61" s="176" t="s">
        <v>839</v>
      </c>
      <c r="D61" s="176"/>
      <c r="E61" s="219">
        <v>0</v>
      </c>
      <c r="F61" s="220">
        <v>0</v>
      </c>
    </row>
    <row r="62" spans="1:6" ht="42" x14ac:dyDescent="0.15">
      <c r="A62" s="174"/>
      <c r="B62" s="175" t="s">
        <v>133</v>
      </c>
      <c r="C62" s="176" t="s">
        <v>840</v>
      </c>
      <c r="D62" s="176"/>
      <c r="E62" s="219">
        <v>0</v>
      </c>
      <c r="F62" s="220">
        <v>0</v>
      </c>
    </row>
    <row r="63" spans="1:6" ht="21" x14ac:dyDescent="0.15">
      <c r="A63" s="174"/>
      <c r="B63" s="175" t="s">
        <v>841</v>
      </c>
      <c r="C63" s="176" t="s">
        <v>842</v>
      </c>
      <c r="D63" s="176"/>
      <c r="E63" s="219">
        <v>0</v>
      </c>
      <c r="F63" s="220">
        <v>0</v>
      </c>
    </row>
    <row r="64" spans="1:6" ht="21" x14ac:dyDescent="0.15">
      <c r="A64" s="171" t="s">
        <v>843</v>
      </c>
      <c r="B64" s="172" t="s">
        <v>844</v>
      </c>
      <c r="C64" s="173" t="s">
        <v>845</v>
      </c>
      <c r="D64" s="173"/>
      <c r="E64" s="202">
        <v>0</v>
      </c>
      <c r="F64" s="204">
        <v>0</v>
      </c>
    </row>
    <row r="65" spans="1:6" ht="21" x14ac:dyDescent="0.15">
      <c r="A65" s="166"/>
      <c r="B65" s="167" t="s">
        <v>846</v>
      </c>
      <c r="C65" s="168" t="s">
        <v>847</v>
      </c>
      <c r="D65" s="168"/>
      <c r="E65" s="217">
        <v>14778746617947</v>
      </c>
      <c r="F65" s="218">
        <v>15303340083649</v>
      </c>
    </row>
    <row r="66" spans="1:6" ht="21" x14ac:dyDescent="0.15">
      <c r="A66" s="166" t="s">
        <v>33</v>
      </c>
      <c r="B66" s="167" t="s">
        <v>848</v>
      </c>
      <c r="C66" s="168" t="s">
        <v>33</v>
      </c>
      <c r="D66" s="168"/>
      <c r="E66" s="217">
        <v>0</v>
      </c>
      <c r="F66" s="218">
        <v>0</v>
      </c>
    </row>
    <row r="67" spans="1:6" ht="21" x14ac:dyDescent="0.15">
      <c r="A67" s="171" t="s">
        <v>3</v>
      </c>
      <c r="B67" s="172" t="s">
        <v>849</v>
      </c>
      <c r="C67" s="173" t="s">
        <v>850</v>
      </c>
      <c r="D67" s="173"/>
      <c r="E67" s="202">
        <v>0</v>
      </c>
      <c r="F67" s="204">
        <v>0</v>
      </c>
    </row>
    <row r="68" spans="1:6" ht="21" x14ac:dyDescent="0.15">
      <c r="A68" s="171"/>
      <c r="B68" s="172" t="s">
        <v>851</v>
      </c>
      <c r="C68" s="173" t="s">
        <v>852</v>
      </c>
      <c r="D68" s="173"/>
      <c r="E68" s="202">
        <v>0</v>
      </c>
      <c r="F68" s="204">
        <v>0</v>
      </c>
    </row>
    <row r="69" spans="1:6" ht="21" x14ac:dyDescent="0.15">
      <c r="A69" s="171"/>
      <c r="B69" s="172" t="s">
        <v>853</v>
      </c>
      <c r="C69" s="173" t="s">
        <v>854</v>
      </c>
      <c r="D69" s="173"/>
      <c r="E69" s="202">
        <v>0</v>
      </c>
      <c r="F69" s="204">
        <v>0</v>
      </c>
    </row>
    <row r="70" spans="1:6" ht="21" x14ac:dyDescent="0.15">
      <c r="A70" s="171" t="s">
        <v>8</v>
      </c>
      <c r="B70" s="172" t="s">
        <v>855</v>
      </c>
      <c r="C70" s="173" t="s">
        <v>856</v>
      </c>
      <c r="D70" s="173"/>
      <c r="E70" s="202">
        <v>20619730000</v>
      </c>
      <c r="F70" s="204">
        <v>0</v>
      </c>
    </row>
    <row r="71" spans="1:6" ht="42" x14ac:dyDescent="0.15">
      <c r="A71" s="171" t="s">
        <v>13</v>
      </c>
      <c r="B71" s="172" t="s">
        <v>857</v>
      </c>
      <c r="C71" s="173" t="s">
        <v>858</v>
      </c>
      <c r="D71" s="173"/>
      <c r="E71" s="202">
        <v>0</v>
      </c>
      <c r="F71" s="204">
        <v>0</v>
      </c>
    </row>
    <row r="72" spans="1:6" ht="31.5" x14ac:dyDescent="0.15">
      <c r="A72" s="174"/>
      <c r="B72" s="175" t="s">
        <v>859</v>
      </c>
      <c r="C72" s="176" t="s">
        <v>860</v>
      </c>
      <c r="D72" s="176"/>
      <c r="E72" s="219">
        <v>0</v>
      </c>
      <c r="F72" s="220">
        <v>0</v>
      </c>
    </row>
    <row r="73" spans="1:6" ht="33.75" customHeight="1" x14ac:dyDescent="0.15">
      <c r="A73" s="174"/>
      <c r="B73" s="175" t="s">
        <v>861</v>
      </c>
      <c r="C73" s="176" t="s">
        <v>862</v>
      </c>
      <c r="D73" s="176"/>
      <c r="E73" s="219">
        <v>0</v>
      </c>
      <c r="F73" s="220">
        <v>0</v>
      </c>
    </row>
    <row r="74" spans="1:6" ht="21" x14ac:dyDescent="0.15">
      <c r="A74" s="171" t="s">
        <v>18</v>
      </c>
      <c r="B74" s="172" t="s">
        <v>863</v>
      </c>
      <c r="C74" s="173" t="s">
        <v>864</v>
      </c>
      <c r="D74" s="173"/>
      <c r="E74" s="202">
        <v>0</v>
      </c>
      <c r="F74" s="204">
        <v>0</v>
      </c>
    </row>
    <row r="75" spans="1:6" ht="21" x14ac:dyDescent="0.15">
      <c r="A75" s="171" t="s">
        <v>43</v>
      </c>
      <c r="B75" s="172" t="s">
        <v>865</v>
      </c>
      <c r="C75" s="173" t="s">
        <v>866</v>
      </c>
      <c r="D75" s="173"/>
      <c r="E75" s="202">
        <v>0</v>
      </c>
      <c r="F75" s="204">
        <v>0</v>
      </c>
    </row>
    <row r="76" spans="1:6" ht="21" x14ac:dyDescent="0.15">
      <c r="A76" s="171" t="s">
        <v>46</v>
      </c>
      <c r="B76" s="172" t="s">
        <v>867</v>
      </c>
      <c r="C76" s="173" t="s">
        <v>868</v>
      </c>
      <c r="D76" s="173"/>
      <c r="E76" s="202">
        <v>160609712</v>
      </c>
      <c r="F76" s="204">
        <v>95748285</v>
      </c>
    </row>
    <row r="77" spans="1:6" ht="21" x14ac:dyDescent="0.15">
      <c r="A77" s="174"/>
      <c r="B77" s="175" t="s">
        <v>869</v>
      </c>
      <c r="C77" s="176" t="s">
        <v>870</v>
      </c>
      <c r="D77" s="176"/>
      <c r="E77" s="219">
        <v>33987540</v>
      </c>
      <c r="F77" s="220">
        <v>0</v>
      </c>
    </row>
    <row r="78" spans="1:6" ht="21" x14ac:dyDescent="0.15">
      <c r="A78" s="174"/>
      <c r="B78" s="175" t="s">
        <v>871</v>
      </c>
      <c r="C78" s="176" t="s">
        <v>872</v>
      </c>
      <c r="D78" s="176"/>
      <c r="E78" s="219">
        <v>105503320</v>
      </c>
      <c r="F78" s="220">
        <v>75267289</v>
      </c>
    </row>
    <row r="79" spans="1:6" ht="21" x14ac:dyDescent="0.15">
      <c r="A79" s="174"/>
      <c r="B79" s="175" t="s">
        <v>873</v>
      </c>
      <c r="C79" s="176" t="s">
        <v>874</v>
      </c>
      <c r="D79" s="176"/>
      <c r="E79" s="219">
        <v>0</v>
      </c>
      <c r="F79" s="220">
        <v>0</v>
      </c>
    </row>
    <row r="80" spans="1:6" ht="21" x14ac:dyDescent="0.15">
      <c r="A80" s="174"/>
      <c r="B80" s="175" t="s">
        <v>875</v>
      </c>
      <c r="C80" s="176" t="s">
        <v>876</v>
      </c>
      <c r="D80" s="176"/>
      <c r="E80" s="219">
        <v>0</v>
      </c>
      <c r="F80" s="220">
        <v>0</v>
      </c>
    </row>
    <row r="81" spans="1:6" ht="31.5" x14ac:dyDescent="0.15">
      <c r="A81" s="174"/>
      <c r="B81" s="175" t="s">
        <v>877</v>
      </c>
      <c r="C81" s="176" t="s">
        <v>878</v>
      </c>
      <c r="D81" s="176"/>
      <c r="E81" s="219">
        <v>15744847</v>
      </c>
      <c r="F81" s="220">
        <v>15106991</v>
      </c>
    </row>
    <row r="82" spans="1:6" ht="21" x14ac:dyDescent="0.15">
      <c r="A82" s="174"/>
      <c r="B82" s="175" t="s">
        <v>879</v>
      </c>
      <c r="C82" s="176" t="s">
        <v>880</v>
      </c>
      <c r="D82" s="176"/>
      <c r="E82" s="219">
        <v>0</v>
      </c>
      <c r="F82" s="220">
        <v>0</v>
      </c>
    </row>
    <row r="83" spans="1:6" ht="21" x14ac:dyDescent="0.15">
      <c r="A83" s="174"/>
      <c r="B83" s="175" t="s">
        <v>881</v>
      </c>
      <c r="C83" s="176" t="s">
        <v>882</v>
      </c>
      <c r="D83" s="176"/>
      <c r="E83" s="219">
        <v>5374005</v>
      </c>
      <c r="F83" s="220">
        <v>5374005</v>
      </c>
    </row>
    <row r="84" spans="1:6" ht="21" x14ac:dyDescent="0.15">
      <c r="A84" s="171" t="s">
        <v>49</v>
      </c>
      <c r="B84" s="172" t="s">
        <v>883</v>
      </c>
      <c r="C84" s="173" t="s">
        <v>884</v>
      </c>
      <c r="D84" s="173"/>
      <c r="E84" s="202">
        <v>2222395000</v>
      </c>
      <c r="F84" s="204">
        <v>0</v>
      </c>
    </row>
    <row r="85" spans="1:6" ht="21" x14ac:dyDescent="0.15">
      <c r="A85" s="171" t="s">
        <v>52</v>
      </c>
      <c r="B85" s="172" t="s">
        <v>885</v>
      </c>
      <c r="C85" s="173" t="s">
        <v>886</v>
      </c>
      <c r="D85" s="173"/>
      <c r="E85" s="202">
        <v>0</v>
      </c>
      <c r="F85" s="204">
        <v>270626232</v>
      </c>
    </row>
    <row r="86" spans="1:6" ht="21" x14ac:dyDescent="0.15">
      <c r="A86" s="171" t="s">
        <v>55</v>
      </c>
      <c r="B86" s="172" t="s">
        <v>887</v>
      </c>
      <c r="C86" s="173" t="s">
        <v>888</v>
      </c>
      <c r="D86" s="173"/>
      <c r="E86" s="202">
        <v>16700492065</v>
      </c>
      <c r="F86" s="204">
        <v>18532705124</v>
      </c>
    </row>
    <row r="87" spans="1:6" ht="21" x14ac:dyDescent="0.15">
      <c r="A87" s="174" t="s">
        <v>889</v>
      </c>
      <c r="B87" s="175" t="s">
        <v>890</v>
      </c>
      <c r="C87" s="176" t="s">
        <v>891</v>
      </c>
      <c r="D87" s="176"/>
      <c r="E87" s="219">
        <v>9887510103</v>
      </c>
      <c r="F87" s="220">
        <v>10991279304</v>
      </c>
    </row>
    <row r="88" spans="1:6" ht="21" x14ac:dyDescent="0.15">
      <c r="A88" s="174" t="s">
        <v>892</v>
      </c>
      <c r="B88" s="175" t="s">
        <v>893</v>
      </c>
      <c r="C88" s="176" t="s">
        <v>894</v>
      </c>
      <c r="D88" s="176"/>
      <c r="E88" s="219">
        <v>262887753</v>
      </c>
      <c r="F88" s="220">
        <v>275581983</v>
      </c>
    </row>
    <row r="89" spans="1:6" ht="21" x14ac:dyDescent="0.15">
      <c r="A89" s="174"/>
      <c r="B89" s="175" t="s">
        <v>895</v>
      </c>
      <c r="C89" s="176" t="s">
        <v>896</v>
      </c>
      <c r="D89" s="176"/>
      <c r="E89" s="219">
        <v>247187753</v>
      </c>
      <c r="F89" s="220">
        <v>274781983</v>
      </c>
    </row>
    <row r="90" spans="1:6" ht="21" x14ac:dyDescent="0.15">
      <c r="A90" s="174"/>
      <c r="B90" s="175" t="s">
        <v>897</v>
      </c>
      <c r="C90" s="176" t="s">
        <v>898</v>
      </c>
      <c r="D90" s="176"/>
      <c r="E90" s="219">
        <v>15700000</v>
      </c>
      <c r="F90" s="220">
        <v>800000</v>
      </c>
    </row>
    <row r="91" spans="1:6" ht="21" x14ac:dyDescent="0.15">
      <c r="A91" s="174"/>
      <c r="B91" s="175" t="s">
        <v>899</v>
      </c>
      <c r="C91" s="176" t="s">
        <v>900</v>
      </c>
      <c r="D91" s="176"/>
      <c r="E91" s="219">
        <v>0</v>
      </c>
      <c r="F91" s="220">
        <v>0</v>
      </c>
    </row>
    <row r="92" spans="1:6" ht="42" x14ac:dyDescent="0.15">
      <c r="A92" s="174"/>
      <c r="B92" s="175" t="s">
        <v>901</v>
      </c>
      <c r="C92" s="176" t="s">
        <v>902</v>
      </c>
      <c r="D92" s="176"/>
      <c r="E92" s="219">
        <v>0</v>
      </c>
      <c r="F92" s="220">
        <v>0</v>
      </c>
    </row>
    <row r="93" spans="1:6" ht="21" x14ac:dyDescent="0.15">
      <c r="A93" s="174" t="s">
        <v>903</v>
      </c>
      <c r="B93" s="175" t="s">
        <v>904</v>
      </c>
      <c r="C93" s="176" t="s">
        <v>905</v>
      </c>
      <c r="D93" s="176"/>
      <c r="E93" s="219">
        <v>271906528</v>
      </c>
      <c r="F93" s="220">
        <v>302260181</v>
      </c>
    </row>
    <row r="94" spans="1:6" ht="21" x14ac:dyDescent="0.15">
      <c r="A94" s="174" t="s">
        <v>906</v>
      </c>
      <c r="B94" s="175" t="s">
        <v>907</v>
      </c>
      <c r="C94" s="176" t="s">
        <v>908</v>
      </c>
      <c r="D94" s="176"/>
      <c r="E94" s="219">
        <v>543813054</v>
      </c>
      <c r="F94" s="220">
        <v>604520362</v>
      </c>
    </row>
    <row r="95" spans="1:6" ht="21" x14ac:dyDescent="0.15">
      <c r="A95" s="174" t="s">
        <v>909</v>
      </c>
      <c r="B95" s="175" t="s">
        <v>910</v>
      </c>
      <c r="C95" s="176" t="s">
        <v>911</v>
      </c>
      <c r="D95" s="176"/>
      <c r="E95" s="219">
        <v>5500000</v>
      </c>
      <c r="F95" s="220">
        <v>16500000</v>
      </c>
    </row>
    <row r="96" spans="1:6" ht="42" x14ac:dyDescent="0.15">
      <c r="A96" s="174" t="s">
        <v>912</v>
      </c>
      <c r="B96" s="175" t="s">
        <v>913</v>
      </c>
      <c r="C96" s="176" t="s">
        <v>914</v>
      </c>
      <c r="D96" s="176"/>
      <c r="E96" s="219">
        <v>2805060170</v>
      </c>
      <c r="F96" s="220">
        <v>2187090787</v>
      </c>
    </row>
    <row r="97" spans="1:6" ht="21.75" customHeight="1" x14ac:dyDescent="0.15">
      <c r="A97" s="174" t="s">
        <v>915</v>
      </c>
      <c r="B97" s="175" t="s">
        <v>916</v>
      </c>
      <c r="C97" s="176" t="s">
        <v>917</v>
      </c>
      <c r="D97" s="176"/>
      <c r="E97" s="219">
        <v>2244048137</v>
      </c>
      <c r="F97" s="220">
        <v>1749672633</v>
      </c>
    </row>
    <row r="98" spans="1:6" ht="21" x14ac:dyDescent="0.15">
      <c r="A98" s="174" t="s">
        <v>915</v>
      </c>
      <c r="B98" s="175" t="s">
        <v>918</v>
      </c>
      <c r="C98" s="176" t="s">
        <v>919</v>
      </c>
      <c r="D98" s="176"/>
      <c r="E98" s="219">
        <v>679766320</v>
      </c>
      <c r="F98" s="220">
        <v>2405799874</v>
      </c>
    </row>
    <row r="99" spans="1:6" ht="21" x14ac:dyDescent="0.15">
      <c r="A99" s="171" t="s">
        <v>58</v>
      </c>
      <c r="B99" s="172" t="s">
        <v>920</v>
      </c>
      <c r="C99" s="173" t="s">
        <v>921</v>
      </c>
      <c r="D99" s="173"/>
      <c r="E99" s="202">
        <v>0</v>
      </c>
      <c r="F99" s="204">
        <v>0</v>
      </c>
    </row>
    <row r="100" spans="1:6" ht="21" x14ac:dyDescent="0.15">
      <c r="A100" s="174" t="s">
        <v>922</v>
      </c>
      <c r="B100" s="175" t="s">
        <v>923</v>
      </c>
      <c r="C100" s="176" t="s">
        <v>924</v>
      </c>
      <c r="D100" s="176"/>
      <c r="E100" s="219">
        <v>0</v>
      </c>
      <c r="F100" s="220">
        <v>0</v>
      </c>
    </row>
    <row r="101" spans="1:6" ht="31.5" x14ac:dyDescent="0.15">
      <c r="A101" s="174" t="s">
        <v>925</v>
      </c>
      <c r="B101" s="175" t="s">
        <v>926</v>
      </c>
      <c r="C101" s="176" t="s">
        <v>927</v>
      </c>
      <c r="D101" s="176"/>
      <c r="E101" s="219">
        <v>0</v>
      </c>
      <c r="F101" s="220">
        <v>0</v>
      </c>
    </row>
    <row r="102" spans="1:6" ht="21" x14ac:dyDescent="0.15">
      <c r="A102" s="174" t="s">
        <v>928</v>
      </c>
      <c r="B102" s="175" t="s">
        <v>929</v>
      </c>
      <c r="C102" s="176" t="s">
        <v>930</v>
      </c>
      <c r="D102" s="176"/>
      <c r="E102" s="219">
        <v>0</v>
      </c>
      <c r="F102" s="220">
        <v>0</v>
      </c>
    </row>
    <row r="103" spans="1:6" ht="31.5" x14ac:dyDescent="0.15">
      <c r="A103" s="174"/>
      <c r="B103" s="175" t="s">
        <v>931</v>
      </c>
      <c r="C103" s="176" t="s">
        <v>932</v>
      </c>
      <c r="D103" s="176"/>
      <c r="E103" s="219">
        <v>0</v>
      </c>
      <c r="F103" s="220">
        <v>0</v>
      </c>
    </row>
    <row r="104" spans="1:6" ht="21" x14ac:dyDescent="0.15">
      <c r="A104" s="174"/>
      <c r="B104" s="175" t="s">
        <v>933</v>
      </c>
      <c r="C104" s="176" t="s">
        <v>934</v>
      </c>
      <c r="D104" s="176"/>
      <c r="E104" s="219">
        <v>0</v>
      </c>
      <c r="F104" s="220">
        <v>0</v>
      </c>
    </row>
    <row r="105" spans="1:6" ht="21" x14ac:dyDescent="0.15">
      <c r="A105" s="171"/>
      <c r="B105" s="172" t="s">
        <v>935</v>
      </c>
      <c r="C105" s="173" t="s">
        <v>936</v>
      </c>
      <c r="D105" s="173"/>
      <c r="E105" s="202">
        <v>0</v>
      </c>
      <c r="F105" s="204">
        <v>0</v>
      </c>
    </row>
    <row r="106" spans="1:6" ht="21" x14ac:dyDescent="0.15">
      <c r="A106" s="174"/>
      <c r="B106" s="175" t="s">
        <v>937</v>
      </c>
      <c r="C106" s="176" t="s">
        <v>938</v>
      </c>
      <c r="D106" s="176"/>
      <c r="E106" s="219">
        <v>0</v>
      </c>
      <c r="F106" s="220">
        <v>0</v>
      </c>
    </row>
    <row r="107" spans="1:6" ht="21" x14ac:dyDescent="0.15">
      <c r="A107" s="174"/>
      <c r="B107" s="175" t="s">
        <v>939</v>
      </c>
      <c r="C107" s="176" t="s">
        <v>940</v>
      </c>
      <c r="D107" s="176"/>
      <c r="E107" s="219">
        <v>0</v>
      </c>
      <c r="F107" s="220">
        <v>0</v>
      </c>
    </row>
    <row r="108" spans="1:6" ht="21" x14ac:dyDescent="0.15">
      <c r="A108" s="166"/>
      <c r="B108" s="167" t="s">
        <v>941</v>
      </c>
      <c r="C108" s="168" t="s">
        <v>942</v>
      </c>
      <c r="D108" s="168"/>
      <c r="E108" s="217">
        <v>39703226777</v>
      </c>
      <c r="F108" s="218">
        <v>18899079641</v>
      </c>
    </row>
    <row r="109" spans="1:6" ht="42" x14ac:dyDescent="0.15">
      <c r="A109" s="166" t="s">
        <v>91</v>
      </c>
      <c r="B109" s="167" t="s">
        <v>943</v>
      </c>
      <c r="C109" s="168" t="s">
        <v>944</v>
      </c>
      <c r="D109" s="168"/>
      <c r="E109" s="217">
        <v>14739043391170</v>
      </c>
      <c r="F109" s="218">
        <v>15284441004008</v>
      </c>
    </row>
    <row r="110" spans="1:6" ht="21" x14ac:dyDescent="0.15">
      <c r="A110" s="171" t="s">
        <v>3</v>
      </c>
      <c r="B110" s="172" t="s">
        <v>945</v>
      </c>
      <c r="C110" s="173" t="s">
        <v>946</v>
      </c>
      <c r="D110" s="173"/>
      <c r="E110" s="202">
        <v>6594000000000</v>
      </c>
      <c r="F110" s="204">
        <v>6224000000000</v>
      </c>
    </row>
    <row r="111" spans="1:6" ht="21" x14ac:dyDescent="0.15">
      <c r="A111" s="171" t="s">
        <v>751</v>
      </c>
      <c r="B111" s="172" t="s">
        <v>947</v>
      </c>
      <c r="C111" s="173" t="s">
        <v>948</v>
      </c>
      <c r="D111" s="173"/>
      <c r="E111" s="202">
        <v>9490000000000</v>
      </c>
      <c r="F111" s="204">
        <v>9094000000000</v>
      </c>
    </row>
    <row r="112" spans="1:6" ht="21" x14ac:dyDescent="0.15">
      <c r="A112" s="171" t="s">
        <v>761</v>
      </c>
      <c r="B112" s="172" t="s">
        <v>949</v>
      </c>
      <c r="C112" s="173" t="s">
        <v>950</v>
      </c>
      <c r="D112" s="173"/>
      <c r="E112" s="177">
        <v>-2896000000000</v>
      </c>
      <c r="F112" s="178">
        <v>-2870000000000</v>
      </c>
    </row>
    <row r="113" spans="1:8" ht="21" x14ac:dyDescent="0.15">
      <c r="A113" s="171" t="s">
        <v>8</v>
      </c>
      <c r="B113" s="172" t="s">
        <v>951</v>
      </c>
      <c r="C113" s="173" t="s">
        <v>952</v>
      </c>
      <c r="D113" s="173"/>
      <c r="E113" s="202">
        <v>5523236231069</v>
      </c>
      <c r="F113" s="204">
        <v>5043263125530</v>
      </c>
    </row>
    <row r="114" spans="1:8" ht="21" x14ac:dyDescent="0.15">
      <c r="A114" s="171" t="s">
        <v>13</v>
      </c>
      <c r="B114" s="172" t="s">
        <v>953</v>
      </c>
      <c r="C114" s="173" t="s">
        <v>954</v>
      </c>
      <c r="D114" s="173"/>
      <c r="E114" s="202">
        <v>2621807160101</v>
      </c>
      <c r="F114" s="204">
        <v>4017177878478</v>
      </c>
    </row>
    <row r="115" spans="1:8" ht="21" x14ac:dyDescent="0.15">
      <c r="A115" s="171" t="s">
        <v>793</v>
      </c>
      <c r="B115" s="172" t="s">
        <v>955</v>
      </c>
      <c r="C115" s="173" t="s">
        <v>956</v>
      </c>
      <c r="D115" s="173"/>
      <c r="E115" s="202">
        <v>4017177878478</v>
      </c>
      <c r="F115" s="204">
        <v>6018990890777</v>
      </c>
    </row>
    <row r="116" spans="1:8" ht="21" x14ac:dyDescent="0.15">
      <c r="A116" s="171" t="s">
        <v>798</v>
      </c>
      <c r="B116" s="172" t="s">
        <v>957</v>
      </c>
      <c r="C116" s="173" t="s">
        <v>958</v>
      </c>
      <c r="D116" s="173"/>
      <c r="E116" s="202">
        <v>-1395370718377</v>
      </c>
      <c r="F116" s="204">
        <v>-2001813012299</v>
      </c>
      <c r="H116" s="179"/>
    </row>
    <row r="117" spans="1:8" ht="31.5" x14ac:dyDescent="0.15">
      <c r="A117" s="180" t="s">
        <v>98</v>
      </c>
      <c r="B117" s="181" t="s">
        <v>959</v>
      </c>
      <c r="C117" s="182" t="s">
        <v>960</v>
      </c>
      <c r="D117" s="182"/>
      <c r="E117" s="215">
        <v>22352.2</v>
      </c>
      <c r="F117" s="216">
        <v>24557.26</v>
      </c>
    </row>
    <row r="118" spans="1:8" ht="21" x14ac:dyDescent="0.15">
      <c r="A118" s="166" t="s">
        <v>102</v>
      </c>
      <c r="B118" s="167" t="s">
        <v>961</v>
      </c>
      <c r="C118" s="168" t="s">
        <v>962</v>
      </c>
      <c r="D118" s="168"/>
      <c r="E118" s="217">
        <v>0</v>
      </c>
      <c r="F118" s="218">
        <v>0</v>
      </c>
    </row>
    <row r="119" spans="1:8" ht="31.5" x14ac:dyDescent="0.15">
      <c r="A119" s="171" t="s">
        <v>3</v>
      </c>
      <c r="B119" s="172" t="s">
        <v>963</v>
      </c>
      <c r="C119" s="173" t="s">
        <v>964</v>
      </c>
      <c r="D119" s="173"/>
      <c r="E119" s="202">
        <v>0</v>
      </c>
      <c r="F119" s="204">
        <v>0</v>
      </c>
    </row>
    <row r="120" spans="1:8" ht="31.5" x14ac:dyDescent="0.15">
      <c r="A120" s="171" t="s">
        <v>8</v>
      </c>
      <c r="B120" s="172" t="s">
        <v>965</v>
      </c>
      <c r="C120" s="173" t="s">
        <v>966</v>
      </c>
      <c r="D120" s="173"/>
      <c r="E120" s="202">
        <v>0</v>
      </c>
      <c r="F120" s="204">
        <v>0</v>
      </c>
    </row>
    <row r="121" spans="1:8" ht="31.5" x14ac:dyDescent="0.15">
      <c r="A121" s="166" t="s">
        <v>112</v>
      </c>
      <c r="B121" s="167" t="s">
        <v>967</v>
      </c>
      <c r="C121" s="168" t="s">
        <v>112</v>
      </c>
      <c r="D121" s="168"/>
      <c r="E121" s="217">
        <v>0</v>
      </c>
      <c r="F121" s="218">
        <v>0</v>
      </c>
    </row>
    <row r="122" spans="1:8" ht="21" x14ac:dyDescent="0.15">
      <c r="A122" s="171" t="s">
        <v>3</v>
      </c>
      <c r="B122" s="172" t="s">
        <v>968</v>
      </c>
      <c r="C122" s="173" t="s">
        <v>969</v>
      </c>
      <c r="D122" s="173"/>
      <c r="E122" s="202">
        <v>0</v>
      </c>
      <c r="F122" s="204">
        <v>0</v>
      </c>
    </row>
    <row r="123" spans="1:8" ht="21" x14ac:dyDescent="0.15">
      <c r="A123" s="171" t="s">
        <v>8</v>
      </c>
      <c r="B123" s="172" t="s">
        <v>970</v>
      </c>
      <c r="C123" s="173" t="s">
        <v>971</v>
      </c>
      <c r="D123" s="173"/>
      <c r="E123" s="202">
        <v>0</v>
      </c>
      <c r="F123" s="204">
        <v>0</v>
      </c>
    </row>
    <row r="124" spans="1:8" ht="21" x14ac:dyDescent="0.15">
      <c r="A124" s="171" t="s">
        <v>13</v>
      </c>
      <c r="B124" s="172" t="s">
        <v>972</v>
      </c>
      <c r="C124" s="173" t="s">
        <v>973</v>
      </c>
      <c r="D124" s="173"/>
      <c r="E124" s="202">
        <v>0</v>
      </c>
      <c r="F124" s="204">
        <v>0</v>
      </c>
    </row>
    <row r="125" spans="1:8" ht="21" x14ac:dyDescent="0.15">
      <c r="A125" s="183" t="s">
        <v>18</v>
      </c>
      <c r="B125" s="184" t="s">
        <v>974</v>
      </c>
      <c r="C125" s="185" t="s">
        <v>975</v>
      </c>
      <c r="D125" s="185"/>
      <c r="E125" s="221">
        <v>659400000</v>
      </c>
      <c r="F125" s="222">
        <v>622400000</v>
      </c>
    </row>
    <row r="126" spans="1:8" ht="10.5" customHeight="1" x14ac:dyDescent="0.15">
      <c r="A126" s="88"/>
      <c r="B126" s="88"/>
      <c r="C126" s="88"/>
      <c r="D126" s="88"/>
      <c r="E126" s="88"/>
      <c r="F126" s="88"/>
    </row>
    <row r="127" spans="1:8" ht="15" customHeight="1" x14ac:dyDescent="0.15">
      <c r="A127" s="263" t="s">
        <v>605</v>
      </c>
      <c r="B127" s="263"/>
      <c r="C127" s="263" t="s">
        <v>606</v>
      </c>
      <c r="D127" s="263"/>
      <c r="E127" s="263" t="s">
        <v>173</v>
      </c>
      <c r="F127" s="263"/>
    </row>
    <row r="128" spans="1:8" ht="15" customHeight="1" x14ac:dyDescent="0.15">
      <c r="A128" s="311" t="s">
        <v>607</v>
      </c>
      <c r="B128" s="311"/>
      <c r="C128" s="311" t="s">
        <v>607</v>
      </c>
      <c r="D128" s="311"/>
      <c r="E128" s="311" t="s">
        <v>608</v>
      </c>
      <c r="F128" s="311"/>
    </row>
    <row r="129" spans="1:6" ht="89.25" customHeight="1" x14ac:dyDescent="0.15">
      <c r="A129" s="88"/>
      <c r="B129" s="88"/>
      <c r="C129" s="88"/>
      <c r="D129" s="88"/>
      <c r="E129" s="88"/>
      <c r="F129" s="88"/>
    </row>
    <row r="130" spans="1:6" ht="15.75" customHeight="1" x14ac:dyDescent="0.15">
      <c r="A130" s="260" t="s">
        <v>609</v>
      </c>
      <c r="B130" s="260"/>
      <c r="C130" s="260" t="s">
        <v>610</v>
      </c>
      <c r="D130" s="260"/>
      <c r="E130" s="260" t="s">
        <v>175</v>
      </c>
      <c r="F130" s="260"/>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25" right="0.5" top="0.58999997377395597" bottom="0.58999997377395597" header="0.5" footer="0.5"/>
  <pageSetup paperSize="9" scale="98"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E20" sqref="E20"/>
    </sheetView>
  </sheetViews>
  <sheetFormatPr defaultColWidth="9.140625" defaultRowHeight="10.5" x14ac:dyDescent="0.15"/>
  <cols>
    <col min="1" max="1" width="4.140625" style="87" customWidth="1"/>
    <col min="2" max="2" width="37.28515625" style="87" customWidth="1"/>
    <col min="3" max="3" width="7.42578125" style="87" bestFit="1" customWidth="1"/>
    <col min="4" max="5" width="28.7109375" style="87" customWidth="1"/>
    <col min="6" max="6" width="3.85546875" style="87" customWidth="1"/>
    <col min="7" max="16384" width="9.140625" style="87"/>
  </cols>
  <sheetData>
    <row r="1" spans="1:6" ht="34.5" customHeight="1" x14ac:dyDescent="0.15">
      <c r="A1" s="88"/>
      <c r="B1" s="325" t="s">
        <v>575</v>
      </c>
      <c r="C1" s="325"/>
      <c r="D1" s="325"/>
      <c r="E1" s="325"/>
    </row>
    <row r="2" spans="1:6" ht="22.5" customHeight="1" x14ac:dyDescent="0.15">
      <c r="A2" s="326" t="s">
        <v>576</v>
      </c>
      <c r="B2" s="326"/>
      <c r="C2" s="326"/>
      <c r="D2" s="326"/>
      <c r="E2" s="326"/>
    </row>
    <row r="3" spans="1:6" ht="6" customHeight="1" x14ac:dyDescent="0.15">
      <c r="A3" s="88"/>
      <c r="B3" s="88"/>
      <c r="C3" s="88"/>
      <c r="D3" s="264"/>
      <c r="E3" s="264"/>
    </row>
    <row r="4" spans="1:6" ht="31.5" customHeight="1" x14ac:dyDescent="0.15">
      <c r="A4" s="272" t="s">
        <v>577</v>
      </c>
      <c r="B4" s="272"/>
      <c r="C4" s="272"/>
      <c r="D4" s="272"/>
      <c r="E4" s="272"/>
    </row>
    <row r="5" spans="1:6" ht="15.75" customHeight="1" x14ac:dyDescent="0.15">
      <c r="A5" s="261" t="s">
        <v>1062</v>
      </c>
      <c r="B5" s="261"/>
      <c r="C5" s="261"/>
      <c r="D5" s="261"/>
      <c r="E5" s="261"/>
    </row>
    <row r="6" spans="1:6" ht="3.75" customHeight="1" x14ac:dyDescent="0.15">
      <c r="A6" s="88"/>
      <c r="B6" s="88"/>
      <c r="C6" s="88"/>
      <c r="D6" s="264"/>
      <c r="E6" s="264"/>
    </row>
    <row r="7" spans="1:6" ht="12.75" customHeight="1" x14ac:dyDescent="0.15">
      <c r="A7" s="265" t="s">
        <v>578</v>
      </c>
      <c r="B7" s="265"/>
      <c r="C7" s="265" t="s">
        <v>10</v>
      </c>
      <c r="D7" s="265"/>
      <c r="E7" s="265"/>
    </row>
    <row r="8" spans="1:6" ht="12.75" customHeight="1" x14ac:dyDescent="0.15">
      <c r="A8" s="264" t="s">
        <v>11</v>
      </c>
      <c r="B8" s="264"/>
      <c r="C8" s="264" t="s">
        <v>12</v>
      </c>
      <c r="D8" s="264"/>
      <c r="E8" s="264"/>
    </row>
    <row r="9" spans="1:6" ht="12.75" customHeight="1" x14ac:dyDescent="0.15">
      <c r="A9" s="265" t="s">
        <v>176</v>
      </c>
      <c r="B9" s="265"/>
      <c r="C9" s="265" t="s">
        <v>15</v>
      </c>
      <c r="D9" s="265"/>
      <c r="E9" s="265"/>
    </row>
    <row r="10" spans="1:6" ht="12.75" customHeight="1" x14ac:dyDescent="0.15">
      <c r="A10" s="264" t="s">
        <v>579</v>
      </c>
      <c r="B10" s="264"/>
      <c r="C10" s="264" t="s">
        <v>17</v>
      </c>
      <c r="D10" s="264"/>
      <c r="E10" s="264"/>
    </row>
    <row r="11" spans="1:6" ht="12.75" customHeight="1" x14ac:dyDescent="0.15">
      <c r="A11" s="265" t="s">
        <v>580</v>
      </c>
      <c r="B11" s="265"/>
      <c r="C11" s="266">
        <f>+TONGQUAN!E12</f>
        <v>44869</v>
      </c>
      <c r="D11" s="266"/>
      <c r="E11" s="266"/>
      <c r="F11" s="266"/>
    </row>
    <row r="12" spans="1:6" ht="12.75" customHeight="1" x14ac:dyDescent="0.15">
      <c r="A12" s="264" t="s">
        <v>581</v>
      </c>
      <c r="B12" s="264"/>
      <c r="C12" s="267">
        <f>+C11</f>
        <v>44869</v>
      </c>
      <c r="D12" s="267"/>
      <c r="E12" s="267"/>
      <c r="F12" s="267"/>
    </row>
    <row r="13" spans="1:6" ht="12.75" customHeight="1" x14ac:dyDescent="0.15">
      <c r="A13" s="91"/>
      <c r="B13" s="91"/>
      <c r="C13" s="91"/>
      <c r="D13" s="269" t="s">
        <v>582</v>
      </c>
      <c r="E13" s="269"/>
    </row>
    <row r="14" spans="1:6" ht="38.25" customHeight="1" x14ac:dyDescent="0.15">
      <c r="A14" s="93" t="s">
        <v>179</v>
      </c>
      <c r="B14" s="94" t="s">
        <v>583</v>
      </c>
      <c r="C14" s="94" t="s">
        <v>584</v>
      </c>
      <c r="D14" s="94" t="s">
        <v>1065</v>
      </c>
      <c r="E14" s="95" t="s">
        <v>1058</v>
      </c>
    </row>
    <row r="15" spans="1:6" ht="28.5" customHeight="1" x14ac:dyDescent="0.15">
      <c r="A15" s="186" t="s">
        <v>31</v>
      </c>
      <c r="B15" s="187" t="s">
        <v>585</v>
      </c>
      <c r="C15" s="188" t="s">
        <v>586</v>
      </c>
      <c r="D15" s="217">
        <v>15284441004008</v>
      </c>
      <c r="E15" s="218">
        <v>17699156871708</v>
      </c>
      <c r="F15" s="189"/>
    </row>
    <row r="16" spans="1:6" ht="32.450000000000003" customHeight="1" x14ac:dyDescent="0.15">
      <c r="A16" s="186" t="s">
        <v>33</v>
      </c>
      <c r="B16" s="187" t="s">
        <v>587</v>
      </c>
      <c r="C16" s="188" t="s">
        <v>588</v>
      </c>
      <c r="D16" s="217">
        <v>-1395370718377</v>
      </c>
      <c r="E16" s="218">
        <v>-2001813012299</v>
      </c>
    </row>
    <row r="17" spans="1:7" ht="44.1" customHeight="1" x14ac:dyDescent="0.15">
      <c r="A17" s="190" t="s">
        <v>480</v>
      </c>
      <c r="B17" s="191" t="s">
        <v>589</v>
      </c>
      <c r="C17" s="192" t="s">
        <v>590</v>
      </c>
      <c r="D17" s="202">
        <v>-1395370718377</v>
      </c>
      <c r="E17" s="204">
        <v>-2001813012299</v>
      </c>
    </row>
    <row r="18" spans="1:7" ht="44.1" customHeight="1" x14ac:dyDescent="0.15">
      <c r="A18" s="190" t="s">
        <v>482</v>
      </c>
      <c r="B18" s="191" t="s">
        <v>591</v>
      </c>
      <c r="C18" s="192" t="s">
        <v>592</v>
      </c>
      <c r="D18" s="202">
        <v>0</v>
      </c>
      <c r="E18" s="204">
        <v>0</v>
      </c>
    </row>
    <row r="19" spans="1:7" ht="42.95" customHeight="1" x14ac:dyDescent="0.15">
      <c r="A19" s="186" t="s">
        <v>91</v>
      </c>
      <c r="B19" s="187" t="s">
        <v>593</v>
      </c>
      <c r="C19" s="188" t="s">
        <v>594</v>
      </c>
      <c r="D19" s="217">
        <v>849973105539</v>
      </c>
      <c r="E19" s="218">
        <v>-412902855401</v>
      </c>
    </row>
    <row r="20" spans="1:7" ht="22.5" customHeight="1" x14ac:dyDescent="0.15">
      <c r="A20" s="190" t="s">
        <v>595</v>
      </c>
      <c r="B20" s="191" t="s">
        <v>596</v>
      </c>
      <c r="C20" s="192" t="s">
        <v>597</v>
      </c>
      <c r="D20" s="202">
        <v>905901180262</v>
      </c>
      <c r="E20" s="204">
        <v>53378186890</v>
      </c>
    </row>
    <row r="21" spans="1:7" ht="22.5" customHeight="1" x14ac:dyDescent="0.15">
      <c r="A21" s="190" t="s">
        <v>598</v>
      </c>
      <c r="B21" s="191" t="s">
        <v>599</v>
      </c>
      <c r="C21" s="192" t="s">
        <v>600</v>
      </c>
      <c r="D21" s="202">
        <v>-55928074723</v>
      </c>
      <c r="E21" s="204">
        <v>-466281042291</v>
      </c>
    </row>
    <row r="22" spans="1:7" ht="23.1" customHeight="1" x14ac:dyDescent="0.15">
      <c r="A22" s="186" t="s">
        <v>98</v>
      </c>
      <c r="B22" s="187" t="s">
        <v>601</v>
      </c>
      <c r="C22" s="188" t="s">
        <v>602</v>
      </c>
      <c r="D22" s="217">
        <v>14739043391170</v>
      </c>
      <c r="E22" s="218">
        <v>15284441004008</v>
      </c>
      <c r="F22" s="193"/>
    </row>
    <row r="23" spans="1:7" ht="33" customHeight="1" x14ac:dyDescent="0.15">
      <c r="A23" s="194" t="s">
        <v>102</v>
      </c>
      <c r="B23" s="195" t="s">
        <v>603</v>
      </c>
      <c r="C23" s="196" t="s">
        <v>604</v>
      </c>
      <c r="D23" s="223">
        <v>22352.2</v>
      </c>
      <c r="E23" s="224">
        <v>24557.26</v>
      </c>
      <c r="G23" s="203"/>
    </row>
    <row r="24" spans="1:7" ht="11.25" customHeight="1" x14ac:dyDescent="0.15">
      <c r="A24" s="264"/>
      <c r="B24" s="264"/>
      <c r="C24" s="264"/>
      <c r="D24" s="264"/>
      <c r="E24" s="88"/>
    </row>
    <row r="25" spans="1:7" s="197" customFormat="1" ht="21" customHeight="1" x14ac:dyDescent="0.25">
      <c r="A25" s="324" t="s">
        <v>605</v>
      </c>
      <c r="B25" s="324"/>
      <c r="C25" s="324" t="s">
        <v>606</v>
      </c>
      <c r="D25" s="324"/>
      <c r="E25" s="324" t="s">
        <v>173</v>
      </c>
      <c r="F25" s="324"/>
    </row>
    <row r="26" spans="1:7" s="107" customFormat="1" ht="15.75" customHeight="1" x14ac:dyDescent="0.25">
      <c r="A26" s="323" t="s">
        <v>607</v>
      </c>
      <c r="B26" s="323"/>
      <c r="C26" s="261" t="s">
        <v>607</v>
      </c>
      <c r="D26" s="261"/>
      <c r="E26" s="323" t="s">
        <v>608</v>
      </c>
      <c r="F26" s="323"/>
    </row>
    <row r="27" spans="1:7" ht="87.75" customHeight="1" x14ac:dyDescent="0.15">
      <c r="A27" s="264"/>
      <c r="B27" s="264"/>
      <c r="C27" s="264"/>
      <c r="D27" s="264"/>
      <c r="E27" s="88"/>
    </row>
    <row r="28" spans="1:7" ht="15.75" customHeight="1" x14ac:dyDescent="0.15">
      <c r="A28" s="260" t="s">
        <v>609</v>
      </c>
      <c r="B28" s="260"/>
      <c r="C28" s="260" t="s">
        <v>610</v>
      </c>
      <c r="D28" s="260"/>
      <c r="E28" s="260" t="s">
        <v>175</v>
      </c>
      <c r="F28" s="260"/>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A12:B12"/>
    <mergeCell ref="C11:F11"/>
    <mergeCell ref="C12:F12"/>
    <mergeCell ref="D13:E13"/>
    <mergeCell ref="A24:B24"/>
    <mergeCell ref="C24:D24"/>
    <mergeCell ref="A25:B25"/>
    <mergeCell ref="C25:D25"/>
    <mergeCell ref="E25:F25"/>
    <mergeCell ref="E26:F26"/>
    <mergeCell ref="A28:B28"/>
    <mergeCell ref="C28:D28"/>
    <mergeCell ref="E28:F28"/>
    <mergeCell ref="A27:B27"/>
    <mergeCell ref="C27:D27"/>
    <mergeCell ref="A26:B26"/>
    <mergeCell ref="C26:D26"/>
  </mergeCells>
  <printOptions horizontalCentered="1"/>
  <pageMargins left="0.33" right="0.19" top="0.58999997377395597" bottom="0.58999997377395597" header="0.5" footer="0.5"/>
  <pageSetup paperSize="9" scale="91"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yAzjBEXOn21x7n4jzzKusNdGvkA=</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oXTpnKz9Gw1DKaZdWop72sK3Buc=</DigestValue>
    </Reference>
  </SignedInfo>
  <SignatureValue>MP4O3mwKhGw949Cz7LXsS61QpLF6nWyNOHrxjtG6/r0XnBV/wK6X2dQHHO9vUrOjuoarpyYhVqhZ
knM5GPeaHpqXiRsC8kEBKV63uGV0RptAZj6pOdec+qKj690esgRQc6zmKb+Sszc226518ceIvO1/
Cx26AZsHobfxW0H152g=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8PVSgNNrtPORSdAqHF+whSANz8Y=</DigestValue>
      </Reference>
      <Reference URI="/xl/drawings/drawing3.xml?ContentType=application/vnd.openxmlformats-officedocument.drawing+xml">
        <DigestMethod Algorithm="http://www.w3.org/2000/09/xmldsig#sha1"/>
        <DigestValue>fvvi8IbW2OpSWcYNfNmPYd3ZObM=</DigestValue>
      </Reference>
      <Reference URI="/xl/drawings/drawing2.xml?ContentType=application/vnd.openxmlformats-officedocument.drawing+xml">
        <DigestMethod Algorithm="http://www.w3.org/2000/09/xmldsig#sha1"/>
        <DigestValue>RSmYIKzMEhInZmH6Wg5mBa7T6RE=</DigestValue>
      </Reference>
      <Reference URI="/xl/media/image2.jpeg?ContentType=image/jpeg">
        <DigestMethod Algorithm="http://www.w3.org/2000/09/xmldsig#sha1"/>
        <DigestValue>jW+Dz3+llKrbTGdAHHIt07CajZk=</DigestValue>
      </Reference>
      <Reference URI="/xl/worksheets/sheet6.xml?ContentType=application/vnd.openxmlformats-officedocument.spreadsheetml.worksheet+xml">
        <DigestMethod Algorithm="http://www.w3.org/2000/09/xmldsig#sha1"/>
        <DigestValue>x4Yc8kpeBFUeGjRtIKIJ4yM0Cc8=</DigestValue>
      </Reference>
      <Reference URI="/xl/worksheets/sheet7.xml?ContentType=application/vnd.openxmlformats-officedocument.spreadsheetml.worksheet+xml">
        <DigestMethod Algorithm="http://www.w3.org/2000/09/xmldsig#sha1"/>
        <DigestValue>3LwXPpYcXqlIQNGRzO4+jaRohqU=</DigestValue>
      </Reference>
      <Reference URI="/xl/worksheets/sheet8.xml?ContentType=application/vnd.openxmlformats-officedocument.spreadsheetml.worksheet+xml">
        <DigestMethod Algorithm="http://www.w3.org/2000/09/xmldsig#sha1"/>
        <DigestValue>ElxP9bDt61jsmZ0ypXYR9DjtpAg=</DigestValue>
      </Reference>
      <Reference URI="/xl/worksheets/sheet9.xml?ContentType=application/vnd.openxmlformats-officedocument.spreadsheetml.worksheet+xml">
        <DigestMethod Algorithm="http://www.w3.org/2000/09/xmldsig#sha1"/>
        <DigestValue>Eq1X9yD8DiEAnd6jSL5MSKng8Fw=</DigestValue>
      </Reference>
      <Reference URI="/xl/calcChain.xml?ContentType=application/vnd.openxmlformats-officedocument.spreadsheetml.calcChain+xml">
        <DigestMethod Algorithm="http://www.w3.org/2000/09/xmldsig#sha1"/>
        <DigestValue>MNeIzwVzeymzENzGdYRplGtVXao=</DigestValue>
      </Reference>
      <Reference URI="/xl/styles.xml?ContentType=application/vnd.openxmlformats-officedocument.spreadsheetml.styles+xml">
        <DigestMethod Algorithm="http://www.w3.org/2000/09/xmldsig#sha1"/>
        <DigestValue>DIhU0JT5lMPUBa8PoRirgO/vQPk=</DigestValue>
      </Reference>
      <Reference URI="/xl/media/image4.jpeg?ContentType=image/jpeg">
        <DigestMethod Algorithm="http://www.w3.org/2000/09/xmldsig#sha1"/>
        <DigestValue>AzE9ld77n5Vj8r0Cfohgo3tQAYo=</DigestValue>
      </Reference>
      <Reference URI="/xl/drawings/drawing4.xml?ContentType=application/vnd.openxmlformats-officedocument.drawing+xml">
        <DigestMethod Algorithm="http://www.w3.org/2000/09/xmldsig#sha1"/>
        <DigestValue>gxcfh+ZCg+pOUgRoHJHdfszKIDQ=</DigestValue>
      </Reference>
      <Reference URI="/xl/media/image3.png?ContentType=image/png">
        <DigestMethod Algorithm="http://www.w3.org/2000/09/xmldsig#sha1"/>
        <DigestValue>sBZWNJtRsVs0fMCajNYDEvz2feA=</DigestValue>
      </Reference>
      <Reference URI="/xl/printerSettings/printerSettings2.bin?ContentType=application/vnd.openxmlformats-officedocument.spreadsheetml.printerSettings">
        <DigestMethod Algorithm="http://www.w3.org/2000/09/xmldsig#sha1"/>
        <DigestValue>8PVSgNNrtPORSdAqHF+whSANz8Y=</DigestValue>
      </Reference>
      <Reference URI="/xl/printerSettings/printerSettings5.bin?ContentType=application/vnd.openxmlformats-officedocument.spreadsheetml.printerSettings">
        <DigestMethod Algorithm="http://www.w3.org/2000/09/xmldsig#sha1"/>
        <DigestValue>RgCo0XQ47bc0bUD1iZxJqvFznkE=</DigestValue>
      </Reference>
      <Reference URI="/xl/printerSettings/printerSettings3.bin?ContentType=application/vnd.openxmlformats-officedocument.spreadsheetml.printerSettings">
        <DigestMethod Algorithm="http://www.w3.org/2000/09/xmldsig#sha1"/>
        <DigestValue>8PVSgNNrtPORSdAqHF+whSANz8Y=</DigestValue>
      </Reference>
      <Reference URI="/xl/printerSettings/printerSettings4.bin?ContentType=application/vnd.openxmlformats-officedocument.spreadsheetml.printerSettings">
        <DigestMethod Algorithm="http://www.w3.org/2000/09/xmldsig#sha1"/>
        <DigestValue>8PVSgNNrtPORSdAqHF+whSANz8Y=</DigestValue>
      </Reference>
      <Reference URI="/xl/printerSettings/printerSettings7.bin?ContentType=application/vnd.openxmlformats-officedocument.spreadsheetml.printerSettings">
        <DigestMethod Algorithm="http://www.w3.org/2000/09/xmldsig#sha1"/>
        <DigestValue>8PVSgNNrtPORSdAqHF+whSANz8Y=</DigestValue>
      </Reference>
      <Reference URI="/xl/printerSettings/printerSettings9.bin?ContentType=application/vnd.openxmlformats-officedocument.spreadsheetml.printerSettings">
        <DigestMethod Algorithm="http://www.w3.org/2000/09/xmldsig#sha1"/>
        <DigestValue>8PVSgNNrtPORSdAqHF+whSANz8Y=</DigestValue>
      </Reference>
      <Reference URI="/xl/printerSettings/printerSettings8.bin?ContentType=application/vnd.openxmlformats-officedocument.spreadsheetml.printerSettings">
        <DigestMethod Algorithm="http://www.w3.org/2000/09/xmldsig#sha1"/>
        <DigestValue>8PVSgNNrtPORSdAqHF+whSANz8Y=</DigestValue>
      </Reference>
      <Reference URI="/xl/printerSettings/printerSettings6.bin?ContentType=application/vnd.openxmlformats-officedocument.spreadsheetml.printerSettings">
        <DigestMethod Algorithm="http://www.w3.org/2000/09/xmldsig#sha1"/>
        <DigestValue>+RBXG8R+porZeAcXQTwu6bAMqqU=</DigestValue>
      </Reference>
      <Reference URI="/xl/drawings/drawing5.xml?ContentType=application/vnd.openxmlformats-officedocument.drawing+xml">
        <DigestMethod Algorithm="http://www.w3.org/2000/09/xmldsig#sha1"/>
        <DigestValue>CuZoHjahhT8+Q5/TD5Urkzl4DUI=</DigestValue>
      </Reference>
      <Reference URI="/xl/theme/theme1.xml?ContentType=application/vnd.openxmlformats-officedocument.theme+xml">
        <DigestMethod Algorithm="http://www.w3.org/2000/09/xmldsig#sha1"/>
        <DigestValue>9qmLS+LilE9mSl2hTMj5oHE8VR8=</DigestValue>
      </Reference>
      <Reference URI="/xl/drawings/drawing7.xml?ContentType=application/vnd.openxmlformats-officedocument.drawing+xml">
        <DigestMethod Algorithm="http://www.w3.org/2000/09/xmldsig#sha1"/>
        <DigestValue>MEnHMOyyBludwrO48QSDQx3cIfk=</DigestValue>
      </Reference>
      <Reference URI="/xl/worksheets/sheet3.xml?ContentType=application/vnd.openxmlformats-officedocument.spreadsheetml.worksheet+xml">
        <DigestMethod Algorithm="http://www.w3.org/2000/09/xmldsig#sha1"/>
        <DigestValue>7DIDstRBR6YRAuRTNLFjb4v/PNk=</DigestValue>
      </Reference>
      <Reference URI="/xl/drawings/drawing8.xml?ContentType=application/vnd.openxmlformats-officedocument.drawing+xml">
        <DigestMethod Algorithm="http://www.w3.org/2000/09/xmldsig#sha1"/>
        <DigestValue>l0G7UabvXUoWCQIXIsKNcUTizfM=</DigestValue>
      </Reference>
      <Reference URI="/xl/worksheets/sheet1.xml?ContentType=application/vnd.openxmlformats-officedocument.spreadsheetml.worksheet+xml">
        <DigestMethod Algorithm="http://www.w3.org/2000/09/xmldsig#sha1"/>
        <DigestValue>nzGvpvxHgX11BcDhVdEwa8r5uIs=</DigestValue>
      </Reference>
      <Reference URI="/xl/drawings/drawing6.xml?ContentType=application/vnd.openxmlformats-officedocument.drawing+xml">
        <DigestMethod Algorithm="http://www.w3.org/2000/09/xmldsig#sha1"/>
        <DigestValue>pjST51t/Xv1AWuR0T8q9+zQZGLo=</DigestValue>
      </Reference>
      <Reference URI="/xl/media/image1.jpeg?ContentType=image/jpeg">
        <DigestMethod Algorithm="http://www.w3.org/2000/09/xmldsig#sha1"/>
        <DigestValue>Hf2OoZB37KPon9Fhb5THaV/NmpQ=</DigestValue>
      </Reference>
      <Reference URI="/xl/worksheets/sheet2.xml?ContentType=application/vnd.openxmlformats-officedocument.spreadsheetml.worksheet+xml">
        <DigestMethod Algorithm="http://www.w3.org/2000/09/xmldsig#sha1"/>
        <DigestValue>f5VuzjPdSRBYt0Ev2OTGnsC3C9I=</DigestValue>
      </Reference>
      <Reference URI="/xl/worksheets/sheet4.xml?ContentType=application/vnd.openxmlformats-officedocument.spreadsheetml.worksheet+xml">
        <DigestMethod Algorithm="http://www.w3.org/2000/09/xmldsig#sha1"/>
        <DigestValue>gDp7cJwv1A9EHCu7qOsrn+7S+FY=</DigestValue>
      </Reference>
      <Reference URI="/xl/drawings/drawing1.xml?ContentType=application/vnd.openxmlformats-officedocument.drawing+xml">
        <DigestMethod Algorithm="http://www.w3.org/2000/09/xmldsig#sha1"/>
        <DigestValue>MiXc90aMbTuXx+4432pZmO9SxT4=</DigestValue>
      </Reference>
      <Reference URI="/xl/worksheets/sheet5.xml?ContentType=application/vnd.openxmlformats-officedocument.spreadsheetml.worksheet+xml">
        <DigestMethod Algorithm="http://www.w3.org/2000/09/xmldsig#sha1"/>
        <DigestValue>sn1hWmauyyVBxpKdGtao0LGMb+Y=</DigestValue>
      </Reference>
      <Reference URI="/xl/workbook.xml?ContentType=application/vnd.openxmlformats-officedocument.spreadsheetml.sheet.main+xml">
        <DigestMethod Algorithm="http://www.w3.org/2000/09/xmldsig#sha1"/>
        <DigestValue>kfyh/CXniPsvNeKchQZTBmqZqSM=</DigestValue>
      </Reference>
      <Reference URI="/xl/sharedStrings.xml?ContentType=application/vnd.openxmlformats-officedocument.spreadsheetml.sharedStrings+xml">
        <DigestMethod Algorithm="http://www.w3.org/2000/09/xmldsig#sha1"/>
        <DigestValue>8I8oVkrOvPWZq8fSeU4jVlAXnNQ=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2022-11-07T06:20:07Z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2022-11-07T06:20:07Z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2022-11-07T06:20:03Z</dcterms:modified>
</cp:coreProperties>
</file>