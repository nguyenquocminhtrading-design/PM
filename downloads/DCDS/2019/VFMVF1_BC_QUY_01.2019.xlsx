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Default Extension="sigs" ContentType="application/vnd.openxmlformats-package.digital-signature-origin"/>
  <Override PartName="/xl/sharedStrings.xml" ContentType="application/vnd.openxmlformats-officedocument.spreadsheetml.sharedStrings+xml"/>
  <Override PartName="/xl/drawings/drawing10.xml" ContentType="application/vnd.openxmlformats-officedocument.drawing+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480" yWindow="108" windowWidth="14916" windowHeight="7956" tabRatio="878" activeTab="8"/>
  </bookViews>
  <sheets>
    <sheet name="Tong quat" sheetId="5" r:id="rId1"/>
    <sheet name="BCthunhap" sheetId="16" r:id="rId2"/>
    <sheet name="BCtinhhinhtaichinh" sheetId="17" r:id="rId3"/>
    <sheet name="BCLCGT_06262" sheetId="36" r:id="rId4"/>
    <sheet name="BCTaiSan_06027" sheetId="9" r:id="rId5"/>
    <sheet name="BCKetQuaHoatDong_06028" sheetId="10" r:id="rId6"/>
    <sheet name="Thongke phi giao dich" sheetId="37" state="hidden" r:id="rId7"/>
    <sheet name="BCDanhMucDauTu_06029" sheetId="11" r:id="rId8"/>
    <sheet name="GiaTriTaiSanRong_06129" sheetId="14" r:id="rId9"/>
    <sheet name="Khac_06030" sheetId="12" r:id="rId10"/>
    <sheet name="BCHoatDongVay_06026" sheetId="8" r:id="rId11"/>
  </sheets>
  <definedNames>
    <definedName name="_xlnm._FilterDatabase" localSheetId="7" hidden="1">BCDanhMucDauTu_06029!$A$17:$G$53</definedName>
    <definedName name="_xlnm._FilterDatabase" localSheetId="3" hidden="1">BCLCGT_06262!$A$17:$E$61</definedName>
    <definedName name="_xlnm._FilterDatabase" localSheetId="1" hidden="1">BCthunhap!$A$16:$G$75</definedName>
    <definedName name="_xlnm._FilterDatabase" localSheetId="2" hidden="1">BCtinhhinhtaichinh!$A$17:$F$112</definedName>
    <definedName name="_xlnm.Print_Area" localSheetId="7">BCDanhMucDauTu_06029!$A$1:$G$102</definedName>
    <definedName name="_xlnm.Print_Area" localSheetId="10">BCHoatDongVay_06026!$A$1:$K$46</definedName>
    <definedName name="_xlnm.Print_Area" localSheetId="5">BCKetQuaHoatDong_06028!$A$1:$F$90</definedName>
    <definedName name="_xlnm.Print_Area" localSheetId="3">BCLCGT_06262!$A$1:$E$79</definedName>
    <definedName name="_xlnm.Print_Area" localSheetId="4">BCTaiSan_06027!$A$1:$F$104</definedName>
    <definedName name="_xlnm.Print_Area" localSheetId="1">BCthunhap!$A$1:$G$96</definedName>
    <definedName name="_xlnm.Print_Area" localSheetId="2">BCtinhhinhtaichinh!$A$1:$F$131</definedName>
    <definedName name="_xlnm.Print_Area" localSheetId="8">GiaTriTaiSanRong_06129!$A$1:$F$43</definedName>
    <definedName name="_xlnm.Print_Area" localSheetId="9">Khac_06030!$A$1:$E$63</definedName>
    <definedName name="_xlnm.Print_Area" localSheetId="6">'Thongke phi giao dich'!$A$1:$H$42</definedName>
    <definedName name="_xlnm.Print_Area" localSheetId="0">'Tong quat'!$A$1:$L$45</definedName>
    <definedName name="_xlnm.Print_Titles" localSheetId="7">BCDanhMucDauTu_06029!$17:$17</definedName>
    <definedName name="_xlnm.Print_Titles" localSheetId="10">BCHoatDongVay_06026!$16:$17</definedName>
    <definedName name="_xlnm.Print_Titles" localSheetId="5">BCKetQuaHoatDong_06028!$17:$17</definedName>
    <definedName name="_xlnm.Print_Titles" localSheetId="3">BCLCGT_06262!$16:$16</definedName>
    <definedName name="_xlnm.Print_Titles" localSheetId="4">BCTaiSan_06027!$17:$17</definedName>
    <definedName name="_xlnm.Print_Titles" localSheetId="1">BCthunhap!$16:$17</definedName>
    <definedName name="_xlnm.Print_Titles" localSheetId="2">BCtinhhinhtaichinh!$16:$16</definedName>
    <definedName name="_xlnm.Print_Titles" localSheetId="9">Khac_06030!$17:$17</definedName>
  </definedNames>
  <calcPr calcId="171027"/>
</workbook>
</file>

<file path=xl/calcChain.xml><?xml version="1.0" encoding="utf-8"?>
<calcChain xmlns="http://schemas.openxmlformats.org/spreadsheetml/2006/main">
  <c r="M23" i="37"/>
  <c r="L24"/>
  <c r="D14" l="1"/>
  <c r="D13"/>
  <c r="D24" l="1"/>
  <c r="E20" s="1"/>
  <c r="F20" s="1"/>
  <c r="E19" l="1"/>
  <c r="F19" s="1"/>
  <c r="E22"/>
  <c r="F22" s="1"/>
  <c r="E21"/>
  <c r="F21" s="1"/>
  <c r="F24" l="1"/>
  <c r="A5" l="1"/>
</calcChain>
</file>

<file path=xl/sharedStrings.xml><?xml version="1.0" encoding="utf-8"?>
<sst xmlns="http://schemas.openxmlformats.org/spreadsheetml/2006/main" count="1499" uniqueCount="1009">
  <si>
    <t>131</t>
  </si>
  <si>
    <t>311</t>
  </si>
  <si>
    <t>312</t>
  </si>
  <si>
    <t>314</t>
  </si>
  <si>
    <t>315</t>
  </si>
  <si>
    <t>318</t>
  </si>
  <si>
    <t>412</t>
  </si>
  <si>
    <t>420</t>
  </si>
  <si>
    <t>01</t>
  </si>
  <si>
    <t>02</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</si>
  <si>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</si>
  <si>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</si>
  <si>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</si>
  <si>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</si>
  <si>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</si>
  <si>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</si>
  <si>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</si>
  <si>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</si>
  <si>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</si>
  <si>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</si>
  <si>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</si>
  <si>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</si>
  <si>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</si>
  <si>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</si>
  <si>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</si>
  <si>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</si>
  <si>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</si>
  <si>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</si>
  <si>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</si>
  <si>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</si>
  <si>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</si>
  <si>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</si>
  <si>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</si>
  <si>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</si>
  <si>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</si>
  <si>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</si>
  <si>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</si>
  <si>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</si>
  <si>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</si>
  <si>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</si>
  <si>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</si>
  <si>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</si>
  <si>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</si>
  <si>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</si>
  <si>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</si>
  <si>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</si>
  <si>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136</t>
  </si>
  <si>
    <t>137</t>
  </si>
  <si>
    <t>138</t>
  </si>
  <si>
    <t>II</t>
  </si>
  <si>
    <t>313</t>
  </si>
  <si>
    <t>413</t>
  </si>
  <si>
    <t>414</t>
  </si>
  <si>
    <t>VI</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</si>
  <si>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</si>
  <si>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</si>
  <si>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</si>
  <si>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</si>
  <si>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</si>
  <si>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</si>
  <si>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</si>
  <si>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</si>
  <si>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</si>
  <si>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</si>
  <si>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</si>
  <si>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</si>
  <si>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</si>
  <si>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</si>
  <si>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</si>
  <si>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</si>
  <si>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</si>
  <si>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</si>
  <si>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</si>
  <si>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</si>
  <si>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</si>
  <si>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</si>
  <si>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</si>
  <si>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</si>
  <si>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</si>
  <si>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I.1</t>
  </si>
  <si>
    <t>2201</t>
  </si>
  <si>
    <t>2202</t>
  </si>
  <si>
    <t>2203</t>
  </si>
  <si>
    <t>2204</t>
  </si>
  <si>
    <t>I.2</t>
  </si>
  <si>
    <t>2205</t>
  </si>
  <si>
    <t>2205.1</t>
  </si>
  <si>
    <t>2205.2</t>
  </si>
  <si>
    <t>I.3</t>
  </si>
  <si>
    <t>2206</t>
  </si>
  <si>
    <t>I.4</t>
  </si>
  <si>
    <t>2207</t>
  </si>
  <si>
    <t>I.5</t>
  </si>
  <si>
    <t>2208</t>
  </si>
  <si>
    <t>I.6</t>
  </si>
  <si>
    <t>2210</t>
  </si>
  <si>
    <t>I.7</t>
  </si>
  <si>
    <t>I.8</t>
  </si>
  <si>
    <t>2212</t>
  </si>
  <si>
    <t>2213</t>
  </si>
  <si>
    <t>II.1</t>
  </si>
  <si>
    <t>2214</t>
  </si>
  <si>
    <t>II.2</t>
  </si>
  <si>
    <t>2215</t>
  </si>
  <si>
    <t>II.3</t>
  </si>
  <si>
    <t>2216</t>
  </si>
  <si>
    <t>2217</t>
  </si>
  <si>
    <t>2218</t>
  </si>
  <si>
    <t>2219</t>
  </si>
  <si>
    <t>2221</t>
  </si>
  <si>
    <t>2222</t>
  </si>
  <si>
    <t>2223</t>
  </si>
  <si>
    <t>2225</t>
  </si>
  <si>
    <t>2228</t>
  </si>
  <si>
    <t>2232.1</t>
  </si>
  <si>
    <t>III</t>
  </si>
  <si>
    <t>IV</t>
  </si>
  <si>
    <t>2235</t>
  </si>
  <si>
    <t>2236</t>
  </si>
  <si>
    <t>V</t>
  </si>
  <si>
    <t>VII</t>
  </si>
  <si>
    <t>VIII</t>
  </si>
  <si>
    <t>III.1</t>
  </si>
  <si>
    <t>III.2</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</si>
  <si>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</si>
  <si>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</si>
  <si>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</si>
  <si>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</si>
  <si>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</si>
  <si>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</si>
  <si>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</si>
  <si>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</si>
  <si>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</si>
  <si>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</si>
  <si>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</si>
  <si>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</si>
  <si>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</si>
  <si>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</si>
  <si>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</si>
  <si>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</si>
  <si>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</si>
  <si>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</si>
  <si>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</si>
  <si>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</si>
  <si>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</si>
  <si>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</si>
  <si>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</si>
  <si>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</si>
  <si>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</si>
  <si>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</si>
  <si>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</si>
  <si>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</si>
  <si>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</si>
  <si>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</si>
  <si>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</si>
  <si>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</si>
  <si>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</si>
  <si>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</si>
  <si>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</si>
  <si>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3.5. Phí dịch vụ đại lý chuyển nhượng
Transfer agent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</si>
  <si>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</si>
  <si>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</si>
  <si>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</si>
  <si>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</si>
  <si>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</si>
  <si>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</si>
  <si>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tác, họp của ban đại diện
Fund's Board of Representatives travelling, meeting expense</t>
  </si>
  <si>
    <t>Chi phí báo cáo thường niên
Annual report expense</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</si>
  <si>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</si>
  <si>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</si>
  <si>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</si>
  <si>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</si>
  <si>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</si>
  <si>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</si>
  <si>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</si>
  <si>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</si>
  <si>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</si>
  <si>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</si>
  <si>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</si>
  <si>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</si>
  <si>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</si>
  <si>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</si>
  <si>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</si>
  <si>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</si>
  <si>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</si>
  <si>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</si>
  <si>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</si>
  <si>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</si>
  <si>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</si>
  <si>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</si>
  <si>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</si>
  <si>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</si>
  <si>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</si>
  <si>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</si>
  <si>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</si>
  <si>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</si>
  <si>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</si>
  <si>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</si>
  <si>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2215.13</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</si>
  <si>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</si>
  <si>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</si>
  <si>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</si>
  <si>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</si>
  <si>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</si>
  <si>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</si>
  <si>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</si>
  <si>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</si>
  <si>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</si>
  <si>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</si>
  <si>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</si>
  <si>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</si>
  <si>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</si>
  <si>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</si>
  <si>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</si>
  <si>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</si>
  <si>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</si>
  <si>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</si>
  <si>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</si>
  <si>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(Ban hành kèm theo Thông tư 183/2011/TT-BTC ngày 16 tháng 12 năm 2011 hướng dẫn về việc thành lập và quản lý quỹ mở)
(Issued in association with Circular 183/2011/TT-BTC guiding establishment and management of the Open-Ended Fund)</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</si>
  <si>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</si>
  <si>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</si>
  <si>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</si>
  <si>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</si>
  <si>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</si>
  <si>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</si>
  <si>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</si>
  <si>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</si>
  <si>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</si>
  <si>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</si>
  <si>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</si>
  <si>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Cổ phiếu niêm yết
Listed shares</t>
  </si>
  <si>
    <t>Trái phiếu
Bonds</t>
  </si>
  <si>
    <t>2205.5</t>
  </si>
  <si>
    <t>Lãi được nhận
Interest Receivables</t>
  </si>
  <si>
    <t>Tiền bán chứng khoán chờ thu
Securities Trading Receivables</t>
  </si>
  <si>
    <t>Các khoản phải thu khác
Other Receivables</t>
  </si>
  <si>
    <t>Các tài sản khác
Other Assets</t>
  </si>
  <si>
    <t>Nợ
Liability</t>
  </si>
  <si>
    <t>Tiền phải thanh toán mua chứng khoán
Securities Trading Payables</t>
  </si>
  <si>
    <t>Các khoản phải trả khác
Other Payables</t>
  </si>
  <si>
    <t>Phải trả cho Nhà đầu tư về mua Chứng chỉ quỹ
Subscription Suspense Payable</t>
  </si>
  <si>
    <t>Phải trả thu nhập cho nhà đầu tư
Income payable to investors</t>
  </si>
  <si>
    <t>Phải trả thù lao ban đại diện quỹ
Remuneration Payable to Fund's Board of Representatives</t>
  </si>
  <si>
    <t>Thuế và các khoản phải nộp Nhà nước
Taxes Payables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</si>
  <si>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</si>
  <si>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</si>
  <si>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</si>
  <si>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</si>
  <si>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</si>
  <si>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</si>
  <si>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</si>
  <si>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</si>
  <si>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</si>
  <si>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</si>
  <si>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</si>
  <si>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</si>
  <si>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</si>
  <si>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</si>
  <si>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</si>
  <si>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</si>
  <si>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</si>
  <si>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</si>
  <si>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</si>
  <si>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</si>
  <si>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</si>
  <si>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</si>
  <si>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</si>
  <si>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</si>
  <si>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</si>
  <si>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</si>
  <si>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</si>
  <si>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</si>
  <si>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</si>
  <si>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</si>
  <si>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</si>
  <si>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</si>
  <si>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</si>
  <si>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</si>
  <si>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</si>
  <si>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</si>
  <si>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</si>
  <si>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</si>
  <si>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</si>
  <si>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</si>
  <si>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</si>
  <si>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</si>
  <si>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</si>
  <si>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</si>
  <si>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</si>
  <si>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</si>
  <si>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</si>
  <si>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</si>
  <si>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</si>
  <si>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</si>
  <si>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</si>
  <si>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</si>
  <si>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</si>
  <si>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</si>
  <si>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</si>
  <si>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</si>
  <si>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</si>
  <si>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</si>
  <si>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</si>
  <si>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</si>
  <si>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</si>
  <si>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</si>
  <si>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Chứng chỉ tiền gửi 
Certificate of deposit</t>
  </si>
  <si>
    <t>Công cụ chuyển nhượng…
Registered certificate of deposit</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</si>
  <si>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</si>
  <si>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</si>
  <si>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</si>
  <si>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</si>
  <si>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</si>
  <si>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</si>
  <si>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</si>
  <si>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</si>
  <si>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</si>
  <si>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</si>
  <si>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</si>
  <si>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</si>
  <si>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</si>
  <si>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</si>
  <si>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</si>
  <si>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</si>
  <si>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</si>
  <si>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</si>
  <si>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</si>
  <si>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</si>
  <si>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</si>
  <si>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</si>
  <si>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</si>
  <si>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</si>
  <si>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</si>
  <si>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</si>
  <si>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Tổng số lượng đơn vị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</si>
  <si>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</si>
  <si>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</si>
  <si>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</si>
  <si>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</si>
  <si>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STT
No.</t>
  </si>
  <si>
    <t>Nội dung hoạt động (nêu chi tiết theo mục tiêu và đối tác)
Description</t>
  </si>
  <si>
    <t>Đối tác
Couterparty</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</si>
  <si>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</si>
  <si>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</si>
  <si>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</si>
  <si>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</si>
  <si>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</si>
  <si>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</si>
  <si>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</si>
  <si>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</si>
  <si>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r>
      <t xml:space="preserve">Hợp đồng Repo </t>
    </r>
    <r>
      <rPr>
        <i/>
        <sz val="10"/>
        <rFont val="Tahoma"/>
        <family val="2"/>
      </rPr>
      <t>(nêu chi tiết từng hợp đồng)
Repo (detail by each contract)</t>
    </r>
  </si>
  <si>
    <t>Tổng giá trị các hợp đồng Repo/giá trị tài sản ròng
Repo/NAV</t>
  </si>
  <si>
    <r>
      <t xml:space="preserve">Cho vay chứng khoán </t>
    </r>
    <r>
      <rPr>
        <i/>
        <sz val="10"/>
        <rFont val="Tahoma"/>
        <family val="2"/>
      </rPr>
      <t>(nêu chi tiết từng hợp đồng)
Margin (detail by each contract)</t>
    </r>
  </si>
  <si>
    <t>Tổng giá trị các hợp đồng/giá trị tài sản ròng của quỹ
Total Margin/NAV</t>
  </si>
  <si>
    <r>
      <t>Hợp đồng Reverse Repo</t>
    </r>
    <r>
      <rPr>
        <i/>
        <sz val="10"/>
        <rFont val="Tahoma"/>
        <family val="2"/>
      </rPr>
      <t xml:space="preserve"> (nêu chi tiết từng hợp đồng)
Reverse Repo (Detail by each contract)</t>
    </r>
  </si>
  <si>
    <t>Tổng giá trị các hợp đồng/giá trị tài sản ròng của quỹ
Reverse Repo/NAV</t>
  </si>
  <si>
    <r>
      <t xml:space="preserve">Vay tiền </t>
    </r>
    <r>
      <rPr>
        <i/>
        <sz val="10"/>
        <rFont val="Tahoma"/>
        <family val="2"/>
      </rPr>
      <t>(nêu chi tiết từng hợp đồng)
Borrowings (detail by each contract)</t>
    </r>
  </si>
  <si>
    <t>Tỷ lệ tiền vay từ các hợp đồng/giá trị tài sản ròng
Borowings/NAV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</si>
  <si>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</si>
  <si>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</si>
  <si>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</si>
  <si>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</si>
  <si>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</si>
  <si>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</si>
  <si>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</si>
  <si>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</si>
  <si>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</si>
  <si>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</si>
  <si>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</si>
  <si>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2215.17</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</si>
  <si>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</si>
  <si>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</si>
  <si>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</si>
  <si>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Chi phí cung cấp báo giá chứng khoán 
Price feed fee Expenses</t>
  </si>
  <si>
    <t>Phí niêm yết
Listing fee expenses</t>
  </si>
  <si>
    <t>20.10.01</t>
  </si>
  <si>
    <t>20.10.02</t>
  </si>
  <si>
    <t>20.10.03</t>
  </si>
  <si>
    <t>20.10.04</t>
  </si>
  <si>
    <t>20.10.05</t>
  </si>
  <si>
    <t>20.10.06</t>
  </si>
  <si>
    <t>20.10.07</t>
  </si>
  <si>
    <t>20.10.08</t>
  </si>
  <si>
    <t>20.10.09</t>
  </si>
  <si>
    <t>20.10.10</t>
  </si>
  <si>
    <t>2215.10</t>
  </si>
  <si>
    <t>2229.1</t>
  </si>
  <si>
    <t>2229.2</t>
  </si>
  <si>
    <t>2232.4</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</si>
  <si>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</si>
  <si>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</si>
  <si>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</si>
  <si>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</si>
  <si>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</si>
  <si>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</si>
  <si>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</si>
  <si>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</si>
  <si>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</si>
  <si>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</si>
  <si>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</si>
  <si>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</si>
  <si>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</si>
  <si>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</si>
  <si>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</si>
  <si>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</si>
  <si>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</si>
  <si>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</si>
  <si>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</si>
  <si>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</si>
  <si>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</si>
  <si>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</si>
  <si>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</si>
  <si>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</si>
  <si>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</si>
  <si>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</si>
  <si>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</si>
  <si>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</si>
  <si>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</si>
  <si>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</si>
  <si>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</si>
  <si>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</si>
  <si>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</si>
  <si>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</si>
  <si>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</si>
  <si>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</si>
  <si>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</si>
  <si>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</si>
  <si>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</si>
  <si>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</si>
  <si>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</si>
  <si>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</si>
  <si>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</si>
  <si>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</si>
  <si>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</si>
  <si>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</si>
  <si>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</si>
  <si>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</si>
  <si>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</si>
  <si>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</si>
  <si>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</si>
  <si>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</si>
  <si>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</si>
  <si>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</si>
  <si>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</si>
  <si>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</si>
  <si>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</si>
  <si>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</si>
  <si>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</si>
  <si>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</si>
  <si>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</si>
  <si>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</si>
  <si>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</si>
  <si>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</si>
  <si>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</si>
  <si>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</si>
  <si>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</si>
  <si>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Management Fund  Company</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</si>
  <si>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</si>
  <si>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</si>
  <si>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</si>
  <si>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</si>
  <si>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</si>
  <si>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t>Management Fund  Company:</t>
  </si>
  <si>
    <r>
      <rPr>
        <b/>
        <sz val="10"/>
        <color indexed="30"/>
        <rFont val="Tahoma"/>
        <family val="2"/>
      </rPr>
      <t>Tên Công ty quản lý quỹ:</t>
    </r>
    <r>
      <rPr>
        <b/>
        <sz val="10"/>
        <rFont val="Tahoma"/>
        <family val="2"/>
      </rPr>
      <t xml:space="preserve">
</t>
    </r>
  </si>
  <si>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</si>
  <si>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</si>
  <si>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</si>
  <si>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</si>
  <si>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</si>
  <si>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</si>
  <si>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</si>
  <si>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</si>
  <si>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</si>
  <si>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</si>
  <si>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</si>
  <si>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Phí dịch vụ lưu ký - bảo quản tài sản
Custodian service - Safe Custody Fee</t>
  </si>
  <si>
    <t>Phí thiết kế, in ấn, gửi thư…
Designing, prining, posting... expense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</si>
  <si>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</si>
  <si>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</si>
  <si>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</si>
  <si>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</si>
  <si>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</si>
  <si>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</si>
  <si>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thu cổ tức
Dividend receivable</t>
  </si>
  <si>
    <t>Phải thu lãi tiền gửi có kỳ hạn dưới 3 tháng
Interest receivable from deposit with term less than three (03) months</t>
  </si>
  <si>
    <t>Phải trả phí báo giá
Price feed fee payable</t>
  </si>
  <si>
    <t>Phải trả khác
Other payables</t>
  </si>
  <si>
    <t>121.1</t>
  </si>
  <si>
    <t>136.3</t>
  </si>
  <si>
    <t>2205.6</t>
  </si>
  <si>
    <t>121.6</t>
  </si>
  <si>
    <t>Vietnam Securities Investment Fund (VFMVF1)</t>
  </si>
  <si>
    <t>Quỹ đầu tư Chứng khoán Việt Nam</t>
  </si>
  <si>
    <t>Quyền mua chứng khoán
Investment - Rights</t>
  </si>
  <si>
    <t xml:space="preserve"> </t>
  </si>
  <si>
    <t>02.1</t>
  </si>
  <si>
    <t>02.2</t>
  </si>
  <si>
    <t xml:space="preserve">Lãi chứng chỉ tiền gửi
Interest income from certificates of deposits
</t>
  </si>
  <si>
    <t>03.1</t>
  </si>
  <si>
    <t>03.2</t>
  </si>
  <si>
    <t>Cổ tức được nhận
Dividend received</t>
  </si>
  <si>
    <t>Trái tức được nhận
Coupon received</t>
  </si>
  <si>
    <t>Mẫu số B05g - QM. Báo cáo lưu chuyển tiền tệ
Template B05g - QM. Cash flow statement</t>
  </si>
  <si>
    <t>(Ban hành kèm theo Thông tư 198/2012/TT-BTC ngày 15 tháng 11 năm 2012 về chế độ kế toán áp dụng đối với quỹ mở)
(Issued in association with Circular 198/2012/TT-BTC dated 15 Nov 2012 on the Accounting Policies for Open-Ended Fund)</t>
  </si>
  <si>
    <t>BÁO  CÁO LƯU CHUYỂN TIỀN TỆ
CASH FLOW STATEMENT</t>
  </si>
  <si>
    <t>I. Lưu chuyển tiền từ hoạt động đầu tư
Cash flow from investing activities</t>
  </si>
  <si>
    <t>1. Lợi nhuận trước Thuế thu nhập doanh nghiệp
Profit before income tax</t>
  </si>
  <si>
    <t>2. Điều chỉnh cho các khoản tăng giá trị tài sản ròng từ các hoạt động đầu tư
Adjustment for NAV increase from investing activities</t>
  </si>
  <si>
    <t>(- lãi) hoặc (+ lỗ) chênh lệch tỷ giá hối đoái/ đánh giá lại các khoản đầu tư chưa thực hiện
Unreliased Gain or (Loss) from FX valuation/Investment revaluation</t>
  </si>
  <si>
    <t>(+) chi phí trích trước
Increase of Accrued Expenses</t>
  </si>
  <si>
    <t>3. Lợi nhuận từ hoạt động đầu tư trước thay đổi vốn lưu động
Profit from investing activities before changes in working capital</t>
  </si>
  <si>
    <t>(-) Tăng (+) giảm đầu tư
(Increase), Decrease Investments</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</si>
  <si>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</si>
  <si>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</si>
  <si>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các khoản phải thu khác
 (Increase), Decrease in other receivables</t>
  </si>
  <si>
    <t>(+) Tăng, (-) giảm vay ngắn hạn
Increase, (Decrease) in Short term Loans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</si>
  <si>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</si>
  <si>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</si>
  <si>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</si>
  <si>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</si>
  <si>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</si>
  <si>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</si>
  <si>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</si>
  <si>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16</t>
  </si>
  <si>
    <t>(+) Tăng, (-) giảm Phải trả dịch vụ quản lý Quỹ mở
Increase, (Decrease) Fund management related service expense payable</t>
  </si>
  <si>
    <t>17</t>
  </si>
  <si>
    <t>(+) Tăng, (-) giảm Thuế Thu nhập doanh nghiệp đã nộp
Increase, (Decrease) Income Tax Payment</t>
  </si>
  <si>
    <t>18</t>
  </si>
  <si>
    <t>Lưu chuyển tiền thuần từ hoạt động đầu tư (1+2+3)
Net Cash flow from Investing activities</t>
  </si>
  <si>
    <t>19</t>
  </si>
  <si>
    <t>II. Lưu chuyển tiền từ hoạt động tài chính 
Cash flow from financing activities</t>
  </si>
  <si>
    <t>1. Tiền thu từ phát hành Chứng chỉ quỹ  mở 
Receipts from subscriptions</t>
  </si>
  <si>
    <t>2. Tiền chi mua lại Chứng chỉ quỹ  mở 
Payments for redemptions</t>
  </si>
  <si>
    <t>3. Tiền vay gốc 
Principal of Loans</t>
  </si>
  <si>
    <t>33</t>
  </si>
  <si>
    <t>4. Tiền chi trả nợ gốc vay 
Payment of Principal loans</t>
  </si>
  <si>
    <t>34</t>
  </si>
  <si>
    <t>5. Tiền chi trả cổ tức, tiền lãi cho nhà đầu tư
Dividend, profit distribution payment</t>
  </si>
  <si>
    <t>35</t>
  </si>
  <si>
    <t>Lưu chuyển tiền thuần từ hoạt động tài chính (1-2+3-4-5) 
Net cash outflows from financing activities</t>
  </si>
  <si>
    <t>III. Tăng/giảm tiền thuần trong kỳ 
Net Increase/Decrease in cash and cash equivalent for the period</t>
  </si>
  <si>
    <t>IV. Tiền và các khoản tương đương tiền đầu kỳ 
Cash and cash equivalents at the beginning of period</t>
  </si>
  <si>
    <t>50</t>
  </si>
  <si>
    <t>Tiền gửi ngân hàng đầu kỳ: 
Cash at bank of the beginning of period</t>
  </si>
  <si>
    <t>51</t>
  </si>
  <si>
    <t>- Tiền gửi ngân hàng cho hoạt động của Quỹ 
Cash at bank for Fund's operation</t>
  </si>
  <si>
    <t>52</t>
  </si>
  <si>
    <t>53</t>
  </si>
  <si>
    <t>54</t>
  </si>
  <si>
    <t>V. Tiền và các khoản tương đương tiền cuối kỳ 
Cash and cash equivalents at the end of period</t>
  </si>
  <si>
    <t>55</t>
  </si>
  <si>
    <t>Tiền gửi ngân hàng cuối kỳ: 
Cash at bank of the end of period</t>
  </si>
  <si>
    <t>56</t>
  </si>
  <si>
    <t>57</t>
  </si>
  <si>
    <t>58</t>
  </si>
  <si>
    <t>59</t>
  </si>
  <si>
    <t>VI. Thay đổi Tiền và các khoản tương đương tiền trong kỳ
Changes in cash and cash equivalents in the period</t>
  </si>
  <si>
    <t>60</t>
  </si>
  <si>
    <t>Khác
Other</t>
  </si>
  <si>
    <t>80</t>
  </si>
  <si>
    <t>Phụ lục 27. Mẫu báo cáo thống kê phí giao dịch của Quỹ
Appendix 27. Periodical Report on Broker Fee</t>
  </si>
  <si>
    <t>BÁO CÁO THỐNG KÊ PHÍ GIAO DỊCH CỦA QUỸ
PERIODICAL REPORT ON BROKER FEE</t>
  </si>
  <si>
    <t>Số thứ tự</t>
  </si>
  <si>
    <t>Tên (mã) các công ty chứng khoán (có giá trị giao dịch vượt quá 5% tổng giá trị giao dịch kỳ báo cáo)</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</si>
  <si>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</si>
  <si>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</si>
  <si>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</si>
  <si>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</si>
  <si>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</si>
  <si>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</si>
  <si>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</si>
  <si>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</si>
  <si>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</si>
  <si>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</si>
  <si>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</si>
  <si>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</si>
  <si>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 = (4)/(5)%</t>
  </si>
  <si>
    <t>(7)</t>
  </si>
  <si>
    <t>(8)</t>
  </si>
  <si>
    <t>Công ty chứng khoán ACB</t>
  </si>
  <si>
    <t>Không</t>
  </si>
  <si>
    <t>0.15% - 0.5%</t>
  </si>
  <si>
    <t>Công ty CP Chứng khoán Bản Việt</t>
  </si>
  <si>
    <t>Công ty CP Chứng khoán Rồng Việt</t>
  </si>
  <si>
    <t>Tổng</t>
  </si>
  <si>
    <t>ACBS</t>
  </si>
  <si>
    <t>VCSC</t>
  </si>
  <si>
    <t>VDSC</t>
  </si>
  <si>
    <t>VDS</t>
  </si>
  <si>
    <t>NONE</t>
  </si>
  <si>
    <t>Giá trị tài sản ròng trên một đơn vị quỹ cuối kỳ
Net asset value per Fund Certificate at the end of period</t>
  </si>
  <si>
    <t>- Tiền gửi phong tỏa (Tiền để thanh toán việc mua lại chứng chỉ quỹ)
Frozen Account (Cash at bank for Fund's redemption)</t>
  </si>
  <si>
    <t>- Tiền gửi của nhà đầu tư về mua chứng chỉ quỹ
Cash at bank for Fund's subscription</t>
  </si>
  <si>
    <t>Lũy kế từ đầu năm 
Accumulated from the beginning of the year</t>
  </si>
  <si>
    <t xml:space="preserve">2.3. Chi phí lãi phải trả của hợp đồng repo
Interest expense from repo contract </t>
  </si>
  <si>
    <t>Số Lượng
Quantity</t>
  </si>
  <si>
    <t/>
  </si>
  <si>
    <t>Cổ tức được chia
Dividend income</t>
  </si>
  <si>
    <t>1.2. Tiền lãi được nhận
Interest income</t>
  </si>
  <si>
    <t>1.3. Lãi (lỗ) bán các khoản đầu tư
Realized gain (losses) from disposal investments</t>
  </si>
  <si>
    <t>1.4. Chênh lệch tăng, giảm đánh giá lại các khoản đầu tư chưa thực hiện
Unrealized gain (losses) from investment revaluation</t>
  </si>
  <si>
    <t>1.5. Doanh thu khác
Other income</t>
  </si>
  <si>
    <t xml:space="preserve">1.6. Chênh lệch lãi, lỗ tỷ giá hối đoái đã và chưa thực hiện
Realized and unrealized gain (losses) from foreign exchange </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</si>
  <si>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</si>
  <si>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</si>
  <si>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Vietnam Investment Fund Management Joint Stock Company</t>
  </si>
  <si>
    <t>Trái tức được chia
Interest income</t>
  </si>
  <si>
    <t>- Tiền gửi có kỳ hạn dưới 3 tháng
Term deposit less than 3 months</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</si>
  <si>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</si>
  <si>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</si>
  <si>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</si>
  <si>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2203.1</t>
  </si>
  <si>
    <t>2203.2</t>
  </si>
  <si>
    <t>2203.3</t>
  </si>
  <si>
    <t>Phải thu cho khoản cổ phiếu hạn chế chờ mua
Receivable from AP/Investors on bought  investment</t>
  </si>
  <si>
    <t>Tiền gửi Ngân hàng
Cash at bank</t>
  </si>
  <si>
    <t>Tiền gửi có kỳ hạn trên 3 tháng
Deposit with term over three (03) months</t>
  </si>
  <si>
    <t>Chi phí dịch vụ tư vấn pháp lý
Legal consultancy expenses</t>
  </si>
  <si>
    <t>20.10.13</t>
  </si>
  <si>
    <t>20.10.14</t>
  </si>
  <si>
    <t>Phí thực hiện quyền trả cho VSD
Payables to VSD for getting the list of investors</t>
  </si>
  <si>
    <t>Phí đăng ký niêm yết bổ sung trả VSD
Additional registration fee pay for VSD</t>
  </si>
  <si>
    <t>20.10.12</t>
  </si>
  <si>
    <t>Cổ phiếu niêm yết
Listed Shares</t>
  </si>
  <si>
    <t>Cổ phiếu chưa niêm yết
Unlisted Shares</t>
  </si>
  <si>
    <t>121.5</t>
  </si>
  <si>
    <t>Trái phiếu niêm yết
Listed Bonds</t>
  </si>
  <si>
    <t>Trái phiếu chưa niêm yết 
Unlisted Bonds</t>
  </si>
  <si>
    <t xml:space="preserve">Chứng chỉ tiền gửi 
Certificate of Deposit </t>
  </si>
  <si>
    <t>121.7</t>
  </si>
  <si>
    <t>Đầu tư khác
Other Investments</t>
  </si>
  <si>
    <t>Trong đó: Phải thu khó đòi về bán các khoản đầu tư
In which: Overdue receivables from selling investments</t>
  </si>
  <si>
    <t>Phải thu trái tức
Coupon receivables</t>
  </si>
  <si>
    <t>Phải thu lãi tiền gửi có kỳ hạn trên 3 tháng
Interest receivables from deposit with term more than three (03) months</t>
  </si>
  <si>
    <t>Phải thu lãi chứng chỉ tiền gửi
Interest receivable from Certificate of Deposit</t>
  </si>
  <si>
    <t>Trong đó: Phải thu khó đòi về cổ tức, tiền lãi đến ngày nhận  nhưng chưa nhận được
In which: Overdue receivables from dividend, interest income</t>
  </si>
  <si>
    <t>136.5</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</si>
  <si>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</si>
  <si>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</si>
  <si>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</si>
  <si>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</si>
  <si>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Dự thu lãi chứng chỉ tiền gửi
Interest accrual from Certificate of Deposit</t>
  </si>
  <si>
    <t>Gốc khoản vay ngắn hạn - Shorterm loans Principal</t>
  </si>
  <si>
    <t>Trich trước lãi vay ngắn hạn - Accrued Interest Expense</t>
  </si>
  <si>
    <t>Phải trả phí môi giới
Brokerage fee payables</t>
  </si>
  <si>
    <t>316.1.1</t>
  </si>
  <si>
    <t>Phải trả phí giao dịch thanh toán bù trừ chứng khoán
Clearing Settlement Fee payables</t>
  </si>
  <si>
    <t>316.1.2</t>
  </si>
  <si>
    <t>Phí giao dịch
Transaction fee</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</si>
  <si>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</si>
  <si>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</si>
  <si>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</si>
  <si>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</si>
  <si>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Phải trả cho nhà đầu tư chờ mua chứng chỉ quỹ
Subscription Pending allotment</t>
  </si>
  <si>
    <t>Phải trả nhà đầu tư trên tài sản giữ hộ
Payables to investors for investment bought on behalf</t>
  </si>
  <si>
    <t xml:space="preserve">Trích trước phải trả phí quản lý
Accrued expense for Management fee </t>
  </si>
  <si>
    <t>Trích trước phí lưu ký tài sản Quỹ mở
Accrued expense for Custodian fee</t>
  </si>
  <si>
    <t>319.2.1</t>
  </si>
  <si>
    <t>319.2.2</t>
  </si>
  <si>
    <t>319.2.3</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</si>
  <si>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</si>
  <si>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</si>
  <si>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</si>
  <si>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</si>
  <si>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</si>
  <si>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Trích trước phí công tác, họp của ban đại diện
Accrued expense for Fund's Board of Representatives travelling, meeting</t>
  </si>
  <si>
    <t>Trích trước phí quản lý thường niên trả cho UBCKNN
Accrued expense for Annual Management  Fee pay to SSC</t>
  </si>
  <si>
    <t>Phí Ngân hàng S2B
S2B Bank charge</t>
  </si>
  <si>
    <t>320.5</t>
  </si>
  <si>
    <t>1</t>
  </si>
  <si>
    <t>2</t>
  </si>
  <si>
    <t>3</t>
  </si>
  <si>
    <t>3.1</t>
  </si>
  <si>
    <t>3.2</t>
  </si>
  <si>
    <t>3.2.1</t>
  </si>
  <si>
    <t>3.2.2</t>
  </si>
  <si>
    <t>3.3</t>
  </si>
  <si>
    <t>3.4</t>
  </si>
  <si>
    <t>4</t>
  </si>
  <si>
    <t>5</t>
  </si>
  <si>
    <t>6</t>
  </si>
  <si>
    <t>7</t>
  </si>
  <si>
    <t>8</t>
  </si>
  <si>
    <t>9</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</si>
  <si>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</si>
  <si>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</si>
  <si>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</si>
  <si>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thuần
Investment</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</si>
  <si>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</si>
  <si>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</si>
  <si>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</si>
  <si>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</si>
  <si>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</si>
  <si>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Phải thu cổ tức, tiền lãi đến ngày nhận
Dividend and interest receivables on or after payment date</t>
  </si>
  <si>
    <t>Dự thu cổ tức, tiền lãi chưa đến ngày nhận 
Dividend and interest receivables before payment date</t>
  </si>
  <si>
    <t>Các khoản phải thu khác
Other receivables</t>
  </si>
  <si>
    <t>Dự phòng nợ phải thu khó đòi
Provision for doubtful debt</t>
  </si>
  <si>
    <t>NỢ PHẢI TRẢ
TOTAL LIABILITIES</t>
  </si>
  <si>
    <t>Vay ngắn hạn
Shorterm loans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</si>
  <si>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</si>
  <si>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</si>
  <si>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</si>
  <si>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</si>
  <si>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</si>
  <si>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</si>
  <si>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</si>
  <si>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</si>
  <si>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</si>
  <si>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</si>
  <si>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</si>
  <si>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Vốn góp mua lại
Capital from redeemption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</si>
  <si>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</si>
  <si>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</si>
  <si>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</si>
  <si>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</si>
  <si>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</si>
  <si>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</si>
  <si>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</si>
  <si>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</si>
  <si>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</si>
  <si>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</si>
  <si>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</si>
  <si>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</si>
  <si>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</si>
  <si>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</si>
  <si>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Chứng chỉ tiền gửi 
Certificate of Deposit</t>
  </si>
  <si>
    <t>Quyền mua chứng khoán
Investment Rights</t>
  </si>
  <si>
    <t>2215.1.2</t>
  </si>
  <si>
    <t>Phải trả nhà đầu tư trên cổ tức đã thu
Payables to investors for collected dividend</t>
  </si>
  <si>
    <t>2215.1.3</t>
  </si>
  <si>
    <t>Phải trả cho Nhà đầu tư về mua lại Chứng chỉ quỹ
Redemption payable to investors</t>
  </si>
  <si>
    <t>2215.1.4</t>
  </si>
  <si>
    <t>Phải trả nhà đầu tư
Payables to investors</t>
  </si>
  <si>
    <t>2215.1</t>
  </si>
  <si>
    <t>2215.2</t>
  </si>
  <si>
    <t>2215.9.1</t>
  </si>
  <si>
    <t>2215.9.2</t>
  </si>
  <si>
    <t xml:space="preserve">Trích trước phí lưu ký tài sản Quỹ mở
Accrued expense for Custodian fee </t>
  </si>
  <si>
    <t>2215.10.1</t>
  </si>
  <si>
    <t>2215.10.2</t>
  </si>
  <si>
    <t>2215.10.3</t>
  </si>
  <si>
    <t>2215.17.4</t>
  </si>
  <si>
    <t>2215.17.1</t>
  </si>
  <si>
    <t>2215.17.3</t>
  </si>
  <si>
    <t>2215.17.2</t>
  </si>
  <si>
    <t>Trích trước phí quản lý thường niên trả UBCKNN
Accrued expense for Annual Management Fee pay to SSC</t>
  </si>
  <si>
    <t>Vay ngắn hạn 
Shorterm loans</t>
  </si>
  <si>
    <t>2215.18.1</t>
  </si>
  <si>
    <t>2215.18.2</t>
  </si>
  <si>
    <t>Dự phòng giảm giá tài sản nhận thế chấp
Impairment of devaluation of assets as pledge</t>
  </si>
  <si>
    <t>2206.1</t>
  </si>
  <si>
    <t>Phải thu trái tức
Coupon receivable</t>
  </si>
  <si>
    <t>2206.2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</si>
  <si>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</si>
  <si>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niêm yết, phí đăng ký chứng khoán
Listing, Registration fee expenses</t>
  </si>
  <si>
    <t>Phí quản lý thường niên trả cho UBCKNN
Annual management fee paid to SSC</t>
  </si>
  <si>
    <t>Chi phi lãi vay  Borrowing Interest Expenses</t>
  </si>
  <si>
    <t>2232.6</t>
  </si>
  <si>
    <t>II.1 Thay đổi NAV do biến động thị trường và hoạt động giao dịch của Quỹ mở trong kỳ
Change of NAV due to market fluctuation and the fundsinvestment during the period</t>
  </si>
  <si>
    <t>II.2 Thay đổi NAV do phận chia Lợi nhuận/Tài sản của quỹ mở cho nhà đầu tư trong kỳ
Change of NAV due to profit distribution to investors during the period</t>
  </si>
  <si>
    <t>Giá trị tài sản ròng trên một đơn vị quỹ tại ngày định giá
NAV per unit at valuation date</t>
  </si>
  <si>
    <t>Phải thu cổ tức, trái tức
Dividend, Coupon receivables</t>
  </si>
  <si>
    <t>Phải thu lãi tiền gửi có kỳ hạn
Interest receivable from term deposit</t>
  </si>
  <si>
    <t>Phải thu lãi chứng chỉ tiền gửi
Interest receivable from Certificates of Deposits</t>
  </si>
  <si>
    <t>Phải trả phí quản lý cho công ty quản lý quỹ
Management fee payable</t>
  </si>
  <si>
    <t>Phải trả phí họp đại hội thưởng niên
General meeting expense payable</t>
  </si>
  <si>
    <t>Phải trả phí báo cáo thường niên
Annual report fee payable</t>
  </si>
  <si>
    <t>Lãi chứng chỉ tiền gửi
Interest from Certificate of Deposits</t>
  </si>
  <si>
    <t>Thu nhập khác về đầu tư
Other investment income</t>
  </si>
  <si>
    <t>Thu nhập khác 
Other income</t>
  </si>
  <si>
    <t>Chi phí cung cấp báo giá chứng khoán
Price feed fee Expenses</t>
  </si>
  <si>
    <t xml:space="preserve">Chi phí môi giới
Brokerage fee </t>
  </si>
  <si>
    <t>Ghi chú/ Notes:</t>
  </si>
  <si>
    <t>2229.3</t>
  </si>
  <si>
    <t>2246.1</t>
  </si>
  <si>
    <t>2246.2</t>
  </si>
  <si>
    <t>2246.3</t>
  </si>
  <si>
    <t>2246.4</t>
  </si>
  <si>
    <t>2246.5</t>
  </si>
  <si>
    <t>2246.6</t>
  </si>
  <si>
    <t>2246.7</t>
  </si>
  <si>
    <t>2246.8</t>
  </si>
  <si>
    <t>2246.9</t>
  </si>
  <si>
    <t>2246.10</t>
  </si>
  <si>
    <t>2246.11</t>
  </si>
  <si>
    <t>2246.12</t>
  </si>
  <si>
    <t>2246.13</t>
  </si>
  <si>
    <t>2246.14</t>
  </si>
  <si>
    <t>2246.15</t>
  </si>
  <si>
    <t>2246.16</t>
  </si>
  <si>
    <t>2246.17</t>
  </si>
  <si>
    <t>2246.18</t>
  </si>
  <si>
    <t>2246.19</t>
  </si>
  <si>
    <t>2246.20</t>
  </si>
  <si>
    <t>110</t>
  </si>
  <si>
    <t>120</t>
  </si>
  <si>
    <t>121</t>
  </si>
  <si>
    <t>122</t>
  </si>
  <si>
    <t>130</t>
  </si>
  <si>
    <t>132</t>
  </si>
  <si>
    <t>133</t>
  </si>
  <si>
    <t>134</t>
  </si>
  <si>
    <t>135</t>
  </si>
  <si>
    <t>100</t>
  </si>
  <si>
    <t>316</t>
  </si>
  <si>
    <t>317</t>
  </si>
  <si>
    <t>317.1</t>
  </si>
  <si>
    <t>317.2</t>
  </si>
  <si>
    <t>319</t>
  </si>
  <si>
    <t>319.6</t>
  </si>
  <si>
    <t>319.7</t>
  </si>
  <si>
    <t>320</t>
  </si>
  <si>
    <t>320.4</t>
  </si>
  <si>
    <t>300</t>
  </si>
  <si>
    <t>400</t>
  </si>
  <si>
    <t>411</t>
  </si>
  <si>
    <t>430</t>
  </si>
  <si>
    <t>440</t>
  </si>
  <si>
    <t>441</t>
  </si>
  <si>
    <t>442</t>
  </si>
  <si>
    <t>001</t>
  </si>
  <si>
    <t>002</t>
  </si>
  <si>
    <t>003</t>
  </si>
  <si>
    <t>004</t>
  </si>
  <si>
    <t>Chi phí khác
Other expenses</t>
  </si>
  <si>
    <t>Phí quản lý thường niên trả UBCKNN
Annual fee Expenses paid to SSC</t>
  </si>
  <si>
    <t>ACB</t>
  </si>
  <si>
    <t>CTG</t>
  </si>
  <si>
    <t>FPT</t>
  </si>
  <si>
    <t>GAS</t>
  </si>
  <si>
    <t>HPG</t>
  </si>
  <si>
    <t>KDH</t>
  </si>
  <si>
    <t>MWG</t>
  </si>
  <si>
    <t>PNJ</t>
  </si>
  <si>
    <t>SAB</t>
  </si>
  <si>
    <t>VCB</t>
  </si>
  <si>
    <t>VJC</t>
  </si>
  <si>
    <t>VNM</t>
  </si>
  <si>
    <t>2246.21</t>
  </si>
  <si>
    <t>2246.22</t>
  </si>
  <si>
    <t>2246.23</t>
  </si>
  <si>
    <t>2246.24</t>
  </si>
  <si>
    <t>2246.25</t>
  </si>
  <si>
    <t>2246.26</t>
  </si>
  <si>
    <t>121.2</t>
  </si>
  <si>
    <t>Người lập:</t>
  </si>
  <si>
    <t xml:space="preserve">             Người duyệt:</t>
  </si>
  <si>
    <t>____________________________________________</t>
  </si>
  <si>
    <t>_____________________________________</t>
  </si>
  <si>
    <t>Bà Lâm Thị Loan</t>
  </si>
  <si>
    <t>Ông Nguyễn Minh Đăng Khánh</t>
  </si>
  <si>
    <t>Ông Trần Thanh Tân</t>
  </si>
  <si>
    <t>Kế toán Quỹ</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</si>
  <si>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</si>
  <si>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</si>
  <si>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</si>
  <si>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</si>
  <si>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</si>
  <si>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</si>
  <si>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</si>
  <si>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 xml:space="preserve">        Ông Nguyễn Minh Đăng Khánh</t>
  </si>
  <si>
    <t>________________________________</t>
  </si>
  <si>
    <t>__________________________</t>
  </si>
  <si>
    <t xml:space="preserve">      Ông Trần Thanh Tân</t>
  </si>
  <si>
    <t xml:space="preserve">           Tổng Giám đốc</t>
  </si>
  <si>
    <t>Năm 2018
Year 2018</t>
  </si>
  <si>
    <t>2232.7</t>
  </si>
  <si>
    <t>2221.2</t>
  </si>
  <si>
    <t>111.2</t>
  </si>
  <si>
    <t>111.3</t>
  </si>
  <si>
    <t>MBB</t>
  </si>
  <si>
    <t>PLX</t>
  </si>
  <si>
    <t>VPB</t>
  </si>
  <si>
    <t>PME</t>
  </si>
  <si>
    <t>ACV</t>
  </si>
  <si>
    <t>MSN</t>
  </si>
  <si>
    <t>CTD</t>
  </si>
  <si>
    <t>VIC</t>
  </si>
  <si>
    <t>2246.27</t>
  </si>
  <si>
    <t>SSI</t>
  </si>
  <si>
    <t>2246.28</t>
  </si>
  <si>
    <t>BID</t>
  </si>
  <si>
    <t>2246.29</t>
  </si>
  <si>
    <t>DXG</t>
  </si>
  <si>
    <t>2246.30</t>
  </si>
  <si>
    <t>NLG</t>
  </si>
  <si>
    <t>2247</t>
  </si>
  <si>
    <t>111.1</t>
  </si>
  <si>
    <t>121.4</t>
  </si>
  <si>
    <t>134.1</t>
  </si>
  <si>
    <t>134.2</t>
  </si>
  <si>
    <t>134.3</t>
  </si>
  <si>
    <t>134.4</t>
  </si>
  <si>
    <t>134.5</t>
  </si>
  <si>
    <t>136.1</t>
  </si>
  <si>
    <t>136.2</t>
  </si>
  <si>
    <t>136.4</t>
  </si>
  <si>
    <t>311.1</t>
  </si>
  <si>
    <t>311.2</t>
  </si>
  <si>
    <t>316.1</t>
  </si>
  <si>
    <t>316.2</t>
  </si>
  <si>
    <t>316.3</t>
  </si>
  <si>
    <t>316.4</t>
  </si>
  <si>
    <t>316.5</t>
  </si>
  <si>
    <t>319.1</t>
  </si>
  <si>
    <t>319.2</t>
  </si>
  <si>
    <t>319.3</t>
  </si>
  <si>
    <t>319.4</t>
  </si>
  <si>
    <t>319.5</t>
  </si>
  <si>
    <t>320.1</t>
  </si>
  <si>
    <t>320.2</t>
  </si>
  <si>
    <t>320.3</t>
  </si>
  <si>
    <t>420.1</t>
  </si>
  <si>
    <t>420.2</t>
  </si>
  <si>
    <t>2210.1</t>
  </si>
  <si>
    <t>2210.2</t>
  </si>
  <si>
    <t>2215.16</t>
  </si>
  <si>
    <t>2215.18</t>
  </si>
  <si>
    <t>2224</t>
  </si>
  <si>
    <t>2226</t>
  </si>
  <si>
    <t>2227</t>
  </si>
  <si>
    <t>2229</t>
  </si>
  <si>
    <t>2230</t>
  </si>
  <si>
    <t>2231</t>
  </si>
  <si>
    <t>2232</t>
  </si>
  <si>
    <t>2233</t>
  </si>
  <si>
    <t>2234</t>
  </si>
  <si>
    <t>2237</t>
  </si>
  <si>
    <t>2238</t>
  </si>
  <si>
    <t>2239</t>
  </si>
  <si>
    <t>2240</t>
  </si>
  <si>
    <t>2243</t>
  </si>
  <si>
    <t>2220</t>
  </si>
  <si>
    <t>2221.1</t>
  </si>
  <si>
    <t>2222.1</t>
  </si>
  <si>
    <t>2222.2</t>
  </si>
  <si>
    <t>2223.1</t>
  </si>
  <si>
    <t>2223.2</t>
  </si>
  <si>
    <t>2223.3</t>
  </si>
  <si>
    <t>2230.5</t>
  </si>
  <si>
    <t>2232.5</t>
  </si>
  <si>
    <t>2239.1</t>
  </si>
  <si>
    <t>2239.2</t>
  </si>
  <si>
    <t>2239.3</t>
  </si>
  <si>
    <t>2239.4</t>
  </si>
  <si>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</si>
  <si>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BÁO CÁO HOẠT ĐỘNG VAY, GIAO DỊCH MUA BÁN LẠI CỦA QUỸ
REPORT ON BORROWING OPERATION, REPO/REVERSE REPO TRANSACTIONS OF THE FUND</t>
  </si>
  <si>
    <t>Fund Management Company:</t>
  </si>
  <si>
    <t>BÁO CÁO THAY ĐỔI GIÁ TRỊ TÀI SẢN RÒNG, GIAO DỊCH CHỨNG CHỈ QŨY
REPORT ON CHANGE OF NET ASSET VALUE, TRADING OF FUND CERTIFICATE</t>
  </si>
  <si>
    <t>IV. Giá trị tài sản ròng của quỹ mở cuối kỳ 
(= I + II + III)
NAV at the end of period (= I + II + III)</t>
  </si>
  <si>
    <t>Thay đổi số lượng chứng chỉ quỹ trong kỳ
Change of Number of Fund Certificates during the period</t>
  </si>
  <si>
    <t>2276.1</t>
  </si>
  <si>
    <t>Thay đổi giá trị vốn trong kỳ (theo mệnh giá) 
Change in capital amount during the period (based on par value)</t>
  </si>
  <si>
    <t>2276.2</t>
  </si>
  <si>
    <t>Lãi tiền gửi ngân hàng
Interest from bank deposits</t>
  </si>
  <si>
    <t>1.1 Cổ tức, trái tức được chia
Dividend and interest income</t>
  </si>
  <si>
    <t xml:space="preserve">Lãi TGNH
Interest income from bank deposits
</t>
  </si>
  <si>
    <t>Mẫu số B02g - QM. Báo cáo tình hình tài chính
Template B02g - QM. Statement of Financial Position</t>
  </si>
  <si>
    <t>Mẫu số B01g - QM. Báo cáo thu nhập
Template B01g - QM. Statement of Comprehensive Income</t>
  </si>
  <si>
    <t>111.4</t>
  </si>
  <si>
    <t>121.9</t>
  </si>
  <si>
    <t>Quyền mua
Rights</t>
  </si>
  <si>
    <t>2253.1</t>
  </si>
  <si>
    <t>2253.2</t>
  </si>
  <si>
    <t>2203.4</t>
  </si>
  <si>
    <t>2205.8</t>
  </si>
  <si>
    <t>Ghi chú :</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</si>
  <si>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</si>
  <si>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VCI</t>
  </si>
  <si>
    <t>VHM</t>
  </si>
  <si>
    <t>TCB</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</si>
  <si>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</si>
  <si>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</si>
  <si>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II. Thay đổi NAV so với kỳ trước (= II.1 + II.2)
Trong đó
Change of NAV during the priod (=II.1 + II.2)
Of which:</t>
  </si>
  <si>
    <t>III. Thay đổi NAV do mua lại, phát hành thêm chứng chỉ quỹ (= III.1 + III.2)
Change of NAV due to redemption, subscription of fund certificate (= III.1 + III.2)</t>
  </si>
  <si>
    <t>2231.3</t>
  </si>
  <si>
    <t>Hợp đồng tương lai chỉ số
Index future contracts</t>
  </si>
  <si>
    <t>Chi tiết loại hợp đồng phái sinh(*)
Index future contracts</t>
  </si>
  <si>
    <t>Tiền gửi ký quỹ cho hoạt động đầu tư chứng khoán phái sinh
Margin account for trading derivatives</t>
  </si>
  <si>
    <t>- Tiền gửi ký quỹ cho hoạt động đầu tư chứng khoán phái sinh
Margin account for trading derivatives</t>
  </si>
  <si>
    <t>Ngày 31 tháng 12 năm 2018
As at 31 Dec 2018</t>
  </si>
  <si>
    <t>Quý IV năm 2018
Quarter IV 2018</t>
  </si>
  <si>
    <t>Tại ngày 31 tháng 12 năm 2018
As at 31 Dec 2018</t>
  </si>
  <si>
    <t>KBC</t>
  </si>
  <si>
    <t>POW</t>
  </si>
  <si>
    <t>VTP</t>
  </si>
  <si>
    <t xml:space="preserve">Ngân hàng TNHH một thành viên Standard Chartered (Việt Nam)
</t>
  </si>
  <si>
    <t>VietFund Management Company</t>
  </si>
  <si>
    <t>Nguyễn Ngọc Lan Anh</t>
  </si>
  <si>
    <t>Giám đốc Nghiệp vụ khối Thị trường, Tài sản và Dịch vụ chứng khoán</t>
  </si>
  <si>
    <t xml:space="preserve">Phụ lục 31: Mẫu Báo cáo hoạt động vay, giao dịch mua bán lại của quỹ
Appendix 31: Report on borrowing operation, repo/reverse repo transactions of the fund
</t>
  </si>
  <si>
    <t>Tốc độ vòng quay danh mục trong kỳ (%) = (Tổng giá trị danh mục mua vào + tổng giá trị danh mục bán ra) /2 / Giá trị tài sản ròng trung bình trong kỳ
Portfolio turnover rate (%) = (total value of buy-in portfolio + total proceeds of sale-out portfolio) / 2 / Average NAV (**)</t>
  </si>
  <si>
    <t>Quý I
Quarter I</t>
  </si>
  <si>
    <t>Năm 2019
Year 2019</t>
  </si>
  <si>
    <t>Tại ngày 31 tháng 03 năm 2019/As at 31 Mar 2019</t>
  </si>
  <si>
    <t>Quý I năm 2019/ Quarter I 2019</t>
  </si>
  <si>
    <t>Ngày 09 tháng 04 năm 2019</t>
  </si>
  <si>
    <t>Vũ Hương Giang</t>
  </si>
  <si>
    <t>Phó Phòng Nghiệp vụ Dịch vụ Chứng khoán</t>
  </si>
  <si>
    <t>Ngày 31 tháng 03 năm 2019
As at 31 Mar 2019</t>
  </si>
  <si>
    <t>Quý I năm 2019
Quarter I 2019</t>
  </si>
  <si>
    <t>Tại ngày 31 tháng 03 năm 2019
As at 31 Mar 2019</t>
  </si>
  <si>
    <t>BVH</t>
  </si>
  <si>
    <t>VRE</t>
  </si>
  <si>
    <t>2246.31</t>
  </si>
  <si>
    <t>2246.32</t>
  </si>
  <si>
    <t xml:space="preserve">Trái phiếu Doanh Nghiệp KBC11806
Corporate Bond KBC11806
</t>
  </si>
  <si>
    <t>Trái phiếu Doanh Nghiệp CII11713
Corporate Bond CII11713</t>
  </si>
  <si>
    <t>Lãi tiền gửi và chứng chỉ tiền gửi được nhận
Interest receivables from deposits and certificates of deposit</t>
  </si>
</sst>
</file>

<file path=xl/styles.xml><?xml version="1.0" encoding="utf-8"?>
<styleSheet xmlns="http://schemas.openxmlformats.org/spreadsheetml/2006/main">
  <numFmts count="6">
    <numFmt numFmtId="43" formatCode="_(* #,##0.00_);_(* \(#,##0.00\);_(* &quot;-&quot;??_);_(@_)"/>
    <numFmt numFmtId="164" formatCode="_-* #,##0\ _₫_-;\-* #,##0\ _₫_-;_-* &quot;-&quot;\ _₫_-;_-@_-"/>
    <numFmt numFmtId="165" formatCode="_-* #,##0.00\ _₫_-;\-* #,##0.00\ _₫_-;_-* &quot;-&quot;??\ _₫_-;_-@_-"/>
    <numFmt numFmtId="166" formatCode="_(* #,##0_);_(* \(#,##0\);_(* &quot;-&quot;??_);_(@_)"/>
    <numFmt numFmtId="167" formatCode="_(* #,##0.00_);_(* \(#,##0.00\);_(* &quot;-&quot;_);_(@_)"/>
    <numFmt numFmtId="168" formatCode="#,##0.####"/>
  </numFmts>
  <fonts count="57">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0"/>
      <color indexed="63"/>
      <name val="Tahoma"/>
      <family val="2"/>
    </font>
    <font>
      <i/>
      <sz val="10"/>
      <color rgb="FF0070C0"/>
      <name val="Tahoma"/>
      <family val="2"/>
    </font>
    <font>
      <sz val="12"/>
      <name val=".VnTime"/>
      <family val="2"/>
    </font>
    <font>
      <b/>
      <i/>
      <sz val="10"/>
      <name val="Tahoma"/>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sz val="10"/>
      <color rgb="FFFF0000"/>
      <name val="Tahoma"/>
      <family val="2"/>
    </font>
    <font>
      <b/>
      <sz val="11"/>
      <color theme="1"/>
      <name val="Calibri"/>
      <family val="2"/>
      <scheme val="minor"/>
    </font>
    <font>
      <i/>
      <sz val="11"/>
      <color theme="1"/>
      <name val="Calibri"/>
      <family val="2"/>
      <scheme val="minor"/>
    </font>
    <font>
      <b/>
      <i/>
      <sz val="10"/>
      <color indexed="63"/>
      <name val="Tahoma"/>
      <family val="2"/>
    </font>
    <font>
      <i/>
      <sz val="10"/>
      <name val="Arial"/>
      <family val="2"/>
    </font>
    <font>
      <b/>
      <sz val="11"/>
      <name val="Tahoma"/>
      <family val="2"/>
    </font>
  </fonts>
  <fills count="12">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58"/>
      </left>
      <right style="thin">
        <color indexed="58"/>
      </right>
      <top style="thin">
        <color indexed="58"/>
      </top>
      <bottom style="thin">
        <color indexed="58"/>
      </bottom>
      <diagonal/>
    </border>
  </borders>
  <cellStyleXfs count="128">
    <xf numFmtId="0" fontId="0" fillId="0" borderId="0"/>
    <xf numFmtId="165" fontId="20" fillId="0" borderId="0" quotePrefix="1" applyFont="0" applyFill="0" applyBorder="0" applyAlignment="0">
      <protection locked="0"/>
    </xf>
    <xf numFmtId="0" fontId="20" fillId="0" borderId="0"/>
    <xf numFmtId="0" fontId="21" fillId="0" borderId="0" applyNumberFormat="0" applyFill="0" applyBorder="0" applyAlignment="0" applyProtection="0"/>
    <xf numFmtId="0" fontId="20" fillId="0" borderId="0"/>
    <xf numFmtId="9" fontId="20" fillId="0" borderId="0" quotePrefix="1" applyFont="0" applyFill="0" applyBorder="0" applyAlignment="0">
      <protection locked="0"/>
    </xf>
    <xf numFmtId="0" fontId="19" fillId="0" borderId="0"/>
    <xf numFmtId="165" fontId="19"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40" fillId="0" borderId="0"/>
    <xf numFmtId="165" fontId="19" fillId="0" borderId="0" applyFont="0" applyFill="0" applyBorder="0" applyAlignment="0" applyProtection="0"/>
    <xf numFmtId="165" fontId="47" fillId="0" borderId="0" applyFont="0" applyFill="0" applyBorder="0" applyAlignment="0" applyProtection="0"/>
    <xf numFmtId="0" fontId="17" fillId="0" borderId="0"/>
    <xf numFmtId="0" fontId="16" fillId="0" borderId="0"/>
    <xf numFmtId="0" fontId="15" fillId="0" borderId="0"/>
    <xf numFmtId="0" fontId="14" fillId="0" borderId="0"/>
    <xf numFmtId="0" fontId="13" fillId="0" borderId="0"/>
    <xf numFmtId="0" fontId="12" fillId="0" borderId="0"/>
    <xf numFmtId="165" fontId="20" fillId="0" borderId="0" applyFont="0" applyFill="0" applyBorder="0" applyAlignment="0" applyProtection="0"/>
    <xf numFmtId="0" fontId="11" fillId="0" borderId="0"/>
    <xf numFmtId="0" fontId="10" fillId="0" borderId="0"/>
    <xf numFmtId="0" fontId="9" fillId="0" borderId="0"/>
    <xf numFmtId="0" fontId="9" fillId="0" borderId="0"/>
    <xf numFmtId="165" fontId="9" fillId="0" borderId="0" applyFont="0" applyFill="0" applyBorder="0" applyAlignment="0" applyProtection="0"/>
    <xf numFmtId="165" fontId="20" fillId="0" borderId="0" applyFont="0" applyFill="0" applyBorder="0" applyAlignment="0" applyProtection="0"/>
    <xf numFmtId="0" fontId="9" fillId="0" borderId="0"/>
    <xf numFmtId="0" fontId="9" fillId="0" borderId="0"/>
    <xf numFmtId="0" fontId="9" fillId="0" borderId="0"/>
    <xf numFmtId="0" fontId="9" fillId="0" borderId="0"/>
    <xf numFmtId="168" fontId="20" fillId="11" borderId="15" applyNumberFormat="0" applyFont="0" applyFill="0" applyBorder="0" applyAlignment="0" applyProtection="0">
      <alignment vertical="center"/>
    </xf>
    <xf numFmtId="0" fontId="20" fillId="11" borderId="15" applyNumberFormat="0" applyFont="0" applyFill="0" applyBorder="0" applyAlignment="0" applyProtection="0">
      <alignment vertical="center"/>
    </xf>
    <xf numFmtId="168" fontId="20" fillId="11" borderId="15" applyNumberFormat="0" applyFont="0" applyFill="0" applyBorder="0" applyAlignment="0" applyProtection="0">
      <alignment vertical="center"/>
    </xf>
    <xf numFmtId="0" fontId="8" fillId="0" borderId="0"/>
    <xf numFmtId="0" fontId="8" fillId="0" borderId="0"/>
    <xf numFmtId="0" fontId="7" fillId="0" borderId="0"/>
    <xf numFmtId="0" fontId="7" fillId="0" borderId="0"/>
    <xf numFmtId="0" fontId="7" fillId="0" borderId="0"/>
    <xf numFmtId="0" fontId="6" fillId="0" borderId="0"/>
    <xf numFmtId="0" fontId="6" fillId="0" borderId="0"/>
    <xf numFmtId="0" fontId="6" fillId="0" borderId="0"/>
    <xf numFmtId="0" fontId="5" fillId="0" borderId="0"/>
    <xf numFmtId="0" fontId="5" fillId="0" borderId="0"/>
    <xf numFmtId="0" fontId="5" fillId="0" borderId="0"/>
    <xf numFmtId="0" fontId="20" fillId="0" borderId="0"/>
    <xf numFmtId="165" fontId="3" fillId="0" borderId="0" applyFont="0" applyFill="0" applyBorder="0" applyAlignment="0" applyProtection="0"/>
    <xf numFmtId="0" fontId="3"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04">
    <xf numFmtId="0" fontId="0" fillId="0" borderId="0" xfId="0"/>
    <xf numFmtId="0" fontId="22" fillId="2" borderId="0" xfId="0" applyFont="1" applyFill="1"/>
    <xf numFmtId="0" fontId="23" fillId="2" borderId="0" xfId="0" applyFont="1" applyFill="1"/>
    <xf numFmtId="0" fontId="25" fillId="2" borderId="0" xfId="0" applyFont="1" applyFill="1"/>
    <xf numFmtId="0" fontId="25" fillId="2" borderId="0" xfId="0" applyFont="1" applyFill="1" applyAlignment="1">
      <alignment vertical="top" wrapText="1"/>
    </xf>
    <xf numFmtId="0" fontId="22" fillId="2" borderId="0" xfId="0" applyFont="1" applyFill="1" applyAlignment="1">
      <alignment vertical="top" wrapText="1"/>
    </xf>
    <xf numFmtId="0" fontId="22" fillId="2" borderId="0" xfId="0" applyFont="1" applyFill="1" applyAlignment="1">
      <alignment vertical="center"/>
    </xf>
    <xf numFmtId="0" fontId="25" fillId="2" borderId="0" xfId="0" applyFont="1" applyFill="1" applyAlignment="1">
      <alignment vertical="center"/>
    </xf>
    <xf numFmtId="0" fontId="25" fillId="2" borderId="0" xfId="0" applyFont="1" applyFill="1" applyAlignment="1">
      <alignment vertical="center" wrapText="1"/>
    </xf>
    <xf numFmtId="0" fontId="22" fillId="2" borderId="0" xfId="0" applyFont="1" applyFill="1" applyAlignment="1">
      <alignment vertical="center" wrapText="1"/>
    </xf>
    <xf numFmtId="0" fontId="19" fillId="0" borderId="0" xfId="6"/>
    <xf numFmtId="0" fontId="19" fillId="0" borderId="0" xfId="6" applyAlignment="1">
      <alignment horizontal="center"/>
    </xf>
    <xf numFmtId="166" fontId="0" fillId="0" borderId="0" xfId="7" applyNumberFormat="1" applyFont="1"/>
    <xf numFmtId="0" fontId="0" fillId="0" borderId="0" xfId="0" applyAlignment="1">
      <alignment horizontal="left"/>
    </xf>
    <xf numFmtId="0" fontId="24" fillId="2" borderId="1" xfId="0" applyFont="1" applyFill="1" applyBorder="1" applyAlignment="1">
      <alignment horizontal="left" vertical="top"/>
    </xf>
    <xf numFmtId="0" fontId="22" fillId="2" borderId="1" xfId="0" applyFont="1" applyFill="1" applyBorder="1" applyAlignment="1">
      <alignment horizontal="left" vertical="top"/>
    </xf>
    <xf numFmtId="0" fontId="22" fillId="2" borderId="1" xfId="0" applyFont="1" applyFill="1" applyBorder="1" applyAlignment="1">
      <alignment horizontal="left" vertical="top" wrapText="1"/>
    </xf>
    <xf numFmtId="0" fontId="21" fillId="2" borderId="1" xfId="3" applyFill="1" applyBorder="1" applyAlignment="1">
      <alignment horizontal="left" vertical="top"/>
    </xf>
    <xf numFmtId="0" fontId="29" fillId="3" borderId="0" xfId="0" applyFont="1" applyFill="1" applyAlignment="1">
      <alignment horizontal="center" vertical="center"/>
    </xf>
    <xf numFmtId="0" fontId="34" fillId="3" borderId="0" xfId="0" applyFont="1" applyFill="1" applyAlignment="1">
      <alignment vertical="center" wrapText="1"/>
    </xf>
    <xf numFmtId="0" fontId="35" fillId="3" borderId="0" xfId="0" applyFont="1" applyFill="1" applyAlignment="1">
      <alignment vertical="center" wrapText="1"/>
    </xf>
    <xf numFmtId="0" fontId="32" fillId="3" borderId="0" xfId="0" applyFont="1" applyFill="1"/>
    <xf numFmtId="49" fontId="37" fillId="2" borderId="1" xfId="0" applyNumberFormat="1" applyFont="1" applyFill="1" applyBorder="1" applyAlignment="1" applyProtection="1">
      <alignment horizontal="center" vertical="center" wrapText="1"/>
    </xf>
    <xf numFmtId="0" fontId="32" fillId="3" borderId="1" xfId="2" applyNumberFormat="1" applyFont="1" applyFill="1" applyBorder="1" applyAlignment="1" applyProtection="1">
      <alignment horizontal="left" wrapText="1"/>
    </xf>
    <xf numFmtId="0" fontId="39" fillId="3" borderId="1" xfId="2" applyNumberFormat="1" applyFont="1" applyFill="1" applyBorder="1" applyAlignment="1" applyProtection="1">
      <alignment horizontal="left" wrapText="1"/>
    </xf>
    <xf numFmtId="49" fontId="39" fillId="3" borderId="1" xfId="4" applyNumberFormat="1" applyFont="1" applyFill="1" applyBorder="1" applyAlignment="1" applyProtection="1">
      <alignment horizontal="left" wrapText="1"/>
    </xf>
    <xf numFmtId="166" fontId="32" fillId="3" borderId="0" xfId="0" applyNumberFormat="1" applyFont="1" applyFill="1"/>
    <xf numFmtId="0" fontId="32" fillId="3" borderId="0" xfId="0" applyFont="1" applyFill="1" applyAlignment="1"/>
    <xf numFmtId="0" fontId="33" fillId="3" borderId="0" xfId="0" applyFont="1" applyFill="1" applyAlignment="1">
      <alignment vertical="center"/>
    </xf>
    <xf numFmtId="166" fontId="33" fillId="3" borderId="0" xfId="11" applyNumberFormat="1" applyFont="1" applyFill="1" applyAlignment="1">
      <alignment vertical="center"/>
    </xf>
    <xf numFmtId="0" fontId="0" fillId="3" borderId="0" xfId="0" applyFill="1"/>
    <xf numFmtId="49" fontId="37" fillId="3" borderId="1" xfId="0" applyNumberFormat="1" applyFont="1" applyFill="1" applyBorder="1" applyAlignment="1" applyProtection="1">
      <alignment horizontal="center" vertical="center" wrapText="1"/>
    </xf>
    <xf numFmtId="0" fontId="0" fillId="6" borderId="0" xfId="0" applyFill="1"/>
    <xf numFmtId="0" fontId="38" fillId="3" borderId="1" xfId="2" applyNumberFormat="1" applyFont="1" applyFill="1" applyBorder="1" applyAlignment="1" applyProtection="1">
      <alignment horizontal="center" vertical="center" wrapText="1"/>
    </xf>
    <xf numFmtId="0" fontId="0" fillId="7" borderId="0" xfId="0" applyFill="1"/>
    <xf numFmtId="49" fontId="37" fillId="5" borderId="1" xfId="0" applyNumberFormat="1" applyFont="1" applyFill="1" applyBorder="1" applyAlignment="1" applyProtection="1">
      <alignment horizontal="center" vertical="center" wrapText="1"/>
    </xf>
    <xf numFmtId="0" fontId="30" fillId="6" borderId="1" xfId="2" applyNumberFormat="1" applyFont="1" applyFill="1" applyBorder="1" applyAlignment="1" applyProtection="1">
      <alignment horizontal="left" wrapText="1"/>
    </xf>
    <xf numFmtId="0" fontId="38" fillId="6" borderId="1" xfId="2" applyNumberFormat="1" applyFont="1" applyFill="1" applyBorder="1" applyAlignment="1" applyProtection="1">
      <alignment horizontal="center" vertical="center" wrapText="1"/>
    </xf>
    <xf numFmtId="49" fontId="30" fillId="5" borderId="1" xfId="0" applyNumberFormat="1" applyFont="1" applyFill="1" applyBorder="1" applyAlignment="1" applyProtection="1">
      <alignment horizontal="center" vertical="center" wrapText="1"/>
    </xf>
    <xf numFmtId="166" fontId="30" fillId="5" borderId="1" xfId="1" applyNumberFormat="1" applyFont="1" applyFill="1" applyBorder="1" applyAlignment="1" applyProtection="1">
      <alignment horizontal="center" vertical="center" wrapText="1"/>
      <protection locked="0"/>
    </xf>
    <xf numFmtId="0" fontId="32" fillId="6" borderId="0" xfId="0" applyFont="1" applyFill="1"/>
    <xf numFmtId="0" fontId="38" fillId="0" borderId="1" xfId="2" applyNumberFormat="1" applyFont="1" applyFill="1" applyBorder="1" applyAlignment="1" applyProtection="1">
      <alignment horizontal="center" vertical="center" wrapText="1"/>
    </xf>
    <xf numFmtId="0" fontId="30" fillId="4" borderId="1" xfId="2" applyNumberFormat="1" applyFont="1" applyFill="1" applyBorder="1" applyAlignment="1" applyProtection="1">
      <alignment horizontal="left" wrapText="1"/>
    </xf>
    <xf numFmtId="166" fontId="30" fillId="4" borderId="1" xfId="1" applyNumberFormat="1" applyFont="1" applyFill="1" applyBorder="1" applyAlignment="1" applyProtection="1">
      <alignment horizontal="left" wrapText="1"/>
      <protection locked="0"/>
    </xf>
    <xf numFmtId="0" fontId="34" fillId="3" borderId="0" xfId="0" applyFont="1" applyFill="1"/>
    <xf numFmtId="0" fontId="34" fillId="6" borderId="0" xfId="0" applyFont="1" applyFill="1"/>
    <xf numFmtId="0" fontId="38" fillId="4" borderId="1" xfId="2" applyNumberFormat="1" applyFont="1" applyFill="1" applyBorder="1" applyAlignment="1" applyProtection="1">
      <alignment horizontal="center" vertical="center" wrapText="1"/>
    </xf>
    <xf numFmtId="0" fontId="38" fillId="0" borderId="1" xfId="2" applyNumberFormat="1" applyFont="1" applyFill="1" applyBorder="1" applyAlignment="1" applyProtection="1">
      <alignment wrapText="1"/>
    </xf>
    <xf numFmtId="49" fontId="37" fillId="2" borderId="1" xfId="0" applyNumberFormat="1" applyFont="1" applyFill="1" applyBorder="1" applyAlignment="1" applyProtection="1">
      <alignment wrapText="1"/>
    </xf>
    <xf numFmtId="0" fontId="38" fillId="0" borderId="1" xfId="2" applyNumberFormat="1" applyFont="1" applyFill="1" applyBorder="1" applyAlignment="1" applyProtection="1">
      <alignment horizontal="center" wrapText="1"/>
    </xf>
    <xf numFmtId="0" fontId="32" fillId="3" borderId="1" xfId="2" applyNumberFormat="1" applyFont="1" applyFill="1" applyBorder="1" applyAlignment="1" applyProtection="1">
      <alignment horizontal="center" wrapText="1"/>
    </xf>
    <xf numFmtId="0" fontId="38" fillId="4" borderId="1" xfId="2" applyNumberFormat="1" applyFont="1" applyFill="1" applyBorder="1" applyAlignment="1" applyProtection="1">
      <alignment horizontal="center" wrapText="1"/>
    </xf>
    <xf numFmtId="166" fontId="34" fillId="3" borderId="0" xfId="1" applyNumberFormat="1" applyFont="1" applyFill="1" applyProtection="1">
      <protection locked="0"/>
    </xf>
    <xf numFmtId="0" fontId="42" fillId="3" borderId="0" xfId="0" applyFont="1" applyFill="1"/>
    <xf numFmtId="166" fontId="42" fillId="3" borderId="0" xfId="1" applyNumberFormat="1" applyFont="1" applyFill="1" applyProtection="1">
      <protection locked="0"/>
    </xf>
    <xf numFmtId="0" fontId="43" fillId="3" borderId="0" xfId="0" applyFont="1" applyFill="1"/>
    <xf numFmtId="166" fontId="43" fillId="3" borderId="0" xfId="1" applyNumberFormat="1" applyFont="1" applyFill="1" applyProtection="1">
      <protection locked="0"/>
    </xf>
    <xf numFmtId="0" fontId="34" fillId="3" borderId="6" xfId="0" applyFont="1" applyFill="1" applyBorder="1"/>
    <xf numFmtId="166" fontId="34" fillId="3" borderId="6" xfId="1" applyNumberFormat="1" applyFont="1" applyFill="1" applyBorder="1" applyProtection="1">
      <protection locked="0"/>
    </xf>
    <xf numFmtId="10" fontId="32" fillId="3" borderId="0" xfId="5" applyNumberFormat="1" applyFont="1" applyFill="1" applyProtection="1"/>
    <xf numFmtId="0" fontId="35" fillId="3" borderId="0" xfId="0" applyFont="1" applyFill="1" applyAlignment="1">
      <alignment horizontal="left" vertical="top"/>
    </xf>
    <xf numFmtId="0" fontId="32" fillId="3" borderId="0" xfId="0" applyFont="1" applyFill="1" applyAlignment="1">
      <alignment horizontal="left" vertical="top"/>
    </xf>
    <xf numFmtId="0" fontId="34" fillId="3" borderId="0" xfId="0" applyFont="1" applyFill="1" applyAlignment="1">
      <alignment horizontal="left" vertical="top"/>
    </xf>
    <xf numFmtId="0" fontId="19" fillId="4" borderId="0" xfId="6" applyFill="1"/>
    <xf numFmtId="166" fontId="0" fillId="4" borderId="0" xfId="7" applyNumberFormat="1" applyFont="1" applyFill="1"/>
    <xf numFmtId="0" fontId="34" fillId="3" borderId="0" xfId="0" applyFont="1" applyFill="1" applyAlignment="1"/>
    <xf numFmtId="166" fontId="34" fillId="3" borderId="0" xfId="1" applyNumberFormat="1" applyFont="1" applyFill="1" applyAlignment="1" applyProtection="1">
      <alignment horizontal="right"/>
    </xf>
    <xf numFmtId="10" fontId="34" fillId="3" borderId="0" xfId="5" applyNumberFormat="1" applyFont="1" applyFill="1" applyAlignment="1" applyProtection="1">
      <alignment horizontal="right"/>
    </xf>
    <xf numFmtId="166" fontId="34" fillId="3" borderId="6" xfId="1" applyNumberFormat="1" applyFont="1" applyFill="1" applyBorder="1" applyAlignment="1" applyProtection="1">
      <alignment horizontal="right"/>
    </xf>
    <xf numFmtId="10" fontId="34" fillId="3" borderId="6" xfId="5" applyNumberFormat="1" applyFont="1" applyFill="1" applyBorder="1" applyAlignment="1" applyProtection="1">
      <alignment horizontal="right"/>
    </xf>
    <xf numFmtId="0" fontId="37" fillId="3" borderId="0" xfId="4" applyNumberFormat="1" applyFont="1" applyFill="1" applyBorder="1" applyAlignment="1" applyProtection="1">
      <alignment horizontal="center" vertical="center" wrapText="1"/>
    </xf>
    <xf numFmtId="0" fontId="37" fillId="3" borderId="0" xfId="4" applyNumberFormat="1" applyFont="1" applyFill="1" applyBorder="1" applyAlignment="1" applyProtection="1">
      <alignment horizontal="left" vertical="center" wrapText="1"/>
    </xf>
    <xf numFmtId="166" fontId="37" fillId="3" borderId="0" xfId="7" applyNumberFormat="1" applyFont="1" applyFill="1" applyBorder="1" applyAlignment="1" applyProtection="1">
      <alignment horizontal="left" vertical="center" wrapText="1"/>
    </xf>
    <xf numFmtId="0" fontId="34" fillId="3" borderId="0" xfId="6" applyFont="1" applyFill="1" applyBorder="1" applyAlignment="1">
      <alignment horizontal="center"/>
    </xf>
    <xf numFmtId="49" fontId="32" fillId="3" borderId="1" xfId="4" applyNumberFormat="1" applyFont="1" applyFill="1" applyBorder="1" applyAlignment="1" applyProtection="1">
      <alignment horizontal="left" vertical="center" wrapText="1"/>
    </xf>
    <xf numFmtId="0" fontId="45" fillId="5" borderId="1" xfId="4" applyNumberFormat="1" applyFont="1" applyFill="1" applyBorder="1" applyAlignment="1" applyProtection="1">
      <alignment horizontal="center" vertical="center" wrapText="1"/>
    </xf>
    <xf numFmtId="166" fontId="45" fillId="5" borderId="1" xfId="1" applyNumberFormat="1" applyFont="1" applyFill="1" applyBorder="1" applyAlignment="1" applyProtection="1">
      <alignment horizontal="center" vertical="center" wrapText="1"/>
    </xf>
    <xf numFmtId="49" fontId="32" fillId="3" borderId="1" xfId="4" applyNumberFormat="1" applyFont="1" applyFill="1" applyBorder="1" applyAlignment="1" applyProtection="1">
      <alignment horizontal="center" vertical="center" wrapText="1"/>
    </xf>
    <xf numFmtId="49" fontId="32" fillId="6" borderId="1" xfId="4" applyNumberFormat="1" applyFont="1" applyFill="1" applyBorder="1" applyAlignment="1" applyProtection="1">
      <alignment horizontal="center" vertical="center" wrapText="1"/>
    </xf>
    <xf numFmtId="166" fontId="32" fillId="6" borderId="1" xfId="7" applyNumberFormat="1" applyFont="1" applyFill="1" applyBorder="1" applyAlignment="1" applyProtection="1">
      <alignment horizontal="left" vertical="center" wrapText="1"/>
    </xf>
    <xf numFmtId="10" fontId="32" fillId="3" borderId="1" xfId="6" applyNumberFormat="1" applyFont="1" applyFill="1" applyBorder="1" applyAlignment="1" applyProtection="1">
      <alignment horizontal="left" vertical="center" wrapText="1"/>
    </xf>
    <xf numFmtId="0" fontId="19" fillId="6" borderId="0" xfId="6" applyFill="1"/>
    <xf numFmtId="166" fontId="34" fillId="3" borderId="6" xfId="1" applyNumberFormat="1" applyFont="1" applyFill="1" applyBorder="1" applyProtection="1"/>
    <xf numFmtId="0" fontId="0" fillId="3" borderId="6" xfId="0" applyFill="1" applyBorder="1"/>
    <xf numFmtId="0" fontId="19" fillId="3" borderId="0" xfId="6" applyFill="1"/>
    <xf numFmtId="0" fontId="19" fillId="3" borderId="0" xfId="6" applyFill="1" applyBorder="1"/>
    <xf numFmtId="166" fontId="0" fillId="3" borderId="0" xfId="7" applyNumberFormat="1" applyFont="1" applyFill="1" applyBorder="1"/>
    <xf numFmtId="0" fontId="42" fillId="3" borderId="0" xfId="0" applyFont="1" applyFill="1" applyBorder="1"/>
    <xf numFmtId="0" fontId="34" fillId="3" borderId="0" xfId="0" applyFont="1" applyFill="1" applyBorder="1"/>
    <xf numFmtId="166" fontId="34" fillId="3" borderId="0" xfId="1" applyNumberFormat="1" applyFont="1" applyFill="1" applyBorder="1" applyProtection="1">
      <protection locked="0"/>
    </xf>
    <xf numFmtId="166" fontId="42" fillId="3" borderId="0" xfId="1" applyNumberFormat="1" applyFont="1" applyFill="1" applyBorder="1" applyProtection="1">
      <protection locked="0"/>
    </xf>
    <xf numFmtId="166" fontId="34" fillId="3" borderId="0" xfId="1" applyNumberFormat="1" applyFont="1" applyFill="1" applyBorder="1" applyProtection="1"/>
    <xf numFmtId="0" fontId="43" fillId="3" borderId="0" xfId="0" applyFont="1" applyFill="1" applyBorder="1"/>
    <xf numFmtId="166" fontId="43" fillId="3" borderId="0" xfId="1" applyNumberFormat="1" applyFont="1" applyFill="1" applyBorder="1" applyProtection="1">
      <protection locked="0"/>
    </xf>
    <xf numFmtId="166" fontId="32" fillId="3" borderId="0" xfId="7" applyNumberFormat="1" applyFont="1" applyFill="1" applyBorder="1"/>
    <xf numFmtId="0" fontId="34" fillId="3" borderId="0" xfId="6" applyFont="1" applyFill="1" applyBorder="1"/>
    <xf numFmtId="166" fontId="0" fillId="6" borderId="0" xfId="7" applyNumberFormat="1" applyFont="1" applyFill="1"/>
    <xf numFmtId="166" fontId="32" fillId="3" borderId="6" xfId="7" applyNumberFormat="1" applyFont="1" applyFill="1" applyBorder="1"/>
    <xf numFmtId="49" fontId="32" fillId="3" borderId="1" xfId="4" applyNumberFormat="1" applyFont="1" applyFill="1" applyBorder="1" applyAlignment="1" applyProtection="1">
      <alignment horizontal="left" wrapText="1"/>
    </xf>
    <xf numFmtId="0" fontId="32" fillId="3" borderId="1" xfId="4" applyFont="1" applyFill="1" applyBorder="1" applyAlignment="1" applyProtection="1">
      <alignment horizontal="left" wrapText="1"/>
    </xf>
    <xf numFmtId="0" fontId="39" fillId="3" borderId="1" xfId="4" applyFont="1" applyFill="1" applyBorder="1" applyAlignment="1" applyProtection="1">
      <alignment horizontal="left" wrapText="1"/>
    </xf>
    <xf numFmtId="166" fontId="32" fillId="3" borderId="1" xfId="1" applyNumberFormat="1" applyFont="1" applyFill="1" applyBorder="1" applyAlignment="1">
      <alignment horizontal="left" vertical="center" wrapText="1"/>
      <protection locked="0"/>
    </xf>
    <xf numFmtId="166" fontId="32" fillId="3" borderId="1" xfId="1" applyNumberFormat="1" applyFont="1" applyFill="1" applyBorder="1" applyAlignment="1">
      <alignment horizontal="center" vertical="center" wrapText="1"/>
      <protection locked="0"/>
    </xf>
    <xf numFmtId="49" fontId="30" fillId="6" borderId="1" xfId="4" applyNumberFormat="1" applyFont="1" applyFill="1" applyBorder="1" applyAlignment="1" applyProtection="1">
      <alignment horizontal="left" wrapText="1"/>
    </xf>
    <xf numFmtId="49" fontId="32" fillId="6" borderId="1" xfId="4" applyNumberFormat="1" applyFont="1" applyFill="1" applyBorder="1" applyAlignment="1" applyProtection="1">
      <alignment horizontal="left" vertical="center" wrapText="1"/>
    </xf>
    <xf numFmtId="0" fontId="42" fillId="6" borderId="1" xfId="0" applyFont="1" applyFill="1" applyBorder="1" applyAlignment="1">
      <alignment horizontal="center" vertical="center"/>
    </xf>
    <xf numFmtId="0" fontId="34" fillId="3" borderId="1" xfId="6" applyFont="1" applyFill="1" applyBorder="1" applyAlignment="1">
      <alignment horizontal="center" vertical="center"/>
    </xf>
    <xf numFmtId="0" fontId="42" fillId="6" borderId="1" xfId="6" applyFont="1" applyFill="1" applyBorder="1" applyAlignment="1">
      <alignment horizontal="center" vertical="center"/>
    </xf>
    <xf numFmtId="0" fontId="34" fillId="3" borderId="1" xfId="0" applyFont="1" applyFill="1" applyBorder="1" applyAlignment="1">
      <alignment horizontal="center" vertical="center"/>
    </xf>
    <xf numFmtId="0" fontId="19" fillId="3" borderId="0" xfId="6" applyFill="1" applyAlignment="1">
      <alignment horizontal="center"/>
    </xf>
    <xf numFmtId="0" fontId="19" fillId="3" borderId="0" xfId="6" applyFill="1" applyBorder="1" applyAlignment="1">
      <alignment horizontal="center"/>
    </xf>
    <xf numFmtId="0" fontId="32" fillId="3" borderId="0" xfId="0" applyFont="1" applyFill="1" applyBorder="1" applyAlignment="1">
      <alignment horizontal="left"/>
    </xf>
    <xf numFmtId="0" fontId="34" fillId="3" borderId="0" xfId="0" applyFont="1" applyFill="1" applyBorder="1" applyAlignment="1">
      <alignment horizontal="left"/>
    </xf>
    <xf numFmtId="9" fontId="32" fillId="6" borderId="0" xfId="8" applyFont="1" applyFill="1"/>
    <xf numFmtId="0" fontId="34" fillId="6" borderId="0" xfId="6" applyFont="1" applyFill="1"/>
    <xf numFmtId="0" fontId="38" fillId="3" borderId="1" xfId="6" applyNumberFormat="1" applyFont="1" applyFill="1" applyBorder="1" applyAlignment="1" applyProtection="1">
      <alignment horizontal="center" vertical="center" wrapText="1"/>
    </xf>
    <xf numFmtId="0" fontId="0" fillId="3" borderId="0" xfId="0" applyFill="1" applyAlignment="1">
      <alignment horizontal="left"/>
    </xf>
    <xf numFmtId="0" fontId="32" fillId="3" borderId="0" xfId="0" applyFont="1" applyFill="1" applyAlignment="1">
      <alignment horizontal="left"/>
    </xf>
    <xf numFmtId="49" fontId="45" fillId="5" borderId="1" xfId="0" applyNumberFormat="1" applyFont="1" applyFill="1" applyBorder="1" applyAlignment="1" applyProtection="1">
      <alignment horizontal="center" vertical="center" wrapText="1"/>
    </xf>
    <xf numFmtId="0" fontId="45" fillId="5" borderId="1" xfId="0" applyNumberFormat="1" applyFont="1" applyFill="1" applyBorder="1" applyAlignment="1" applyProtection="1">
      <alignment horizontal="center" vertical="center" wrapText="1"/>
    </xf>
    <xf numFmtId="0" fontId="34" fillId="3" borderId="0" xfId="6" applyFont="1" applyFill="1"/>
    <xf numFmtId="49" fontId="32" fillId="3" borderId="1" xfId="6" applyNumberFormat="1" applyFont="1" applyFill="1" applyBorder="1" applyAlignment="1" applyProtection="1">
      <alignment horizontal="center" vertical="center" wrapText="1"/>
    </xf>
    <xf numFmtId="0" fontId="32" fillId="3" borderId="1" xfId="0" applyNumberFormat="1" applyFont="1" applyFill="1" applyBorder="1" applyAlignment="1" applyProtection="1">
      <alignment horizontal="left" wrapText="1"/>
    </xf>
    <xf numFmtId="0" fontId="30" fillId="6" borderId="1" xfId="0" applyNumberFormat="1" applyFont="1" applyFill="1" applyBorder="1" applyAlignment="1" applyProtection="1">
      <alignment horizontal="left" wrapText="1"/>
    </xf>
    <xf numFmtId="49" fontId="32" fillId="6" borderId="1" xfId="6" applyNumberFormat="1" applyFont="1" applyFill="1" applyBorder="1" applyAlignment="1" applyProtection="1">
      <alignment horizontal="center" vertical="center" wrapText="1"/>
    </xf>
    <xf numFmtId="0" fontId="32" fillId="6" borderId="1" xfId="6" applyNumberFormat="1" applyFont="1" applyFill="1" applyBorder="1" applyAlignment="1" applyProtection="1">
      <alignment horizontal="left" vertical="center" wrapText="1"/>
    </xf>
    <xf numFmtId="49" fontId="32" fillId="3" borderId="1" xfId="6" applyNumberFormat="1" applyFont="1" applyFill="1" applyBorder="1" applyAlignment="1" applyProtection="1">
      <alignment horizontal="left" vertical="center" wrapText="1"/>
    </xf>
    <xf numFmtId="0" fontId="34" fillId="3" borderId="1" xfId="6" applyFont="1" applyFill="1" applyBorder="1"/>
    <xf numFmtId="0" fontId="34" fillId="3" borderId="1" xfId="6" applyFont="1" applyFill="1" applyBorder="1" applyAlignment="1">
      <alignment vertical="center" wrapText="1"/>
    </xf>
    <xf numFmtId="164" fontId="34" fillId="3" borderId="1" xfId="6" applyNumberFormat="1" applyFont="1" applyFill="1" applyBorder="1" applyAlignment="1">
      <alignment vertical="center" wrapText="1"/>
    </xf>
    <xf numFmtId="14" fontId="30" fillId="3" borderId="1" xfId="6" applyNumberFormat="1" applyFont="1" applyFill="1" applyBorder="1" applyAlignment="1" applyProtection="1">
      <alignment horizontal="left" vertical="center" wrapText="1"/>
    </xf>
    <xf numFmtId="10" fontId="30" fillId="3" borderId="1" xfId="6" applyNumberFormat="1" applyFont="1" applyFill="1" applyBorder="1" applyAlignment="1" applyProtection="1">
      <alignment horizontal="left" vertical="center" wrapText="1"/>
    </xf>
    <xf numFmtId="10" fontId="34" fillId="3" borderId="1" xfId="6" applyNumberFormat="1" applyFont="1" applyFill="1" applyBorder="1"/>
    <xf numFmtId="0" fontId="38" fillId="3" borderId="1" xfId="6" applyNumberFormat="1" applyFont="1" applyFill="1" applyBorder="1" applyAlignment="1" applyProtection="1">
      <alignment horizontal="right" vertical="center" wrapText="1"/>
    </xf>
    <xf numFmtId="0" fontId="34" fillId="3" borderId="0" xfId="6" applyFont="1" applyFill="1" applyAlignment="1">
      <alignment horizontal="center"/>
    </xf>
    <xf numFmtId="0" fontId="42" fillId="5" borderId="1" xfId="6" applyFont="1" applyFill="1" applyBorder="1" applyAlignment="1">
      <alignment horizontal="center" vertical="center" wrapText="1"/>
    </xf>
    <xf numFmtId="0" fontId="19" fillId="3" borderId="6" xfId="6" applyFill="1" applyBorder="1"/>
    <xf numFmtId="0" fontId="19" fillId="6" borderId="0" xfId="6" applyFill="1" applyAlignment="1">
      <alignment horizontal="center"/>
    </xf>
    <xf numFmtId="0" fontId="32" fillId="7" borderId="0" xfId="0" applyFont="1" applyFill="1"/>
    <xf numFmtId="0" fontId="22" fillId="2" borderId="0" xfId="0" applyFont="1" applyFill="1" applyAlignment="1">
      <alignment horizontal="left"/>
    </xf>
    <xf numFmtId="0" fontId="33" fillId="3" borderId="0" xfId="0" applyFont="1" applyFill="1" applyAlignment="1">
      <alignment vertical="center" wrapText="1"/>
    </xf>
    <xf numFmtId="166" fontId="0" fillId="6" borderId="0" xfId="1" applyNumberFormat="1" applyFont="1" applyFill="1">
      <protection locked="0"/>
    </xf>
    <xf numFmtId="166" fontId="30" fillId="6" borderId="0" xfId="1" applyNumberFormat="1" applyFont="1" applyFill="1" applyBorder="1" applyAlignment="1" applyProtection="1">
      <alignment horizontal="center" vertical="center" wrapText="1"/>
      <protection locked="0"/>
    </xf>
    <xf numFmtId="166" fontId="30" fillId="6" borderId="0" xfId="1" applyNumberFormat="1" applyFont="1" applyFill="1" applyBorder="1" applyAlignment="1" applyProtection="1">
      <alignment horizontal="left" wrapText="1"/>
      <protection locked="0"/>
    </xf>
    <xf numFmtId="0" fontId="33" fillId="3" borderId="0" xfId="0" applyFont="1" applyFill="1" applyAlignment="1">
      <alignment horizontal="left" vertical="top"/>
    </xf>
    <xf numFmtId="0" fontId="48" fillId="2" borderId="0" xfId="0" applyFont="1" applyFill="1" applyAlignment="1">
      <alignment horizontal="center" vertical="center"/>
    </xf>
    <xf numFmtId="0" fontId="22" fillId="2" borderId="0" xfId="0" applyFont="1" applyFill="1" applyAlignment="1">
      <alignment horizontal="center" vertical="center"/>
    </xf>
    <xf numFmtId="0" fontId="22" fillId="7" borderId="0" xfId="0" applyFont="1" applyFill="1"/>
    <xf numFmtId="164" fontId="37" fillId="6" borderId="1" xfId="2" applyNumberFormat="1" applyFont="1" applyFill="1" applyBorder="1" applyAlignment="1" applyProtection="1">
      <alignment horizontal="right" wrapText="1"/>
    </xf>
    <xf numFmtId="166" fontId="38" fillId="3" borderId="1" xfId="9" applyNumberFormat="1" applyFont="1" applyFill="1" applyBorder="1" applyAlignment="1" applyProtection="1">
      <alignment horizontal="left" wrapText="1"/>
      <protection locked="0"/>
    </xf>
    <xf numFmtId="164" fontId="32" fillId="3" borderId="1" xfId="6" applyNumberFormat="1" applyFont="1" applyFill="1" applyBorder="1" applyAlignment="1" applyProtection="1">
      <alignment horizontal="right" wrapText="1"/>
    </xf>
    <xf numFmtId="164" fontId="32" fillId="6" borderId="1" xfId="6" applyNumberFormat="1" applyFont="1" applyFill="1" applyBorder="1" applyAlignment="1" applyProtection="1">
      <alignment horizontal="right" wrapText="1"/>
    </xf>
    <xf numFmtId="164" fontId="30" fillId="6" borderId="1" xfId="6" applyNumberFormat="1" applyFont="1" applyFill="1" applyBorder="1" applyAlignment="1" applyProtection="1">
      <alignment horizontal="right" wrapText="1"/>
    </xf>
    <xf numFmtId="167" fontId="32" fillId="3" borderId="1" xfId="6" applyNumberFormat="1" applyFont="1" applyFill="1" applyBorder="1" applyAlignment="1" applyProtection="1">
      <alignment horizontal="right" wrapText="1"/>
    </xf>
    <xf numFmtId="10" fontId="32" fillId="3" borderId="1" xfId="7" applyNumberFormat="1" applyFont="1" applyFill="1" applyBorder="1" applyAlignment="1" applyProtection="1">
      <alignment horizontal="right" wrapText="1"/>
    </xf>
    <xf numFmtId="0" fontId="34" fillId="3" borderId="0" xfId="6" applyFont="1" applyFill="1" applyAlignment="1"/>
    <xf numFmtId="0" fontId="34" fillId="3" borderId="0" xfId="0" applyFont="1" applyFill="1" applyAlignment="1">
      <alignment horizontal="left" vertical="center" wrapText="1"/>
    </xf>
    <xf numFmtId="0" fontId="33" fillId="3" borderId="0" xfId="0" applyFont="1" applyFill="1" applyAlignment="1">
      <alignment horizontal="left" vertical="center" wrapText="1"/>
    </xf>
    <xf numFmtId="0" fontId="33" fillId="3" borderId="0" xfId="0" applyFont="1" applyFill="1" applyAlignment="1">
      <alignment horizontal="left" vertical="top" wrapText="1"/>
    </xf>
    <xf numFmtId="0" fontId="34" fillId="3" borderId="0" xfId="0" applyFont="1" applyFill="1" applyBorder="1" applyAlignment="1">
      <alignment horizontal="left" vertical="center" wrapText="1"/>
    </xf>
    <xf numFmtId="0" fontId="24" fillId="2" borderId="0" xfId="0" applyFont="1" applyFill="1"/>
    <xf numFmtId="0" fontId="22" fillId="3" borderId="4" xfId="0" applyFont="1" applyFill="1" applyBorder="1"/>
    <xf numFmtId="0" fontId="22" fillId="3" borderId="5" xfId="0" applyFont="1" applyFill="1" applyBorder="1"/>
    <xf numFmtId="0" fontId="31" fillId="3" borderId="0" xfId="0" applyFont="1" applyFill="1" applyAlignment="1">
      <alignment horizontal="left" vertical="center" wrapText="1"/>
    </xf>
    <xf numFmtId="0" fontId="32" fillId="3" borderId="0" xfId="0" applyFont="1" applyFill="1" applyAlignment="1">
      <alignment horizontal="left" vertical="center" wrapText="1"/>
    </xf>
    <xf numFmtId="0" fontId="31" fillId="3" borderId="0" xfId="0" applyFont="1" applyFill="1" applyAlignment="1">
      <alignment vertical="center" wrapText="1"/>
    </xf>
    <xf numFmtId="0" fontId="36" fillId="3" borderId="7" xfId="0" applyFont="1" applyFill="1" applyBorder="1" applyAlignment="1">
      <alignment vertical="center" wrapText="1"/>
    </xf>
    <xf numFmtId="0" fontId="23" fillId="3" borderId="8" xfId="0" applyFont="1" applyFill="1" applyBorder="1"/>
    <xf numFmtId="0" fontId="36" fillId="3" borderId="7" xfId="0" applyFont="1" applyFill="1" applyBorder="1" applyAlignment="1">
      <alignment vertical="center"/>
    </xf>
    <xf numFmtId="0" fontId="22" fillId="3" borderId="9" xfId="0" applyFont="1" applyFill="1" applyBorder="1"/>
    <xf numFmtId="0" fontId="22" fillId="3" borderId="8" xfId="0" applyFont="1" applyFill="1" applyBorder="1"/>
    <xf numFmtId="0" fontId="29" fillId="3" borderId="10" xfId="10" applyNumberFormat="1" applyFont="1" applyFill="1" applyBorder="1" applyAlignment="1">
      <alignment vertical="center"/>
    </xf>
    <xf numFmtId="0" fontId="23" fillId="3" borderId="11" xfId="0" applyFont="1" applyFill="1" applyBorder="1"/>
    <xf numFmtId="0" fontId="22" fillId="3" borderId="0" xfId="0" applyFont="1" applyFill="1" applyBorder="1"/>
    <xf numFmtId="0" fontId="22" fillId="3" borderId="11" xfId="0" applyFont="1" applyFill="1" applyBorder="1"/>
    <xf numFmtId="0" fontId="22" fillId="3" borderId="10" xfId="0" applyFont="1" applyFill="1" applyBorder="1"/>
    <xf numFmtId="0" fontId="30" fillId="3" borderId="10" xfId="10" applyNumberFormat="1" applyFont="1" applyFill="1" applyBorder="1" applyAlignment="1">
      <alignment vertical="center"/>
    </xf>
    <xf numFmtId="0" fontId="32" fillId="3" borderId="12" xfId="10" applyNumberFormat="1" applyFont="1" applyFill="1" applyBorder="1" applyAlignment="1">
      <alignment vertical="center"/>
    </xf>
    <xf numFmtId="0" fontId="23" fillId="3" borderId="13" xfId="0" applyFont="1" applyFill="1" applyBorder="1"/>
    <xf numFmtId="0" fontId="22" fillId="3" borderId="6" xfId="0" applyFont="1" applyFill="1" applyBorder="1"/>
    <xf numFmtId="0" fontId="22" fillId="3" borderId="13" xfId="0" applyFont="1" applyFill="1" applyBorder="1"/>
    <xf numFmtId="0" fontId="31" fillId="3" borderId="0" xfId="0" applyFont="1" applyFill="1" applyAlignment="1">
      <alignment vertical="top" wrapText="1"/>
    </xf>
    <xf numFmtId="0" fontId="32" fillId="3" borderId="0" xfId="0" applyFont="1" applyFill="1" applyAlignment="1">
      <alignment vertical="top" wrapText="1"/>
    </xf>
    <xf numFmtId="0" fontId="34" fillId="3" borderId="0" xfId="0" applyFont="1" applyFill="1" applyAlignment="1">
      <alignment vertical="top" wrapText="1"/>
    </xf>
    <xf numFmtId="0" fontId="33" fillId="3" borderId="0" xfId="0" applyFont="1" applyFill="1" applyAlignment="1">
      <alignment vertical="top" wrapText="1"/>
    </xf>
    <xf numFmtId="0" fontId="35" fillId="3" borderId="0" xfId="0" applyFont="1" applyFill="1" applyAlignment="1">
      <alignment vertical="top" wrapText="1"/>
    </xf>
    <xf numFmtId="0" fontId="32" fillId="3" borderId="0" xfId="0" applyFont="1" applyFill="1" applyAlignment="1">
      <alignment vertical="top"/>
    </xf>
    <xf numFmtId="0" fontId="34" fillId="3" borderId="0" xfId="0" applyFont="1" applyFill="1" applyBorder="1" applyAlignment="1">
      <alignment vertical="center" wrapText="1"/>
    </xf>
    <xf numFmtId="0" fontId="49" fillId="0" borderId="0" xfId="0" applyFont="1"/>
    <xf numFmtId="0" fontId="18" fillId="3" borderId="0" xfId="6" applyFont="1" applyFill="1"/>
    <xf numFmtId="166" fontId="30" fillId="6" borderId="1" xfId="1" applyNumberFormat="1" applyFont="1" applyFill="1" applyBorder="1" applyAlignment="1">
      <alignment horizontal="left" vertical="center" wrapText="1"/>
      <protection locked="0"/>
    </xf>
    <xf numFmtId="166" fontId="30" fillId="6" borderId="1" xfId="1" applyNumberFormat="1" applyFont="1" applyFill="1" applyBorder="1" applyAlignment="1">
      <alignment horizontal="center" vertical="center" wrapText="1"/>
      <protection locked="0"/>
    </xf>
    <xf numFmtId="0" fontId="50" fillId="3" borderId="0" xfId="0" applyFont="1" applyFill="1"/>
    <xf numFmtId="165" fontId="30" fillId="4" borderId="1" xfId="1" applyNumberFormat="1" applyFont="1" applyFill="1" applyBorder="1" applyAlignment="1" applyProtection="1">
      <alignment horizontal="right" wrapText="1"/>
      <protection locked="0"/>
    </xf>
    <xf numFmtId="0" fontId="52" fillId="3" borderId="0" xfId="6" applyFont="1" applyFill="1" applyAlignment="1">
      <alignment horizontal="center"/>
    </xf>
    <xf numFmtId="0" fontId="52" fillId="3" borderId="0" xfId="6" applyFont="1" applyFill="1"/>
    <xf numFmtId="0" fontId="52" fillId="3" borderId="0" xfId="6" applyFont="1" applyFill="1" applyBorder="1" applyAlignment="1">
      <alignment horizontal="center"/>
    </xf>
    <xf numFmtId="0" fontId="52" fillId="3" borderId="0" xfId="6" applyFont="1" applyFill="1" applyBorder="1"/>
    <xf numFmtId="166" fontId="0" fillId="3" borderId="0" xfId="7" applyNumberFormat="1" applyFont="1" applyFill="1"/>
    <xf numFmtId="0" fontId="32" fillId="0" borderId="1" xfId="2" applyNumberFormat="1" applyFont="1" applyFill="1" applyBorder="1" applyAlignment="1" applyProtection="1">
      <alignment horizontal="center" vertical="center" wrapText="1"/>
    </xf>
    <xf numFmtId="0" fontId="32" fillId="0" borderId="1" xfId="2" applyNumberFormat="1" applyFont="1" applyFill="1" applyBorder="1" applyAlignment="1" applyProtection="1">
      <alignment horizontal="left" wrapText="1"/>
    </xf>
    <xf numFmtId="0" fontId="32" fillId="0" borderId="1" xfId="2" applyNumberFormat="1" applyFont="1" applyFill="1" applyBorder="1" applyAlignment="1" applyProtection="1">
      <alignment horizontal="center" wrapText="1"/>
    </xf>
    <xf numFmtId="166" fontId="32" fillId="0" borderId="1" xfId="1" applyNumberFormat="1" applyFont="1" applyFill="1" applyBorder="1" applyAlignment="1" applyProtection="1">
      <alignment horizontal="left"/>
      <protection locked="0"/>
    </xf>
    <xf numFmtId="0" fontId="38" fillId="0" borderId="1" xfId="2" quotePrefix="1" applyNumberFormat="1" applyFont="1" applyFill="1" applyBorder="1" applyAlignment="1" applyProtection="1">
      <alignment horizontal="center" vertical="center" wrapText="1"/>
    </xf>
    <xf numFmtId="0" fontId="32" fillId="0" borderId="1" xfId="2" quotePrefix="1" applyNumberFormat="1" applyFont="1" applyFill="1" applyBorder="1" applyAlignment="1" applyProtection="1">
      <alignment horizontal="center" vertical="center" wrapText="1"/>
    </xf>
    <xf numFmtId="10" fontId="45" fillId="5" borderId="2" xfId="5" applyNumberFormat="1" applyFont="1" applyFill="1" applyBorder="1" applyAlignment="1" applyProtection="1">
      <alignment horizontal="center" vertical="center" wrapText="1"/>
    </xf>
    <xf numFmtId="9" fontId="32" fillId="6" borderId="2" xfId="4" applyNumberFormat="1" applyFont="1" applyFill="1" applyBorder="1" applyAlignment="1" applyProtection="1">
      <alignment horizontal="left" vertical="center" wrapText="1"/>
    </xf>
    <xf numFmtId="0" fontId="34" fillId="0" borderId="1" xfId="0" applyFont="1" applyFill="1" applyBorder="1" applyAlignment="1">
      <alignment horizontal="center" vertical="center"/>
    </xf>
    <xf numFmtId="49" fontId="32" fillId="0" borderId="1" xfId="4" applyNumberFormat="1" applyFont="1" applyFill="1" applyBorder="1" applyAlignment="1" applyProtection="1">
      <alignment horizontal="left" wrapText="1"/>
    </xf>
    <xf numFmtId="49" fontId="32" fillId="0" borderId="1" xfId="4" applyNumberFormat="1" applyFont="1" applyFill="1" applyBorder="1" applyAlignment="1" applyProtection="1">
      <alignment horizontal="center" vertical="center" wrapText="1"/>
    </xf>
    <xf numFmtId="164" fontId="32" fillId="0" borderId="1" xfId="6" applyNumberFormat="1" applyFont="1" applyFill="1" applyBorder="1" applyAlignment="1" applyProtection="1">
      <alignment horizontal="right" wrapText="1"/>
    </xf>
    <xf numFmtId="0" fontId="34" fillId="0" borderId="1" xfId="6" applyFont="1" applyFill="1" applyBorder="1" applyAlignment="1">
      <alignment horizontal="center" vertical="center"/>
    </xf>
    <xf numFmtId="49" fontId="32" fillId="0" borderId="1" xfId="4" applyNumberFormat="1" applyFont="1" applyFill="1" applyBorder="1" applyAlignment="1" applyProtection="1">
      <alignment horizontal="center" wrapText="1"/>
    </xf>
    <xf numFmtId="0" fontId="32" fillId="3" borderId="0" xfId="0" applyFont="1" applyFill="1" applyAlignment="1">
      <alignment horizontal="left" vertical="center" wrapText="1"/>
    </xf>
    <xf numFmtId="49" fontId="32" fillId="3" borderId="1" xfId="4" applyNumberFormat="1" applyFont="1" applyFill="1" applyBorder="1" applyAlignment="1" applyProtection="1">
      <alignment horizontal="center" wrapText="1"/>
    </xf>
    <xf numFmtId="0" fontId="32" fillId="0" borderId="1" xfId="2" applyNumberFormat="1" applyFont="1" applyFill="1" applyBorder="1" applyAlignment="1" applyProtection="1">
      <alignment horizontal="left" vertical="center" wrapText="1"/>
    </xf>
    <xf numFmtId="0" fontId="32" fillId="3" borderId="1" xfId="2" applyNumberFormat="1" applyFont="1" applyFill="1" applyBorder="1" applyAlignment="1" applyProtection="1">
      <alignment horizontal="left" vertical="center" wrapText="1"/>
    </xf>
    <xf numFmtId="0" fontId="30" fillId="6" borderId="1" xfId="2" applyNumberFormat="1" applyFont="1" applyFill="1" applyBorder="1" applyAlignment="1" applyProtection="1">
      <alignment horizontal="left" vertical="center" wrapText="1"/>
    </xf>
    <xf numFmtId="49" fontId="37" fillId="3" borderId="1" xfId="0" applyNumberFormat="1" applyFont="1" applyFill="1" applyBorder="1" applyAlignment="1" applyProtection="1">
      <alignment horizontal="left" vertical="center" wrapText="1"/>
    </xf>
    <xf numFmtId="0" fontId="0" fillId="0" borderId="0" xfId="0" applyFill="1"/>
    <xf numFmtId="166" fontId="0" fillId="0" borderId="0" xfId="1" applyNumberFormat="1" applyFont="1">
      <protection locked="0"/>
    </xf>
    <xf numFmtId="0" fontId="19" fillId="0" borderId="0" xfId="6" applyFill="1"/>
    <xf numFmtId="10" fontId="32" fillId="0" borderId="1" xfId="6" applyNumberFormat="1" applyFont="1" applyFill="1" applyBorder="1" applyAlignment="1" applyProtection="1">
      <alignment horizontal="right" wrapText="1"/>
    </xf>
    <xf numFmtId="10" fontId="32" fillId="6" borderId="1" xfId="6" applyNumberFormat="1" applyFont="1" applyFill="1" applyBorder="1" applyAlignment="1" applyProtection="1">
      <alignment horizontal="right" wrapText="1"/>
    </xf>
    <xf numFmtId="10" fontId="32" fillId="0" borderId="0" xfId="6" applyNumberFormat="1" applyFont="1" applyFill="1" applyBorder="1" applyAlignment="1" applyProtection="1">
      <alignment horizontal="right" wrapText="1"/>
    </xf>
    <xf numFmtId="49" fontId="32" fillId="0" borderId="1" xfId="4" applyNumberFormat="1" applyFont="1" applyFill="1" applyBorder="1" applyAlignment="1" applyProtection="1">
      <alignment horizontal="left" vertical="center" wrapText="1"/>
    </xf>
    <xf numFmtId="166" fontId="32" fillId="0" borderId="1" xfId="1" applyNumberFormat="1" applyFont="1" applyFill="1" applyBorder="1" applyAlignment="1">
      <alignment horizontal="left" vertical="center" wrapText="1"/>
      <protection locked="0"/>
    </xf>
    <xf numFmtId="0" fontId="19" fillId="7" borderId="0" xfId="6" applyFill="1"/>
    <xf numFmtId="164" fontId="32" fillId="3" borderId="0" xfId="0" applyNumberFormat="1" applyFont="1" applyFill="1"/>
    <xf numFmtId="166" fontId="32" fillId="3" borderId="0" xfId="1" applyNumberFormat="1" applyFont="1" applyFill="1">
      <protection locked="0"/>
    </xf>
    <xf numFmtId="0" fontId="0" fillId="0" borderId="1" xfId="0" quotePrefix="1" applyFill="1" applyBorder="1" applyAlignment="1">
      <alignment horizontal="center"/>
    </xf>
    <xf numFmtId="0" fontId="20" fillId="0" borderId="1" xfId="0" quotePrefix="1" applyFont="1" applyFill="1" applyBorder="1" applyAlignment="1">
      <alignment horizontal="center"/>
    </xf>
    <xf numFmtId="49" fontId="39" fillId="0" borderId="1" xfId="4" applyNumberFormat="1" applyFont="1" applyFill="1" applyBorder="1" applyAlignment="1" applyProtection="1">
      <alignment horizontal="left" wrapText="1"/>
    </xf>
    <xf numFmtId="166" fontId="32" fillId="0" borderId="1" xfId="1" applyNumberFormat="1" applyFont="1" applyFill="1" applyBorder="1" applyAlignment="1">
      <alignment horizontal="center" vertical="center" wrapText="1"/>
      <protection locked="0"/>
    </xf>
    <xf numFmtId="0" fontId="32" fillId="0" borderId="1" xfId="6" applyFont="1" applyFill="1" applyBorder="1" applyAlignment="1">
      <alignment horizontal="center" vertical="center"/>
    </xf>
    <xf numFmtId="167" fontId="32" fillId="0" borderId="1" xfId="6" applyNumberFormat="1" applyFont="1" applyFill="1" applyBorder="1" applyAlignment="1" applyProtection="1">
      <alignment horizontal="right" wrapText="1"/>
    </xf>
    <xf numFmtId="166" fontId="34" fillId="6" borderId="0" xfId="6" applyNumberFormat="1" applyFont="1" applyFill="1"/>
    <xf numFmtId="10" fontId="32" fillId="0" borderId="1" xfId="7" applyNumberFormat="1" applyFont="1" applyFill="1" applyBorder="1" applyAlignment="1" applyProtection="1">
      <alignment horizontal="right" wrapText="1"/>
    </xf>
    <xf numFmtId="0" fontId="29" fillId="3" borderId="0" xfId="0" applyFont="1" applyFill="1" applyAlignment="1">
      <alignment horizontal="center" vertical="center"/>
    </xf>
    <xf numFmtId="0" fontId="35" fillId="3" borderId="0" xfId="0" applyFont="1" applyFill="1" applyAlignment="1">
      <alignment vertical="top" wrapText="1"/>
    </xf>
    <xf numFmtId="0" fontId="38" fillId="3" borderId="1" xfId="2" quotePrefix="1" applyNumberFormat="1" applyFont="1" applyFill="1" applyBorder="1" applyAlignment="1" applyProtection="1">
      <alignment horizontal="center" vertical="center" wrapText="1"/>
    </xf>
    <xf numFmtId="0" fontId="53" fillId="6" borderId="0" xfId="6" applyFont="1" applyFill="1"/>
    <xf numFmtId="166" fontId="29" fillId="0" borderId="1" xfId="1" applyNumberFormat="1" applyFont="1" applyFill="1" applyBorder="1" applyAlignment="1">
      <alignment horizontal="left" vertical="center" wrapText="1"/>
      <protection locked="0"/>
    </xf>
    <xf numFmtId="0" fontId="43" fillId="0" borderId="1" xfId="6" applyFont="1" applyFill="1" applyBorder="1" applyAlignment="1">
      <alignment horizontal="center" vertical="center"/>
    </xf>
    <xf numFmtId="49" fontId="29" fillId="0" borderId="1" xfId="4" applyNumberFormat="1" applyFont="1" applyFill="1" applyBorder="1" applyAlignment="1" applyProtection="1">
      <alignment horizontal="left" wrapText="1"/>
    </xf>
    <xf numFmtId="166" fontId="29" fillId="0" borderId="1" xfId="1" applyNumberFormat="1" applyFont="1" applyFill="1" applyBorder="1" applyAlignment="1">
      <alignment horizontal="center" vertical="center" wrapText="1"/>
      <protection locked="0"/>
    </xf>
    <xf numFmtId="49" fontId="29" fillId="0" borderId="1" xfId="4" applyNumberFormat="1" applyFont="1" applyFill="1" applyBorder="1" applyAlignment="1" applyProtection="1">
      <alignment horizontal="left" vertical="center" wrapText="1"/>
    </xf>
    <xf numFmtId="0" fontId="0" fillId="4" borderId="0" xfId="0" applyFill="1"/>
    <xf numFmtId="10" fontId="0" fillId="0" borderId="0" xfId="5" applyNumberFormat="1" applyFont="1">
      <protection locked="0"/>
    </xf>
    <xf numFmtId="0" fontId="32" fillId="4" borderId="0" xfId="0" applyFont="1" applyFill="1"/>
    <xf numFmtId="166" fontId="37" fillId="2" borderId="1" xfId="1" applyNumberFormat="1" applyFont="1" applyFill="1" applyBorder="1" applyAlignment="1">
      <alignment horizontal="center" vertical="center" wrapText="1"/>
      <protection locked="0"/>
    </xf>
    <xf numFmtId="0" fontId="32" fillId="0" borderId="0" xfId="0" applyFont="1"/>
    <xf numFmtId="166" fontId="32" fillId="0" borderId="0" xfId="1" applyNumberFormat="1" applyFont="1">
      <protection locked="0"/>
    </xf>
    <xf numFmtId="10" fontId="32" fillId="0" borderId="0" xfId="5" applyNumberFormat="1" applyFont="1">
      <protection locked="0"/>
    </xf>
    <xf numFmtId="166" fontId="32" fillId="6" borderId="0" xfId="1" applyNumberFormat="1" applyFont="1" applyFill="1">
      <protection locked="0"/>
    </xf>
    <xf numFmtId="10" fontId="32" fillId="6" borderId="0" xfId="5" applyNumberFormat="1" applyFont="1" applyFill="1">
      <protection locked="0"/>
    </xf>
    <xf numFmtId="10" fontId="0" fillId="6" borderId="0" xfId="5" applyNumberFormat="1" applyFont="1" applyFill="1">
      <protection locked="0"/>
    </xf>
    <xf numFmtId="166" fontId="49" fillId="3" borderId="0" xfId="1" applyNumberFormat="1" applyFont="1" applyFill="1" applyProtection="1"/>
    <xf numFmtId="0" fontId="49" fillId="3" borderId="0" xfId="0" applyFont="1" applyFill="1"/>
    <xf numFmtId="0" fontId="34" fillId="0" borderId="0" xfId="0" applyFont="1"/>
    <xf numFmtId="49" fontId="42" fillId="3" borderId="5" xfId="0" applyNumberFormat="1" applyFont="1" applyFill="1" applyBorder="1" applyAlignment="1">
      <alignment horizontal="center" vertical="center" wrapText="1"/>
    </xf>
    <xf numFmtId="49" fontId="42" fillId="3" borderId="1" xfId="1" applyNumberFormat="1" applyFont="1" applyFill="1" applyBorder="1" applyAlignment="1" applyProtection="1">
      <alignment horizontal="center" vertical="center" wrapText="1"/>
    </xf>
    <xf numFmtId="49" fontId="42" fillId="3" borderId="5" xfId="1" applyNumberFormat="1" applyFont="1" applyFill="1" applyBorder="1" applyAlignment="1" applyProtection="1">
      <alignment horizontal="center" vertical="center" wrapText="1"/>
    </xf>
    <xf numFmtId="0" fontId="34" fillId="3" borderId="1" xfId="0" applyFont="1" applyFill="1" applyBorder="1" applyAlignment="1">
      <alignment horizontal="center" vertical="center" wrapText="1"/>
    </xf>
    <xf numFmtId="4" fontId="34" fillId="3" borderId="1" xfId="0" applyNumberFormat="1" applyFont="1" applyFill="1" applyBorder="1" applyAlignment="1">
      <alignment horizontal="justify" vertical="center" wrapText="1"/>
    </xf>
    <xf numFmtId="0" fontId="34" fillId="3" borderId="1" xfId="0" applyFont="1" applyFill="1" applyBorder="1" applyAlignment="1">
      <alignment horizontal="justify" vertical="center" wrapText="1"/>
    </xf>
    <xf numFmtId="166" fontId="34" fillId="3" borderId="1" xfId="1" applyNumberFormat="1" applyFont="1" applyFill="1" applyBorder="1" applyAlignment="1" applyProtection="1">
      <alignment horizontal="right" wrapText="1"/>
    </xf>
    <xf numFmtId="10" fontId="34" fillId="3" borderId="1" xfId="5" applyNumberFormat="1" applyFont="1" applyFill="1" applyBorder="1" applyAlignment="1">
      <alignment horizontal="right" wrapText="1"/>
      <protection locked="0"/>
    </xf>
    <xf numFmtId="0" fontId="51" fillId="0" borderId="0" xfId="0" applyFont="1"/>
    <xf numFmtId="0" fontId="42" fillId="6" borderId="1" xfId="0" applyFont="1" applyFill="1" applyBorder="1" applyAlignment="1">
      <alignment horizontal="justify" vertical="center" wrapText="1"/>
    </xf>
    <xf numFmtId="166" fontId="42" fillId="6" borderId="1" xfId="1" applyNumberFormat="1" applyFont="1" applyFill="1" applyBorder="1" applyAlignment="1" applyProtection="1">
      <alignment horizontal="right" wrapText="1"/>
    </xf>
    <xf numFmtId="9" fontId="42" fillId="6" borderId="1" xfId="5" applyFont="1" applyFill="1" applyBorder="1" applyAlignment="1">
      <alignment horizontal="right" wrapText="1"/>
      <protection locked="0"/>
    </xf>
    <xf numFmtId="3" fontId="51" fillId="0" borderId="0" xfId="0" applyNumberFormat="1" applyFont="1"/>
    <xf numFmtId="166" fontId="51" fillId="0" borderId="0" xfId="0" applyNumberFormat="1" applyFont="1"/>
    <xf numFmtId="166" fontId="34" fillId="3" borderId="0" xfId="1" applyNumberFormat="1" applyFont="1" applyFill="1" applyProtection="1"/>
    <xf numFmtId="0" fontId="34" fillId="3" borderId="0" xfId="20" applyFont="1" applyFill="1"/>
    <xf numFmtId="0" fontId="11" fillId="3" borderId="0" xfId="20" applyFill="1"/>
    <xf numFmtId="0" fontId="11" fillId="3" borderId="6" xfId="20" applyFill="1" applyBorder="1"/>
    <xf numFmtId="166" fontId="49" fillId="0" borderId="0" xfId="1" applyNumberFormat="1" applyFont="1" applyProtection="1"/>
    <xf numFmtId="166" fontId="42" fillId="5" borderId="1" xfId="1" applyNumberFormat="1" applyFont="1" applyFill="1" applyBorder="1" applyAlignment="1" applyProtection="1">
      <alignment horizontal="center" vertical="center" wrapText="1"/>
    </xf>
    <xf numFmtId="166" fontId="49" fillId="0" borderId="0" xfId="1" applyNumberFormat="1" applyFont="1">
      <protection locked="0"/>
    </xf>
    <xf numFmtId="166" fontId="34" fillId="0" borderId="0" xfId="1" applyNumberFormat="1" applyFont="1">
      <protection locked="0"/>
    </xf>
    <xf numFmtId="166" fontId="34" fillId="0" borderId="0" xfId="0" applyNumberFormat="1" applyFont="1"/>
    <xf numFmtId="164" fontId="32" fillId="0" borderId="0" xfId="0" applyNumberFormat="1" applyFont="1" applyFill="1"/>
    <xf numFmtId="0" fontId="32" fillId="0" borderId="0" xfId="0" applyFont="1" applyFill="1"/>
    <xf numFmtId="0" fontId="55" fillId="6" borderId="0" xfId="0" applyFont="1" applyFill="1"/>
    <xf numFmtId="0" fontId="32" fillId="0" borderId="1" xfId="0" applyNumberFormat="1" applyFont="1" applyFill="1" applyBorder="1" applyAlignment="1" applyProtection="1">
      <alignment horizontal="left" wrapText="1"/>
    </xf>
    <xf numFmtId="49" fontId="32" fillId="0" borderId="1" xfId="6" applyNumberFormat="1" applyFont="1" applyFill="1" applyBorder="1" applyAlignment="1" applyProtection="1">
      <alignment horizontal="center" vertical="center" wrapText="1"/>
    </xf>
    <xf numFmtId="166" fontId="32" fillId="0" borderId="1" xfId="1" quotePrefix="1" applyNumberFormat="1" applyFont="1" applyFill="1" applyBorder="1" applyAlignment="1" applyProtection="1">
      <alignment horizontal="center"/>
      <protection locked="0"/>
    </xf>
    <xf numFmtId="166" fontId="32" fillId="0" borderId="1" xfId="1" applyNumberFormat="1" applyFont="1" applyFill="1" applyBorder="1" applyAlignment="1">
      <alignment horizontal="right" wrapText="1"/>
      <protection locked="0"/>
    </xf>
    <xf numFmtId="165" fontId="32" fillId="0" borderId="1" xfId="1" applyFont="1" applyFill="1" applyBorder="1" applyAlignment="1">
      <alignment horizontal="right" wrapText="1"/>
      <protection locked="0"/>
    </xf>
    <xf numFmtId="49" fontId="42" fillId="5" borderId="1" xfId="0" applyNumberFormat="1" applyFont="1" applyFill="1" applyBorder="1" applyAlignment="1" applyProtection="1">
      <alignment horizontal="center" vertical="center" wrapText="1"/>
    </xf>
    <xf numFmtId="10" fontId="42" fillId="5" borderId="1" xfId="5" applyNumberFormat="1" applyFont="1" applyFill="1" applyBorder="1" applyAlignment="1" applyProtection="1">
      <alignment horizontal="center" vertical="center" wrapText="1"/>
    </xf>
    <xf numFmtId="0" fontId="42" fillId="6" borderId="1" xfId="2" applyNumberFormat="1" applyFont="1" applyFill="1" applyBorder="1" applyAlignment="1" applyProtection="1">
      <alignment horizontal="center" vertical="center" wrapText="1"/>
    </xf>
    <xf numFmtId="0" fontId="42" fillId="6" borderId="1" xfId="2" applyNumberFormat="1" applyFont="1" applyFill="1" applyBorder="1" applyAlignment="1" applyProtection="1">
      <alignment horizontal="left" vertical="center" wrapText="1"/>
    </xf>
    <xf numFmtId="166" fontId="34" fillId="6" borderId="1" xfId="7" applyNumberFormat="1" applyFont="1" applyFill="1" applyBorder="1" applyAlignment="1">
      <alignment vertical="center"/>
    </xf>
    <xf numFmtId="165" fontId="34" fillId="6" borderId="1" xfId="7" applyNumberFormat="1" applyFont="1" applyFill="1" applyBorder="1" applyAlignment="1">
      <alignment vertical="center"/>
    </xf>
    <xf numFmtId="0" fontId="34" fillId="0" borderId="1" xfId="2" applyNumberFormat="1" applyFont="1" applyFill="1" applyBorder="1" applyAlignment="1" applyProtection="1">
      <alignment horizontal="center" vertical="center" wrapText="1"/>
    </xf>
    <xf numFmtId="166" fontId="34" fillId="3" borderId="1" xfId="7" applyNumberFormat="1" applyFont="1" applyFill="1" applyBorder="1" applyAlignment="1">
      <alignment vertical="center"/>
    </xf>
    <xf numFmtId="10" fontId="34" fillId="0" borderId="1" xfId="5" applyNumberFormat="1" applyFont="1" applyFill="1" applyBorder="1" applyAlignment="1">
      <alignment horizontal="right" vertical="center"/>
      <protection locked="0"/>
    </xf>
    <xf numFmtId="0" fontId="34" fillId="8" borderId="1" xfId="2" applyNumberFormat="1" applyFont="1" applyFill="1" applyBorder="1" applyAlignment="1" applyProtection="1">
      <alignment horizontal="center" vertical="center" wrapText="1"/>
    </xf>
    <xf numFmtId="0" fontId="34" fillId="8" borderId="1" xfId="2" applyNumberFormat="1" applyFont="1" applyFill="1" applyBorder="1" applyAlignment="1" applyProtection="1">
      <alignment horizontal="left" vertical="center" wrapText="1"/>
    </xf>
    <xf numFmtId="166" fontId="34" fillId="8" borderId="1" xfId="7" applyNumberFormat="1" applyFont="1" applyFill="1" applyBorder="1" applyAlignment="1">
      <alignment vertical="center"/>
    </xf>
    <xf numFmtId="9" fontId="34" fillId="6" borderId="1" xfId="8" applyFont="1" applyFill="1" applyBorder="1" applyAlignment="1">
      <alignment vertical="center"/>
    </xf>
    <xf numFmtId="10" fontId="34" fillId="8" borderId="1" xfId="5" applyNumberFormat="1" applyFont="1" applyFill="1" applyBorder="1" applyAlignment="1">
      <alignment horizontal="right" vertical="center"/>
      <protection locked="0"/>
    </xf>
    <xf numFmtId="0" fontId="34" fillId="10" borderId="1" xfId="2" applyNumberFormat="1" applyFont="1" applyFill="1" applyBorder="1" applyAlignment="1" applyProtection="1">
      <alignment horizontal="center" vertical="center" wrapText="1"/>
    </xf>
    <xf numFmtId="0" fontId="34" fillId="10" borderId="1" xfId="2" applyNumberFormat="1" applyFont="1" applyFill="1" applyBorder="1" applyAlignment="1" applyProtection="1">
      <alignment horizontal="left" vertical="center" wrapText="1"/>
    </xf>
    <xf numFmtId="166" fontId="34" fillId="10" borderId="1" xfId="7" applyNumberFormat="1" applyFont="1" applyFill="1" applyBorder="1" applyAlignment="1">
      <alignment vertical="center"/>
    </xf>
    <xf numFmtId="10" fontId="34" fillId="10" borderId="1" xfId="5" applyNumberFormat="1" applyFont="1" applyFill="1" applyBorder="1" applyAlignment="1">
      <alignment vertical="center"/>
      <protection locked="0"/>
    </xf>
    <xf numFmtId="9" fontId="34" fillId="6" borderId="1" xfId="8" applyFont="1" applyFill="1" applyBorder="1" applyAlignment="1">
      <alignment horizontal="right" vertical="center"/>
    </xf>
    <xf numFmtId="0" fontId="34" fillId="8" borderId="1" xfId="6" applyNumberFormat="1" applyFont="1" applyFill="1" applyBorder="1" applyAlignment="1" applyProtection="1">
      <alignment horizontal="center" vertical="center" wrapText="1"/>
    </xf>
    <xf numFmtId="166" fontId="42" fillId="6" borderId="1" xfId="7" applyNumberFormat="1" applyFont="1" applyFill="1" applyBorder="1" applyAlignment="1">
      <alignment vertical="center"/>
    </xf>
    <xf numFmtId="10" fontId="42" fillId="6" borderId="1" xfId="8" applyNumberFormat="1" applyFont="1" applyFill="1" applyBorder="1" applyAlignment="1">
      <alignment horizontal="right" vertical="center"/>
    </xf>
    <xf numFmtId="9" fontId="42" fillId="6" borderId="1" xfId="8" applyFont="1" applyFill="1" applyBorder="1" applyAlignment="1">
      <alignment vertical="center"/>
    </xf>
    <xf numFmtId="0" fontId="34" fillId="0" borderId="1" xfId="2" applyNumberFormat="1" applyFont="1" applyFill="1" applyBorder="1" applyAlignment="1" applyProtection="1">
      <alignment horizontal="left" vertical="center" wrapText="1"/>
    </xf>
    <xf numFmtId="0" fontId="42" fillId="9" borderId="1" xfId="2" applyNumberFormat="1" applyFont="1" applyFill="1" applyBorder="1" applyAlignment="1" applyProtection="1">
      <alignment horizontal="center" vertical="center" wrapText="1"/>
    </xf>
    <xf numFmtId="0" fontId="42" fillId="9" borderId="1" xfId="2" applyNumberFormat="1" applyFont="1" applyFill="1" applyBorder="1" applyAlignment="1" applyProtection="1">
      <alignment horizontal="left" vertical="center" wrapText="1"/>
    </xf>
    <xf numFmtId="166" fontId="34" fillId="9" borderId="1" xfId="7" applyNumberFormat="1" applyFont="1" applyFill="1" applyBorder="1" applyAlignment="1">
      <alignment vertical="center"/>
    </xf>
    <xf numFmtId="9" fontId="34" fillId="9" borderId="1" xfId="8" applyFont="1" applyFill="1" applyBorder="1" applyAlignment="1">
      <alignment vertical="center"/>
    </xf>
    <xf numFmtId="166" fontId="34" fillId="0" borderId="1" xfId="7" applyNumberFormat="1" applyFont="1" applyFill="1" applyBorder="1" applyAlignment="1">
      <alignment vertical="center"/>
    </xf>
    <xf numFmtId="0" fontId="31" fillId="3" borderId="0" xfId="0" applyFont="1" applyFill="1" applyAlignment="1">
      <alignment vertical="top"/>
    </xf>
    <xf numFmtId="0" fontId="34" fillId="3" borderId="0" xfId="0" applyFont="1" applyFill="1" applyAlignment="1">
      <alignment vertical="top"/>
    </xf>
    <xf numFmtId="0" fontId="33" fillId="3" borderId="0" xfId="0" applyFont="1" applyFill="1" applyAlignment="1">
      <alignment vertical="top"/>
    </xf>
    <xf numFmtId="0" fontId="35" fillId="3" borderId="0" xfId="0" applyFont="1" applyFill="1" applyAlignment="1">
      <alignment vertical="top"/>
    </xf>
    <xf numFmtId="0" fontId="30" fillId="4" borderId="1" xfId="2" applyNumberFormat="1" applyFont="1" applyFill="1" applyBorder="1" applyAlignment="1" applyProtection="1">
      <alignment horizontal="center" wrapText="1"/>
    </xf>
    <xf numFmtId="0" fontId="37" fillId="4" borderId="1" xfId="2" applyNumberFormat="1" applyFont="1" applyFill="1" applyBorder="1" applyAlignment="1" applyProtection="1">
      <alignment horizontal="center" wrapText="1"/>
    </xf>
    <xf numFmtId="49" fontId="38" fillId="6" borderId="1" xfId="2" applyNumberFormat="1" applyFont="1" applyFill="1" applyBorder="1" applyAlignment="1" applyProtection="1">
      <alignment horizontal="center" vertical="center" wrapText="1"/>
    </xf>
    <xf numFmtId="49" fontId="38" fillId="0" borderId="1" xfId="2" quotePrefix="1" applyNumberFormat="1" applyFont="1" applyFill="1" applyBorder="1" applyAlignment="1" applyProtection="1">
      <alignment horizontal="center" vertical="center" wrapText="1"/>
    </xf>
    <xf numFmtId="49" fontId="32" fillId="0" borderId="1" xfId="2" quotePrefix="1" applyNumberFormat="1" applyFont="1" applyFill="1" applyBorder="1" applyAlignment="1" applyProtection="1">
      <alignment horizontal="center" vertical="center" wrapText="1"/>
    </xf>
    <xf numFmtId="49" fontId="38" fillId="3" borderId="1" xfId="2" applyNumberFormat="1" applyFont="1" applyFill="1" applyBorder="1" applyAlignment="1" applyProtection="1">
      <alignment horizontal="center" vertical="center" wrapText="1"/>
    </xf>
    <xf numFmtId="49" fontId="32" fillId="0" borderId="1" xfId="2" applyNumberFormat="1" applyFont="1" applyFill="1" applyBorder="1" applyAlignment="1" applyProtection="1">
      <alignment horizontal="center" vertical="center" wrapText="1"/>
    </xf>
    <xf numFmtId="49" fontId="38" fillId="0" borderId="1" xfId="2" applyNumberFormat="1" applyFont="1" applyFill="1" applyBorder="1" applyAlignment="1" applyProtection="1">
      <alignment horizontal="center" vertical="center" wrapText="1"/>
    </xf>
    <xf numFmtId="49" fontId="32" fillId="0" borderId="1" xfId="2" applyNumberFormat="1" applyFont="1" applyFill="1" applyBorder="1" applyAlignment="1" applyProtection="1">
      <alignment horizontal="center" wrapText="1"/>
    </xf>
    <xf numFmtId="49" fontId="32" fillId="3" borderId="1" xfId="2" quotePrefix="1" applyNumberFormat="1" applyFont="1" applyFill="1" applyBorder="1" applyAlignment="1" applyProtection="1">
      <alignment horizontal="center" vertical="center" wrapText="1"/>
    </xf>
    <xf numFmtId="49" fontId="30" fillId="6" borderId="1" xfId="2" applyNumberFormat="1" applyFont="1" applyFill="1" applyBorder="1" applyAlignment="1" applyProtection="1">
      <alignment horizontal="center" vertical="center" wrapText="1"/>
    </xf>
    <xf numFmtId="49" fontId="32" fillId="3" borderId="1" xfId="2" applyNumberFormat="1" applyFont="1" applyFill="1" applyBorder="1" applyAlignment="1" applyProtection="1">
      <alignment horizontal="center" vertical="center" wrapText="1"/>
    </xf>
    <xf numFmtId="0" fontId="38" fillId="0" borderId="1" xfId="2" quotePrefix="1" applyNumberFormat="1" applyFont="1" applyFill="1" applyBorder="1" applyAlignment="1" applyProtection="1">
      <alignment horizontal="center" wrapText="1"/>
    </xf>
    <xf numFmtId="0" fontId="29" fillId="3" borderId="0" xfId="0" applyFont="1" applyFill="1" applyAlignment="1">
      <alignment horizontal="center" vertical="center"/>
    </xf>
    <xf numFmtId="166" fontId="37" fillId="3" borderId="1" xfId="0" applyNumberFormat="1" applyFont="1" applyFill="1" applyBorder="1" applyAlignment="1" applyProtection="1">
      <alignment horizontal="center" vertical="center" wrapText="1"/>
    </xf>
    <xf numFmtId="165" fontId="30" fillId="4" borderId="1" xfId="1" applyFont="1" applyFill="1" applyBorder="1" applyAlignment="1" applyProtection="1">
      <alignment horizontal="right" wrapText="1"/>
      <protection locked="0"/>
    </xf>
    <xf numFmtId="0" fontId="39" fillId="3" borderId="1" xfId="2" applyFont="1" applyFill="1" applyBorder="1" applyAlignment="1" applyProtection="1">
      <alignment horizontal="left" wrapText="1"/>
    </xf>
    <xf numFmtId="0" fontId="45" fillId="5" borderId="1" xfId="0" applyFont="1" applyFill="1" applyBorder="1" applyAlignment="1" applyProtection="1">
      <alignment horizontal="center" vertical="center" wrapText="1"/>
    </xf>
    <xf numFmtId="0" fontId="32" fillId="6" borderId="1" xfId="6" applyFont="1" applyFill="1" applyBorder="1" applyAlignment="1" applyProtection="1">
      <alignment horizontal="left" vertical="center" wrapText="1"/>
    </xf>
    <xf numFmtId="0" fontId="53" fillId="7" borderId="0" xfId="6" applyFont="1" applyFill="1"/>
    <xf numFmtId="165" fontId="32" fillId="6" borderId="0" xfId="1" applyFont="1" applyFill="1">
      <protection locked="0"/>
    </xf>
    <xf numFmtId="10" fontId="34" fillId="6" borderId="0" xfId="5" applyNumberFormat="1" applyFont="1" applyFill="1">
      <protection locked="0"/>
    </xf>
    <xf numFmtId="10" fontId="32" fillId="3" borderId="2" xfId="5" applyNumberFormat="1" applyFont="1" applyFill="1" applyBorder="1" applyAlignment="1">
      <alignment horizontal="right" wrapText="1"/>
      <protection locked="0"/>
    </xf>
    <xf numFmtId="0" fontId="32" fillId="3" borderId="0" xfId="0" applyFont="1" applyFill="1" applyAlignment="1">
      <alignment horizontal="left" vertical="center" wrapText="1"/>
    </xf>
    <xf numFmtId="166" fontId="42" fillId="3" borderId="0" xfId="1" applyNumberFormat="1" applyFont="1" applyFill="1" applyAlignment="1" applyProtection="1">
      <alignment horizontal="center"/>
      <protection locked="0"/>
    </xf>
    <xf numFmtId="0" fontId="33" fillId="3" borderId="0" xfId="0" applyFont="1" applyFill="1" applyBorder="1" applyAlignment="1">
      <alignment horizontal="center" vertical="center"/>
    </xf>
    <xf numFmtId="0" fontId="30" fillId="0" borderId="0" xfId="0" applyFont="1" applyAlignment="1">
      <alignment horizontal="center"/>
    </xf>
    <xf numFmtId="0" fontId="32" fillId="3" borderId="0" xfId="10" applyFont="1" applyFill="1" applyAlignment="1">
      <alignment horizontal="center" vertical="center"/>
    </xf>
    <xf numFmtId="0" fontId="30" fillId="3" borderId="0" xfId="0" applyFont="1" applyFill="1" applyAlignment="1"/>
    <xf numFmtId="49" fontId="37" fillId="0" borderId="1" xfId="0" applyNumberFormat="1" applyFont="1" applyFill="1" applyBorder="1" applyAlignment="1" applyProtection="1">
      <alignment horizontal="center" wrapText="1"/>
    </xf>
    <xf numFmtId="49" fontId="37" fillId="0" borderId="1" xfId="0" applyNumberFormat="1" applyFont="1" applyFill="1" applyBorder="1" applyAlignment="1" applyProtection="1">
      <alignment horizontal="left" wrapText="1"/>
    </xf>
    <xf numFmtId="49" fontId="37" fillId="0" borderId="1" xfId="0" applyNumberFormat="1" applyFont="1" applyFill="1" applyBorder="1" applyAlignment="1" applyProtection="1">
      <alignment horizontal="center" vertical="center" wrapText="1"/>
    </xf>
    <xf numFmtId="49" fontId="37" fillId="0" borderId="1" xfId="0" applyNumberFormat="1" applyFont="1" applyFill="1" applyBorder="1" applyAlignment="1" applyProtection="1">
      <alignment wrapText="1"/>
    </xf>
    <xf numFmtId="49" fontId="37" fillId="0" borderId="0" xfId="0" applyNumberFormat="1" applyFont="1" applyFill="1" applyBorder="1" applyAlignment="1" applyProtection="1">
      <alignment horizontal="center" wrapText="1"/>
    </xf>
    <xf numFmtId="49" fontId="37" fillId="0" borderId="0" xfId="0" applyNumberFormat="1" applyFont="1" applyFill="1" applyBorder="1" applyAlignment="1" applyProtection="1">
      <alignment horizontal="left" wrapText="1"/>
    </xf>
    <xf numFmtId="49" fontId="37" fillId="0" borderId="0" xfId="0" applyNumberFormat="1" applyFont="1" applyFill="1" applyBorder="1" applyAlignment="1" applyProtection="1">
      <alignment horizontal="center" vertical="center" wrapText="1"/>
    </xf>
    <xf numFmtId="49" fontId="37" fillId="0" borderId="0" xfId="0" applyNumberFormat="1" applyFont="1" applyFill="1" applyBorder="1" applyAlignment="1" applyProtection="1">
      <alignment wrapText="1"/>
    </xf>
    <xf numFmtId="0" fontId="20" fillId="3" borderId="0" xfId="0" applyFont="1" applyFill="1" applyBorder="1" applyAlignment="1"/>
    <xf numFmtId="0" fontId="42" fillId="3" borderId="0" xfId="0" applyFont="1" applyFill="1" applyAlignment="1">
      <alignment horizontal="center"/>
    </xf>
    <xf numFmtId="0" fontId="42" fillId="3" borderId="0" xfId="0" applyFont="1" applyFill="1" applyAlignment="1"/>
    <xf numFmtId="0" fontId="4" fillId="6" borderId="0" xfId="6" applyFont="1" applyFill="1"/>
    <xf numFmtId="0" fontId="32" fillId="3" borderId="0" xfId="0" applyFont="1" applyFill="1" applyAlignment="1">
      <alignment horizontal="left" vertical="center" wrapText="1"/>
    </xf>
    <xf numFmtId="0" fontId="32" fillId="0" borderId="1" xfId="44" applyFont="1" applyFill="1" applyBorder="1" applyAlignment="1" applyProtection="1">
      <alignment horizontal="left" vertical="center"/>
      <protection locked="0"/>
    </xf>
    <xf numFmtId="49" fontId="34" fillId="3" borderId="1" xfId="6" applyNumberFormat="1" applyFont="1" applyFill="1" applyBorder="1" applyAlignment="1" applyProtection="1">
      <alignment horizontal="center" vertical="center" wrapText="1"/>
    </xf>
    <xf numFmtId="166" fontId="32" fillId="0" borderId="1" xfId="45" applyNumberFormat="1" applyFont="1" applyFill="1" applyBorder="1" applyAlignment="1" applyProtection="1">
      <alignment vertical="center"/>
    </xf>
    <xf numFmtId="10" fontId="34" fillId="3" borderId="1" xfId="5" applyNumberFormat="1" applyFont="1" applyFill="1" applyBorder="1" applyAlignment="1">
      <alignment horizontal="right" vertical="center"/>
      <protection locked="0"/>
    </xf>
    <xf numFmtId="49" fontId="34" fillId="8" borderId="1" xfId="2" applyNumberFormat="1" applyFont="1" applyFill="1" applyBorder="1" applyAlignment="1" applyProtection="1">
      <alignment horizontal="center" vertical="center" wrapText="1"/>
    </xf>
    <xf numFmtId="0" fontId="34" fillId="6" borderId="1" xfId="2" applyNumberFormat="1" applyFont="1" applyFill="1" applyBorder="1" applyAlignment="1" applyProtection="1">
      <alignment horizontal="center" vertical="center" wrapText="1"/>
    </xf>
    <xf numFmtId="0" fontId="34" fillId="9" borderId="1" xfId="6" applyNumberFormat="1" applyFont="1" applyFill="1" applyBorder="1" applyAlignment="1" applyProtection="1">
      <alignment horizontal="center" vertical="center" wrapText="1"/>
    </xf>
    <xf numFmtId="0" fontId="42" fillId="6" borderId="1" xfId="6" applyNumberFormat="1" applyFont="1" applyFill="1" applyBorder="1" applyAlignment="1" applyProtection="1">
      <alignment horizontal="center" vertical="center" wrapText="1"/>
    </xf>
    <xf numFmtId="10" fontId="34" fillId="8" borderId="1" xfId="5" applyNumberFormat="1" applyFont="1" applyFill="1" applyBorder="1" applyAlignment="1">
      <alignment vertical="center"/>
      <protection locked="0"/>
    </xf>
    <xf numFmtId="0" fontId="32" fillId="0" borderId="1" xfId="6" applyNumberFormat="1" applyFont="1" applyFill="1" applyBorder="1" applyAlignment="1" applyProtection="1">
      <alignment horizontal="center" vertical="center" wrapText="1"/>
    </xf>
    <xf numFmtId="166" fontId="37" fillId="3" borderId="0" xfId="4" applyNumberFormat="1" applyFont="1" applyFill="1" applyBorder="1" applyAlignment="1" applyProtection="1">
      <alignment horizontal="left" vertical="center" wrapText="1"/>
    </xf>
    <xf numFmtId="10" fontId="42" fillId="6" borderId="1" xfId="5" applyNumberFormat="1" applyFont="1" applyFill="1" applyBorder="1" applyAlignment="1">
      <alignment vertical="center"/>
      <protection locked="0"/>
    </xf>
    <xf numFmtId="0" fontId="32" fillId="3" borderId="0" xfId="0" applyFont="1" applyFill="1" applyAlignment="1">
      <alignment horizontal="left" vertical="top" wrapText="1"/>
    </xf>
    <xf numFmtId="0" fontId="32" fillId="3" borderId="0" xfId="0" applyFont="1" applyFill="1" applyBorder="1" applyAlignment="1">
      <alignment horizontal="left" vertical="center"/>
    </xf>
    <xf numFmtId="49" fontId="45" fillId="5" borderId="1" xfId="0" applyNumberFormat="1" applyFont="1" applyFill="1" applyBorder="1" applyAlignment="1" applyProtection="1">
      <alignment horizontal="center" vertical="center" wrapText="1"/>
    </xf>
    <xf numFmtId="49" fontId="34" fillId="0" borderId="1" xfId="2" applyNumberFormat="1" applyFont="1" applyFill="1" applyBorder="1" applyAlignment="1" applyProtection="1">
      <alignment horizontal="center" vertical="center" wrapText="1"/>
    </xf>
    <xf numFmtId="49" fontId="34" fillId="0" borderId="1" xfId="6" applyNumberFormat="1" applyFont="1" applyFill="1" applyBorder="1" applyAlignment="1" applyProtection="1">
      <alignment horizontal="center" vertical="center" wrapText="1"/>
    </xf>
    <xf numFmtId="165" fontId="34" fillId="0" borderId="1" xfId="7" applyFont="1" applyFill="1" applyBorder="1" applyAlignment="1">
      <alignment vertical="center"/>
    </xf>
    <xf numFmtId="0" fontId="42" fillId="6" borderId="1" xfId="2" applyNumberFormat="1" applyFont="1" applyFill="1" applyBorder="1" applyAlignment="1" applyProtection="1">
      <alignment wrapText="1"/>
    </xf>
    <xf numFmtId="166" fontId="42" fillId="6" borderId="1" xfId="9" applyNumberFormat="1" applyFont="1" applyFill="1" applyBorder="1" applyAlignment="1" applyProtection="1">
      <protection locked="0"/>
    </xf>
    <xf numFmtId="0" fontId="42" fillId="4" borderId="1" xfId="2" applyNumberFormat="1" applyFont="1" applyFill="1" applyBorder="1" applyAlignment="1" applyProtection="1">
      <alignment horizontal="center" vertical="center" wrapText="1"/>
    </xf>
    <xf numFmtId="0" fontId="42" fillId="4" borderId="1" xfId="2" applyNumberFormat="1" applyFont="1" applyFill="1" applyBorder="1" applyAlignment="1" applyProtection="1">
      <alignment wrapText="1"/>
    </xf>
    <xf numFmtId="165" fontId="42" fillId="4" borderId="1" xfId="1" applyNumberFormat="1" applyFont="1" applyFill="1" applyBorder="1" applyAlignment="1" applyProtection="1">
      <protection locked="0"/>
    </xf>
    <xf numFmtId="165" fontId="42" fillId="4" borderId="1" xfId="1" applyFont="1" applyFill="1" applyBorder="1" applyAlignment="1" applyProtection="1">
      <protection locked="0"/>
    </xf>
    <xf numFmtId="166" fontId="38" fillId="6" borderId="1" xfId="2" applyNumberFormat="1" applyFont="1" applyFill="1" applyBorder="1" applyAlignment="1" applyProtection="1">
      <alignment horizontal="left" vertical="center" wrapText="1"/>
    </xf>
    <xf numFmtId="49" fontId="38" fillId="8" borderId="1" xfId="2" applyNumberFormat="1" applyFont="1" applyFill="1" applyBorder="1" applyAlignment="1" applyProtection="1">
      <alignment horizontal="center" vertical="center" wrapText="1"/>
    </xf>
    <xf numFmtId="0" fontId="38" fillId="8" borderId="1" xfId="2" applyNumberFormat="1" applyFont="1" applyFill="1" applyBorder="1" applyAlignment="1" applyProtection="1">
      <alignment horizontal="center" vertical="center" wrapText="1"/>
    </xf>
    <xf numFmtId="166" fontId="32" fillId="8" borderId="1" xfId="1" applyNumberFormat="1" applyFont="1" applyFill="1" applyBorder="1" applyAlignment="1">
      <alignment vertical="center"/>
      <protection locked="0"/>
    </xf>
    <xf numFmtId="166" fontId="32" fillId="0" borderId="1" xfId="1" applyNumberFormat="1" applyFont="1" applyFill="1" applyBorder="1" applyAlignment="1">
      <alignment vertical="center"/>
      <protection locked="0"/>
    </xf>
    <xf numFmtId="166" fontId="32" fillId="0" borderId="1" xfId="1" applyNumberFormat="1" applyFont="1" applyBorder="1" applyAlignment="1">
      <alignment vertical="center"/>
      <protection locked="0"/>
    </xf>
    <xf numFmtId="166" fontId="32" fillId="3" borderId="1" xfId="1" applyNumberFormat="1" applyFont="1" applyFill="1" applyBorder="1" applyAlignment="1">
      <alignment vertical="center"/>
      <protection locked="0"/>
    </xf>
    <xf numFmtId="49" fontId="54" fillId="8" borderId="1" xfId="2" applyNumberFormat="1" applyFont="1" applyFill="1" applyBorder="1" applyAlignment="1" applyProtection="1">
      <alignment horizontal="center" vertical="center" wrapText="1"/>
    </xf>
    <xf numFmtId="0" fontId="54" fillId="8" borderId="1" xfId="2" applyNumberFormat="1" applyFont="1" applyFill="1" applyBorder="1" applyAlignment="1" applyProtection="1">
      <alignment horizontal="center" vertical="center" wrapText="1"/>
    </xf>
    <xf numFmtId="166" fontId="41" fillId="8" borderId="1" xfId="1" applyNumberFormat="1" applyFont="1" applyFill="1" applyBorder="1" applyAlignment="1">
      <alignment vertical="center"/>
      <protection locked="0"/>
    </xf>
    <xf numFmtId="166" fontId="32" fillId="6" borderId="1" xfId="1" applyNumberFormat="1" applyFont="1" applyFill="1" applyBorder="1" applyAlignment="1">
      <alignment vertical="center"/>
      <protection locked="0"/>
    </xf>
    <xf numFmtId="166" fontId="30" fillId="6" borderId="1" xfId="1" applyNumberFormat="1" applyFont="1" applyFill="1" applyBorder="1" applyAlignment="1">
      <alignment vertical="center"/>
      <protection locked="0"/>
    </xf>
    <xf numFmtId="166" fontId="37" fillId="6" borderId="1" xfId="1" applyNumberFormat="1" applyFont="1" applyFill="1" applyBorder="1" applyAlignment="1">
      <alignment horizontal="left" vertical="center" wrapText="1"/>
      <protection locked="0"/>
    </xf>
    <xf numFmtId="166" fontId="38" fillId="0" borderId="1" xfId="1" applyNumberFormat="1" applyFont="1" applyFill="1" applyBorder="1" applyAlignment="1">
      <alignment horizontal="left" vertical="center" wrapText="1"/>
      <protection locked="0"/>
    </xf>
    <xf numFmtId="0" fontId="37" fillId="6" borderId="1" xfId="2" applyNumberFormat="1" applyFont="1" applyFill="1" applyBorder="1" applyAlignment="1" applyProtection="1">
      <alignment vertical="center" wrapText="1"/>
    </xf>
    <xf numFmtId="0" fontId="38" fillId="8" borderId="1" xfId="2" applyNumberFormat="1" applyFont="1" applyFill="1" applyBorder="1" applyAlignment="1" applyProtection="1">
      <alignment vertical="center" wrapText="1"/>
    </xf>
    <xf numFmtId="0" fontId="38" fillId="0" borderId="1" xfId="2" applyNumberFormat="1" applyFont="1" applyFill="1" applyBorder="1" applyAlignment="1" applyProtection="1">
      <alignment vertical="center" wrapText="1"/>
    </xf>
    <xf numFmtId="0" fontId="38" fillId="3" borderId="1" xfId="2" applyNumberFormat="1" applyFont="1" applyFill="1" applyBorder="1" applyAlignment="1" applyProtection="1">
      <alignment vertical="center" wrapText="1"/>
    </xf>
    <xf numFmtId="0" fontId="54" fillId="8" borderId="1" xfId="2" applyNumberFormat="1" applyFont="1" applyFill="1" applyBorder="1" applyAlignment="1" applyProtection="1">
      <alignment vertical="center" wrapText="1"/>
    </xf>
    <xf numFmtId="0" fontId="38" fillId="0" borderId="1" xfId="2" quotePrefix="1" applyNumberFormat="1" applyFont="1" applyFill="1" applyBorder="1" applyAlignment="1" applyProtection="1">
      <alignment vertical="center" wrapText="1"/>
    </xf>
    <xf numFmtId="0" fontId="37" fillId="0" borderId="1" xfId="2" applyNumberFormat="1" applyFont="1" applyFill="1" applyBorder="1" applyAlignment="1" applyProtection="1">
      <alignment vertical="center" wrapText="1"/>
    </xf>
    <xf numFmtId="165" fontId="37" fillId="3" borderId="1" xfId="1" applyFont="1" applyFill="1" applyBorder="1" applyAlignment="1">
      <alignment horizontal="center" vertical="center" wrapText="1"/>
      <protection locked="0"/>
    </xf>
    <xf numFmtId="165" fontId="32" fillId="0" borderId="0" xfId="1" applyFont="1" applyFill="1">
      <protection locked="0"/>
    </xf>
    <xf numFmtId="49" fontId="45" fillId="5" borderId="1" xfId="0" applyNumberFormat="1" applyFont="1" applyFill="1" applyBorder="1" applyAlignment="1" applyProtection="1">
      <alignment horizontal="center" vertical="center" wrapText="1"/>
    </xf>
    <xf numFmtId="0" fontId="32" fillId="0" borderId="1" xfId="6" applyFont="1" applyFill="1" applyBorder="1" applyAlignment="1" applyProtection="1">
      <alignment horizontal="center" vertical="center" wrapText="1"/>
    </xf>
    <xf numFmtId="166" fontId="32" fillId="0" borderId="1" xfId="1" applyNumberFormat="1" applyFont="1" applyFill="1" applyBorder="1" applyAlignment="1" applyProtection="1">
      <alignment horizontal="right" wrapText="1"/>
      <protection locked="0"/>
    </xf>
    <xf numFmtId="164" fontId="32" fillId="0" borderId="1" xfId="1" applyNumberFormat="1" applyFont="1" applyBorder="1" applyAlignment="1" applyProtection="1">
      <alignment horizontal="right"/>
    </xf>
    <xf numFmtId="164" fontId="38" fillId="4" borderId="1" xfId="2" applyNumberFormat="1" applyFont="1" applyFill="1" applyBorder="1" applyAlignment="1" applyProtection="1">
      <alignment horizontal="right" wrapText="1"/>
    </xf>
    <xf numFmtId="166" fontId="32" fillId="6" borderId="1" xfId="1" applyNumberFormat="1" applyFont="1" applyFill="1" applyBorder="1" applyAlignment="1" applyProtection="1">
      <alignment horizontal="right" wrapText="1"/>
      <protection locked="0"/>
    </xf>
    <xf numFmtId="166" fontId="32" fillId="4" borderId="1" xfId="1" applyNumberFormat="1" applyFont="1" applyFill="1" applyBorder="1" applyAlignment="1" applyProtection="1">
      <alignment horizontal="right" wrapText="1"/>
      <protection locked="0"/>
    </xf>
    <xf numFmtId="0" fontId="29" fillId="0" borderId="0" xfId="0" applyFont="1" applyFill="1" applyAlignment="1">
      <alignment vertical="center"/>
    </xf>
    <xf numFmtId="165" fontId="32" fillId="0" borderId="1" xfId="7" applyNumberFormat="1" applyFont="1" applyFill="1" applyBorder="1" applyAlignment="1" applyProtection="1">
      <alignment horizontal="right" wrapText="1"/>
    </xf>
    <xf numFmtId="165" fontId="32" fillId="0" borderId="1" xfId="7" applyFont="1" applyFill="1" applyBorder="1" applyAlignment="1" applyProtection="1">
      <alignment horizontal="right" wrapText="1"/>
    </xf>
    <xf numFmtId="166" fontId="32" fillId="3" borderId="1" xfId="7" applyNumberFormat="1" applyFont="1" applyFill="1" applyBorder="1" applyAlignment="1" applyProtection="1">
      <alignment horizontal="right" wrapText="1"/>
    </xf>
    <xf numFmtId="166" fontId="32" fillId="6" borderId="1" xfId="7" applyNumberFormat="1" applyFont="1" applyFill="1" applyBorder="1" applyAlignment="1" applyProtection="1">
      <alignment horizontal="right" wrapText="1"/>
    </xf>
    <xf numFmtId="166" fontId="32" fillId="0" borderId="1" xfId="7" applyNumberFormat="1" applyFont="1" applyFill="1" applyBorder="1" applyAlignment="1" applyProtection="1">
      <alignment horizontal="right" wrapText="1"/>
    </xf>
    <xf numFmtId="165" fontId="32" fillId="3" borderId="1" xfId="1" applyFont="1" applyFill="1" applyBorder="1" applyAlignment="1">
      <alignment horizontal="right" wrapText="1"/>
      <protection locked="0"/>
    </xf>
    <xf numFmtId="0" fontId="31" fillId="3" borderId="0" xfId="0" applyFont="1" applyFill="1" applyAlignment="1">
      <alignment vertical="center"/>
    </xf>
    <xf numFmtId="0" fontId="30" fillId="3" borderId="0" xfId="0" applyFont="1" applyFill="1" applyAlignment="1">
      <alignment horizontal="left"/>
    </xf>
    <xf numFmtId="0" fontId="32" fillId="3" borderId="0" xfId="0" applyFont="1" applyFill="1" applyAlignment="1">
      <alignment horizontal="left"/>
    </xf>
    <xf numFmtId="0" fontId="34" fillId="0" borderId="1" xfId="2" applyNumberFormat="1" applyFont="1" applyFill="1" applyBorder="1" applyAlignment="1" applyProtection="1">
      <alignment horizontal="left" wrapText="1"/>
    </xf>
    <xf numFmtId="0" fontId="32" fillId="0" borderId="1" xfId="0" applyFont="1" applyFill="1" applyBorder="1" applyAlignment="1">
      <alignment horizontal="center"/>
    </xf>
    <xf numFmtId="49" fontId="32" fillId="0" borderId="1" xfId="0" quotePrefix="1" applyNumberFormat="1" applyFont="1" applyFill="1" applyBorder="1" applyAlignment="1">
      <alignment horizontal="center"/>
    </xf>
    <xf numFmtId="165" fontId="30" fillId="0" borderId="1" xfId="1" applyNumberFormat="1" applyFont="1" applyFill="1" applyBorder="1" applyAlignment="1" applyProtection="1">
      <alignment horizontal="right" wrapText="1"/>
      <protection locked="0"/>
    </xf>
    <xf numFmtId="165" fontId="30" fillId="0" borderId="1" xfId="1" applyFont="1" applyFill="1" applyBorder="1" applyAlignment="1" applyProtection="1">
      <alignment horizontal="right" wrapText="1"/>
      <protection locked="0"/>
    </xf>
    <xf numFmtId="43" fontId="32" fillId="0" borderId="1" xfId="7" applyNumberFormat="1" applyFont="1" applyFill="1" applyBorder="1" applyAlignment="1" applyProtection="1">
      <alignment horizontal="right" wrapText="1"/>
    </xf>
    <xf numFmtId="14" fontId="31" fillId="3" borderId="0" xfId="0" applyNumberFormat="1" applyFont="1" applyFill="1" applyAlignment="1">
      <alignment horizontal="left" vertical="center" wrapText="1"/>
    </xf>
    <xf numFmtId="0" fontId="36" fillId="3" borderId="0" xfId="0" applyFont="1" applyFill="1" applyAlignment="1">
      <alignment horizontal="left" vertical="center" wrapText="1"/>
    </xf>
    <xf numFmtId="15" fontId="32" fillId="3" borderId="0" xfId="0" applyNumberFormat="1" applyFont="1" applyFill="1" applyAlignment="1">
      <alignment horizontal="left"/>
    </xf>
    <xf numFmtId="0" fontId="31" fillId="3" borderId="0" xfId="0" applyFont="1" applyFill="1" applyAlignment="1">
      <alignment horizontal="left" vertical="center" wrapText="1"/>
    </xf>
    <xf numFmtId="0" fontId="33" fillId="3" borderId="0" xfId="0" applyFont="1" applyFill="1" applyAlignment="1">
      <alignment horizontal="left" vertical="center" wrapText="1"/>
    </xf>
    <xf numFmtId="0" fontId="34" fillId="3" borderId="0" xfId="0" applyFont="1" applyFill="1" applyAlignment="1">
      <alignment horizontal="left" vertical="center"/>
    </xf>
    <xf numFmtId="0" fontId="35" fillId="3" borderId="0" xfId="0" applyFont="1" applyFill="1" applyAlignment="1">
      <alignment horizontal="left" vertical="center" wrapText="1"/>
    </xf>
    <xf numFmtId="0" fontId="26" fillId="3" borderId="0" xfId="0" applyFont="1" applyFill="1" applyAlignment="1">
      <alignment horizontal="right" vertical="center" wrapText="1"/>
    </xf>
    <xf numFmtId="0" fontId="27" fillId="3" borderId="0" xfId="0" applyFont="1" applyFill="1" applyAlignment="1">
      <alignment horizontal="right" vertical="center" wrapText="1"/>
    </xf>
    <xf numFmtId="0" fontId="28" fillId="3" borderId="0" xfId="0" applyFont="1" applyFill="1" applyAlignment="1">
      <alignment horizontal="center" vertical="center" wrapText="1"/>
    </xf>
    <xf numFmtId="0" fontId="29" fillId="3" borderId="0" xfId="0" applyFont="1" applyFill="1" applyAlignment="1">
      <alignment horizontal="center" vertical="center"/>
    </xf>
    <xf numFmtId="0" fontId="30" fillId="3" borderId="0" xfId="0" applyFont="1" applyFill="1" applyAlignment="1">
      <alignment horizontal="center"/>
    </xf>
    <xf numFmtId="49" fontId="37" fillId="5" borderId="4" xfId="0" applyNumberFormat="1" applyFont="1" applyFill="1" applyBorder="1" applyAlignment="1" applyProtection="1">
      <alignment horizontal="center" vertical="center" wrapText="1"/>
    </xf>
    <xf numFmtId="49" fontId="37" fillId="5" borderId="5" xfId="0" applyNumberFormat="1" applyFont="1" applyFill="1" applyBorder="1" applyAlignment="1" applyProtection="1">
      <alignment horizontal="center" vertical="center" wrapText="1"/>
    </xf>
    <xf numFmtId="0" fontId="0" fillId="0" borderId="5" xfId="0" applyBorder="1"/>
    <xf numFmtId="49" fontId="37" fillId="5" borderId="2" xfId="0" applyNumberFormat="1" applyFont="1" applyFill="1" applyBorder="1" applyAlignment="1" applyProtection="1">
      <alignment horizontal="center" vertical="center" wrapText="1"/>
    </xf>
    <xf numFmtId="49" fontId="37" fillId="5" borderId="3" xfId="0" applyNumberFormat="1" applyFont="1" applyFill="1" applyBorder="1" applyAlignment="1" applyProtection="1">
      <alignment horizontal="center" vertical="center" wrapText="1"/>
    </xf>
    <xf numFmtId="0" fontId="35" fillId="3" borderId="0" xfId="0" applyFont="1" applyFill="1" applyAlignment="1">
      <alignment horizontal="left" vertical="center"/>
    </xf>
    <xf numFmtId="14" fontId="35" fillId="3" borderId="0" xfId="0" applyNumberFormat="1" applyFont="1" applyFill="1" applyAlignment="1">
      <alignment horizontal="left" vertical="center" wrapText="1"/>
    </xf>
    <xf numFmtId="0" fontId="32" fillId="3" borderId="0" xfId="0" applyFont="1" applyFill="1" applyAlignment="1">
      <alignment horizontal="center"/>
    </xf>
    <xf numFmtId="0" fontId="33" fillId="3" borderId="0" xfId="0" applyFont="1" applyFill="1" applyBorder="1" applyAlignment="1">
      <alignment horizontal="center" vertical="center"/>
    </xf>
    <xf numFmtId="0" fontId="20" fillId="3" borderId="0" xfId="0" applyFont="1" applyFill="1" applyBorder="1" applyAlignment="1">
      <alignment horizontal="center"/>
    </xf>
    <xf numFmtId="0" fontId="0" fillId="3" borderId="0" xfId="0" applyFill="1" applyBorder="1" applyAlignment="1">
      <alignment horizontal="center"/>
    </xf>
    <xf numFmtId="0" fontId="35" fillId="3" borderId="0" xfId="0" applyFont="1" applyFill="1" applyAlignment="1">
      <alignment vertical="top" wrapText="1"/>
    </xf>
    <xf numFmtId="0" fontId="46" fillId="3" borderId="0" xfId="0" applyFont="1" applyFill="1" applyAlignment="1">
      <alignment vertical="top" wrapText="1"/>
    </xf>
    <xf numFmtId="0" fontId="30" fillId="3" borderId="0" xfId="0" applyFont="1" applyFill="1" applyAlignment="1">
      <alignment horizontal="left"/>
    </xf>
    <xf numFmtId="0" fontId="32" fillId="3" borderId="0" xfId="0" applyFont="1" applyFill="1" applyAlignment="1">
      <alignment horizontal="left"/>
    </xf>
    <xf numFmtId="0" fontId="0" fillId="0" borderId="0" xfId="0" applyAlignment="1"/>
    <xf numFmtId="166" fontId="42" fillId="3" borderId="0" xfId="1" applyNumberFormat="1" applyFont="1" applyFill="1" applyAlignment="1" applyProtection="1">
      <alignment horizontal="center"/>
      <protection locked="0"/>
    </xf>
    <xf numFmtId="0" fontId="33" fillId="3" borderId="0" xfId="0" applyFont="1" applyFill="1" applyBorder="1" applyAlignment="1">
      <alignment horizontal="left" vertical="center"/>
    </xf>
    <xf numFmtId="15" fontId="35" fillId="3" borderId="0" xfId="0" applyNumberFormat="1" applyFont="1" applyFill="1" applyAlignment="1">
      <alignment vertical="top" wrapText="1"/>
    </xf>
    <xf numFmtId="0" fontId="42" fillId="3" borderId="0" xfId="0" applyFont="1" applyFill="1" applyAlignment="1">
      <alignment horizontal="center"/>
    </xf>
    <xf numFmtId="0" fontId="42" fillId="3" borderId="0" xfId="0" applyFont="1" applyFill="1" applyAlignment="1">
      <alignment horizontal="left"/>
    </xf>
    <xf numFmtId="0" fontId="34" fillId="3" borderId="0" xfId="0" applyFont="1" applyFill="1" applyAlignment="1">
      <alignment horizontal="left"/>
    </xf>
    <xf numFmtId="0" fontId="35" fillId="3" borderId="0" xfId="0" applyFont="1" applyFill="1" applyAlignment="1">
      <alignment horizontal="left" vertical="top" wrapText="1"/>
    </xf>
    <xf numFmtId="0" fontId="32" fillId="3" borderId="0" xfId="0" applyFont="1" applyFill="1" applyAlignment="1">
      <alignment horizontal="left" vertical="top"/>
    </xf>
    <xf numFmtId="0" fontId="32" fillId="3" borderId="0" xfId="0" applyFont="1" applyFill="1" applyAlignment="1">
      <alignment horizontal="left" vertical="top" wrapText="1"/>
    </xf>
    <xf numFmtId="0" fontId="34" fillId="3" borderId="0" xfId="0" applyFont="1" applyFill="1" applyAlignment="1">
      <alignment horizontal="left" vertical="top" wrapText="1"/>
    </xf>
    <xf numFmtId="0" fontId="33" fillId="3" borderId="0" xfId="0" applyFont="1" applyFill="1" applyAlignment="1">
      <alignment horizontal="left" vertical="top" wrapText="1"/>
    </xf>
    <xf numFmtId="0" fontId="31" fillId="3" borderId="0" xfId="0" applyFont="1" applyFill="1" applyAlignment="1">
      <alignment horizontal="left" vertical="top" wrapText="1"/>
    </xf>
    <xf numFmtId="0" fontId="44" fillId="3" borderId="0" xfId="0" applyFont="1" applyFill="1" applyAlignment="1">
      <alignment horizontal="right" vertical="center" wrapText="1"/>
    </xf>
    <xf numFmtId="0" fontId="46" fillId="3" borderId="0" xfId="0" applyFont="1" applyFill="1" applyAlignment="1">
      <alignment horizontal="left" vertical="top" wrapText="1"/>
    </xf>
    <xf numFmtId="15" fontId="35" fillId="3" borderId="0" xfId="0" applyNumberFormat="1" applyFont="1" applyFill="1" applyAlignment="1">
      <alignment horizontal="left" vertical="top" wrapText="1"/>
    </xf>
    <xf numFmtId="166" fontId="42" fillId="5" borderId="4" xfId="1" applyNumberFormat="1" applyFont="1" applyFill="1" applyBorder="1" applyAlignment="1" applyProtection="1">
      <alignment horizontal="center" vertical="center" wrapText="1"/>
    </xf>
    <xf numFmtId="166" fontId="42" fillId="5" borderId="5" xfId="1" applyNumberFormat="1" applyFont="1" applyFill="1" applyBorder="1" applyAlignment="1" applyProtection="1">
      <alignment horizontal="center" vertical="center" wrapText="1"/>
    </xf>
    <xf numFmtId="0" fontId="42" fillId="5" borderId="4" xfId="0" applyFont="1" applyFill="1" applyBorder="1" applyAlignment="1">
      <alignment horizontal="center" vertical="center" wrapText="1"/>
    </xf>
    <xf numFmtId="0" fontId="42" fillId="5" borderId="5" xfId="0" applyFont="1" applyFill="1" applyBorder="1" applyAlignment="1">
      <alignment horizontal="center" vertical="center" wrapText="1"/>
    </xf>
    <xf numFmtId="166" fontId="42" fillId="5" borderId="2" xfId="1" applyNumberFormat="1" applyFont="1" applyFill="1" applyBorder="1" applyAlignment="1" applyProtection="1">
      <alignment horizontal="center" vertical="center" wrapText="1"/>
    </xf>
    <xf numFmtId="166" fontId="42" fillId="5" borderId="14" xfId="1" applyNumberFormat="1" applyFont="1" applyFill="1" applyBorder="1" applyAlignment="1" applyProtection="1">
      <alignment horizontal="center" vertical="center" wrapText="1"/>
    </xf>
    <xf numFmtId="166" fontId="42" fillId="5" borderId="3" xfId="1" applyNumberFormat="1" applyFont="1" applyFill="1" applyBorder="1" applyAlignment="1" applyProtection="1">
      <alignment horizontal="center" vertical="center" wrapText="1"/>
    </xf>
    <xf numFmtId="0" fontId="32" fillId="0" borderId="0" xfId="0" applyFont="1" applyFill="1" applyAlignment="1">
      <alignment horizontal="left" vertical="center" wrapText="1"/>
    </xf>
    <xf numFmtId="49" fontId="45" fillId="5" borderId="1" xfId="0" applyNumberFormat="1" applyFont="1" applyFill="1" applyBorder="1" applyAlignment="1" applyProtection="1">
      <alignment horizontal="center" vertical="center" wrapText="1"/>
    </xf>
    <xf numFmtId="0" fontId="38" fillId="3" borderId="4" xfId="2" applyNumberFormat="1" applyFont="1" applyFill="1" applyBorder="1" applyAlignment="1" applyProtection="1">
      <alignment horizontal="center" vertical="center" wrapText="1"/>
    </xf>
    <xf numFmtId="0" fontId="38" fillId="3" borderId="5" xfId="2" applyNumberFormat="1" applyFont="1" applyFill="1" applyBorder="1" applyAlignment="1" applyProtection="1">
      <alignment horizontal="center" vertical="center" wrapText="1"/>
    </xf>
    <xf numFmtId="0" fontId="56" fillId="3" borderId="0" xfId="0" applyFont="1" applyFill="1" applyAlignment="1">
      <alignment horizontal="center" vertical="center" wrapText="1"/>
    </xf>
    <xf numFmtId="0" fontId="29" fillId="3" borderId="0" xfId="0" applyFont="1" applyFill="1" applyAlignment="1">
      <alignment horizontal="left" vertical="top" wrapText="1"/>
    </xf>
    <xf numFmtId="0" fontId="34" fillId="3" borderId="1" xfId="0" applyFont="1" applyFill="1" applyBorder="1" applyAlignment="1">
      <alignment horizontal="center" vertical="center"/>
    </xf>
    <xf numFmtId="0" fontId="29" fillId="0" borderId="0" xfId="0" applyFont="1" applyFill="1" applyAlignment="1">
      <alignment horizontal="center" vertical="center"/>
    </xf>
    <xf numFmtId="0" fontId="32" fillId="3" borderId="0" xfId="0" applyFont="1" applyFill="1" applyAlignment="1">
      <alignment horizontal="left" vertical="center" wrapText="1"/>
    </xf>
    <xf numFmtId="0" fontId="46" fillId="3" borderId="0" xfId="0" applyFont="1" applyFill="1" applyAlignment="1">
      <alignment horizontal="left" vertical="center" wrapText="1"/>
    </xf>
    <xf numFmtId="0" fontId="30" fillId="3" borderId="0" xfId="0" applyFont="1" applyFill="1" applyAlignment="1">
      <alignment horizontal="left" vertical="center"/>
    </xf>
    <xf numFmtId="0" fontId="42" fillId="5" borderId="4" xfId="6" applyFont="1" applyFill="1" applyBorder="1" applyAlignment="1">
      <alignment horizontal="center" vertical="center" wrapText="1"/>
    </xf>
    <xf numFmtId="0" fontId="42" fillId="5" borderId="5" xfId="6" applyFont="1" applyFill="1" applyBorder="1" applyAlignment="1">
      <alignment horizontal="center" vertical="center" wrapText="1"/>
    </xf>
    <xf numFmtId="0" fontId="42" fillId="5" borderId="2" xfId="6" applyFont="1" applyFill="1" applyBorder="1" applyAlignment="1">
      <alignment horizontal="center" vertical="center" wrapText="1"/>
    </xf>
    <xf numFmtId="0" fontId="42" fillId="5" borderId="3" xfId="6" applyFont="1" applyFill="1" applyBorder="1" applyAlignment="1">
      <alignment horizontal="center" vertical="center" wrapText="1"/>
    </xf>
    <xf numFmtId="0" fontId="37" fillId="5" borderId="4" xfId="6" applyNumberFormat="1" applyFont="1" applyFill="1" applyBorder="1" applyAlignment="1" applyProtection="1">
      <alignment horizontal="center" vertical="center" wrapText="1"/>
    </xf>
    <xf numFmtId="0" fontId="37" fillId="5" borderId="5" xfId="6" applyNumberFormat="1" applyFont="1" applyFill="1" applyBorder="1" applyAlignment="1" applyProtection="1">
      <alignment horizontal="center" vertical="center" wrapText="1"/>
    </xf>
    <xf numFmtId="37" fontId="32" fillId="0" borderId="1" xfId="6" applyNumberFormat="1" applyFont="1" applyFill="1" applyBorder="1" applyAlignment="1" applyProtection="1">
      <alignment horizontal="right" wrapText="1"/>
    </xf>
  </cellXfs>
  <cellStyles count="128">
    <cellStyle name="Comma" xfId="1" builtinId="3"/>
    <cellStyle name="Comma 10" xfId="11"/>
    <cellStyle name="Comma 11" xfId="19"/>
    <cellStyle name="Comma 12" xfId="12"/>
    <cellStyle name="Comma 14" xfId="45"/>
    <cellStyle name="Comma 2" xfId="7"/>
    <cellStyle name="Comma 2 2" xfId="9"/>
    <cellStyle name="Comma 2 3" xfId="24"/>
    <cellStyle name="Comma 3" xfId="25"/>
    <cellStyle name="Currency [0] 2" xfId="2"/>
    <cellStyle name="Hyperlink" xfId="3" builtinId="8"/>
    <cellStyle name="Normal" xfId="0" builtinId="0"/>
    <cellStyle name="Normal 10" xfId="21"/>
    <cellStyle name="Normal 101" xfId="68"/>
    <cellStyle name="Normal 102" xfId="70"/>
    <cellStyle name="Normal 105" xfId="16"/>
    <cellStyle name="Normal 106" xfId="71"/>
    <cellStyle name="Normal 107" xfId="72"/>
    <cellStyle name="Normal 108" xfId="73"/>
    <cellStyle name="Normal 109" xfId="75"/>
    <cellStyle name="Normal 11" xfId="26"/>
    <cellStyle name="Normal 110" xfId="76"/>
    <cellStyle name="Normal 112" xfId="49"/>
    <cellStyle name="Normal 113" xfId="50"/>
    <cellStyle name="Normal 114" xfId="51"/>
    <cellStyle name="Normal 117" xfId="55"/>
    <cellStyle name="Normal 118" xfId="56"/>
    <cellStyle name="Normal 119" xfId="57"/>
    <cellStyle name="Normal 12" xfId="27"/>
    <cellStyle name="Normal 122" xfId="77"/>
    <cellStyle name="Normal 123" xfId="78"/>
    <cellStyle name="Normal 126" xfId="82"/>
    <cellStyle name="Normal 127" xfId="83"/>
    <cellStyle name="Normal 13" xfId="28"/>
    <cellStyle name="Normal 130" xfId="87"/>
    <cellStyle name="Normal 131" xfId="88"/>
    <cellStyle name="Normal 135" xfId="120"/>
    <cellStyle name="Normal 136" xfId="121"/>
    <cellStyle name="Normal 139" xfId="94"/>
    <cellStyle name="Normal 14" xfId="23"/>
    <cellStyle name="Normal 140" xfId="95"/>
    <cellStyle name="Normal 143" xfId="98"/>
    <cellStyle name="Normal 144" xfId="99"/>
    <cellStyle name="Normal 147" xfId="111"/>
    <cellStyle name="Normal 148" xfId="112"/>
    <cellStyle name="Normal 149" xfId="113"/>
    <cellStyle name="Normal 15" xfId="22"/>
    <cellStyle name="Normal 153" xfId="116"/>
    <cellStyle name="Normal 154" xfId="117"/>
    <cellStyle name="Normal 158" xfId="48"/>
    <cellStyle name="Normal 16" xfId="46"/>
    <cellStyle name="Normal 161" xfId="65"/>
    <cellStyle name="Normal 162" xfId="74"/>
    <cellStyle name="Normal 163" xfId="63"/>
    <cellStyle name="Normal 164" xfId="64"/>
    <cellStyle name="Normal 165" xfId="54"/>
    <cellStyle name="Normal 166" xfId="60"/>
    <cellStyle name="Normal 167" xfId="52"/>
    <cellStyle name="Normal 168" xfId="53"/>
    <cellStyle name="Normal 169" xfId="58"/>
    <cellStyle name="Normal 17" xfId="34"/>
    <cellStyle name="Normal 170" xfId="59"/>
    <cellStyle name="Normal 171" xfId="81"/>
    <cellStyle name="Normal 172" xfId="79"/>
    <cellStyle name="Normal 173" xfId="80"/>
    <cellStyle name="Normal 174" xfId="86"/>
    <cellStyle name="Normal 175" xfId="84"/>
    <cellStyle name="Normal 176" xfId="85"/>
    <cellStyle name="Normal 177" xfId="91"/>
    <cellStyle name="Normal 178" xfId="89"/>
    <cellStyle name="Normal 179" xfId="90"/>
    <cellStyle name="Normal 18" xfId="33"/>
    <cellStyle name="Normal 180" xfId="93"/>
    <cellStyle name="Normal 181" xfId="92"/>
    <cellStyle name="Normal 182" xfId="97"/>
    <cellStyle name="Normal 184" xfId="96"/>
    <cellStyle name="Normal 186" xfId="100"/>
    <cellStyle name="Normal 187" xfId="102"/>
    <cellStyle name="Normal 188" xfId="101"/>
    <cellStyle name="Normal 189" xfId="104"/>
    <cellStyle name="Normal 19" xfId="37"/>
    <cellStyle name="Normal 190" xfId="103"/>
    <cellStyle name="Normal 191" xfId="106"/>
    <cellStyle name="Normal 193" xfId="105"/>
    <cellStyle name="Normal 194" xfId="108"/>
    <cellStyle name="Normal 195" xfId="107"/>
    <cellStyle name="Normal 196" xfId="110"/>
    <cellStyle name="Normal 197" xfId="109"/>
    <cellStyle name="Normal 198" xfId="123"/>
    <cellStyle name="Normal 2" xfId="4"/>
    <cellStyle name="Normal 2 2" xfId="47"/>
    <cellStyle name="Normal 201" xfId="122"/>
    <cellStyle name="Normal 202" xfId="124"/>
    <cellStyle name="Normal 203" xfId="125"/>
    <cellStyle name="Normal 204" xfId="126"/>
    <cellStyle name="Normal 206" xfId="127"/>
    <cellStyle name="Normal 207" xfId="115"/>
    <cellStyle name="Normal 208" xfId="114"/>
    <cellStyle name="Normal 209" xfId="119"/>
    <cellStyle name="Normal 21" xfId="36"/>
    <cellStyle name="Normal 210" xfId="118"/>
    <cellStyle name="Normal 22" xfId="35"/>
    <cellStyle name="Normal 23" xfId="39"/>
    <cellStyle name="Normal 24" xfId="40"/>
    <cellStyle name="Normal 26" xfId="38"/>
    <cellStyle name="Normal 27" xfId="43"/>
    <cellStyle name="Normal 28" xfId="42"/>
    <cellStyle name="Normal 29" xfId="41"/>
    <cellStyle name="Normal 3" xfId="6"/>
    <cellStyle name="Normal 3 2" xfId="20"/>
    <cellStyle name="Normal 4" xfId="13"/>
    <cellStyle name="Normal 5" xfId="14"/>
    <cellStyle name="Normal 6" xfId="15"/>
    <cellStyle name="Normal 7" xfId="17"/>
    <cellStyle name="Normal 8" xfId="18"/>
    <cellStyle name="Normal 8 3" xfId="44"/>
    <cellStyle name="Normal 81" xfId="66"/>
    <cellStyle name="Normal 85" xfId="67"/>
    <cellStyle name="Normal 87" xfId="69"/>
    <cellStyle name="Normal 9" xfId="29"/>
    <cellStyle name="Normal 97" xfId="61"/>
    <cellStyle name="Normal 98" xfId="62"/>
    <cellStyle name="Normal_Bao cao tai chinh 280405" xfId="10"/>
    <cellStyle name="OddStyleFINAL_BALANCE" xfId="30"/>
    <cellStyle name="OddStyleFULL_NAME" xfId="31"/>
    <cellStyle name="OddStyleRATE" xfId="32"/>
    <cellStyle name="Percent" xfId="5" builtinId="5"/>
    <cellStyle name="Percent 2" xfId="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1828800</xdr:colOff>
      <xdr:row>2</xdr:row>
      <xdr:rowOff>76200</xdr:rowOff>
    </xdr:to>
    <xdr:pic>
      <xdr:nvPicPr>
        <xdr:cNvPr id="62466" name="Picture 2">
          <a:extLst>
            <a:ext uri="{FF2B5EF4-FFF2-40B4-BE49-F238E27FC236}">
              <a16:creationId xmlns:a16="http://schemas.microsoft.com/office/drawing/2014/main" xmlns="" id="{00000000-0008-0000-0300-000002F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828800" cy="7239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1</xdr:col>
      <xdr:colOff>1133475</xdr:colOff>
      <xdr:row>1</xdr:row>
      <xdr:rowOff>335756</xdr:rowOff>
    </xdr:to>
    <xdr:pic>
      <xdr:nvPicPr>
        <xdr:cNvPr id="61442" name="Picture 2">
          <a:extLst>
            <a:ext uri="{FF2B5EF4-FFF2-40B4-BE49-F238E27FC236}">
              <a16:creationId xmlns:a16="http://schemas.microsoft.com/office/drawing/2014/main" xmlns="" id="{00000000-0008-0000-0400-000002F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0"/>
          <a:ext cx="1714500" cy="678656"/>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19050</xdr:colOff>
      <xdr:row>0</xdr:row>
      <xdr:rowOff>19050</xdr:rowOff>
    </xdr:from>
    <xdr:to>
      <xdr:col>0</xdr:col>
      <xdr:colOff>1704975</xdr:colOff>
      <xdr:row>1</xdr:row>
      <xdr:rowOff>276820</xdr:rowOff>
    </xdr:to>
    <xdr:pic>
      <xdr:nvPicPr>
        <xdr:cNvPr id="34822" name="Picture 6">
          <a:extLst>
            <a:ext uri="{FF2B5EF4-FFF2-40B4-BE49-F238E27FC236}">
              <a16:creationId xmlns:a16="http://schemas.microsoft.com/office/drawing/2014/main" xmlns="" id="{00000000-0008-0000-0500-0000068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28650" y="19050"/>
          <a:ext cx="1685925" cy="66734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1799997</xdr:colOff>
      <xdr:row>1</xdr:row>
      <xdr:rowOff>291353</xdr:rowOff>
    </xdr:to>
    <xdr:pic>
      <xdr:nvPicPr>
        <xdr:cNvPr id="15369" name="Picture 9">
          <a:extLst>
            <a:ext uri="{FF2B5EF4-FFF2-40B4-BE49-F238E27FC236}">
              <a16:creationId xmlns:a16="http://schemas.microsoft.com/office/drawing/2014/main" xmlns="" id="{00000000-0008-0000-0600-0000093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2147379" cy="58270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904875</xdr:colOff>
      <xdr:row>1</xdr:row>
      <xdr:rowOff>304204</xdr:rowOff>
    </xdr:to>
    <xdr:pic>
      <xdr:nvPicPr>
        <xdr:cNvPr id="6148" name="Picture 4">
          <a:extLst>
            <a:ext uri="{FF2B5EF4-FFF2-40B4-BE49-F238E27FC236}">
              <a16:creationId xmlns:a16="http://schemas.microsoft.com/office/drawing/2014/main" xmlns="" id="{00000000-0008-0000-0700-0000041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14475" cy="599479"/>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42332</xdr:rowOff>
    </xdr:from>
    <xdr:to>
      <xdr:col>1</xdr:col>
      <xdr:colOff>963082</xdr:colOff>
      <xdr:row>1</xdr:row>
      <xdr:rowOff>410632</xdr:rowOff>
    </xdr:to>
    <xdr:pic>
      <xdr:nvPicPr>
        <xdr:cNvPr id="2" name="Picture 1">
          <a:extLst>
            <a:ext uri="{FF2B5EF4-FFF2-40B4-BE49-F238E27FC236}">
              <a16:creationId xmlns:a16="http://schemas.microsoft.com/office/drawing/2014/main" xmlns="" id="{00000000-0008-0000-08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52915" y="42332"/>
          <a:ext cx="1519767" cy="777875"/>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1181100</xdr:colOff>
      <xdr:row>1</xdr:row>
      <xdr:rowOff>283171</xdr:rowOff>
    </xdr:to>
    <xdr:pic>
      <xdr:nvPicPr>
        <xdr:cNvPr id="64514" name="Picture 2">
          <a:extLst>
            <a:ext uri="{FF2B5EF4-FFF2-40B4-BE49-F238E27FC236}">
              <a16:creationId xmlns:a16="http://schemas.microsoft.com/office/drawing/2014/main" xmlns="" id="{00000000-0008-0000-0900-000002F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533525" cy="60702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914401</xdr:colOff>
      <xdr:row>1</xdr:row>
      <xdr:rowOff>236142</xdr:rowOff>
    </xdr:to>
    <xdr:pic>
      <xdr:nvPicPr>
        <xdr:cNvPr id="65538" name="Picture 2">
          <a:extLst>
            <a:ext uri="{FF2B5EF4-FFF2-40B4-BE49-F238E27FC236}">
              <a16:creationId xmlns:a16="http://schemas.microsoft.com/office/drawing/2014/main" xmlns="" id="{00000000-0008-0000-0A00-00000200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 y="1"/>
          <a:ext cx="1390650" cy="550466"/>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952500</xdr:colOff>
      <xdr:row>1</xdr:row>
      <xdr:rowOff>327197</xdr:rowOff>
    </xdr:to>
    <xdr:pic>
      <xdr:nvPicPr>
        <xdr:cNvPr id="39939" name="Picture 3">
          <a:extLst>
            <a:ext uri="{FF2B5EF4-FFF2-40B4-BE49-F238E27FC236}">
              <a16:creationId xmlns:a16="http://schemas.microsoft.com/office/drawing/2014/main" xmlns="" id="{00000000-0008-0000-0C00-0000039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7618" cy="61855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1257300</xdr:colOff>
      <xdr:row>1</xdr:row>
      <xdr:rowOff>130572</xdr:rowOff>
    </xdr:to>
    <xdr:pic>
      <xdr:nvPicPr>
        <xdr:cNvPr id="66562" name="Picture 2">
          <a:extLst>
            <a:ext uri="{FF2B5EF4-FFF2-40B4-BE49-F238E27FC236}">
              <a16:creationId xmlns:a16="http://schemas.microsoft.com/office/drawing/2014/main" xmlns="" id="{00000000-0008-0000-0B00-00000204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81150" cy="625872"/>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zoomScaleNormal="100" zoomScaleSheetLayoutView="100" workbookViewId="0">
      <selection activeCell="D11" sqref="D11:I12"/>
    </sheetView>
  </sheetViews>
  <sheetFormatPr defaultColWidth="9.33203125" defaultRowHeight="13.8"/>
  <cols>
    <col min="1" max="2" width="9.33203125" style="1"/>
    <col min="3" max="3" width="25.5546875" style="1" customWidth="1"/>
    <col min="4" max="4" width="30.6640625" style="1" customWidth="1"/>
    <col min="5" max="5" width="21.33203125" style="1" customWidth="1"/>
    <col min="6" max="9" width="9.33203125" style="1"/>
    <col min="10" max="10" width="11.6640625" style="1" customWidth="1"/>
    <col min="11" max="16384" width="9.33203125" style="1"/>
  </cols>
  <sheetData>
    <row r="1" spans="1:10">
      <c r="A1" s="160" t="s">
        <v>453</v>
      </c>
      <c r="C1" s="161" t="s">
        <v>994</v>
      </c>
      <c r="D1" s="2"/>
    </row>
    <row r="2" spans="1:10">
      <c r="C2" s="162" t="s">
        <v>995</v>
      </c>
      <c r="D2" s="2"/>
    </row>
    <row r="3" spans="1:10">
      <c r="D3" s="2"/>
    </row>
    <row r="4" spans="1:10">
      <c r="A4" s="160" t="s">
        <v>454</v>
      </c>
      <c r="D4" s="2"/>
    </row>
    <row r="5" spans="1:10">
      <c r="C5" s="163" t="s">
        <v>455</v>
      </c>
      <c r="D5" s="439" t="s">
        <v>466</v>
      </c>
      <c r="E5" s="440"/>
      <c r="F5" s="440"/>
      <c r="G5" s="440"/>
      <c r="H5" s="140"/>
      <c r="I5" s="140"/>
    </row>
    <row r="6" spans="1:10">
      <c r="C6" s="164" t="s">
        <v>456</v>
      </c>
      <c r="D6" s="440" t="s">
        <v>605</v>
      </c>
      <c r="E6" s="440"/>
      <c r="F6" s="440"/>
      <c r="G6" s="440"/>
      <c r="H6" s="140"/>
      <c r="I6" s="140"/>
    </row>
    <row r="7" spans="1:10" s="6" customFormat="1" ht="24.75" customHeight="1">
      <c r="C7" s="165" t="s">
        <v>457</v>
      </c>
      <c r="D7" s="441" t="s">
        <v>458</v>
      </c>
      <c r="E7" s="441"/>
      <c r="F7" s="441"/>
      <c r="G7" s="441"/>
      <c r="H7" s="441"/>
      <c r="I7" s="441"/>
    </row>
    <row r="8" spans="1:10">
      <c r="C8" s="19" t="s">
        <v>459</v>
      </c>
      <c r="D8" s="440" t="s">
        <v>460</v>
      </c>
      <c r="E8" s="440"/>
      <c r="F8" s="440"/>
      <c r="G8" s="440"/>
      <c r="H8" s="156"/>
      <c r="I8" s="156"/>
    </row>
    <row r="9" spans="1:10">
      <c r="C9" s="165" t="s">
        <v>392</v>
      </c>
      <c r="D9" s="442" t="s">
        <v>492</v>
      </c>
      <c r="E9" s="442"/>
      <c r="F9" s="442"/>
      <c r="G9" s="442"/>
      <c r="H9" s="140"/>
      <c r="I9" s="140"/>
    </row>
    <row r="10" spans="1:10" ht="15" customHeight="1">
      <c r="C10" s="140" t="s">
        <v>390</v>
      </c>
      <c r="D10" s="440" t="s">
        <v>491</v>
      </c>
      <c r="E10" s="440"/>
      <c r="F10" s="440"/>
      <c r="G10" s="440"/>
      <c r="H10" s="157"/>
      <c r="I10" s="157"/>
    </row>
    <row r="11" spans="1:10">
      <c r="C11" s="20" t="s">
        <v>138</v>
      </c>
      <c r="D11" s="436" t="s">
        <v>996</v>
      </c>
      <c r="E11" s="437"/>
      <c r="F11" s="437"/>
      <c r="G11" s="437"/>
      <c r="H11" s="437"/>
      <c r="I11" s="437"/>
    </row>
    <row r="12" spans="1:10">
      <c r="C12" s="21" t="s">
        <v>139</v>
      </c>
      <c r="D12" s="438">
        <v>43564</v>
      </c>
      <c r="E12" s="438"/>
      <c r="F12" s="438"/>
      <c r="G12" s="438"/>
      <c r="H12" s="438"/>
      <c r="I12" s="438"/>
    </row>
    <row r="13" spans="1:10">
      <c r="D13" s="2"/>
    </row>
    <row r="14" spans="1:10">
      <c r="A14" s="160" t="s">
        <v>461</v>
      </c>
      <c r="D14" s="2"/>
    </row>
    <row r="15" spans="1:10">
      <c r="D15" s="2"/>
    </row>
    <row r="16" spans="1:10" ht="26.4">
      <c r="C16" s="166" t="s">
        <v>178</v>
      </c>
      <c r="D16" s="167"/>
      <c r="F16" s="168" t="s">
        <v>179</v>
      </c>
      <c r="G16" s="169"/>
      <c r="H16" s="169"/>
      <c r="I16" s="169"/>
      <c r="J16" s="170"/>
    </row>
    <row r="17" spans="3:10">
      <c r="C17" s="171" t="s">
        <v>180</v>
      </c>
      <c r="D17" s="172"/>
      <c r="F17" s="171" t="s">
        <v>181</v>
      </c>
      <c r="G17" s="173"/>
      <c r="H17" s="173"/>
      <c r="I17" s="173"/>
      <c r="J17" s="174"/>
    </row>
    <row r="18" spans="3:10">
      <c r="C18" s="175"/>
      <c r="D18" s="172"/>
      <c r="F18" s="175"/>
      <c r="G18" s="173"/>
      <c r="H18" s="173"/>
      <c r="I18" s="173"/>
      <c r="J18" s="174"/>
    </row>
    <row r="19" spans="3:10">
      <c r="C19" s="176" t="s">
        <v>182</v>
      </c>
      <c r="D19" s="172"/>
      <c r="F19" s="176" t="s">
        <v>467</v>
      </c>
      <c r="G19" s="173"/>
      <c r="H19" s="173"/>
      <c r="I19" s="173"/>
      <c r="J19" s="174"/>
    </row>
    <row r="20" spans="3:10">
      <c r="C20" s="176" t="s">
        <v>997</v>
      </c>
      <c r="D20" s="172"/>
      <c r="F20" s="176" t="s">
        <v>468</v>
      </c>
      <c r="G20" s="173"/>
      <c r="H20" s="173"/>
      <c r="I20" s="173"/>
      <c r="J20" s="174"/>
    </row>
    <row r="21" spans="3:10">
      <c r="C21" s="177" t="s">
        <v>998</v>
      </c>
      <c r="D21" s="178"/>
      <c r="F21" s="177" t="s">
        <v>469</v>
      </c>
      <c r="G21" s="179"/>
      <c r="H21" s="179"/>
      <c r="I21" s="179"/>
      <c r="J21" s="180"/>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4" t="s">
        <v>54</v>
      </c>
      <c r="C34" s="14" t="s">
        <v>55</v>
      </c>
      <c r="D34" s="14" t="s">
        <v>56</v>
      </c>
    </row>
    <row r="35" spans="2:12" s="6" customFormat="1" ht="27.6">
      <c r="B35" s="15">
        <v>1</v>
      </c>
      <c r="C35" s="16" t="s">
        <v>59</v>
      </c>
      <c r="D35" s="17" t="s">
        <v>61</v>
      </c>
    </row>
    <row r="36" spans="2:12" s="6" customFormat="1" ht="27.6">
      <c r="B36" s="15">
        <v>2</v>
      </c>
      <c r="C36" s="16" t="s">
        <v>60</v>
      </c>
      <c r="D36" s="17" t="s">
        <v>57</v>
      </c>
    </row>
    <row r="37" spans="2:12" s="6" customFormat="1" ht="14.4">
      <c r="B37" s="15">
        <v>3</v>
      </c>
      <c r="C37" s="16" t="s">
        <v>58</v>
      </c>
      <c r="D37" s="17" t="s">
        <v>62</v>
      </c>
      <c r="J37" s="7"/>
      <c r="K37" s="8"/>
      <c r="L37" s="9"/>
    </row>
    <row r="38" spans="2:12" ht="14.4">
      <c r="B38" s="15">
        <v>4</v>
      </c>
      <c r="C38" s="15" t="s">
        <v>124</v>
      </c>
      <c r="D38" s="17" t="s">
        <v>125</v>
      </c>
      <c r="J38" s="3"/>
      <c r="K38" s="4"/>
      <c r="L38" s="5"/>
    </row>
    <row r="39" spans="2:12" ht="14.4">
      <c r="B39" s="15">
        <v>5</v>
      </c>
      <c r="C39" s="15" t="s">
        <v>126</v>
      </c>
      <c r="D39" s="17" t="s">
        <v>127</v>
      </c>
    </row>
    <row r="40" spans="2:12" ht="14.4">
      <c r="B40" s="15">
        <v>6</v>
      </c>
      <c r="C40" s="15" t="s">
        <v>128</v>
      </c>
      <c r="D40" s="17" t="s">
        <v>129</v>
      </c>
    </row>
    <row r="41" spans="2:12" ht="14.4">
      <c r="B41" s="15">
        <v>7</v>
      </c>
      <c r="C41" s="15" t="s">
        <v>130</v>
      </c>
      <c r="D41" s="17" t="s">
        <v>131</v>
      </c>
    </row>
    <row r="42" spans="2:12" ht="14.4">
      <c r="B42" s="15">
        <v>8</v>
      </c>
      <c r="C42" s="15" t="s">
        <v>132</v>
      </c>
      <c r="D42" s="17" t="s">
        <v>134</v>
      </c>
    </row>
    <row r="43" spans="2:12" ht="14.4">
      <c r="B43" s="15">
        <v>9</v>
      </c>
      <c r="C43" s="15" t="s">
        <v>133</v>
      </c>
      <c r="D43" s="17" t="s">
        <v>135</v>
      </c>
    </row>
    <row r="44" spans="2:12">
      <c r="B44" s="139">
        <v>10</v>
      </c>
      <c r="C44" s="1" t="s">
        <v>364</v>
      </c>
    </row>
    <row r="48" spans="2:12">
      <c r="B48" s="1" t="s">
        <v>411</v>
      </c>
    </row>
    <row r="50" spans="2:6">
      <c r="B50" s="147"/>
      <c r="C50" s="147"/>
      <c r="D50" s="147" t="s">
        <v>443</v>
      </c>
      <c r="E50" s="147" t="s">
        <v>437</v>
      </c>
      <c r="F50" s="147"/>
    </row>
    <row r="51" spans="2:6">
      <c r="B51" s="1" t="s">
        <v>412</v>
      </c>
      <c r="C51" s="1" t="s">
        <v>393</v>
      </c>
      <c r="D51" s="145" t="s">
        <v>436</v>
      </c>
    </row>
    <row r="52" spans="2:6">
      <c r="B52" s="1" t="s">
        <v>413</v>
      </c>
      <c r="C52" s="1" t="s">
        <v>366</v>
      </c>
      <c r="D52" s="145" t="s">
        <v>436</v>
      </c>
    </row>
    <row r="53" spans="2:6">
      <c r="B53" s="1" t="s">
        <v>414</v>
      </c>
      <c r="C53" s="1" t="s">
        <v>394</v>
      </c>
      <c r="D53" s="146" t="s">
        <v>442</v>
      </c>
      <c r="E53" s="1" t="s">
        <v>438</v>
      </c>
    </row>
    <row r="54" spans="2:6">
      <c r="B54" s="1" t="s">
        <v>415</v>
      </c>
      <c r="C54" s="1" t="s">
        <v>395</v>
      </c>
      <c r="D54" s="146" t="s">
        <v>403</v>
      </c>
      <c r="E54" s="1" t="s">
        <v>439</v>
      </c>
    </row>
    <row r="55" spans="2:6">
      <c r="B55" s="1" t="s">
        <v>416</v>
      </c>
      <c r="C55" s="1" t="s">
        <v>396</v>
      </c>
      <c r="D55" s="146" t="s">
        <v>403</v>
      </c>
      <c r="E55" s="1" t="s">
        <v>439</v>
      </c>
    </row>
    <row r="56" spans="2:6">
      <c r="B56" s="1" t="s">
        <v>417</v>
      </c>
      <c r="C56" s="1" t="s">
        <v>397</v>
      </c>
      <c r="D56" s="146" t="s">
        <v>403</v>
      </c>
      <c r="E56" s="1" t="s">
        <v>440</v>
      </c>
    </row>
    <row r="57" spans="2:6">
      <c r="B57" s="1" t="s">
        <v>418</v>
      </c>
      <c r="C57" s="1" t="s">
        <v>361</v>
      </c>
      <c r="D57" s="146" t="s">
        <v>403</v>
      </c>
      <c r="E57" s="1" t="s">
        <v>441</v>
      </c>
    </row>
    <row r="58" spans="2:6">
      <c r="B58" s="1" t="s">
        <v>419</v>
      </c>
      <c r="C58" s="1" t="s">
        <v>362</v>
      </c>
      <c r="D58" s="146" t="s">
        <v>403</v>
      </c>
      <c r="E58" s="1" t="s">
        <v>444</v>
      </c>
    </row>
    <row r="59" spans="2:6">
      <c r="B59" s="1" t="s">
        <v>420</v>
      </c>
      <c r="C59" s="1" t="s">
        <v>363</v>
      </c>
      <c r="D59" s="146" t="s">
        <v>403</v>
      </c>
      <c r="E59" s="1" t="s">
        <v>440</v>
      </c>
    </row>
    <row r="60" spans="2:6">
      <c r="B60" s="1" t="s">
        <v>421</v>
      </c>
      <c r="C60" s="1" t="s">
        <v>398</v>
      </c>
      <c r="D60" s="146" t="s">
        <v>403</v>
      </c>
      <c r="E60" s="1" t="s">
        <v>440</v>
      </c>
    </row>
    <row r="61" spans="2:6">
      <c r="B61" s="1" t="s">
        <v>422</v>
      </c>
      <c r="C61" s="1" t="s">
        <v>365</v>
      </c>
      <c r="D61" s="145" t="s">
        <v>436</v>
      </c>
      <c r="E61" s="1" t="s">
        <v>445</v>
      </c>
    </row>
    <row r="62" spans="2:6">
      <c r="B62" s="1" t="s">
        <v>423</v>
      </c>
      <c r="C62" s="1" t="s">
        <v>399</v>
      </c>
      <c r="D62" s="145" t="s">
        <v>436</v>
      </c>
    </row>
    <row r="63" spans="2:6">
      <c r="B63" s="1" t="s">
        <v>424</v>
      </c>
      <c r="C63" s="1" t="s">
        <v>360</v>
      </c>
      <c r="D63" s="145" t="s">
        <v>436</v>
      </c>
    </row>
    <row r="64" spans="2:6">
      <c r="B64" s="1" t="s">
        <v>425</v>
      </c>
      <c r="C64" s="1" t="s">
        <v>400</v>
      </c>
      <c r="D64" s="145" t="s">
        <v>436</v>
      </c>
      <c r="E64" s="1" t="s">
        <v>446</v>
      </c>
    </row>
    <row r="65" spans="2:5">
      <c r="B65" s="1" t="s">
        <v>426</v>
      </c>
      <c r="C65" s="1" t="s">
        <v>401</v>
      </c>
      <c r="D65" s="145" t="s">
        <v>436</v>
      </c>
      <c r="E65" s="1" t="s">
        <v>447</v>
      </c>
    </row>
    <row r="66" spans="2:5">
      <c r="B66" s="1" t="s">
        <v>427</v>
      </c>
      <c r="C66" s="1" t="s">
        <v>402</v>
      </c>
      <c r="D66" s="145" t="s">
        <v>436</v>
      </c>
    </row>
    <row r="67" spans="2:5">
      <c r="B67" s="1" t="s">
        <v>428</v>
      </c>
      <c r="C67" s="1" t="s">
        <v>404</v>
      </c>
      <c r="D67" s="146" t="s">
        <v>403</v>
      </c>
      <c r="E67" s="1" t="s">
        <v>448</v>
      </c>
    </row>
    <row r="68" spans="2:5">
      <c r="B68" s="1" t="s">
        <v>429</v>
      </c>
      <c r="C68" s="1" t="s">
        <v>367</v>
      </c>
      <c r="D68" s="146" t="s">
        <v>403</v>
      </c>
      <c r="E68" s="1" t="s">
        <v>448</v>
      </c>
    </row>
    <row r="69" spans="2:5">
      <c r="B69" s="1" t="s">
        <v>430</v>
      </c>
      <c r="C69" s="1" t="s">
        <v>405</v>
      </c>
      <c r="D69" s="146" t="s">
        <v>403</v>
      </c>
      <c r="E69" s="1" t="s">
        <v>440</v>
      </c>
    </row>
    <row r="70" spans="2:5">
      <c r="B70" s="1" t="s">
        <v>431</v>
      </c>
      <c r="C70" s="1" t="s">
        <v>406</v>
      </c>
      <c r="D70" s="146" t="s">
        <v>403</v>
      </c>
      <c r="E70" s="1" t="s">
        <v>440</v>
      </c>
    </row>
    <row r="71" spans="2:5">
      <c r="B71" s="1" t="s">
        <v>432</v>
      </c>
      <c r="C71" s="1" t="s">
        <v>407</v>
      </c>
      <c r="D71" s="145" t="s">
        <v>436</v>
      </c>
      <c r="E71" s="1" t="s">
        <v>449</v>
      </c>
    </row>
    <row r="72" spans="2:5">
      <c r="B72" s="1" t="s">
        <v>433</v>
      </c>
      <c r="C72" s="1" t="s">
        <v>408</v>
      </c>
      <c r="D72" s="146" t="s">
        <v>403</v>
      </c>
      <c r="E72" s="1" t="s">
        <v>450</v>
      </c>
    </row>
    <row r="73" spans="2:5">
      <c r="B73" s="1" t="s">
        <v>434</v>
      </c>
      <c r="C73" s="1" t="s">
        <v>409</v>
      </c>
      <c r="D73" s="146" t="s">
        <v>403</v>
      </c>
      <c r="E73" s="1" t="s">
        <v>451</v>
      </c>
    </row>
    <row r="74" spans="2:5">
      <c r="B74" s="1" t="s">
        <v>435</v>
      </c>
      <c r="C74" s="1" t="s">
        <v>410</v>
      </c>
      <c r="D74" s="146" t="s">
        <v>403</v>
      </c>
      <c r="E74" s="1" t="s">
        <v>452</v>
      </c>
    </row>
    <row r="75" spans="2:5">
      <c r="D75" s="146"/>
    </row>
  </sheetData>
  <mergeCells count="8">
    <mergeCell ref="D11:I11"/>
    <mergeCell ref="D12:I12"/>
    <mergeCell ref="D5:G5"/>
    <mergeCell ref="D6:G6"/>
    <mergeCell ref="D7:I7"/>
    <mergeCell ref="D8:G8"/>
    <mergeCell ref="D9:G9"/>
    <mergeCell ref="D10:G10"/>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sheetPr>
    <tabColor rgb="FF0070C0"/>
  </sheetPr>
  <dimension ref="A1:G97"/>
  <sheetViews>
    <sheetView showGridLines="0" view="pageBreakPreview" topLeftCell="A64" zoomScale="85" zoomScaleNormal="100" zoomScaleSheetLayoutView="85" workbookViewId="0">
      <selection activeCell="E25" sqref="E25"/>
    </sheetView>
  </sheetViews>
  <sheetFormatPr defaultColWidth="9.33203125" defaultRowHeight="13.2"/>
  <cols>
    <col min="1" max="1" width="55.6640625" style="32" customWidth="1"/>
    <col min="2" max="2" width="9.5546875" style="32" customWidth="1"/>
    <col min="3" max="3" width="9.33203125" style="32"/>
    <col min="4" max="5" width="20" style="32" customWidth="1"/>
    <col min="6" max="6" width="19.33203125" style="32" customWidth="1"/>
    <col min="7" max="7" width="19.33203125" style="32" bestFit="1" customWidth="1"/>
    <col min="8" max="16384" width="9.33203125" style="32"/>
  </cols>
  <sheetData>
    <row r="1" spans="1:7" ht="23.25" customHeight="1">
      <c r="A1" s="443" t="s">
        <v>958</v>
      </c>
      <c r="B1" s="443"/>
      <c r="C1" s="443"/>
      <c r="D1" s="443"/>
      <c r="E1" s="443"/>
      <c r="F1" s="443"/>
      <c r="G1" s="443"/>
    </row>
    <row r="2" spans="1:7" ht="27.75" customHeight="1">
      <c r="A2" s="444" t="s">
        <v>136</v>
      </c>
      <c r="B2" s="444"/>
      <c r="C2" s="444"/>
      <c r="D2" s="444"/>
      <c r="E2" s="444"/>
      <c r="F2" s="444"/>
      <c r="G2" s="444"/>
    </row>
    <row r="3" spans="1:7" ht="15" customHeight="1">
      <c r="A3" s="445" t="s">
        <v>137</v>
      </c>
      <c r="B3" s="445"/>
      <c r="C3" s="445"/>
      <c r="D3" s="445"/>
      <c r="E3" s="445"/>
      <c r="F3" s="445"/>
      <c r="G3" s="445"/>
    </row>
    <row r="4" spans="1:7" ht="18.75" customHeight="1">
      <c r="A4" s="445"/>
      <c r="B4" s="445"/>
      <c r="C4" s="445"/>
      <c r="D4" s="445"/>
      <c r="E4" s="445"/>
      <c r="F4" s="445"/>
      <c r="G4" s="445"/>
    </row>
    <row r="5" spans="1:7">
      <c r="A5" s="446" t="s">
        <v>995</v>
      </c>
      <c r="B5" s="446"/>
      <c r="C5" s="446"/>
      <c r="D5" s="446"/>
      <c r="E5" s="446"/>
      <c r="F5" s="446"/>
      <c r="G5" s="446"/>
    </row>
    <row r="6" spans="1:7">
      <c r="A6" s="18"/>
      <c r="B6" s="18"/>
      <c r="C6" s="18"/>
      <c r="D6" s="18"/>
      <c r="E6" s="30"/>
      <c r="F6" s="30"/>
      <c r="G6" s="30"/>
    </row>
    <row r="7" spans="1:7" ht="12.75" customHeight="1">
      <c r="A7" s="163" t="s">
        <v>455</v>
      </c>
      <c r="B7" s="442" t="s">
        <v>466</v>
      </c>
      <c r="C7" s="442"/>
      <c r="D7" s="442"/>
      <c r="E7" s="442"/>
      <c r="F7" s="442"/>
      <c r="G7" s="442"/>
    </row>
    <row r="8" spans="1:7" ht="18" customHeight="1">
      <c r="A8" s="365" t="s">
        <v>947</v>
      </c>
      <c r="B8" s="440" t="s">
        <v>605</v>
      </c>
      <c r="C8" s="440"/>
      <c r="D8" s="440"/>
      <c r="E8" s="440"/>
      <c r="F8" s="440"/>
      <c r="G8" s="440"/>
    </row>
    <row r="9" spans="1:7" ht="17.25" customHeight="1">
      <c r="A9" s="427" t="s">
        <v>457</v>
      </c>
      <c r="B9" s="453" t="s">
        <v>986</v>
      </c>
      <c r="C9" s="453"/>
      <c r="D9" s="453"/>
      <c r="E9" s="453"/>
      <c r="F9" s="453"/>
      <c r="G9" s="453"/>
    </row>
    <row r="10" spans="1:7" ht="12.75" customHeight="1">
      <c r="A10" s="19" t="s">
        <v>459</v>
      </c>
      <c r="B10" s="440" t="s">
        <v>460</v>
      </c>
      <c r="C10" s="440"/>
      <c r="D10" s="440"/>
      <c r="E10" s="440"/>
      <c r="F10" s="440"/>
      <c r="G10" s="440"/>
    </row>
    <row r="11" spans="1:7" ht="12.75" customHeight="1">
      <c r="A11" s="165" t="s">
        <v>392</v>
      </c>
      <c r="B11" s="442" t="s">
        <v>492</v>
      </c>
      <c r="C11" s="442"/>
      <c r="D11" s="442"/>
      <c r="E11" s="442"/>
      <c r="F11" s="442"/>
      <c r="G11" s="442"/>
    </row>
    <row r="12" spans="1:7" ht="12.75" customHeight="1">
      <c r="A12" s="140" t="s">
        <v>390</v>
      </c>
      <c r="B12" s="440" t="s">
        <v>491</v>
      </c>
      <c r="C12" s="440"/>
      <c r="D12" s="440"/>
      <c r="E12" s="440"/>
      <c r="F12" s="440"/>
      <c r="G12" s="440"/>
    </row>
    <row r="13" spans="1:7" ht="12.75" customHeight="1">
      <c r="A13" s="20" t="s">
        <v>138</v>
      </c>
      <c r="B13" s="454" t="s">
        <v>996</v>
      </c>
      <c r="C13" s="442"/>
      <c r="D13" s="442"/>
      <c r="E13" s="442"/>
      <c r="F13" s="442"/>
      <c r="G13" s="442"/>
    </row>
    <row r="14" spans="1:7">
      <c r="A14" s="21" t="s">
        <v>139</v>
      </c>
      <c r="B14" s="438">
        <v>43564</v>
      </c>
      <c r="C14" s="438"/>
      <c r="D14" s="438"/>
      <c r="E14" s="438"/>
      <c r="F14" s="438"/>
      <c r="G14" s="438"/>
    </row>
    <row r="15" spans="1:7" ht="9" customHeight="1">
      <c r="A15" s="21"/>
      <c r="B15" s="21"/>
      <c r="C15" s="21"/>
      <c r="D15" s="21"/>
      <c r="E15" s="192"/>
      <c r="F15" s="192"/>
      <c r="G15" s="192"/>
    </row>
    <row r="16" spans="1:7" ht="39" customHeight="1">
      <c r="A16" s="448" t="s">
        <v>140</v>
      </c>
      <c r="B16" s="448" t="s">
        <v>141</v>
      </c>
      <c r="C16" s="448" t="s">
        <v>142</v>
      </c>
      <c r="D16" s="451" t="s">
        <v>993</v>
      </c>
      <c r="E16" s="452"/>
      <c r="F16" s="451" t="s">
        <v>865</v>
      </c>
      <c r="G16" s="452"/>
    </row>
    <row r="17" spans="1:7" ht="66">
      <c r="A17" s="449"/>
      <c r="B17" s="449"/>
      <c r="C17" s="450"/>
      <c r="D17" s="35" t="s">
        <v>992</v>
      </c>
      <c r="E17" s="35" t="s">
        <v>593</v>
      </c>
      <c r="F17" s="35" t="s">
        <v>992</v>
      </c>
      <c r="G17" s="35" t="s">
        <v>593</v>
      </c>
    </row>
    <row r="18" spans="1:7" ht="32.25" customHeight="1">
      <c r="A18" s="217" t="s">
        <v>143</v>
      </c>
      <c r="B18" s="326" t="s">
        <v>8</v>
      </c>
      <c r="C18" s="37"/>
      <c r="D18" s="148">
        <v>56761359281</v>
      </c>
      <c r="E18" s="148">
        <v>56761359281</v>
      </c>
      <c r="F18" s="148">
        <v>227268342889</v>
      </c>
      <c r="G18" s="148">
        <v>227268342889</v>
      </c>
    </row>
    <row r="19" spans="1:7" ht="32.25" customHeight="1">
      <c r="A19" s="215" t="s">
        <v>955</v>
      </c>
      <c r="B19" s="327" t="s">
        <v>9</v>
      </c>
      <c r="C19" s="203"/>
      <c r="D19" s="415">
        <v>3115371259</v>
      </c>
      <c r="E19" s="415">
        <v>3115371259</v>
      </c>
      <c r="F19" s="415">
        <v>1360695200</v>
      </c>
      <c r="G19" s="415">
        <v>1360695200</v>
      </c>
    </row>
    <row r="20" spans="1:7" s="285" customFormat="1" ht="32.25" customHeight="1">
      <c r="A20" s="215" t="s">
        <v>597</v>
      </c>
      <c r="B20" s="328" t="s">
        <v>495</v>
      </c>
      <c r="C20" s="204"/>
      <c r="D20" s="415">
        <v>732224000</v>
      </c>
      <c r="E20" s="415">
        <v>732224000</v>
      </c>
      <c r="F20" s="415">
        <v>1360695200</v>
      </c>
      <c r="G20" s="415">
        <v>1360695200</v>
      </c>
    </row>
    <row r="21" spans="1:7" s="285" customFormat="1" ht="32.25" customHeight="1">
      <c r="A21" s="215" t="s">
        <v>606</v>
      </c>
      <c r="B21" s="328" t="s">
        <v>496</v>
      </c>
      <c r="C21" s="199"/>
      <c r="D21" s="415">
        <v>2383147259</v>
      </c>
      <c r="E21" s="415">
        <v>2383147259</v>
      </c>
      <c r="F21" s="415">
        <v>0</v>
      </c>
      <c r="G21" s="415">
        <v>0</v>
      </c>
    </row>
    <row r="22" spans="1:7" ht="32.25" customHeight="1">
      <c r="A22" s="216" t="s">
        <v>598</v>
      </c>
      <c r="B22" s="329" t="s">
        <v>10</v>
      </c>
      <c r="C22" s="240"/>
      <c r="D22" s="415">
        <v>3162991635</v>
      </c>
      <c r="E22" s="415">
        <v>3162991635</v>
      </c>
      <c r="F22" s="415">
        <v>2255523189</v>
      </c>
      <c r="G22" s="415">
        <v>2255523189</v>
      </c>
    </row>
    <row r="23" spans="1:7" s="285" customFormat="1" ht="40.200000000000003" customHeight="1">
      <c r="A23" s="215" t="s">
        <v>956</v>
      </c>
      <c r="B23" s="328" t="s">
        <v>498</v>
      </c>
      <c r="C23" s="199"/>
      <c r="D23" s="415">
        <v>148983073</v>
      </c>
      <c r="E23" s="415">
        <v>148983073</v>
      </c>
      <c r="F23" s="415">
        <v>44273190</v>
      </c>
      <c r="G23" s="415">
        <v>44273190</v>
      </c>
    </row>
    <row r="24" spans="1:7" s="285" customFormat="1" ht="38.700000000000003" customHeight="1">
      <c r="A24" s="215" t="s">
        <v>497</v>
      </c>
      <c r="B24" s="328" t="s">
        <v>499</v>
      </c>
      <c r="C24" s="199"/>
      <c r="D24" s="415">
        <v>3014008562</v>
      </c>
      <c r="E24" s="415">
        <v>3014008562</v>
      </c>
      <c r="F24" s="415">
        <v>2211249999</v>
      </c>
      <c r="G24" s="415">
        <v>2211249999</v>
      </c>
    </row>
    <row r="25" spans="1:7" ht="32.25" customHeight="1">
      <c r="A25" s="216" t="s">
        <v>599</v>
      </c>
      <c r="B25" s="329" t="s">
        <v>19</v>
      </c>
      <c r="C25" s="240"/>
      <c r="D25" s="415">
        <v>1788720109</v>
      </c>
      <c r="E25" s="415">
        <v>1788720109</v>
      </c>
      <c r="F25" s="415">
        <v>40628460000</v>
      </c>
      <c r="G25" s="415">
        <v>40628460000</v>
      </c>
    </row>
    <row r="26" spans="1:7" ht="42.75" customHeight="1">
      <c r="A26" s="216" t="s">
        <v>600</v>
      </c>
      <c r="B26" s="329" t="s">
        <v>20</v>
      </c>
      <c r="C26" s="33"/>
      <c r="D26" s="415">
        <v>48694276278</v>
      </c>
      <c r="E26" s="415">
        <v>48694276278</v>
      </c>
      <c r="F26" s="415">
        <v>183023664500</v>
      </c>
      <c r="G26" s="415">
        <v>183023664500</v>
      </c>
    </row>
    <row r="27" spans="1:7" ht="29.25" customHeight="1">
      <c r="A27" s="23" t="s">
        <v>601</v>
      </c>
      <c r="B27" s="329" t="s">
        <v>21</v>
      </c>
      <c r="C27" s="33"/>
      <c r="D27" s="415">
        <v>0</v>
      </c>
      <c r="E27" s="415">
        <v>0</v>
      </c>
      <c r="F27" s="415">
        <v>0</v>
      </c>
      <c r="G27" s="415">
        <v>0</v>
      </c>
    </row>
    <row r="28" spans="1:7" ht="33.75" customHeight="1">
      <c r="A28" s="216" t="s">
        <v>602</v>
      </c>
      <c r="B28" s="329" t="s">
        <v>22</v>
      </c>
      <c r="C28" s="33"/>
      <c r="D28" s="415">
        <v>0</v>
      </c>
      <c r="E28" s="415">
        <v>0</v>
      </c>
      <c r="F28" s="415">
        <v>0</v>
      </c>
      <c r="G28" s="415">
        <v>0</v>
      </c>
    </row>
    <row r="29" spans="1:7" ht="32.25" customHeight="1">
      <c r="A29" s="216" t="s">
        <v>603</v>
      </c>
      <c r="B29" s="329" t="s">
        <v>23</v>
      </c>
      <c r="C29" s="33"/>
      <c r="D29" s="415">
        <v>0</v>
      </c>
      <c r="E29" s="415">
        <v>0</v>
      </c>
      <c r="F29" s="415">
        <v>0</v>
      </c>
      <c r="G29" s="415">
        <v>0</v>
      </c>
    </row>
    <row r="30" spans="1:7" ht="66.75" customHeight="1">
      <c r="A30" s="216" t="s">
        <v>604</v>
      </c>
      <c r="B30" s="329" t="s">
        <v>24</v>
      </c>
      <c r="C30" s="33"/>
      <c r="D30" s="415">
        <v>0</v>
      </c>
      <c r="E30" s="415">
        <v>0</v>
      </c>
      <c r="F30" s="415">
        <v>0</v>
      </c>
      <c r="G30" s="415">
        <v>0</v>
      </c>
    </row>
    <row r="31" spans="1:7" ht="30.75" customHeight="1">
      <c r="A31" s="36" t="s">
        <v>144</v>
      </c>
      <c r="B31" s="326" t="s">
        <v>18</v>
      </c>
      <c r="C31" s="37"/>
      <c r="D31" s="418">
        <v>693503424</v>
      </c>
      <c r="E31" s="418">
        <v>693503424</v>
      </c>
      <c r="F31" s="418">
        <v>1023665438</v>
      </c>
      <c r="G31" s="418">
        <v>1023665438</v>
      </c>
    </row>
    <row r="32" spans="1:7" ht="30.75" customHeight="1">
      <c r="A32" s="216" t="s">
        <v>145</v>
      </c>
      <c r="B32" s="329" t="s">
        <v>17</v>
      </c>
      <c r="C32" s="33"/>
      <c r="D32" s="415">
        <v>693503424</v>
      </c>
      <c r="E32" s="415">
        <v>693503424</v>
      </c>
      <c r="F32" s="415">
        <v>1020639918</v>
      </c>
      <c r="G32" s="415">
        <v>1020639918</v>
      </c>
    </row>
    <row r="33" spans="1:7" s="219" customFormat="1" ht="39.75" customHeight="1">
      <c r="A33" s="215" t="s">
        <v>146</v>
      </c>
      <c r="B33" s="330">
        <v>11.1</v>
      </c>
      <c r="C33" s="41"/>
      <c r="D33" s="415">
        <v>690917574</v>
      </c>
      <c r="E33" s="415">
        <v>690917574</v>
      </c>
      <c r="F33" s="415">
        <v>1016808393</v>
      </c>
      <c r="G33" s="415">
        <v>1016808393</v>
      </c>
    </row>
    <row r="34" spans="1:7" s="34" customFormat="1" ht="42.75" customHeight="1">
      <c r="A34" s="215" t="s">
        <v>147</v>
      </c>
      <c r="B34" s="330">
        <v>11.2</v>
      </c>
      <c r="C34" s="41"/>
      <c r="D34" s="415">
        <v>2585850</v>
      </c>
      <c r="E34" s="415">
        <v>2585850</v>
      </c>
      <c r="F34" s="415">
        <v>3831525</v>
      </c>
      <c r="G34" s="415">
        <v>3831525</v>
      </c>
    </row>
    <row r="35" spans="1:7" ht="45" customHeight="1">
      <c r="A35" s="216" t="s">
        <v>148</v>
      </c>
      <c r="B35" s="329" t="s">
        <v>16</v>
      </c>
      <c r="C35" s="33"/>
      <c r="D35" s="415">
        <v>0</v>
      </c>
      <c r="E35" s="415">
        <v>0</v>
      </c>
      <c r="F35" s="415">
        <v>0</v>
      </c>
      <c r="G35" s="415">
        <v>0</v>
      </c>
    </row>
    <row r="36" spans="1:7" ht="30.75" customHeight="1">
      <c r="A36" s="215" t="s">
        <v>594</v>
      </c>
      <c r="B36" s="329" t="s">
        <v>15</v>
      </c>
      <c r="C36" s="33"/>
      <c r="D36" s="415">
        <v>0</v>
      </c>
      <c r="E36" s="415">
        <v>0</v>
      </c>
      <c r="F36" s="415">
        <v>0</v>
      </c>
      <c r="G36" s="415">
        <v>0</v>
      </c>
    </row>
    <row r="37" spans="1:7" ht="54" customHeight="1">
      <c r="A37" s="216" t="s">
        <v>149</v>
      </c>
      <c r="B37" s="329" t="s">
        <v>14</v>
      </c>
      <c r="C37" s="33"/>
      <c r="D37" s="415">
        <v>0</v>
      </c>
      <c r="E37" s="415">
        <v>0</v>
      </c>
      <c r="F37" s="415">
        <v>0</v>
      </c>
      <c r="G37" s="415">
        <v>0</v>
      </c>
    </row>
    <row r="38" spans="1:7" ht="30.75" customHeight="1">
      <c r="A38" s="216" t="s">
        <v>150</v>
      </c>
      <c r="B38" s="329" t="s">
        <v>25</v>
      </c>
      <c r="C38" s="33"/>
      <c r="D38" s="415">
        <v>0</v>
      </c>
      <c r="E38" s="415">
        <v>0</v>
      </c>
      <c r="F38" s="415">
        <v>3025520</v>
      </c>
      <c r="G38" s="415">
        <v>3025520</v>
      </c>
    </row>
    <row r="39" spans="1:7" ht="30.75" customHeight="1">
      <c r="A39" s="217" t="s">
        <v>151</v>
      </c>
      <c r="B39" s="326" t="s">
        <v>26</v>
      </c>
      <c r="C39" s="37"/>
      <c r="D39" s="418">
        <v>5712739970</v>
      </c>
      <c r="E39" s="418">
        <v>5712739970</v>
      </c>
      <c r="F39" s="418">
        <v>6973599427</v>
      </c>
      <c r="G39" s="418">
        <v>6973599427</v>
      </c>
    </row>
    <row r="40" spans="1:7" ht="30.75" customHeight="1">
      <c r="A40" s="216" t="s">
        <v>152</v>
      </c>
      <c r="B40" s="329" t="s">
        <v>27</v>
      </c>
      <c r="C40" s="33"/>
      <c r="D40" s="415">
        <v>5235839820</v>
      </c>
      <c r="E40" s="415">
        <v>5235839820</v>
      </c>
      <c r="F40" s="415">
        <v>6361745008</v>
      </c>
      <c r="G40" s="415">
        <v>6361745008</v>
      </c>
    </row>
    <row r="41" spans="1:7" ht="30.75" customHeight="1">
      <c r="A41" s="215" t="s">
        <v>153</v>
      </c>
      <c r="B41" s="331" t="s">
        <v>29</v>
      </c>
      <c r="C41" s="41"/>
      <c r="D41" s="415">
        <v>141097252</v>
      </c>
      <c r="E41" s="415">
        <v>141097252</v>
      </c>
      <c r="F41" s="415">
        <v>192328363</v>
      </c>
      <c r="G41" s="415">
        <v>192328363</v>
      </c>
    </row>
    <row r="42" spans="1:7" s="34" customFormat="1" ht="30.75" customHeight="1">
      <c r="A42" s="225" t="s">
        <v>475</v>
      </c>
      <c r="B42" s="330" t="s">
        <v>154</v>
      </c>
      <c r="C42" s="199"/>
      <c r="D42" s="415">
        <v>107401841</v>
      </c>
      <c r="E42" s="415">
        <v>107401841</v>
      </c>
      <c r="F42" s="415">
        <v>130497334</v>
      </c>
      <c r="G42" s="415">
        <v>130497334</v>
      </c>
    </row>
    <row r="43" spans="1:7" s="34" customFormat="1" ht="30.75" customHeight="1">
      <c r="A43" s="225" t="s">
        <v>370</v>
      </c>
      <c r="B43" s="330" t="s">
        <v>156</v>
      </c>
      <c r="C43" s="199"/>
      <c r="D43" s="415">
        <v>11100000</v>
      </c>
      <c r="E43" s="415">
        <v>11100000</v>
      </c>
      <c r="F43" s="415">
        <v>40100000</v>
      </c>
      <c r="G43" s="415">
        <v>40100000</v>
      </c>
    </row>
    <row r="44" spans="1:7" s="34" customFormat="1" ht="30.75" customHeight="1">
      <c r="A44" s="225" t="s">
        <v>470</v>
      </c>
      <c r="B44" s="330" t="s">
        <v>471</v>
      </c>
      <c r="C44" s="199"/>
      <c r="D44" s="415">
        <v>22595411</v>
      </c>
      <c r="E44" s="415">
        <v>22595411</v>
      </c>
      <c r="F44" s="415">
        <v>21731029</v>
      </c>
      <c r="G44" s="415">
        <v>21731029</v>
      </c>
    </row>
    <row r="45" spans="1:7" ht="30.75" customHeight="1">
      <c r="A45" s="215" t="s">
        <v>157</v>
      </c>
      <c r="B45" s="331" t="s">
        <v>30</v>
      </c>
      <c r="C45" s="41"/>
      <c r="D45" s="415">
        <v>118142026</v>
      </c>
      <c r="E45" s="415">
        <v>118142026</v>
      </c>
      <c r="F45" s="415">
        <v>143547068</v>
      </c>
      <c r="G45" s="415">
        <v>143547068</v>
      </c>
    </row>
    <row r="46" spans="1:7" ht="30.75" customHeight="1">
      <c r="A46" s="215" t="s">
        <v>158</v>
      </c>
      <c r="B46" s="331" t="s">
        <v>31</v>
      </c>
      <c r="C46" s="41"/>
      <c r="D46" s="415">
        <v>73838765</v>
      </c>
      <c r="E46" s="415">
        <v>73838765</v>
      </c>
      <c r="F46" s="415">
        <v>89716918</v>
      </c>
      <c r="G46" s="415">
        <v>89716918</v>
      </c>
    </row>
    <row r="47" spans="1:7" ht="30.75" customHeight="1">
      <c r="A47" s="215" t="s">
        <v>159</v>
      </c>
      <c r="B47" s="331" t="s">
        <v>32</v>
      </c>
      <c r="C47" s="41"/>
      <c r="D47" s="415">
        <v>33000000</v>
      </c>
      <c r="E47" s="415">
        <v>33000000</v>
      </c>
      <c r="F47" s="415">
        <v>33000000</v>
      </c>
      <c r="G47" s="415">
        <v>33000000</v>
      </c>
    </row>
    <row r="48" spans="1:7" ht="30.75" customHeight="1">
      <c r="A48" s="215" t="s">
        <v>160</v>
      </c>
      <c r="B48" s="332" t="s">
        <v>33</v>
      </c>
      <c r="C48" s="41"/>
      <c r="D48" s="415">
        <v>0</v>
      </c>
      <c r="E48" s="415">
        <v>0</v>
      </c>
      <c r="F48" s="415">
        <v>0</v>
      </c>
      <c r="G48" s="415">
        <v>0</v>
      </c>
    </row>
    <row r="49" spans="1:7" ht="30.75" customHeight="1">
      <c r="A49" s="215" t="s">
        <v>161</v>
      </c>
      <c r="B49" s="332" t="s">
        <v>34</v>
      </c>
      <c r="C49" s="41"/>
      <c r="D49" s="415">
        <v>0</v>
      </c>
      <c r="E49" s="415">
        <v>0</v>
      </c>
      <c r="F49" s="415">
        <v>6042946</v>
      </c>
      <c r="G49" s="415">
        <v>6042946</v>
      </c>
    </row>
    <row r="50" spans="1:7" ht="30.75" customHeight="1">
      <c r="A50" s="215" t="s">
        <v>162</v>
      </c>
      <c r="B50" s="332" t="s">
        <v>35</v>
      </c>
      <c r="C50" s="41"/>
      <c r="D50" s="415">
        <v>48391678</v>
      </c>
      <c r="E50" s="415">
        <v>48391678</v>
      </c>
      <c r="F50" s="415">
        <v>44753414</v>
      </c>
      <c r="G50" s="415">
        <v>44753414</v>
      </c>
    </row>
    <row r="51" spans="1:7" ht="30.75" customHeight="1">
      <c r="A51" s="215" t="s">
        <v>163</v>
      </c>
      <c r="B51" s="332" t="s">
        <v>36</v>
      </c>
      <c r="C51" s="41"/>
      <c r="D51" s="415">
        <v>0</v>
      </c>
      <c r="E51" s="415">
        <v>0</v>
      </c>
      <c r="F51" s="415">
        <v>0</v>
      </c>
      <c r="G51" s="415">
        <v>0</v>
      </c>
    </row>
    <row r="52" spans="1:7" ht="30.75" customHeight="1">
      <c r="A52" s="215" t="s">
        <v>164</v>
      </c>
      <c r="B52" s="327" t="s">
        <v>28</v>
      </c>
      <c r="C52" s="41"/>
      <c r="D52" s="415">
        <v>62430429</v>
      </c>
      <c r="E52" s="415">
        <v>62430429</v>
      </c>
      <c r="F52" s="415">
        <v>102465710</v>
      </c>
      <c r="G52" s="415">
        <v>102465710</v>
      </c>
    </row>
    <row r="53" spans="1:7" ht="30.75" customHeight="1">
      <c r="A53" s="215" t="s">
        <v>165</v>
      </c>
      <c r="B53" s="328" t="s">
        <v>375</v>
      </c>
      <c r="C53" s="41"/>
      <c r="D53" s="415">
        <v>55191764</v>
      </c>
      <c r="E53" s="415">
        <v>55191764</v>
      </c>
      <c r="F53" s="415">
        <v>55191765</v>
      </c>
      <c r="G53" s="415">
        <v>55191765</v>
      </c>
    </row>
    <row r="54" spans="1:7" ht="30.75" customHeight="1">
      <c r="A54" s="215" t="s">
        <v>166</v>
      </c>
      <c r="B54" s="328" t="s">
        <v>376</v>
      </c>
      <c r="C54" s="41"/>
      <c r="D54" s="415">
        <v>0</v>
      </c>
      <c r="E54" s="415">
        <v>0</v>
      </c>
      <c r="F54" s="415">
        <v>10274822</v>
      </c>
      <c r="G54" s="415">
        <v>10274822</v>
      </c>
    </row>
    <row r="55" spans="1:7" ht="30.75" customHeight="1">
      <c r="A55" s="216" t="s">
        <v>167</v>
      </c>
      <c r="B55" s="333" t="s">
        <v>377</v>
      </c>
      <c r="C55" s="33"/>
      <c r="D55" s="415">
        <v>0</v>
      </c>
      <c r="E55" s="415">
        <v>0</v>
      </c>
      <c r="F55" s="415">
        <v>5565690</v>
      </c>
      <c r="G55" s="415">
        <v>5565690</v>
      </c>
    </row>
    <row r="56" spans="1:7" ht="30.75" customHeight="1">
      <c r="A56" s="216" t="s">
        <v>373</v>
      </c>
      <c r="B56" s="333" t="s">
        <v>378</v>
      </c>
      <c r="C56" s="33"/>
      <c r="D56" s="415">
        <v>0</v>
      </c>
      <c r="E56" s="415">
        <v>0</v>
      </c>
      <c r="F56" s="415">
        <v>19230000</v>
      </c>
      <c r="G56" s="415">
        <v>19230000</v>
      </c>
    </row>
    <row r="57" spans="1:7" ht="30.75" customHeight="1">
      <c r="A57" s="215" t="s">
        <v>617</v>
      </c>
      <c r="B57" s="328" t="s">
        <v>379</v>
      </c>
      <c r="C57" s="33"/>
      <c r="D57" s="415">
        <v>0</v>
      </c>
      <c r="E57" s="415">
        <v>0</v>
      </c>
      <c r="F57" s="415">
        <v>0</v>
      </c>
      <c r="G57" s="415">
        <v>0</v>
      </c>
    </row>
    <row r="58" spans="1:7" ht="30.75" customHeight="1">
      <c r="A58" s="216" t="s">
        <v>372</v>
      </c>
      <c r="B58" s="333" t="s">
        <v>380</v>
      </c>
      <c r="C58" s="33"/>
      <c r="D58" s="415">
        <v>0</v>
      </c>
      <c r="E58" s="415">
        <v>0</v>
      </c>
      <c r="F58" s="415">
        <v>0</v>
      </c>
      <c r="G58" s="415">
        <v>0</v>
      </c>
    </row>
    <row r="59" spans="1:7" s="34" customFormat="1" ht="30.75" customHeight="1">
      <c r="A59" s="215" t="s">
        <v>825</v>
      </c>
      <c r="B59" s="328" t="s">
        <v>381</v>
      </c>
      <c r="C59" s="41"/>
      <c r="D59" s="415">
        <v>0</v>
      </c>
      <c r="E59" s="415">
        <v>0</v>
      </c>
      <c r="F59" s="415">
        <v>2465744</v>
      </c>
      <c r="G59" s="415">
        <v>2465744</v>
      </c>
    </row>
    <row r="60" spans="1:7" ht="30.75" customHeight="1">
      <c r="A60" s="216" t="s">
        <v>169</v>
      </c>
      <c r="B60" s="333" t="s">
        <v>382</v>
      </c>
      <c r="C60" s="33"/>
      <c r="D60" s="415">
        <v>6138665</v>
      </c>
      <c r="E60" s="415">
        <v>6138665</v>
      </c>
      <c r="F60" s="415">
        <v>9737689</v>
      </c>
      <c r="G60" s="415">
        <v>9737689</v>
      </c>
    </row>
    <row r="61" spans="1:7" ht="30.75" customHeight="1">
      <c r="A61" s="215" t="s">
        <v>168</v>
      </c>
      <c r="B61" s="328" t="s">
        <v>383</v>
      </c>
      <c r="C61" s="41"/>
      <c r="D61" s="415">
        <v>0</v>
      </c>
      <c r="E61" s="415">
        <v>0</v>
      </c>
      <c r="F61" s="415">
        <v>0</v>
      </c>
      <c r="G61" s="415">
        <v>0</v>
      </c>
    </row>
    <row r="62" spans="1:7" s="34" customFormat="1" ht="35.25" customHeight="1">
      <c r="A62" s="215" t="s">
        <v>476</v>
      </c>
      <c r="B62" s="328" t="s">
        <v>384</v>
      </c>
      <c r="C62" s="41"/>
      <c r="D62" s="415">
        <v>0</v>
      </c>
      <c r="E62" s="415">
        <v>0</v>
      </c>
      <c r="F62" s="415">
        <v>0</v>
      </c>
      <c r="G62" s="415">
        <v>0</v>
      </c>
    </row>
    <row r="63" spans="1:7" s="34" customFormat="1" ht="29.25" customHeight="1">
      <c r="A63" s="215" t="s">
        <v>620</v>
      </c>
      <c r="B63" s="328" t="s">
        <v>477</v>
      </c>
      <c r="C63" s="199"/>
      <c r="D63" s="415">
        <v>1100000</v>
      </c>
      <c r="E63" s="415">
        <v>1100000</v>
      </c>
      <c r="F63" s="415">
        <v>0</v>
      </c>
      <c r="G63" s="415">
        <v>0</v>
      </c>
    </row>
    <row r="64" spans="1:7" s="34" customFormat="1" ht="29.25" customHeight="1">
      <c r="A64" s="215" t="s">
        <v>621</v>
      </c>
      <c r="B64" s="328" t="s">
        <v>622</v>
      </c>
      <c r="C64" s="199"/>
      <c r="D64" s="415">
        <v>0</v>
      </c>
      <c r="E64" s="415">
        <v>0</v>
      </c>
      <c r="F64" s="415">
        <v>0</v>
      </c>
      <c r="G64" s="415">
        <v>0</v>
      </c>
    </row>
    <row r="65" spans="1:7" ht="30.75" customHeight="1">
      <c r="A65" s="216" t="s">
        <v>374</v>
      </c>
      <c r="B65" s="333" t="s">
        <v>618</v>
      </c>
      <c r="C65" s="33"/>
      <c r="D65" s="415">
        <v>0</v>
      </c>
      <c r="E65" s="415">
        <v>0</v>
      </c>
      <c r="F65" s="415">
        <v>0</v>
      </c>
      <c r="G65" s="415">
        <v>0</v>
      </c>
    </row>
    <row r="66" spans="1:7" ht="30.75" customHeight="1">
      <c r="A66" s="216" t="s">
        <v>824</v>
      </c>
      <c r="B66" s="333" t="s">
        <v>619</v>
      </c>
      <c r="C66" s="33"/>
      <c r="D66" s="415">
        <v>0</v>
      </c>
      <c r="E66" s="415">
        <v>0</v>
      </c>
      <c r="F66" s="415">
        <v>0</v>
      </c>
      <c r="G66" s="415">
        <v>0</v>
      </c>
    </row>
    <row r="67" spans="1:7" ht="44.25" customHeight="1">
      <c r="A67" s="217" t="s">
        <v>170</v>
      </c>
      <c r="B67" s="334" t="s">
        <v>37</v>
      </c>
      <c r="C67" s="37"/>
      <c r="D67" s="418">
        <v>50355115887</v>
      </c>
      <c r="E67" s="418">
        <v>50355115887</v>
      </c>
      <c r="F67" s="418">
        <v>219271078024</v>
      </c>
      <c r="G67" s="418">
        <v>219271078024</v>
      </c>
    </row>
    <row r="68" spans="1:7" ht="30" customHeight="1">
      <c r="A68" s="217" t="s">
        <v>183</v>
      </c>
      <c r="B68" s="334" t="s">
        <v>38</v>
      </c>
      <c r="C68" s="37"/>
      <c r="D68" s="418">
        <v>0</v>
      </c>
      <c r="E68" s="418">
        <v>0</v>
      </c>
      <c r="F68" s="418">
        <v>0</v>
      </c>
      <c r="G68" s="418">
        <v>0</v>
      </c>
    </row>
    <row r="69" spans="1:7" ht="30" customHeight="1">
      <c r="A69" s="216" t="s">
        <v>171</v>
      </c>
      <c r="B69" s="335" t="s">
        <v>39</v>
      </c>
      <c r="C69" s="33"/>
      <c r="D69" s="415">
        <v>0</v>
      </c>
      <c r="E69" s="415">
        <v>0</v>
      </c>
      <c r="F69" s="415">
        <v>0</v>
      </c>
      <c r="G69" s="415">
        <v>0</v>
      </c>
    </row>
    <row r="70" spans="1:7" ht="30" customHeight="1">
      <c r="A70" s="216" t="s">
        <v>172</v>
      </c>
      <c r="B70" s="335" t="s">
        <v>40</v>
      </c>
      <c r="C70" s="33"/>
      <c r="D70" s="415">
        <v>0</v>
      </c>
      <c r="E70" s="415">
        <v>0</v>
      </c>
      <c r="F70" s="415">
        <v>0</v>
      </c>
      <c r="G70" s="415">
        <v>0</v>
      </c>
    </row>
    <row r="71" spans="1:7" ht="46.5" customHeight="1">
      <c r="A71" s="217" t="s">
        <v>173</v>
      </c>
      <c r="B71" s="334" t="s">
        <v>13</v>
      </c>
      <c r="C71" s="37"/>
      <c r="D71" s="418">
        <v>50355115887</v>
      </c>
      <c r="E71" s="418">
        <v>50355115887</v>
      </c>
      <c r="F71" s="418">
        <v>219271078024</v>
      </c>
      <c r="G71" s="418">
        <v>219271078024</v>
      </c>
    </row>
    <row r="72" spans="1:7" ht="31.5" customHeight="1">
      <c r="A72" s="216" t="s">
        <v>174</v>
      </c>
      <c r="B72" s="335" t="s">
        <v>12</v>
      </c>
      <c r="C72" s="33"/>
      <c r="D72" s="415">
        <v>1660839609</v>
      </c>
      <c r="E72" s="415">
        <v>1660839609</v>
      </c>
      <c r="F72" s="415">
        <v>36247413524</v>
      </c>
      <c r="G72" s="415">
        <v>36247413524</v>
      </c>
    </row>
    <row r="73" spans="1:7" ht="31.5" customHeight="1">
      <c r="A73" s="216" t="s">
        <v>175</v>
      </c>
      <c r="B73" s="335" t="s">
        <v>11</v>
      </c>
      <c r="C73" s="33"/>
      <c r="D73" s="415">
        <v>48694276278</v>
      </c>
      <c r="E73" s="415">
        <v>48694276278</v>
      </c>
      <c r="F73" s="415">
        <v>183023664500</v>
      </c>
      <c r="G73" s="415">
        <v>183023664500</v>
      </c>
    </row>
    <row r="74" spans="1:7" ht="31.5" customHeight="1">
      <c r="A74" s="217" t="s">
        <v>176</v>
      </c>
      <c r="B74" s="334" t="s">
        <v>41</v>
      </c>
      <c r="C74" s="37"/>
      <c r="D74" s="418">
        <v>0</v>
      </c>
      <c r="E74" s="418">
        <v>0</v>
      </c>
      <c r="F74" s="418">
        <v>0</v>
      </c>
      <c r="G74" s="418">
        <v>0</v>
      </c>
    </row>
    <row r="75" spans="1:7" ht="45" customHeight="1">
      <c r="A75" s="217" t="s">
        <v>177</v>
      </c>
      <c r="B75" s="334" t="s">
        <v>42</v>
      </c>
      <c r="C75" s="37"/>
      <c r="D75" s="418">
        <v>50355115887</v>
      </c>
      <c r="E75" s="418">
        <v>50355115887</v>
      </c>
      <c r="F75" s="418">
        <v>219271078024</v>
      </c>
      <c r="G75" s="418">
        <v>219271078024</v>
      </c>
    </row>
    <row r="76" spans="1:7">
      <c r="A76" s="218"/>
      <c r="B76" s="31"/>
      <c r="C76" s="31"/>
      <c r="D76" s="31"/>
      <c r="E76" s="411"/>
      <c r="F76" s="338"/>
      <c r="G76" s="338"/>
    </row>
    <row r="77" spans="1:7">
      <c r="A77" s="213"/>
      <c r="B77" s="21"/>
      <c r="C77" s="21"/>
      <c r="D77" s="283"/>
      <c r="E77" s="412"/>
      <c r="F77" s="21"/>
      <c r="G77" s="21"/>
    </row>
    <row r="78" spans="1:7">
      <c r="A78" s="347"/>
      <c r="B78" s="21"/>
      <c r="C78" s="21"/>
      <c r="D78" s="283"/>
      <c r="E78" s="284"/>
      <c r="F78" s="21"/>
      <c r="G78" s="21"/>
    </row>
    <row r="79" spans="1:7">
      <c r="A79" s="347"/>
      <c r="B79" s="21"/>
      <c r="C79" s="21"/>
      <c r="D79" s="283"/>
      <c r="E79" s="284"/>
      <c r="F79" s="21"/>
      <c r="G79" s="21"/>
    </row>
    <row r="80" spans="1:7">
      <c r="A80" s="347"/>
      <c r="B80" s="21"/>
      <c r="C80" s="21"/>
      <c r="D80" s="283"/>
      <c r="E80" s="284"/>
      <c r="F80" s="21"/>
      <c r="G80" s="21"/>
    </row>
    <row r="81" spans="1:7">
      <c r="A81" s="348" t="s">
        <v>845</v>
      </c>
      <c r="B81" s="447" t="s">
        <v>846</v>
      </c>
      <c r="C81" s="447"/>
      <c r="D81" s="447"/>
      <c r="E81" s="447"/>
      <c r="F81" s="447"/>
      <c r="G81" s="447"/>
    </row>
    <row r="82" spans="1:7">
      <c r="A82" s="28"/>
      <c r="B82" s="28"/>
      <c r="C82" s="21"/>
      <c r="D82" s="21"/>
      <c r="E82" s="29"/>
      <c r="F82" s="30"/>
      <c r="G82" s="30"/>
    </row>
    <row r="83" spans="1:7">
      <c r="A83" s="28"/>
      <c r="B83" s="28"/>
      <c r="C83" s="21"/>
      <c r="D83" s="21"/>
      <c r="E83" s="29"/>
      <c r="F83" s="30"/>
      <c r="G83" s="30"/>
    </row>
    <row r="84" spans="1:7">
      <c r="A84" s="28"/>
      <c r="B84" s="28"/>
      <c r="C84" s="21"/>
      <c r="D84" s="21"/>
      <c r="E84" s="29"/>
      <c r="F84" s="30"/>
      <c r="G84" s="30"/>
    </row>
    <row r="85" spans="1:7">
      <c r="A85" s="28"/>
      <c r="B85" s="28"/>
      <c r="C85" s="21"/>
      <c r="D85" s="229"/>
      <c r="E85" s="29"/>
      <c r="F85" s="30"/>
      <c r="G85" s="30"/>
    </row>
    <row r="86" spans="1:7">
      <c r="A86" s="28"/>
      <c r="B86" s="28"/>
      <c r="C86" s="21"/>
      <c r="D86" s="228"/>
      <c r="E86" s="29"/>
      <c r="F86" s="30"/>
      <c r="G86" s="30"/>
    </row>
    <row r="87" spans="1:7">
      <c r="A87" s="28"/>
      <c r="B87" s="28"/>
      <c r="C87" s="21"/>
      <c r="D87" s="228"/>
      <c r="E87" s="29"/>
      <c r="F87" s="30"/>
      <c r="G87" s="30"/>
    </row>
    <row r="88" spans="1:7">
      <c r="A88" s="28"/>
      <c r="B88" s="28"/>
      <c r="C88" s="21"/>
      <c r="D88" s="228"/>
      <c r="E88" s="29"/>
      <c r="F88" s="30"/>
      <c r="G88" s="30"/>
    </row>
    <row r="89" spans="1:7">
      <c r="A89" s="28"/>
      <c r="B89" s="28"/>
      <c r="C89" s="21"/>
      <c r="D89" s="21"/>
      <c r="E89" s="29"/>
      <c r="F89" s="30"/>
      <c r="G89" s="30"/>
    </row>
    <row r="90" spans="1:7">
      <c r="A90" s="28"/>
      <c r="B90" s="28"/>
      <c r="C90" s="21"/>
      <c r="D90" s="21"/>
      <c r="E90" s="29"/>
      <c r="F90" s="30"/>
      <c r="G90" s="30"/>
    </row>
    <row r="91" spans="1:7">
      <c r="A91" s="28"/>
      <c r="B91" s="28"/>
      <c r="C91" s="21"/>
      <c r="D91" s="21"/>
      <c r="E91" s="29"/>
      <c r="F91" s="30"/>
      <c r="G91" s="30"/>
    </row>
    <row r="92" spans="1:7">
      <c r="A92" s="28"/>
      <c r="B92" s="28"/>
      <c r="C92" s="21"/>
      <c r="D92" s="21"/>
      <c r="E92" s="29"/>
      <c r="F92" s="30"/>
      <c r="G92" s="30"/>
    </row>
    <row r="93" spans="1:7">
      <c r="A93" s="28"/>
      <c r="B93" s="28"/>
      <c r="C93" s="21"/>
      <c r="D93" s="21"/>
      <c r="E93" s="29"/>
      <c r="F93" s="30"/>
      <c r="G93" s="30"/>
    </row>
    <row r="94" spans="1:7">
      <c r="A94" s="349" t="s">
        <v>847</v>
      </c>
      <c r="B94" s="456" t="s">
        <v>847</v>
      </c>
      <c r="C94" s="456"/>
      <c r="D94" s="456"/>
      <c r="E94" s="456"/>
      <c r="F94" s="457" t="s">
        <v>848</v>
      </c>
      <c r="G94" s="458"/>
    </row>
    <row r="95" spans="1:7">
      <c r="A95" s="350" t="s">
        <v>849</v>
      </c>
      <c r="B95" s="447" t="s">
        <v>850</v>
      </c>
      <c r="C95" s="447"/>
      <c r="D95" s="447"/>
      <c r="E95" s="447"/>
      <c r="F95" s="447" t="s">
        <v>851</v>
      </c>
      <c r="G95" s="447"/>
    </row>
    <row r="96" spans="1:7">
      <c r="A96" s="351" t="s">
        <v>852</v>
      </c>
      <c r="B96" s="455" t="s">
        <v>853</v>
      </c>
      <c r="C96" s="455"/>
      <c r="D96" s="455"/>
      <c r="E96" s="455"/>
      <c r="F96" s="455" t="s">
        <v>854</v>
      </c>
      <c r="G96" s="455"/>
    </row>
    <row r="97" spans="1:7">
      <c r="A97"/>
      <c r="B97"/>
      <c r="C97" s="21"/>
      <c r="D97" s="21"/>
      <c r="E97"/>
      <c r="F97"/>
      <c r="G97"/>
    </row>
  </sheetData>
  <protectedRanges>
    <protectedRange sqref="C41 F69:G70 C31 C39 C69:D73 C67:C68 C74:C75 F20:G30 C66:D66 C42:D62 C18:D30 E23 F42:G66 C65 D63:D65 C32:G38 C40:G40 E42:E52 E71:G73 E18:G19" name="Range1"/>
    <protectedRange sqref="D31:G31" name="Range1_1"/>
    <protectedRange sqref="D39:G39" name="Range1_2"/>
    <protectedRange sqref="D67:G67" name="Range1_3"/>
    <protectedRange sqref="D68:G68" name="Range1_4"/>
    <protectedRange sqref="D74:G74" name="Range1_5"/>
    <protectedRange sqref="D75:G75" name="Range1_6"/>
    <protectedRange sqref="C63:C64" name="Range1_7"/>
  </protectedRanges>
  <mergeCells count="24">
    <mergeCell ref="B96:E96"/>
    <mergeCell ref="F96:G96"/>
    <mergeCell ref="B10:G10"/>
    <mergeCell ref="B12:G12"/>
    <mergeCell ref="B94:E94"/>
    <mergeCell ref="F94:G94"/>
    <mergeCell ref="B95:E95"/>
    <mergeCell ref="F95:G95"/>
    <mergeCell ref="A1:G1"/>
    <mergeCell ref="A2:G2"/>
    <mergeCell ref="A3:G4"/>
    <mergeCell ref="A5:G5"/>
    <mergeCell ref="B81:G81"/>
    <mergeCell ref="A16:A17"/>
    <mergeCell ref="B16:B17"/>
    <mergeCell ref="C16:C17"/>
    <mergeCell ref="D16:E16"/>
    <mergeCell ref="F16:G16"/>
    <mergeCell ref="B14:G14"/>
    <mergeCell ref="B7:G7"/>
    <mergeCell ref="B9:G9"/>
    <mergeCell ref="B11:G11"/>
    <mergeCell ref="B13:G13"/>
    <mergeCell ref="B8:G8"/>
  </mergeCells>
  <printOptions horizontalCentered="1"/>
  <pageMargins left="0.32" right="0.17" top="0.8" bottom="0.82" header="0.3" footer="0.62"/>
  <pageSetup paperSize="9" scale="48" orientation="portrait" r:id="rId1"/>
  <rowBreaks count="1" manualBreakCount="1">
    <brk id="39" max="6" man="1"/>
  </rowBreaks>
  <drawing r:id="rId2"/>
</worksheet>
</file>

<file path=xl/worksheets/sheet3.xml><?xml version="1.0" encoding="utf-8"?>
<worksheet xmlns="http://schemas.openxmlformats.org/spreadsheetml/2006/main" xmlns:r="http://schemas.openxmlformats.org/officeDocument/2006/relationships">
  <sheetPr>
    <tabColor rgb="FF0070C0"/>
  </sheetPr>
  <dimension ref="A1:F146"/>
  <sheetViews>
    <sheetView showGridLines="0" view="pageBreakPreview" zoomScale="85" zoomScaleNormal="100" zoomScaleSheetLayoutView="85" workbookViewId="0">
      <selection activeCell="C43" sqref="C43"/>
    </sheetView>
  </sheetViews>
  <sheetFormatPr defaultColWidth="9.33203125" defaultRowHeight="13.2"/>
  <cols>
    <col min="1" max="1" width="8.6640625" style="32" customWidth="1"/>
    <col min="2" max="2" width="52.6640625" style="32" customWidth="1"/>
    <col min="3" max="3" width="11.5546875" style="32" customWidth="1"/>
    <col min="4" max="4" width="8.6640625" style="32" customWidth="1"/>
    <col min="5" max="5" width="28" style="32" customWidth="1"/>
    <col min="6" max="6" width="30.33203125" style="32" customWidth="1"/>
    <col min="7" max="16384" width="9.33203125" style="32"/>
  </cols>
  <sheetData>
    <row r="1" spans="1:6" ht="27" customHeight="1">
      <c r="B1" s="443" t="s">
        <v>957</v>
      </c>
      <c r="C1" s="443"/>
      <c r="D1" s="443"/>
      <c r="E1" s="443"/>
      <c r="F1" s="443"/>
    </row>
    <row r="2" spans="1:6" ht="35.25" customHeight="1">
      <c r="A2" s="30"/>
      <c r="B2" s="444" t="s">
        <v>136</v>
      </c>
      <c r="C2" s="444"/>
      <c r="D2" s="444"/>
      <c r="E2" s="444"/>
      <c r="F2" s="444"/>
    </row>
    <row r="3" spans="1:6">
      <c r="A3" s="30"/>
      <c r="B3" s="445" t="s">
        <v>184</v>
      </c>
      <c r="C3" s="445"/>
      <c r="D3" s="445"/>
      <c r="E3" s="445"/>
      <c r="F3" s="445"/>
    </row>
    <row r="4" spans="1:6" ht="19.5" customHeight="1">
      <c r="A4" s="30"/>
      <c r="B4" s="445"/>
      <c r="C4" s="445"/>
      <c r="D4" s="445"/>
      <c r="E4" s="445"/>
      <c r="F4" s="445"/>
    </row>
    <row r="5" spans="1:6">
      <c r="A5" s="30"/>
      <c r="B5" s="446" t="s">
        <v>994</v>
      </c>
      <c r="C5" s="446"/>
      <c r="D5" s="446"/>
      <c r="E5" s="446"/>
      <c r="F5" s="446"/>
    </row>
    <row r="6" spans="1:6">
      <c r="A6" s="337"/>
      <c r="B6" s="18"/>
      <c r="C6" s="18"/>
      <c r="D6" s="18"/>
      <c r="E6" s="18"/>
      <c r="F6" s="18"/>
    </row>
    <row r="7" spans="1:6">
      <c r="A7" s="320" t="s">
        <v>455</v>
      </c>
      <c r="B7" s="181"/>
      <c r="C7" s="459" t="s">
        <v>466</v>
      </c>
      <c r="D7" s="459"/>
      <c r="E7" s="459"/>
      <c r="F7" s="459"/>
    </row>
    <row r="8" spans="1:6" ht="12.75" customHeight="1">
      <c r="A8" s="186" t="s">
        <v>947</v>
      </c>
      <c r="B8" s="182"/>
      <c r="C8" s="460" t="s">
        <v>605</v>
      </c>
      <c r="D8" s="460"/>
      <c r="E8" s="460"/>
      <c r="F8" s="460"/>
    </row>
    <row r="9" spans="1:6" ht="12.75" customHeight="1">
      <c r="A9" s="320" t="s">
        <v>457</v>
      </c>
      <c r="B9" s="181"/>
      <c r="C9" s="459" t="s">
        <v>986</v>
      </c>
      <c r="D9" s="459"/>
      <c r="E9" s="459"/>
      <c r="F9" s="459"/>
    </row>
    <row r="10" spans="1:6" ht="12.75" customHeight="1">
      <c r="A10" s="321" t="s">
        <v>459</v>
      </c>
      <c r="B10" s="183"/>
      <c r="C10" s="460" t="s">
        <v>460</v>
      </c>
      <c r="D10" s="460"/>
      <c r="E10" s="460"/>
      <c r="F10" s="460"/>
    </row>
    <row r="11" spans="1:6" ht="15.75" customHeight="1">
      <c r="A11" s="320" t="s">
        <v>392</v>
      </c>
      <c r="B11" s="181"/>
      <c r="C11" s="459" t="s">
        <v>492</v>
      </c>
      <c r="D11" s="459"/>
      <c r="E11" s="459"/>
      <c r="F11" s="459"/>
    </row>
    <row r="12" spans="1:6" ht="12.75" customHeight="1">
      <c r="A12" s="322" t="s">
        <v>390</v>
      </c>
      <c r="B12" s="184"/>
      <c r="C12" s="460" t="s">
        <v>491</v>
      </c>
      <c r="D12" s="460"/>
      <c r="E12" s="460"/>
      <c r="F12" s="460"/>
    </row>
    <row r="13" spans="1:6" ht="12.75" customHeight="1">
      <c r="A13" s="323" t="s">
        <v>138</v>
      </c>
      <c r="B13" s="185"/>
      <c r="C13" s="459" t="s">
        <v>996</v>
      </c>
      <c r="D13" s="459"/>
      <c r="E13" s="459"/>
      <c r="F13" s="459"/>
    </row>
    <row r="14" spans="1:6">
      <c r="A14" s="186" t="s">
        <v>139</v>
      </c>
      <c r="B14" s="186"/>
      <c r="C14" s="438">
        <v>43564</v>
      </c>
      <c r="D14" s="438"/>
      <c r="E14" s="438"/>
      <c r="F14" s="438"/>
    </row>
    <row r="15" spans="1:6">
      <c r="A15"/>
      <c r="B15"/>
      <c r="C15"/>
      <c r="D15"/>
      <c r="E15"/>
      <c r="F15"/>
    </row>
    <row r="16" spans="1:6" s="40" customFormat="1" ht="44.25" customHeight="1">
      <c r="A16" s="38" t="s">
        <v>339</v>
      </c>
      <c r="B16" s="38" t="s">
        <v>140</v>
      </c>
      <c r="C16" s="38" t="s">
        <v>141</v>
      </c>
      <c r="D16" s="39" t="s">
        <v>142</v>
      </c>
      <c r="E16" s="39" t="s">
        <v>999</v>
      </c>
      <c r="F16" s="39" t="s">
        <v>980</v>
      </c>
    </row>
    <row r="17" spans="1:6" s="40" customFormat="1" ht="30" customHeight="1">
      <c r="A17" s="324" t="s">
        <v>43</v>
      </c>
      <c r="B17" s="42" t="s">
        <v>213</v>
      </c>
      <c r="C17" s="324"/>
      <c r="D17" s="43"/>
      <c r="E17" s="43"/>
      <c r="F17" s="43"/>
    </row>
    <row r="18" spans="1:6" s="40" customFormat="1" ht="30" customHeight="1">
      <c r="A18" s="201" t="s">
        <v>669</v>
      </c>
      <c r="B18" s="200" t="s">
        <v>684</v>
      </c>
      <c r="C18" s="201" t="s">
        <v>794</v>
      </c>
      <c r="D18" s="288"/>
      <c r="E18" s="415">
        <v>57122604245</v>
      </c>
      <c r="F18" s="415">
        <v>68883445853</v>
      </c>
    </row>
    <row r="19" spans="1:6" s="40" customFormat="1" ht="30" customHeight="1">
      <c r="A19" s="49" t="s">
        <v>63</v>
      </c>
      <c r="B19" s="200" t="s">
        <v>685</v>
      </c>
      <c r="C19" s="49" t="s">
        <v>44</v>
      </c>
      <c r="D19" s="288"/>
      <c r="E19" s="415">
        <v>17122604245</v>
      </c>
      <c r="F19" s="415">
        <v>33883445853</v>
      </c>
    </row>
    <row r="20" spans="1:6" s="40" customFormat="1" ht="30" customHeight="1">
      <c r="A20" s="49" t="s">
        <v>596</v>
      </c>
      <c r="B20" s="200" t="s">
        <v>608</v>
      </c>
      <c r="C20" s="49" t="s">
        <v>887</v>
      </c>
      <c r="D20" s="288"/>
      <c r="E20" s="415">
        <v>36000000</v>
      </c>
      <c r="F20" s="415">
        <v>9000000</v>
      </c>
    </row>
    <row r="21" spans="1:6" s="40" customFormat="1" ht="30" customHeight="1">
      <c r="A21" s="49" t="s">
        <v>596</v>
      </c>
      <c r="B21" s="200" t="s">
        <v>609</v>
      </c>
      <c r="C21" s="49" t="s">
        <v>868</v>
      </c>
      <c r="D21" s="288"/>
      <c r="E21" s="415">
        <v>3836254186</v>
      </c>
      <c r="F21" s="415">
        <v>3799110654</v>
      </c>
    </row>
    <row r="22" spans="1:6" s="40" customFormat="1" ht="30" customHeight="1">
      <c r="A22" s="49" t="s">
        <v>596</v>
      </c>
      <c r="B22" s="200" t="s">
        <v>610</v>
      </c>
      <c r="C22" s="49" t="s">
        <v>869</v>
      </c>
      <c r="D22" s="288"/>
      <c r="E22" s="415">
        <v>13250350059</v>
      </c>
      <c r="F22" s="415">
        <v>30075335199</v>
      </c>
    </row>
    <row r="23" spans="1:6" s="40" customFormat="1" ht="30" customHeight="1">
      <c r="A23" s="431"/>
      <c r="B23" s="200" t="s">
        <v>978</v>
      </c>
      <c r="C23" s="332" t="s">
        <v>959</v>
      </c>
      <c r="D23" s="215"/>
      <c r="E23" s="415">
        <v>0</v>
      </c>
      <c r="F23" s="415">
        <v>0</v>
      </c>
    </row>
    <row r="24" spans="1:6" s="40" customFormat="1" ht="30" customHeight="1">
      <c r="A24" s="49" t="s">
        <v>66</v>
      </c>
      <c r="B24" s="200" t="s">
        <v>686</v>
      </c>
      <c r="C24" s="49" t="s">
        <v>45</v>
      </c>
      <c r="D24" s="288"/>
      <c r="E24" s="415">
        <v>40000000000</v>
      </c>
      <c r="F24" s="415">
        <v>35000000000</v>
      </c>
    </row>
    <row r="25" spans="1:6" s="40" customFormat="1" ht="30" customHeight="1">
      <c r="A25" s="49" t="s">
        <v>670</v>
      </c>
      <c r="B25" s="200" t="s">
        <v>687</v>
      </c>
      <c r="C25" s="49" t="s">
        <v>795</v>
      </c>
      <c r="D25" s="288"/>
      <c r="E25" s="415">
        <v>1030656972200</v>
      </c>
      <c r="F25" s="415">
        <v>1027576447450</v>
      </c>
    </row>
    <row r="26" spans="1:6" s="40" customFormat="1" ht="30" customHeight="1">
      <c r="A26" s="49" t="s">
        <v>71</v>
      </c>
      <c r="B26" s="200" t="s">
        <v>688</v>
      </c>
      <c r="C26" s="49" t="s">
        <v>796</v>
      </c>
      <c r="D26" s="288"/>
      <c r="E26" s="415">
        <v>1030656972200</v>
      </c>
      <c r="F26" s="415">
        <v>1027576447450</v>
      </c>
    </row>
    <row r="27" spans="1:6" s="45" customFormat="1" ht="30" customHeight="1">
      <c r="A27" s="201" t="s">
        <v>596</v>
      </c>
      <c r="B27" s="200" t="s">
        <v>623</v>
      </c>
      <c r="C27" s="201" t="s">
        <v>487</v>
      </c>
      <c r="D27" s="288"/>
      <c r="E27" s="415">
        <v>870509672200</v>
      </c>
      <c r="F27" s="415">
        <v>817429147450</v>
      </c>
    </row>
    <row r="28" spans="1:6" s="45" customFormat="1" ht="30" customHeight="1">
      <c r="A28" s="201" t="s">
        <v>596</v>
      </c>
      <c r="B28" s="200" t="s">
        <v>624</v>
      </c>
      <c r="C28" s="201" t="s">
        <v>844</v>
      </c>
      <c r="D28" s="288"/>
      <c r="E28" s="415">
        <v>0</v>
      </c>
      <c r="F28" s="415">
        <v>0</v>
      </c>
    </row>
    <row r="29" spans="1:6" s="45" customFormat="1" ht="30" customHeight="1">
      <c r="A29" s="230"/>
      <c r="B29" s="200" t="s">
        <v>626</v>
      </c>
      <c r="C29" s="230" t="s">
        <v>186</v>
      </c>
      <c r="D29" s="202"/>
      <c r="E29" s="415">
        <v>80147300000</v>
      </c>
      <c r="F29" s="415">
        <v>80147300000</v>
      </c>
    </row>
    <row r="30" spans="1:6" s="45" customFormat="1" ht="30" customHeight="1">
      <c r="A30" s="230"/>
      <c r="B30" s="200" t="s">
        <v>627</v>
      </c>
      <c r="C30" s="230" t="s">
        <v>888</v>
      </c>
      <c r="D30" s="202"/>
      <c r="E30" s="415"/>
      <c r="F30" s="415"/>
    </row>
    <row r="31" spans="1:6" s="45" customFormat="1" ht="30" customHeight="1">
      <c r="A31" s="201" t="s">
        <v>596</v>
      </c>
      <c r="B31" s="200" t="s">
        <v>628</v>
      </c>
      <c r="C31" s="201" t="s">
        <v>625</v>
      </c>
      <c r="D31" s="288"/>
      <c r="E31" s="415">
        <v>80000000000</v>
      </c>
      <c r="F31" s="415">
        <v>130000000000</v>
      </c>
    </row>
    <row r="32" spans="1:6" s="45" customFormat="1" ht="30" customHeight="1">
      <c r="A32" s="231" t="s">
        <v>596</v>
      </c>
      <c r="B32" s="200" t="s">
        <v>229</v>
      </c>
      <c r="C32" s="231" t="s">
        <v>490</v>
      </c>
      <c r="D32" s="202"/>
      <c r="E32" s="415">
        <v>0</v>
      </c>
      <c r="F32" s="415">
        <v>0</v>
      </c>
    </row>
    <row r="33" spans="1:6" s="45" customFormat="1" ht="30" customHeight="1">
      <c r="A33" s="231" t="s">
        <v>596</v>
      </c>
      <c r="B33" s="200" t="s">
        <v>493</v>
      </c>
      <c r="C33" s="231" t="s">
        <v>629</v>
      </c>
      <c r="D33" s="202"/>
      <c r="E33" s="415">
        <v>0</v>
      </c>
      <c r="F33" s="415">
        <v>0</v>
      </c>
    </row>
    <row r="34" spans="1:6" s="45" customFormat="1" ht="30" customHeight="1">
      <c r="A34" s="231"/>
      <c r="B34" s="200" t="s">
        <v>976</v>
      </c>
      <c r="C34" s="432">
        <v>121.8</v>
      </c>
      <c r="D34" s="202"/>
      <c r="E34" s="415">
        <v>0</v>
      </c>
      <c r="F34" s="415">
        <v>0</v>
      </c>
    </row>
    <row r="35" spans="1:6" s="45" customFormat="1" ht="30" customHeight="1">
      <c r="A35" s="231" t="s">
        <v>596</v>
      </c>
      <c r="B35" s="200" t="s">
        <v>630</v>
      </c>
      <c r="C35" s="231" t="s">
        <v>960</v>
      </c>
      <c r="D35" s="202"/>
      <c r="E35" s="415">
        <v>0</v>
      </c>
      <c r="F35" s="415">
        <v>0</v>
      </c>
    </row>
    <row r="36" spans="1:6" s="40" customFormat="1" ht="30" customHeight="1">
      <c r="A36" s="49" t="s">
        <v>74</v>
      </c>
      <c r="B36" s="200" t="s">
        <v>689</v>
      </c>
      <c r="C36" s="49" t="s">
        <v>797</v>
      </c>
      <c r="D36" s="41"/>
      <c r="E36" s="415">
        <v>0</v>
      </c>
      <c r="F36" s="415">
        <v>0</v>
      </c>
    </row>
    <row r="37" spans="1:6" s="40" customFormat="1" ht="30" customHeight="1">
      <c r="A37" s="49" t="s">
        <v>671</v>
      </c>
      <c r="B37" s="200" t="s">
        <v>690</v>
      </c>
      <c r="C37" s="49" t="s">
        <v>798</v>
      </c>
      <c r="D37" s="288"/>
      <c r="E37" s="415">
        <v>6694097180</v>
      </c>
      <c r="F37" s="415">
        <v>18295043671</v>
      </c>
    </row>
    <row r="38" spans="1:6" s="40" customFormat="1" ht="30" customHeight="1">
      <c r="A38" s="49" t="s">
        <v>672</v>
      </c>
      <c r="B38" s="23" t="s">
        <v>691</v>
      </c>
      <c r="C38" s="49" t="s">
        <v>0</v>
      </c>
      <c r="D38" s="41"/>
      <c r="E38" s="415">
        <v>0</v>
      </c>
      <c r="F38" s="415">
        <v>10497500000</v>
      </c>
    </row>
    <row r="39" spans="1:6" s="40" customFormat="1" ht="30" customHeight="1">
      <c r="A39" s="49"/>
      <c r="B39" s="23" t="s">
        <v>631</v>
      </c>
      <c r="C39" s="49" t="s">
        <v>799</v>
      </c>
      <c r="D39" s="41"/>
      <c r="E39" s="415">
        <v>0</v>
      </c>
      <c r="F39" s="415">
        <v>0</v>
      </c>
    </row>
    <row r="40" spans="1:6" s="40" customFormat="1" ht="30" customHeight="1">
      <c r="A40" s="49" t="s">
        <v>673</v>
      </c>
      <c r="B40" s="23" t="s">
        <v>692</v>
      </c>
      <c r="C40" s="49" t="s">
        <v>800</v>
      </c>
      <c r="D40" s="41"/>
      <c r="E40" s="415">
        <v>7560497180</v>
      </c>
      <c r="F40" s="415">
        <v>8663943671</v>
      </c>
    </row>
    <row r="41" spans="1:6" s="40" customFormat="1" ht="30" customHeight="1">
      <c r="A41" s="49" t="s">
        <v>674</v>
      </c>
      <c r="B41" s="23" t="s">
        <v>693</v>
      </c>
      <c r="C41" s="49" t="s">
        <v>801</v>
      </c>
      <c r="D41" s="41"/>
      <c r="E41" s="415">
        <v>866400000</v>
      </c>
      <c r="F41" s="415">
        <v>866400000</v>
      </c>
    </row>
    <row r="42" spans="1:6" s="40" customFormat="1" ht="34.5" customHeight="1">
      <c r="A42" s="49" t="s">
        <v>596</v>
      </c>
      <c r="B42" s="200" t="s">
        <v>483</v>
      </c>
      <c r="C42" s="49" t="s">
        <v>889</v>
      </c>
      <c r="D42" s="41"/>
      <c r="E42" s="415">
        <v>866400000</v>
      </c>
      <c r="F42" s="415">
        <v>866400000</v>
      </c>
    </row>
    <row r="43" spans="1:6" s="40" customFormat="1" ht="35.25" customHeight="1">
      <c r="A43" s="49" t="s">
        <v>596</v>
      </c>
      <c r="B43" s="200" t="s">
        <v>632</v>
      </c>
      <c r="C43" s="49" t="s">
        <v>890</v>
      </c>
      <c r="D43" s="41"/>
      <c r="E43" s="415">
        <v>0</v>
      </c>
      <c r="F43" s="415">
        <v>0</v>
      </c>
    </row>
    <row r="44" spans="1:6" s="40" customFormat="1" ht="48.75" customHeight="1">
      <c r="A44" s="49" t="s">
        <v>596</v>
      </c>
      <c r="B44" s="200" t="s">
        <v>484</v>
      </c>
      <c r="C44" s="49" t="s">
        <v>891</v>
      </c>
      <c r="D44" s="41"/>
      <c r="E44" s="415">
        <v>0</v>
      </c>
      <c r="F44" s="415">
        <v>0</v>
      </c>
    </row>
    <row r="45" spans="1:6" s="40" customFormat="1" ht="39" customHeight="1">
      <c r="A45" s="49" t="s">
        <v>596</v>
      </c>
      <c r="B45" s="200" t="s">
        <v>633</v>
      </c>
      <c r="C45" s="49" t="s">
        <v>892</v>
      </c>
      <c r="D45" s="41"/>
      <c r="E45" s="415">
        <v>0</v>
      </c>
      <c r="F45" s="415">
        <v>0</v>
      </c>
    </row>
    <row r="46" spans="1:6" s="40" customFormat="1" ht="35.25" customHeight="1">
      <c r="A46" s="49"/>
      <c r="B46" s="200" t="s">
        <v>634</v>
      </c>
      <c r="C46" s="49" t="s">
        <v>893</v>
      </c>
      <c r="D46" s="41"/>
      <c r="E46" s="415">
        <v>0</v>
      </c>
      <c r="F46" s="415">
        <v>0</v>
      </c>
    </row>
    <row r="47" spans="1:6" s="40" customFormat="1" ht="42" customHeight="1">
      <c r="A47" s="49" t="s">
        <v>596</v>
      </c>
      <c r="B47" s="200" t="s">
        <v>635</v>
      </c>
      <c r="C47" s="49" t="s">
        <v>802</v>
      </c>
      <c r="D47" s="41"/>
      <c r="E47" s="415">
        <v>866400000</v>
      </c>
      <c r="F47" s="415">
        <v>866400000</v>
      </c>
    </row>
    <row r="48" spans="1:6" s="40" customFormat="1" ht="33" customHeight="1">
      <c r="A48" s="49" t="s">
        <v>675</v>
      </c>
      <c r="B48" s="200" t="s">
        <v>694</v>
      </c>
      <c r="C48" s="49" t="s">
        <v>46</v>
      </c>
      <c r="D48" s="41"/>
      <c r="E48" s="415">
        <v>6694097180</v>
      </c>
      <c r="F48" s="415">
        <v>7797543671</v>
      </c>
    </row>
    <row r="49" spans="1:6" s="40" customFormat="1" ht="26.4">
      <c r="A49" s="49"/>
      <c r="B49" s="23" t="s">
        <v>637</v>
      </c>
      <c r="C49" s="49" t="s">
        <v>894</v>
      </c>
      <c r="D49" s="41"/>
      <c r="E49" s="415">
        <v>520880000</v>
      </c>
      <c r="F49" s="415">
        <v>809631000</v>
      </c>
    </row>
    <row r="50" spans="1:6" s="40" customFormat="1" ht="26.4">
      <c r="A50" s="49"/>
      <c r="B50" s="23" t="s">
        <v>638</v>
      </c>
      <c r="C50" s="49" t="s">
        <v>895</v>
      </c>
      <c r="D50" s="41"/>
      <c r="E50" s="415">
        <v>2264931507</v>
      </c>
      <c r="F50" s="415">
        <v>1906660959</v>
      </c>
    </row>
    <row r="51" spans="1:6" s="138" customFormat="1" ht="39.6">
      <c r="A51" s="49"/>
      <c r="B51" s="200" t="s">
        <v>639</v>
      </c>
      <c r="C51" s="49" t="s">
        <v>488</v>
      </c>
      <c r="D51" s="41"/>
      <c r="E51" s="415">
        <v>24109588</v>
      </c>
      <c r="F51" s="415">
        <v>15753425</v>
      </c>
    </row>
    <row r="52" spans="1:6" s="138" customFormat="1" ht="39.6">
      <c r="A52" s="49"/>
      <c r="B52" s="200" t="s">
        <v>640</v>
      </c>
      <c r="C52" s="49" t="s">
        <v>896</v>
      </c>
      <c r="D52" s="41"/>
      <c r="E52" s="415">
        <v>0</v>
      </c>
      <c r="F52" s="415">
        <v>0</v>
      </c>
    </row>
    <row r="53" spans="1:6" s="138" customFormat="1" ht="26.4">
      <c r="A53" s="49"/>
      <c r="B53" s="200" t="s">
        <v>641</v>
      </c>
      <c r="C53" s="49" t="s">
        <v>636</v>
      </c>
      <c r="D53" s="41"/>
      <c r="E53" s="415">
        <v>3884176085</v>
      </c>
      <c r="F53" s="415">
        <v>5065498287</v>
      </c>
    </row>
    <row r="54" spans="1:6" s="40" customFormat="1" ht="31.5" customHeight="1">
      <c r="A54" s="49" t="s">
        <v>676</v>
      </c>
      <c r="B54" s="23" t="s">
        <v>695</v>
      </c>
      <c r="C54" s="49" t="s">
        <v>47</v>
      </c>
      <c r="D54" s="41"/>
      <c r="E54" s="415">
        <v>0</v>
      </c>
      <c r="F54" s="415">
        <v>0</v>
      </c>
    </row>
    <row r="55" spans="1:6" s="40" customFormat="1" ht="31.5" customHeight="1">
      <c r="A55" s="49" t="s">
        <v>677</v>
      </c>
      <c r="B55" s="23" t="s">
        <v>696</v>
      </c>
      <c r="C55" s="49" t="s">
        <v>48</v>
      </c>
      <c r="D55" s="41"/>
      <c r="E55" s="415">
        <v>-866400000</v>
      </c>
      <c r="F55" s="415">
        <v>-866400000</v>
      </c>
    </row>
    <row r="56" spans="1:6" s="40" customFormat="1" ht="31.5" customHeight="1">
      <c r="A56" s="51" t="s">
        <v>596</v>
      </c>
      <c r="B56" s="42" t="s">
        <v>214</v>
      </c>
      <c r="C56" s="51" t="s">
        <v>803</v>
      </c>
      <c r="D56" s="46"/>
      <c r="E56" s="419">
        <v>1094473673625</v>
      </c>
      <c r="F56" s="419">
        <v>1114754936974</v>
      </c>
    </row>
    <row r="57" spans="1:6" s="40" customFormat="1" ht="31.5" customHeight="1">
      <c r="A57" s="325" t="s">
        <v>49</v>
      </c>
      <c r="B57" s="42" t="s">
        <v>697</v>
      </c>
      <c r="C57" s="325" t="s">
        <v>49</v>
      </c>
      <c r="D57" s="46"/>
      <c r="E57" s="419"/>
      <c r="F57" s="419"/>
    </row>
    <row r="58" spans="1:6" s="40" customFormat="1" ht="31.5" customHeight="1">
      <c r="A58" s="49" t="s">
        <v>669</v>
      </c>
      <c r="B58" s="23" t="s">
        <v>698</v>
      </c>
      <c r="C58" s="49" t="s">
        <v>1</v>
      </c>
      <c r="D58" s="41"/>
      <c r="E58" s="415">
        <v>0</v>
      </c>
      <c r="F58" s="415">
        <v>0</v>
      </c>
    </row>
    <row r="59" spans="1:6" s="40" customFormat="1" ht="31.5" customHeight="1">
      <c r="A59" s="49"/>
      <c r="B59" s="200" t="s">
        <v>642</v>
      </c>
      <c r="C59" s="49" t="s">
        <v>897</v>
      </c>
      <c r="D59" s="41"/>
      <c r="E59" s="415">
        <v>0</v>
      </c>
      <c r="F59" s="415">
        <v>0</v>
      </c>
    </row>
    <row r="60" spans="1:6" s="40" customFormat="1" ht="31.5" customHeight="1">
      <c r="A60" s="49"/>
      <c r="B60" s="200" t="s">
        <v>643</v>
      </c>
      <c r="C60" s="49" t="s">
        <v>898</v>
      </c>
      <c r="D60" s="41"/>
      <c r="E60" s="415">
        <v>0</v>
      </c>
      <c r="F60" s="415">
        <v>0</v>
      </c>
    </row>
    <row r="61" spans="1:6" s="40" customFormat="1" ht="31.5" customHeight="1">
      <c r="A61" s="49" t="s">
        <v>670</v>
      </c>
      <c r="B61" s="23" t="s">
        <v>699</v>
      </c>
      <c r="C61" s="49" t="s">
        <v>2</v>
      </c>
      <c r="D61" s="41"/>
      <c r="E61" s="415">
        <v>0</v>
      </c>
      <c r="F61" s="415">
        <v>18243556000</v>
      </c>
    </row>
    <row r="62" spans="1:6" s="40" customFormat="1" ht="59.25" customHeight="1">
      <c r="A62" s="49" t="s">
        <v>671</v>
      </c>
      <c r="B62" s="23" t="s">
        <v>700</v>
      </c>
      <c r="C62" s="49" t="s">
        <v>50</v>
      </c>
      <c r="D62" s="288"/>
      <c r="E62" s="415">
        <v>411893233</v>
      </c>
      <c r="F62" s="415">
        <v>111000124</v>
      </c>
    </row>
    <row r="63" spans="1:6" s="40" customFormat="1" ht="33" customHeight="1">
      <c r="A63" s="49" t="s">
        <v>678</v>
      </c>
      <c r="B63" s="23" t="s">
        <v>701</v>
      </c>
      <c r="C63" s="49" t="s">
        <v>3</v>
      </c>
      <c r="D63" s="288"/>
      <c r="E63" s="415">
        <v>30142233</v>
      </c>
      <c r="F63" s="415">
        <v>6215153</v>
      </c>
    </row>
    <row r="64" spans="1:6" s="40" customFormat="1" ht="33" customHeight="1">
      <c r="A64" s="49" t="s">
        <v>679</v>
      </c>
      <c r="B64" s="23" t="s">
        <v>702</v>
      </c>
      <c r="C64" s="49" t="s">
        <v>4</v>
      </c>
      <c r="D64" s="41"/>
      <c r="E64" s="415">
        <v>39925000</v>
      </c>
      <c r="F64" s="415">
        <v>39925000</v>
      </c>
    </row>
    <row r="65" spans="1:6" s="40" customFormat="1" ht="33" customHeight="1">
      <c r="A65" s="49" t="s">
        <v>680</v>
      </c>
      <c r="B65" s="23" t="s">
        <v>703</v>
      </c>
      <c r="C65" s="49" t="s">
        <v>804</v>
      </c>
      <c r="D65" s="288"/>
      <c r="E65" s="415">
        <v>165384516</v>
      </c>
      <c r="F65" s="415">
        <v>264550922</v>
      </c>
    </row>
    <row r="66" spans="1:6" s="40" customFormat="1" ht="33" customHeight="1">
      <c r="A66" s="50" t="s">
        <v>596</v>
      </c>
      <c r="B66" s="23" t="s">
        <v>648</v>
      </c>
      <c r="C66" s="50" t="s">
        <v>899</v>
      </c>
      <c r="D66" s="288"/>
      <c r="E66" s="415">
        <v>25135520</v>
      </c>
      <c r="F66" s="415">
        <v>68247104</v>
      </c>
    </row>
    <row r="67" spans="1:6" s="40" customFormat="1" ht="33" customHeight="1">
      <c r="A67" s="201" t="s">
        <v>596</v>
      </c>
      <c r="B67" s="200" t="s">
        <v>644</v>
      </c>
      <c r="C67" s="201" t="s">
        <v>645</v>
      </c>
      <c r="D67" s="288"/>
      <c r="E67" s="415">
        <v>25135520</v>
      </c>
      <c r="F67" s="415">
        <v>68247104</v>
      </c>
    </row>
    <row r="68" spans="1:6" s="40" customFormat="1" ht="33" customHeight="1">
      <c r="A68" s="201" t="s">
        <v>596</v>
      </c>
      <c r="B68" s="200" t="s">
        <v>646</v>
      </c>
      <c r="C68" s="201" t="s">
        <v>647</v>
      </c>
      <c r="D68" s="288"/>
      <c r="E68" s="415">
        <v>0</v>
      </c>
      <c r="F68" s="415">
        <v>0</v>
      </c>
    </row>
    <row r="69" spans="1:6" s="40" customFormat="1" ht="33" customHeight="1">
      <c r="A69" s="50" t="s">
        <v>596</v>
      </c>
      <c r="B69" s="23" t="s">
        <v>649</v>
      </c>
      <c r="C69" s="50" t="s">
        <v>900</v>
      </c>
      <c r="D69" s="288"/>
      <c r="E69" s="415">
        <v>44753414</v>
      </c>
      <c r="F69" s="415">
        <v>88000000</v>
      </c>
    </row>
    <row r="70" spans="1:6" s="40" customFormat="1" ht="33" customHeight="1">
      <c r="A70" s="50" t="s">
        <v>596</v>
      </c>
      <c r="B70" s="23" t="s">
        <v>650</v>
      </c>
      <c r="C70" s="50" t="s">
        <v>901</v>
      </c>
      <c r="D70" s="288"/>
      <c r="E70" s="415">
        <v>41237818</v>
      </c>
      <c r="F70" s="415">
        <v>41237818</v>
      </c>
    </row>
    <row r="71" spans="1:6" s="40" customFormat="1" ht="33" customHeight="1">
      <c r="A71" s="50" t="s">
        <v>596</v>
      </c>
      <c r="B71" s="23" t="s">
        <v>651</v>
      </c>
      <c r="C71" s="50" t="s">
        <v>902</v>
      </c>
      <c r="D71" s="288"/>
      <c r="E71" s="415">
        <v>33066000</v>
      </c>
      <c r="F71" s="415">
        <v>33066000</v>
      </c>
    </row>
    <row r="72" spans="1:6" s="40" customFormat="1" ht="44.25" customHeight="1">
      <c r="A72" s="50" t="s">
        <v>596</v>
      </c>
      <c r="B72" s="23" t="s">
        <v>652</v>
      </c>
      <c r="C72" s="50" t="s">
        <v>903</v>
      </c>
      <c r="D72" s="288"/>
      <c r="E72" s="415">
        <v>21191764</v>
      </c>
      <c r="F72" s="415">
        <v>34000000</v>
      </c>
    </row>
    <row r="73" spans="1:6" s="40" customFormat="1" ht="30" customHeight="1">
      <c r="A73" s="49" t="s">
        <v>681</v>
      </c>
      <c r="B73" s="23" t="s">
        <v>240</v>
      </c>
      <c r="C73" s="49" t="s">
        <v>805</v>
      </c>
      <c r="D73" s="41"/>
      <c r="E73" s="415">
        <v>152400000</v>
      </c>
      <c r="F73" s="415">
        <v>898000000</v>
      </c>
    </row>
    <row r="74" spans="1:6" s="40" customFormat="1" ht="30" customHeight="1">
      <c r="A74" s="49" t="s">
        <v>596</v>
      </c>
      <c r="B74" s="200" t="s">
        <v>653</v>
      </c>
      <c r="C74" s="49" t="s">
        <v>806</v>
      </c>
      <c r="D74" s="41"/>
      <c r="E74" s="415">
        <v>152400000</v>
      </c>
      <c r="F74" s="415">
        <v>898000000</v>
      </c>
    </row>
    <row r="75" spans="1:6" s="40" customFormat="1" ht="30" customHeight="1">
      <c r="A75" s="49" t="s">
        <v>596</v>
      </c>
      <c r="B75" s="200" t="s">
        <v>654</v>
      </c>
      <c r="C75" s="49" t="s">
        <v>807</v>
      </c>
      <c r="D75" s="41"/>
      <c r="E75" s="415">
        <v>0</v>
      </c>
      <c r="F75" s="415">
        <v>0</v>
      </c>
    </row>
    <row r="76" spans="1:6" s="40" customFormat="1" ht="30" customHeight="1">
      <c r="A76" s="49" t="s">
        <v>682</v>
      </c>
      <c r="B76" s="200" t="s">
        <v>704</v>
      </c>
      <c r="C76" s="49" t="s">
        <v>5</v>
      </c>
      <c r="D76" s="41"/>
      <c r="E76" s="415">
        <v>4258746113</v>
      </c>
      <c r="F76" s="415">
        <v>3973139175</v>
      </c>
    </row>
    <row r="77" spans="1:6" s="40" customFormat="1" ht="30" customHeight="1">
      <c r="A77" s="49" t="s">
        <v>683</v>
      </c>
      <c r="B77" s="200" t="s">
        <v>705</v>
      </c>
      <c r="C77" s="49" t="s">
        <v>808</v>
      </c>
      <c r="D77" s="288"/>
      <c r="E77" s="415">
        <v>1954192571</v>
      </c>
      <c r="F77" s="415">
        <v>1961366439</v>
      </c>
    </row>
    <row r="78" spans="1:6" s="40" customFormat="1" ht="30" customHeight="1">
      <c r="A78" s="201" t="s">
        <v>596</v>
      </c>
      <c r="B78" s="200" t="s">
        <v>655</v>
      </c>
      <c r="C78" s="201" t="s">
        <v>904</v>
      </c>
      <c r="D78" s="288"/>
      <c r="E78" s="415">
        <v>1833361881</v>
      </c>
      <c r="F78" s="415">
        <v>1841472011</v>
      </c>
    </row>
    <row r="79" spans="1:6" s="40" customFormat="1" ht="30" customHeight="1">
      <c r="A79" s="201" t="s">
        <v>596</v>
      </c>
      <c r="B79" s="200" t="s">
        <v>656</v>
      </c>
      <c r="C79" s="201" t="s">
        <v>905</v>
      </c>
      <c r="D79" s="288"/>
      <c r="E79" s="415">
        <v>42607422</v>
      </c>
      <c r="F79" s="415">
        <v>41373784</v>
      </c>
    </row>
    <row r="80" spans="1:6" s="40" customFormat="1" ht="30" customHeight="1">
      <c r="A80" s="201" t="s">
        <v>596</v>
      </c>
      <c r="B80" s="200" t="s">
        <v>475</v>
      </c>
      <c r="C80" s="201" t="s">
        <v>657</v>
      </c>
      <c r="D80" s="288"/>
      <c r="E80" s="415">
        <v>37607422</v>
      </c>
      <c r="F80" s="415">
        <v>37773784</v>
      </c>
    </row>
    <row r="81" spans="1:6" s="40" customFormat="1" ht="30" customHeight="1">
      <c r="A81" s="201" t="s">
        <v>596</v>
      </c>
      <c r="B81" s="200" t="s">
        <v>370</v>
      </c>
      <c r="C81" s="201" t="s">
        <v>658</v>
      </c>
      <c r="D81" s="288"/>
      <c r="E81" s="415">
        <v>5000000</v>
      </c>
      <c r="F81" s="415">
        <v>3600000</v>
      </c>
    </row>
    <row r="82" spans="1:6" s="40" customFormat="1" ht="30" customHeight="1">
      <c r="A82" s="201" t="s">
        <v>596</v>
      </c>
      <c r="B82" s="200" t="s">
        <v>470</v>
      </c>
      <c r="C82" s="201" t="s">
        <v>659</v>
      </c>
      <c r="D82" s="288"/>
      <c r="E82" s="415">
        <v>0</v>
      </c>
      <c r="F82" s="415">
        <v>0</v>
      </c>
    </row>
    <row r="83" spans="1:6" s="40" customFormat="1" ht="30" customHeight="1">
      <c r="A83" s="201" t="s">
        <v>596</v>
      </c>
      <c r="B83" s="200" t="s">
        <v>660</v>
      </c>
      <c r="C83" s="201" t="s">
        <v>906</v>
      </c>
      <c r="D83" s="288"/>
      <c r="E83" s="415">
        <v>25855103</v>
      </c>
      <c r="F83" s="415">
        <v>25969479</v>
      </c>
    </row>
    <row r="84" spans="1:6" s="40" customFormat="1" ht="30" customHeight="1">
      <c r="A84" s="201" t="s">
        <v>596</v>
      </c>
      <c r="B84" s="200" t="s">
        <v>661</v>
      </c>
      <c r="C84" s="201" t="s">
        <v>907</v>
      </c>
      <c r="D84" s="288"/>
      <c r="E84" s="415">
        <v>41368165</v>
      </c>
      <c r="F84" s="415">
        <v>41551165</v>
      </c>
    </row>
    <row r="85" spans="1:6" s="40" customFormat="1" ht="30" customHeight="1">
      <c r="A85" s="201" t="s">
        <v>596</v>
      </c>
      <c r="B85" s="200" t="s">
        <v>662</v>
      </c>
      <c r="C85" s="201" t="s">
        <v>908</v>
      </c>
      <c r="D85" s="288"/>
      <c r="E85" s="415">
        <v>11000000</v>
      </c>
      <c r="F85" s="415">
        <v>11000000</v>
      </c>
    </row>
    <row r="86" spans="1:6" s="40" customFormat="1" ht="39.75" customHeight="1">
      <c r="A86" s="201" t="s">
        <v>596</v>
      </c>
      <c r="B86" s="200" t="s">
        <v>663</v>
      </c>
      <c r="C86" s="201" t="s">
        <v>809</v>
      </c>
      <c r="D86" s="288"/>
      <c r="E86" s="415">
        <v>0</v>
      </c>
      <c r="F86" s="415">
        <v>0</v>
      </c>
    </row>
    <row r="87" spans="1:6" s="40" customFormat="1" ht="40.5" customHeight="1">
      <c r="A87" s="201" t="s">
        <v>596</v>
      </c>
      <c r="B87" s="200" t="s">
        <v>664</v>
      </c>
      <c r="C87" s="201" t="s">
        <v>810</v>
      </c>
      <c r="D87" s="288"/>
      <c r="E87" s="415">
        <v>0</v>
      </c>
      <c r="F87" s="415">
        <v>0</v>
      </c>
    </row>
    <row r="88" spans="1:6" s="138" customFormat="1" ht="31.5" customHeight="1">
      <c r="A88" s="49" t="s">
        <v>18</v>
      </c>
      <c r="B88" s="200" t="s">
        <v>706</v>
      </c>
      <c r="C88" s="49" t="s">
        <v>811</v>
      </c>
      <c r="D88" s="288"/>
      <c r="E88" s="415">
        <v>232521966</v>
      </c>
      <c r="F88" s="415">
        <v>240321966</v>
      </c>
    </row>
    <row r="89" spans="1:6" s="40" customFormat="1" ht="26.4">
      <c r="A89" s="49" t="s">
        <v>596</v>
      </c>
      <c r="B89" s="23" t="s">
        <v>485</v>
      </c>
      <c r="C89" s="49" t="s">
        <v>909</v>
      </c>
      <c r="D89" s="288"/>
      <c r="E89" s="415">
        <v>19010000</v>
      </c>
      <c r="F89" s="415">
        <v>26810000</v>
      </c>
    </row>
    <row r="90" spans="1:6" s="40" customFormat="1" ht="39.6">
      <c r="A90" s="49" t="s">
        <v>596</v>
      </c>
      <c r="B90" s="200" t="s">
        <v>665</v>
      </c>
      <c r="C90" s="49" t="s">
        <v>910</v>
      </c>
      <c r="D90" s="288"/>
      <c r="E90" s="415">
        <v>37029000</v>
      </c>
      <c r="F90" s="415">
        <v>37029000</v>
      </c>
    </row>
    <row r="91" spans="1:6" s="40" customFormat="1" ht="31.5" customHeight="1">
      <c r="A91" s="49" t="s">
        <v>596</v>
      </c>
      <c r="B91" s="200" t="s">
        <v>666</v>
      </c>
      <c r="C91" s="49" t="s">
        <v>911</v>
      </c>
      <c r="D91" s="288"/>
      <c r="E91" s="415">
        <v>0</v>
      </c>
      <c r="F91" s="415">
        <v>0</v>
      </c>
    </row>
    <row r="92" spans="1:6" s="40" customFormat="1" ht="31.5" customHeight="1">
      <c r="A92" s="49" t="s">
        <v>596</v>
      </c>
      <c r="B92" s="200" t="s">
        <v>667</v>
      </c>
      <c r="C92" s="49" t="s">
        <v>812</v>
      </c>
      <c r="D92" s="288"/>
      <c r="E92" s="415">
        <v>0</v>
      </c>
      <c r="F92" s="415">
        <v>0</v>
      </c>
    </row>
    <row r="93" spans="1:6" s="40" customFormat="1" ht="26.4">
      <c r="A93" s="49" t="s">
        <v>596</v>
      </c>
      <c r="B93" s="23" t="s">
        <v>486</v>
      </c>
      <c r="C93" s="49" t="s">
        <v>668</v>
      </c>
      <c r="D93" s="288"/>
      <c r="E93" s="415">
        <v>176482966</v>
      </c>
      <c r="F93" s="415">
        <v>176482966</v>
      </c>
    </row>
    <row r="94" spans="1:6" s="40" customFormat="1" ht="31.5" customHeight="1">
      <c r="A94" s="51" t="s">
        <v>596</v>
      </c>
      <c r="B94" s="42" t="s">
        <v>215</v>
      </c>
      <c r="C94" s="51" t="s">
        <v>813</v>
      </c>
      <c r="D94" s="46"/>
      <c r="E94" s="419">
        <v>7245205632</v>
      </c>
      <c r="F94" s="419">
        <v>25738074779</v>
      </c>
    </row>
    <row r="95" spans="1:6" s="40" customFormat="1" ht="45.75" customHeight="1">
      <c r="A95" s="51" t="s">
        <v>115</v>
      </c>
      <c r="B95" s="42" t="s">
        <v>707</v>
      </c>
      <c r="C95" s="51" t="s">
        <v>814</v>
      </c>
      <c r="D95" s="46"/>
      <c r="E95" s="419">
        <v>1087228467993</v>
      </c>
      <c r="F95" s="419">
        <v>1089016862195</v>
      </c>
    </row>
    <row r="96" spans="1:6" s="40" customFormat="1" ht="31.5" customHeight="1">
      <c r="A96" s="49" t="s">
        <v>669</v>
      </c>
      <c r="B96" s="23" t="s">
        <v>708</v>
      </c>
      <c r="C96" s="49" t="s">
        <v>815</v>
      </c>
      <c r="D96" s="41"/>
      <c r="E96" s="415">
        <v>281776056400</v>
      </c>
      <c r="F96" s="415">
        <v>295584755300</v>
      </c>
    </row>
    <row r="97" spans="1:6" s="40" customFormat="1" ht="31.5" customHeight="1">
      <c r="A97" s="49" t="s">
        <v>63</v>
      </c>
      <c r="B97" s="23" t="s">
        <v>709</v>
      </c>
      <c r="C97" s="49" t="s">
        <v>6</v>
      </c>
      <c r="D97" s="41"/>
      <c r="E97" s="415">
        <v>1591702396200</v>
      </c>
      <c r="F97" s="415">
        <v>1589767122600</v>
      </c>
    </row>
    <row r="98" spans="1:6" s="40" customFormat="1" ht="31.5" customHeight="1">
      <c r="A98" s="49" t="s">
        <v>66</v>
      </c>
      <c r="B98" s="23" t="s">
        <v>710</v>
      </c>
      <c r="C98" s="49" t="s">
        <v>51</v>
      </c>
      <c r="D98" s="41"/>
      <c r="E98" s="415">
        <v>-1309926339800</v>
      </c>
      <c r="F98" s="415">
        <v>-1294182367300</v>
      </c>
    </row>
    <row r="99" spans="1:6" s="40" customFormat="1" ht="31.5" customHeight="1">
      <c r="A99" s="49" t="s">
        <v>670</v>
      </c>
      <c r="B99" s="23" t="s">
        <v>711</v>
      </c>
      <c r="C99" s="49" t="s">
        <v>52</v>
      </c>
      <c r="D99" s="41"/>
      <c r="E99" s="415">
        <v>596837256741</v>
      </c>
      <c r="F99" s="415">
        <v>635172067930</v>
      </c>
    </row>
    <row r="100" spans="1:6" s="40" customFormat="1" ht="31.5" customHeight="1">
      <c r="A100" s="49" t="s">
        <v>671</v>
      </c>
      <c r="B100" s="23" t="s">
        <v>712</v>
      </c>
      <c r="C100" s="49" t="s">
        <v>7</v>
      </c>
      <c r="D100" s="288"/>
      <c r="E100" s="415">
        <v>208615154852</v>
      </c>
      <c r="F100" s="415">
        <v>158260038965</v>
      </c>
    </row>
    <row r="101" spans="1:6" s="40" customFormat="1" ht="31.5" customHeight="1">
      <c r="A101" s="49" t="s">
        <v>672</v>
      </c>
      <c r="B101" s="23" t="s">
        <v>713</v>
      </c>
      <c r="C101" s="49" t="s">
        <v>912</v>
      </c>
      <c r="D101" s="41"/>
      <c r="E101" s="415">
        <v>158260038965</v>
      </c>
      <c r="F101" s="415">
        <v>310584324744</v>
      </c>
    </row>
    <row r="102" spans="1:6" s="40" customFormat="1" ht="31.5" customHeight="1">
      <c r="A102" s="49" t="s">
        <v>673</v>
      </c>
      <c r="B102" s="23" t="s">
        <v>714</v>
      </c>
      <c r="C102" s="49" t="s">
        <v>913</v>
      </c>
      <c r="D102" s="41"/>
      <c r="E102" s="415">
        <v>50355115887</v>
      </c>
      <c r="F102" s="415">
        <v>-152324285779</v>
      </c>
    </row>
    <row r="103" spans="1:6" s="40" customFormat="1" ht="45" customHeight="1">
      <c r="A103" s="51" t="s">
        <v>116</v>
      </c>
      <c r="B103" s="42" t="s">
        <v>715</v>
      </c>
      <c r="C103" s="51" t="s">
        <v>816</v>
      </c>
      <c r="D103" s="46"/>
      <c r="E103" s="193">
        <v>38584.839999999997</v>
      </c>
      <c r="F103" s="339">
        <v>36842.79</v>
      </c>
    </row>
    <row r="104" spans="1:6" s="40" customFormat="1" ht="33" customHeight="1">
      <c r="A104" s="51" t="s">
        <v>119</v>
      </c>
      <c r="B104" s="42" t="s">
        <v>716</v>
      </c>
      <c r="C104" s="51" t="s">
        <v>817</v>
      </c>
      <c r="D104" s="46"/>
      <c r="E104" s="417">
        <v>0</v>
      </c>
      <c r="F104" s="417">
        <v>0</v>
      </c>
    </row>
    <row r="105" spans="1:6" s="40" customFormat="1" ht="33" customHeight="1">
      <c r="A105" s="49" t="s">
        <v>669</v>
      </c>
      <c r="B105" s="23" t="s">
        <v>717</v>
      </c>
      <c r="C105" s="49" t="s">
        <v>818</v>
      </c>
      <c r="D105" s="41"/>
      <c r="E105" s="415">
        <v>0</v>
      </c>
      <c r="F105" s="415">
        <v>0</v>
      </c>
    </row>
    <row r="106" spans="1:6" s="40" customFormat="1" ht="47.25" customHeight="1">
      <c r="A106" s="49" t="s">
        <v>670</v>
      </c>
      <c r="B106" s="23" t="s">
        <v>718</v>
      </c>
      <c r="C106" s="49" t="s">
        <v>819</v>
      </c>
      <c r="D106" s="41"/>
      <c r="E106" s="415">
        <v>0</v>
      </c>
      <c r="F106" s="415">
        <v>0</v>
      </c>
    </row>
    <row r="107" spans="1:6" s="40" customFormat="1" ht="45" customHeight="1">
      <c r="A107" s="51" t="s">
        <v>53</v>
      </c>
      <c r="B107" s="42" t="s">
        <v>216</v>
      </c>
      <c r="C107" s="51" t="s">
        <v>53</v>
      </c>
      <c r="D107" s="46"/>
      <c r="E107" s="417"/>
      <c r="F107" s="417"/>
    </row>
    <row r="108" spans="1:6" s="40" customFormat="1" ht="30.75" customHeight="1">
      <c r="A108" s="336" t="s">
        <v>669</v>
      </c>
      <c r="B108" s="23" t="s">
        <v>719</v>
      </c>
      <c r="C108" s="336" t="s">
        <v>820</v>
      </c>
      <c r="D108" s="41"/>
      <c r="E108" s="416">
        <v>0</v>
      </c>
      <c r="F108" s="416">
        <v>0</v>
      </c>
    </row>
    <row r="109" spans="1:6" s="40" customFormat="1" ht="30.75" customHeight="1">
      <c r="A109" s="336" t="s">
        <v>670</v>
      </c>
      <c r="B109" s="23" t="s">
        <v>720</v>
      </c>
      <c r="C109" s="336" t="s">
        <v>821</v>
      </c>
      <c r="D109" s="41"/>
      <c r="E109" s="416">
        <v>0</v>
      </c>
      <c r="F109" s="416">
        <v>0</v>
      </c>
    </row>
    <row r="110" spans="1:6" s="40" customFormat="1" ht="30.75" customHeight="1">
      <c r="A110" s="336" t="s">
        <v>671</v>
      </c>
      <c r="B110" s="23" t="s">
        <v>721</v>
      </c>
      <c r="C110" s="336" t="s">
        <v>822</v>
      </c>
      <c r="D110" s="41"/>
      <c r="E110" s="416">
        <v>0</v>
      </c>
      <c r="F110" s="416">
        <v>0</v>
      </c>
    </row>
    <row r="111" spans="1:6" s="40" customFormat="1" ht="30.75" customHeight="1">
      <c r="A111" s="336" t="s">
        <v>678</v>
      </c>
      <c r="B111" s="23" t="s">
        <v>722</v>
      </c>
      <c r="C111" s="336" t="s">
        <v>823</v>
      </c>
      <c r="D111" s="41"/>
      <c r="E111" s="433">
        <v>28177605.640000001</v>
      </c>
      <c r="F111" s="434">
        <v>29558475.530000005</v>
      </c>
    </row>
    <row r="112" spans="1:6" s="40" customFormat="1">
      <c r="A112" s="353"/>
      <c r="B112" s="354"/>
      <c r="C112" s="353"/>
      <c r="D112" s="355"/>
      <c r="E112" s="356"/>
      <c r="F112" s="356"/>
    </row>
    <row r="113" spans="1:6" s="40" customFormat="1">
      <c r="A113" s="357"/>
      <c r="B113" s="358"/>
      <c r="C113" s="357"/>
      <c r="D113" s="359"/>
      <c r="E113" s="360"/>
      <c r="F113" s="360"/>
    </row>
    <row r="114" spans="1:6" s="40" customFormat="1">
      <c r="A114" s="357"/>
      <c r="B114" s="358"/>
      <c r="C114" s="357"/>
      <c r="D114" s="359"/>
      <c r="E114" s="360"/>
      <c r="F114" s="360"/>
    </row>
    <row r="115" spans="1:6" s="40" customFormat="1">
      <c r="A115" s="357"/>
      <c r="B115" s="358"/>
      <c r="C115" s="357"/>
      <c r="D115" s="359"/>
      <c r="E115" s="360"/>
      <c r="F115" s="360"/>
    </row>
    <row r="116" spans="1:6" s="40" customFormat="1">
      <c r="A116" s="464" t="s">
        <v>845</v>
      </c>
      <c r="B116" s="464"/>
      <c r="C116" s="447" t="s">
        <v>846</v>
      </c>
      <c r="D116" s="447"/>
      <c r="E116" s="447"/>
      <c r="F116" s="447"/>
    </row>
    <row r="117" spans="1:6" s="40" customFormat="1">
      <c r="A117" s="28"/>
      <c r="B117" s="28"/>
      <c r="C117" s="21"/>
      <c r="D117" s="21"/>
      <c r="E117" s="29"/>
      <c r="F117" s="30"/>
    </row>
    <row r="118" spans="1:6" s="40" customFormat="1">
      <c r="A118" s="28"/>
      <c r="B118" s="28"/>
      <c r="C118" s="21"/>
      <c r="D118" s="229"/>
      <c r="E118" s="29"/>
      <c r="F118" s="30"/>
    </row>
    <row r="119" spans="1:6" s="40" customFormat="1">
      <c r="A119" s="28"/>
      <c r="B119" s="28"/>
      <c r="C119" s="21"/>
      <c r="D119" s="228"/>
      <c r="E119" s="29"/>
      <c r="F119" s="30"/>
    </row>
    <row r="120" spans="1:6" s="40" customFormat="1">
      <c r="A120" s="28"/>
      <c r="B120" s="28"/>
      <c r="C120" s="21"/>
      <c r="D120" s="228"/>
      <c r="E120" s="29"/>
      <c r="F120" s="30"/>
    </row>
    <row r="121" spans="1:6" s="40" customFormat="1">
      <c r="A121" s="28"/>
      <c r="B121" s="28"/>
      <c r="C121" s="21"/>
      <c r="D121" s="228"/>
      <c r="E121" s="29"/>
      <c r="F121" s="30"/>
    </row>
    <row r="122" spans="1:6" s="40" customFormat="1">
      <c r="A122" s="28"/>
      <c r="B122" s="28"/>
      <c r="C122" s="21"/>
      <c r="D122" s="228"/>
      <c r="E122" s="29"/>
      <c r="F122" s="30"/>
    </row>
    <row r="123" spans="1:6" s="40" customFormat="1">
      <c r="A123" s="28"/>
      <c r="B123" s="28"/>
      <c r="C123" s="21"/>
      <c r="D123" s="228"/>
      <c r="E123" s="29"/>
      <c r="F123" s="30"/>
    </row>
    <row r="124" spans="1:6" s="40" customFormat="1">
      <c r="A124" s="28"/>
      <c r="B124" s="28"/>
      <c r="C124" s="21"/>
      <c r="D124" s="21"/>
      <c r="E124" s="29"/>
      <c r="F124" s="30"/>
    </row>
    <row r="125" spans="1:6" s="40" customFormat="1">
      <c r="A125" s="28"/>
      <c r="B125" s="28"/>
      <c r="C125" s="21"/>
      <c r="D125" s="21"/>
      <c r="E125" s="29"/>
      <c r="F125" s="30"/>
    </row>
    <row r="126" spans="1:6" s="40" customFormat="1">
      <c r="A126" s="28"/>
      <c r="B126" s="28"/>
      <c r="C126" s="21"/>
      <c r="D126" s="21"/>
      <c r="E126" s="29"/>
      <c r="F126" s="30"/>
    </row>
    <row r="127" spans="1:6" s="40" customFormat="1">
      <c r="A127" s="28"/>
      <c r="B127" s="28"/>
      <c r="C127" s="21"/>
      <c r="D127" s="21"/>
      <c r="E127" s="29"/>
      <c r="F127" s="30"/>
    </row>
    <row r="128" spans="1:6" s="40" customFormat="1">
      <c r="A128" s="28"/>
      <c r="B128" s="28"/>
      <c r="C128" s="21"/>
      <c r="D128" s="21"/>
      <c r="E128" s="29"/>
      <c r="F128" s="30"/>
    </row>
    <row r="129" spans="1:6" s="40" customFormat="1">
      <c r="A129" s="456" t="s">
        <v>848</v>
      </c>
      <c r="B129" s="456"/>
      <c r="C129" s="465" t="s">
        <v>855</v>
      </c>
      <c r="D129" s="465"/>
      <c r="E129" s="465"/>
      <c r="F129" s="361" t="s">
        <v>848</v>
      </c>
    </row>
    <row r="130" spans="1:6" s="40" customFormat="1">
      <c r="A130" s="447" t="s">
        <v>849</v>
      </c>
      <c r="B130" s="447"/>
      <c r="C130" s="461" t="s">
        <v>856</v>
      </c>
      <c r="D130" s="461"/>
      <c r="E130" s="461"/>
      <c r="F130" s="428" t="s">
        <v>857</v>
      </c>
    </row>
    <row r="131" spans="1:6" s="40" customFormat="1">
      <c r="A131" s="455" t="s">
        <v>852</v>
      </c>
      <c r="B131" s="455"/>
      <c r="C131" s="462" t="s">
        <v>858</v>
      </c>
      <c r="D131" s="463"/>
      <c r="E131" s="463"/>
      <c r="F131" s="429" t="s">
        <v>859</v>
      </c>
    </row>
    <row r="132" spans="1:6" s="40" customFormat="1"/>
    <row r="133" spans="1:6" s="40" customFormat="1"/>
    <row r="134" spans="1:6" s="40" customFormat="1"/>
    <row r="135" spans="1:6" s="40" customFormat="1"/>
    <row r="136" spans="1:6" s="40" customFormat="1"/>
    <row r="137" spans="1:6" s="40" customFormat="1"/>
    <row r="138" spans="1:6" s="40" customFormat="1"/>
    <row r="139" spans="1:6" s="40" customFormat="1"/>
    <row r="140" spans="1:6" s="40" customFormat="1"/>
    <row r="141" spans="1:6" s="40" customFormat="1"/>
    <row r="142" spans="1:6" s="40" customFormat="1"/>
    <row r="143" spans="1:6" s="40" customFormat="1"/>
    <row r="144" spans="1:6" s="40" customFormat="1"/>
    <row r="145" s="40" customFormat="1"/>
    <row r="146" s="40" customFormat="1"/>
  </sheetData>
  <mergeCells count="20">
    <mergeCell ref="A130:B130"/>
    <mergeCell ref="C130:E130"/>
    <mergeCell ref="A131:B131"/>
    <mergeCell ref="C131:E131"/>
    <mergeCell ref="A116:B116"/>
    <mergeCell ref="C116:F116"/>
    <mergeCell ref="A129:B129"/>
    <mergeCell ref="C129:E129"/>
    <mergeCell ref="C13:F13"/>
    <mergeCell ref="C14:F14"/>
    <mergeCell ref="C12:F12"/>
    <mergeCell ref="C8:F8"/>
    <mergeCell ref="C10:F10"/>
    <mergeCell ref="C11:F11"/>
    <mergeCell ref="C9:F9"/>
    <mergeCell ref="B1:F1"/>
    <mergeCell ref="B2:F2"/>
    <mergeCell ref="B3:F4"/>
    <mergeCell ref="B5:F5"/>
    <mergeCell ref="C7:F7"/>
  </mergeCells>
  <printOptions horizontalCentered="1"/>
  <pageMargins left="0.7" right="0.7" top="0.75" bottom="0.75" header="0.3" footer="0.3"/>
  <pageSetup scale="44" orientation="portrait" r:id="rId1"/>
  <rowBreaks count="1" manualBreakCount="1">
    <brk id="72" max="5" man="1"/>
  </rowBreaks>
  <drawing r:id="rId2"/>
</worksheet>
</file>

<file path=xl/worksheets/sheet4.xml><?xml version="1.0" encoding="utf-8"?>
<worksheet xmlns="http://schemas.openxmlformats.org/spreadsheetml/2006/main" xmlns:r="http://schemas.openxmlformats.org/officeDocument/2006/relationships">
  <sheetPr>
    <tabColor rgb="FF0070C0"/>
  </sheetPr>
  <dimension ref="A1:E82"/>
  <sheetViews>
    <sheetView showGridLines="0" view="pageBreakPreview" zoomScaleNormal="100" zoomScaleSheetLayoutView="100" workbookViewId="0">
      <selection activeCell="C28" sqref="C28"/>
    </sheetView>
  </sheetViews>
  <sheetFormatPr defaultColWidth="9.33203125" defaultRowHeight="13.2"/>
  <cols>
    <col min="1" max="1" width="56.33203125" style="32" customWidth="1"/>
    <col min="2" max="2" width="9.33203125" style="32"/>
    <col min="3" max="3" width="11.6640625" style="141" customWidth="1"/>
    <col min="4" max="4" width="24.33203125" style="141" customWidth="1"/>
    <col min="5" max="5" width="25.33203125" style="256" customWidth="1"/>
    <col min="6" max="16384" width="9.33203125" style="32"/>
  </cols>
  <sheetData>
    <row r="1" spans="1:5" s="247" customFormat="1" ht="32.25" customHeight="1">
      <c r="A1" s="443" t="s">
        <v>502</v>
      </c>
      <c r="B1" s="443"/>
      <c r="C1" s="443"/>
      <c r="D1" s="443"/>
      <c r="E1" s="443"/>
    </row>
    <row r="2" spans="1:5" s="247" customFormat="1" ht="26.25" customHeight="1">
      <c r="A2" s="444" t="s">
        <v>503</v>
      </c>
      <c r="B2" s="444"/>
      <c r="C2" s="444"/>
      <c r="D2" s="444"/>
      <c r="E2" s="444"/>
    </row>
    <row r="3" spans="1:5" s="247" customFormat="1" ht="18" customHeight="1">
      <c r="A3" s="445" t="s">
        <v>504</v>
      </c>
      <c r="B3" s="445"/>
      <c r="C3" s="445"/>
      <c r="D3" s="445"/>
      <c r="E3" s="445"/>
    </row>
    <row r="4" spans="1:5" s="247" customFormat="1" ht="19.5" customHeight="1">
      <c r="A4" s="445"/>
      <c r="B4" s="445"/>
      <c r="C4" s="445"/>
      <c r="D4" s="445"/>
      <c r="E4" s="445"/>
    </row>
    <row r="5" spans="1:5" s="247" customFormat="1">
      <c r="A5" s="446" t="s">
        <v>995</v>
      </c>
      <c r="B5" s="446"/>
      <c r="C5" s="446"/>
      <c r="D5" s="446"/>
      <c r="E5" s="446"/>
    </row>
    <row r="6" spans="1:5" s="247" customFormat="1">
      <c r="A6" s="238"/>
      <c r="B6" s="238"/>
      <c r="C6" s="238"/>
      <c r="D6" s="238"/>
      <c r="E6" s="238"/>
    </row>
    <row r="7" spans="1:5" s="247" customFormat="1">
      <c r="A7" s="181" t="s">
        <v>455</v>
      </c>
      <c r="B7" s="459" t="s">
        <v>466</v>
      </c>
      <c r="C7" s="459"/>
      <c r="D7" s="459"/>
      <c r="E7" s="459"/>
    </row>
    <row r="8" spans="1:5" s="247" customFormat="1" ht="12.75" customHeight="1">
      <c r="A8" s="182" t="s">
        <v>947</v>
      </c>
      <c r="B8" s="460" t="s">
        <v>605</v>
      </c>
      <c r="C8" s="460"/>
      <c r="D8" s="460"/>
      <c r="E8" s="460"/>
    </row>
    <row r="9" spans="1:5" s="247" customFormat="1" ht="12.75" customHeight="1">
      <c r="A9" s="181" t="s">
        <v>457</v>
      </c>
      <c r="B9" s="459" t="s">
        <v>986</v>
      </c>
      <c r="C9" s="459"/>
      <c r="D9" s="459"/>
      <c r="E9" s="459"/>
    </row>
    <row r="10" spans="1:5" s="247" customFormat="1" ht="12.75" customHeight="1">
      <c r="A10" s="183" t="s">
        <v>459</v>
      </c>
      <c r="B10" s="460" t="s">
        <v>460</v>
      </c>
      <c r="C10" s="460"/>
      <c r="D10" s="460"/>
      <c r="E10" s="460"/>
    </row>
    <row r="11" spans="1:5" s="247" customFormat="1" ht="12.75" customHeight="1">
      <c r="A11" s="181" t="s">
        <v>392</v>
      </c>
      <c r="B11" s="459" t="s">
        <v>492</v>
      </c>
      <c r="C11" s="459"/>
      <c r="D11" s="459"/>
      <c r="E11" s="459"/>
    </row>
    <row r="12" spans="1:5" s="247" customFormat="1" ht="12.75" customHeight="1">
      <c r="A12" s="184" t="s">
        <v>390</v>
      </c>
      <c r="B12" s="460" t="s">
        <v>491</v>
      </c>
      <c r="C12" s="460"/>
      <c r="D12" s="460"/>
      <c r="E12" s="460"/>
    </row>
    <row r="13" spans="1:5" s="247" customFormat="1" ht="12.75" customHeight="1">
      <c r="A13" s="239" t="s">
        <v>138</v>
      </c>
      <c r="B13" s="466" t="s">
        <v>996</v>
      </c>
      <c r="C13" s="459"/>
      <c r="D13" s="459"/>
      <c r="E13" s="459"/>
    </row>
    <row r="14" spans="1:5" s="247" customFormat="1">
      <c r="A14" s="186" t="s">
        <v>139</v>
      </c>
      <c r="B14" s="438">
        <v>43564</v>
      </c>
      <c r="C14" s="438"/>
      <c r="D14" s="438"/>
      <c r="E14" s="438"/>
    </row>
    <row r="15" spans="1:5" s="247" customFormat="1">
      <c r="A15"/>
      <c r="B15"/>
      <c r="C15" s="220"/>
      <c r="D15" s="220"/>
      <c r="E15" s="248"/>
    </row>
    <row r="16" spans="1:5" s="249" customFormat="1" ht="39.6">
      <c r="A16" s="38" t="s">
        <v>140</v>
      </c>
      <c r="B16" s="38" t="s">
        <v>141</v>
      </c>
      <c r="C16" s="39" t="s">
        <v>142</v>
      </c>
      <c r="D16" s="38" t="s">
        <v>1000</v>
      </c>
      <c r="E16" s="38" t="s">
        <v>981</v>
      </c>
    </row>
    <row r="17" spans="1:5" s="249" customFormat="1" ht="30.75" customHeight="1">
      <c r="A17" s="404" t="s">
        <v>505</v>
      </c>
      <c r="B17" s="326" t="s">
        <v>43</v>
      </c>
      <c r="C17" s="37"/>
      <c r="D17" s="390"/>
      <c r="E17" s="390"/>
    </row>
    <row r="18" spans="1:5" s="249" customFormat="1" ht="30" customHeight="1">
      <c r="A18" s="405" t="s">
        <v>506</v>
      </c>
      <c r="B18" s="391" t="s">
        <v>8</v>
      </c>
      <c r="C18" s="392"/>
      <c r="D18" s="393">
        <v>50355115887</v>
      </c>
      <c r="E18" s="393">
        <v>-152324285779</v>
      </c>
    </row>
    <row r="19" spans="1:5" s="249" customFormat="1" ht="40.5" customHeight="1">
      <c r="A19" s="405" t="s">
        <v>507</v>
      </c>
      <c r="B19" s="391" t="s">
        <v>9</v>
      </c>
      <c r="C19" s="392"/>
      <c r="D19" s="393">
        <v>-48745322864</v>
      </c>
      <c r="E19" s="393">
        <v>151659616005</v>
      </c>
    </row>
    <row r="20" spans="1:5" s="249" customFormat="1" ht="42.75" customHeight="1">
      <c r="A20" s="406" t="s">
        <v>508</v>
      </c>
      <c r="B20" s="331" t="s">
        <v>10</v>
      </c>
      <c r="C20" s="41"/>
      <c r="D20" s="394">
        <v>-48694276278</v>
      </c>
      <c r="E20" s="395">
        <v>151567975123</v>
      </c>
    </row>
    <row r="21" spans="1:5" s="249" customFormat="1" ht="28.5" customHeight="1">
      <c r="A21" s="406" t="s">
        <v>509</v>
      </c>
      <c r="B21" s="331" t="s">
        <v>19</v>
      </c>
      <c r="C21" s="41"/>
      <c r="D21" s="395">
        <v>-51046586</v>
      </c>
      <c r="E21" s="395">
        <v>91640882</v>
      </c>
    </row>
    <row r="22" spans="1:5" s="249" customFormat="1" ht="28.5" customHeight="1">
      <c r="A22" s="405" t="s">
        <v>510</v>
      </c>
      <c r="B22" s="391" t="s">
        <v>20</v>
      </c>
      <c r="C22" s="392"/>
      <c r="D22" s="393">
        <v>1609793023</v>
      </c>
      <c r="E22" s="393">
        <v>-664669774</v>
      </c>
    </row>
    <row r="23" spans="1:5" s="249" customFormat="1" ht="28.5" customHeight="1">
      <c r="A23" s="407" t="s">
        <v>511</v>
      </c>
      <c r="B23" s="329" t="s">
        <v>26</v>
      </c>
      <c r="C23" s="33"/>
      <c r="D23" s="395">
        <v>45613751528</v>
      </c>
      <c r="E23" s="396">
        <v>7090761027</v>
      </c>
    </row>
    <row r="24" spans="1:5" s="249" customFormat="1" ht="43.5" customHeight="1">
      <c r="A24" s="407" t="s">
        <v>512</v>
      </c>
      <c r="B24" s="331" t="s">
        <v>21</v>
      </c>
      <c r="C24" s="41"/>
      <c r="D24" s="395">
        <v>10497500000</v>
      </c>
      <c r="E24" s="396">
        <v>-10497500000</v>
      </c>
    </row>
    <row r="25" spans="1:5" s="249" customFormat="1" ht="30" customHeight="1">
      <c r="A25" s="407" t="s">
        <v>513</v>
      </c>
      <c r="B25" s="331" t="s">
        <v>22</v>
      </c>
      <c r="C25" s="41"/>
      <c r="D25" s="395">
        <v>1103446491</v>
      </c>
      <c r="E25" s="396">
        <v>-4030835352</v>
      </c>
    </row>
    <row r="26" spans="1:5" s="249" customFormat="1" ht="30" customHeight="1">
      <c r="A26" s="406" t="s">
        <v>514</v>
      </c>
      <c r="B26" s="331" t="s">
        <v>23</v>
      </c>
      <c r="C26" s="41"/>
      <c r="D26" s="395">
        <v>0</v>
      </c>
      <c r="E26" s="396">
        <v>0</v>
      </c>
    </row>
    <row r="27" spans="1:5" s="249" customFormat="1" ht="30" customHeight="1">
      <c r="A27" s="406" t="s">
        <v>515</v>
      </c>
      <c r="B27" s="331" t="s">
        <v>24</v>
      </c>
      <c r="C27" s="41"/>
      <c r="D27" s="395">
        <v>0</v>
      </c>
      <c r="E27" s="396">
        <v>0</v>
      </c>
    </row>
    <row r="28" spans="1:5" s="249" customFormat="1" ht="40.5" customHeight="1">
      <c r="A28" s="406" t="s">
        <v>516</v>
      </c>
      <c r="B28" s="331" t="s">
        <v>18</v>
      </c>
      <c r="C28" s="41"/>
      <c r="D28" s="395">
        <v>-18243556000</v>
      </c>
      <c r="E28" s="396">
        <v>-34220747000</v>
      </c>
    </row>
    <row r="29" spans="1:5" s="249" customFormat="1" ht="57" customHeight="1">
      <c r="A29" s="406" t="s">
        <v>517</v>
      </c>
      <c r="B29" s="331" t="s">
        <v>17</v>
      </c>
      <c r="C29" s="41"/>
      <c r="D29" s="395">
        <v>300893109</v>
      </c>
      <c r="E29" s="396">
        <v>11310608</v>
      </c>
    </row>
    <row r="30" spans="1:5" s="249" customFormat="1" ht="29.25" customHeight="1">
      <c r="A30" s="406" t="s">
        <v>518</v>
      </c>
      <c r="B30" s="331" t="s">
        <v>16</v>
      </c>
      <c r="C30" s="41"/>
      <c r="D30" s="395">
        <v>0</v>
      </c>
      <c r="E30" s="396">
        <v>0</v>
      </c>
    </row>
    <row r="31" spans="1:5" s="249" customFormat="1" ht="42" customHeight="1">
      <c r="A31" s="406" t="s">
        <v>519</v>
      </c>
      <c r="B31" s="331" t="s">
        <v>15</v>
      </c>
      <c r="C31" s="41"/>
      <c r="D31" s="395">
        <v>23927080</v>
      </c>
      <c r="E31" s="396">
        <v>-3395261</v>
      </c>
    </row>
    <row r="32" spans="1:5" s="249" customFormat="1" ht="30" customHeight="1">
      <c r="A32" s="406" t="s">
        <v>520</v>
      </c>
      <c r="B32" s="331" t="s">
        <v>14</v>
      </c>
      <c r="C32" s="41"/>
      <c r="D32" s="395">
        <v>-745600000</v>
      </c>
      <c r="E32" s="396">
        <v>804000000</v>
      </c>
    </row>
    <row r="33" spans="1:5" s="249" customFormat="1" ht="43.5" customHeight="1">
      <c r="A33" s="406" t="s">
        <v>521</v>
      </c>
      <c r="B33" s="331" t="s">
        <v>25</v>
      </c>
      <c r="C33" s="41"/>
      <c r="D33" s="395">
        <v>285606938</v>
      </c>
      <c r="E33" s="396">
        <v>-118088510</v>
      </c>
    </row>
    <row r="34" spans="1:5" s="249" customFormat="1" ht="30" customHeight="1">
      <c r="A34" s="406" t="s">
        <v>522</v>
      </c>
      <c r="B34" s="331" t="s">
        <v>523</v>
      </c>
      <c r="C34" s="41"/>
      <c r="D34" s="395">
        <v>-55919820</v>
      </c>
      <c r="E34" s="396">
        <v>-31299894</v>
      </c>
    </row>
    <row r="35" spans="1:5" s="249" customFormat="1" ht="43.5" customHeight="1">
      <c r="A35" s="406" t="s">
        <v>524</v>
      </c>
      <c r="B35" s="331" t="s">
        <v>525</v>
      </c>
      <c r="C35" s="41"/>
      <c r="D35" s="395">
        <v>-7173868</v>
      </c>
      <c r="E35" s="396">
        <v>-43634472</v>
      </c>
    </row>
    <row r="36" spans="1:5" s="249" customFormat="1" ht="30.75" customHeight="1">
      <c r="A36" s="406" t="s">
        <v>526</v>
      </c>
      <c r="B36" s="331" t="s">
        <v>527</v>
      </c>
      <c r="C36" s="41"/>
      <c r="D36" s="395">
        <v>0</v>
      </c>
      <c r="E36" s="396">
        <v>0</v>
      </c>
    </row>
    <row r="37" spans="1:5" s="249" customFormat="1" ht="30.75" customHeight="1">
      <c r="A37" s="408" t="s">
        <v>528</v>
      </c>
      <c r="B37" s="397" t="s">
        <v>529</v>
      </c>
      <c r="C37" s="398"/>
      <c r="D37" s="399">
        <v>40382668481</v>
      </c>
      <c r="E37" s="399">
        <v>-41704098628</v>
      </c>
    </row>
    <row r="38" spans="1:5" s="249" customFormat="1" ht="33.75" customHeight="1">
      <c r="A38" s="404" t="s">
        <v>530</v>
      </c>
      <c r="B38" s="326" t="s">
        <v>49</v>
      </c>
      <c r="C38" s="37"/>
      <c r="D38" s="400"/>
      <c r="E38" s="400"/>
    </row>
    <row r="39" spans="1:5" s="249" customFormat="1" ht="29.25" customHeight="1">
      <c r="A39" s="406" t="s">
        <v>531</v>
      </c>
      <c r="B39" s="331" t="s">
        <v>12</v>
      </c>
      <c r="C39" s="41"/>
      <c r="D39" s="395">
        <v>7377618797</v>
      </c>
      <c r="E39" s="395">
        <v>94938942207</v>
      </c>
    </row>
    <row r="40" spans="1:5" s="249" customFormat="1" ht="29.25" customHeight="1">
      <c r="A40" s="406" t="s">
        <v>532</v>
      </c>
      <c r="B40" s="331" t="s">
        <v>11</v>
      </c>
      <c r="C40" s="41"/>
      <c r="D40" s="395">
        <v>-59521128886</v>
      </c>
      <c r="E40" s="395">
        <v>-128701742226</v>
      </c>
    </row>
    <row r="41" spans="1:5" s="249" customFormat="1" ht="29.25" customHeight="1">
      <c r="A41" s="406" t="s">
        <v>533</v>
      </c>
      <c r="B41" s="331" t="s">
        <v>534</v>
      </c>
      <c r="C41" s="41"/>
      <c r="D41" s="395">
        <v>0</v>
      </c>
      <c r="E41" s="395">
        <v>0</v>
      </c>
    </row>
    <row r="42" spans="1:5" s="249" customFormat="1" ht="29.25" customHeight="1">
      <c r="A42" s="406" t="s">
        <v>535</v>
      </c>
      <c r="B42" s="331" t="s">
        <v>536</v>
      </c>
      <c r="C42" s="41"/>
      <c r="D42" s="395">
        <v>0</v>
      </c>
      <c r="E42" s="395">
        <v>0</v>
      </c>
    </row>
    <row r="43" spans="1:5" s="249" customFormat="1" ht="29.25" customHeight="1">
      <c r="A43" s="406" t="s">
        <v>537</v>
      </c>
      <c r="B43" s="331" t="s">
        <v>538</v>
      </c>
      <c r="C43" s="41"/>
      <c r="D43" s="395">
        <v>0</v>
      </c>
      <c r="E43" s="395">
        <v>0</v>
      </c>
    </row>
    <row r="44" spans="1:5" s="249" customFormat="1" ht="43.8" customHeight="1">
      <c r="A44" s="408" t="s">
        <v>539</v>
      </c>
      <c r="B44" s="397" t="s">
        <v>13</v>
      </c>
      <c r="C44" s="398"/>
      <c r="D44" s="399">
        <v>-52143510089</v>
      </c>
      <c r="E44" s="399">
        <v>-33762800019</v>
      </c>
    </row>
    <row r="45" spans="1:5" s="249" customFormat="1" ht="42" customHeight="1">
      <c r="A45" s="404" t="s">
        <v>540</v>
      </c>
      <c r="B45" s="326" t="s">
        <v>41</v>
      </c>
      <c r="C45" s="37"/>
      <c r="D45" s="401">
        <v>-11760841608</v>
      </c>
      <c r="E45" s="401">
        <v>-75466898647</v>
      </c>
    </row>
    <row r="46" spans="1:5" s="249" customFormat="1" ht="33" customHeight="1">
      <c r="A46" s="404" t="s">
        <v>541</v>
      </c>
      <c r="B46" s="326" t="s">
        <v>542</v>
      </c>
      <c r="C46" s="37"/>
      <c r="D46" s="401">
        <v>68883445853</v>
      </c>
      <c r="E46" s="401">
        <v>144350344500</v>
      </c>
    </row>
    <row r="47" spans="1:5" s="249" customFormat="1" ht="29.25" customHeight="1">
      <c r="A47" s="406" t="s">
        <v>543</v>
      </c>
      <c r="B47" s="331" t="s">
        <v>544</v>
      </c>
      <c r="C47" s="41"/>
      <c r="D47" s="395">
        <v>68883445853</v>
      </c>
      <c r="E47" s="395">
        <v>144350344500</v>
      </c>
    </row>
    <row r="48" spans="1:5" s="249" customFormat="1" ht="29.25" customHeight="1">
      <c r="A48" s="409" t="s">
        <v>545</v>
      </c>
      <c r="B48" s="331" t="s">
        <v>546</v>
      </c>
      <c r="C48" s="41"/>
      <c r="D48" s="395">
        <v>30075335199</v>
      </c>
      <c r="E48" s="395">
        <v>116511871800</v>
      </c>
    </row>
    <row r="49" spans="1:5" s="249" customFormat="1" ht="29.25" customHeight="1">
      <c r="A49" s="409" t="s">
        <v>592</v>
      </c>
      <c r="B49" s="331" t="s">
        <v>547</v>
      </c>
      <c r="C49" s="41"/>
      <c r="D49" s="395">
        <v>9000000</v>
      </c>
      <c r="E49" s="395">
        <v>35000000</v>
      </c>
    </row>
    <row r="50" spans="1:5" s="249" customFormat="1" ht="39.6">
      <c r="A50" s="409" t="s">
        <v>591</v>
      </c>
      <c r="B50" s="331" t="s">
        <v>548</v>
      </c>
      <c r="C50" s="41"/>
      <c r="D50" s="395">
        <v>3799110654</v>
      </c>
      <c r="E50" s="395">
        <v>3832975400</v>
      </c>
    </row>
    <row r="51" spans="1:5" s="249" customFormat="1" ht="26.4">
      <c r="A51" s="409" t="s">
        <v>979</v>
      </c>
      <c r="B51" s="331"/>
      <c r="C51" s="41"/>
      <c r="D51" s="395">
        <v>0</v>
      </c>
      <c r="E51" s="395">
        <v>3970497300</v>
      </c>
    </row>
    <row r="52" spans="1:5" s="249" customFormat="1" ht="26.4">
      <c r="A52" s="409" t="s">
        <v>607</v>
      </c>
      <c r="B52" s="331"/>
      <c r="C52" s="41"/>
      <c r="D52" s="395">
        <v>35000000000</v>
      </c>
      <c r="E52" s="395">
        <v>20000000000</v>
      </c>
    </row>
    <row r="53" spans="1:5" s="249" customFormat="1" ht="29.25" customHeight="1">
      <c r="A53" s="404" t="s">
        <v>549</v>
      </c>
      <c r="B53" s="326" t="s">
        <v>550</v>
      </c>
      <c r="C53" s="37"/>
      <c r="D53" s="401">
        <v>57122604245</v>
      </c>
      <c r="E53" s="401">
        <v>68883445853</v>
      </c>
    </row>
    <row r="54" spans="1:5" s="249" customFormat="1" ht="29.25" customHeight="1">
      <c r="A54" s="406" t="s">
        <v>551</v>
      </c>
      <c r="B54" s="331" t="s">
        <v>552</v>
      </c>
      <c r="C54" s="41"/>
      <c r="D54" s="395">
        <v>57122604245</v>
      </c>
      <c r="E54" s="395">
        <v>68883445853</v>
      </c>
    </row>
    <row r="55" spans="1:5" s="249" customFormat="1" ht="29.25" customHeight="1">
      <c r="A55" s="409" t="s">
        <v>545</v>
      </c>
      <c r="B55" s="331" t="s">
        <v>553</v>
      </c>
      <c r="C55" s="41"/>
      <c r="D55" s="395">
        <v>13250350059</v>
      </c>
      <c r="E55" s="395">
        <v>30075335199</v>
      </c>
    </row>
    <row r="56" spans="1:5" s="249" customFormat="1" ht="29.25" customHeight="1">
      <c r="A56" s="409" t="s">
        <v>592</v>
      </c>
      <c r="B56" s="331" t="s">
        <v>554</v>
      </c>
      <c r="C56" s="41"/>
      <c r="D56" s="394">
        <v>36000000</v>
      </c>
      <c r="E56" s="395">
        <v>9000000</v>
      </c>
    </row>
    <row r="57" spans="1:5" s="249" customFormat="1" ht="29.25" customHeight="1">
      <c r="A57" s="409" t="s">
        <v>979</v>
      </c>
      <c r="B57" s="331"/>
      <c r="C57" s="41"/>
      <c r="D57" s="394">
        <v>0</v>
      </c>
      <c r="E57" s="395">
        <v>0</v>
      </c>
    </row>
    <row r="58" spans="1:5" s="249" customFormat="1" ht="44.25" customHeight="1">
      <c r="A58" s="409" t="s">
        <v>591</v>
      </c>
      <c r="B58" s="331" t="s">
        <v>555</v>
      </c>
      <c r="C58" s="41"/>
      <c r="D58" s="395">
        <v>3836254186</v>
      </c>
      <c r="E58" s="395">
        <v>3799110654</v>
      </c>
    </row>
    <row r="59" spans="1:5" s="249" customFormat="1" ht="26.4">
      <c r="A59" s="409" t="s">
        <v>607</v>
      </c>
      <c r="B59" s="331"/>
      <c r="C59" s="41"/>
      <c r="D59" s="394">
        <v>40000000000</v>
      </c>
      <c r="E59" s="394">
        <v>35000000000</v>
      </c>
    </row>
    <row r="60" spans="1:5" s="249" customFormat="1" ht="29.25" customHeight="1">
      <c r="A60" s="404" t="s">
        <v>556</v>
      </c>
      <c r="B60" s="326" t="s">
        <v>557</v>
      </c>
      <c r="C60" s="37"/>
      <c r="D60" s="402">
        <v>-11760841608</v>
      </c>
      <c r="E60" s="402">
        <v>-75466898647</v>
      </c>
    </row>
    <row r="61" spans="1:5" s="249" customFormat="1" ht="29.25" customHeight="1">
      <c r="A61" s="410" t="s">
        <v>558</v>
      </c>
      <c r="B61" s="331" t="s">
        <v>559</v>
      </c>
      <c r="C61" s="41"/>
      <c r="D61" s="403"/>
      <c r="E61" s="403"/>
    </row>
    <row r="62" spans="1:5" s="249" customFormat="1">
      <c r="A62" s="48"/>
      <c r="B62" s="22"/>
      <c r="C62" s="22"/>
      <c r="D62" s="250"/>
      <c r="E62" s="250"/>
    </row>
    <row r="63" spans="1:5" s="249" customFormat="1">
      <c r="A63" s="21"/>
      <c r="B63" s="21"/>
      <c r="C63" s="21"/>
      <c r="D63" s="26"/>
      <c r="E63" s="21"/>
    </row>
    <row r="64" spans="1:5" s="249" customFormat="1">
      <c r="A64" s="44"/>
      <c r="B64" s="44"/>
      <c r="C64" s="52"/>
      <c r="D64" s="52"/>
      <c r="E64" s="52"/>
    </row>
    <row r="65" spans="1:5" s="249" customFormat="1">
      <c r="A65" s="362" t="s">
        <v>845</v>
      </c>
      <c r="B65" s="467" t="s">
        <v>846</v>
      </c>
      <c r="C65" s="467"/>
      <c r="D65" s="467"/>
      <c r="E65" s="467"/>
    </row>
    <row r="66" spans="1:5" s="249" customFormat="1">
      <c r="A66" s="363"/>
      <c r="B66" s="363"/>
      <c r="C66" s="363"/>
      <c r="D66" s="363"/>
      <c r="E66" s="363"/>
    </row>
    <row r="67" spans="1:5" s="249" customFormat="1">
      <c r="A67" s="363"/>
      <c r="B67" s="363"/>
      <c r="C67" s="363"/>
      <c r="D67" s="363"/>
      <c r="E67" s="363"/>
    </row>
    <row r="68" spans="1:5" s="249" customFormat="1">
      <c r="A68" s="363"/>
      <c r="B68" s="363"/>
      <c r="C68" s="363"/>
      <c r="D68" s="363"/>
      <c r="E68" s="363"/>
    </row>
    <row r="69" spans="1:5" s="249" customFormat="1">
      <c r="A69" s="363"/>
      <c r="B69" s="363"/>
      <c r="C69" s="363"/>
      <c r="D69" s="363"/>
      <c r="E69" s="363"/>
    </row>
    <row r="70" spans="1:5" s="249" customFormat="1">
      <c r="A70" s="363"/>
      <c r="B70" s="363"/>
      <c r="C70" s="363"/>
      <c r="D70" s="363"/>
      <c r="E70" s="363"/>
    </row>
    <row r="71" spans="1:5" s="249" customFormat="1">
      <c r="A71" s="363"/>
      <c r="B71" s="363"/>
      <c r="C71" s="363"/>
      <c r="D71" s="363"/>
      <c r="E71" s="363"/>
    </row>
    <row r="72" spans="1:5" s="249" customFormat="1">
      <c r="A72" s="363"/>
      <c r="B72" s="363"/>
      <c r="C72" s="363"/>
      <c r="D72" s="363"/>
      <c r="E72" s="363"/>
    </row>
    <row r="73" spans="1:5" s="249" customFormat="1">
      <c r="A73" s="363"/>
      <c r="B73" s="363"/>
      <c r="C73" s="363"/>
      <c r="D73" s="363"/>
      <c r="E73" s="363"/>
    </row>
    <row r="74" spans="1:5" s="249" customFormat="1">
      <c r="A74" s="363"/>
      <c r="B74" s="363"/>
      <c r="C74" s="363"/>
      <c r="D74" s="363"/>
      <c r="E74" s="363"/>
    </row>
    <row r="75" spans="1:5" s="249" customFormat="1">
      <c r="A75" s="363"/>
      <c r="B75" s="363"/>
      <c r="C75" s="363"/>
      <c r="D75" s="363"/>
      <c r="E75" s="363"/>
    </row>
    <row r="76" spans="1:5" s="249" customFormat="1">
      <c r="A76" s="363"/>
      <c r="B76" s="363"/>
      <c r="C76" s="363"/>
      <c r="D76" s="363"/>
      <c r="E76" s="363"/>
    </row>
    <row r="77" spans="1:5" s="249" customFormat="1">
      <c r="A77" s="349" t="s">
        <v>847</v>
      </c>
      <c r="B77" s="468" t="s">
        <v>861</v>
      </c>
      <c r="C77" s="468"/>
      <c r="D77" s="468"/>
      <c r="E77" s="361" t="s">
        <v>862</v>
      </c>
    </row>
    <row r="78" spans="1:5" s="249" customFormat="1">
      <c r="A78" s="350" t="s">
        <v>849</v>
      </c>
      <c r="B78" s="468" t="s">
        <v>860</v>
      </c>
      <c r="C78" s="468"/>
      <c r="D78" s="468"/>
      <c r="E78" s="352" t="s">
        <v>863</v>
      </c>
    </row>
    <row r="79" spans="1:5" s="249" customFormat="1">
      <c r="A79" s="351" t="s">
        <v>852</v>
      </c>
      <c r="B79" s="469" t="s">
        <v>853</v>
      </c>
      <c r="C79" s="469"/>
      <c r="D79" s="469"/>
      <c r="E79" s="27" t="s">
        <v>864</v>
      </c>
    </row>
    <row r="80" spans="1:5" s="249" customFormat="1">
      <c r="A80" s="251"/>
      <c r="B80" s="251"/>
      <c r="C80" s="252"/>
      <c r="D80" s="252"/>
      <c r="E80" s="253"/>
    </row>
    <row r="81" spans="1:5" s="249" customFormat="1">
      <c r="A81" s="251"/>
      <c r="B81" s="251"/>
      <c r="C81" s="252"/>
      <c r="D81" s="252"/>
      <c r="E81" s="253"/>
    </row>
    <row r="82" spans="1:5" s="40" customFormat="1">
      <c r="C82" s="254"/>
      <c r="D82" s="254"/>
      <c r="E82" s="255"/>
    </row>
  </sheetData>
  <mergeCells count="16">
    <mergeCell ref="B65:E65"/>
    <mergeCell ref="B77:D77"/>
    <mergeCell ref="B78:D78"/>
    <mergeCell ref="B79:D79"/>
    <mergeCell ref="B14:E14"/>
    <mergeCell ref="A1:E1"/>
    <mergeCell ref="A2:E2"/>
    <mergeCell ref="A3:E4"/>
    <mergeCell ref="A5:E5"/>
    <mergeCell ref="B7:E7"/>
    <mergeCell ref="B13:E13"/>
    <mergeCell ref="B8:E8"/>
    <mergeCell ref="B9:E9"/>
    <mergeCell ref="B10:E10"/>
    <mergeCell ref="B11:E11"/>
    <mergeCell ref="B12:E12"/>
  </mergeCells>
  <dataValidations count="2">
    <dataValidation allowBlank="1" showInputMessage="1" showErrorMessage="1" promptTitle="Lưu ý nhập liệu!" prompt="Nhập năm báo cáo!" sqref="D16:E16"/>
    <dataValidation type="decimal" allowBlank="1" showInputMessage="1" showErrorMessage="1" errorTitle="Sai kiểu dữ liệu!" error="Dữ liệu nhập vào phải là kiểu số!" sqref="D17:E61">
      <formula1>-9999999999999990000</formula1>
      <formula2>99999999999999900000</formula2>
    </dataValidation>
  </dataValidations>
  <printOptions horizontalCentered="1"/>
  <pageMargins left="0.7" right="0.7" top="0.75" bottom="0.75" header="0.3" footer="0.3"/>
  <pageSetup scale="63" orientation="portrait" r:id="rId1"/>
  <rowBreaks count="1" manualBreakCount="1">
    <brk id="34" max="4" man="1"/>
  </rowBreaks>
  <drawing r:id="rId2"/>
</worksheet>
</file>

<file path=xl/worksheets/sheet5.xml><?xml version="1.0" encoding="utf-8"?>
<worksheet xmlns="http://schemas.openxmlformats.org/spreadsheetml/2006/main" xmlns:r="http://schemas.openxmlformats.org/officeDocument/2006/relationships">
  <sheetPr>
    <tabColor rgb="FF0070C0"/>
  </sheetPr>
  <dimension ref="A1:F105"/>
  <sheetViews>
    <sheetView view="pageBreakPreview" topLeftCell="A76" zoomScale="85" zoomScaleNormal="100" zoomScaleSheetLayoutView="85" workbookViewId="0">
      <selection activeCell="D45" sqref="D45:E45"/>
    </sheetView>
  </sheetViews>
  <sheetFormatPr defaultColWidth="9.33203125" defaultRowHeight="14.4"/>
  <cols>
    <col min="1" max="1" width="5.33203125" style="63" customWidth="1"/>
    <col min="2" max="2" width="46" style="63" customWidth="1"/>
    <col min="3" max="3" width="13.5546875" style="63" customWidth="1"/>
    <col min="4" max="4" width="23.6640625" style="64" customWidth="1"/>
    <col min="5" max="5" width="22.6640625" style="64" customWidth="1"/>
    <col min="6" max="6" width="17.44140625" style="63" customWidth="1"/>
    <col min="7" max="16384" width="9.33203125" style="63"/>
  </cols>
  <sheetData>
    <row r="1" spans="1:6" ht="23.25" customHeight="1">
      <c r="A1" s="476" t="s">
        <v>217</v>
      </c>
      <c r="B1" s="476"/>
      <c r="C1" s="476"/>
      <c r="D1" s="476"/>
      <c r="E1" s="476"/>
      <c r="F1" s="476"/>
    </row>
    <row r="2" spans="1:6" ht="25.5" customHeight="1">
      <c r="A2" s="444" t="s">
        <v>945</v>
      </c>
      <c r="B2" s="444"/>
      <c r="C2" s="444"/>
      <c r="D2" s="444"/>
      <c r="E2" s="444"/>
      <c r="F2" s="444"/>
    </row>
    <row r="3" spans="1:6">
      <c r="A3" s="445" t="s">
        <v>219</v>
      </c>
      <c r="B3" s="445"/>
      <c r="C3" s="445"/>
      <c r="D3" s="445"/>
      <c r="E3" s="445"/>
      <c r="F3" s="59"/>
    </row>
    <row r="4" spans="1:6" ht="21.6" customHeight="1">
      <c r="A4" s="445"/>
      <c r="B4" s="445"/>
      <c r="C4" s="445"/>
      <c r="D4" s="445"/>
      <c r="E4" s="445"/>
      <c r="F4" s="59"/>
    </row>
    <row r="5" spans="1:6">
      <c r="A5" s="446" t="s">
        <v>994</v>
      </c>
      <c r="B5" s="446"/>
      <c r="C5" s="446"/>
      <c r="D5" s="446"/>
      <c r="E5" s="446"/>
      <c r="F5" s="59"/>
    </row>
    <row r="6" spans="1:6">
      <c r="A6" s="18"/>
      <c r="B6" s="18"/>
      <c r="C6" s="18"/>
      <c r="D6" s="18"/>
      <c r="E6" s="18"/>
      <c r="F6" s="59"/>
    </row>
    <row r="7" spans="1:6">
      <c r="A7" s="475" t="s">
        <v>455</v>
      </c>
      <c r="B7" s="475"/>
      <c r="C7" s="459" t="s">
        <v>466</v>
      </c>
      <c r="D7" s="459"/>
      <c r="E7" s="459"/>
      <c r="F7" s="459"/>
    </row>
    <row r="8" spans="1:6" ht="15" customHeight="1">
      <c r="A8" s="472" t="s">
        <v>947</v>
      </c>
      <c r="B8" s="472"/>
      <c r="C8" s="460" t="s">
        <v>605</v>
      </c>
      <c r="D8" s="460"/>
      <c r="E8" s="460"/>
      <c r="F8" s="460"/>
    </row>
    <row r="9" spans="1:6" ht="15" customHeight="1">
      <c r="A9" s="475" t="s">
        <v>457</v>
      </c>
      <c r="B9" s="475"/>
      <c r="C9" s="459" t="s">
        <v>986</v>
      </c>
      <c r="D9" s="459"/>
      <c r="E9" s="459"/>
      <c r="F9" s="459"/>
    </row>
    <row r="10" spans="1:6" ht="15" customHeight="1">
      <c r="A10" s="473" t="s">
        <v>459</v>
      </c>
      <c r="B10" s="473"/>
      <c r="C10" s="460" t="s">
        <v>460</v>
      </c>
      <c r="D10" s="460"/>
      <c r="E10" s="460"/>
      <c r="F10" s="460"/>
    </row>
    <row r="11" spans="1:6" ht="15" customHeight="1">
      <c r="A11" s="475" t="s">
        <v>392</v>
      </c>
      <c r="B11" s="475"/>
      <c r="C11" s="459" t="s">
        <v>492</v>
      </c>
      <c r="D11" s="459"/>
      <c r="E11" s="459"/>
      <c r="F11" s="459"/>
    </row>
    <row r="12" spans="1:6" ht="15" customHeight="1">
      <c r="A12" s="474" t="s">
        <v>390</v>
      </c>
      <c r="B12" s="474"/>
      <c r="C12" s="460" t="s">
        <v>491</v>
      </c>
      <c r="D12" s="460"/>
      <c r="E12" s="460"/>
      <c r="F12" s="460"/>
    </row>
    <row r="13" spans="1:6" ht="15" customHeight="1">
      <c r="A13" s="470" t="s">
        <v>138</v>
      </c>
      <c r="B13" s="470"/>
      <c r="C13" s="459" t="s">
        <v>996</v>
      </c>
      <c r="D13" s="459"/>
      <c r="E13" s="459"/>
      <c r="F13" s="459"/>
    </row>
    <row r="14" spans="1:6">
      <c r="A14" s="471" t="s">
        <v>139</v>
      </c>
      <c r="B14" s="471"/>
      <c r="C14" s="438">
        <v>43564</v>
      </c>
      <c r="D14" s="438"/>
      <c r="E14" s="438"/>
      <c r="F14" s="438"/>
    </row>
    <row r="15" spans="1:6">
      <c r="A15" s="84"/>
      <c r="B15" s="10"/>
      <c r="C15" s="84"/>
      <c r="D15" s="198"/>
      <c r="E15" s="198"/>
      <c r="F15" s="84"/>
    </row>
    <row r="16" spans="1:6">
      <c r="A16" s="194" t="s">
        <v>43</v>
      </c>
      <c r="B16" s="195" t="s">
        <v>478</v>
      </c>
      <c r="C16" s="84"/>
      <c r="D16" s="198"/>
      <c r="E16" s="198"/>
      <c r="F16" s="84"/>
    </row>
    <row r="17" spans="1:6" ht="52.5" customHeight="1">
      <c r="A17" s="75" t="s">
        <v>220</v>
      </c>
      <c r="B17" s="75" t="s">
        <v>221</v>
      </c>
      <c r="C17" s="75" t="s">
        <v>222</v>
      </c>
      <c r="D17" s="76" t="s">
        <v>1001</v>
      </c>
      <c r="E17" s="76" t="s">
        <v>982</v>
      </c>
      <c r="F17" s="205" t="s">
        <v>223</v>
      </c>
    </row>
    <row r="18" spans="1:6" ht="32.25" customHeight="1">
      <c r="A18" s="105" t="s">
        <v>43</v>
      </c>
      <c r="B18" s="103" t="s">
        <v>224</v>
      </c>
      <c r="C18" s="78">
        <v>2200</v>
      </c>
      <c r="D18" s="79"/>
      <c r="E18" s="79"/>
      <c r="F18" s="206"/>
    </row>
    <row r="19" spans="1:6" ht="32.25" customHeight="1">
      <c r="A19" s="207" t="s">
        <v>79</v>
      </c>
      <c r="B19" s="208" t="s">
        <v>225</v>
      </c>
      <c r="C19" s="209" t="s">
        <v>80</v>
      </c>
      <c r="D19" s="210">
        <v>57122604245</v>
      </c>
      <c r="E19" s="210">
        <v>68883445853</v>
      </c>
      <c r="F19" s="222">
        <v>0.84519903044901723</v>
      </c>
    </row>
    <row r="20" spans="1:6" ht="32.25" customHeight="1">
      <c r="A20" s="211"/>
      <c r="B20" s="208" t="s">
        <v>226</v>
      </c>
      <c r="C20" s="212" t="s">
        <v>81</v>
      </c>
      <c r="D20" s="210">
        <v>0</v>
      </c>
      <c r="E20" s="210">
        <v>0</v>
      </c>
      <c r="F20" s="222" t="s">
        <v>596</v>
      </c>
    </row>
    <row r="21" spans="1:6" ht="32.25" customHeight="1">
      <c r="A21" s="211"/>
      <c r="B21" s="208" t="s">
        <v>227</v>
      </c>
      <c r="C21" s="212" t="s">
        <v>82</v>
      </c>
      <c r="D21" s="210">
        <v>17122604245</v>
      </c>
      <c r="E21" s="210">
        <v>33883445853</v>
      </c>
      <c r="F21" s="222">
        <v>0.25334994260005184</v>
      </c>
    </row>
    <row r="22" spans="1:6" ht="40.5" customHeight="1">
      <c r="A22" s="211"/>
      <c r="B22" s="208" t="s">
        <v>608</v>
      </c>
      <c r="C22" s="212" t="s">
        <v>611</v>
      </c>
      <c r="D22" s="210">
        <v>36000000</v>
      </c>
      <c r="E22" s="210">
        <v>9000000</v>
      </c>
      <c r="F22" s="222">
        <v>5.9132720105124839E-3</v>
      </c>
    </row>
    <row r="23" spans="1:6" ht="32.25" customHeight="1">
      <c r="A23" s="211"/>
      <c r="B23" s="208" t="s">
        <v>609</v>
      </c>
      <c r="C23" s="212" t="s">
        <v>612</v>
      </c>
      <c r="D23" s="210">
        <v>3836254186</v>
      </c>
      <c r="E23" s="210">
        <v>3799110654</v>
      </c>
      <c r="F23" s="222">
        <v>0.44342466188325019</v>
      </c>
    </row>
    <row r="24" spans="1:6" ht="32.25" customHeight="1">
      <c r="A24" s="211"/>
      <c r="B24" s="208" t="s">
        <v>610</v>
      </c>
      <c r="C24" s="212" t="s">
        <v>613</v>
      </c>
      <c r="D24" s="210">
        <v>13250350059</v>
      </c>
      <c r="E24" s="210">
        <v>30075335199</v>
      </c>
      <c r="F24" s="222">
        <v>0.2507381285181014</v>
      </c>
    </row>
    <row r="25" spans="1:6" ht="48" customHeight="1">
      <c r="A25" s="211"/>
      <c r="B25" s="208" t="s">
        <v>978</v>
      </c>
      <c r="C25" s="212" t="s">
        <v>964</v>
      </c>
      <c r="D25" s="210">
        <v>0</v>
      </c>
      <c r="E25" s="210">
        <v>0</v>
      </c>
      <c r="F25" s="222" t="s">
        <v>596</v>
      </c>
    </row>
    <row r="26" spans="1:6" ht="32.25" customHeight="1">
      <c r="A26" s="211"/>
      <c r="B26" s="208" t="s">
        <v>228</v>
      </c>
      <c r="C26" s="212" t="s">
        <v>83</v>
      </c>
      <c r="D26" s="210">
        <v>40000000000</v>
      </c>
      <c r="E26" s="210">
        <v>35000000000</v>
      </c>
      <c r="F26" s="222" t="s">
        <v>596</v>
      </c>
    </row>
    <row r="27" spans="1:6" ht="32.25" customHeight="1">
      <c r="A27" s="211" t="s">
        <v>84</v>
      </c>
      <c r="B27" s="208" t="s">
        <v>482</v>
      </c>
      <c r="C27" s="209" t="s">
        <v>85</v>
      </c>
      <c r="D27" s="210">
        <v>1030656972200</v>
      </c>
      <c r="E27" s="210">
        <v>1027576447450</v>
      </c>
      <c r="F27" s="222">
        <v>0.69308428384945342</v>
      </c>
    </row>
    <row r="28" spans="1:6" ht="32.25" customHeight="1">
      <c r="A28" s="211"/>
      <c r="B28" s="200" t="s">
        <v>230</v>
      </c>
      <c r="C28" s="209" t="s">
        <v>86</v>
      </c>
      <c r="D28" s="210">
        <v>870509672200</v>
      </c>
      <c r="E28" s="210">
        <v>817429147450</v>
      </c>
      <c r="F28" s="222">
        <v>0.66389740445001766</v>
      </c>
    </row>
    <row r="29" spans="1:6" ht="32.25" customHeight="1">
      <c r="A29" s="211"/>
      <c r="B29" s="200" t="s">
        <v>624</v>
      </c>
      <c r="C29" s="209" t="s">
        <v>87</v>
      </c>
      <c r="D29" s="210">
        <v>0</v>
      </c>
      <c r="E29" s="210">
        <v>0</v>
      </c>
      <c r="F29" s="222">
        <v>0</v>
      </c>
    </row>
    <row r="30" spans="1:6" ht="32.25" customHeight="1">
      <c r="A30" s="211"/>
      <c r="B30" s="200" t="s">
        <v>231</v>
      </c>
      <c r="C30" s="209" t="s">
        <v>185</v>
      </c>
      <c r="D30" s="210">
        <v>80147300000</v>
      </c>
      <c r="E30" s="210">
        <v>80147300000</v>
      </c>
      <c r="F30" s="222" t="s">
        <v>596</v>
      </c>
    </row>
    <row r="31" spans="1:6" ht="32.25" customHeight="1">
      <c r="A31" s="211"/>
      <c r="B31" s="200" t="s">
        <v>725</v>
      </c>
      <c r="C31" s="209" t="s">
        <v>187</v>
      </c>
      <c r="D31" s="210">
        <v>80000000000</v>
      </c>
      <c r="E31" s="210">
        <v>130000000000</v>
      </c>
      <c r="F31" s="222">
        <v>1.0126582278481013</v>
      </c>
    </row>
    <row r="32" spans="1:6" ht="32.25" customHeight="1">
      <c r="A32" s="211"/>
      <c r="B32" s="200" t="s">
        <v>229</v>
      </c>
      <c r="C32" s="209" t="s">
        <v>232</v>
      </c>
      <c r="D32" s="210">
        <v>0</v>
      </c>
      <c r="E32" s="210">
        <v>0</v>
      </c>
      <c r="F32" s="222" t="s">
        <v>596</v>
      </c>
    </row>
    <row r="33" spans="1:6" s="227" customFormat="1" ht="32.25" customHeight="1">
      <c r="A33" s="234"/>
      <c r="B33" s="200" t="s">
        <v>726</v>
      </c>
      <c r="C33" s="209" t="s">
        <v>489</v>
      </c>
      <c r="D33" s="210">
        <v>0</v>
      </c>
      <c r="E33" s="210">
        <v>0</v>
      </c>
      <c r="F33" s="222" t="s">
        <v>596</v>
      </c>
    </row>
    <row r="34" spans="1:6" s="227" customFormat="1" ht="32.25" customHeight="1">
      <c r="A34" s="234"/>
      <c r="B34" s="200" t="s">
        <v>976</v>
      </c>
      <c r="C34" s="209" t="s">
        <v>724</v>
      </c>
      <c r="D34" s="210">
        <v>0</v>
      </c>
      <c r="E34" s="210">
        <v>0</v>
      </c>
      <c r="F34" s="222" t="s">
        <v>596</v>
      </c>
    </row>
    <row r="35" spans="1:6" s="227" customFormat="1" ht="32.25" customHeight="1">
      <c r="A35" s="234"/>
      <c r="B35" s="200" t="s">
        <v>723</v>
      </c>
      <c r="C35" s="209" t="s">
        <v>965</v>
      </c>
      <c r="D35" s="210">
        <v>0</v>
      </c>
      <c r="E35" s="210">
        <v>0</v>
      </c>
      <c r="F35" s="222" t="s">
        <v>596</v>
      </c>
    </row>
    <row r="36" spans="1:6" ht="32.25" customHeight="1">
      <c r="A36" s="211" t="s">
        <v>88</v>
      </c>
      <c r="B36" s="208" t="s">
        <v>761</v>
      </c>
      <c r="C36" s="209" t="s">
        <v>89</v>
      </c>
      <c r="D36" s="210">
        <v>3652211507</v>
      </c>
      <c r="E36" s="210">
        <v>3582691959</v>
      </c>
      <c r="F36" s="222">
        <v>3.1023244909747292</v>
      </c>
    </row>
    <row r="37" spans="1:6" ht="32.25" customHeight="1">
      <c r="A37" s="211"/>
      <c r="B37" s="208" t="s">
        <v>483</v>
      </c>
      <c r="C37" s="209" t="s">
        <v>750</v>
      </c>
      <c r="D37" s="210">
        <v>1387280000</v>
      </c>
      <c r="E37" s="210">
        <v>1676031000</v>
      </c>
      <c r="F37" s="222">
        <v>1.1784073051603312</v>
      </c>
    </row>
    <row r="38" spans="1:6" ht="32.25" customHeight="1">
      <c r="A38" s="211"/>
      <c r="B38" s="208" t="s">
        <v>751</v>
      </c>
      <c r="C38" s="209" t="s">
        <v>752</v>
      </c>
      <c r="D38" s="210">
        <v>2264931507</v>
      </c>
      <c r="E38" s="210">
        <v>1906660959</v>
      </c>
      <c r="F38" s="222" t="s">
        <v>596</v>
      </c>
    </row>
    <row r="39" spans="1:6" s="221" customFormat="1" ht="42.75" customHeight="1">
      <c r="A39" s="211" t="s">
        <v>90</v>
      </c>
      <c r="B39" s="208" t="s">
        <v>233</v>
      </c>
      <c r="C39" s="209" t="s">
        <v>91</v>
      </c>
      <c r="D39" s="210">
        <v>3908285673</v>
      </c>
      <c r="E39" s="210">
        <v>5081251712</v>
      </c>
      <c r="F39" s="222">
        <v>1.17968670656455</v>
      </c>
    </row>
    <row r="40" spans="1:6" ht="42.75" customHeight="1">
      <c r="A40" s="211"/>
      <c r="B40" s="23" t="s">
        <v>762</v>
      </c>
      <c r="C40" s="214" t="s">
        <v>472</v>
      </c>
      <c r="D40" s="210">
        <v>24109588</v>
      </c>
      <c r="E40" s="210">
        <v>15753425</v>
      </c>
      <c r="F40" s="222" t="s">
        <v>596</v>
      </c>
    </row>
    <row r="41" spans="1:6" ht="42.75" customHeight="1">
      <c r="A41" s="211"/>
      <c r="B41" s="23" t="s">
        <v>763</v>
      </c>
      <c r="C41" s="214" t="s">
        <v>473</v>
      </c>
      <c r="D41" s="210">
        <v>3884176085</v>
      </c>
      <c r="E41" s="210">
        <v>5065498287</v>
      </c>
      <c r="F41" s="222">
        <v>1.172409408320761</v>
      </c>
    </row>
    <row r="42" spans="1:6" ht="32.25" customHeight="1">
      <c r="A42" s="211" t="s">
        <v>92</v>
      </c>
      <c r="B42" s="208" t="s">
        <v>234</v>
      </c>
      <c r="C42" s="209" t="s">
        <v>93</v>
      </c>
      <c r="D42" s="210">
        <v>0</v>
      </c>
      <c r="E42" s="210">
        <v>10497500000</v>
      </c>
      <c r="F42" s="222">
        <v>0</v>
      </c>
    </row>
    <row r="43" spans="1:6" ht="33" customHeight="1">
      <c r="A43" s="211" t="s">
        <v>94</v>
      </c>
      <c r="B43" s="208" t="s">
        <v>235</v>
      </c>
      <c r="C43" s="209" t="s">
        <v>95</v>
      </c>
      <c r="D43" s="503">
        <v>-866400000</v>
      </c>
      <c r="E43" s="503">
        <v>-866400000</v>
      </c>
      <c r="F43" s="222">
        <v>1</v>
      </c>
    </row>
    <row r="44" spans="1:6" ht="33" customHeight="1">
      <c r="A44" s="211"/>
      <c r="B44" s="208" t="s">
        <v>749</v>
      </c>
      <c r="C44" s="209" t="s">
        <v>914</v>
      </c>
      <c r="D44" s="210">
        <v>0</v>
      </c>
      <c r="E44" s="210">
        <v>0</v>
      </c>
      <c r="F44" s="222" t="s">
        <v>596</v>
      </c>
    </row>
    <row r="45" spans="1:6" ht="33" customHeight="1">
      <c r="A45" s="211"/>
      <c r="B45" s="208" t="s">
        <v>696</v>
      </c>
      <c r="C45" s="209" t="s">
        <v>915</v>
      </c>
      <c r="D45" s="503">
        <v>-866400000</v>
      </c>
      <c r="E45" s="503">
        <v>-866400000</v>
      </c>
      <c r="F45" s="222">
        <v>1</v>
      </c>
    </row>
    <row r="46" spans="1:6" ht="33" customHeight="1">
      <c r="A46" s="211"/>
      <c r="B46" s="208" t="s">
        <v>235</v>
      </c>
      <c r="C46" s="209">
        <v>2210.3000000000002</v>
      </c>
      <c r="D46" s="210">
        <v>0</v>
      </c>
      <c r="E46" s="210">
        <v>0</v>
      </c>
      <c r="F46" s="222" t="s">
        <v>596</v>
      </c>
    </row>
    <row r="47" spans="1:6" ht="33" customHeight="1">
      <c r="A47" s="211" t="s">
        <v>96</v>
      </c>
      <c r="B47" s="208" t="s">
        <v>236</v>
      </c>
      <c r="C47" s="209">
        <v>2211</v>
      </c>
      <c r="D47" s="210">
        <v>0</v>
      </c>
      <c r="E47" s="210">
        <v>0</v>
      </c>
      <c r="F47" s="222" t="s">
        <v>596</v>
      </c>
    </row>
    <row r="48" spans="1:6" ht="33" customHeight="1">
      <c r="A48" s="105" t="s">
        <v>97</v>
      </c>
      <c r="B48" s="103" t="s">
        <v>214</v>
      </c>
      <c r="C48" s="78" t="s">
        <v>98</v>
      </c>
      <c r="D48" s="152">
        <v>1094473673625</v>
      </c>
      <c r="E48" s="152">
        <v>1114754936974</v>
      </c>
      <c r="F48" s="223">
        <v>0.70135603375660538</v>
      </c>
    </row>
    <row r="49" spans="1:6" ht="33" customHeight="1">
      <c r="A49" s="105" t="s">
        <v>49</v>
      </c>
      <c r="B49" s="103" t="s">
        <v>237</v>
      </c>
      <c r="C49" s="78" t="s">
        <v>99</v>
      </c>
      <c r="D49" s="151"/>
      <c r="E49" s="151"/>
      <c r="F49" s="223" t="s">
        <v>596</v>
      </c>
    </row>
    <row r="50" spans="1:6" ht="33" customHeight="1">
      <c r="A50" s="207" t="s">
        <v>100</v>
      </c>
      <c r="B50" s="208" t="s">
        <v>238</v>
      </c>
      <c r="C50" s="209" t="s">
        <v>101</v>
      </c>
      <c r="D50" s="210">
        <v>0</v>
      </c>
      <c r="E50" s="210">
        <v>18243556000</v>
      </c>
      <c r="F50" s="222">
        <v>0</v>
      </c>
    </row>
    <row r="51" spans="1:6" ht="33" customHeight="1">
      <c r="A51" s="207" t="s">
        <v>102</v>
      </c>
      <c r="B51" s="208" t="s">
        <v>239</v>
      </c>
      <c r="C51" s="209" t="s">
        <v>103</v>
      </c>
      <c r="D51" s="210">
        <v>7245205632</v>
      </c>
      <c r="E51" s="210">
        <v>7494518779</v>
      </c>
      <c r="F51" s="222">
        <v>0.32353581850884244</v>
      </c>
    </row>
    <row r="52" spans="1:6" ht="33" customHeight="1">
      <c r="A52" s="207"/>
      <c r="B52" s="208" t="s">
        <v>732</v>
      </c>
      <c r="C52" s="209" t="s">
        <v>733</v>
      </c>
      <c r="D52" s="210">
        <v>4411146113</v>
      </c>
      <c r="E52" s="210">
        <v>4871139175</v>
      </c>
      <c r="F52" s="222">
        <v>0.28319612540924394</v>
      </c>
    </row>
    <row r="53" spans="1:6" s="227" customFormat="1" ht="33" customHeight="1">
      <c r="A53" s="207"/>
      <c r="B53" s="208" t="s">
        <v>653</v>
      </c>
      <c r="C53" s="209" t="s">
        <v>465</v>
      </c>
      <c r="D53" s="210">
        <v>152400000</v>
      </c>
      <c r="E53" s="210">
        <v>898000000</v>
      </c>
      <c r="F53" s="222">
        <v>2.4991800590357494E-2</v>
      </c>
    </row>
    <row r="54" spans="1:6" ht="33" customHeight="1">
      <c r="A54" s="207"/>
      <c r="B54" s="208" t="s">
        <v>654</v>
      </c>
      <c r="C54" s="209" t="s">
        <v>727</v>
      </c>
      <c r="D54" s="210">
        <v>0</v>
      </c>
      <c r="E54" s="210">
        <v>0</v>
      </c>
      <c r="F54" s="222" t="s">
        <v>596</v>
      </c>
    </row>
    <row r="55" spans="1:6" ht="33" customHeight="1">
      <c r="A55" s="207"/>
      <c r="B55" s="208" t="s">
        <v>728</v>
      </c>
      <c r="C55" s="209" t="s">
        <v>729</v>
      </c>
      <c r="D55" s="210">
        <v>0</v>
      </c>
      <c r="E55" s="210">
        <v>0</v>
      </c>
      <c r="F55" s="222" t="s">
        <v>596</v>
      </c>
    </row>
    <row r="56" spans="1:6" s="227" customFormat="1" ht="33" customHeight="1">
      <c r="A56" s="207"/>
      <c r="B56" s="208" t="s">
        <v>730</v>
      </c>
      <c r="C56" s="209" t="s">
        <v>731</v>
      </c>
      <c r="D56" s="210">
        <v>4258746113</v>
      </c>
      <c r="E56" s="210">
        <v>3973139175</v>
      </c>
      <c r="F56" s="222">
        <v>0.44931567924666405</v>
      </c>
    </row>
    <row r="57" spans="1:6" ht="33" customHeight="1">
      <c r="A57" s="207"/>
      <c r="B57" s="208" t="s">
        <v>243</v>
      </c>
      <c r="C57" s="209" t="s">
        <v>734</v>
      </c>
      <c r="D57" s="210">
        <v>30142233</v>
      </c>
      <c r="E57" s="210">
        <v>6215153</v>
      </c>
      <c r="F57" s="222">
        <v>0.16180442630832673</v>
      </c>
    </row>
    <row r="58" spans="1:6" ht="60.75" customHeight="1">
      <c r="A58" s="207"/>
      <c r="B58" s="208" t="s">
        <v>249</v>
      </c>
      <c r="C58" s="209" t="s">
        <v>188</v>
      </c>
      <c r="D58" s="210">
        <v>411893233</v>
      </c>
      <c r="E58" s="210">
        <v>111000124</v>
      </c>
      <c r="F58" s="222">
        <v>0.116291457230059</v>
      </c>
    </row>
    <row r="59" spans="1:6" ht="32.25" customHeight="1">
      <c r="A59" s="207"/>
      <c r="B59" s="208" t="s">
        <v>241</v>
      </c>
      <c r="C59" s="209" t="s">
        <v>194</v>
      </c>
      <c r="D59" s="210">
        <v>39925000</v>
      </c>
      <c r="E59" s="210">
        <v>39925000</v>
      </c>
      <c r="F59" s="222">
        <v>1</v>
      </c>
    </row>
    <row r="60" spans="1:6" ht="32.25" customHeight="1">
      <c r="A60" s="207"/>
      <c r="B60" s="208" t="s">
        <v>242</v>
      </c>
      <c r="C60" s="209" t="s">
        <v>190</v>
      </c>
      <c r="D60" s="210">
        <v>21191764</v>
      </c>
      <c r="E60" s="210">
        <v>34000000</v>
      </c>
      <c r="F60" s="222">
        <v>0.99999995281185872</v>
      </c>
    </row>
    <row r="61" spans="1:6" ht="32.25" customHeight="1">
      <c r="A61" s="207"/>
      <c r="B61" s="208" t="s">
        <v>764</v>
      </c>
      <c r="C61" s="209" t="s">
        <v>197</v>
      </c>
      <c r="D61" s="210">
        <v>1833361881</v>
      </c>
      <c r="E61" s="210">
        <v>1841472011</v>
      </c>
      <c r="F61" s="222">
        <v>0.78271603566405223</v>
      </c>
    </row>
    <row r="62" spans="1:6" ht="32.25" customHeight="1">
      <c r="A62" s="207"/>
      <c r="B62" s="208" t="s">
        <v>245</v>
      </c>
      <c r="C62" s="209" t="s">
        <v>193</v>
      </c>
      <c r="D62" s="210">
        <v>25855103</v>
      </c>
      <c r="E62" s="210">
        <v>25969479</v>
      </c>
      <c r="F62" s="222">
        <v>0.78271197007500171</v>
      </c>
    </row>
    <row r="63" spans="1:6" ht="32.25" customHeight="1">
      <c r="A63" s="207"/>
      <c r="B63" s="208" t="s">
        <v>244</v>
      </c>
      <c r="C63" s="209" t="s">
        <v>192</v>
      </c>
      <c r="D63" s="210">
        <v>41368165</v>
      </c>
      <c r="E63" s="210">
        <v>41551165</v>
      </c>
      <c r="F63" s="222">
        <v>0.78271199163041882</v>
      </c>
    </row>
    <row r="64" spans="1:6" ht="32.25" customHeight="1">
      <c r="A64" s="207"/>
      <c r="B64" s="208" t="s">
        <v>648</v>
      </c>
      <c r="C64" s="209" t="s">
        <v>196</v>
      </c>
      <c r="D64" s="210">
        <v>25135520</v>
      </c>
      <c r="E64" s="210">
        <v>68247104</v>
      </c>
      <c r="F64" s="222">
        <v>0.39235082965381635</v>
      </c>
    </row>
    <row r="65" spans="1:6" ht="32.25" customHeight="1">
      <c r="A65" s="207"/>
      <c r="B65" s="208" t="s">
        <v>248</v>
      </c>
      <c r="C65" s="209" t="s">
        <v>735</v>
      </c>
      <c r="D65" s="210">
        <v>25135520</v>
      </c>
      <c r="E65" s="210">
        <v>68247104</v>
      </c>
      <c r="F65" s="222">
        <v>0.39235082965381635</v>
      </c>
    </row>
    <row r="66" spans="1:6" ht="32.25" customHeight="1">
      <c r="A66" s="207"/>
      <c r="B66" s="208" t="s">
        <v>368</v>
      </c>
      <c r="C66" s="209" t="s">
        <v>736</v>
      </c>
      <c r="D66" s="210">
        <v>0</v>
      </c>
      <c r="E66" s="210">
        <v>0</v>
      </c>
      <c r="F66" s="222" t="s">
        <v>596</v>
      </c>
    </row>
    <row r="67" spans="1:6" s="227" customFormat="1" ht="32.25" customHeight="1">
      <c r="A67" s="207"/>
      <c r="B67" s="208" t="s">
        <v>737</v>
      </c>
      <c r="C67" s="209" t="s">
        <v>385</v>
      </c>
      <c r="D67" s="210">
        <v>42607422</v>
      </c>
      <c r="E67" s="210">
        <v>41373784</v>
      </c>
      <c r="F67" s="222">
        <v>0.61618088544173077</v>
      </c>
    </row>
    <row r="68" spans="1:6" ht="32.25" customHeight="1">
      <c r="A68" s="207"/>
      <c r="B68" s="208" t="s">
        <v>475</v>
      </c>
      <c r="C68" s="209" t="s">
        <v>738</v>
      </c>
      <c r="D68" s="210">
        <v>37607422</v>
      </c>
      <c r="E68" s="210">
        <v>37773784</v>
      </c>
      <c r="F68" s="222">
        <v>0.78271196464638348</v>
      </c>
    </row>
    <row r="69" spans="1:6" s="227" customFormat="1" ht="32.25" customHeight="1">
      <c r="A69" s="207"/>
      <c r="B69" s="208" t="s">
        <v>370</v>
      </c>
      <c r="C69" s="209" t="s">
        <v>739</v>
      </c>
      <c r="D69" s="210">
        <v>5000000</v>
      </c>
      <c r="E69" s="210">
        <v>3600000</v>
      </c>
      <c r="F69" s="222">
        <v>0.23696682464454977</v>
      </c>
    </row>
    <row r="70" spans="1:6" ht="32.25" customHeight="1">
      <c r="A70" s="207"/>
      <c r="B70" s="208" t="s">
        <v>470</v>
      </c>
      <c r="C70" s="209" t="s">
        <v>740</v>
      </c>
      <c r="D70" s="210">
        <v>0</v>
      </c>
      <c r="E70" s="210">
        <v>0</v>
      </c>
      <c r="F70" s="222" t="s">
        <v>596</v>
      </c>
    </row>
    <row r="71" spans="1:6" ht="32.25" customHeight="1">
      <c r="A71" s="207"/>
      <c r="B71" s="208" t="s">
        <v>247</v>
      </c>
      <c r="C71" s="209" t="s">
        <v>199</v>
      </c>
      <c r="D71" s="210">
        <v>44753414</v>
      </c>
      <c r="E71" s="210">
        <v>88000000</v>
      </c>
      <c r="F71" s="222">
        <v>0.33711685938261443</v>
      </c>
    </row>
    <row r="72" spans="1:6" ht="32.25" customHeight="1">
      <c r="A72" s="207"/>
      <c r="B72" s="208" t="s">
        <v>765</v>
      </c>
      <c r="C72" s="209" t="s">
        <v>195</v>
      </c>
      <c r="D72" s="210">
        <v>41237818</v>
      </c>
      <c r="E72" s="210">
        <v>41237818</v>
      </c>
      <c r="F72" s="222">
        <v>1.3498284949535706</v>
      </c>
    </row>
    <row r="73" spans="1:6" ht="32.25" customHeight="1">
      <c r="A73" s="207"/>
      <c r="B73" s="208" t="s">
        <v>766</v>
      </c>
      <c r="C73" s="209" t="s">
        <v>198</v>
      </c>
      <c r="D73" s="210">
        <v>33066000</v>
      </c>
      <c r="E73" s="210">
        <v>33066000</v>
      </c>
      <c r="F73" s="222">
        <v>1.0545303088964395</v>
      </c>
    </row>
    <row r="74" spans="1:6" ht="32.25" customHeight="1">
      <c r="A74" s="207"/>
      <c r="B74" s="208" t="s">
        <v>246</v>
      </c>
      <c r="C74" s="209" t="s">
        <v>191</v>
      </c>
      <c r="D74" s="210">
        <v>11000000</v>
      </c>
      <c r="E74" s="210">
        <v>11000000</v>
      </c>
      <c r="F74" s="222">
        <v>0.33333333333333331</v>
      </c>
    </row>
    <row r="75" spans="1:6" ht="53.4">
      <c r="A75" s="207"/>
      <c r="B75" s="208" t="s">
        <v>663</v>
      </c>
      <c r="C75" s="209" t="s">
        <v>189</v>
      </c>
      <c r="D75" s="210">
        <v>0</v>
      </c>
      <c r="E75" s="210">
        <v>0</v>
      </c>
      <c r="F75" s="222" t="s">
        <v>596</v>
      </c>
    </row>
    <row r="76" spans="1:6" ht="38.25" customHeight="1">
      <c r="A76" s="207"/>
      <c r="B76" s="208" t="s">
        <v>664</v>
      </c>
      <c r="C76" s="209" t="s">
        <v>916</v>
      </c>
      <c r="D76" s="210">
        <v>0</v>
      </c>
      <c r="E76" s="210">
        <v>0</v>
      </c>
      <c r="F76" s="222" t="s">
        <v>596</v>
      </c>
    </row>
    <row r="77" spans="1:6" s="221" customFormat="1" ht="33" customHeight="1">
      <c r="A77" s="207"/>
      <c r="B77" s="208" t="s">
        <v>250</v>
      </c>
      <c r="C77" s="209" t="s">
        <v>369</v>
      </c>
      <c r="D77" s="210">
        <v>232521966</v>
      </c>
      <c r="E77" s="210">
        <v>240321966</v>
      </c>
      <c r="F77" s="222">
        <v>0.97224086797077303</v>
      </c>
    </row>
    <row r="78" spans="1:6" s="227" customFormat="1" ht="27">
      <c r="A78" s="207"/>
      <c r="B78" s="200" t="s">
        <v>485</v>
      </c>
      <c r="C78" s="209" t="s">
        <v>742</v>
      </c>
      <c r="D78" s="210">
        <v>19010000</v>
      </c>
      <c r="E78" s="210">
        <v>26810000</v>
      </c>
      <c r="F78" s="222">
        <v>0.56754739513360208</v>
      </c>
    </row>
    <row r="79" spans="1:6" s="227" customFormat="1" ht="40.200000000000003">
      <c r="A79" s="207"/>
      <c r="B79" s="200" t="s">
        <v>665</v>
      </c>
      <c r="C79" s="209" t="s">
        <v>744</v>
      </c>
      <c r="D79" s="210">
        <v>37029000</v>
      </c>
      <c r="E79" s="210">
        <v>37029000</v>
      </c>
      <c r="F79" s="222">
        <v>1.3859634899735205</v>
      </c>
    </row>
    <row r="80" spans="1:6" s="227" customFormat="1" ht="40.200000000000003">
      <c r="A80" s="207"/>
      <c r="B80" s="200" t="s">
        <v>745</v>
      </c>
      <c r="C80" s="209" t="s">
        <v>743</v>
      </c>
      <c r="D80" s="210">
        <v>0</v>
      </c>
      <c r="E80" s="210">
        <v>0</v>
      </c>
      <c r="F80" s="222">
        <v>0</v>
      </c>
    </row>
    <row r="81" spans="1:6" ht="27">
      <c r="A81" s="207"/>
      <c r="B81" s="23" t="s">
        <v>486</v>
      </c>
      <c r="C81" s="77" t="s">
        <v>741</v>
      </c>
      <c r="D81" s="210">
        <v>176482966</v>
      </c>
      <c r="E81" s="210">
        <v>176482966</v>
      </c>
      <c r="F81" s="222">
        <v>1</v>
      </c>
    </row>
    <row r="82" spans="1:6" ht="26.4">
      <c r="A82" s="207"/>
      <c r="B82" s="215" t="s">
        <v>746</v>
      </c>
      <c r="C82" s="209" t="s">
        <v>917</v>
      </c>
      <c r="D82" s="210">
        <v>0</v>
      </c>
      <c r="E82" s="210">
        <v>0</v>
      </c>
      <c r="F82" s="222" t="s">
        <v>596</v>
      </c>
    </row>
    <row r="83" spans="1:6" ht="21.75" customHeight="1">
      <c r="A83" s="207"/>
      <c r="B83" s="215" t="s">
        <v>642</v>
      </c>
      <c r="C83" s="209" t="s">
        <v>747</v>
      </c>
      <c r="D83" s="210">
        <v>0</v>
      </c>
      <c r="E83" s="210">
        <v>0</v>
      </c>
      <c r="F83" s="222" t="s">
        <v>596</v>
      </c>
    </row>
    <row r="84" spans="1:6" ht="21.75" customHeight="1">
      <c r="A84" s="207"/>
      <c r="B84" s="215" t="s">
        <v>643</v>
      </c>
      <c r="C84" s="209" t="s">
        <v>748</v>
      </c>
      <c r="D84" s="210">
        <v>0</v>
      </c>
      <c r="E84" s="210">
        <v>0</v>
      </c>
      <c r="F84" s="222" t="s">
        <v>596</v>
      </c>
    </row>
    <row r="85" spans="1:6" ht="32.25" customHeight="1">
      <c r="A85" s="105" t="s">
        <v>104</v>
      </c>
      <c r="B85" s="103" t="s">
        <v>251</v>
      </c>
      <c r="C85" s="78" t="s">
        <v>105</v>
      </c>
      <c r="D85" s="152">
        <v>7245205632</v>
      </c>
      <c r="E85" s="152">
        <v>25738074779</v>
      </c>
      <c r="F85" s="223">
        <v>0.1537916294136423</v>
      </c>
    </row>
    <row r="86" spans="1:6" ht="32.25" customHeight="1">
      <c r="A86" s="106"/>
      <c r="B86" s="98" t="s">
        <v>252</v>
      </c>
      <c r="C86" s="77" t="s">
        <v>106</v>
      </c>
      <c r="D86" s="150">
        <v>1087228467993</v>
      </c>
      <c r="E86" s="150">
        <v>1089016862195</v>
      </c>
      <c r="F86" s="222">
        <v>0.71840112836830483</v>
      </c>
    </row>
    <row r="87" spans="1:6" ht="32.25" customHeight="1">
      <c r="A87" s="106"/>
      <c r="B87" s="98" t="s">
        <v>253</v>
      </c>
      <c r="C87" s="77" t="s">
        <v>107</v>
      </c>
      <c r="D87" s="235">
        <v>28177605.640000001</v>
      </c>
      <c r="E87" s="235">
        <v>29558475.530000005</v>
      </c>
      <c r="F87" s="222">
        <v>0.89854713067984504</v>
      </c>
    </row>
    <row r="88" spans="1:6" ht="32.25" customHeight="1">
      <c r="A88" s="106"/>
      <c r="B88" s="98" t="s">
        <v>254</v>
      </c>
      <c r="C88" s="77" t="s">
        <v>108</v>
      </c>
      <c r="D88" s="153">
        <v>38584.839999999997</v>
      </c>
      <c r="E88" s="153">
        <v>36842.79</v>
      </c>
      <c r="F88" s="222">
        <v>0.79951413541051075</v>
      </c>
    </row>
    <row r="89" spans="1:6" ht="14.25" customHeight="1">
      <c r="A89" s="71"/>
      <c r="B89" s="71"/>
      <c r="C89" s="71"/>
      <c r="D89" s="72"/>
      <c r="E89" s="72"/>
      <c r="F89" s="224"/>
    </row>
    <row r="90" spans="1:6" ht="14.25" customHeight="1">
      <c r="A90" s="44"/>
      <c r="B90" s="65"/>
      <c r="C90" s="44"/>
      <c r="D90" s="66"/>
      <c r="E90" s="66"/>
      <c r="F90" s="67"/>
    </row>
    <row r="91" spans="1:6" ht="14.25" customHeight="1">
      <c r="A91" s="44"/>
      <c r="B91" s="65"/>
      <c r="C91" s="44"/>
      <c r="D91" s="66"/>
      <c r="E91" s="66"/>
      <c r="F91" s="67"/>
    </row>
    <row r="92" spans="1:6">
      <c r="A92" s="53" t="s">
        <v>178</v>
      </c>
      <c r="B92" s="44"/>
      <c r="C92" s="52"/>
      <c r="D92" s="54" t="s">
        <v>179</v>
      </c>
      <c r="E92" s="66"/>
      <c r="F92" s="67"/>
    </row>
    <row r="93" spans="1:6">
      <c r="A93" s="55" t="s">
        <v>180</v>
      </c>
      <c r="B93" s="44"/>
      <c r="C93" s="52"/>
      <c r="D93" s="56" t="s">
        <v>181</v>
      </c>
      <c r="E93" s="66"/>
      <c r="F93" s="67"/>
    </row>
    <row r="94" spans="1:6">
      <c r="A94" s="44"/>
      <c r="B94" s="44"/>
      <c r="C94" s="52"/>
      <c r="D94" s="52"/>
      <c r="E94" s="66"/>
      <c r="F94" s="67"/>
    </row>
    <row r="95" spans="1:6">
      <c r="A95" s="44"/>
      <c r="B95" s="44"/>
      <c r="C95" s="52"/>
      <c r="D95" s="52"/>
      <c r="E95" s="66"/>
      <c r="F95" s="67"/>
    </row>
    <row r="96" spans="1:6">
      <c r="A96" s="44"/>
      <c r="B96" s="44"/>
      <c r="C96" s="52"/>
      <c r="D96" s="52"/>
      <c r="E96" s="66"/>
      <c r="F96" s="67"/>
    </row>
    <row r="97" spans="1:6">
      <c r="A97" s="44"/>
      <c r="B97" s="44"/>
      <c r="C97" s="52"/>
      <c r="D97" s="52"/>
      <c r="E97" s="66"/>
      <c r="F97" s="67"/>
    </row>
    <row r="98" spans="1:6">
      <c r="A98" s="44"/>
      <c r="B98" s="44"/>
      <c r="C98" s="52"/>
      <c r="D98" s="52"/>
      <c r="E98" s="66"/>
      <c r="F98" s="67"/>
    </row>
    <row r="99" spans="1:6">
      <c r="A99" s="44"/>
      <c r="B99" s="44"/>
      <c r="C99" s="52"/>
      <c r="D99" s="52"/>
      <c r="E99" s="66"/>
      <c r="F99" s="67"/>
    </row>
    <row r="100" spans="1:6">
      <c r="A100" s="44"/>
      <c r="B100" s="44"/>
      <c r="C100" s="52"/>
      <c r="D100" s="52"/>
      <c r="E100" s="66"/>
      <c r="F100" s="67"/>
    </row>
    <row r="101" spans="1:6">
      <c r="A101" s="57"/>
      <c r="B101" s="57"/>
      <c r="C101" s="52"/>
      <c r="D101" s="58"/>
      <c r="E101" s="68"/>
      <c r="F101" s="69"/>
    </row>
    <row r="102" spans="1:6">
      <c r="A102" s="53" t="s">
        <v>182</v>
      </c>
      <c r="B102" s="44"/>
      <c r="C102" s="52"/>
      <c r="D102" s="54" t="s">
        <v>179</v>
      </c>
      <c r="E102" s="66"/>
      <c r="F102" s="67"/>
    </row>
    <row r="103" spans="1:6">
      <c r="A103" s="53" t="s">
        <v>997</v>
      </c>
      <c r="B103" s="44"/>
      <c r="C103" s="52"/>
      <c r="D103" s="54" t="s">
        <v>468</v>
      </c>
      <c r="E103" s="66"/>
      <c r="F103" s="67"/>
    </row>
    <row r="104" spans="1:6">
      <c r="A104" s="44" t="s">
        <v>998</v>
      </c>
      <c r="B104" s="44"/>
      <c r="C104" s="52"/>
      <c r="D104" s="52" t="s">
        <v>469</v>
      </c>
      <c r="E104" s="66"/>
      <c r="F104" s="67"/>
    </row>
    <row r="105" spans="1:6">
      <c r="A105" s="10"/>
      <c r="B105" s="10"/>
      <c r="C105" s="10"/>
      <c r="D105" s="12"/>
      <c r="E105" s="12"/>
      <c r="F105" s="10"/>
    </row>
  </sheetData>
  <mergeCells count="20">
    <mergeCell ref="A1:F1"/>
    <mergeCell ref="A2:F2"/>
    <mergeCell ref="A3:E4"/>
    <mergeCell ref="A5:E5"/>
    <mergeCell ref="A7:B7"/>
    <mergeCell ref="C7:F7"/>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17" right="0.17" top="0.75" bottom="0.75" header="0.3" footer="0.3"/>
  <pageSetup paperSize="9" scale="60" fitToHeight="2" orientation="portrait" r:id="rId1"/>
  <drawing r:id="rId2"/>
</worksheet>
</file>

<file path=xl/worksheets/sheet6.xml><?xml version="1.0" encoding="utf-8"?>
<worksheet xmlns="http://schemas.openxmlformats.org/spreadsheetml/2006/main" xmlns:r="http://schemas.openxmlformats.org/officeDocument/2006/relationships">
  <sheetPr>
    <tabColor rgb="FF0070C0"/>
  </sheetPr>
  <dimension ref="A1:F91"/>
  <sheetViews>
    <sheetView view="pageBreakPreview" topLeftCell="A67" zoomScale="85" zoomScaleNormal="100" zoomScaleSheetLayoutView="85" workbookViewId="0">
      <selection activeCell="A5" sqref="A5:F5"/>
    </sheetView>
  </sheetViews>
  <sheetFormatPr defaultColWidth="9.33203125" defaultRowHeight="14.4"/>
  <cols>
    <col min="1" max="1" width="9.33203125" style="81"/>
    <col min="2" max="2" width="46" style="81" customWidth="1"/>
    <col min="3" max="3" width="9.33203125" style="81"/>
    <col min="4" max="4" width="19.44140625" style="96" customWidth="1"/>
    <col min="5" max="5" width="21.33203125" style="96" customWidth="1"/>
    <col min="6" max="6" width="22.33203125" style="96" customWidth="1"/>
    <col min="7" max="16384" width="9.33203125" style="81"/>
  </cols>
  <sheetData>
    <row r="1" spans="1:6" ht="23.25" customHeight="1">
      <c r="A1" s="476" t="s">
        <v>217</v>
      </c>
      <c r="B1" s="476"/>
      <c r="C1" s="476"/>
      <c r="D1" s="476"/>
      <c r="E1" s="476"/>
      <c r="F1" s="476"/>
    </row>
    <row r="2" spans="1:6" ht="33" customHeight="1">
      <c r="A2" s="444" t="s">
        <v>945</v>
      </c>
      <c r="B2" s="444"/>
      <c r="C2" s="444"/>
      <c r="D2" s="444"/>
      <c r="E2" s="444"/>
      <c r="F2" s="444"/>
    </row>
    <row r="3" spans="1:6" ht="15" customHeight="1">
      <c r="A3" s="445" t="s">
        <v>219</v>
      </c>
      <c r="B3" s="445"/>
      <c r="C3" s="445"/>
      <c r="D3" s="445"/>
      <c r="E3" s="445"/>
      <c r="F3" s="445"/>
    </row>
    <row r="4" spans="1:6" ht="19.2" customHeight="1">
      <c r="A4" s="445"/>
      <c r="B4" s="445"/>
      <c r="C4" s="445"/>
      <c r="D4" s="445"/>
      <c r="E4" s="445"/>
      <c r="F4" s="445"/>
    </row>
    <row r="5" spans="1:6">
      <c r="A5" s="446" t="s">
        <v>995</v>
      </c>
      <c r="B5" s="446"/>
      <c r="C5" s="446"/>
      <c r="D5" s="446"/>
      <c r="E5" s="446"/>
      <c r="F5" s="446"/>
    </row>
    <row r="6" spans="1:6">
      <c r="A6" s="18"/>
      <c r="B6" s="18"/>
      <c r="C6" s="18"/>
      <c r="D6" s="18"/>
      <c r="E6" s="18"/>
      <c r="F6" s="21"/>
    </row>
    <row r="7" spans="1:6">
      <c r="A7" s="475" t="s">
        <v>455</v>
      </c>
      <c r="B7" s="475"/>
      <c r="C7" s="459" t="s">
        <v>466</v>
      </c>
      <c r="D7" s="459"/>
      <c r="E7" s="459"/>
      <c r="F7" s="459"/>
    </row>
    <row r="8" spans="1:6" ht="15" customHeight="1">
      <c r="A8" s="472" t="s">
        <v>947</v>
      </c>
      <c r="B8" s="472"/>
      <c r="C8" s="460" t="s">
        <v>605</v>
      </c>
      <c r="D8" s="460"/>
      <c r="E8" s="460"/>
      <c r="F8" s="460"/>
    </row>
    <row r="9" spans="1:6" ht="15" customHeight="1">
      <c r="A9" s="475" t="s">
        <v>457</v>
      </c>
      <c r="B9" s="475"/>
      <c r="C9" s="459" t="s">
        <v>986</v>
      </c>
      <c r="D9" s="459"/>
      <c r="E9" s="459"/>
      <c r="F9" s="459"/>
    </row>
    <row r="10" spans="1:6" ht="15" customHeight="1">
      <c r="A10" s="473" t="s">
        <v>459</v>
      </c>
      <c r="B10" s="473"/>
      <c r="C10" s="460" t="s">
        <v>460</v>
      </c>
      <c r="D10" s="460"/>
      <c r="E10" s="460"/>
      <c r="F10" s="460"/>
    </row>
    <row r="11" spans="1:6" ht="15" customHeight="1">
      <c r="A11" s="475" t="s">
        <v>392</v>
      </c>
      <c r="B11" s="475"/>
      <c r="C11" s="459" t="s">
        <v>492</v>
      </c>
      <c r="D11" s="459"/>
      <c r="E11" s="459"/>
      <c r="F11" s="459"/>
    </row>
    <row r="12" spans="1:6" ht="15" customHeight="1">
      <c r="A12" s="474" t="s">
        <v>390</v>
      </c>
      <c r="B12" s="474"/>
      <c r="C12" s="460" t="s">
        <v>491</v>
      </c>
      <c r="D12" s="460"/>
      <c r="E12" s="460"/>
      <c r="F12" s="460"/>
    </row>
    <row r="13" spans="1:6" ht="15" customHeight="1">
      <c r="A13" s="470" t="s">
        <v>138</v>
      </c>
      <c r="B13" s="470"/>
      <c r="C13" s="459" t="s">
        <v>996</v>
      </c>
      <c r="D13" s="459"/>
      <c r="E13" s="459"/>
      <c r="F13" s="459"/>
    </row>
    <row r="14" spans="1:6">
      <c r="A14" s="471" t="s">
        <v>139</v>
      </c>
      <c r="B14" s="471"/>
      <c r="C14" s="438">
        <v>43564</v>
      </c>
      <c r="D14" s="438"/>
      <c r="E14" s="438"/>
      <c r="F14" s="438"/>
    </row>
    <row r="15" spans="1:6">
      <c r="A15" s="84"/>
      <c r="B15" s="84"/>
      <c r="C15" s="84"/>
      <c r="D15" s="198"/>
      <c r="E15" s="198"/>
      <c r="F15" s="198"/>
    </row>
    <row r="16" spans="1:6">
      <c r="A16" s="194" t="s">
        <v>49</v>
      </c>
      <c r="B16" s="195" t="s">
        <v>479</v>
      </c>
      <c r="C16" s="84"/>
      <c r="D16" s="198"/>
      <c r="E16" s="198"/>
      <c r="F16" s="198"/>
    </row>
    <row r="17" spans="1:6" ht="55.5" customHeight="1">
      <c r="A17" s="75" t="s">
        <v>220</v>
      </c>
      <c r="B17" s="75" t="s">
        <v>140</v>
      </c>
      <c r="C17" s="75" t="s">
        <v>222</v>
      </c>
      <c r="D17" s="76" t="s">
        <v>1000</v>
      </c>
      <c r="E17" s="76" t="s">
        <v>981</v>
      </c>
      <c r="F17" s="76" t="s">
        <v>255</v>
      </c>
    </row>
    <row r="18" spans="1:6" ht="33.75" customHeight="1">
      <c r="A18" s="105" t="s">
        <v>43</v>
      </c>
      <c r="B18" s="103" t="s">
        <v>256</v>
      </c>
      <c r="C18" s="104" t="s">
        <v>932</v>
      </c>
      <c r="D18" s="190">
        <v>6278362894</v>
      </c>
      <c r="E18" s="190">
        <v>6475487073</v>
      </c>
      <c r="F18" s="190">
        <v>6278362894</v>
      </c>
    </row>
    <row r="19" spans="1:6" ht="32.25" customHeight="1">
      <c r="A19" s="106">
        <v>1</v>
      </c>
      <c r="B19" s="98" t="s">
        <v>258</v>
      </c>
      <c r="C19" s="74" t="s">
        <v>109</v>
      </c>
      <c r="D19" s="101">
        <v>3115371259</v>
      </c>
      <c r="E19" s="226">
        <v>3243820103</v>
      </c>
      <c r="F19" s="101">
        <v>3115371259</v>
      </c>
    </row>
    <row r="20" spans="1:6" s="241" customFormat="1" ht="32.25" customHeight="1">
      <c r="A20" s="243"/>
      <c r="B20" s="244" t="s">
        <v>500</v>
      </c>
      <c r="C20" s="225" t="s">
        <v>933</v>
      </c>
      <c r="D20" s="101">
        <v>732224000</v>
      </c>
      <c r="E20" s="226">
        <v>1699094075</v>
      </c>
      <c r="F20" s="101">
        <v>732224000</v>
      </c>
    </row>
    <row r="21" spans="1:6" s="241" customFormat="1" ht="32.25" customHeight="1">
      <c r="A21" s="243"/>
      <c r="B21" s="244" t="s">
        <v>501</v>
      </c>
      <c r="C21" s="225" t="s">
        <v>867</v>
      </c>
      <c r="D21" s="101">
        <v>2383147259</v>
      </c>
      <c r="E21" s="226">
        <v>1544726028</v>
      </c>
      <c r="F21" s="101">
        <v>2383147259</v>
      </c>
    </row>
    <row r="22" spans="1:6" ht="32.25" customHeight="1">
      <c r="A22" s="106">
        <v>2</v>
      </c>
      <c r="B22" s="98" t="s">
        <v>259</v>
      </c>
      <c r="C22" s="74" t="s">
        <v>110</v>
      </c>
      <c r="D22" s="101">
        <v>3162991635</v>
      </c>
      <c r="E22" s="226">
        <v>3231666970</v>
      </c>
      <c r="F22" s="101">
        <v>3162991635</v>
      </c>
    </row>
    <row r="23" spans="1:6" s="343" customFormat="1" ht="32.25" customHeight="1">
      <c r="A23" s="243"/>
      <c r="B23" s="244" t="s">
        <v>954</v>
      </c>
      <c r="C23" s="246" t="s">
        <v>934</v>
      </c>
      <c r="D23" s="101">
        <v>148983073</v>
      </c>
      <c r="E23" s="226">
        <v>82373591</v>
      </c>
      <c r="F23" s="101">
        <v>148983073</v>
      </c>
    </row>
    <row r="24" spans="1:6" s="343" customFormat="1" ht="32.25" customHeight="1">
      <c r="A24" s="243"/>
      <c r="B24" s="244" t="s">
        <v>767</v>
      </c>
      <c r="C24" s="246" t="s">
        <v>935</v>
      </c>
      <c r="D24" s="101">
        <v>3014008562</v>
      </c>
      <c r="E24" s="226">
        <v>3149293379</v>
      </c>
      <c r="F24" s="101">
        <v>3014008562</v>
      </c>
    </row>
    <row r="25" spans="1:6" ht="32.25" customHeight="1">
      <c r="A25" s="106">
        <v>3</v>
      </c>
      <c r="B25" s="98" t="s">
        <v>260</v>
      </c>
      <c r="C25" s="74" t="s">
        <v>111</v>
      </c>
      <c r="D25" s="226">
        <v>0</v>
      </c>
      <c r="E25" s="226">
        <v>0</v>
      </c>
      <c r="F25" s="233">
        <v>0</v>
      </c>
    </row>
    <row r="26" spans="1:6" ht="32.25" customHeight="1">
      <c r="A26" s="243"/>
      <c r="B26" s="244" t="s">
        <v>768</v>
      </c>
      <c r="C26" s="246" t="s">
        <v>936</v>
      </c>
      <c r="D26" s="101">
        <v>0</v>
      </c>
      <c r="E26" s="226">
        <v>0</v>
      </c>
      <c r="F26" s="101">
        <v>0</v>
      </c>
    </row>
    <row r="27" spans="1:6" ht="32.25" customHeight="1">
      <c r="A27" s="243"/>
      <c r="B27" s="244" t="s">
        <v>769</v>
      </c>
      <c r="C27" s="246" t="s">
        <v>937</v>
      </c>
      <c r="D27" s="101">
        <v>0</v>
      </c>
      <c r="E27" s="226">
        <v>0</v>
      </c>
      <c r="F27" s="101">
        <v>0</v>
      </c>
    </row>
    <row r="28" spans="1:6" ht="79.8">
      <c r="A28" s="243"/>
      <c r="B28" s="244" t="s">
        <v>753</v>
      </c>
      <c r="C28" s="246" t="s">
        <v>938</v>
      </c>
      <c r="D28" s="242">
        <v>0</v>
      </c>
      <c r="E28" s="226">
        <v>0</v>
      </c>
      <c r="F28" s="245">
        <v>0</v>
      </c>
    </row>
    <row r="29" spans="1:6" ht="32.25" customHeight="1">
      <c r="A29" s="105" t="s">
        <v>49</v>
      </c>
      <c r="B29" s="103" t="s">
        <v>257</v>
      </c>
      <c r="C29" s="104" t="s">
        <v>918</v>
      </c>
      <c r="D29" s="190">
        <v>6406243394</v>
      </c>
      <c r="E29" s="190">
        <v>7402345333</v>
      </c>
      <c r="F29" s="190">
        <v>6406243394</v>
      </c>
    </row>
    <row r="30" spans="1:6" ht="32.25" customHeight="1">
      <c r="A30" s="106">
        <v>1</v>
      </c>
      <c r="B30" s="98" t="s">
        <v>261</v>
      </c>
      <c r="C30" s="74" t="s">
        <v>112</v>
      </c>
      <c r="D30" s="101">
        <v>5235839820</v>
      </c>
      <c r="E30" s="226">
        <v>5771071216</v>
      </c>
      <c r="F30" s="102">
        <v>5235839820</v>
      </c>
    </row>
    <row r="31" spans="1:6" ht="47.25" customHeight="1">
      <c r="A31" s="106">
        <v>2</v>
      </c>
      <c r="B31" s="98" t="s">
        <v>262</v>
      </c>
      <c r="C31" s="74" t="s">
        <v>919</v>
      </c>
      <c r="D31" s="101">
        <v>259239278</v>
      </c>
      <c r="E31" s="226">
        <v>294763314</v>
      </c>
      <c r="F31" s="101">
        <v>259239278</v>
      </c>
    </row>
    <row r="32" spans="1:6" ht="31.5" customHeight="1">
      <c r="A32" s="106"/>
      <c r="B32" s="25" t="s">
        <v>475</v>
      </c>
      <c r="C32" s="98" t="s">
        <v>202</v>
      </c>
      <c r="D32" s="101">
        <v>107401841</v>
      </c>
      <c r="E32" s="226">
        <v>118380947</v>
      </c>
      <c r="F32" s="102">
        <v>107401841</v>
      </c>
    </row>
    <row r="33" spans="1:6" ht="31.5" customHeight="1">
      <c r="A33" s="106"/>
      <c r="B33" s="25" t="s">
        <v>155</v>
      </c>
      <c r="C33" s="98" t="s">
        <v>206</v>
      </c>
      <c r="D33" s="101">
        <v>11100000</v>
      </c>
      <c r="E33" s="226">
        <v>21800000</v>
      </c>
      <c r="F33" s="102">
        <v>11100000</v>
      </c>
    </row>
    <row r="34" spans="1:6" ht="31.5" customHeight="1">
      <c r="A34" s="106"/>
      <c r="B34" s="25" t="s">
        <v>470</v>
      </c>
      <c r="C34" s="98" t="s">
        <v>474</v>
      </c>
      <c r="D34" s="101">
        <v>22595411</v>
      </c>
      <c r="E34" s="226">
        <v>24363323</v>
      </c>
      <c r="F34" s="102">
        <v>22595411</v>
      </c>
    </row>
    <row r="35" spans="1:6" ht="31.5" customHeight="1">
      <c r="A35" s="106"/>
      <c r="B35" s="25" t="s">
        <v>263</v>
      </c>
      <c r="C35" s="98" t="s">
        <v>203</v>
      </c>
      <c r="D35" s="101">
        <v>118142026</v>
      </c>
      <c r="E35" s="226">
        <v>130219044</v>
      </c>
      <c r="F35" s="102">
        <v>118142026</v>
      </c>
    </row>
    <row r="36" spans="1:6" ht="74.25" customHeight="1">
      <c r="A36" s="106">
        <v>3</v>
      </c>
      <c r="B36" s="99" t="s">
        <v>264</v>
      </c>
      <c r="C36" s="74" t="s">
        <v>920</v>
      </c>
      <c r="D36" s="101">
        <v>106838765</v>
      </c>
      <c r="E36" s="226">
        <v>114386898</v>
      </c>
      <c r="F36" s="101">
        <v>106838765</v>
      </c>
    </row>
    <row r="37" spans="1:6" ht="30.75" customHeight="1">
      <c r="A37" s="106"/>
      <c r="B37" s="100" t="s">
        <v>265</v>
      </c>
      <c r="C37" s="98" t="s">
        <v>201</v>
      </c>
      <c r="D37" s="101">
        <v>73838765</v>
      </c>
      <c r="E37" s="226">
        <v>81386898</v>
      </c>
      <c r="F37" s="102">
        <v>73838765</v>
      </c>
    </row>
    <row r="38" spans="1:6" ht="30.75" customHeight="1">
      <c r="A38" s="106"/>
      <c r="B38" s="100" t="s">
        <v>266</v>
      </c>
      <c r="C38" s="98" t="s">
        <v>207</v>
      </c>
      <c r="D38" s="101">
        <v>33000000</v>
      </c>
      <c r="E38" s="226">
        <v>33000000</v>
      </c>
      <c r="F38" s="102">
        <v>33000000</v>
      </c>
    </row>
    <row r="39" spans="1:6" ht="30.75" customHeight="1">
      <c r="A39" s="106">
        <v>4</v>
      </c>
      <c r="B39" s="98" t="s">
        <v>268</v>
      </c>
      <c r="C39" s="74" t="s">
        <v>113</v>
      </c>
      <c r="D39" s="101">
        <v>48391678</v>
      </c>
      <c r="E39" s="226">
        <v>45747979</v>
      </c>
      <c r="F39" s="102">
        <v>48391678</v>
      </c>
    </row>
    <row r="40" spans="1:6" ht="72" customHeight="1">
      <c r="A40" s="106">
        <v>5</v>
      </c>
      <c r="B40" s="98" t="s">
        <v>269</v>
      </c>
      <c r="C40" s="74" t="s">
        <v>921</v>
      </c>
      <c r="D40" s="101">
        <v>55191764</v>
      </c>
      <c r="E40" s="226">
        <v>74514983</v>
      </c>
      <c r="F40" s="101">
        <v>55191764</v>
      </c>
    </row>
    <row r="41" spans="1:6" ht="30.75" customHeight="1">
      <c r="A41" s="106"/>
      <c r="B41" s="24" t="s">
        <v>165</v>
      </c>
      <c r="C41" s="74" t="s">
        <v>386</v>
      </c>
      <c r="D41" s="101">
        <v>55191764</v>
      </c>
      <c r="E41" s="226">
        <v>55284983</v>
      </c>
      <c r="F41" s="102">
        <v>55191764</v>
      </c>
    </row>
    <row r="42" spans="1:6" ht="30.75" customHeight="1">
      <c r="A42" s="106"/>
      <c r="B42" s="24" t="s">
        <v>770</v>
      </c>
      <c r="C42" s="74" t="s">
        <v>387</v>
      </c>
      <c r="D42" s="101">
        <v>0</v>
      </c>
      <c r="E42" s="226">
        <v>19230000</v>
      </c>
      <c r="F42" s="102">
        <v>0</v>
      </c>
    </row>
    <row r="43" spans="1:6" ht="30.75" customHeight="1">
      <c r="A43" s="106"/>
      <c r="B43" s="340" t="s">
        <v>617</v>
      </c>
      <c r="C43" s="74" t="s">
        <v>773</v>
      </c>
      <c r="D43" s="101">
        <v>0</v>
      </c>
      <c r="E43" s="226">
        <v>0</v>
      </c>
      <c r="F43" s="102">
        <v>0</v>
      </c>
    </row>
    <row r="44" spans="1:6" ht="150" customHeight="1">
      <c r="A44" s="106">
        <v>6</v>
      </c>
      <c r="B44" s="99" t="s">
        <v>270</v>
      </c>
      <c r="C44" s="74" t="s">
        <v>922</v>
      </c>
      <c r="D44" s="101">
        <v>0</v>
      </c>
      <c r="E44" s="226">
        <v>61862325</v>
      </c>
      <c r="F44" s="101">
        <v>0</v>
      </c>
    </row>
    <row r="45" spans="1:6" ht="30.75" customHeight="1">
      <c r="A45" s="106"/>
      <c r="B45" s="100" t="s">
        <v>267</v>
      </c>
      <c r="C45" s="98" t="s">
        <v>212</v>
      </c>
      <c r="D45" s="101">
        <v>0</v>
      </c>
      <c r="E45" s="226">
        <v>22907547</v>
      </c>
      <c r="F45" s="102">
        <v>0</v>
      </c>
    </row>
    <row r="46" spans="1:6" ht="30.75" customHeight="1">
      <c r="A46" s="106"/>
      <c r="B46" s="100" t="s">
        <v>167</v>
      </c>
      <c r="C46" s="98" t="s">
        <v>204</v>
      </c>
      <c r="D46" s="101">
        <v>0</v>
      </c>
      <c r="E46" s="226">
        <v>23458957</v>
      </c>
      <c r="F46" s="102">
        <v>0</v>
      </c>
    </row>
    <row r="47" spans="1:6" ht="45.75" customHeight="1">
      <c r="A47" s="106"/>
      <c r="B47" s="100" t="s">
        <v>371</v>
      </c>
      <c r="C47" s="98" t="s">
        <v>211</v>
      </c>
      <c r="D47" s="101">
        <v>0</v>
      </c>
      <c r="E47" s="226">
        <v>15495821</v>
      </c>
      <c r="F47" s="102">
        <v>0</v>
      </c>
    </row>
    <row r="48" spans="1:6" ht="33" customHeight="1">
      <c r="A48" s="106"/>
      <c r="B48" s="24" t="s">
        <v>168</v>
      </c>
      <c r="C48" s="98" t="s">
        <v>210</v>
      </c>
      <c r="D48" s="101">
        <v>0</v>
      </c>
      <c r="E48" s="226">
        <v>0</v>
      </c>
      <c r="F48" s="102">
        <v>0</v>
      </c>
    </row>
    <row r="49" spans="1:6" ht="33" customHeight="1">
      <c r="A49" s="106"/>
      <c r="B49" s="24" t="s">
        <v>476</v>
      </c>
      <c r="C49" s="98" t="s">
        <v>939</v>
      </c>
      <c r="D49" s="101">
        <v>0</v>
      </c>
      <c r="E49" s="226">
        <v>0</v>
      </c>
      <c r="F49" s="102">
        <v>0</v>
      </c>
    </row>
    <row r="50" spans="1:6" ht="59.25" customHeight="1">
      <c r="A50" s="106">
        <v>7</v>
      </c>
      <c r="B50" s="98" t="s">
        <v>271</v>
      </c>
      <c r="C50" s="74" t="s">
        <v>923</v>
      </c>
      <c r="D50" s="101">
        <v>693503424</v>
      </c>
      <c r="E50" s="226">
        <v>1029376673</v>
      </c>
      <c r="F50" s="101">
        <v>693503424</v>
      </c>
    </row>
    <row r="51" spans="1:6" ht="31.5" customHeight="1">
      <c r="A51" s="106"/>
      <c r="B51" s="25" t="s">
        <v>771</v>
      </c>
      <c r="C51" s="98" t="s">
        <v>208</v>
      </c>
      <c r="D51" s="101">
        <v>690917574</v>
      </c>
      <c r="E51" s="226">
        <v>1025702323</v>
      </c>
      <c r="F51" s="102">
        <v>690917574</v>
      </c>
    </row>
    <row r="52" spans="1:6" ht="31.5" customHeight="1">
      <c r="A52" s="106"/>
      <c r="B52" s="25" t="s">
        <v>147</v>
      </c>
      <c r="C52" s="98" t="s">
        <v>205</v>
      </c>
      <c r="D52" s="101">
        <v>2585850</v>
      </c>
      <c r="E52" s="226">
        <v>3674350</v>
      </c>
      <c r="F52" s="102">
        <v>2585850</v>
      </c>
    </row>
    <row r="53" spans="1:6" ht="31.5" customHeight="1">
      <c r="A53" s="106"/>
      <c r="B53" s="25" t="s">
        <v>273</v>
      </c>
      <c r="C53" s="98" t="s">
        <v>975</v>
      </c>
      <c r="D53" s="101">
        <v>0</v>
      </c>
      <c r="E53" s="226">
        <v>0</v>
      </c>
      <c r="F53" s="102">
        <v>0</v>
      </c>
    </row>
    <row r="54" spans="1:6" ht="27">
      <c r="A54" s="211">
        <v>8</v>
      </c>
      <c r="B54" s="208" t="s">
        <v>272</v>
      </c>
      <c r="C54" s="225" t="s">
        <v>924</v>
      </c>
      <c r="D54" s="226">
        <v>7238665</v>
      </c>
      <c r="E54" s="226">
        <v>10621945</v>
      </c>
      <c r="F54" s="226">
        <v>7238665</v>
      </c>
    </row>
    <row r="55" spans="1:6" s="227" customFormat="1" ht="31.5" customHeight="1">
      <c r="A55" s="211"/>
      <c r="B55" s="232" t="s">
        <v>372</v>
      </c>
      <c r="C55" s="208" t="s">
        <v>114</v>
      </c>
      <c r="D55" s="226">
        <v>0</v>
      </c>
      <c r="E55" s="226">
        <v>0</v>
      </c>
      <c r="F55" s="233">
        <v>0</v>
      </c>
    </row>
    <row r="56" spans="1:6" s="227" customFormat="1" ht="31.5" customHeight="1">
      <c r="A56" s="211"/>
      <c r="B56" s="232" t="s">
        <v>754</v>
      </c>
      <c r="C56" s="208" t="s">
        <v>209</v>
      </c>
      <c r="D56" s="226">
        <v>0</v>
      </c>
      <c r="E56" s="226">
        <v>0</v>
      </c>
      <c r="F56" s="233">
        <v>0</v>
      </c>
    </row>
    <row r="57" spans="1:6" s="227" customFormat="1" ht="31.5" customHeight="1">
      <c r="A57" s="211"/>
      <c r="B57" s="232" t="s">
        <v>755</v>
      </c>
      <c r="C57" s="208" t="s">
        <v>200</v>
      </c>
      <c r="D57" s="226">
        <v>0</v>
      </c>
      <c r="E57" s="226">
        <v>2520578</v>
      </c>
      <c r="F57" s="233">
        <v>0</v>
      </c>
    </row>
    <row r="58" spans="1:6" s="227" customFormat="1" ht="31.5" customHeight="1">
      <c r="A58" s="211"/>
      <c r="B58" s="232" t="s">
        <v>169</v>
      </c>
      <c r="C58" s="208" t="s">
        <v>388</v>
      </c>
      <c r="D58" s="226">
        <v>6138665</v>
      </c>
      <c r="E58" s="226">
        <v>8101367</v>
      </c>
      <c r="F58" s="233">
        <v>6138665</v>
      </c>
    </row>
    <row r="59" spans="1:6" s="227" customFormat="1" ht="31.5" customHeight="1">
      <c r="A59" s="211"/>
      <c r="B59" s="232" t="s">
        <v>756</v>
      </c>
      <c r="C59" s="208" t="s">
        <v>940</v>
      </c>
      <c r="D59" s="226"/>
      <c r="E59" s="226"/>
      <c r="F59" s="233"/>
    </row>
    <row r="60" spans="1:6" s="227" customFormat="1" ht="31.5" customHeight="1">
      <c r="A60" s="211"/>
      <c r="B60" s="232" t="s">
        <v>273</v>
      </c>
      <c r="C60" s="208" t="s">
        <v>757</v>
      </c>
      <c r="D60" s="226">
        <v>0</v>
      </c>
      <c r="E60" s="226">
        <v>0</v>
      </c>
      <c r="F60" s="233">
        <v>0</v>
      </c>
    </row>
    <row r="61" spans="1:6" s="227" customFormat="1" ht="31.5" customHeight="1">
      <c r="A61" s="211"/>
      <c r="B61" s="232" t="s">
        <v>620</v>
      </c>
      <c r="C61" s="208" t="s">
        <v>866</v>
      </c>
      <c r="D61" s="226">
        <v>1100000</v>
      </c>
      <c r="E61" s="226">
        <v>0</v>
      </c>
      <c r="F61" s="233">
        <v>1100000</v>
      </c>
    </row>
    <row r="62" spans="1:6" ht="31.5" customHeight="1">
      <c r="A62" s="107" t="s">
        <v>115</v>
      </c>
      <c r="B62" s="103" t="s">
        <v>274</v>
      </c>
      <c r="C62" s="104" t="s">
        <v>925</v>
      </c>
      <c r="D62" s="190">
        <v>-127880500</v>
      </c>
      <c r="E62" s="190">
        <v>-926858260</v>
      </c>
      <c r="F62" s="190">
        <v>-127880500</v>
      </c>
    </row>
    <row r="63" spans="1:6" ht="31.5" customHeight="1">
      <c r="A63" s="107" t="s">
        <v>116</v>
      </c>
      <c r="B63" s="103" t="s">
        <v>275</v>
      </c>
      <c r="C63" s="104" t="s">
        <v>926</v>
      </c>
      <c r="D63" s="190">
        <v>50482996387</v>
      </c>
      <c r="E63" s="190">
        <v>-151397427519</v>
      </c>
      <c r="F63" s="190">
        <v>50482996387</v>
      </c>
    </row>
    <row r="64" spans="1:6" ht="31.5" customHeight="1">
      <c r="A64" s="106">
        <v>1</v>
      </c>
      <c r="B64" s="98" t="s">
        <v>276</v>
      </c>
      <c r="C64" s="74" t="s">
        <v>117</v>
      </c>
      <c r="D64" s="101">
        <v>1788720109</v>
      </c>
      <c r="E64" s="226">
        <v>170547604</v>
      </c>
      <c r="F64" s="102">
        <v>1788720109</v>
      </c>
    </row>
    <row r="65" spans="1:6" ht="31.5" customHeight="1">
      <c r="A65" s="106">
        <v>2</v>
      </c>
      <c r="B65" s="98" t="s">
        <v>277</v>
      </c>
      <c r="C65" s="74" t="s">
        <v>118</v>
      </c>
      <c r="D65" s="101">
        <v>48694276278</v>
      </c>
      <c r="E65" s="226">
        <v>-151567975123</v>
      </c>
      <c r="F65" s="102">
        <v>48694276278</v>
      </c>
    </row>
    <row r="66" spans="1:6" ht="78.75" customHeight="1">
      <c r="A66" s="107" t="s">
        <v>119</v>
      </c>
      <c r="B66" s="103" t="s">
        <v>278</v>
      </c>
      <c r="C66" s="104" t="s">
        <v>927</v>
      </c>
      <c r="D66" s="190">
        <v>50355115887</v>
      </c>
      <c r="E66" s="190">
        <v>-152324285779</v>
      </c>
      <c r="F66" s="190">
        <v>50355115887</v>
      </c>
    </row>
    <row r="67" spans="1:6" ht="33" customHeight="1">
      <c r="A67" s="107" t="s">
        <v>53</v>
      </c>
      <c r="B67" s="103" t="s">
        <v>279</v>
      </c>
      <c r="C67" s="104" t="s">
        <v>928</v>
      </c>
      <c r="D67" s="190">
        <v>1089016862195</v>
      </c>
      <c r="E67" s="190">
        <v>1275103947993</v>
      </c>
      <c r="F67" s="191">
        <v>1089016862195</v>
      </c>
    </row>
    <row r="68" spans="1:6" ht="48" customHeight="1">
      <c r="A68" s="107" t="s">
        <v>120</v>
      </c>
      <c r="B68" s="103" t="s">
        <v>280</v>
      </c>
      <c r="C68" s="104" t="s">
        <v>929</v>
      </c>
      <c r="D68" s="190">
        <v>-1788394202</v>
      </c>
      <c r="E68" s="190">
        <v>-186087085798</v>
      </c>
      <c r="F68" s="190">
        <v>-1788394202</v>
      </c>
    </row>
    <row r="69" spans="1:6" ht="31.5" customHeight="1">
      <c r="A69" s="106"/>
      <c r="B69" s="98" t="s">
        <v>281</v>
      </c>
      <c r="C69" s="74" t="s">
        <v>930</v>
      </c>
      <c r="D69" s="101"/>
      <c r="E69" s="226"/>
      <c r="F69" s="102"/>
    </row>
    <row r="70" spans="1:6" ht="62.25" customHeight="1">
      <c r="A70" s="106">
        <v>1</v>
      </c>
      <c r="B70" s="98" t="s">
        <v>282</v>
      </c>
      <c r="C70" s="74" t="s">
        <v>941</v>
      </c>
      <c r="D70" s="101">
        <v>50355115887</v>
      </c>
      <c r="E70" s="226">
        <v>-152324285779</v>
      </c>
      <c r="F70" s="101">
        <v>50355115887</v>
      </c>
    </row>
    <row r="71" spans="1:6" ht="62.25" customHeight="1">
      <c r="A71" s="106">
        <v>2</v>
      </c>
      <c r="B71" s="98" t="s">
        <v>283</v>
      </c>
      <c r="C71" s="74" t="s">
        <v>942</v>
      </c>
      <c r="D71" s="101">
        <v>0</v>
      </c>
      <c r="E71" s="226">
        <v>0</v>
      </c>
      <c r="F71" s="102">
        <v>0</v>
      </c>
    </row>
    <row r="72" spans="1:6" ht="47.25" customHeight="1">
      <c r="A72" s="106">
        <v>3</v>
      </c>
      <c r="B72" s="98" t="s">
        <v>284</v>
      </c>
      <c r="C72" s="74" t="s">
        <v>943</v>
      </c>
      <c r="D72" s="226">
        <v>7377618797</v>
      </c>
      <c r="E72" s="226">
        <v>94938942207</v>
      </c>
      <c r="F72" s="102">
        <v>7377618797</v>
      </c>
    </row>
    <row r="73" spans="1:6" ht="47.25" customHeight="1">
      <c r="A73" s="106">
        <v>4</v>
      </c>
      <c r="B73" s="98" t="s">
        <v>285</v>
      </c>
      <c r="C73" s="74" t="s">
        <v>944</v>
      </c>
      <c r="D73" s="226">
        <v>-59521128886</v>
      </c>
      <c r="E73" s="226">
        <v>-128701742226</v>
      </c>
      <c r="F73" s="233">
        <v>-59521128886</v>
      </c>
    </row>
    <row r="74" spans="1:6" ht="33" customHeight="1">
      <c r="A74" s="105" t="s">
        <v>121</v>
      </c>
      <c r="B74" s="103" t="s">
        <v>286</v>
      </c>
      <c r="C74" s="104" t="s">
        <v>931</v>
      </c>
      <c r="D74" s="190">
        <v>1087228467993</v>
      </c>
      <c r="E74" s="190">
        <v>1089016862195</v>
      </c>
      <c r="F74" s="190">
        <v>1087228467993</v>
      </c>
    </row>
    <row r="75" spans="1:6" ht="15" customHeight="1">
      <c r="A75" s="71"/>
      <c r="B75" s="71"/>
      <c r="C75" s="71"/>
      <c r="D75" s="72"/>
      <c r="E75" s="72"/>
      <c r="F75" s="72"/>
    </row>
    <row r="76" spans="1:6" ht="15" customHeight="1">
      <c r="A76" s="95"/>
      <c r="B76" s="95"/>
      <c r="C76" s="95"/>
      <c r="D76" s="94"/>
      <c r="E76" s="94"/>
      <c r="F76" s="94"/>
    </row>
    <row r="77" spans="1:6" ht="15" customHeight="1">
      <c r="A77" s="95"/>
      <c r="B77" s="95"/>
      <c r="C77" s="95"/>
      <c r="D77" s="94"/>
      <c r="E77" s="94"/>
      <c r="F77" s="94"/>
    </row>
    <row r="78" spans="1:6">
      <c r="A78" s="87" t="s">
        <v>178</v>
      </c>
      <c r="B78" s="88"/>
      <c r="C78" s="89"/>
      <c r="D78" s="90" t="s">
        <v>179</v>
      </c>
      <c r="E78" s="91"/>
      <c r="F78" s="94"/>
    </row>
    <row r="79" spans="1:6">
      <c r="A79" s="92" t="s">
        <v>180</v>
      </c>
      <c r="B79" s="88"/>
      <c r="C79" s="89"/>
      <c r="D79" s="93" t="s">
        <v>181</v>
      </c>
      <c r="E79" s="91"/>
      <c r="F79" s="94"/>
    </row>
    <row r="80" spans="1:6">
      <c r="A80" s="88"/>
      <c r="B80" s="88"/>
      <c r="C80" s="89"/>
      <c r="D80" s="89"/>
      <c r="E80" s="91"/>
      <c r="F80" s="94"/>
    </row>
    <row r="81" spans="1:6">
      <c r="A81" s="88"/>
      <c r="B81" s="88"/>
      <c r="C81" s="89"/>
      <c r="D81" s="89"/>
      <c r="E81" s="91"/>
      <c r="F81" s="94"/>
    </row>
    <row r="82" spans="1:6">
      <c r="A82" s="88"/>
      <c r="B82" s="88"/>
      <c r="C82" s="89"/>
      <c r="D82" s="89"/>
      <c r="E82" s="91"/>
      <c r="F82" s="94"/>
    </row>
    <row r="83" spans="1:6">
      <c r="A83" s="88"/>
      <c r="B83" s="88"/>
      <c r="C83" s="89"/>
      <c r="D83" s="89"/>
      <c r="E83" s="91"/>
      <c r="F83" s="94"/>
    </row>
    <row r="84" spans="1:6">
      <c r="A84" s="88"/>
      <c r="B84" s="88"/>
      <c r="C84" s="89"/>
      <c r="D84" s="89"/>
      <c r="E84" s="91"/>
      <c r="F84" s="94"/>
    </row>
    <row r="85" spans="1:6">
      <c r="A85" s="88"/>
      <c r="B85" s="88"/>
      <c r="C85" s="89"/>
      <c r="D85" s="89"/>
      <c r="E85" s="91"/>
      <c r="F85" s="94"/>
    </row>
    <row r="86" spans="1:6">
      <c r="A86" s="88"/>
      <c r="B86" s="88"/>
      <c r="C86" s="89"/>
      <c r="D86" s="89"/>
      <c r="E86" s="91"/>
      <c r="F86" s="94"/>
    </row>
    <row r="87" spans="1:6">
      <c r="A87" s="57"/>
      <c r="B87" s="57"/>
      <c r="C87" s="89"/>
      <c r="D87" s="58"/>
      <c r="E87" s="82"/>
      <c r="F87" s="97"/>
    </row>
    <row r="88" spans="1:6">
      <c r="A88" s="87" t="s">
        <v>182</v>
      </c>
      <c r="B88" s="88"/>
      <c r="C88" s="89"/>
      <c r="D88" s="90" t="s">
        <v>467</v>
      </c>
      <c r="E88" s="91"/>
      <c r="F88" s="94"/>
    </row>
    <row r="89" spans="1:6">
      <c r="A89" s="87" t="s">
        <v>997</v>
      </c>
      <c r="B89" s="88"/>
      <c r="C89" s="89"/>
      <c r="D89" s="90" t="s">
        <v>468</v>
      </c>
      <c r="E89" s="91"/>
      <c r="F89" s="94"/>
    </row>
    <row r="90" spans="1:6">
      <c r="A90" s="88" t="s">
        <v>998</v>
      </c>
      <c r="B90" s="88"/>
      <c r="C90" s="89"/>
      <c r="D90" s="89" t="s">
        <v>469</v>
      </c>
      <c r="E90" s="91"/>
      <c r="F90" s="94"/>
    </row>
    <row r="91" spans="1:6">
      <c r="A91" s="85"/>
      <c r="B91" s="85"/>
      <c r="C91" s="85"/>
      <c r="D91" s="86"/>
      <c r="E91" s="86"/>
      <c r="F91" s="86"/>
    </row>
  </sheetData>
  <mergeCells count="20">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7" right="0.7" top="0.75" bottom="0.57999999999999996" header="0.3" footer="0.3"/>
  <pageSetup scale="72" orientation="portrait" r:id="rId1"/>
  <drawing r:id="rId2"/>
</worksheet>
</file>

<file path=xl/worksheets/sheet7.xml><?xml version="1.0" encoding="utf-8"?>
<worksheet xmlns="http://schemas.openxmlformats.org/spreadsheetml/2006/main" xmlns:r="http://schemas.openxmlformats.org/officeDocument/2006/relationships">
  <sheetPr>
    <tabColor rgb="FFFF0000"/>
  </sheetPr>
  <dimension ref="A1:M47"/>
  <sheetViews>
    <sheetView view="pageBreakPreview" topLeftCell="A13" zoomScale="90" zoomScaleNormal="100" zoomScaleSheetLayoutView="90" workbookViewId="0">
      <selection activeCell="G34" sqref="G34"/>
    </sheetView>
  </sheetViews>
  <sheetFormatPr defaultColWidth="9.33203125" defaultRowHeight="10.199999999999999"/>
  <cols>
    <col min="1" max="1" width="9.33203125" style="188"/>
    <col min="2" max="2" width="17" style="188" customWidth="1"/>
    <col min="3" max="3" width="9.33203125" style="188"/>
    <col min="4" max="4" width="23.33203125" style="278" bestFit="1" customWidth="1"/>
    <col min="5" max="5" width="25" style="278" bestFit="1" customWidth="1"/>
    <col min="6" max="6" width="21.5546875" style="278" customWidth="1"/>
    <col min="7" max="7" width="20.44140625" style="278" bestFit="1" customWidth="1"/>
    <col min="8" max="8" width="23.33203125" style="278" bestFit="1" customWidth="1"/>
    <col min="9" max="9" width="6.33203125" style="188" customWidth="1"/>
    <col min="10" max="10" width="7.33203125" style="188" customWidth="1"/>
    <col min="11" max="11" width="9.33203125" style="188"/>
    <col min="12" max="12" width="21.33203125" style="280" bestFit="1" customWidth="1"/>
    <col min="13" max="13" width="18.33203125" style="188" bestFit="1" customWidth="1"/>
    <col min="14" max="16384" width="9.33203125" style="188"/>
  </cols>
  <sheetData>
    <row r="1" spans="1:12" ht="32.25" customHeight="1">
      <c r="A1" s="476" t="s">
        <v>560</v>
      </c>
      <c r="B1" s="476"/>
      <c r="C1" s="476"/>
      <c r="D1" s="476"/>
      <c r="E1" s="476"/>
      <c r="F1" s="476"/>
      <c r="G1" s="476"/>
      <c r="H1" s="476"/>
    </row>
    <row r="2" spans="1:12" ht="34.5" customHeight="1">
      <c r="A2" s="444" t="s">
        <v>218</v>
      </c>
      <c r="B2" s="444"/>
      <c r="C2" s="444"/>
      <c r="D2" s="444"/>
      <c r="E2" s="444"/>
      <c r="F2" s="444"/>
      <c r="G2" s="444"/>
      <c r="H2" s="444"/>
    </row>
    <row r="3" spans="1:12" ht="12.75" customHeight="1">
      <c r="A3" s="445" t="s">
        <v>561</v>
      </c>
      <c r="B3" s="445"/>
      <c r="C3" s="445"/>
      <c r="D3" s="445"/>
      <c r="E3" s="445"/>
      <c r="F3" s="445"/>
      <c r="G3" s="445"/>
      <c r="H3" s="445"/>
    </row>
    <row r="4" spans="1:12" ht="27.75" customHeight="1">
      <c r="A4" s="445"/>
      <c r="B4" s="445"/>
      <c r="C4" s="445"/>
      <c r="D4" s="445"/>
      <c r="E4" s="445"/>
      <c r="F4" s="445"/>
      <c r="G4" s="445"/>
      <c r="H4" s="445"/>
    </row>
    <row r="5" spans="1:12" ht="13.2">
      <c r="A5" s="446" t="str">
        <f>BCthunhap!A5</f>
        <v>Quý I năm 2019/ Quarter I 2019</v>
      </c>
      <c r="B5" s="446"/>
      <c r="C5" s="446"/>
      <c r="D5" s="446"/>
      <c r="E5" s="446"/>
      <c r="F5" s="446"/>
      <c r="G5" s="446"/>
      <c r="H5" s="446"/>
    </row>
    <row r="6" spans="1:12" ht="13.2">
      <c r="A6" s="238"/>
      <c r="B6" s="238"/>
      <c r="C6" s="238"/>
      <c r="D6" s="238"/>
      <c r="E6" s="238"/>
      <c r="F6" s="59"/>
      <c r="G6" s="257"/>
      <c r="H6" s="257"/>
    </row>
    <row r="7" spans="1:12" ht="13.2">
      <c r="A7" s="475" t="s">
        <v>455</v>
      </c>
      <c r="B7" s="475"/>
      <c r="C7" s="258"/>
      <c r="D7" s="470" t="s">
        <v>466</v>
      </c>
      <c r="E7" s="470"/>
      <c r="F7" s="470"/>
      <c r="G7" s="470"/>
      <c r="H7" s="258"/>
    </row>
    <row r="8" spans="1:12" ht="12.75" customHeight="1">
      <c r="A8" s="472" t="s">
        <v>462</v>
      </c>
      <c r="B8" s="472"/>
      <c r="C8" s="472"/>
      <c r="D8" s="477" t="s">
        <v>987</v>
      </c>
      <c r="E8" s="477"/>
      <c r="F8" s="477"/>
      <c r="G8" s="477"/>
      <c r="H8" s="258"/>
    </row>
    <row r="9" spans="1:12" ht="12.75" customHeight="1">
      <c r="A9" s="475" t="s">
        <v>457</v>
      </c>
      <c r="B9" s="475"/>
      <c r="C9" s="258"/>
      <c r="D9" s="470" t="s">
        <v>986</v>
      </c>
      <c r="E9" s="470"/>
      <c r="F9" s="470"/>
      <c r="G9" s="470"/>
      <c r="H9" s="258"/>
    </row>
    <row r="10" spans="1:12" ht="12.75" customHeight="1">
      <c r="A10" s="473" t="s">
        <v>459</v>
      </c>
      <c r="B10" s="473"/>
      <c r="C10" s="258"/>
      <c r="D10" s="477" t="s">
        <v>460</v>
      </c>
      <c r="E10" s="477"/>
      <c r="F10" s="477"/>
      <c r="G10" s="477"/>
      <c r="H10" s="258"/>
    </row>
    <row r="11" spans="1:12" ht="12.75" customHeight="1">
      <c r="A11" s="475" t="s">
        <v>392</v>
      </c>
      <c r="B11" s="475"/>
      <c r="C11" s="258"/>
      <c r="D11" s="470" t="s">
        <v>492</v>
      </c>
      <c r="E11" s="470"/>
      <c r="F11" s="470"/>
      <c r="G11" s="470"/>
      <c r="H11" s="258"/>
    </row>
    <row r="12" spans="1:12" ht="12.75" customHeight="1">
      <c r="A12" s="474" t="s">
        <v>390</v>
      </c>
      <c r="B12" s="474"/>
      <c r="C12" s="258"/>
      <c r="D12" s="477" t="s">
        <v>491</v>
      </c>
      <c r="E12" s="477"/>
      <c r="F12" s="477"/>
      <c r="G12" s="477"/>
      <c r="H12" s="258"/>
    </row>
    <row r="13" spans="1:12" ht="12.75" customHeight="1">
      <c r="A13" s="470" t="s">
        <v>138</v>
      </c>
      <c r="B13" s="470"/>
      <c r="C13" s="258"/>
      <c r="D13" s="478" t="str">
        <f>BCthunhap!B13</f>
        <v>Ngày 09 tháng 04 năm 2019</v>
      </c>
      <c r="E13" s="470"/>
      <c r="F13" s="470"/>
      <c r="G13" s="470"/>
      <c r="H13" s="258"/>
    </row>
    <row r="14" spans="1:12" ht="13.2">
      <c r="A14" s="471" t="s">
        <v>139</v>
      </c>
      <c r="B14" s="471"/>
      <c r="D14" s="438">
        <f>BCthunhap!B14</f>
        <v>43564</v>
      </c>
      <c r="E14" s="438"/>
      <c r="F14" s="438"/>
      <c r="G14" s="438"/>
      <c r="H14" s="258"/>
    </row>
    <row r="15" spans="1:12">
      <c r="A15" s="258"/>
      <c r="B15" s="258"/>
      <c r="C15" s="258"/>
      <c r="D15" s="257"/>
      <c r="E15" s="257"/>
      <c r="F15" s="257"/>
      <c r="G15" s="257"/>
      <c r="H15" s="257"/>
    </row>
    <row r="16" spans="1:12" s="259" customFormat="1" ht="18.75" customHeight="1">
      <c r="A16" s="481" t="s">
        <v>562</v>
      </c>
      <c r="B16" s="481" t="s">
        <v>563</v>
      </c>
      <c r="C16" s="481" t="s">
        <v>564</v>
      </c>
      <c r="D16" s="483" t="s">
        <v>565</v>
      </c>
      <c r="E16" s="484"/>
      <c r="F16" s="485"/>
      <c r="G16" s="479" t="s">
        <v>566</v>
      </c>
      <c r="H16" s="479" t="s">
        <v>567</v>
      </c>
      <c r="L16" s="281"/>
    </row>
    <row r="17" spans="1:13" s="259" customFormat="1" ht="99.75" customHeight="1">
      <c r="A17" s="482"/>
      <c r="B17" s="482"/>
      <c r="C17" s="482"/>
      <c r="D17" s="279" t="s">
        <v>568</v>
      </c>
      <c r="E17" s="279" t="s">
        <v>569</v>
      </c>
      <c r="F17" s="279" t="s">
        <v>570</v>
      </c>
      <c r="G17" s="480"/>
      <c r="H17" s="480"/>
      <c r="L17" s="281"/>
    </row>
    <row r="18" spans="1:13" s="259" customFormat="1" ht="13.2">
      <c r="A18" s="260" t="s">
        <v>571</v>
      </c>
      <c r="B18" s="260" t="s">
        <v>572</v>
      </c>
      <c r="C18" s="260" t="s">
        <v>573</v>
      </c>
      <c r="D18" s="261" t="s">
        <v>574</v>
      </c>
      <c r="E18" s="261" t="s">
        <v>575</v>
      </c>
      <c r="F18" s="261" t="s">
        <v>576</v>
      </c>
      <c r="G18" s="262" t="s">
        <v>577</v>
      </c>
      <c r="H18" s="262" t="s">
        <v>578</v>
      </c>
      <c r="L18" s="281"/>
    </row>
    <row r="19" spans="1:13" s="259" customFormat="1" ht="30.75" customHeight="1">
      <c r="A19" s="263">
        <v>1</v>
      </c>
      <c r="B19" s="264" t="s">
        <v>579</v>
      </c>
      <c r="C19" s="265" t="s">
        <v>580</v>
      </c>
      <c r="D19" s="266">
        <v>83121367000</v>
      </c>
      <c r="E19" s="266">
        <f>$D$24</f>
        <v>325242221000</v>
      </c>
      <c r="F19" s="267">
        <f>D19/E19</f>
        <v>0.25556757897062815</v>
      </c>
      <c r="G19" s="267">
        <v>1.5E-3</v>
      </c>
      <c r="H19" s="267" t="s">
        <v>581</v>
      </c>
      <c r="I19" s="268" t="s">
        <v>585</v>
      </c>
      <c r="J19" s="259">
        <v>3223500000</v>
      </c>
      <c r="K19" s="259">
        <v>79897867000</v>
      </c>
      <c r="L19" s="281">
        <v>83121367000</v>
      </c>
    </row>
    <row r="20" spans="1:13" s="259" customFormat="1" ht="40.5" customHeight="1">
      <c r="A20" s="263">
        <v>2</v>
      </c>
      <c r="B20" s="265" t="s">
        <v>582</v>
      </c>
      <c r="C20" s="265" t="s">
        <v>580</v>
      </c>
      <c r="D20" s="266">
        <v>134640426000</v>
      </c>
      <c r="E20" s="266">
        <f t="shared" ref="E20:E22" si="0">$D$24</f>
        <v>325242221000</v>
      </c>
      <c r="F20" s="267">
        <f t="shared" ref="F20:F22" si="1">D20/E20</f>
        <v>0.41396970413629047</v>
      </c>
      <c r="G20" s="267">
        <v>1.5E-3</v>
      </c>
      <c r="H20" s="267" t="s">
        <v>581</v>
      </c>
      <c r="I20" s="268" t="s">
        <v>589</v>
      </c>
      <c r="J20" s="259">
        <v>844660000</v>
      </c>
      <c r="L20" s="281">
        <v>844660000</v>
      </c>
    </row>
    <row r="21" spans="1:13" s="259" customFormat="1" ht="40.5" customHeight="1">
      <c r="A21" s="263">
        <v>3</v>
      </c>
      <c r="B21" s="265" t="s">
        <v>583</v>
      </c>
      <c r="C21" s="265" t="s">
        <v>580</v>
      </c>
      <c r="D21" s="266">
        <v>107480428000</v>
      </c>
      <c r="E21" s="266">
        <f t="shared" si="0"/>
        <v>325242221000</v>
      </c>
      <c r="F21" s="267">
        <f t="shared" si="1"/>
        <v>0.33046271689308138</v>
      </c>
      <c r="G21" s="267">
        <v>1.5E-3</v>
      </c>
      <c r="H21" s="267" t="s">
        <v>581</v>
      </c>
      <c r="I21" s="268" t="s">
        <v>586</v>
      </c>
      <c r="J21" s="259">
        <v>38699843000</v>
      </c>
      <c r="K21" s="259">
        <v>95940583000</v>
      </c>
      <c r="L21" s="281">
        <v>134640426000</v>
      </c>
    </row>
    <row r="22" spans="1:13" s="259" customFormat="1" ht="60" customHeight="1">
      <c r="A22" s="263">
        <v>4</v>
      </c>
      <c r="B22" s="265" t="s">
        <v>494</v>
      </c>
      <c r="C22" s="265" t="s">
        <v>580</v>
      </c>
      <c r="D22" s="266"/>
      <c r="E22" s="266">
        <f t="shared" si="0"/>
        <v>325242221000</v>
      </c>
      <c r="F22" s="267">
        <f t="shared" si="1"/>
        <v>0</v>
      </c>
      <c r="G22" s="267">
        <v>5.7112678133959486E-3</v>
      </c>
      <c r="H22" s="267" t="s">
        <v>581</v>
      </c>
      <c r="I22" s="259" t="s">
        <v>588</v>
      </c>
      <c r="J22" s="259">
        <v>5895000000</v>
      </c>
      <c r="K22" s="259">
        <v>5425000000</v>
      </c>
      <c r="L22" s="281">
        <v>11320000000</v>
      </c>
    </row>
    <row r="23" spans="1:13" s="259" customFormat="1" ht="13.2">
      <c r="A23" s="263"/>
      <c r="B23" s="265"/>
      <c r="C23" s="265"/>
      <c r="D23" s="266"/>
      <c r="E23" s="266"/>
      <c r="F23" s="266"/>
      <c r="G23" s="266"/>
      <c r="H23" s="266"/>
      <c r="I23" s="268" t="s">
        <v>587</v>
      </c>
      <c r="J23" s="268">
        <v>50722501000</v>
      </c>
      <c r="K23" s="259">
        <v>45437927000</v>
      </c>
      <c r="L23" s="281">
        <v>96160428000</v>
      </c>
      <c r="M23" s="282">
        <f>SUM(L22:L23)</f>
        <v>107480428000</v>
      </c>
    </row>
    <row r="24" spans="1:13" s="259" customFormat="1" ht="30" customHeight="1">
      <c r="A24" s="269"/>
      <c r="B24" s="269" t="s">
        <v>584</v>
      </c>
      <c r="C24" s="269"/>
      <c r="D24" s="270">
        <f>SUM(D19:D23)</f>
        <v>325242221000</v>
      </c>
      <c r="E24" s="270"/>
      <c r="F24" s="271">
        <f>SUM(F19:F23)</f>
        <v>1</v>
      </c>
      <c r="G24" s="270"/>
      <c r="H24" s="270"/>
      <c r="I24" s="272"/>
      <c r="J24" s="273"/>
      <c r="L24" s="281">
        <f>SUM(L19:L23)</f>
        <v>326086881000</v>
      </c>
    </row>
    <row r="25" spans="1:13" s="259" customFormat="1" ht="13.2">
      <c r="A25" s="44"/>
      <c r="B25" s="44"/>
      <c r="C25" s="44"/>
      <c r="D25" s="274">
        <v>326086881000</v>
      </c>
      <c r="E25" s="274"/>
      <c r="F25" s="274"/>
      <c r="G25" s="274"/>
      <c r="H25" s="274"/>
      <c r="L25" s="281"/>
    </row>
    <row r="26" spans="1:13" s="259" customFormat="1" ht="13.2">
      <c r="A26" s="44"/>
      <c r="B26" s="44"/>
      <c r="C26" s="44"/>
      <c r="D26" s="274"/>
      <c r="E26" s="274"/>
      <c r="F26" s="274"/>
      <c r="G26" s="274"/>
      <c r="H26" s="274"/>
      <c r="L26" s="281"/>
    </row>
    <row r="27" spans="1:13" s="259" customFormat="1" ht="13.2">
      <c r="A27" s="44"/>
      <c r="B27" s="44"/>
      <c r="C27" s="44"/>
      <c r="D27" s="274"/>
      <c r="E27" s="274"/>
      <c r="F27" s="274"/>
      <c r="G27" s="274"/>
      <c r="H27" s="274"/>
      <c r="L27" s="281"/>
    </row>
    <row r="28" spans="1:13" s="259" customFormat="1" ht="13.2">
      <c r="A28" s="53" t="s">
        <v>178</v>
      </c>
      <c r="B28" s="44"/>
      <c r="C28" s="52"/>
      <c r="D28" s="275"/>
      <c r="E28" s="275"/>
      <c r="F28" s="54" t="s">
        <v>179</v>
      </c>
      <c r="G28" s="275"/>
      <c r="H28" s="275"/>
      <c r="L28" s="281"/>
    </row>
    <row r="29" spans="1:13" s="259" customFormat="1" ht="13.2">
      <c r="A29" s="55" t="s">
        <v>180</v>
      </c>
      <c r="B29" s="44"/>
      <c r="C29" s="52"/>
      <c r="D29" s="275"/>
      <c r="E29" s="275"/>
      <c r="F29" s="56" t="s">
        <v>181</v>
      </c>
      <c r="G29" s="275"/>
      <c r="H29" s="275"/>
      <c r="L29" s="281"/>
    </row>
    <row r="30" spans="1:13" ht="14.4">
      <c r="A30" s="44"/>
      <c r="B30" s="44"/>
      <c r="C30" s="52"/>
      <c r="D30" s="276"/>
      <c r="E30" s="276"/>
      <c r="F30" s="52"/>
      <c r="G30" s="276"/>
      <c r="H30" s="276"/>
    </row>
    <row r="31" spans="1:13" ht="14.4">
      <c r="A31" s="44"/>
      <c r="B31" s="44"/>
      <c r="C31" s="52"/>
      <c r="D31" s="276"/>
      <c r="E31" s="276"/>
      <c r="F31" s="52"/>
      <c r="G31" s="276"/>
      <c r="H31" s="276"/>
    </row>
    <row r="32" spans="1:13" ht="14.4">
      <c r="A32" s="44"/>
      <c r="B32" s="44"/>
      <c r="C32" s="52"/>
      <c r="D32" s="276"/>
      <c r="E32" s="276"/>
      <c r="F32" s="52"/>
      <c r="G32" s="276"/>
      <c r="H32" s="276"/>
    </row>
    <row r="33" spans="1:8" ht="14.4">
      <c r="A33" s="44"/>
      <c r="B33" s="44"/>
      <c r="C33" s="52"/>
      <c r="D33" s="276"/>
      <c r="E33" s="276"/>
      <c r="F33" s="52"/>
      <c r="G33" s="276"/>
      <c r="H33" s="276"/>
    </row>
    <row r="34" spans="1:8" ht="14.4">
      <c r="A34" s="44"/>
      <c r="B34" s="44"/>
      <c r="C34" s="52"/>
      <c r="D34" s="276"/>
      <c r="E34" s="276"/>
      <c r="F34" s="52"/>
      <c r="G34" s="276"/>
      <c r="H34" s="276"/>
    </row>
    <row r="35" spans="1:8" ht="14.4">
      <c r="A35" s="44"/>
      <c r="B35" s="44"/>
      <c r="C35" s="52"/>
      <c r="D35" s="276"/>
      <c r="E35" s="276"/>
      <c r="F35" s="52"/>
      <c r="G35" s="276"/>
      <c r="H35" s="276"/>
    </row>
    <row r="36" spans="1:8" ht="14.4">
      <c r="A36" s="44"/>
      <c r="B36" s="44"/>
      <c r="C36" s="52"/>
      <c r="D36" s="276"/>
      <c r="E36" s="276"/>
      <c r="F36" s="52"/>
      <c r="G36" s="276"/>
      <c r="H36" s="276"/>
    </row>
    <row r="37" spans="1:8" ht="14.4">
      <c r="A37" s="44"/>
      <c r="B37" s="44"/>
      <c r="C37" s="52"/>
      <c r="D37" s="276"/>
      <c r="E37" s="276"/>
      <c r="F37" s="52"/>
      <c r="G37" s="276"/>
      <c r="H37" s="276"/>
    </row>
    <row r="38" spans="1:8" ht="14.4">
      <c r="A38" s="44"/>
      <c r="B38" s="44"/>
      <c r="C38" s="52"/>
      <c r="D38" s="276"/>
      <c r="E38" s="276"/>
      <c r="F38" s="52"/>
      <c r="G38" s="276"/>
      <c r="H38" s="276"/>
    </row>
    <row r="39" spans="1:8" ht="14.4">
      <c r="A39" s="57"/>
      <c r="B39" s="57"/>
      <c r="C39" s="52"/>
      <c r="D39" s="276"/>
      <c r="E39" s="276"/>
      <c r="F39" s="58"/>
      <c r="G39" s="277"/>
      <c r="H39" s="277"/>
    </row>
    <row r="40" spans="1:8" ht="14.4">
      <c r="A40" s="53" t="s">
        <v>182</v>
      </c>
      <c r="B40" s="44"/>
      <c r="C40" s="52"/>
      <c r="D40" s="276"/>
      <c r="E40" s="276"/>
      <c r="F40" s="54" t="s">
        <v>467</v>
      </c>
      <c r="G40" s="276"/>
      <c r="H40" s="276"/>
    </row>
    <row r="41" spans="1:8" ht="14.4">
      <c r="A41" s="53" t="s">
        <v>988</v>
      </c>
      <c r="B41" s="44"/>
      <c r="C41" s="52"/>
      <c r="D41" s="276"/>
      <c r="E41" s="276"/>
      <c r="F41" s="54" t="s">
        <v>468</v>
      </c>
      <c r="G41" s="276"/>
      <c r="H41" s="276"/>
    </row>
    <row r="42" spans="1:8" ht="14.4">
      <c r="A42" s="44" t="s">
        <v>989</v>
      </c>
      <c r="B42" s="44"/>
      <c r="C42" s="52"/>
      <c r="D42" s="276"/>
      <c r="E42" s="276"/>
      <c r="F42" s="52" t="s">
        <v>469</v>
      </c>
      <c r="G42" s="276"/>
      <c r="H42" s="276"/>
    </row>
    <row r="43" spans="1:8">
      <c r="A43" s="258"/>
      <c r="B43" s="258"/>
      <c r="C43" s="258"/>
      <c r="D43" s="257"/>
      <c r="E43" s="257"/>
      <c r="F43" s="257"/>
      <c r="G43" s="257"/>
      <c r="H43" s="257"/>
    </row>
    <row r="44" spans="1:8">
      <c r="A44" s="258"/>
      <c r="B44" s="258"/>
      <c r="C44" s="258"/>
      <c r="D44" s="257"/>
      <c r="E44" s="257"/>
      <c r="F44" s="257"/>
      <c r="G44" s="257"/>
      <c r="H44" s="257"/>
    </row>
    <row r="45" spans="1:8">
      <c r="A45" s="258"/>
      <c r="B45" s="258"/>
      <c r="C45" s="258"/>
      <c r="D45" s="257"/>
      <c r="E45" s="257"/>
      <c r="F45" s="257"/>
      <c r="G45" s="257"/>
      <c r="H45" s="257"/>
    </row>
    <row r="46" spans="1:8">
      <c r="A46" s="258"/>
      <c r="B46" s="258"/>
      <c r="C46" s="258"/>
      <c r="D46" s="257"/>
      <c r="E46" s="257"/>
      <c r="F46" s="257"/>
      <c r="G46" s="257"/>
      <c r="H46" s="257"/>
    </row>
    <row r="47" spans="1:8">
      <c r="A47" s="258"/>
      <c r="B47" s="258"/>
      <c r="C47" s="258"/>
      <c r="D47" s="257"/>
      <c r="E47" s="257"/>
      <c r="F47" s="257"/>
      <c r="G47" s="257"/>
      <c r="H47" s="257"/>
    </row>
  </sheetData>
  <mergeCells count="26">
    <mergeCell ref="H16:H17"/>
    <mergeCell ref="A14:B14"/>
    <mergeCell ref="D14:G14"/>
    <mergeCell ref="A16:A17"/>
    <mergeCell ref="B16:B17"/>
    <mergeCell ref="C16:C17"/>
    <mergeCell ref="D16:F16"/>
    <mergeCell ref="G16:G17"/>
    <mergeCell ref="A11:B11"/>
    <mergeCell ref="D11:G11"/>
    <mergeCell ref="A12:B12"/>
    <mergeCell ref="D12:G12"/>
    <mergeCell ref="A13:B13"/>
    <mergeCell ref="D13:G13"/>
    <mergeCell ref="A8:C8"/>
    <mergeCell ref="D8:G8"/>
    <mergeCell ref="A9:B9"/>
    <mergeCell ref="D9:G9"/>
    <mergeCell ref="A10:B10"/>
    <mergeCell ref="D10:G10"/>
    <mergeCell ref="A1:H1"/>
    <mergeCell ref="A2:H2"/>
    <mergeCell ref="A3:H4"/>
    <mergeCell ref="A5:H5"/>
    <mergeCell ref="A7:B7"/>
    <mergeCell ref="D7:G7"/>
  </mergeCells>
  <printOptions horizontalCentered="1"/>
  <pageMargins left="0.7" right="0.7" top="0.75" bottom="0.75" header="0.3" footer="0.3"/>
  <pageSetup scale="61" orientation="portrait" r:id="rId1"/>
  <drawing r:id="rId2"/>
</worksheet>
</file>

<file path=xl/worksheets/sheet8.xml><?xml version="1.0" encoding="utf-8"?>
<worksheet xmlns="http://schemas.openxmlformats.org/spreadsheetml/2006/main" xmlns:r="http://schemas.openxmlformats.org/officeDocument/2006/relationships">
  <sheetPr>
    <tabColor rgb="FF0070C0"/>
    <pageSetUpPr fitToPage="1"/>
  </sheetPr>
  <dimension ref="A1:P175"/>
  <sheetViews>
    <sheetView view="pageBreakPreview" zoomScale="115" zoomScaleNormal="100" zoomScaleSheetLayoutView="115" workbookViewId="0">
      <selection activeCell="F81" sqref="F81"/>
    </sheetView>
  </sheetViews>
  <sheetFormatPr defaultColWidth="9.33203125" defaultRowHeight="14.4"/>
  <cols>
    <col min="1" max="1" width="5.33203125" style="11" customWidth="1"/>
    <col min="2" max="2" width="39.33203125" style="10" customWidth="1"/>
    <col min="3" max="3" width="9.5546875" style="10" bestFit="1" customWidth="1"/>
    <col min="4" max="4" width="12.44140625" style="10" customWidth="1"/>
    <col min="5" max="5" width="19.5546875" style="10" customWidth="1"/>
    <col min="6" max="6" width="20" style="10" customWidth="1"/>
    <col min="7" max="7" width="22.6640625" style="10" customWidth="1"/>
    <col min="8" max="8" width="21.33203125" style="81" customWidth="1"/>
    <col min="9" max="9" width="12.33203125" style="81" bestFit="1" customWidth="1"/>
    <col min="10" max="10" width="15.6640625" style="81" customWidth="1"/>
    <col min="11" max="11" width="15.33203125" style="81" bestFit="1" customWidth="1"/>
    <col min="12" max="12" width="9.33203125" style="81"/>
    <col min="13" max="13" width="16.33203125" style="81" bestFit="1" customWidth="1"/>
    <col min="14" max="16384" width="9.33203125" style="81"/>
  </cols>
  <sheetData>
    <row r="1" spans="1:7" ht="25.5" customHeight="1">
      <c r="A1" s="476" t="s">
        <v>217</v>
      </c>
      <c r="B1" s="476"/>
      <c r="C1" s="476"/>
      <c r="D1" s="476"/>
      <c r="E1" s="476"/>
      <c r="F1" s="476"/>
      <c r="G1" s="476"/>
    </row>
    <row r="2" spans="1:7" ht="29.25" customHeight="1">
      <c r="A2" s="444" t="s">
        <v>945</v>
      </c>
      <c r="B2" s="444"/>
      <c r="C2" s="444"/>
      <c r="D2" s="444"/>
      <c r="E2" s="444"/>
      <c r="F2" s="444"/>
      <c r="G2" s="444"/>
    </row>
    <row r="3" spans="1:7">
      <c r="A3" s="445" t="s">
        <v>219</v>
      </c>
      <c r="B3" s="445"/>
      <c r="C3" s="445"/>
      <c r="D3" s="445"/>
      <c r="E3" s="445"/>
      <c r="F3" s="445"/>
      <c r="G3" s="445"/>
    </row>
    <row r="4" spans="1:7" ht="21.6" customHeight="1">
      <c r="A4" s="445"/>
      <c r="B4" s="445"/>
      <c r="C4" s="445"/>
      <c r="D4" s="445"/>
      <c r="E4" s="445"/>
      <c r="F4" s="445"/>
      <c r="G4" s="445"/>
    </row>
    <row r="5" spans="1:7">
      <c r="A5" s="446" t="s">
        <v>994</v>
      </c>
      <c r="B5" s="446"/>
      <c r="C5" s="446"/>
      <c r="D5" s="446"/>
      <c r="E5" s="446"/>
      <c r="F5" s="446"/>
      <c r="G5" s="446"/>
    </row>
    <row r="6" spans="1:7">
      <c r="A6" s="18"/>
      <c r="B6" s="18"/>
      <c r="C6" s="18"/>
      <c r="D6" s="18"/>
      <c r="E6" s="18"/>
      <c r="F6" s="21"/>
      <c r="G6" s="21"/>
    </row>
    <row r="7" spans="1:7">
      <c r="A7" s="475" t="s">
        <v>455</v>
      </c>
      <c r="B7" s="475"/>
      <c r="C7" s="459" t="s">
        <v>466</v>
      </c>
      <c r="D7" s="459"/>
      <c r="E7" s="459"/>
      <c r="F7" s="459"/>
      <c r="G7" s="111"/>
    </row>
    <row r="8" spans="1:7" ht="15" customHeight="1">
      <c r="A8" s="472" t="s">
        <v>947</v>
      </c>
      <c r="B8" s="472"/>
      <c r="C8" s="460" t="s">
        <v>605</v>
      </c>
      <c r="D8" s="460"/>
      <c r="E8" s="460"/>
      <c r="F8" s="460"/>
      <c r="G8" s="111"/>
    </row>
    <row r="9" spans="1:7" ht="15" customHeight="1">
      <c r="A9" s="475" t="s">
        <v>457</v>
      </c>
      <c r="B9" s="475"/>
      <c r="C9" s="459" t="s">
        <v>986</v>
      </c>
      <c r="D9" s="459"/>
      <c r="E9" s="459"/>
      <c r="F9" s="459"/>
      <c r="G9" s="187"/>
    </row>
    <row r="10" spans="1:7" ht="15" customHeight="1">
      <c r="A10" s="473" t="s">
        <v>459</v>
      </c>
      <c r="B10" s="473"/>
      <c r="C10" s="460" t="s">
        <v>460</v>
      </c>
      <c r="D10" s="460"/>
      <c r="E10" s="460"/>
      <c r="F10" s="460"/>
      <c r="G10" s="159"/>
    </row>
    <row r="11" spans="1:7" ht="15" customHeight="1">
      <c r="A11" s="475" t="s">
        <v>392</v>
      </c>
      <c r="B11" s="475"/>
      <c r="C11" s="459" t="s">
        <v>492</v>
      </c>
      <c r="D11" s="459"/>
      <c r="E11" s="459"/>
      <c r="F11" s="459"/>
      <c r="G11" s="111"/>
    </row>
    <row r="12" spans="1:7" ht="15" customHeight="1">
      <c r="A12" s="474" t="s">
        <v>390</v>
      </c>
      <c r="B12" s="474"/>
      <c r="C12" s="460" t="s">
        <v>491</v>
      </c>
      <c r="D12" s="460"/>
      <c r="E12" s="460"/>
      <c r="F12" s="460"/>
      <c r="G12" s="111"/>
    </row>
    <row r="13" spans="1:7" ht="15" customHeight="1">
      <c r="A13" s="470" t="s">
        <v>138</v>
      </c>
      <c r="B13" s="470"/>
      <c r="C13" s="459" t="s">
        <v>996</v>
      </c>
      <c r="D13" s="459"/>
      <c r="E13" s="459"/>
      <c r="F13" s="459"/>
      <c r="G13" s="111"/>
    </row>
    <row r="14" spans="1:7">
      <c r="A14" s="471" t="s">
        <v>139</v>
      </c>
      <c r="B14" s="471"/>
      <c r="C14" s="438">
        <v>43564</v>
      </c>
      <c r="D14" s="438"/>
      <c r="E14" s="438"/>
      <c r="F14" s="438"/>
      <c r="G14" s="112"/>
    </row>
    <row r="15" spans="1:7">
      <c r="A15" s="110"/>
      <c r="B15" s="85"/>
      <c r="C15" s="85"/>
      <c r="D15" s="85"/>
      <c r="E15" s="85"/>
      <c r="F15" s="85"/>
      <c r="G15" s="85"/>
    </row>
    <row r="16" spans="1:7">
      <c r="A16" s="196" t="s">
        <v>115</v>
      </c>
      <c r="B16" s="197" t="s">
        <v>480</v>
      </c>
      <c r="C16" s="85"/>
      <c r="D16" s="85"/>
      <c r="E16" s="85"/>
      <c r="F16" s="85"/>
      <c r="G16" s="85"/>
    </row>
    <row r="17" spans="1:16" s="114" customFormat="1" ht="62.25" customHeight="1">
      <c r="A17" s="291" t="s">
        <v>287</v>
      </c>
      <c r="B17" s="291" t="s">
        <v>288</v>
      </c>
      <c r="C17" s="291" t="s">
        <v>222</v>
      </c>
      <c r="D17" s="291" t="s">
        <v>595</v>
      </c>
      <c r="E17" s="291" t="s">
        <v>289</v>
      </c>
      <c r="F17" s="291" t="s">
        <v>290</v>
      </c>
      <c r="G17" s="292" t="s">
        <v>291</v>
      </c>
      <c r="H17" s="142"/>
      <c r="I17" s="142"/>
    </row>
    <row r="18" spans="1:16" s="114" customFormat="1" ht="32.25" customHeight="1">
      <c r="A18" s="293" t="s">
        <v>43</v>
      </c>
      <c r="B18" s="294" t="s">
        <v>292</v>
      </c>
      <c r="C18" s="293">
        <v>2246</v>
      </c>
      <c r="D18" s="295"/>
      <c r="E18" s="295"/>
      <c r="F18" s="295"/>
      <c r="G18" s="296"/>
      <c r="H18" s="143"/>
      <c r="I18" s="40"/>
    </row>
    <row r="19" spans="1:16" s="114" customFormat="1" ht="16.5" customHeight="1">
      <c r="A19" s="297">
        <v>1</v>
      </c>
      <c r="B19" s="366" t="s">
        <v>833</v>
      </c>
      <c r="C19" s="367" t="s">
        <v>774</v>
      </c>
      <c r="D19" s="368">
        <v>673460</v>
      </c>
      <c r="E19" s="368">
        <v>99500</v>
      </c>
      <c r="F19" s="368">
        <v>67009270000</v>
      </c>
      <c r="G19" s="369">
        <v>6.1225109031685501E-2</v>
      </c>
      <c r="H19" s="254"/>
      <c r="I19" s="236"/>
      <c r="J19" s="236"/>
      <c r="K19" s="345"/>
      <c r="L19" s="236"/>
      <c r="M19" s="236"/>
      <c r="N19" s="236"/>
      <c r="O19" s="236"/>
    </row>
    <row r="20" spans="1:16" s="114" customFormat="1" ht="16.5" customHeight="1">
      <c r="A20" s="297">
        <v>2</v>
      </c>
      <c r="B20" s="366" t="s">
        <v>970</v>
      </c>
      <c r="C20" s="367" t="s">
        <v>775</v>
      </c>
      <c r="D20" s="368">
        <v>1670880</v>
      </c>
      <c r="E20" s="368">
        <v>25600</v>
      </c>
      <c r="F20" s="368">
        <v>42774528000</v>
      </c>
      <c r="G20" s="369">
        <v>3.9082281310912424E-2</v>
      </c>
      <c r="H20" s="254"/>
      <c r="I20" s="236"/>
      <c r="J20" s="236"/>
      <c r="K20" s="345"/>
      <c r="L20" s="236"/>
      <c r="M20" s="236"/>
      <c r="N20" s="236"/>
      <c r="O20" s="236"/>
    </row>
    <row r="21" spans="1:16" s="114" customFormat="1" ht="16.5" customHeight="1">
      <c r="A21" s="297">
        <v>3</v>
      </c>
      <c r="B21" s="366" t="s">
        <v>872</v>
      </c>
      <c r="C21" s="367" t="s">
        <v>776</v>
      </c>
      <c r="D21" s="368">
        <v>780463</v>
      </c>
      <c r="E21" s="368">
        <v>20200</v>
      </c>
      <c r="F21" s="368">
        <v>15765352600</v>
      </c>
      <c r="G21" s="369">
        <v>1.44045060013035E-2</v>
      </c>
      <c r="H21" s="254"/>
      <c r="I21" s="236"/>
      <c r="J21" s="236"/>
      <c r="K21" s="345"/>
      <c r="L21" s="236"/>
      <c r="M21" s="236"/>
      <c r="N21" s="236"/>
      <c r="O21" s="236"/>
    </row>
    <row r="22" spans="1:16" s="114" customFormat="1" ht="16.5" customHeight="1">
      <c r="A22" s="297">
        <v>4</v>
      </c>
      <c r="B22" s="366" t="s">
        <v>881</v>
      </c>
      <c r="C22" s="367" t="s">
        <v>777</v>
      </c>
      <c r="D22" s="368">
        <v>1237790</v>
      </c>
      <c r="E22" s="368">
        <v>35800</v>
      </c>
      <c r="F22" s="368">
        <v>44312882000</v>
      </c>
      <c r="G22" s="369">
        <v>4.0487846412268241E-2</v>
      </c>
      <c r="H22" s="254"/>
      <c r="I22" s="236"/>
      <c r="J22" s="236"/>
      <c r="K22" s="345"/>
      <c r="L22" s="236"/>
      <c r="M22" s="236"/>
      <c r="N22" s="236"/>
      <c r="O22" s="236"/>
    </row>
    <row r="23" spans="1:16" s="114" customFormat="1" ht="16.5" customHeight="1">
      <c r="A23" s="297">
        <v>5</v>
      </c>
      <c r="B23" s="366" t="s">
        <v>874</v>
      </c>
      <c r="C23" s="367" t="s">
        <v>778</v>
      </c>
      <c r="D23" s="368">
        <v>131400</v>
      </c>
      <c r="E23" s="368">
        <v>84700</v>
      </c>
      <c r="F23" s="368">
        <v>11129580000</v>
      </c>
      <c r="G23" s="369">
        <v>1.0168887811744052E-2</v>
      </c>
      <c r="H23" s="254"/>
      <c r="I23" s="236"/>
      <c r="J23" s="236"/>
      <c r="K23" s="345"/>
      <c r="L23" s="236"/>
      <c r="M23" s="236"/>
      <c r="N23" s="236"/>
      <c r="O23" s="236"/>
    </row>
    <row r="24" spans="1:16" s="114" customFormat="1" ht="16.5" customHeight="1">
      <c r="A24" s="297">
        <v>6</v>
      </c>
      <c r="B24" s="366" t="s">
        <v>832</v>
      </c>
      <c r="C24" s="367" t="s">
        <v>779</v>
      </c>
      <c r="D24" s="368">
        <v>1058010</v>
      </c>
      <c r="E24" s="368">
        <v>84800</v>
      </c>
      <c r="F24" s="368">
        <v>89719248000</v>
      </c>
      <c r="G24" s="369">
        <v>8.1974788578368804E-2</v>
      </c>
      <c r="H24" s="254"/>
      <c r="I24" s="236"/>
      <c r="J24" s="236"/>
      <c r="K24" s="345"/>
      <c r="L24" s="236"/>
      <c r="M24" s="236"/>
      <c r="N24" s="236"/>
      <c r="O24" s="236"/>
    </row>
    <row r="25" spans="1:16" s="114" customFormat="1" ht="16.5" customHeight="1">
      <c r="A25" s="297">
        <v>7</v>
      </c>
      <c r="B25" s="366" t="s">
        <v>876</v>
      </c>
      <c r="C25" s="367" t="s">
        <v>780</v>
      </c>
      <c r="D25" s="368">
        <v>70450</v>
      </c>
      <c r="E25" s="368">
        <v>143400</v>
      </c>
      <c r="F25" s="368">
        <v>10102530000</v>
      </c>
      <c r="G25" s="369">
        <v>9.2304915535697338E-3</v>
      </c>
      <c r="H25" s="254"/>
      <c r="I25" s="236"/>
      <c r="J25" s="236"/>
      <c r="K25" s="345"/>
      <c r="L25" s="236"/>
      <c r="M25" s="236"/>
      <c r="N25" s="236"/>
      <c r="O25" s="236"/>
    </row>
    <row r="26" spans="1:16" s="114" customFormat="1" ht="16.5" customHeight="1">
      <c r="A26" s="297">
        <v>8</v>
      </c>
      <c r="B26" s="366" t="s">
        <v>834</v>
      </c>
      <c r="C26" s="367" t="s">
        <v>781</v>
      </c>
      <c r="D26" s="368">
        <v>61520</v>
      </c>
      <c r="E26" s="368">
        <v>249700</v>
      </c>
      <c r="F26" s="368">
        <v>15361544000</v>
      </c>
      <c r="G26" s="369">
        <v>1.403555368227462E-2</v>
      </c>
      <c r="H26" s="254"/>
      <c r="I26" s="236"/>
      <c r="J26" s="236"/>
      <c r="K26" s="345"/>
      <c r="L26" s="236"/>
      <c r="M26" s="236"/>
      <c r="N26" s="236"/>
      <c r="O26" s="236"/>
    </row>
    <row r="27" spans="1:16" s="114" customFormat="1" ht="16.5" customHeight="1">
      <c r="A27" s="297">
        <v>9</v>
      </c>
      <c r="B27" s="366" t="s">
        <v>883</v>
      </c>
      <c r="C27" s="367" t="s">
        <v>782</v>
      </c>
      <c r="D27" s="368">
        <v>399900</v>
      </c>
      <c r="E27" s="368">
        <v>22300</v>
      </c>
      <c r="F27" s="368">
        <v>8917770000</v>
      </c>
      <c r="G27" s="369">
        <v>8.1479986361512966E-3</v>
      </c>
      <c r="H27" s="254"/>
      <c r="I27" s="236"/>
      <c r="J27" s="236"/>
      <c r="K27" s="345"/>
      <c r="L27" s="236"/>
      <c r="M27" s="236"/>
      <c r="N27" s="236"/>
      <c r="O27" s="236"/>
    </row>
    <row r="28" spans="1:16" s="114" customFormat="1" ht="16.5" customHeight="1">
      <c r="A28" s="297">
        <v>10</v>
      </c>
      <c r="B28" s="366" t="s">
        <v>985</v>
      </c>
      <c r="C28" s="367" t="s">
        <v>783</v>
      </c>
      <c r="D28" s="368">
        <v>52200</v>
      </c>
      <c r="E28" s="368">
        <v>198000</v>
      </c>
      <c r="F28" s="368">
        <v>10335600000</v>
      </c>
      <c r="G28" s="369">
        <v>9.4434432267041374E-3</v>
      </c>
      <c r="H28" s="254"/>
      <c r="I28" s="236"/>
      <c r="J28" s="236"/>
      <c r="K28" s="345"/>
      <c r="L28" s="236"/>
      <c r="M28" s="236"/>
      <c r="N28" s="236"/>
      <c r="O28" s="236"/>
    </row>
    <row r="29" spans="1:16" s="114" customFormat="1" ht="16.5" customHeight="1">
      <c r="A29" s="297">
        <v>11</v>
      </c>
      <c r="B29" s="366" t="s">
        <v>831</v>
      </c>
      <c r="C29" s="367" t="s">
        <v>784</v>
      </c>
      <c r="D29" s="368">
        <v>660901</v>
      </c>
      <c r="E29" s="368">
        <v>31700</v>
      </c>
      <c r="F29" s="368">
        <v>20950561700</v>
      </c>
      <c r="G29" s="369">
        <v>1.9142133981724534E-2</v>
      </c>
      <c r="H29" s="254"/>
      <c r="I29" s="236"/>
      <c r="J29" s="236"/>
      <c r="K29" s="345"/>
      <c r="L29" s="236"/>
      <c r="M29" s="236"/>
      <c r="N29" s="236"/>
      <c r="O29" s="236"/>
    </row>
    <row r="30" spans="1:16" s="114" customFormat="1" ht="16.5" customHeight="1">
      <c r="A30" s="297">
        <v>12</v>
      </c>
      <c r="B30" s="366" t="s">
        <v>826</v>
      </c>
      <c r="C30" s="367" t="s">
        <v>785</v>
      </c>
      <c r="D30" s="368">
        <v>1445652</v>
      </c>
      <c r="E30" s="368">
        <v>30300</v>
      </c>
      <c r="F30" s="368">
        <v>43803255600</v>
      </c>
      <c r="G30" s="369">
        <v>4.0022210360637994E-2</v>
      </c>
      <c r="H30" s="254"/>
      <c r="I30" s="236"/>
      <c r="J30" s="236"/>
      <c r="K30" s="345"/>
      <c r="L30" s="236"/>
      <c r="M30" s="236"/>
      <c r="N30" s="236"/>
      <c r="O30" s="236"/>
      <c r="P30" s="345"/>
    </row>
    <row r="31" spans="1:16" s="114" customFormat="1" ht="16.5" customHeight="1">
      <c r="A31" s="297">
        <v>13</v>
      </c>
      <c r="B31" s="366" t="s">
        <v>827</v>
      </c>
      <c r="C31" s="367" t="s">
        <v>786</v>
      </c>
      <c r="D31" s="368">
        <v>624500</v>
      </c>
      <c r="E31" s="368">
        <v>22450</v>
      </c>
      <c r="F31" s="368">
        <v>14020025000</v>
      </c>
      <c r="G31" s="369">
        <v>1.2809833016416333E-2</v>
      </c>
      <c r="H31" s="254"/>
      <c r="I31" s="236"/>
      <c r="J31" s="236"/>
      <c r="K31" s="345"/>
      <c r="L31" s="236"/>
      <c r="M31" s="236"/>
      <c r="N31" s="236"/>
      <c r="O31" s="236"/>
    </row>
    <row r="32" spans="1:16" s="114" customFormat="1" ht="16.5" customHeight="1">
      <c r="A32" s="297">
        <v>14</v>
      </c>
      <c r="B32" s="366" t="s">
        <v>870</v>
      </c>
      <c r="C32" s="367" t="s">
        <v>787</v>
      </c>
      <c r="D32" s="368">
        <v>1714134</v>
      </c>
      <c r="E32" s="368">
        <v>22400</v>
      </c>
      <c r="F32" s="368">
        <v>38396601600</v>
      </c>
      <c r="G32" s="369">
        <v>3.5082252342193698E-2</v>
      </c>
      <c r="H32" s="254"/>
      <c r="I32" s="236"/>
      <c r="J32" s="236"/>
      <c r="K32" s="345"/>
      <c r="L32" s="236"/>
      <c r="M32" s="236"/>
      <c r="N32" s="236"/>
      <c r="O32" s="236"/>
    </row>
    <row r="33" spans="1:15" s="114" customFormat="1" ht="16.5" customHeight="1">
      <c r="A33" s="297">
        <v>15</v>
      </c>
      <c r="B33" s="366" t="s">
        <v>835</v>
      </c>
      <c r="C33" s="367" t="s">
        <v>788</v>
      </c>
      <c r="D33" s="368">
        <v>754495</v>
      </c>
      <c r="E33" s="368">
        <v>67300</v>
      </c>
      <c r="F33" s="368">
        <v>50777513500</v>
      </c>
      <c r="G33" s="369">
        <v>4.6394458563649217E-2</v>
      </c>
      <c r="H33" s="254"/>
      <c r="I33" s="236"/>
      <c r="J33" s="236"/>
      <c r="K33" s="345"/>
      <c r="L33" s="236"/>
      <c r="M33" s="236"/>
      <c r="N33" s="236"/>
      <c r="O33" s="236"/>
    </row>
    <row r="34" spans="1:15" s="114" customFormat="1" ht="16.5" customHeight="1">
      <c r="A34" s="297">
        <v>16</v>
      </c>
      <c r="B34" s="366" t="s">
        <v>968</v>
      </c>
      <c r="C34" s="367" t="s">
        <v>789</v>
      </c>
      <c r="D34" s="368">
        <v>253920</v>
      </c>
      <c r="E34" s="368">
        <v>37800</v>
      </c>
      <c r="F34" s="368">
        <v>9598176000</v>
      </c>
      <c r="G34" s="369">
        <v>8.7696727946044942E-3</v>
      </c>
      <c r="H34" s="254"/>
      <c r="I34" s="236"/>
      <c r="J34" s="236"/>
      <c r="K34" s="345"/>
      <c r="L34" s="236"/>
      <c r="M34" s="236"/>
      <c r="N34" s="236"/>
      <c r="O34" s="236"/>
    </row>
    <row r="35" spans="1:15" s="114" customFormat="1" ht="16.5" customHeight="1">
      <c r="A35" s="297">
        <v>17</v>
      </c>
      <c r="B35" s="366" t="s">
        <v>877</v>
      </c>
      <c r="C35" s="367" t="s">
        <v>790</v>
      </c>
      <c r="D35" s="368">
        <v>358313</v>
      </c>
      <c r="E35" s="368">
        <v>115900</v>
      </c>
      <c r="F35" s="368">
        <v>41528476700</v>
      </c>
      <c r="G35" s="369">
        <v>3.794378768605166E-2</v>
      </c>
      <c r="H35" s="254"/>
      <c r="I35" s="236"/>
      <c r="J35" s="236"/>
      <c r="K35" s="345"/>
      <c r="L35" s="236"/>
      <c r="M35" s="236"/>
      <c r="N35" s="236"/>
      <c r="O35" s="236"/>
    </row>
    <row r="36" spans="1:15" s="114" customFormat="1" ht="16.5" customHeight="1">
      <c r="A36" s="297">
        <v>18</v>
      </c>
      <c r="B36" s="366" t="s">
        <v>871</v>
      </c>
      <c r="C36" s="367" t="s">
        <v>791</v>
      </c>
      <c r="D36" s="368">
        <v>113700</v>
      </c>
      <c r="E36" s="368">
        <v>59400</v>
      </c>
      <c r="F36" s="368">
        <v>6753780000</v>
      </c>
      <c r="G36" s="369">
        <v>6.170801694691151E-3</v>
      </c>
      <c r="H36" s="254"/>
      <c r="I36" s="236"/>
      <c r="J36" s="236"/>
      <c r="K36" s="345"/>
      <c r="L36" s="236"/>
      <c r="M36" s="236"/>
      <c r="N36" s="236"/>
      <c r="O36" s="236"/>
    </row>
    <row r="37" spans="1:15" s="114" customFormat="1" ht="16.5" customHeight="1">
      <c r="A37" s="297">
        <v>19</v>
      </c>
      <c r="B37" s="366" t="s">
        <v>829</v>
      </c>
      <c r="C37" s="367" t="s">
        <v>792</v>
      </c>
      <c r="D37" s="368">
        <v>260440</v>
      </c>
      <c r="E37" s="368">
        <v>98200</v>
      </c>
      <c r="F37" s="368">
        <v>25575208000</v>
      </c>
      <c r="G37" s="369">
        <v>2.3367586280346516E-2</v>
      </c>
      <c r="H37" s="254"/>
      <c r="I37" s="236"/>
      <c r="J37" s="236"/>
      <c r="K37" s="345"/>
      <c r="L37" s="236"/>
      <c r="M37" s="236"/>
      <c r="N37" s="236"/>
      <c r="O37" s="236"/>
    </row>
    <row r="38" spans="1:15" s="114" customFormat="1" ht="16.5" customHeight="1">
      <c r="A38" s="297">
        <v>20</v>
      </c>
      <c r="B38" s="366" t="s">
        <v>879</v>
      </c>
      <c r="C38" s="367" t="s">
        <v>793</v>
      </c>
      <c r="D38" s="368">
        <v>352570</v>
      </c>
      <c r="E38" s="368">
        <v>27200</v>
      </c>
      <c r="F38" s="368">
        <v>9589904000</v>
      </c>
      <c r="G38" s="369">
        <v>8.762114823865368E-3</v>
      </c>
      <c r="H38" s="254"/>
      <c r="I38" s="236"/>
      <c r="J38" s="236"/>
      <c r="K38" s="345"/>
      <c r="L38" s="236"/>
      <c r="M38" s="236"/>
      <c r="N38" s="236"/>
      <c r="O38" s="236"/>
    </row>
    <row r="39" spans="1:15" s="114" customFormat="1" ht="16.5" customHeight="1">
      <c r="A39" s="297">
        <v>21</v>
      </c>
      <c r="B39" s="366" t="s">
        <v>1002</v>
      </c>
      <c r="C39" s="367" t="s">
        <v>838</v>
      </c>
      <c r="D39" s="368">
        <v>114600</v>
      </c>
      <c r="E39" s="368">
        <v>95000</v>
      </c>
      <c r="F39" s="368">
        <v>10887000000</v>
      </c>
      <c r="G39" s="369">
        <v>9.9472470305669667E-3</v>
      </c>
      <c r="H39" s="254"/>
      <c r="I39" s="236"/>
      <c r="J39" s="236"/>
      <c r="K39" s="345"/>
      <c r="L39" s="236"/>
      <c r="M39" s="236"/>
      <c r="N39" s="236"/>
      <c r="O39" s="236"/>
    </row>
    <row r="40" spans="1:15" s="114" customFormat="1" ht="16.5" customHeight="1">
      <c r="A40" s="297">
        <v>22</v>
      </c>
      <c r="B40" s="366" t="s">
        <v>984</v>
      </c>
      <c r="C40" s="367" t="s">
        <v>839</v>
      </c>
      <c r="D40" s="368">
        <v>378700</v>
      </c>
      <c r="E40" s="368">
        <v>15150</v>
      </c>
      <c r="F40" s="368">
        <v>5737305000</v>
      </c>
      <c r="G40" s="369">
        <v>5.2420676150185547E-3</v>
      </c>
      <c r="H40" s="254"/>
      <c r="I40" s="236"/>
      <c r="J40" s="236"/>
      <c r="K40" s="345"/>
      <c r="L40" s="236"/>
      <c r="M40" s="236"/>
      <c r="N40" s="236"/>
      <c r="O40" s="236"/>
    </row>
    <row r="41" spans="1:15" s="114" customFormat="1" ht="16.5" customHeight="1">
      <c r="A41" s="297">
        <v>23</v>
      </c>
      <c r="B41" s="366" t="s">
        <v>875</v>
      </c>
      <c r="C41" s="367" t="s">
        <v>840</v>
      </c>
      <c r="D41" s="368">
        <v>245160</v>
      </c>
      <c r="E41" s="368">
        <v>84300</v>
      </c>
      <c r="F41" s="368">
        <v>20666988000</v>
      </c>
      <c r="G41" s="369">
        <v>1.8883038028268864E-2</v>
      </c>
      <c r="H41" s="254"/>
      <c r="I41" s="236"/>
      <c r="J41" s="236"/>
      <c r="K41" s="345"/>
      <c r="L41" s="236"/>
      <c r="M41" s="236"/>
      <c r="N41" s="236"/>
      <c r="O41" s="236"/>
    </row>
    <row r="42" spans="1:15" s="114" customFormat="1" ht="16.5" customHeight="1">
      <c r="A42" s="297">
        <v>24</v>
      </c>
      <c r="B42" s="366" t="s">
        <v>837</v>
      </c>
      <c r="C42" s="367" t="s">
        <v>841</v>
      </c>
      <c r="D42" s="368">
        <v>270863</v>
      </c>
      <c r="E42" s="368">
        <v>134800</v>
      </c>
      <c r="F42" s="368">
        <v>36512332400</v>
      </c>
      <c r="G42" s="369">
        <v>3.3360631031962344E-2</v>
      </c>
      <c r="H42" s="254"/>
      <c r="I42" s="236"/>
      <c r="J42" s="236"/>
      <c r="K42" s="345"/>
      <c r="L42" s="236"/>
      <c r="M42" s="236"/>
      <c r="N42" s="236"/>
      <c r="O42" s="236"/>
    </row>
    <row r="43" spans="1:15" s="114" customFormat="1" ht="16.5" customHeight="1">
      <c r="A43" s="297">
        <v>25</v>
      </c>
      <c r="B43" s="366" t="s">
        <v>885</v>
      </c>
      <c r="C43" s="367" t="s">
        <v>842</v>
      </c>
      <c r="D43" s="368">
        <v>145975</v>
      </c>
      <c r="E43" s="368">
        <v>27500</v>
      </c>
      <c r="F43" s="368">
        <v>4014312500</v>
      </c>
      <c r="G43" s="369">
        <v>3.6678017907038536E-3</v>
      </c>
      <c r="H43" s="254"/>
      <c r="I43" s="236"/>
      <c r="J43" s="236"/>
      <c r="K43" s="345"/>
      <c r="L43" s="236"/>
      <c r="M43" s="236"/>
      <c r="N43" s="236"/>
      <c r="O43" s="236"/>
    </row>
    <row r="44" spans="1:15" s="114" customFormat="1" ht="16.5" customHeight="1">
      <c r="A44" s="297">
        <v>26</v>
      </c>
      <c r="B44" s="366" t="s">
        <v>969</v>
      </c>
      <c r="C44" s="367" t="s">
        <v>843</v>
      </c>
      <c r="D44" s="368">
        <v>634350</v>
      </c>
      <c r="E44" s="368">
        <v>91500</v>
      </c>
      <c r="F44" s="368">
        <v>58043025000</v>
      </c>
      <c r="G44" s="369">
        <v>5.303281970022726E-2</v>
      </c>
      <c r="H44" s="254"/>
      <c r="I44" s="236"/>
      <c r="J44" s="236"/>
      <c r="K44" s="345"/>
      <c r="L44" s="236"/>
      <c r="M44" s="236"/>
      <c r="N44" s="236"/>
      <c r="O44" s="236"/>
    </row>
    <row r="45" spans="1:15" s="114" customFormat="1" ht="16.5" customHeight="1">
      <c r="A45" s="297">
        <v>27</v>
      </c>
      <c r="B45" s="366" t="s">
        <v>1003</v>
      </c>
      <c r="C45" s="367" t="s">
        <v>878</v>
      </c>
      <c r="D45" s="368">
        <v>354270</v>
      </c>
      <c r="E45" s="368">
        <v>34600</v>
      </c>
      <c r="F45" s="368">
        <v>12257742000</v>
      </c>
      <c r="G45" s="369">
        <v>1.1199668201612565E-2</v>
      </c>
      <c r="H45" s="254"/>
      <c r="I45" s="236"/>
      <c r="J45" s="236"/>
      <c r="K45" s="345"/>
      <c r="L45" s="236"/>
      <c r="M45" s="236"/>
      <c r="N45" s="236"/>
      <c r="O45" s="236"/>
    </row>
    <row r="46" spans="1:15" s="114" customFormat="1" ht="16.5" customHeight="1">
      <c r="A46" s="297">
        <v>28</v>
      </c>
      <c r="B46" s="366" t="s">
        <v>836</v>
      </c>
      <c r="C46" s="367" t="s">
        <v>880</v>
      </c>
      <c r="D46" s="368">
        <v>105431</v>
      </c>
      <c r="E46" s="368">
        <v>116500</v>
      </c>
      <c r="F46" s="368">
        <v>12282711500</v>
      </c>
      <c r="G46" s="369">
        <v>1.1222482363891405E-2</v>
      </c>
      <c r="H46" s="254"/>
      <c r="I46" s="236"/>
      <c r="J46" s="236"/>
      <c r="K46" s="345"/>
      <c r="L46" s="236"/>
      <c r="M46" s="236"/>
      <c r="N46" s="236"/>
      <c r="O46" s="236"/>
    </row>
    <row r="47" spans="1:15" s="114" customFormat="1" ht="16.5" customHeight="1">
      <c r="A47" s="297">
        <v>29</v>
      </c>
      <c r="B47" s="366" t="s">
        <v>873</v>
      </c>
      <c r="C47" s="367" t="s">
        <v>882</v>
      </c>
      <c r="D47" s="368">
        <v>167905</v>
      </c>
      <c r="E47" s="368">
        <v>58000</v>
      </c>
      <c r="F47" s="368">
        <v>9738490000</v>
      </c>
      <c r="G47" s="369">
        <v>8.8978750560031322E-3</v>
      </c>
      <c r="H47" s="254"/>
      <c r="I47" s="236"/>
      <c r="J47" s="236"/>
      <c r="K47" s="345"/>
      <c r="L47" s="236"/>
      <c r="M47" s="236"/>
      <c r="N47" s="236"/>
      <c r="O47" s="236"/>
    </row>
    <row r="48" spans="1:15" s="114" customFormat="1" ht="16.5" customHeight="1">
      <c r="A48" s="297">
        <v>30</v>
      </c>
      <c r="B48" s="366" t="s">
        <v>830</v>
      </c>
      <c r="C48" s="367" t="s">
        <v>884</v>
      </c>
      <c r="D48" s="368">
        <v>1602358</v>
      </c>
      <c r="E48" s="368">
        <v>32200</v>
      </c>
      <c r="F48" s="368">
        <v>51595927600</v>
      </c>
      <c r="G48" s="369">
        <v>4.7142228126063029E-2</v>
      </c>
      <c r="H48" s="254"/>
      <c r="I48" s="236"/>
      <c r="J48" s="236"/>
      <c r="K48" s="345"/>
      <c r="L48" s="236"/>
      <c r="M48" s="236"/>
      <c r="N48" s="236"/>
      <c r="O48" s="236"/>
    </row>
    <row r="49" spans="1:15" s="114" customFormat="1" ht="16.5" customHeight="1">
      <c r="A49" s="297">
        <v>31</v>
      </c>
      <c r="B49" s="366" t="s">
        <v>828</v>
      </c>
      <c r="C49" s="367" t="s">
        <v>1004</v>
      </c>
      <c r="D49" s="368">
        <v>1264493</v>
      </c>
      <c r="E49" s="368">
        <v>45500</v>
      </c>
      <c r="F49" s="368">
        <v>57534431500</v>
      </c>
      <c r="G49" s="369">
        <v>5.2568127389890099E-2</v>
      </c>
      <c r="H49" s="254"/>
      <c r="I49" s="236"/>
      <c r="J49" s="236"/>
      <c r="K49" s="345"/>
      <c r="L49" s="236"/>
      <c r="M49" s="236"/>
      <c r="N49" s="236"/>
      <c r="O49" s="236"/>
    </row>
    <row r="50" spans="1:15" s="114" customFormat="1" ht="16.5" customHeight="1">
      <c r="A50" s="297">
        <v>32</v>
      </c>
      <c r="B50" s="366" t="s">
        <v>983</v>
      </c>
      <c r="C50" s="367" t="s">
        <v>1005</v>
      </c>
      <c r="D50" s="368">
        <v>1008000</v>
      </c>
      <c r="E50" s="368">
        <v>14700</v>
      </c>
      <c r="F50" s="368">
        <v>14817600000</v>
      </c>
      <c r="G50" s="369">
        <v>1.3538562285306244E-2</v>
      </c>
      <c r="H50" s="254"/>
      <c r="I50" s="236"/>
      <c r="J50" s="236"/>
      <c r="K50" s="345"/>
      <c r="L50" s="236"/>
      <c r="M50" s="236"/>
      <c r="N50" s="236"/>
      <c r="O50" s="236"/>
    </row>
    <row r="51" spans="1:15" s="114" customFormat="1" ht="26.4">
      <c r="A51" s="300"/>
      <c r="B51" s="301" t="s">
        <v>293</v>
      </c>
      <c r="C51" s="370" t="s">
        <v>886</v>
      </c>
      <c r="D51" s="302"/>
      <c r="E51" s="302"/>
      <c r="F51" s="302">
        <v>870509672200</v>
      </c>
      <c r="G51" s="304">
        <v>0.79536830640867751</v>
      </c>
      <c r="H51" s="254"/>
      <c r="I51" s="236"/>
      <c r="J51" s="236"/>
      <c r="K51" s="236"/>
      <c r="L51" s="236"/>
      <c r="M51" s="236"/>
    </row>
    <row r="52" spans="1:15" s="114" customFormat="1" ht="26.7" customHeight="1">
      <c r="A52" s="293" t="s">
        <v>49</v>
      </c>
      <c r="B52" s="294" t="s">
        <v>294</v>
      </c>
      <c r="C52" s="371">
        <v>2248</v>
      </c>
      <c r="D52" s="295"/>
      <c r="E52" s="295"/>
      <c r="F52" s="295"/>
      <c r="G52" s="303"/>
      <c r="H52" s="113"/>
      <c r="K52" s="236"/>
      <c r="L52" s="236"/>
      <c r="M52" s="236"/>
    </row>
    <row r="53" spans="1:15" s="114" customFormat="1" ht="32.25" customHeight="1">
      <c r="A53" s="300"/>
      <c r="B53" s="301" t="s">
        <v>293</v>
      </c>
      <c r="C53" s="300">
        <v>2249</v>
      </c>
      <c r="D53" s="302">
        <v>0</v>
      </c>
      <c r="E53" s="302"/>
      <c r="F53" s="302">
        <v>0</v>
      </c>
      <c r="G53" s="304">
        <v>0</v>
      </c>
      <c r="H53" s="113"/>
    </row>
    <row r="54" spans="1:15" s="114" customFormat="1" ht="32.25" customHeight="1">
      <c r="A54" s="305"/>
      <c r="B54" s="306" t="s">
        <v>295</v>
      </c>
      <c r="C54" s="305">
        <v>2250</v>
      </c>
      <c r="D54" s="307"/>
      <c r="E54" s="307"/>
      <c r="F54" s="307">
        <v>870509672200</v>
      </c>
      <c r="G54" s="308">
        <v>0.79536830640867751</v>
      </c>
      <c r="H54" s="113"/>
    </row>
    <row r="55" spans="1:15" s="114" customFormat="1" ht="32.25" customHeight="1">
      <c r="A55" s="293" t="s">
        <v>115</v>
      </c>
      <c r="B55" s="294" t="s">
        <v>296</v>
      </c>
      <c r="C55" s="293">
        <v>2251</v>
      </c>
      <c r="D55" s="295"/>
      <c r="E55" s="295"/>
      <c r="F55" s="295"/>
      <c r="G55" s="309"/>
      <c r="H55" s="113"/>
    </row>
    <row r="56" spans="1:15" s="114" customFormat="1" ht="25.5" customHeight="1">
      <c r="A56" s="414">
        <v>1</v>
      </c>
      <c r="B56" s="314" t="s">
        <v>1007</v>
      </c>
      <c r="C56" s="414">
        <v>2251.1</v>
      </c>
      <c r="D56" s="319">
        <v>300000</v>
      </c>
      <c r="E56" s="319">
        <v>100491</v>
      </c>
      <c r="F56" s="298">
        <v>30147300000</v>
      </c>
      <c r="G56" s="369">
        <v>2.7545020704015016E-2</v>
      </c>
      <c r="H56" s="113"/>
    </row>
    <row r="57" spans="1:15" s="114" customFormat="1" ht="40.5" customHeight="1">
      <c r="A57" s="414">
        <v>2</v>
      </c>
      <c r="B57" s="430" t="s">
        <v>1006</v>
      </c>
      <c r="C57" s="414">
        <v>2251.1999999999998</v>
      </c>
      <c r="D57" s="319">
        <v>500000</v>
      </c>
      <c r="E57" s="319">
        <v>100000</v>
      </c>
      <c r="F57" s="298">
        <v>50000000000</v>
      </c>
      <c r="G57" s="369">
        <v>4.5684059109795928E-2</v>
      </c>
      <c r="H57" s="113"/>
    </row>
    <row r="58" spans="1:15" s="114" customFormat="1" ht="32.25" customHeight="1">
      <c r="A58" s="300"/>
      <c r="B58" s="301" t="s">
        <v>293</v>
      </c>
      <c r="C58" s="300">
        <v>2252</v>
      </c>
      <c r="D58" s="302"/>
      <c r="E58" s="302"/>
      <c r="F58" s="302">
        <v>80147300000</v>
      </c>
      <c r="G58" s="374">
        <v>7.3229079813810938E-2</v>
      </c>
      <c r="H58" s="113"/>
    </row>
    <row r="59" spans="1:15" s="114" customFormat="1" ht="32.25" customHeight="1">
      <c r="A59" s="293" t="s">
        <v>116</v>
      </c>
      <c r="B59" s="294" t="s">
        <v>297</v>
      </c>
      <c r="C59" s="293">
        <v>2253</v>
      </c>
      <c r="D59" s="295"/>
      <c r="E59" s="295"/>
      <c r="F59" s="295"/>
      <c r="G59" s="309"/>
      <c r="H59" s="113"/>
    </row>
    <row r="60" spans="1:15" s="114" customFormat="1" ht="32.25" customHeight="1">
      <c r="A60" s="297">
        <v>1</v>
      </c>
      <c r="B60" s="314" t="s">
        <v>961</v>
      </c>
      <c r="C60" s="381" t="s">
        <v>962</v>
      </c>
      <c r="D60" s="319"/>
      <c r="E60" s="319"/>
      <c r="F60" s="319"/>
      <c r="G60" s="299">
        <v>0</v>
      </c>
      <c r="H60" s="113"/>
    </row>
    <row r="61" spans="1:15" s="114" customFormat="1" ht="33.75" customHeight="1">
      <c r="A61" s="375">
        <v>2</v>
      </c>
      <c r="B61" s="314" t="s">
        <v>977</v>
      </c>
      <c r="C61" s="382" t="s">
        <v>963</v>
      </c>
      <c r="D61" s="319"/>
      <c r="E61" s="383"/>
      <c r="F61" s="319"/>
      <c r="G61" s="299">
        <v>0</v>
      </c>
      <c r="H61" s="113"/>
      <c r="J61" s="236"/>
    </row>
    <row r="62" spans="1:15" s="114" customFormat="1" ht="26.4">
      <c r="A62" s="310"/>
      <c r="B62" s="301" t="s">
        <v>293</v>
      </c>
      <c r="C62" s="310">
        <v>2254</v>
      </c>
      <c r="D62" s="302">
        <v>0</v>
      </c>
      <c r="E62" s="302"/>
      <c r="F62" s="302">
        <v>0</v>
      </c>
      <c r="G62" s="374">
        <v>0</v>
      </c>
      <c r="H62" s="113"/>
      <c r="J62" s="236"/>
    </row>
    <row r="63" spans="1:15" s="114" customFormat="1" ht="26.4">
      <c r="A63" s="293"/>
      <c r="B63" s="294" t="s">
        <v>298</v>
      </c>
      <c r="C63" s="293">
        <v>2255</v>
      </c>
      <c r="D63" s="295"/>
      <c r="E63" s="295"/>
      <c r="F63" s="311">
        <v>950656972200</v>
      </c>
      <c r="G63" s="312">
        <v>0.8685973862224885</v>
      </c>
      <c r="H63" s="344"/>
      <c r="J63" s="345"/>
      <c r="K63" s="236"/>
      <c r="L63" s="236"/>
    </row>
    <row r="64" spans="1:15" s="114" customFormat="1" ht="32.25" customHeight="1">
      <c r="A64" s="293" t="s">
        <v>119</v>
      </c>
      <c r="B64" s="294" t="s">
        <v>299</v>
      </c>
      <c r="C64" s="293">
        <v>2256</v>
      </c>
      <c r="D64" s="295"/>
      <c r="E64" s="295"/>
      <c r="F64" s="311"/>
      <c r="G64" s="313"/>
      <c r="H64" s="344"/>
      <c r="J64" s="345"/>
      <c r="K64" s="236"/>
      <c r="L64" s="236"/>
    </row>
    <row r="65" spans="1:12" s="114" customFormat="1" ht="32.25" customHeight="1">
      <c r="A65" s="297">
        <v>1</v>
      </c>
      <c r="B65" s="314" t="s">
        <v>300</v>
      </c>
      <c r="C65" s="297">
        <v>2256.1</v>
      </c>
      <c r="D65" s="298"/>
      <c r="E65" s="298"/>
      <c r="F65" s="298">
        <v>1387280000</v>
      </c>
      <c r="G65" s="369">
        <v>1.2675316304367539E-3</v>
      </c>
      <c r="H65" s="344"/>
      <c r="J65" s="345"/>
      <c r="K65" s="236"/>
      <c r="L65" s="236"/>
    </row>
    <row r="66" spans="1:12" s="114" customFormat="1" ht="26.4">
      <c r="A66" s="297">
        <v>2</v>
      </c>
      <c r="B66" s="314" t="s">
        <v>301</v>
      </c>
      <c r="C66" s="297">
        <v>2256.1999999999998</v>
      </c>
      <c r="D66" s="298"/>
      <c r="E66" s="298"/>
      <c r="F66" s="298">
        <v>2264931507</v>
      </c>
      <c r="G66" s="369">
        <v>2.0694252969085435E-3</v>
      </c>
      <c r="H66" s="344"/>
      <c r="J66" s="345"/>
      <c r="K66" s="236"/>
      <c r="L66" s="236"/>
    </row>
    <row r="67" spans="1:12" s="114" customFormat="1" ht="42" customHeight="1">
      <c r="A67" s="297">
        <v>3</v>
      </c>
      <c r="B67" s="314" t="s">
        <v>1008</v>
      </c>
      <c r="C67" s="297">
        <v>2256.3000000000002</v>
      </c>
      <c r="D67" s="298"/>
      <c r="E67" s="298"/>
      <c r="F67" s="298">
        <v>3908285673</v>
      </c>
      <c r="G67" s="369">
        <v>3.5709270740660114E-3</v>
      </c>
      <c r="H67" s="344"/>
      <c r="J67" s="345"/>
      <c r="K67" s="236"/>
      <c r="L67" s="236"/>
    </row>
    <row r="68" spans="1:12" s="114" customFormat="1" ht="32.25" customHeight="1">
      <c r="A68" s="297">
        <v>4</v>
      </c>
      <c r="B68" s="314" t="s">
        <v>302</v>
      </c>
      <c r="C68" s="297">
        <v>2256.4</v>
      </c>
      <c r="D68" s="298"/>
      <c r="E68" s="298"/>
      <c r="F68" s="298">
        <v>0</v>
      </c>
      <c r="G68" s="369">
        <v>0</v>
      </c>
      <c r="H68" s="344"/>
      <c r="J68" s="345"/>
      <c r="K68" s="236"/>
      <c r="L68" s="236"/>
    </row>
    <row r="69" spans="1:12" s="114" customFormat="1" ht="32.25" customHeight="1">
      <c r="A69" s="297">
        <v>5</v>
      </c>
      <c r="B69" s="314" t="s">
        <v>614</v>
      </c>
      <c r="C69" s="297">
        <v>2256.5</v>
      </c>
      <c r="D69" s="298"/>
      <c r="E69" s="298"/>
      <c r="F69" s="298">
        <v>0</v>
      </c>
      <c r="G69" s="369">
        <v>0</v>
      </c>
      <c r="H69" s="344"/>
      <c r="J69" s="345"/>
      <c r="K69" s="236"/>
      <c r="L69" s="236"/>
    </row>
    <row r="70" spans="1:12" s="114" customFormat="1" ht="32.25" customHeight="1">
      <c r="A70" s="297">
        <v>6</v>
      </c>
      <c r="B70" s="314" t="s">
        <v>303</v>
      </c>
      <c r="C70" s="297">
        <v>2256.6</v>
      </c>
      <c r="D70" s="298"/>
      <c r="E70" s="298"/>
      <c r="F70" s="298">
        <v>0</v>
      </c>
      <c r="G70" s="369">
        <v>0</v>
      </c>
      <c r="H70" s="344"/>
      <c r="J70" s="345"/>
      <c r="K70" s="236"/>
      <c r="L70" s="236"/>
    </row>
    <row r="71" spans="1:12" s="114" customFormat="1" ht="32.25" customHeight="1">
      <c r="A71" s="297">
        <v>7</v>
      </c>
      <c r="B71" s="314" t="s">
        <v>304</v>
      </c>
      <c r="C71" s="297">
        <v>2256.6999999999998</v>
      </c>
      <c r="D71" s="298"/>
      <c r="E71" s="298"/>
      <c r="F71" s="298">
        <v>-866400000</v>
      </c>
      <c r="G71" s="369">
        <v>-7.9161337625454394E-4</v>
      </c>
      <c r="H71" s="344"/>
      <c r="J71" s="236"/>
    </row>
    <row r="72" spans="1:12" s="114" customFormat="1" ht="32.25" customHeight="1">
      <c r="A72" s="300"/>
      <c r="B72" s="301" t="s">
        <v>293</v>
      </c>
      <c r="C72" s="300">
        <v>2257</v>
      </c>
      <c r="D72" s="302"/>
      <c r="E72" s="302"/>
      <c r="F72" s="302">
        <v>6694097180</v>
      </c>
      <c r="G72" s="304">
        <v>6.1162706251567641E-3</v>
      </c>
      <c r="H72" s="344"/>
      <c r="J72" s="236"/>
    </row>
    <row r="73" spans="1:12" s="114" customFormat="1" ht="32.25" customHeight="1">
      <c r="A73" s="315" t="s">
        <v>53</v>
      </c>
      <c r="B73" s="316" t="s">
        <v>305</v>
      </c>
      <c r="C73" s="372">
        <v>2258</v>
      </c>
      <c r="D73" s="317"/>
      <c r="E73" s="317"/>
      <c r="F73" s="317"/>
      <c r="G73" s="318"/>
      <c r="H73" s="344"/>
      <c r="J73" s="236"/>
    </row>
    <row r="74" spans="1:12" s="114" customFormat="1" ht="32.25" customHeight="1">
      <c r="A74" s="297">
        <v>1</v>
      </c>
      <c r="B74" s="314" t="s">
        <v>615</v>
      </c>
      <c r="C74" s="297">
        <v>2259</v>
      </c>
      <c r="D74" s="319"/>
      <c r="E74" s="319"/>
      <c r="F74" s="298">
        <v>57122604245</v>
      </c>
      <c r="G74" s="369">
        <v>5.2191848576681202E-2</v>
      </c>
      <c r="H74" s="344"/>
      <c r="J74" s="236"/>
    </row>
    <row r="75" spans="1:12" s="114" customFormat="1" ht="32.25" customHeight="1">
      <c r="A75" s="297"/>
      <c r="B75" s="314" t="s">
        <v>227</v>
      </c>
      <c r="C75" s="297">
        <v>2259.1</v>
      </c>
      <c r="D75" s="319"/>
      <c r="E75" s="319"/>
      <c r="F75" s="298">
        <v>17122604245</v>
      </c>
      <c r="G75" s="369">
        <v>1.5644601288844456E-2</v>
      </c>
      <c r="H75" s="344"/>
      <c r="J75" s="236"/>
    </row>
    <row r="76" spans="1:12" s="114" customFormat="1" ht="32.25" customHeight="1">
      <c r="A76" s="297"/>
      <c r="B76" s="314" t="s">
        <v>228</v>
      </c>
      <c r="C76" s="297">
        <v>2259.1999999999998</v>
      </c>
      <c r="D76" s="319"/>
      <c r="E76" s="319"/>
      <c r="F76" s="298">
        <v>40000000000</v>
      </c>
      <c r="G76" s="369">
        <v>3.6547247287836745E-2</v>
      </c>
      <c r="H76" s="344"/>
      <c r="J76" s="236"/>
    </row>
    <row r="77" spans="1:12" s="114" customFormat="1" ht="32.25" customHeight="1">
      <c r="A77" s="297"/>
      <c r="B77" s="314" t="s">
        <v>616</v>
      </c>
      <c r="C77" s="297">
        <v>2259.3000000000002</v>
      </c>
      <c r="D77" s="319"/>
      <c r="E77" s="319"/>
      <c r="F77" s="298">
        <v>0</v>
      </c>
      <c r="G77" s="369">
        <v>0</v>
      </c>
      <c r="H77" s="344"/>
      <c r="J77" s="236"/>
    </row>
    <row r="78" spans="1:12" s="114" customFormat="1" ht="32.25" customHeight="1">
      <c r="A78" s="297">
        <v>2</v>
      </c>
      <c r="B78" s="314" t="s">
        <v>306</v>
      </c>
      <c r="C78" s="297">
        <v>2260</v>
      </c>
      <c r="D78" s="298"/>
      <c r="E78" s="298"/>
      <c r="F78" s="298">
        <v>80000000000</v>
      </c>
      <c r="G78" s="369">
        <v>7.3094494575673491E-2</v>
      </c>
      <c r="H78" s="344"/>
      <c r="J78" s="236"/>
    </row>
    <row r="79" spans="1:12" s="114" customFormat="1" ht="32.25" customHeight="1">
      <c r="A79" s="297">
        <v>3</v>
      </c>
      <c r="B79" s="314" t="s">
        <v>307</v>
      </c>
      <c r="C79" s="297">
        <v>2261</v>
      </c>
      <c r="D79" s="298"/>
      <c r="E79" s="298"/>
      <c r="F79" s="298">
        <v>0</v>
      </c>
      <c r="G79" s="369">
        <v>0</v>
      </c>
      <c r="H79" s="344"/>
      <c r="J79" s="236"/>
    </row>
    <row r="80" spans="1:12" s="114" customFormat="1" ht="26.4">
      <c r="A80" s="300"/>
      <c r="B80" s="301" t="s">
        <v>293</v>
      </c>
      <c r="C80" s="310">
        <v>2262</v>
      </c>
      <c r="D80" s="302"/>
      <c r="E80" s="302"/>
      <c r="F80" s="302">
        <v>137122604245</v>
      </c>
      <c r="G80" s="304">
        <v>0.12529999999999999</v>
      </c>
      <c r="H80" s="344"/>
    </row>
    <row r="81" spans="1:8" s="114" customFormat="1" ht="29.25" customHeight="1">
      <c r="A81" s="293" t="s">
        <v>120</v>
      </c>
      <c r="B81" s="294" t="s">
        <v>308</v>
      </c>
      <c r="C81" s="373">
        <v>2263</v>
      </c>
      <c r="D81" s="311"/>
      <c r="E81" s="311"/>
      <c r="F81" s="311">
        <v>1094473673625</v>
      </c>
      <c r="G81" s="377">
        <v>1.0000136568476452</v>
      </c>
      <c r="H81" s="344"/>
    </row>
    <row r="82" spans="1:8" s="114" customFormat="1" ht="13.5" customHeight="1">
      <c r="A82" s="70"/>
      <c r="B82" s="71"/>
      <c r="C82" s="71"/>
      <c r="D82" s="71"/>
      <c r="E82" s="71"/>
      <c r="F82" s="376"/>
      <c r="G82" s="71"/>
      <c r="H82" s="344"/>
    </row>
    <row r="83" spans="1:8" s="114" customFormat="1" ht="13.2">
      <c r="A83" s="420" t="s">
        <v>966</v>
      </c>
      <c r="B83" s="89"/>
      <c r="C83" s="89"/>
      <c r="D83" s="89"/>
      <c r="E83" s="89"/>
      <c r="F83" s="89"/>
      <c r="G83" s="89"/>
      <c r="H83" s="344"/>
    </row>
    <row r="84" spans="1:8" s="114" customFormat="1" ht="12.75" customHeight="1">
      <c r="A84" s="486" t="s">
        <v>967</v>
      </c>
      <c r="B84" s="486"/>
      <c r="C84" s="486"/>
      <c r="D84" s="486"/>
      <c r="E84" s="486"/>
      <c r="F84" s="486"/>
      <c r="G84" s="486"/>
      <c r="H84" s="344"/>
    </row>
    <row r="85" spans="1:8" s="114" customFormat="1" ht="13.2">
      <c r="A85" s="70"/>
      <c r="B85" s="71"/>
      <c r="C85" s="71"/>
      <c r="D85" s="71"/>
      <c r="E85" s="71"/>
      <c r="F85" s="71"/>
      <c r="G85" s="71"/>
      <c r="H85" s="344"/>
    </row>
    <row r="86" spans="1:8" s="114" customFormat="1" ht="13.2">
      <c r="A86" s="70"/>
      <c r="B86" s="71"/>
      <c r="C86" s="71"/>
      <c r="D86" s="71"/>
      <c r="E86" s="71"/>
      <c r="F86" s="71"/>
      <c r="G86" s="71"/>
    </row>
    <row r="87" spans="1:8" s="114" customFormat="1" ht="13.2">
      <c r="A87" s="70"/>
      <c r="B87" s="71"/>
      <c r="C87" s="71"/>
      <c r="D87" s="71"/>
      <c r="E87" s="71"/>
      <c r="F87" s="71"/>
      <c r="G87" s="71"/>
    </row>
    <row r="88" spans="1:8" s="114" customFormat="1" ht="13.2">
      <c r="A88" s="87" t="s">
        <v>178</v>
      </c>
      <c r="B88" s="88"/>
      <c r="C88" s="89"/>
      <c r="D88" s="95"/>
      <c r="E88" s="90" t="s">
        <v>179</v>
      </c>
      <c r="F88" s="88"/>
      <c r="G88" s="88"/>
    </row>
    <row r="89" spans="1:8" s="114" customFormat="1" ht="13.2">
      <c r="A89" s="92" t="s">
        <v>180</v>
      </c>
      <c r="B89" s="88"/>
      <c r="C89" s="89"/>
      <c r="D89" s="95"/>
      <c r="E89" s="93" t="s">
        <v>181</v>
      </c>
      <c r="F89" s="88"/>
      <c r="G89" s="88"/>
    </row>
    <row r="90" spans="1:8" s="114" customFormat="1" ht="13.2">
      <c r="A90" s="88"/>
      <c r="B90" s="88"/>
      <c r="C90" s="89"/>
      <c r="D90" s="95"/>
      <c r="E90" s="89"/>
      <c r="F90" s="88"/>
      <c r="G90" s="88"/>
    </row>
    <row r="91" spans="1:8" s="114" customFormat="1" ht="13.2">
      <c r="A91" s="88"/>
      <c r="B91" s="88"/>
      <c r="C91" s="89"/>
      <c r="D91" s="95"/>
      <c r="E91" s="89"/>
      <c r="F91" s="88"/>
      <c r="G91" s="88"/>
    </row>
    <row r="92" spans="1:8" s="114" customFormat="1" ht="13.2">
      <c r="A92" s="88"/>
      <c r="B92" s="88"/>
      <c r="C92" s="89"/>
      <c r="D92" s="95"/>
      <c r="E92" s="89"/>
      <c r="F92" s="88"/>
      <c r="G92" s="88"/>
    </row>
    <row r="93" spans="1:8" s="114" customFormat="1" ht="13.2">
      <c r="A93" s="88"/>
      <c r="B93" s="88"/>
      <c r="C93" s="89"/>
      <c r="D93" s="95"/>
      <c r="E93" s="89"/>
      <c r="F93" s="88"/>
      <c r="G93" s="88"/>
    </row>
    <row r="94" spans="1:8" s="114" customFormat="1" ht="13.2">
      <c r="A94" s="88"/>
      <c r="B94" s="88"/>
      <c r="C94" s="89"/>
      <c r="D94" s="95"/>
      <c r="E94" s="89"/>
      <c r="F94" s="88"/>
      <c r="G94" s="88"/>
    </row>
    <row r="95" spans="1:8" s="114" customFormat="1" ht="13.2">
      <c r="A95" s="88"/>
      <c r="B95" s="88"/>
      <c r="C95" s="89"/>
      <c r="D95" s="95"/>
      <c r="E95" s="89"/>
      <c r="F95" s="88"/>
      <c r="G95" s="88"/>
    </row>
    <row r="96" spans="1:8" s="114" customFormat="1" ht="13.2">
      <c r="A96" s="88"/>
      <c r="B96" s="88"/>
      <c r="C96" s="89"/>
      <c r="D96" s="95"/>
      <c r="E96" s="89"/>
      <c r="F96" s="88"/>
      <c r="G96" s="88"/>
    </row>
    <row r="97" spans="1:7" s="114" customFormat="1" ht="13.2">
      <c r="A97" s="88"/>
      <c r="B97" s="88"/>
      <c r="C97" s="89"/>
      <c r="D97" s="95"/>
      <c r="E97" s="89"/>
      <c r="F97" s="88"/>
      <c r="G97" s="88"/>
    </row>
    <row r="98" spans="1:7" s="114" customFormat="1" ht="13.2">
      <c r="A98" s="88"/>
      <c r="B98" s="88"/>
      <c r="C98" s="89"/>
      <c r="D98" s="95"/>
      <c r="E98" s="89"/>
      <c r="F98" s="88"/>
      <c r="G98" s="88"/>
    </row>
    <row r="99" spans="1:7" s="114" customFormat="1" ht="13.2">
      <c r="A99" s="57"/>
      <c r="B99" s="57"/>
      <c r="C99" s="58"/>
      <c r="D99" s="95"/>
      <c r="E99" s="58"/>
      <c r="F99" s="57"/>
      <c r="G99" s="57"/>
    </row>
    <row r="100" spans="1:7" s="114" customFormat="1" ht="13.2">
      <c r="A100" s="87" t="s">
        <v>182</v>
      </c>
      <c r="B100" s="88"/>
      <c r="C100" s="89"/>
      <c r="D100" s="95"/>
      <c r="E100" s="90" t="s">
        <v>467</v>
      </c>
      <c r="F100" s="88"/>
      <c r="G100" s="88"/>
    </row>
    <row r="101" spans="1:7" s="114" customFormat="1" ht="13.2">
      <c r="A101" s="87" t="s">
        <v>997</v>
      </c>
      <c r="B101" s="88"/>
      <c r="C101" s="89"/>
      <c r="D101" s="95"/>
      <c r="E101" s="90" t="s">
        <v>468</v>
      </c>
      <c r="F101" s="88"/>
      <c r="G101" s="88"/>
    </row>
    <row r="102" spans="1:7">
      <c r="A102" s="88" t="s">
        <v>998</v>
      </c>
      <c r="B102" s="88"/>
      <c r="C102" s="89"/>
      <c r="D102" s="95"/>
      <c r="E102" s="89" t="s">
        <v>469</v>
      </c>
      <c r="F102" s="88"/>
      <c r="G102" s="88"/>
    </row>
    <row r="103" spans="1:7">
      <c r="A103" s="73"/>
      <c r="B103" s="95"/>
      <c r="C103" s="95"/>
      <c r="D103" s="95"/>
      <c r="E103" s="95"/>
      <c r="F103" s="95"/>
      <c r="G103" s="95"/>
    </row>
    <row r="104" spans="1:7">
      <c r="A104" s="110"/>
      <c r="B104" s="85"/>
      <c r="C104" s="85"/>
      <c r="D104" s="95"/>
      <c r="E104" s="85"/>
      <c r="F104" s="85"/>
      <c r="G104" s="85"/>
    </row>
    <row r="105" spans="1:7">
      <c r="A105" s="110"/>
      <c r="B105" s="85"/>
      <c r="C105" s="85"/>
      <c r="D105" s="85"/>
      <c r="E105" s="85"/>
      <c r="F105" s="85"/>
      <c r="G105" s="85"/>
    </row>
    <row r="106" spans="1:7">
      <c r="A106" s="110"/>
      <c r="B106" s="85"/>
      <c r="C106" s="85"/>
      <c r="D106" s="85"/>
      <c r="E106" s="85"/>
      <c r="F106" s="85"/>
      <c r="G106" s="85"/>
    </row>
    <row r="107" spans="1:7">
      <c r="A107" s="110"/>
      <c r="B107" s="85"/>
      <c r="C107" s="85"/>
      <c r="D107" s="85"/>
      <c r="E107" s="85"/>
      <c r="F107" s="85"/>
      <c r="G107" s="85"/>
    </row>
    <row r="108" spans="1:7">
      <c r="A108" s="110"/>
      <c r="B108" s="85"/>
      <c r="C108" s="85"/>
      <c r="D108" s="85"/>
      <c r="E108" s="85"/>
      <c r="F108" s="85"/>
      <c r="G108" s="85"/>
    </row>
    <row r="109" spans="1:7">
      <c r="A109" s="110"/>
      <c r="B109" s="85"/>
      <c r="C109" s="85"/>
      <c r="D109" s="85"/>
      <c r="E109" s="85"/>
      <c r="F109" s="85"/>
      <c r="G109" s="85"/>
    </row>
    <row r="110" spans="1:7">
      <c r="A110" s="110"/>
      <c r="B110" s="85"/>
      <c r="C110" s="85"/>
      <c r="D110" s="85"/>
      <c r="E110" s="85"/>
      <c r="F110" s="85"/>
      <c r="G110" s="85"/>
    </row>
    <row r="111" spans="1:7">
      <c r="A111" s="110"/>
      <c r="B111" s="85"/>
      <c r="C111" s="85"/>
      <c r="D111" s="85"/>
      <c r="E111" s="85"/>
      <c r="F111" s="85"/>
      <c r="G111" s="85"/>
    </row>
    <row r="112" spans="1:7">
      <c r="A112" s="110"/>
      <c r="B112" s="85"/>
      <c r="C112" s="85"/>
      <c r="D112" s="85"/>
      <c r="E112" s="85"/>
      <c r="F112" s="85"/>
      <c r="G112" s="85"/>
    </row>
    <row r="113" spans="1:7">
      <c r="A113" s="110"/>
      <c r="B113" s="85"/>
      <c r="C113" s="85"/>
      <c r="D113" s="85"/>
      <c r="E113" s="85"/>
      <c r="F113" s="85"/>
      <c r="G113" s="85"/>
    </row>
    <row r="114" spans="1:7">
      <c r="A114" s="110"/>
      <c r="B114" s="85"/>
      <c r="C114" s="85"/>
      <c r="D114" s="85"/>
      <c r="E114" s="85"/>
      <c r="F114" s="85"/>
      <c r="G114" s="85"/>
    </row>
    <row r="115" spans="1:7">
      <c r="A115" s="110"/>
      <c r="B115" s="85"/>
      <c r="C115" s="85"/>
      <c r="D115" s="85"/>
      <c r="E115" s="85"/>
      <c r="F115" s="85"/>
      <c r="G115" s="85"/>
    </row>
    <row r="116" spans="1:7">
      <c r="A116" s="110"/>
      <c r="B116" s="85"/>
      <c r="C116" s="85"/>
      <c r="D116" s="85"/>
      <c r="E116" s="85"/>
      <c r="F116" s="85"/>
      <c r="G116" s="85"/>
    </row>
    <row r="117" spans="1:7">
      <c r="A117" s="110"/>
      <c r="B117" s="85"/>
      <c r="C117" s="85"/>
      <c r="D117" s="85"/>
      <c r="E117" s="85"/>
      <c r="F117" s="85"/>
      <c r="G117" s="85"/>
    </row>
    <row r="118" spans="1:7">
      <c r="A118" s="110"/>
      <c r="B118" s="85"/>
      <c r="C118" s="85"/>
      <c r="D118" s="85"/>
      <c r="E118" s="85"/>
      <c r="F118" s="85"/>
      <c r="G118" s="85"/>
    </row>
    <row r="119" spans="1:7">
      <c r="A119" s="110"/>
      <c r="B119" s="85"/>
      <c r="C119" s="85"/>
      <c r="D119" s="85"/>
      <c r="E119" s="85"/>
      <c r="F119" s="85"/>
      <c r="G119" s="85"/>
    </row>
    <row r="120" spans="1:7">
      <c r="A120" s="110"/>
      <c r="B120" s="85"/>
      <c r="C120" s="85"/>
      <c r="D120" s="85"/>
      <c r="E120" s="85"/>
      <c r="F120" s="85"/>
      <c r="G120" s="85"/>
    </row>
    <row r="121" spans="1:7">
      <c r="A121" s="110"/>
      <c r="B121" s="85"/>
      <c r="C121" s="85"/>
      <c r="D121" s="85"/>
      <c r="E121" s="85"/>
      <c r="F121" s="85"/>
      <c r="G121" s="85"/>
    </row>
    <row r="122" spans="1:7">
      <c r="A122" s="110"/>
      <c r="B122" s="85"/>
      <c r="C122" s="85"/>
      <c r="D122" s="85"/>
      <c r="E122" s="85"/>
      <c r="F122" s="85"/>
      <c r="G122" s="85"/>
    </row>
    <row r="123" spans="1:7">
      <c r="A123" s="110"/>
      <c r="B123" s="85"/>
      <c r="C123" s="85"/>
      <c r="D123" s="85"/>
      <c r="E123" s="85"/>
      <c r="F123" s="85"/>
      <c r="G123" s="85"/>
    </row>
    <row r="124" spans="1:7">
      <c r="A124" s="110"/>
      <c r="B124" s="85"/>
      <c r="C124" s="85"/>
      <c r="D124" s="85"/>
      <c r="E124" s="85"/>
      <c r="F124" s="85"/>
      <c r="G124" s="85"/>
    </row>
    <row r="125" spans="1:7">
      <c r="A125" s="110"/>
      <c r="B125" s="85"/>
      <c r="C125" s="85"/>
      <c r="D125" s="85"/>
      <c r="E125" s="85"/>
      <c r="F125" s="85"/>
      <c r="G125" s="85"/>
    </row>
    <row r="126" spans="1:7">
      <c r="A126" s="110"/>
      <c r="B126" s="85"/>
      <c r="C126" s="85"/>
      <c r="D126" s="85"/>
      <c r="E126" s="85"/>
      <c r="F126" s="85"/>
      <c r="G126" s="85"/>
    </row>
    <row r="127" spans="1:7">
      <c r="A127" s="110"/>
      <c r="B127" s="85"/>
      <c r="C127" s="85"/>
      <c r="D127" s="85"/>
      <c r="E127" s="85"/>
      <c r="F127" s="85"/>
      <c r="G127" s="85"/>
    </row>
    <row r="128" spans="1:7">
      <c r="A128" s="110"/>
      <c r="B128" s="85"/>
      <c r="C128" s="85"/>
      <c r="D128" s="85"/>
      <c r="E128" s="85"/>
      <c r="F128" s="85"/>
      <c r="G128" s="85"/>
    </row>
    <row r="129" spans="1:7">
      <c r="A129" s="110"/>
      <c r="B129" s="85"/>
      <c r="C129" s="85"/>
      <c r="D129" s="85"/>
      <c r="E129" s="85"/>
      <c r="F129" s="85"/>
      <c r="G129" s="85"/>
    </row>
    <row r="130" spans="1:7">
      <c r="A130" s="110"/>
      <c r="B130" s="85"/>
      <c r="C130" s="85"/>
      <c r="D130" s="85"/>
      <c r="E130" s="85"/>
      <c r="F130" s="85"/>
      <c r="G130" s="85"/>
    </row>
    <row r="131" spans="1:7">
      <c r="A131" s="110"/>
      <c r="B131" s="85"/>
      <c r="C131" s="85"/>
      <c r="D131" s="85"/>
      <c r="E131" s="85"/>
      <c r="F131" s="85"/>
      <c r="G131" s="85"/>
    </row>
    <row r="132" spans="1:7">
      <c r="A132" s="110"/>
      <c r="B132" s="85"/>
      <c r="C132" s="85"/>
      <c r="D132" s="85"/>
      <c r="E132" s="85"/>
      <c r="F132" s="85"/>
      <c r="G132" s="85"/>
    </row>
    <row r="133" spans="1:7">
      <c r="A133" s="110"/>
      <c r="B133" s="85"/>
      <c r="C133" s="85"/>
      <c r="D133" s="85"/>
      <c r="E133" s="85"/>
      <c r="F133" s="85"/>
      <c r="G133" s="85"/>
    </row>
    <row r="134" spans="1:7">
      <c r="A134" s="110"/>
      <c r="B134" s="85"/>
      <c r="C134" s="85"/>
      <c r="D134" s="85"/>
      <c r="E134" s="85"/>
      <c r="F134" s="85"/>
      <c r="G134" s="85"/>
    </row>
    <row r="135" spans="1:7">
      <c r="A135" s="110"/>
      <c r="B135" s="85"/>
      <c r="C135" s="85"/>
      <c r="D135" s="85"/>
      <c r="E135" s="85"/>
      <c r="F135" s="85"/>
      <c r="G135" s="85"/>
    </row>
    <row r="136" spans="1:7">
      <c r="A136" s="110"/>
      <c r="B136" s="85"/>
      <c r="C136" s="85"/>
      <c r="D136" s="85"/>
      <c r="E136" s="85"/>
      <c r="F136" s="85"/>
      <c r="G136" s="85"/>
    </row>
    <row r="137" spans="1:7">
      <c r="A137" s="110"/>
      <c r="B137" s="85"/>
      <c r="C137" s="85"/>
      <c r="D137" s="85"/>
      <c r="E137" s="85"/>
      <c r="F137" s="85"/>
      <c r="G137" s="85"/>
    </row>
    <row r="138" spans="1:7">
      <c r="A138" s="110"/>
      <c r="B138" s="85"/>
      <c r="C138" s="85"/>
      <c r="D138" s="85"/>
      <c r="E138" s="85"/>
      <c r="F138" s="85"/>
      <c r="G138" s="85"/>
    </row>
    <row r="139" spans="1:7">
      <c r="A139" s="110"/>
      <c r="B139" s="85"/>
      <c r="C139" s="85"/>
      <c r="D139" s="85"/>
      <c r="E139" s="85"/>
      <c r="F139" s="85"/>
      <c r="G139" s="85"/>
    </row>
    <row r="140" spans="1:7">
      <c r="A140" s="110"/>
      <c r="B140" s="85"/>
      <c r="C140" s="85"/>
      <c r="D140" s="85"/>
      <c r="E140" s="85"/>
      <c r="F140" s="85"/>
      <c r="G140" s="85"/>
    </row>
    <row r="141" spans="1:7">
      <c r="A141" s="110"/>
      <c r="B141" s="85"/>
      <c r="C141" s="85"/>
      <c r="D141" s="85"/>
      <c r="E141" s="85"/>
      <c r="F141" s="85"/>
      <c r="G141" s="85"/>
    </row>
    <row r="142" spans="1:7">
      <c r="A142" s="110"/>
      <c r="B142" s="85"/>
      <c r="C142" s="85"/>
      <c r="D142" s="85"/>
      <c r="E142" s="85"/>
      <c r="F142" s="85"/>
      <c r="G142" s="85"/>
    </row>
    <row r="143" spans="1:7">
      <c r="A143" s="110"/>
      <c r="B143" s="85"/>
      <c r="C143" s="85"/>
      <c r="D143" s="85"/>
      <c r="E143" s="85"/>
      <c r="F143" s="85"/>
      <c r="G143" s="85"/>
    </row>
    <row r="144" spans="1:7">
      <c r="A144" s="110"/>
      <c r="B144" s="85"/>
      <c r="C144" s="85"/>
      <c r="D144" s="85"/>
      <c r="E144" s="85"/>
      <c r="F144" s="85"/>
      <c r="G144" s="85"/>
    </row>
    <row r="145" spans="1:7">
      <c r="A145" s="110"/>
      <c r="B145" s="85"/>
      <c r="C145" s="85"/>
      <c r="D145" s="85"/>
      <c r="E145" s="85"/>
      <c r="F145" s="85"/>
      <c r="G145" s="85"/>
    </row>
    <row r="146" spans="1:7">
      <c r="A146" s="110"/>
      <c r="B146" s="85"/>
      <c r="C146" s="85"/>
      <c r="D146" s="85"/>
      <c r="E146" s="85"/>
      <c r="F146" s="85"/>
      <c r="G146" s="85"/>
    </row>
    <row r="147" spans="1:7">
      <c r="A147" s="110"/>
      <c r="B147" s="85"/>
      <c r="C147" s="85"/>
      <c r="D147" s="85"/>
      <c r="E147" s="85"/>
      <c r="F147" s="85"/>
      <c r="G147" s="85"/>
    </row>
    <row r="148" spans="1:7">
      <c r="A148" s="110"/>
      <c r="B148" s="85"/>
      <c r="C148" s="85"/>
      <c r="D148" s="85"/>
      <c r="E148" s="85"/>
      <c r="F148" s="85"/>
      <c r="G148" s="85"/>
    </row>
    <row r="149" spans="1:7">
      <c r="A149" s="110"/>
      <c r="B149" s="85"/>
      <c r="C149" s="85"/>
      <c r="D149" s="85"/>
      <c r="E149" s="85"/>
      <c r="F149" s="85"/>
      <c r="G149" s="85"/>
    </row>
    <row r="150" spans="1:7">
      <c r="A150" s="110"/>
      <c r="B150" s="85"/>
      <c r="C150" s="85"/>
      <c r="D150" s="85"/>
      <c r="E150" s="85"/>
      <c r="F150" s="85"/>
      <c r="G150" s="85"/>
    </row>
    <row r="151" spans="1:7">
      <c r="A151" s="110"/>
      <c r="B151" s="85"/>
      <c r="C151" s="85"/>
      <c r="D151" s="85"/>
      <c r="E151" s="85"/>
      <c r="F151" s="85"/>
      <c r="G151" s="85"/>
    </row>
    <row r="152" spans="1:7">
      <c r="A152" s="110"/>
      <c r="B152" s="85"/>
      <c r="C152" s="85"/>
      <c r="D152" s="85"/>
      <c r="E152" s="85"/>
      <c r="F152" s="85"/>
      <c r="G152" s="85"/>
    </row>
    <row r="153" spans="1:7">
      <c r="A153" s="110"/>
      <c r="B153" s="85"/>
      <c r="C153" s="85"/>
      <c r="D153" s="85"/>
      <c r="E153" s="85"/>
      <c r="F153" s="85"/>
      <c r="G153" s="85"/>
    </row>
    <row r="154" spans="1:7">
      <c r="A154" s="110"/>
      <c r="B154" s="85"/>
      <c r="C154" s="85"/>
      <c r="D154" s="85"/>
      <c r="E154" s="85"/>
      <c r="F154" s="85"/>
      <c r="G154" s="85"/>
    </row>
    <row r="155" spans="1:7">
      <c r="A155" s="110"/>
      <c r="B155" s="85"/>
      <c r="C155" s="85"/>
      <c r="D155" s="85"/>
      <c r="E155" s="85"/>
      <c r="F155" s="85"/>
      <c r="G155" s="85"/>
    </row>
    <row r="156" spans="1:7">
      <c r="A156" s="110"/>
      <c r="B156" s="85"/>
      <c r="C156" s="85"/>
      <c r="D156" s="85"/>
      <c r="E156" s="85"/>
      <c r="F156" s="85"/>
      <c r="G156" s="85"/>
    </row>
    <row r="157" spans="1:7">
      <c r="A157" s="110"/>
      <c r="B157" s="85"/>
      <c r="C157" s="85"/>
      <c r="D157" s="85"/>
      <c r="E157" s="85"/>
      <c r="F157" s="85"/>
      <c r="G157" s="85"/>
    </row>
    <row r="158" spans="1:7">
      <c r="A158" s="110"/>
      <c r="B158" s="85"/>
      <c r="C158" s="85"/>
      <c r="D158" s="85"/>
      <c r="E158" s="85"/>
      <c r="F158" s="85"/>
      <c r="G158" s="85"/>
    </row>
    <row r="159" spans="1:7">
      <c r="A159" s="110"/>
      <c r="B159" s="85"/>
      <c r="C159" s="85"/>
      <c r="D159" s="85"/>
      <c r="E159" s="85"/>
      <c r="F159" s="85"/>
      <c r="G159" s="85"/>
    </row>
    <row r="160" spans="1:7">
      <c r="A160" s="110"/>
      <c r="B160" s="85"/>
      <c r="C160" s="85"/>
      <c r="D160" s="85"/>
      <c r="E160" s="85"/>
      <c r="F160" s="85"/>
      <c r="G160" s="85"/>
    </row>
    <row r="161" spans="1:7">
      <c r="A161" s="110"/>
      <c r="B161" s="85"/>
      <c r="C161" s="85"/>
      <c r="D161" s="85"/>
      <c r="E161" s="85"/>
      <c r="F161" s="85"/>
      <c r="G161" s="85"/>
    </row>
    <row r="162" spans="1:7">
      <c r="A162" s="110"/>
      <c r="B162" s="85"/>
      <c r="C162" s="85"/>
      <c r="D162" s="85"/>
      <c r="E162" s="85"/>
      <c r="F162" s="85"/>
      <c r="G162" s="85"/>
    </row>
    <row r="163" spans="1:7">
      <c r="A163" s="110"/>
      <c r="B163" s="85"/>
      <c r="C163" s="85"/>
      <c r="D163" s="85"/>
      <c r="E163" s="85"/>
      <c r="F163" s="85"/>
      <c r="G163" s="85"/>
    </row>
    <row r="164" spans="1:7">
      <c r="A164" s="110"/>
      <c r="B164" s="85"/>
      <c r="C164" s="85"/>
      <c r="D164" s="85"/>
      <c r="E164" s="85"/>
      <c r="F164" s="85"/>
      <c r="G164" s="85"/>
    </row>
    <row r="165" spans="1:7">
      <c r="A165" s="110"/>
      <c r="B165" s="85"/>
      <c r="C165" s="85"/>
      <c r="D165" s="85"/>
      <c r="E165" s="85"/>
      <c r="F165" s="85"/>
      <c r="G165" s="85"/>
    </row>
    <row r="166" spans="1:7">
      <c r="A166" s="110"/>
      <c r="B166" s="85"/>
      <c r="C166" s="85"/>
      <c r="D166" s="85"/>
      <c r="E166" s="85"/>
      <c r="F166" s="85"/>
      <c r="G166" s="85"/>
    </row>
    <row r="167" spans="1:7">
      <c r="A167" s="110"/>
      <c r="B167" s="85"/>
      <c r="C167" s="85"/>
      <c r="D167" s="85"/>
      <c r="E167" s="85"/>
      <c r="F167" s="85"/>
      <c r="G167" s="85"/>
    </row>
    <row r="168" spans="1:7">
      <c r="A168" s="110"/>
      <c r="B168" s="85"/>
      <c r="C168" s="85"/>
      <c r="D168" s="85"/>
      <c r="E168" s="85"/>
      <c r="F168" s="85"/>
      <c r="G168" s="85"/>
    </row>
    <row r="169" spans="1:7">
      <c r="A169" s="110"/>
      <c r="B169" s="85"/>
      <c r="C169" s="85"/>
      <c r="D169" s="85"/>
      <c r="E169" s="85"/>
      <c r="F169" s="85"/>
      <c r="G169" s="85"/>
    </row>
    <row r="170" spans="1:7">
      <c r="A170" s="110"/>
      <c r="B170" s="85"/>
      <c r="C170" s="85"/>
      <c r="D170" s="85"/>
      <c r="E170" s="85"/>
      <c r="F170" s="85"/>
      <c r="G170" s="85"/>
    </row>
    <row r="171" spans="1:7">
      <c r="A171" s="110"/>
      <c r="B171" s="85"/>
      <c r="C171" s="85"/>
      <c r="D171" s="85"/>
      <c r="E171" s="85"/>
      <c r="F171" s="85"/>
      <c r="G171" s="85"/>
    </row>
    <row r="172" spans="1:7">
      <c r="A172" s="110"/>
      <c r="B172" s="85"/>
      <c r="C172" s="85"/>
      <c r="D172" s="85"/>
      <c r="E172" s="85"/>
      <c r="F172" s="85"/>
      <c r="G172" s="85"/>
    </row>
    <row r="173" spans="1:7">
      <c r="A173" s="110"/>
      <c r="B173" s="85"/>
      <c r="C173" s="85"/>
      <c r="D173" s="85"/>
      <c r="E173" s="85"/>
      <c r="F173" s="85"/>
      <c r="G173" s="85"/>
    </row>
    <row r="174" spans="1:7">
      <c r="A174" s="110"/>
      <c r="B174" s="85"/>
      <c r="C174" s="85"/>
      <c r="D174" s="85"/>
      <c r="E174" s="85"/>
      <c r="F174" s="85"/>
      <c r="G174" s="85"/>
    </row>
    <row r="175" spans="1:7">
      <c r="A175" s="110"/>
      <c r="B175" s="85"/>
      <c r="C175" s="85"/>
      <c r="D175" s="85"/>
      <c r="E175" s="85"/>
      <c r="F175" s="85"/>
      <c r="G175" s="85"/>
    </row>
  </sheetData>
  <mergeCells count="21">
    <mergeCell ref="A84:G84"/>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56999999999999995" right="0.38" top="0.75" bottom="0.75" header="0.3" footer="0.3"/>
  <pageSetup paperSize="9" scale="69" fitToHeight="2" orientation="portrait" r:id="rId1"/>
  <rowBreaks count="1" manualBreakCount="1">
    <brk id="61" max="6" man="1"/>
  </rowBreaks>
  <drawing r:id="rId2"/>
</worksheet>
</file>

<file path=xl/worksheets/sheet9.xml><?xml version="1.0" encoding="utf-8"?>
<worksheet xmlns="http://schemas.openxmlformats.org/spreadsheetml/2006/main" xmlns:r="http://schemas.openxmlformats.org/officeDocument/2006/relationships">
  <sheetPr>
    <tabColor rgb="FF0070C0"/>
  </sheetPr>
  <dimension ref="A1:F53"/>
  <sheetViews>
    <sheetView tabSelected="1" view="pageBreakPreview" topLeftCell="A22" zoomScaleNormal="100" zoomScaleSheetLayoutView="100" workbookViewId="0">
      <selection activeCell="E23" sqref="E23"/>
    </sheetView>
  </sheetViews>
  <sheetFormatPr defaultColWidth="9.33203125" defaultRowHeight="13.2"/>
  <cols>
    <col min="1" max="1" width="3" style="13" customWidth="1"/>
    <col min="2" max="2" width="4.33203125" style="13" customWidth="1"/>
    <col min="3" max="3" width="52.5546875" customWidth="1"/>
    <col min="4" max="4" width="11.6640625" customWidth="1"/>
    <col min="5" max="6" width="25.6640625" customWidth="1"/>
    <col min="7" max="16384" width="9.33203125" style="32"/>
  </cols>
  <sheetData>
    <row r="1" spans="1:6" ht="24.75" customHeight="1">
      <c r="A1" s="476" t="s">
        <v>309</v>
      </c>
      <c r="B1" s="476"/>
      <c r="C1" s="476"/>
      <c r="D1" s="476"/>
      <c r="E1" s="476"/>
      <c r="F1" s="476"/>
    </row>
    <row r="2" spans="1:6" ht="26.25" customHeight="1">
      <c r="A2" s="444" t="s">
        <v>945</v>
      </c>
      <c r="B2" s="444"/>
      <c r="C2" s="444"/>
      <c r="D2" s="444"/>
      <c r="E2" s="444"/>
      <c r="F2" s="444"/>
    </row>
    <row r="3" spans="1:6" ht="12.75" customHeight="1">
      <c r="A3" s="490" t="s">
        <v>948</v>
      </c>
      <c r="B3" s="490"/>
      <c r="C3" s="490"/>
      <c r="D3" s="490"/>
      <c r="E3" s="490"/>
      <c r="F3" s="490"/>
    </row>
    <row r="4" spans="1:6" ht="22.5" customHeight="1">
      <c r="A4" s="490"/>
      <c r="B4" s="490"/>
      <c r="C4" s="490"/>
      <c r="D4" s="490"/>
      <c r="E4" s="490"/>
      <c r="F4" s="490"/>
    </row>
    <row r="5" spans="1:6">
      <c r="A5" s="446" t="s">
        <v>995</v>
      </c>
      <c r="B5" s="446"/>
      <c r="C5" s="446"/>
      <c r="D5" s="446"/>
      <c r="E5" s="446"/>
      <c r="F5" s="446"/>
    </row>
    <row r="6" spans="1:6">
      <c r="A6" s="18"/>
      <c r="B6" s="18"/>
      <c r="C6" s="18"/>
      <c r="D6" s="18"/>
      <c r="E6" s="18"/>
      <c r="F6" s="21"/>
    </row>
    <row r="7" spans="1:6" ht="12.75" customHeight="1">
      <c r="A7" s="475" t="s">
        <v>455</v>
      </c>
      <c r="B7" s="475"/>
      <c r="C7" s="475"/>
      <c r="D7" s="470" t="s">
        <v>466</v>
      </c>
      <c r="E7" s="470"/>
      <c r="F7" s="470"/>
    </row>
    <row r="8" spans="1:6" ht="12.75" customHeight="1">
      <c r="A8" s="472" t="s">
        <v>947</v>
      </c>
      <c r="B8" s="472"/>
      <c r="C8" s="472"/>
      <c r="D8" s="477" t="s">
        <v>605</v>
      </c>
      <c r="E8" s="477"/>
      <c r="F8" s="477"/>
    </row>
    <row r="9" spans="1:6" ht="12.75" customHeight="1">
      <c r="A9" s="475" t="s">
        <v>457</v>
      </c>
      <c r="B9" s="475"/>
      <c r="C9" s="475"/>
      <c r="D9" s="470" t="s">
        <v>986</v>
      </c>
      <c r="E9" s="470"/>
      <c r="F9" s="470"/>
    </row>
    <row r="10" spans="1:6" ht="12.75" customHeight="1">
      <c r="A10" s="473" t="s">
        <v>459</v>
      </c>
      <c r="B10" s="473"/>
      <c r="C10" s="473"/>
      <c r="D10" s="477" t="s">
        <v>460</v>
      </c>
      <c r="E10" s="477"/>
      <c r="F10" s="477"/>
    </row>
    <row r="11" spans="1:6" ht="12.75" customHeight="1">
      <c r="A11" s="475" t="s">
        <v>392</v>
      </c>
      <c r="B11" s="475"/>
      <c r="C11" s="475"/>
      <c r="D11" s="470" t="s">
        <v>492</v>
      </c>
      <c r="E11" s="470"/>
      <c r="F11" s="470"/>
    </row>
    <row r="12" spans="1:6" ht="12.75" customHeight="1">
      <c r="A12" s="474" t="s">
        <v>390</v>
      </c>
      <c r="B12" s="474"/>
      <c r="C12" s="474"/>
      <c r="D12" s="477" t="s">
        <v>491</v>
      </c>
      <c r="E12" s="477"/>
      <c r="F12" s="477"/>
    </row>
    <row r="13" spans="1:6" ht="14.25" customHeight="1">
      <c r="A13" s="470" t="s">
        <v>138</v>
      </c>
      <c r="B13" s="470"/>
      <c r="C13" s="470"/>
      <c r="D13" s="470" t="s">
        <v>996</v>
      </c>
      <c r="E13" s="470"/>
      <c r="F13" s="470"/>
    </row>
    <row r="14" spans="1:6">
      <c r="A14" s="186" t="s">
        <v>139</v>
      </c>
      <c r="B14" s="186"/>
      <c r="C14" s="188"/>
      <c r="D14" s="438">
        <v>43564</v>
      </c>
      <c r="E14" s="438"/>
      <c r="F14" s="438"/>
    </row>
    <row r="15" spans="1:6">
      <c r="A15" s="116"/>
      <c r="B15" s="116"/>
      <c r="C15" s="30"/>
      <c r="D15" s="30"/>
      <c r="E15" s="30"/>
      <c r="F15" s="30"/>
    </row>
    <row r="16" spans="1:6" s="40" customFormat="1" ht="58.5" customHeight="1">
      <c r="A16" s="487" t="s">
        <v>220</v>
      </c>
      <c r="B16" s="487"/>
      <c r="C16" s="118" t="s">
        <v>310</v>
      </c>
      <c r="D16" s="118" t="s">
        <v>141</v>
      </c>
      <c r="E16" s="380" t="s">
        <v>1000</v>
      </c>
      <c r="F16" s="413" t="s">
        <v>981</v>
      </c>
    </row>
    <row r="17" spans="1:6" s="40" customFormat="1" ht="33.75" customHeight="1">
      <c r="A17" s="293" t="s">
        <v>43</v>
      </c>
      <c r="B17" s="293"/>
      <c r="C17" s="384" t="s">
        <v>311</v>
      </c>
      <c r="D17" s="371">
        <v>4060</v>
      </c>
      <c r="E17" s="385">
        <v>1089016862195</v>
      </c>
      <c r="F17" s="385">
        <v>1275103947993</v>
      </c>
    </row>
    <row r="18" spans="1:6" s="40" customFormat="1" ht="57" customHeight="1">
      <c r="A18" s="293" t="s">
        <v>49</v>
      </c>
      <c r="B18" s="293"/>
      <c r="C18" s="384" t="s">
        <v>973</v>
      </c>
      <c r="D18" s="371">
        <v>4061</v>
      </c>
      <c r="E18" s="385">
        <v>50355115887</v>
      </c>
      <c r="F18" s="385">
        <v>-152324285779</v>
      </c>
    </row>
    <row r="19" spans="1:6" s="40" customFormat="1" ht="60" customHeight="1">
      <c r="A19" s="488"/>
      <c r="B19" s="41" t="s">
        <v>100</v>
      </c>
      <c r="C19" s="47" t="s">
        <v>758</v>
      </c>
      <c r="D19" s="33">
        <v>4062</v>
      </c>
      <c r="E19" s="149">
        <v>50355115887</v>
      </c>
      <c r="F19" s="149">
        <v>-152324285779</v>
      </c>
    </row>
    <row r="20" spans="1:6" s="40" customFormat="1" ht="59.25" customHeight="1">
      <c r="A20" s="489"/>
      <c r="B20" s="41" t="s">
        <v>102</v>
      </c>
      <c r="C20" s="47" t="s">
        <v>759</v>
      </c>
      <c r="D20" s="33">
        <v>4063</v>
      </c>
      <c r="E20" s="149">
        <v>0</v>
      </c>
      <c r="F20" s="149">
        <v>0</v>
      </c>
    </row>
    <row r="21" spans="1:6" s="40" customFormat="1" ht="57.75" customHeight="1">
      <c r="A21" s="293" t="s">
        <v>115</v>
      </c>
      <c r="B21" s="293"/>
      <c r="C21" s="384" t="s">
        <v>974</v>
      </c>
      <c r="D21" s="293">
        <v>4064</v>
      </c>
      <c r="E21" s="385">
        <v>-52143510089</v>
      </c>
      <c r="F21" s="385">
        <v>-33762800019</v>
      </c>
    </row>
    <row r="22" spans="1:6" s="40" customFormat="1" ht="31.5" customHeight="1">
      <c r="A22" s="488"/>
      <c r="B22" s="33" t="s">
        <v>122</v>
      </c>
      <c r="C22" s="47" t="s">
        <v>312</v>
      </c>
      <c r="D22" s="33">
        <v>4065</v>
      </c>
      <c r="E22" s="149">
        <v>7377618797</v>
      </c>
      <c r="F22" s="149">
        <v>94938942207</v>
      </c>
    </row>
    <row r="23" spans="1:6" s="40" customFormat="1" ht="31.5" customHeight="1">
      <c r="A23" s="489"/>
      <c r="B23" s="33" t="s">
        <v>123</v>
      </c>
      <c r="C23" s="47" t="s">
        <v>313</v>
      </c>
      <c r="D23" s="33">
        <v>4066</v>
      </c>
      <c r="E23" s="149">
        <v>-59521128886</v>
      </c>
      <c r="F23" s="149">
        <v>-128701742226</v>
      </c>
    </row>
    <row r="24" spans="1:6" s="40" customFormat="1" ht="40.5" customHeight="1">
      <c r="A24" s="293" t="s">
        <v>116</v>
      </c>
      <c r="B24" s="293"/>
      <c r="C24" s="384" t="s">
        <v>949</v>
      </c>
      <c r="D24" s="293">
        <v>4067</v>
      </c>
      <c r="E24" s="385">
        <v>1087228467993</v>
      </c>
      <c r="F24" s="385">
        <v>1089016862195</v>
      </c>
    </row>
    <row r="25" spans="1:6" s="40" customFormat="1" ht="39.6">
      <c r="A25" s="386" t="s">
        <v>119</v>
      </c>
      <c r="B25" s="386"/>
      <c r="C25" s="387" t="s">
        <v>760</v>
      </c>
      <c r="D25" s="386">
        <v>4067.1</v>
      </c>
      <c r="E25" s="388">
        <v>38584.839999999997</v>
      </c>
      <c r="F25" s="389">
        <v>36842.79</v>
      </c>
    </row>
    <row r="26" spans="1:6" s="40" customFormat="1">
      <c r="A26" s="117"/>
      <c r="B26" s="117"/>
      <c r="C26" s="21"/>
      <c r="D26" s="21"/>
      <c r="E26" s="21"/>
      <c r="F26" s="21"/>
    </row>
    <row r="27" spans="1:6" s="40" customFormat="1">
      <c r="A27" s="117"/>
      <c r="B27" s="117"/>
      <c r="C27" s="21"/>
      <c r="D27" s="21"/>
      <c r="E27" s="21"/>
      <c r="F27" s="21"/>
    </row>
    <row r="28" spans="1:6" s="40" customFormat="1">
      <c r="A28" s="117"/>
      <c r="B28" s="117"/>
      <c r="C28" s="21"/>
      <c r="D28" s="21"/>
      <c r="E28" s="21"/>
      <c r="F28" s="21"/>
    </row>
    <row r="29" spans="1:6" s="40" customFormat="1">
      <c r="A29" s="53" t="s">
        <v>178</v>
      </c>
      <c r="B29" s="44"/>
      <c r="C29" s="52"/>
      <c r="D29" s="44"/>
      <c r="E29" s="54" t="s">
        <v>179</v>
      </c>
      <c r="F29" s="21"/>
    </row>
    <row r="30" spans="1:6" s="40" customFormat="1">
      <c r="A30" s="55" t="s">
        <v>180</v>
      </c>
      <c r="B30" s="44"/>
      <c r="C30" s="52"/>
      <c r="D30" s="44"/>
      <c r="E30" s="56" t="s">
        <v>181</v>
      </c>
      <c r="F30" s="21"/>
    </row>
    <row r="31" spans="1:6" s="40" customFormat="1">
      <c r="A31" s="44"/>
      <c r="B31" s="44"/>
      <c r="C31" s="52"/>
      <c r="D31" s="44"/>
      <c r="E31" s="52"/>
      <c r="F31" s="21"/>
    </row>
    <row r="32" spans="1:6" s="40" customFormat="1">
      <c r="A32" s="44"/>
      <c r="B32" s="44"/>
      <c r="C32" s="52"/>
      <c r="D32" s="44"/>
      <c r="E32" s="52"/>
      <c r="F32" s="21"/>
    </row>
    <row r="33" spans="1:6" s="40" customFormat="1">
      <c r="A33" s="44"/>
      <c r="B33" s="44"/>
      <c r="C33" s="52"/>
      <c r="D33" s="44"/>
      <c r="E33" s="52"/>
      <c r="F33" s="21"/>
    </row>
    <row r="34" spans="1:6" s="40" customFormat="1">
      <c r="A34" s="44"/>
      <c r="B34" s="44"/>
      <c r="C34" s="52"/>
      <c r="D34" s="44"/>
      <c r="E34" s="52"/>
      <c r="F34" s="21"/>
    </row>
    <row r="35" spans="1:6" s="40" customFormat="1">
      <c r="A35" s="44"/>
      <c r="B35" s="44"/>
      <c r="C35" s="52"/>
      <c r="D35" s="44"/>
      <c r="E35" s="52"/>
      <c r="F35" s="21"/>
    </row>
    <row r="36" spans="1:6" s="40" customFormat="1">
      <c r="A36" s="44"/>
      <c r="B36" s="44"/>
      <c r="C36" s="52"/>
      <c r="D36" s="44"/>
      <c r="E36" s="52"/>
      <c r="F36" s="21"/>
    </row>
    <row r="37" spans="1:6" s="40" customFormat="1">
      <c r="A37" s="44"/>
      <c r="B37" s="44"/>
      <c r="C37" s="52"/>
      <c r="D37" s="44"/>
      <c r="E37" s="52"/>
      <c r="F37" s="21"/>
    </row>
    <row r="38" spans="1:6" s="40" customFormat="1">
      <c r="A38" s="44"/>
      <c r="B38" s="44"/>
      <c r="C38" s="52"/>
      <c r="D38" s="44"/>
      <c r="E38" s="52"/>
      <c r="F38" s="21"/>
    </row>
    <row r="39" spans="1:6">
      <c r="A39" s="44"/>
      <c r="B39" s="44"/>
      <c r="C39" s="52"/>
      <c r="D39" s="44"/>
      <c r="E39" s="52"/>
      <c r="F39" s="30"/>
    </row>
    <row r="40" spans="1:6">
      <c r="A40" s="57"/>
      <c r="B40" s="57"/>
      <c r="C40" s="58"/>
      <c r="D40" s="44"/>
      <c r="E40" s="58"/>
      <c r="F40" s="83"/>
    </row>
    <row r="41" spans="1:6">
      <c r="A41" s="53" t="s">
        <v>182</v>
      </c>
      <c r="B41" s="44"/>
      <c r="C41" s="52"/>
      <c r="D41" s="44"/>
      <c r="E41" s="54" t="s">
        <v>467</v>
      </c>
      <c r="F41" s="30"/>
    </row>
    <row r="42" spans="1:6">
      <c r="A42" s="53" t="s">
        <v>997</v>
      </c>
      <c r="B42" s="44"/>
      <c r="C42" s="52"/>
      <c r="D42" s="44"/>
      <c r="E42" s="54" t="s">
        <v>468</v>
      </c>
      <c r="F42" s="30"/>
    </row>
    <row r="43" spans="1:6">
      <c r="A43" s="44" t="s">
        <v>998</v>
      </c>
      <c r="B43" s="44"/>
      <c r="C43" s="52"/>
      <c r="D43" s="44"/>
      <c r="E43" s="52" t="s">
        <v>469</v>
      </c>
      <c r="F43" s="30"/>
    </row>
    <row r="44" spans="1:6">
      <c r="A44" s="116"/>
      <c r="B44" s="116"/>
      <c r="C44" s="30"/>
      <c r="D44" s="30"/>
      <c r="E44" s="30"/>
      <c r="F44" s="30"/>
    </row>
    <row r="45" spans="1:6">
      <c r="A45" s="116"/>
      <c r="B45" s="116"/>
      <c r="C45" s="30"/>
      <c r="D45" s="30"/>
      <c r="E45" s="30"/>
      <c r="F45" s="30"/>
    </row>
    <row r="46" spans="1:6">
      <c r="A46" s="116"/>
      <c r="B46" s="116"/>
      <c r="C46" s="30"/>
      <c r="D46" s="30"/>
      <c r="E46" s="30"/>
      <c r="F46" s="30"/>
    </row>
    <row r="47" spans="1:6">
      <c r="A47" s="116"/>
      <c r="B47" s="116"/>
      <c r="C47" s="30"/>
      <c r="D47" s="30"/>
      <c r="E47" s="30"/>
      <c r="F47" s="30"/>
    </row>
    <row r="48" spans="1:6">
      <c r="A48" s="116"/>
      <c r="B48" s="116"/>
      <c r="C48" s="30"/>
      <c r="D48" s="30"/>
      <c r="E48" s="30"/>
      <c r="F48" s="30"/>
    </row>
    <row r="49" spans="1:6">
      <c r="A49" s="116"/>
      <c r="B49" s="116"/>
      <c r="C49" s="30"/>
      <c r="D49" s="30"/>
      <c r="E49" s="30"/>
      <c r="F49" s="30"/>
    </row>
    <row r="50" spans="1:6">
      <c r="A50" s="116"/>
      <c r="B50" s="116"/>
      <c r="C50" s="30"/>
      <c r="D50" s="30"/>
      <c r="E50" s="30"/>
      <c r="F50" s="30"/>
    </row>
    <row r="51" spans="1:6">
      <c r="A51" s="116"/>
      <c r="B51" s="116"/>
      <c r="C51" s="30"/>
      <c r="D51" s="30"/>
      <c r="E51" s="30"/>
      <c r="F51" s="30"/>
    </row>
    <row r="52" spans="1:6">
      <c r="A52" s="116"/>
      <c r="B52" s="116"/>
      <c r="C52" s="30"/>
      <c r="D52" s="30"/>
      <c r="E52" s="30"/>
      <c r="F52" s="30"/>
    </row>
    <row r="53" spans="1:6">
      <c r="A53" s="116"/>
      <c r="B53" s="116"/>
      <c r="C53" s="30"/>
      <c r="D53" s="30"/>
      <c r="E53" s="30"/>
      <c r="F53" s="30"/>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75" right="0.75" top="1" bottom="1" header="0.5" footer="0.5"/>
  <pageSetup scale="72" orientation="portrait" r:id="rId1"/>
  <drawing r:id="rId2"/>
</worksheet>
</file>

<file path=xl/worksheets/sheet10.xml><?xml version="1.0" encoding="utf-8"?>
<worksheet xmlns="http://schemas.openxmlformats.org/spreadsheetml/2006/main" xmlns:r="http://schemas.openxmlformats.org/officeDocument/2006/relationships">
  <sheetPr>
    <tabColor rgb="FF0070C0"/>
    <pageSetUpPr fitToPage="1"/>
  </sheetPr>
  <dimension ref="A1:E65"/>
  <sheetViews>
    <sheetView view="pageBreakPreview" zoomScaleNormal="100" zoomScaleSheetLayoutView="100" workbookViewId="0">
      <selection activeCell="D43" sqref="D43"/>
    </sheetView>
  </sheetViews>
  <sheetFormatPr defaultColWidth="9.33203125" defaultRowHeight="14.4"/>
  <cols>
    <col min="1" max="1" width="9.33203125" style="10"/>
    <col min="2" max="2" width="56.6640625" style="10" customWidth="1"/>
    <col min="3" max="3" width="14.33203125" style="10" customWidth="1"/>
    <col min="4" max="5" width="25.33203125" style="10" customWidth="1"/>
    <col min="6" max="16384" width="9.33203125" style="81"/>
  </cols>
  <sheetData>
    <row r="1" spans="1:5" ht="23.25" customHeight="1">
      <c r="A1" s="476" t="s">
        <v>217</v>
      </c>
      <c r="B1" s="476"/>
      <c r="C1" s="476"/>
      <c r="D1" s="476"/>
      <c r="E1" s="476"/>
    </row>
    <row r="2" spans="1:5" ht="27" customHeight="1">
      <c r="A2" s="444" t="s">
        <v>945</v>
      </c>
      <c r="B2" s="444"/>
      <c r="C2" s="444"/>
      <c r="D2" s="444"/>
      <c r="E2" s="444"/>
    </row>
    <row r="3" spans="1:5" ht="15" customHeight="1">
      <c r="A3" s="445" t="s">
        <v>219</v>
      </c>
      <c r="B3" s="445"/>
      <c r="C3" s="445"/>
      <c r="D3" s="445"/>
      <c r="E3" s="445"/>
    </row>
    <row r="4" spans="1:5">
      <c r="A4" s="445"/>
      <c r="B4" s="445"/>
      <c r="C4" s="445"/>
      <c r="D4" s="445"/>
      <c r="E4" s="445"/>
    </row>
    <row r="5" spans="1:5" s="221" customFormat="1">
      <c r="A5" s="493" t="s">
        <v>995</v>
      </c>
      <c r="B5" s="493"/>
      <c r="C5" s="493"/>
      <c r="D5" s="493"/>
      <c r="E5" s="493"/>
    </row>
    <row r="6" spans="1:5">
      <c r="A6" s="18"/>
      <c r="B6" s="18"/>
      <c r="C6" s="18"/>
      <c r="D6" s="18"/>
      <c r="E6" s="18"/>
    </row>
    <row r="7" spans="1:5" ht="15" customHeight="1">
      <c r="A7" s="475" t="s">
        <v>455</v>
      </c>
      <c r="B7" s="475"/>
      <c r="C7" s="470" t="s">
        <v>466</v>
      </c>
      <c r="D7" s="470"/>
      <c r="E7" s="470"/>
    </row>
    <row r="8" spans="1:5" ht="15" customHeight="1">
      <c r="A8" s="472" t="s">
        <v>947</v>
      </c>
      <c r="B8" s="472"/>
      <c r="C8" s="477" t="s">
        <v>605</v>
      </c>
      <c r="D8" s="477"/>
      <c r="E8" s="477"/>
    </row>
    <row r="9" spans="1:5" ht="15" customHeight="1">
      <c r="A9" s="475" t="s">
        <v>457</v>
      </c>
      <c r="B9" s="475"/>
      <c r="C9" s="470" t="s">
        <v>986</v>
      </c>
      <c r="D9" s="470"/>
      <c r="E9" s="470"/>
    </row>
    <row r="10" spans="1:5" ht="15" customHeight="1">
      <c r="A10" s="473" t="s">
        <v>459</v>
      </c>
      <c r="B10" s="473"/>
      <c r="C10" s="477" t="s">
        <v>460</v>
      </c>
      <c r="D10" s="477"/>
      <c r="E10" s="477"/>
    </row>
    <row r="11" spans="1:5" ht="15" customHeight="1">
      <c r="A11" s="475" t="s">
        <v>392</v>
      </c>
      <c r="B11" s="475"/>
      <c r="C11" s="470" t="s">
        <v>492</v>
      </c>
      <c r="D11" s="470"/>
      <c r="E11" s="470"/>
    </row>
    <row r="12" spans="1:5" ht="15" customHeight="1">
      <c r="A12" s="474" t="s">
        <v>390</v>
      </c>
      <c r="B12" s="474"/>
      <c r="C12" s="477" t="s">
        <v>491</v>
      </c>
      <c r="D12" s="477"/>
      <c r="E12" s="477"/>
    </row>
    <row r="13" spans="1:5" ht="15" customHeight="1">
      <c r="A13" s="470" t="s">
        <v>138</v>
      </c>
      <c r="B13" s="470"/>
      <c r="C13" s="470" t="s">
        <v>996</v>
      </c>
      <c r="D13" s="470"/>
      <c r="E13" s="470"/>
    </row>
    <row r="14" spans="1:5">
      <c r="A14" s="471" t="s">
        <v>139</v>
      </c>
      <c r="B14" s="471"/>
      <c r="C14" s="438">
        <v>43564</v>
      </c>
      <c r="D14" s="438"/>
      <c r="E14" s="438"/>
    </row>
    <row r="15" spans="1:5">
      <c r="A15" s="84"/>
      <c r="B15" s="84"/>
      <c r="C15" s="84"/>
      <c r="D15" s="84"/>
      <c r="E15" s="84"/>
    </row>
    <row r="16" spans="1:5">
      <c r="A16" s="194" t="s">
        <v>116</v>
      </c>
      <c r="B16" s="195" t="s">
        <v>481</v>
      </c>
      <c r="C16" s="84"/>
      <c r="D16" s="84"/>
      <c r="E16" s="84"/>
    </row>
    <row r="17" spans="1:5" s="114" customFormat="1" ht="55.5" customHeight="1">
      <c r="A17" s="119" t="s">
        <v>287</v>
      </c>
      <c r="B17" s="119" t="s">
        <v>314</v>
      </c>
      <c r="C17" s="119" t="s">
        <v>315</v>
      </c>
      <c r="D17" s="119" t="s">
        <v>1000</v>
      </c>
      <c r="E17" s="341" t="s">
        <v>981</v>
      </c>
    </row>
    <row r="18" spans="1:5" s="114" customFormat="1" ht="32.25" customHeight="1">
      <c r="A18" s="105" t="s">
        <v>43</v>
      </c>
      <c r="B18" s="123" t="s">
        <v>316</v>
      </c>
      <c r="C18" s="124">
        <v>2264</v>
      </c>
      <c r="D18" s="125"/>
      <c r="E18" s="342"/>
    </row>
    <row r="19" spans="1:5" s="114" customFormat="1" ht="48" customHeight="1">
      <c r="A19" s="108">
        <v>1</v>
      </c>
      <c r="B19" s="122" t="s">
        <v>317</v>
      </c>
      <c r="C19" s="121">
        <v>2265</v>
      </c>
      <c r="D19" s="154">
        <v>1.9235329136937734E-2</v>
      </c>
      <c r="E19" s="346">
        <v>1.9662346358055346E-2</v>
      </c>
    </row>
    <row r="20" spans="1:5" s="114" customFormat="1" ht="48.75" customHeight="1">
      <c r="A20" s="108">
        <v>2</v>
      </c>
      <c r="B20" s="122" t="s">
        <v>318</v>
      </c>
      <c r="C20" s="121">
        <v>2266</v>
      </c>
      <c r="D20" s="154">
        <v>9.523883481890211E-4</v>
      </c>
      <c r="E20" s="154">
        <v>1.0042742770957039E-3</v>
      </c>
    </row>
    <row r="21" spans="1:5" s="114" customFormat="1" ht="72" customHeight="1">
      <c r="A21" s="108">
        <v>3</v>
      </c>
      <c r="B21" s="122" t="s">
        <v>319</v>
      </c>
      <c r="C21" s="121">
        <v>22661</v>
      </c>
      <c r="D21" s="154">
        <v>3.9250223078041824E-4</v>
      </c>
      <c r="E21" s="154">
        <v>3.8972224100510016E-4</v>
      </c>
    </row>
    <row r="22" spans="1:5" s="114" customFormat="1" ht="46.5" customHeight="1">
      <c r="A22" s="108">
        <v>4</v>
      </c>
      <c r="B22" s="122" t="s">
        <v>320</v>
      </c>
      <c r="C22" s="121">
        <v>2267</v>
      </c>
      <c r="D22" s="154">
        <v>1.7778042984873223E-4</v>
      </c>
      <c r="E22" s="154">
        <v>1.55865795900281E-4</v>
      </c>
    </row>
    <row r="23" spans="1:5" s="114" customFormat="1" ht="81" customHeight="1">
      <c r="A23" s="108">
        <v>5</v>
      </c>
      <c r="B23" s="122" t="s">
        <v>321</v>
      </c>
      <c r="C23" s="121">
        <v>2268</v>
      </c>
      <c r="D23" s="154">
        <v>2.0276245696687322E-4</v>
      </c>
      <c r="E23" s="154">
        <v>2.5387650745819628E-4</v>
      </c>
    </row>
    <row r="24" spans="1:5" s="114" customFormat="1" ht="31.5" customHeight="1">
      <c r="A24" s="108">
        <v>6</v>
      </c>
      <c r="B24" s="286" t="s">
        <v>322</v>
      </c>
      <c r="C24" s="287">
        <v>2269</v>
      </c>
      <c r="D24" s="237">
        <v>2.0987355873062177E-2</v>
      </c>
      <c r="E24" s="154">
        <v>2.1713042939851993E-2</v>
      </c>
    </row>
    <row r="25" spans="1:5" s="114" customFormat="1" ht="68.25" customHeight="1">
      <c r="A25" s="108">
        <v>7</v>
      </c>
      <c r="B25" s="122" t="s">
        <v>991</v>
      </c>
      <c r="C25" s="121">
        <v>2270</v>
      </c>
      <c r="D25" s="237">
        <v>1.1825718836336325</v>
      </c>
      <c r="E25" s="237">
        <v>1.2815211401399462</v>
      </c>
    </row>
    <row r="26" spans="1:5" s="114" customFormat="1" ht="31.5" customHeight="1">
      <c r="A26" s="105" t="s">
        <v>49</v>
      </c>
      <c r="B26" s="123" t="s">
        <v>323</v>
      </c>
      <c r="C26" s="124">
        <v>2272</v>
      </c>
      <c r="D26" s="424"/>
      <c r="E26" s="424"/>
    </row>
    <row r="27" spans="1:5" s="114" customFormat="1" ht="45" customHeight="1">
      <c r="A27" s="492">
        <v>1</v>
      </c>
      <c r="B27" s="122" t="s">
        <v>324</v>
      </c>
      <c r="C27" s="121">
        <v>2273</v>
      </c>
      <c r="D27" s="425">
        <v>295584755299.99963</v>
      </c>
      <c r="E27" s="423">
        <v>306823342099.99963</v>
      </c>
    </row>
    <row r="28" spans="1:5" s="114" customFormat="1" ht="42.75" customHeight="1">
      <c r="A28" s="492"/>
      <c r="B28" s="122" t="s">
        <v>325</v>
      </c>
      <c r="C28" s="121">
        <v>2274</v>
      </c>
      <c r="D28" s="425">
        <v>295584755299.99957</v>
      </c>
      <c r="E28" s="423">
        <v>306823342099.99957</v>
      </c>
    </row>
    <row r="29" spans="1:5" s="114" customFormat="1" ht="43.5" customHeight="1">
      <c r="A29" s="492"/>
      <c r="B29" s="122" t="s">
        <v>326</v>
      </c>
      <c r="C29" s="121">
        <v>2275</v>
      </c>
      <c r="D29" s="290">
        <v>29558475.529999956</v>
      </c>
      <c r="E29" s="426">
        <v>30682334.209999956</v>
      </c>
    </row>
    <row r="30" spans="1:5" s="114" customFormat="1" ht="45" customHeight="1">
      <c r="A30" s="492">
        <v>2</v>
      </c>
      <c r="B30" s="122" t="s">
        <v>327</v>
      </c>
      <c r="C30" s="121">
        <v>2276</v>
      </c>
      <c r="D30" s="423">
        <v>-13808698900</v>
      </c>
      <c r="E30" s="423">
        <v>-11238586800</v>
      </c>
    </row>
    <row r="31" spans="1:5" s="114" customFormat="1" ht="43.5" customHeight="1">
      <c r="A31" s="492"/>
      <c r="B31" s="122" t="s">
        <v>950</v>
      </c>
      <c r="C31" s="121" t="s">
        <v>951</v>
      </c>
      <c r="D31" s="435">
        <v>-1380869.8900000001</v>
      </c>
      <c r="E31" s="435">
        <v>-1123858.6800000002</v>
      </c>
    </row>
    <row r="32" spans="1:5" s="114" customFormat="1" ht="43.5" customHeight="1">
      <c r="A32" s="492"/>
      <c r="B32" s="122" t="s">
        <v>952</v>
      </c>
      <c r="C32" s="121" t="s">
        <v>953</v>
      </c>
      <c r="D32" s="425">
        <v>-13808698900.000002</v>
      </c>
      <c r="E32" s="425">
        <v>-11238586800.000002</v>
      </c>
    </row>
    <row r="33" spans="1:5" s="114" customFormat="1" ht="31.5" customHeight="1">
      <c r="A33" s="492"/>
      <c r="B33" s="122" t="s">
        <v>328</v>
      </c>
      <c r="C33" s="121">
        <v>2277</v>
      </c>
      <c r="D33" s="435">
        <v>193527.36</v>
      </c>
      <c r="E33" s="435">
        <v>2401229.4</v>
      </c>
    </row>
    <row r="34" spans="1:5" s="114" customFormat="1" ht="32.25" customHeight="1">
      <c r="A34" s="492"/>
      <c r="B34" s="122" t="s">
        <v>329</v>
      </c>
      <c r="C34" s="121">
        <v>2278</v>
      </c>
      <c r="D34" s="425">
        <v>1935273599.9999998</v>
      </c>
      <c r="E34" s="425">
        <v>24012294000</v>
      </c>
    </row>
    <row r="35" spans="1:5" s="114" customFormat="1" ht="32.25" customHeight="1">
      <c r="A35" s="492"/>
      <c r="B35" s="122" t="s">
        <v>330</v>
      </c>
      <c r="C35" s="121">
        <v>22781</v>
      </c>
      <c r="D35" s="435">
        <v>-1574397.25</v>
      </c>
      <c r="E35" s="435">
        <v>-3525088.08</v>
      </c>
    </row>
    <row r="36" spans="1:5" s="114" customFormat="1" ht="44.25" customHeight="1">
      <c r="A36" s="492"/>
      <c r="B36" s="122" t="s">
        <v>331</v>
      </c>
      <c r="C36" s="121">
        <v>22782</v>
      </c>
      <c r="D36" s="423">
        <v>-15743972500</v>
      </c>
      <c r="E36" s="423">
        <v>-35250880800</v>
      </c>
    </row>
    <row r="37" spans="1:5" s="114" customFormat="1" ht="44.25" customHeight="1">
      <c r="A37" s="492">
        <v>3</v>
      </c>
      <c r="B37" s="122" t="s">
        <v>332</v>
      </c>
      <c r="C37" s="287">
        <v>2279</v>
      </c>
      <c r="D37" s="425">
        <v>281776056399.99963</v>
      </c>
      <c r="E37" s="425">
        <v>295584755299.99963</v>
      </c>
    </row>
    <row r="38" spans="1:5" s="114" customFormat="1" ht="42.75" customHeight="1">
      <c r="A38" s="492"/>
      <c r="B38" s="122" t="s">
        <v>333</v>
      </c>
      <c r="C38" s="287">
        <v>2280</v>
      </c>
      <c r="D38" s="425">
        <v>281776056399.99957</v>
      </c>
      <c r="E38" s="425">
        <v>295584755299.99957</v>
      </c>
    </row>
    <row r="39" spans="1:5" s="114" customFormat="1" ht="44.25" customHeight="1">
      <c r="A39" s="492"/>
      <c r="B39" s="122" t="s">
        <v>334</v>
      </c>
      <c r="C39" s="287">
        <v>2281</v>
      </c>
      <c r="D39" s="421">
        <v>28177605.639999956</v>
      </c>
      <c r="E39" s="422">
        <v>29558475.529999956</v>
      </c>
    </row>
    <row r="40" spans="1:5" s="114" customFormat="1" ht="59.25" customHeight="1">
      <c r="A40" s="108">
        <v>4</v>
      </c>
      <c r="B40" s="122" t="s">
        <v>335</v>
      </c>
      <c r="C40" s="287">
        <v>2282</v>
      </c>
      <c r="D40" s="237">
        <v>1.5299999999999999E-2</v>
      </c>
      <c r="E40" s="237">
        <v>1.46E-2</v>
      </c>
    </row>
    <row r="41" spans="1:5" s="114" customFormat="1" ht="32.25" customHeight="1">
      <c r="A41" s="108">
        <v>5</v>
      </c>
      <c r="B41" s="122" t="s">
        <v>336</v>
      </c>
      <c r="C41" s="287">
        <v>2283</v>
      </c>
      <c r="D41" s="237">
        <v>0.62780000000000002</v>
      </c>
      <c r="E41" s="237">
        <v>0.60589999999999999</v>
      </c>
    </row>
    <row r="42" spans="1:5" s="114" customFormat="1" ht="32.25" customHeight="1">
      <c r="A42" s="108">
        <v>6</v>
      </c>
      <c r="B42" s="122" t="s">
        <v>337</v>
      </c>
      <c r="C42" s="287">
        <v>2284</v>
      </c>
      <c r="D42" s="237">
        <v>0.5494</v>
      </c>
      <c r="E42" s="237">
        <v>0.52370000000000005</v>
      </c>
    </row>
    <row r="43" spans="1:5" s="114" customFormat="1" ht="32.25" customHeight="1">
      <c r="A43" s="108">
        <v>7</v>
      </c>
      <c r="B43" s="122" t="s">
        <v>338</v>
      </c>
      <c r="C43" s="287">
        <v>22841</v>
      </c>
      <c r="D43" s="289">
        <v>3486</v>
      </c>
      <c r="E43" s="289">
        <v>3467</v>
      </c>
    </row>
    <row r="44" spans="1:5" s="114" customFormat="1" ht="32.25" customHeight="1">
      <c r="A44" s="108">
        <v>8</v>
      </c>
      <c r="B44" s="122" t="s">
        <v>590</v>
      </c>
      <c r="C44" s="287">
        <v>2285</v>
      </c>
      <c r="D44" s="290">
        <v>38584.839999999997</v>
      </c>
      <c r="E44" s="290">
        <v>36842.79</v>
      </c>
    </row>
    <row r="45" spans="1:5" s="114" customFormat="1" ht="13.2">
      <c r="A45" s="120"/>
      <c r="B45" s="120"/>
      <c r="C45" s="120"/>
      <c r="D45" s="155"/>
      <c r="E45" s="155"/>
    </row>
    <row r="46" spans="1:5" s="114" customFormat="1" ht="24.75" customHeight="1">
      <c r="A46" s="379" t="s">
        <v>772</v>
      </c>
      <c r="B46" s="21"/>
      <c r="C46" s="21"/>
      <c r="D46" s="26"/>
      <c r="E46" s="21"/>
    </row>
    <row r="47" spans="1:5" s="114" customFormat="1" ht="54.75" customHeight="1">
      <c r="A47" s="491" t="s">
        <v>972</v>
      </c>
      <c r="B47" s="491"/>
      <c r="C47" s="491"/>
      <c r="D47" s="491"/>
      <c r="E47" s="491"/>
    </row>
    <row r="48" spans="1:5" s="114" customFormat="1" ht="63" customHeight="1">
      <c r="A48" s="491" t="s">
        <v>971</v>
      </c>
      <c r="B48" s="491"/>
      <c r="C48" s="491"/>
      <c r="D48" s="378"/>
      <c r="E48" s="378"/>
    </row>
    <row r="49" spans="1:5" s="114" customFormat="1" ht="13.2">
      <c r="A49" s="53" t="s">
        <v>178</v>
      </c>
      <c r="B49" s="44"/>
      <c r="C49" s="52"/>
      <c r="D49" s="54" t="s">
        <v>179</v>
      </c>
      <c r="E49" s="120"/>
    </row>
    <row r="50" spans="1:5" s="114" customFormat="1" ht="13.2">
      <c r="A50" s="55" t="s">
        <v>180</v>
      </c>
      <c r="B50" s="44"/>
      <c r="C50" s="52"/>
      <c r="D50" s="56" t="s">
        <v>181</v>
      </c>
      <c r="E50" s="120"/>
    </row>
    <row r="51" spans="1:5" s="114" customFormat="1" ht="13.2">
      <c r="A51" s="44"/>
      <c r="B51" s="44"/>
      <c r="C51" s="52"/>
      <c r="D51" s="52"/>
      <c r="E51" s="120"/>
    </row>
    <row r="52" spans="1:5" s="114" customFormat="1" ht="13.2">
      <c r="A52" s="44"/>
      <c r="B52" s="44"/>
      <c r="C52" s="52"/>
      <c r="D52" s="52"/>
      <c r="E52" s="120"/>
    </row>
    <row r="53" spans="1:5" s="114" customFormat="1" ht="13.2">
      <c r="A53" s="44"/>
      <c r="B53" s="44"/>
      <c r="C53" s="52"/>
      <c r="D53" s="52"/>
      <c r="E53" s="120"/>
    </row>
    <row r="54" spans="1:5" s="114" customFormat="1" ht="13.2">
      <c r="A54" s="44"/>
      <c r="B54" s="44"/>
      <c r="C54" s="52"/>
      <c r="D54" s="52"/>
      <c r="E54" s="120"/>
    </row>
    <row r="55" spans="1:5" s="114" customFormat="1" ht="13.2">
      <c r="A55" s="44"/>
      <c r="B55" s="44"/>
      <c r="C55" s="52"/>
      <c r="D55" s="52"/>
      <c r="E55" s="120"/>
    </row>
    <row r="56" spans="1:5" s="114" customFormat="1" ht="13.2">
      <c r="A56" s="44"/>
      <c r="B56" s="44"/>
      <c r="C56" s="52"/>
      <c r="D56" s="52"/>
      <c r="E56" s="120"/>
    </row>
    <row r="57" spans="1:5" s="114" customFormat="1" ht="13.2">
      <c r="A57" s="44"/>
      <c r="B57" s="44"/>
      <c r="C57" s="52"/>
      <c r="D57" s="52"/>
      <c r="E57" s="120"/>
    </row>
    <row r="58" spans="1:5" s="114" customFormat="1" ht="13.2">
      <c r="A58" s="44"/>
      <c r="B58" s="44"/>
      <c r="C58" s="52"/>
      <c r="D58" s="52"/>
      <c r="E58" s="120"/>
    </row>
    <row r="59" spans="1:5" s="114" customFormat="1" ht="13.2">
      <c r="A59" s="44"/>
      <c r="B59" s="44"/>
      <c r="C59" s="52"/>
      <c r="D59" s="52"/>
      <c r="E59" s="120"/>
    </row>
    <row r="60" spans="1:5" s="114" customFormat="1" ht="13.2">
      <c r="A60" s="57"/>
      <c r="B60" s="57"/>
      <c r="C60" s="52"/>
      <c r="D60" s="58"/>
      <c r="E60" s="58"/>
    </row>
    <row r="61" spans="1:5" s="114" customFormat="1" ht="13.2">
      <c r="A61" s="53" t="s">
        <v>182</v>
      </c>
      <c r="B61" s="44"/>
      <c r="C61" s="52"/>
      <c r="D61" s="54" t="s">
        <v>467</v>
      </c>
      <c r="E61" s="120"/>
    </row>
    <row r="62" spans="1:5" s="114" customFormat="1" ht="13.2">
      <c r="A62" s="53" t="s">
        <v>997</v>
      </c>
      <c r="B62" s="44"/>
      <c r="C62" s="52"/>
      <c r="D62" s="54" t="s">
        <v>468</v>
      </c>
      <c r="E62" s="120"/>
    </row>
    <row r="63" spans="1:5" s="114" customFormat="1" ht="13.2">
      <c r="A63" s="44" t="s">
        <v>998</v>
      </c>
      <c r="B63" s="44"/>
      <c r="C63" s="52"/>
      <c r="D63" s="52" t="s">
        <v>469</v>
      </c>
      <c r="E63" s="120"/>
    </row>
    <row r="64" spans="1:5">
      <c r="A64" s="84"/>
      <c r="B64" s="84"/>
      <c r="C64" s="84"/>
      <c r="D64" s="84"/>
      <c r="E64" s="84"/>
    </row>
    <row r="65" spans="1:5">
      <c r="A65" s="84"/>
      <c r="B65" s="84"/>
      <c r="C65" s="84"/>
      <c r="D65" s="84"/>
      <c r="E65" s="84"/>
    </row>
  </sheetData>
  <mergeCells count="25">
    <mergeCell ref="A47:E47"/>
    <mergeCell ref="A5:E5"/>
    <mergeCell ref="C7:E7"/>
    <mergeCell ref="C9:E9"/>
    <mergeCell ref="C11:E11"/>
    <mergeCell ref="C13:E13"/>
    <mergeCell ref="C8:E8"/>
    <mergeCell ref="C10:E10"/>
    <mergeCell ref="C12:E12"/>
    <mergeCell ref="A48:C48"/>
    <mergeCell ref="A1:E1"/>
    <mergeCell ref="A2:E2"/>
    <mergeCell ref="A3:E4"/>
    <mergeCell ref="A30:A36"/>
    <mergeCell ref="A37:A39"/>
    <mergeCell ref="A11:B11"/>
    <mergeCell ref="A12:B12"/>
    <mergeCell ref="A13:B13"/>
    <mergeCell ref="A14:B14"/>
    <mergeCell ref="C14:E14"/>
    <mergeCell ref="A27:A29"/>
    <mergeCell ref="A7:B7"/>
    <mergeCell ref="A9:B9"/>
    <mergeCell ref="A8:B8"/>
    <mergeCell ref="A10:B10"/>
  </mergeCells>
  <printOptions horizontalCentered="1"/>
  <pageMargins left="0.7" right="0.7" top="0.75" bottom="0.75" header="0.3" footer="0.3"/>
  <pageSetup paperSize="9" scale="68" fitToHeight="2" orientation="portrait" r:id="rId1"/>
  <rowBreaks count="1" manualBreakCount="1">
    <brk id="36" max="4" man="1"/>
  </rowBreaks>
  <drawing r:id="rId2"/>
</worksheet>
</file>

<file path=xl/worksheets/sheet11.xml><?xml version="1.0" encoding="utf-8"?>
<worksheet xmlns="http://schemas.openxmlformats.org/spreadsheetml/2006/main" xmlns:r="http://schemas.openxmlformats.org/officeDocument/2006/relationships">
  <sheetPr>
    <tabColor rgb="FF0070C0"/>
    <pageSetUpPr fitToPage="1"/>
  </sheetPr>
  <dimension ref="A1:M46"/>
  <sheetViews>
    <sheetView view="pageBreakPreview" zoomScale="85" zoomScaleNormal="100" zoomScaleSheetLayoutView="85" workbookViewId="0">
      <selection activeCell="G19" sqref="G19"/>
    </sheetView>
  </sheetViews>
  <sheetFormatPr defaultColWidth="9.33203125" defaultRowHeight="14.4"/>
  <cols>
    <col min="1" max="1" width="4.6640625" style="137" customWidth="1"/>
    <col min="2" max="2" width="34.44140625" style="81" customWidth="1"/>
    <col min="3" max="4" width="9.33203125" style="81"/>
    <col min="5" max="5" width="12.33203125" style="81" customWidth="1"/>
    <col min="6" max="6" width="9.33203125" style="81"/>
    <col min="7" max="7" width="15.33203125" style="81" customWidth="1"/>
    <col min="8" max="11" width="19" style="81" customWidth="1"/>
    <col min="12" max="16384" width="9.33203125" style="81"/>
  </cols>
  <sheetData>
    <row r="1" spans="1:13" ht="39" customHeight="1">
      <c r="A1" s="476" t="s">
        <v>990</v>
      </c>
      <c r="B1" s="476"/>
      <c r="C1" s="476"/>
      <c r="D1" s="476"/>
      <c r="E1" s="476"/>
      <c r="F1" s="476"/>
      <c r="G1" s="476"/>
      <c r="H1" s="476"/>
      <c r="I1" s="476"/>
      <c r="J1" s="476"/>
      <c r="K1" s="476"/>
    </row>
    <row r="2" spans="1:13" ht="28.5" customHeight="1">
      <c r="A2" s="444" t="s">
        <v>945</v>
      </c>
      <c r="B2" s="444"/>
      <c r="C2" s="444"/>
      <c r="D2" s="444"/>
      <c r="E2" s="444"/>
      <c r="F2" s="444"/>
      <c r="G2" s="444"/>
      <c r="H2" s="444"/>
      <c r="I2" s="444"/>
      <c r="J2" s="444"/>
      <c r="K2" s="444"/>
    </row>
    <row r="3" spans="1:13" ht="15" customHeight="1">
      <c r="A3" s="445" t="s">
        <v>946</v>
      </c>
      <c r="B3" s="445"/>
      <c r="C3" s="445"/>
      <c r="D3" s="445"/>
      <c r="E3" s="445"/>
      <c r="F3" s="445"/>
      <c r="G3" s="445"/>
      <c r="H3" s="445"/>
      <c r="I3" s="445"/>
      <c r="J3" s="445"/>
      <c r="K3" s="445"/>
    </row>
    <row r="4" spans="1:13">
      <c r="A4" s="445"/>
      <c r="B4" s="445"/>
      <c r="C4" s="445"/>
      <c r="D4" s="445"/>
      <c r="E4" s="445"/>
      <c r="F4" s="445"/>
      <c r="G4" s="445"/>
      <c r="H4" s="445"/>
      <c r="I4" s="445"/>
      <c r="J4" s="445"/>
      <c r="K4" s="445"/>
    </row>
    <row r="5" spans="1:13">
      <c r="A5" s="446" t="s">
        <v>995</v>
      </c>
      <c r="B5" s="446"/>
      <c r="C5" s="446"/>
      <c r="D5" s="446"/>
      <c r="E5" s="446"/>
      <c r="F5" s="446"/>
      <c r="G5" s="446"/>
      <c r="H5" s="446"/>
      <c r="I5" s="446"/>
      <c r="J5" s="446"/>
      <c r="K5" s="446"/>
    </row>
    <row r="6" spans="1:13">
      <c r="A6" s="18"/>
      <c r="B6" s="18"/>
      <c r="C6" s="18"/>
      <c r="D6" s="18"/>
      <c r="E6" s="18"/>
      <c r="F6" s="21"/>
      <c r="G6" s="84"/>
      <c r="H6" s="84"/>
      <c r="I6" s="84"/>
      <c r="J6" s="84"/>
      <c r="K6" s="84"/>
    </row>
    <row r="7" spans="1:13" ht="21" customHeight="1">
      <c r="A7" s="496" t="s">
        <v>463</v>
      </c>
      <c r="B7" s="496"/>
      <c r="C7" s="189"/>
      <c r="D7" s="189"/>
      <c r="E7" s="189"/>
      <c r="F7" s="189"/>
      <c r="G7" s="453" t="s">
        <v>466</v>
      </c>
      <c r="H7" s="453"/>
      <c r="I7" s="453"/>
      <c r="J7" s="453"/>
      <c r="K7" s="84"/>
    </row>
    <row r="8" spans="1:13" ht="15" customHeight="1">
      <c r="A8" s="494" t="s">
        <v>947</v>
      </c>
      <c r="B8" s="494"/>
      <c r="C8" s="189"/>
      <c r="D8" s="189"/>
      <c r="E8" s="189"/>
      <c r="F8" s="189"/>
      <c r="G8" s="495" t="s">
        <v>605</v>
      </c>
      <c r="H8" s="495"/>
      <c r="I8" s="495"/>
      <c r="J8" s="495"/>
      <c r="K8" s="84"/>
    </row>
    <row r="9" spans="1:13" ht="21.75" customHeight="1">
      <c r="A9" s="441" t="s">
        <v>464</v>
      </c>
      <c r="B9" s="441"/>
      <c r="C9" s="189"/>
      <c r="D9" s="189"/>
      <c r="E9" s="189"/>
      <c r="F9" s="189"/>
      <c r="G9" s="453" t="s">
        <v>986</v>
      </c>
      <c r="H9" s="453"/>
      <c r="I9" s="453"/>
      <c r="J9" s="453"/>
      <c r="K9" s="84"/>
    </row>
    <row r="10" spans="1:13" ht="15" customHeight="1">
      <c r="A10" s="473" t="s">
        <v>459</v>
      </c>
      <c r="B10" s="473"/>
      <c r="C10" s="189"/>
      <c r="D10" s="189"/>
      <c r="E10" s="189"/>
      <c r="F10" s="189"/>
      <c r="G10" s="495" t="s">
        <v>460</v>
      </c>
      <c r="H10" s="495"/>
      <c r="I10" s="495"/>
      <c r="J10" s="495"/>
      <c r="K10" s="84"/>
    </row>
    <row r="11" spans="1:13" ht="15" customHeight="1">
      <c r="A11" s="474" t="s">
        <v>389</v>
      </c>
      <c r="B11" s="474"/>
      <c r="C11" s="189"/>
      <c r="D11" s="189"/>
      <c r="E11" s="189"/>
      <c r="F11" s="189"/>
      <c r="G11" s="442" t="s">
        <v>492</v>
      </c>
      <c r="H11" s="442"/>
      <c r="I11" s="442"/>
      <c r="J11" s="442"/>
      <c r="K11" s="84"/>
      <c r="M11" s="364"/>
    </row>
    <row r="12" spans="1:13" ht="15" customHeight="1">
      <c r="A12" s="144" t="s">
        <v>391</v>
      </c>
      <c r="B12" s="158"/>
      <c r="C12" s="189"/>
      <c r="D12" s="189"/>
      <c r="E12" s="189"/>
      <c r="F12" s="189"/>
      <c r="G12" s="495" t="s">
        <v>491</v>
      </c>
      <c r="H12" s="495"/>
      <c r="I12" s="495"/>
      <c r="J12" s="495"/>
      <c r="K12" s="84"/>
    </row>
    <row r="13" spans="1:13" ht="15" customHeight="1">
      <c r="A13" s="60" t="s">
        <v>138</v>
      </c>
      <c r="B13" s="61"/>
      <c r="C13" s="189"/>
      <c r="D13" s="189"/>
      <c r="E13" s="189"/>
      <c r="F13" s="189"/>
      <c r="G13" s="442" t="s">
        <v>996</v>
      </c>
      <c r="H13" s="442"/>
      <c r="I13" s="442"/>
      <c r="J13" s="442"/>
      <c r="K13" s="84"/>
    </row>
    <row r="14" spans="1:13">
      <c r="A14" s="62" t="s">
        <v>139</v>
      </c>
      <c r="B14" s="62"/>
      <c r="C14" s="189"/>
      <c r="D14" s="189"/>
      <c r="E14" s="189"/>
      <c r="F14" s="189"/>
      <c r="G14" s="438">
        <v>43564</v>
      </c>
      <c r="H14" s="438"/>
      <c r="I14" s="438"/>
      <c r="J14" s="438"/>
      <c r="K14" s="84"/>
    </row>
    <row r="15" spans="1:13">
      <c r="A15" s="109"/>
      <c r="B15" s="84"/>
      <c r="C15" s="84"/>
      <c r="D15" s="84"/>
      <c r="E15" s="84"/>
      <c r="F15" s="84"/>
      <c r="G15" s="84"/>
      <c r="H15" s="84"/>
      <c r="I15" s="84"/>
      <c r="J15" s="84"/>
      <c r="K15" s="84"/>
    </row>
    <row r="16" spans="1:13" s="114" customFormat="1" ht="37.5" customHeight="1">
      <c r="A16" s="497" t="s">
        <v>339</v>
      </c>
      <c r="B16" s="497" t="s">
        <v>340</v>
      </c>
      <c r="C16" s="501" t="s">
        <v>222</v>
      </c>
      <c r="D16" s="497" t="s">
        <v>341</v>
      </c>
      <c r="E16" s="497" t="s">
        <v>342</v>
      </c>
      <c r="F16" s="497" t="s">
        <v>343</v>
      </c>
      <c r="G16" s="497" t="s">
        <v>344</v>
      </c>
      <c r="H16" s="499" t="s">
        <v>345</v>
      </c>
      <c r="I16" s="500"/>
      <c r="J16" s="499" t="s">
        <v>348</v>
      </c>
      <c r="K16" s="500"/>
    </row>
    <row r="17" spans="1:11" s="114" customFormat="1" ht="58.5" customHeight="1">
      <c r="A17" s="498"/>
      <c r="B17" s="498"/>
      <c r="C17" s="502"/>
      <c r="D17" s="498"/>
      <c r="E17" s="498"/>
      <c r="F17" s="498"/>
      <c r="G17" s="498"/>
      <c r="H17" s="135" t="s">
        <v>346</v>
      </c>
      <c r="I17" s="135" t="s">
        <v>347</v>
      </c>
      <c r="J17" s="135" t="s">
        <v>349</v>
      </c>
      <c r="K17" s="135" t="s">
        <v>347</v>
      </c>
    </row>
    <row r="18" spans="1:11" s="114" customFormat="1" ht="34.5" customHeight="1">
      <c r="A18" s="121" t="s">
        <v>63</v>
      </c>
      <c r="B18" s="126" t="s">
        <v>356</v>
      </c>
      <c r="C18" s="126" t="s">
        <v>64</v>
      </c>
      <c r="D18" s="127"/>
      <c r="E18" s="127"/>
      <c r="F18" s="128"/>
      <c r="G18" s="129"/>
      <c r="H18" s="126"/>
      <c r="I18" s="80"/>
      <c r="J18" s="130"/>
      <c r="K18" s="131"/>
    </row>
    <row r="19" spans="1:11" s="114" customFormat="1" ht="45.75" customHeight="1">
      <c r="A19" s="121" t="s">
        <v>43</v>
      </c>
      <c r="B19" s="126" t="s">
        <v>357</v>
      </c>
      <c r="C19" s="126" t="s">
        <v>65</v>
      </c>
      <c r="D19" s="128"/>
      <c r="E19" s="128"/>
      <c r="F19" s="128"/>
      <c r="G19" s="129"/>
      <c r="H19" s="126"/>
      <c r="I19" s="80"/>
      <c r="J19" s="126"/>
      <c r="K19" s="80"/>
    </row>
    <row r="20" spans="1:11" s="114" customFormat="1" ht="45.75" customHeight="1">
      <c r="A20" s="121" t="s">
        <v>66</v>
      </c>
      <c r="B20" s="126" t="s">
        <v>350</v>
      </c>
      <c r="C20" s="126" t="s">
        <v>67</v>
      </c>
      <c r="D20" s="128"/>
      <c r="E20" s="128"/>
      <c r="F20" s="128"/>
      <c r="G20" s="127"/>
      <c r="H20" s="126"/>
      <c r="I20" s="132"/>
      <c r="J20" s="126"/>
      <c r="K20" s="132"/>
    </row>
    <row r="21" spans="1:11" s="114" customFormat="1" ht="44.25" customHeight="1">
      <c r="A21" s="121" t="s">
        <v>49</v>
      </c>
      <c r="B21" s="126" t="s">
        <v>351</v>
      </c>
      <c r="C21" s="126" t="s">
        <v>68</v>
      </c>
      <c r="D21" s="128"/>
      <c r="E21" s="128"/>
      <c r="F21" s="128"/>
      <c r="G21" s="129"/>
      <c r="H21" s="126"/>
      <c r="I21" s="80"/>
      <c r="J21" s="126"/>
      <c r="K21" s="80"/>
    </row>
    <row r="22" spans="1:11" s="114" customFormat="1" ht="44.25" customHeight="1">
      <c r="A22" s="121" t="s">
        <v>69</v>
      </c>
      <c r="B22" s="126" t="s">
        <v>358</v>
      </c>
      <c r="C22" s="126" t="s">
        <v>70</v>
      </c>
      <c r="D22" s="128"/>
      <c r="E22" s="128"/>
      <c r="F22" s="128"/>
      <c r="G22" s="129"/>
      <c r="H22" s="126"/>
      <c r="I22" s="80"/>
      <c r="J22" s="126"/>
      <c r="K22" s="80"/>
    </row>
    <row r="23" spans="1:11" s="114" customFormat="1" ht="44.25" customHeight="1">
      <c r="A23" s="121" t="s">
        <v>71</v>
      </c>
      <c r="B23" s="126" t="s">
        <v>352</v>
      </c>
      <c r="C23" s="126" t="s">
        <v>72</v>
      </c>
      <c r="D23" s="128"/>
      <c r="E23" s="128"/>
      <c r="F23" s="128"/>
      <c r="G23" s="129"/>
      <c r="H23" s="126"/>
      <c r="I23" s="80"/>
      <c r="J23" s="126"/>
      <c r="K23" s="80"/>
    </row>
    <row r="24" spans="1:11" s="114" customFormat="1" ht="44.25" customHeight="1">
      <c r="A24" s="121" t="s">
        <v>43</v>
      </c>
      <c r="B24" s="126" t="s">
        <v>353</v>
      </c>
      <c r="C24" s="126" t="s">
        <v>73</v>
      </c>
      <c r="D24" s="128"/>
      <c r="E24" s="128"/>
      <c r="F24" s="128"/>
      <c r="G24" s="129"/>
      <c r="H24" s="126"/>
      <c r="I24" s="80"/>
      <c r="J24" s="126"/>
      <c r="K24" s="80"/>
    </row>
    <row r="25" spans="1:11" s="114" customFormat="1" ht="44.25" customHeight="1">
      <c r="A25" s="121" t="s">
        <v>74</v>
      </c>
      <c r="B25" s="126" t="s">
        <v>354</v>
      </c>
      <c r="C25" s="126" t="s">
        <v>75</v>
      </c>
      <c r="D25" s="128"/>
      <c r="E25" s="128"/>
      <c r="F25" s="128"/>
      <c r="G25" s="129"/>
      <c r="H25" s="126"/>
      <c r="I25" s="80"/>
      <c r="J25" s="126"/>
      <c r="K25" s="80"/>
    </row>
    <row r="26" spans="1:11" s="114" customFormat="1" ht="44.25" customHeight="1">
      <c r="A26" s="121" t="s">
        <v>49</v>
      </c>
      <c r="B26" s="126" t="s">
        <v>355</v>
      </c>
      <c r="C26" s="126" t="s">
        <v>76</v>
      </c>
      <c r="D26" s="128"/>
      <c r="E26" s="128"/>
      <c r="F26" s="128"/>
      <c r="G26" s="129"/>
      <c r="H26" s="126"/>
      <c r="I26" s="80"/>
      <c r="J26" s="126"/>
      <c r="K26" s="80"/>
    </row>
    <row r="27" spans="1:11" s="114" customFormat="1" ht="44.25" customHeight="1">
      <c r="A27" s="121" t="s">
        <v>77</v>
      </c>
      <c r="B27" s="126" t="s">
        <v>359</v>
      </c>
      <c r="C27" s="126" t="s">
        <v>78</v>
      </c>
      <c r="D27" s="128"/>
      <c r="E27" s="128"/>
      <c r="F27" s="128"/>
      <c r="G27" s="129"/>
      <c r="H27" s="126"/>
      <c r="I27" s="80"/>
      <c r="J27" s="126"/>
      <c r="K27" s="80"/>
    </row>
    <row r="28" spans="1:11" s="114" customFormat="1" ht="13.2">
      <c r="A28" s="115"/>
      <c r="B28" s="133"/>
      <c r="C28" s="133"/>
      <c r="D28" s="128"/>
      <c r="E28" s="128"/>
      <c r="F28" s="128"/>
      <c r="G28" s="129"/>
      <c r="H28" s="126"/>
      <c r="I28" s="80"/>
      <c r="J28" s="130"/>
      <c r="K28" s="131"/>
    </row>
    <row r="29" spans="1:11" s="114" customFormat="1" ht="13.2">
      <c r="A29" s="134"/>
      <c r="B29" s="120"/>
      <c r="C29" s="120"/>
      <c r="D29" s="120"/>
      <c r="E29" s="120"/>
      <c r="F29" s="120"/>
      <c r="G29" s="120"/>
      <c r="H29" s="120"/>
      <c r="I29" s="120"/>
      <c r="J29" s="120"/>
      <c r="K29" s="120"/>
    </row>
    <row r="30" spans="1:11" s="114" customFormat="1" ht="13.2">
      <c r="A30" s="134"/>
      <c r="B30" s="120"/>
      <c r="C30" s="120"/>
      <c r="D30" s="120"/>
      <c r="E30" s="120"/>
      <c r="F30" s="120"/>
      <c r="G30" s="120"/>
      <c r="H30" s="120"/>
      <c r="I30" s="120"/>
      <c r="J30" s="120"/>
      <c r="K30" s="120"/>
    </row>
    <row r="31" spans="1:11" s="114" customFormat="1" ht="13.2">
      <c r="A31" s="134"/>
      <c r="B31" s="120"/>
      <c r="C31" s="120"/>
      <c r="D31" s="120"/>
      <c r="E31" s="120"/>
      <c r="F31" s="120"/>
      <c r="G31" s="120"/>
      <c r="H31" s="120"/>
      <c r="I31" s="120"/>
      <c r="J31" s="120"/>
      <c r="K31" s="120"/>
    </row>
    <row r="32" spans="1:11" s="114" customFormat="1" ht="13.2">
      <c r="A32" s="53" t="s">
        <v>178</v>
      </c>
      <c r="B32" s="44"/>
      <c r="C32" s="52"/>
      <c r="D32" s="120"/>
      <c r="E32" s="120"/>
      <c r="F32" s="120"/>
      <c r="G32" s="120"/>
      <c r="H32" s="120"/>
      <c r="I32" s="54" t="s">
        <v>179</v>
      </c>
      <c r="J32" s="120"/>
      <c r="K32" s="120"/>
    </row>
    <row r="33" spans="1:11" s="114" customFormat="1" ht="13.2">
      <c r="A33" s="55" t="s">
        <v>180</v>
      </c>
      <c r="B33" s="44"/>
      <c r="C33" s="52"/>
      <c r="D33" s="120"/>
      <c r="E33" s="120"/>
      <c r="F33" s="120"/>
      <c r="G33" s="120"/>
      <c r="H33" s="120"/>
      <c r="I33" s="56" t="s">
        <v>181</v>
      </c>
      <c r="J33" s="120"/>
      <c r="K33" s="120"/>
    </row>
    <row r="34" spans="1:11">
      <c r="A34" s="44"/>
      <c r="B34" s="44"/>
      <c r="C34" s="52"/>
      <c r="D34" s="84"/>
      <c r="E34" s="84"/>
      <c r="F34" s="84"/>
      <c r="G34" s="84"/>
      <c r="H34" s="84"/>
      <c r="I34" s="52"/>
      <c r="J34" s="84"/>
      <c r="K34" s="84"/>
    </row>
    <row r="35" spans="1:11">
      <c r="A35" s="44"/>
      <c r="B35" s="44"/>
      <c r="C35" s="52"/>
      <c r="D35" s="84"/>
      <c r="E35" s="84"/>
      <c r="F35" s="84"/>
      <c r="G35" s="84"/>
      <c r="H35" s="84"/>
      <c r="I35" s="52"/>
      <c r="J35" s="84"/>
      <c r="K35" s="84"/>
    </row>
    <row r="36" spans="1:11">
      <c r="A36" s="44"/>
      <c r="B36" s="44"/>
      <c r="C36" s="52"/>
      <c r="D36" s="84"/>
      <c r="E36" s="84"/>
      <c r="F36" s="84"/>
      <c r="G36" s="84"/>
      <c r="H36" s="84"/>
      <c r="I36" s="52"/>
      <c r="J36" s="84"/>
      <c r="K36" s="84"/>
    </row>
    <row r="37" spans="1:11">
      <c r="A37" s="44"/>
      <c r="B37" s="44"/>
      <c r="C37" s="52"/>
      <c r="D37" s="84"/>
      <c r="E37" s="84"/>
      <c r="F37" s="84"/>
      <c r="G37" s="84"/>
      <c r="H37" s="84"/>
      <c r="I37" s="52"/>
      <c r="J37" s="84"/>
      <c r="K37" s="84"/>
    </row>
    <row r="38" spans="1:11">
      <c r="A38" s="44"/>
      <c r="B38" s="44"/>
      <c r="C38" s="52"/>
      <c r="D38" s="84"/>
      <c r="E38" s="84"/>
      <c r="F38" s="84"/>
      <c r="G38" s="84"/>
      <c r="H38" s="84"/>
      <c r="I38" s="52"/>
      <c r="J38" s="84"/>
      <c r="K38" s="84"/>
    </row>
    <row r="39" spans="1:11">
      <c r="A39" s="44"/>
      <c r="B39" s="44"/>
      <c r="C39" s="52"/>
      <c r="D39" s="84"/>
      <c r="E39" s="84"/>
      <c r="F39" s="84"/>
      <c r="G39" s="84"/>
      <c r="H39" s="84"/>
      <c r="I39" s="52"/>
      <c r="J39" s="84"/>
      <c r="K39" s="84"/>
    </row>
    <row r="40" spans="1:11">
      <c r="A40" s="44"/>
      <c r="B40" s="44"/>
      <c r="C40" s="52"/>
      <c r="D40" s="84"/>
      <c r="E40" s="84"/>
      <c r="F40" s="84"/>
      <c r="G40" s="84"/>
      <c r="H40" s="84"/>
      <c r="I40" s="52"/>
      <c r="J40" s="84"/>
      <c r="K40" s="84"/>
    </row>
    <row r="41" spans="1:11">
      <c r="A41" s="44"/>
      <c r="B41" s="44"/>
      <c r="C41" s="52"/>
      <c r="D41" s="84"/>
      <c r="E41" s="84"/>
      <c r="F41" s="84"/>
      <c r="G41" s="84"/>
      <c r="H41" s="84"/>
      <c r="I41" s="52"/>
      <c r="J41" s="84"/>
      <c r="K41" s="84"/>
    </row>
    <row r="42" spans="1:11">
      <c r="A42" s="57"/>
      <c r="B42" s="57"/>
      <c r="C42" s="52"/>
      <c r="D42" s="84"/>
      <c r="E42" s="84"/>
      <c r="F42" s="84"/>
      <c r="G42" s="84"/>
      <c r="H42" s="84"/>
      <c r="I42" s="58"/>
      <c r="J42" s="136"/>
      <c r="K42" s="136"/>
    </row>
    <row r="43" spans="1:11">
      <c r="A43" s="53" t="s">
        <v>182</v>
      </c>
      <c r="B43" s="44"/>
      <c r="C43" s="52"/>
      <c r="D43" s="84"/>
      <c r="E43" s="84"/>
      <c r="F43" s="84"/>
      <c r="G43" s="84"/>
      <c r="H43" s="84"/>
      <c r="I43" s="54" t="s">
        <v>467</v>
      </c>
      <c r="J43" s="84"/>
      <c r="K43" s="84"/>
    </row>
    <row r="44" spans="1:11">
      <c r="A44" s="53" t="s">
        <v>997</v>
      </c>
      <c r="B44" s="44"/>
      <c r="C44" s="52"/>
      <c r="D44" s="84"/>
      <c r="E44" s="84"/>
      <c r="F44" s="84"/>
      <c r="G44" s="84"/>
      <c r="H44" s="84"/>
      <c r="I44" s="54" t="s">
        <v>468</v>
      </c>
      <c r="J44" s="84"/>
      <c r="K44" s="84"/>
    </row>
    <row r="45" spans="1:11">
      <c r="A45" s="44" t="s">
        <v>998</v>
      </c>
      <c r="B45" s="44"/>
      <c r="C45" s="52"/>
      <c r="D45" s="84"/>
      <c r="E45" s="84"/>
      <c r="F45" s="84"/>
      <c r="G45" s="84"/>
      <c r="H45" s="84"/>
      <c r="I45" s="52" t="s">
        <v>469</v>
      </c>
      <c r="J45" s="84"/>
      <c r="K45" s="84"/>
    </row>
    <row r="46" spans="1:11">
      <c r="A46" s="109"/>
      <c r="B46" s="84"/>
      <c r="C46" s="84"/>
      <c r="D46" s="84"/>
      <c r="E46" s="84"/>
      <c r="F46" s="84"/>
      <c r="G46" s="84"/>
      <c r="H46" s="84"/>
      <c r="I46" s="84"/>
      <c r="J46" s="84"/>
      <c r="K46" s="84"/>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44" right="0.24" top="0.75" bottom="0.75" header="0.3" footer="0.3"/>
  <pageSetup paperSize="9" scale="57"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r8qSClraL879TQ6glsQW4DbzvKE=</DigestValue>
    </Reference>
    <Reference URI="#idOfficeObject" Type="http://www.w3.org/2000/09/xmldsig#Object">
      <DigestMethod Algorithm="http://www.w3.org/2000/09/xmldsig#sha1"/>
      <DigestValue>G3MnDgWhQX8Tx3+3dpx0MCPD4EA=</DigestValue>
    </Reference>
  </SignedInfo>
  <SignatureValue>
    IniJY4j29vdZwPoT/4B9uQPeRxv4kwgeLDth11ZmLyNT62Z8SYOKZrh4eXTx+vuH080MogoZ
    hiqvGi7m8wRKs+HzOipYv6leulxFxvESo2dk1FlfJdcaJCHs6bwqj4CtlPRv8KAbXaXzyCoU
    AeaRRje7rHS547E74KOohIaLbgA=
  </SignatureValue>
  <KeyInfo>
    <KeyValue>
      <RSAKeyValue>
        <Modulus>
            0NMwQHCgAPTEvx6QFfWHfwsY/NoZIpe+htfucr2aNubHl3U5Nqf470el4hnJfsDOQ/Yf5jIw
            9dnfL/EZNRhwVgrKYYSFubg1lIZf+6nO/d+lrpnRlwZhCPXXylKDXt0nYYFCGf+A7J9ttgAZ
            BfxqrXdfSUZr53SIeVrpVskr4k0=
          </Modulus>
        <Exponent>AQAB</Exponent>
      </RSAKeyValue>
    </KeyValue>
    <X509Data>
      <X509Certificate>
          MIIF1TCCA72gAwIBAgIQVAEBAS8sSUWzsiRrSkK4NDANBgkqhkiG9w0BAQUFADBpMQswCQYD
          VQQGEwJWTjETMBEGA1UEChMKVk5QVCBHcm91cDEeMBwGA1UECxMVVk5QVC1DQSBUcnVzdCBO
          ZXR3b3JrMSUwIwYDVQQDExxWTlBUIENlcnRpZmljYXRpb24gQXV0aG9yaXR5MB4XDTE5MDMy
          OTA1MzgwMFoXDTE5MTIxNjA2NTgwOFowgaUxCzAJBgNVBAYTAlZOMRIwEAYDVQQIDAlIw4Ag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AoGBANDTMEBwoAD0xL8ekBX1h38LGPzaGSKXvobX7nK9mjbmx5d1OTan+O9HpeIZyX7AzkP2
          H+YyMPXZ3y/xGTUYcFYKymGEhbm4NZSGX/upzv3fpa6Z0ZcGYQj118pSg17dJ2GBQhn/gOyf
          bbYAGQX8aq13X0lGa+d0iHla6VbJK+JNAgMBAAGjggG+MIIBujBwBggrBgEFBQcBAQRkMGIw
          MgYIKwYBBQUHMAKGJmh0dHA6Ly9wdWIudm5wdC1jYS52bi9jZXJ0cy92bnB0Y2EuY2VyMCwG
          CCsGAQUFBzABhiBodHRwOi8vb2NzcC52bnB0LWNhLnZuL3Jlc3BvbmRlcjAdBgNVHQ4EFgQU
          ZJiBN+/A8xoGKiTzDbwCey7myzQwDAYDVR0TAQH/BAIwADAfBgNVHSMEGDAWgBQGacDV1QKK
          FY1Gfel84mgKVaxqrzBoBgNVHSAEYTBfMF0GDisGAQQBge0DAQEDAQEBMEswIgYIKwYBBQUH
          AgIwFh4UAE8ASQBEAC0AUwBUAC0AMQAuADAwJQYIKwYBBQUHAgEWGWh0dHA6Ly9wdWIudm5w
          dC1jYS52bi9ycGEwMQYDVR0fBCowKDAmoCSgIoYgaHR0cDovL2NybC52bnB0LWNhLnZuL3Zu
          cHRjYS5jcmwwDgYDVR0PAQH/BAQDAgTwMCAGA1UdJQQZMBcGCisGAQQBgjcKAwwGCSqGSIb3
          LwEBBTApBgNVHREEIjAggR52bi5zZXJjdXJpdGllcy1zZXJ2aWNlc0BzYy5jb20wDQYJKoZI
          hvcNAQEFBQADggIBADVLXNPhC1Z32uZhmlDEEwLisldzu8F56Cs7yUjROSWLdiIl0Z/sNcfD
          VQa4BSNOSV8hFA9nkwldqt0HGpRQwinJ4uRtQoA031+BocsVu+zo8hYEHT+K75GTw8iUPA+y
          Ftc3XCXRsArJftS9tqISFDtFjqmE8KUUcw1dDQH1WfZ7Rmgkcx1+qWwKoL6udaTEE7VYDe6q
          t50yGxyR4I0XtjtEBkX0girNgfQc/m8qLUSE8gRKsqt4gEAe1EVsDzXkMTv/yaDMAvdN4kDR
          gfZ4yzW682+cwI5O811dKXHo1RqPvjlLlwIjDVB37t4ytWAqH+Md3LeSnXJujAyeBgsWcX6Y
          al905tXviL6vDAkbSy5MOTUh9sCyE0LnJcOnt0XeApm1Po0C1CtiSZBjTSeAJDHXDTViPpBj
          SU1w9YjDaf14mTT8KPLXs8q5T+VoP6fgXAeSmF+EQ8HYyvvoUeIbnULBE/TPG1FbU+22LgcO
          20Rkk9/E7LyC4kstEqOTc2CClWZRnJupsPxIL2CizBnwWumQ0WxhVEwq/r8+UWr2T5Kx0fC7
          aCBXbRYw4+C/wn4SS52to1Ewmoy3bT4ARROUOJujY1Zsp2IcHcGZuJDm9FJyvHN3X0uKonE0
          QkV2aZj3rQgPhgr3CaDK1uk5G1MXcQ+kbCxG7iUxunoYSL9SZZ5J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e6EjjVXi7TgJboLDkxdcAGm6NaA=</DigestValue>
      </Reference>
      <Reference URI="/xl/calcChain.xml?ContentType=application/vnd.openxmlformats-officedocument.spreadsheetml.calcChain+xml">
        <DigestMethod Algorithm="http://www.w3.org/2000/09/xmldsig#sha1"/>
        <DigestValue>OifFGa21vyKSKaZaoLkujmSy4dc=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10.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CrH95yKXAvCEoJ9cgqirp1ltGAo=</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JxWuq8HJb2GECGNHEKmvSep53V8=</DigestValue>
      </Reference>
      <Reference URI="/xl/drawings/drawing10.xml?ContentType=application/vnd.openxmlformats-officedocument.drawing+xml">
        <DigestMethod Algorithm="http://www.w3.org/2000/09/xmldsig#sha1"/>
        <DigestValue>67d/lqBpZU+TgOtucWt/hkXKKOY=</DigestValue>
      </Reference>
      <Reference URI="/xl/drawings/drawing2.xml?ContentType=application/vnd.openxmlformats-officedocument.drawing+xml">
        <DigestMethod Algorithm="http://www.w3.org/2000/09/xmldsig#sha1"/>
        <DigestValue>vEg/YqbTZ6vjLbCeE4QvL8/DW5Q=</DigestValue>
      </Reference>
      <Reference URI="/xl/drawings/drawing3.xml?ContentType=application/vnd.openxmlformats-officedocument.drawing+xml">
        <DigestMethod Algorithm="http://www.w3.org/2000/09/xmldsig#sha1"/>
        <DigestValue>np1GehMSEiWKr9e1il6Neyzq0oQ=</DigestValue>
      </Reference>
      <Reference URI="/xl/drawings/drawing4.xml?ContentType=application/vnd.openxmlformats-officedocument.drawing+xml">
        <DigestMethod Algorithm="http://www.w3.org/2000/09/xmldsig#sha1"/>
        <DigestValue>xhE9j6ONsWJz+1EW/r5xLfYnJdE=</DigestValue>
      </Reference>
      <Reference URI="/xl/drawings/drawing5.xml?ContentType=application/vnd.openxmlformats-officedocument.drawing+xml">
        <DigestMethod Algorithm="http://www.w3.org/2000/09/xmldsig#sha1"/>
        <DigestValue>0wDk9JDGKLRqfIbiJ1pWhwFxzCA=</DigestValue>
      </Reference>
      <Reference URI="/xl/drawings/drawing6.xml?ContentType=application/vnd.openxmlformats-officedocument.drawing+xml">
        <DigestMethod Algorithm="http://www.w3.org/2000/09/xmldsig#sha1"/>
        <DigestValue>lk3aeeD/buGeU/cnqzlAnOSEMvw=</DigestValue>
      </Reference>
      <Reference URI="/xl/drawings/drawing7.xml?ContentType=application/vnd.openxmlformats-officedocument.drawing+xml">
        <DigestMethod Algorithm="http://www.w3.org/2000/09/xmldsig#sha1"/>
        <DigestValue>zJfsaISa0RXIGytVB5edQrn/2lU=</DigestValue>
      </Reference>
      <Reference URI="/xl/drawings/drawing8.xml?ContentType=application/vnd.openxmlformats-officedocument.drawing+xml">
        <DigestMethod Algorithm="http://www.w3.org/2000/09/xmldsig#sha1"/>
        <DigestValue>Li+Poxmh2nNBwjM03+SliP5jEkg=</DigestValue>
      </Reference>
      <Reference URI="/xl/drawings/drawing9.xml?ContentType=application/vnd.openxmlformats-officedocument.drawing+xml">
        <DigestMethod Algorithm="http://www.w3.org/2000/09/xmldsig#sha1"/>
        <DigestValue>iM4X+yJllnTA0qYj7Kl91QgBr1Y=</DigestValue>
      </Reference>
      <Reference URI="/xl/media/image1.png?ContentType=image/png">
        <DigestMethod Algorithm="http://www.w3.org/2000/09/xmldsig#sha1"/>
        <DigestValue>7HLeWRFPtIfwPU1J5b9/JMp46JI=</DigestValue>
      </Reference>
      <Reference URI="/xl/media/image2.jpeg?ContentType=image/jpeg">
        <DigestMethod Algorithm="http://www.w3.org/2000/09/xmldsig#sha1"/>
        <DigestValue>veLPywS3qMttB+SJD540SWbI7Bg=</DigestValue>
      </Reference>
      <Reference URI="/xl/printerSettings/printerSettings1.bin?ContentType=application/vnd.openxmlformats-officedocument.spreadsheetml.printerSettings">
        <DigestMethod Algorithm="http://www.w3.org/2000/09/xmldsig#sha1"/>
        <DigestValue>n/+pycgWciH/ccfTEPLFzLLtkko=</DigestValue>
      </Reference>
      <Reference URI="/xl/printerSettings/printerSettings10.bin?ContentType=application/vnd.openxmlformats-officedocument.spreadsheetml.printerSettings">
        <DigestMethod Algorithm="http://www.w3.org/2000/09/xmldsig#sha1"/>
        <DigestValue>n/+pycgWciH/ccfTEPLFzLLtkko=</DigestValue>
      </Reference>
      <Reference URI="/xl/printerSettings/printerSettings11.bin?ContentType=application/vnd.openxmlformats-officedocument.spreadsheetml.printerSettings">
        <DigestMethod Algorithm="http://www.w3.org/2000/09/xmldsig#sha1"/>
        <DigestValue>EE5reqe/NiYhdOkdT0jv2eazPsE=</DigestValue>
      </Reference>
      <Reference URI="/xl/printerSettings/printerSettings2.bin?ContentType=application/vnd.openxmlformats-officedocument.spreadsheetml.printerSettings">
        <DigestMethod Algorithm="http://www.w3.org/2000/09/xmldsig#sha1"/>
        <DigestValue>EE5reqe/NiYhdOkdT0jv2eazPsE=</DigestValue>
      </Reference>
      <Reference URI="/xl/printerSettings/printerSettings3.bin?ContentType=application/vnd.openxmlformats-officedocument.spreadsheetml.printerSettings">
        <DigestMethod Algorithm="http://www.w3.org/2000/09/xmldsig#sha1"/>
        <DigestValue>CNz4AiT9voQwx1EVzdBpRVPCfLU=</DigestValue>
      </Reference>
      <Reference URI="/xl/printerSettings/printerSettings4.bin?ContentType=application/vnd.openxmlformats-officedocument.spreadsheetml.printerSettings">
        <DigestMethod Algorithm="http://www.w3.org/2000/09/xmldsig#sha1"/>
        <DigestValue>8468+6B6KCt/xQKOJAJl5Mi7Rj4=</DigestValue>
      </Reference>
      <Reference URI="/xl/printerSettings/printerSettings5.bin?ContentType=application/vnd.openxmlformats-officedocument.spreadsheetml.printerSettings">
        <DigestMethod Algorithm="http://www.w3.org/2000/09/xmldsig#sha1"/>
        <DigestValue>EE5reqe/NiYhdOkdT0jv2eazPsE=</DigestValue>
      </Reference>
      <Reference URI="/xl/printerSettings/printerSettings6.bin?ContentType=application/vnd.openxmlformats-officedocument.spreadsheetml.printerSettings">
        <DigestMethod Algorithm="http://www.w3.org/2000/09/xmldsig#sha1"/>
        <DigestValue>CNz4AiT9voQwx1EVzdBpRVPCfLU=</DigestValue>
      </Reference>
      <Reference URI="/xl/printerSettings/printerSettings7.bin?ContentType=application/vnd.openxmlformats-officedocument.spreadsheetml.printerSettings">
        <DigestMethod Algorithm="http://www.w3.org/2000/09/xmldsig#sha1"/>
        <DigestValue>8468+6B6KCt/xQKOJAJl5Mi7Rj4=</DigestValue>
      </Reference>
      <Reference URI="/xl/printerSettings/printerSettings8.bin?ContentType=application/vnd.openxmlformats-officedocument.spreadsheetml.printerSettings">
        <DigestMethod Algorithm="http://www.w3.org/2000/09/xmldsig#sha1"/>
        <DigestValue>EE5reqe/NiYhdOkdT0jv2eazPsE=</DigestValue>
      </Reference>
      <Reference URI="/xl/printerSettings/printerSettings9.bin?ContentType=application/vnd.openxmlformats-officedocument.spreadsheetml.printerSettings">
        <DigestMethod Algorithm="http://www.w3.org/2000/09/xmldsig#sha1"/>
        <DigestValue>8468+6B6KCt/xQKOJAJl5Mi7Rj4=</DigestValue>
      </Reference>
      <Reference URI="/xl/sharedStrings.xml?ContentType=application/vnd.openxmlformats-officedocument.spreadsheetml.sharedStrings+xml">
        <DigestMethod Algorithm="http://www.w3.org/2000/09/xmldsig#sha1"/>
        <DigestValue>iCrLr+evGtPV42ObmrPp1NVvyeY=</DigestValue>
      </Reference>
      <Reference URI="/xl/styles.xml?ContentType=application/vnd.openxmlformats-officedocument.spreadsheetml.styles+xml">
        <DigestMethod Algorithm="http://www.w3.org/2000/09/xmldsig#sha1"/>
        <DigestValue>uCtDcZetDceR1X7fx2AyqUEZKdU=</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1Fxu3BuHqCwpOzqilkd/Cg8RwhQ=</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1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Gh6Qt25fDWsEeuIlcT1xrmosXEo=</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JMiKwVDTJbEqQhT2ImcSD+iF/NA=</DigestValue>
      </Reference>
      <Reference URI="/xl/worksheets/sheet10.xml?ContentType=application/vnd.openxmlformats-officedocument.spreadsheetml.worksheet+xml">
        <DigestMethod Algorithm="http://www.w3.org/2000/09/xmldsig#sha1"/>
        <DigestValue>VJ6O8Tj25+Hv7C6d/ZQvyjCPYt0=</DigestValue>
      </Reference>
      <Reference URI="/xl/worksheets/sheet11.xml?ContentType=application/vnd.openxmlformats-officedocument.spreadsheetml.worksheet+xml">
        <DigestMethod Algorithm="http://www.w3.org/2000/09/xmldsig#sha1"/>
        <DigestValue>QEC0k1DdZR9e/951sjqN/OBQ0mk=</DigestValue>
      </Reference>
      <Reference URI="/xl/worksheets/sheet2.xml?ContentType=application/vnd.openxmlformats-officedocument.spreadsheetml.worksheet+xml">
        <DigestMethod Algorithm="http://www.w3.org/2000/09/xmldsig#sha1"/>
        <DigestValue>1F3LE8NWjuBD2KThfC0rRimS7bg=</DigestValue>
      </Reference>
      <Reference URI="/xl/worksheets/sheet3.xml?ContentType=application/vnd.openxmlformats-officedocument.spreadsheetml.worksheet+xml">
        <DigestMethod Algorithm="http://www.w3.org/2000/09/xmldsig#sha1"/>
        <DigestValue>8eFWUFAeLwf7GPN+eW5Szb5JSSk=</DigestValue>
      </Reference>
      <Reference URI="/xl/worksheets/sheet4.xml?ContentType=application/vnd.openxmlformats-officedocument.spreadsheetml.worksheet+xml">
        <DigestMethod Algorithm="http://www.w3.org/2000/09/xmldsig#sha1"/>
        <DigestValue>3fe99PmZCsAnONnFmvlf3ml29lQ=</DigestValue>
      </Reference>
      <Reference URI="/xl/worksheets/sheet5.xml?ContentType=application/vnd.openxmlformats-officedocument.spreadsheetml.worksheet+xml">
        <DigestMethod Algorithm="http://www.w3.org/2000/09/xmldsig#sha1"/>
        <DigestValue>9MGWkThVjADX0NgPkfERb2y2Ius=</DigestValue>
      </Reference>
      <Reference URI="/xl/worksheets/sheet6.xml?ContentType=application/vnd.openxmlformats-officedocument.spreadsheetml.worksheet+xml">
        <DigestMethod Algorithm="http://www.w3.org/2000/09/xmldsig#sha1"/>
        <DigestValue>4jKU0nu4WCqxt409aOw7JYnQwYs=</DigestValue>
      </Reference>
      <Reference URI="/xl/worksheets/sheet7.xml?ContentType=application/vnd.openxmlformats-officedocument.spreadsheetml.worksheet+xml">
        <DigestMethod Algorithm="http://www.w3.org/2000/09/xmldsig#sha1"/>
        <DigestValue>yVBkBxMJATVL0pXIDwWgvxK1Abc=</DigestValue>
      </Reference>
      <Reference URI="/xl/worksheets/sheet8.xml?ContentType=application/vnd.openxmlformats-officedocument.spreadsheetml.worksheet+xml">
        <DigestMethod Algorithm="http://www.w3.org/2000/09/xmldsig#sha1"/>
        <DigestValue>i2b5/9ZRvyaEV6BApLDDJJRpPRU=</DigestValue>
      </Reference>
      <Reference URI="/xl/worksheets/sheet9.xml?ContentType=application/vnd.openxmlformats-officedocument.spreadsheetml.worksheet+xml">
        <DigestMethod Algorithm="http://www.w3.org/2000/09/xmldsig#sha1"/>
        <DigestValue>QNSpvjdK9WjZaC0kUsFYl+Ot0aI=</DigestValue>
      </Reference>
    </Manifest>
    <SignatureProperties>
      <SignatureProperty Id="idSignatureTime" Target="#idPackageSignature">
        <mdssi:SignatureTime>
          <mdssi:Format>YYYY-MM-DDThh:mm:ssTZD</mdssi:Format>
          <mdssi:Value>2019-04-16T09:24:25Z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19</vt:i4>
      </vt:variant>
    </vt:vector>
  </HeadingPairs>
  <TitlesOfParts>
    <vt:vector size="30" baseType="lpstr">
      <vt:lpstr>Tong quat</vt:lpstr>
      <vt:lpstr>BCthunhap</vt:lpstr>
      <vt:lpstr>BCtinhhinhtaichinh</vt:lpstr>
      <vt:lpstr>BCLCGT_06262</vt:lpstr>
      <vt:lpstr>BCTaiSan_06027</vt:lpstr>
      <vt:lpstr>BCKetQuaHoatDong_06028</vt:lpstr>
      <vt:lpstr>Thongke phi giao dich</vt:lpstr>
      <vt:lpstr>BCDanhMucDauTu_06029</vt:lpstr>
      <vt:lpstr>GiaTriTaiSanRong_06129</vt:lpstr>
      <vt:lpstr>Khac_06030</vt:lpstr>
      <vt:lpstr>BCHoatDongVay_06026</vt:lpstr>
      <vt:lpstr>BCDanhMucDauTu_06029!Print_Area</vt:lpstr>
      <vt:lpstr>BCHoatDongVay_06026!Print_Area</vt:lpstr>
      <vt:lpstr>BCKetQuaHoatDong_06028!Print_Area</vt:lpstr>
      <vt:lpstr>BCLCGT_06262!Print_Area</vt:lpstr>
      <vt:lpstr>BCTaiSan_06027!Print_Area</vt:lpstr>
      <vt:lpstr>BCthunhap!Print_Area</vt:lpstr>
      <vt:lpstr>BCtinhhinhtaichinh!Print_Area</vt:lpstr>
      <vt:lpstr>GiaTriTaiSanRong_06129!Print_Area</vt:lpstr>
      <vt:lpstr>Khac_06030!Print_Area</vt:lpstr>
      <vt:lpstr>'Thongke phi giao dich'!Print_Area</vt:lpstr>
      <vt:lpstr>'Tong quat'!Print_Area</vt:lpstr>
      <vt:lpstr>BCDanhMucDauTu_06029!Print_Titles</vt:lpstr>
      <vt:lpstr>BCHoatDongVay_06026!Print_Titles</vt:lpstr>
      <vt:lpstr>BCKetQuaHoatDong_06028!Print_Titles</vt:lpstr>
      <vt:lpstr>BCLCGT_06262!Print_Titles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1547725</cp:lastModifiedBy>
  <cp:lastPrinted>2016-10-14T08:40:18Z</cp:lastPrinted>
  <dcterms:created xsi:type="dcterms:W3CDTF">2013-10-21T08:38:47Z</dcterms:created>
  <dcterms:modified xsi:type="dcterms:W3CDTF">2019-04-16T04:09:22Z</dcterms:modified>
</cp:coreProperties>
</file>