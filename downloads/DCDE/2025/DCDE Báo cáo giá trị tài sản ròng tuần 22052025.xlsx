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04972\AppData\Local\Microsoft\Windows\INetCache\Content.Outlook\X9IU1XWA\"/>
    </mc:Choice>
  </mc:AlternateContent>
  <xr:revisionPtr revIDLastSave="0" documentId="13_ncr:1_{48AD5383-8CDB-4B99-B62C-388667C83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5" i="2" l="1"/>
</calcChain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<sst xmlns="http://schemas.openxmlformats.org/spreadsheetml/2006/main" count="76" uniqueCount="73">
  <si>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</si>
  <si>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</si>
  <si>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</si>
  <si>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</si>
  <si>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</si>
  <si>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</si>
  <si>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</si>
  <si>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</si>
  <si>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</si>
  <si>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</si>
  <si>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</si>
  <si>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</si>
  <si>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</si>
  <si>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</si>
  <si>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</si>
  <si>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</si>
  <si>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</si>
  <si>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</si>
  <si>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</si>
  <si>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</si>
  <si>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</si>
  <si>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</si>
  <si>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</si>
  <si>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</si>
  <si>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</si>
  <si>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</si>
  <si>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</si>
  <si>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</si>
  <si>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</si>
  <si>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</si>
  <si>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</si>
  <si>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</si>
  <si>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</si>
  <si>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</si>
  <si>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</si>
  <si>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</si>
  <si>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</si>
  <si>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</si>
  <si>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</si>
  <si>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</si>
  <si>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</si>
  <si>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</si>
  <si>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</si>
  <si>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</si>
  <si>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</si>
  <si>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</si>
  <si>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</si>
  <si>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</si>
  <si>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</si>
  <si>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</si>
  <si>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</si>
  <si>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</si>
  <si>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</si>
  <si>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</si>
  <si>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</si>
  <si>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</si>
  <si>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</si>
  <si>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</si>
  <si>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</si>
  <si>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</si>
  <si>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</si>
  <si>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</si>
  <si>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</si>
  <si>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</si>
  <si>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</si>
  <si>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</si>
  <si>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</si>
  <si>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</si>
  <si>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15/05/2025</t>
  </si>
  <si>
    <t>Kỳ báo cáo
This period
22/05/2025</t>
  </si>
  <si>
    <t>Từ ngày 16 tháng 05 năm 2025 đến ngày 22 tháng 05 năm 2025</t>
  </si>
  <si>
    <t>From 16 May 2025 to 22 May 2025</t>
  </si>
  <si>
    <t>Ngày 23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</si>
</sst>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5" fontId="12" fillId="2" borderId="1" xfId="10" applyNumberFormat="1" applyFont="1" applyFill="1" applyBorder="1" applyAlignment="1">
      <alignment horizontal="right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0" zoomScale="70" zoomScaleNormal="100" zoomScaleSheetLayoutView="70" zoomScalePageLayoutView="55" workbookViewId="0">
      <selection activeCell="G27" sqref="G2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8" t="s">
        <v>0</v>
      </c>
      <c r="B1" s="99"/>
      <c r="C1" s="99"/>
      <c r="D1" s="99"/>
      <c r="E1" s="99"/>
      <c r="F1" s="99"/>
      <c r="G1" s="99"/>
    </row>
    <row r="2" spans="1:12" ht="43.5" customHeight="1">
      <c r="A2" s="100" t="s">
        <v>1</v>
      </c>
      <c r="B2" s="100"/>
      <c r="C2" s="100"/>
      <c r="D2" s="100"/>
      <c r="E2" s="100"/>
      <c r="F2" s="100"/>
      <c r="G2" s="100"/>
    </row>
    <row r="3" spans="1:12" ht="1.4" customHeight="1">
      <c r="G3" s="54"/>
    </row>
    <row r="4" spans="1:12" ht="38.25" customHeight="1">
      <c r="A4" s="101" t="s">
        <v>2</v>
      </c>
      <c r="B4" s="102"/>
      <c r="C4" s="102"/>
      <c r="D4" s="102"/>
      <c r="E4" s="102"/>
      <c r="F4" s="102"/>
      <c r="G4" s="102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7" t="s">
        <v>59</v>
      </c>
      <c r="E6" s="97"/>
      <c r="F6" s="97"/>
      <c r="G6" s="97"/>
    </row>
    <row r="7" spans="1:12" s="52" customFormat="1" ht="32.15" customHeight="1">
      <c r="A7" s="1">
        <v>2</v>
      </c>
      <c r="B7" s="2"/>
      <c r="C7" s="4" t="s">
        <v>60</v>
      </c>
      <c r="D7" s="103" t="s">
        <v>61</v>
      </c>
      <c r="E7" s="103"/>
      <c r="F7" s="103"/>
      <c r="G7" s="103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7" t="s">
        <v>65</v>
      </c>
      <c r="E8" s="97"/>
      <c r="F8" s="97"/>
      <c r="G8" s="97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45800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3" t="s">
        <v>56</v>
      </c>
      <c r="C14" s="94"/>
      <c r="D14" s="95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79" t="s">
        <v>10</v>
      </c>
      <c r="C15" s="80"/>
      <c r="D15" s="21"/>
      <c r="E15" s="20"/>
      <c r="F15" s="22"/>
      <c r="G15" s="22"/>
    </row>
    <row r="16" spans="1:12" ht="35.9" customHeight="1">
      <c r="A16" s="23" t="s">
        <v>11</v>
      </c>
      <c r="B16" s="89" t="s">
        <v>12</v>
      </c>
      <c r="C16" s="90"/>
      <c r="D16" s="90"/>
      <c r="E16" s="23"/>
      <c r="F16" s="24"/>
      <c r="G16" s="24"/>
    </row>
    <row r="17" spans="1:7" ht="20.25" customHeight="1">
      <c r="A17" s="25" t="s">
        <v>13</v>
      </c>
      <c r="B17" s="26"/>
      <c r="C17" s="92" t="s">
        <v>14</v>
      </c>
      <c r="D17" s="96"/>
      <c r="E17" s="25"/>
      <c r="F17" s="63">
        <v>585799168172</v>
      </c>
      <c r="G17" s="63">
        <v>558682595259</v>
      </c>
    </row>
    <row r="18" spans="1:7" ht="20.25" customHeight="1">
      <c r="A18" s="25" t="s">
        <v>15</v>
      </c>
      <c r="B18" s="26"/>
      <c r="C18" s="92" t="s">
        <v>16</v>
      </c>
      <c r="D18" s="92"/>
      <c r="E18" s="25"/>
      <c r="F18" s="64"/>
      <c r="G18" s="64"/>
    </row>
    <row r="19" spans="1:7" ht="20.25" customHeight="1">
      <c r="A19" s="25" t="s">
        <v>17</v>
      </c>
      <c r="B19" s="26"/>
      <c r="C19" s="92" t="s">
        <v>18</v>
      </c>
      <c r="D19" s="92"/>
      <c r="E19" s="25"/>
      <c r="F19" s="65">
        <v>28014.61</v>
      </c>
      <c r="G19" s="65">
        <v>26976.720000000001</v>
      </c>
    </row>
    <row r="20" spans="1:7" ht="38.9" customHeight="1">
      <c r="A20" s="23" t="s">
        <v>19</v>
      </c>
      <c r="B20" s="89" t="s">
        <v>20</v>
      </c>
      <c r="C20" s="90"/>
      <c r="D20" s="90"/>
      <c r="E20" s="23"/>
      <c r="F20" s="66"/>
      <c r="G20" s="66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3">
        <v>569203448384</v>
      </c>
      <c r="G21" s="63">
        <v>585799168172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4"/>
      <c r="G22" s="64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5">
        <v>26716.560000000001</v>
      </c>
      <c r="G23" s="65">
        <v>28014.61</v>
      </c>
    </row>
    <row r="24" spans="1:7" ht="38.9" customHeight="1">
      <c r="A24" s="23" t="s">
        <v>24</v>
      </c>
      <c r="B24" s="89" t="s">
        <v>25</v>
      </c>
      <c r="C24" s="90"/>
      <c r="D24" s="90"/>
      <c r="E24" s="23"/>
      <c r="F24" s="27"/>
      <c r="G24" s="27"/>
    </row>
    <row r="25" spans="1:7" ht="39" customHeight="1">
      <c r="A25" s="25" t="s">
        <v>26</v>
      </c>
      <c r="B25" s="28"/>
      <c r="C25" s="92" t="s">
        <v>27</v>
      </c>
      <c r="D25" s="92"/>
      <c r="E25" s="25"/>
      <c r="F25" s="73">
        <f>F21-F17-F26-F29</f>
        <v>2207531665</v>
      </c>
      <c r="G25" s="67">
        <v>21593884088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4">
        <v>10976118895</v>
      </c>
      <c r="G26" s="64">
        <v>5522688825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4">
        <v>15335908855</v>
      </c>
      <c r="G27" s="64">
        <v>10038901689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4">
        <v>-4359789960</v>
      </c>
      <c r="G28" s="64">
        <v>-4516212864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8">
        <v>-29779370348</v>
      </c>
      <c r="G29" s="68"/>
    </row>
    <row r="30" spans="1:7" ht="35.25" customHeight="1">
      <c r="A30" s="29" t="s">
        <v>36</v>
      </c>
      <c r="B30" s="89" t="s">
        <v>37</v>
      </c>
      <c r="C30" s="90"/>
      <c r="D30" s="90"/>
      <c r="E30" s="23"/>
      <c r="F30" s="69">
        <v>-1298.05</v>
      </c>
      <c r="G30" s="69">
        <v>1037.8900000000001</v>
      </c>
    </row>
    <row r="31" spans="1:7" ht="38.15" customHeight="1">
      <c r="A31" s="23" t="s">
        <v>38</v>
      </c>
      <c r="B31" s="89" t="s">
        <v>39</v>
      </c>
      <c r="C31" s="90"/>
      <c r="D31" s="90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70">
        <v>23963.41</v>
      </c>
      <c r="G33" s="70">
        <v>23963.41</v>
      </c>
    </row>
    <row r="34" spans="1:12" ht="36" customHeight="1">
      <c r="A34" s="32">
        <v>6</v>
      </c>
      <c r="B34" s="89" t="s">
        <v>44</v>
      </c>
      <c r="C34" s="90"/>
      <c r="D34" s="91"/>
      <c r="E34" s="23"/>
      <c r="F34" s="71"/>
      <c r="G34" s="71"/>
    </row>
    <row r="35" spans="1:12" ht="36" customHeight="1">
      <c r="A35" s="33">
        <v>6.1</v>
      </c>
      <c r="B35" s="34"/>
      <c r="C35" s="86" t="s">
        <v>45</v>
      </c>
      <c r="D35" s="87"/>
      <c r="E35" s="25"/>
      <c r="F35" s="65">
        <v>3157502.35</v>
      </c>
      <c r="G35" s="65">
        <v>3116631.27</v>
      </c>
    </row>
    <row r="36" spans="1:12" ht="36" customHeight="1">
      <c r="A36" s="33">
        <v>6.2</v>
      </c>
      <c r="B36" s="34"/>
      <c r="C36" s="86" t="s">
        <v>46</v>
      </c>
      <c r="D36" s="87"/>
      <c r="E36" s="25"/>
      <c r="F36" s="63">
        <v>84357600984</v>
      </c>
      <c r="G36" s="63">
        <v>87311209543</v>
      </c>
    </row>
    <row r="37" spans="1:12" ht="36" customHeight="1">
      <c r="A37" s="33">
        <v>6.3</v>
      </c>
      <c r="B37" s="34"/>
      <c r="C37" s="86" t="s">
        <v>47</v>
      </c>
      <c r="D37" s="87"/>
      <c r="E37" s="25"/>
      <c r="F37" s="72">
        <v>0.1482</v>
      </c>
      <c r="G37" s="72">
        <v>0.14910000000000001</v>
      </c>
    </row>
    <row r="38" spans="1:12" ht="36" customHeight="1">
      <c r="A38" s="20" t="s">
        <v>48</v>
      </c>
      <c r="B38" s="79" t="s">
        <v>49</v>
      </c>
      <c r="C38" s="80"/>
      <c r="D38" s="80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1"/>
      <c r="B40" s="81"/>
      <c r="C40" s="81"/>
      <c r="D40" s="81"/>
      <c r="E40" s="81"/>
      <c r="F40" s="81"/>
      <c r="G40" s="81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2" t="s">
        <v>50</v>
      </c>
      <c r="B42" s="82"/>
      <c r="C42" s="82"/>
      <c r="D42" s="38"/>
      <c r="E42" s="83" t="s">
        <v>51</v>
      </c>
      <c r="F42" s="83"/>
      <c r="G42" s="83"/>
    </row>
    <row r="43" spans="1:12" ht="15" customHeight="1">
      <c r="A43" s="84" t="s">
        <v>52</v>
      </c>
      <c r="B43" s="84"/>
      <c r="C43" s="84"/>
      <c r="D43" s="39"/>
      <c r="E43" s="85" t="s">
        <v>53</v>
      </c>
      <c r="F43" s="85"/>
      <c r="G43" s="85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4" t="s">
        <v>54</v>
      </c>
      <c r="B55" s="74"/>
      <c r="C55" s="74"/>
      <c r="D55" s="47"/>
      <c r="E55" s="75" t="s">
        <v>55</v>
      </c>
      <c r="F55" s="75"/>
      <c r="G55" s="75"/>
    </row>
    <row r="56" spans="1:7" ht="15.75" customHeight="1">
      <c r="A56" s="77" t="s">
        <v>67</v>
      </c>
      <c r="B56" s="77"/>
      <c r="C56" s="77"/>
      <c r="D56" s="50"/>
      <c r="E56" s="76" t="s">
        <v>64</v>
      </c>
      <c r="F56" s="77"/>
      <c r="G56" s="77"/>
    </row>
    <row r="57" spans="1:7" ht="18.75" customHeight="1">
      <c r="A57" s="51" t="s">
        <v>66</v>
      </c>
      <c r="B57" s="52"/>
      <c r="C57" s="52"/>
      <c r="D57" s="51"/>
      <c r="E57" s="78" t="s">
        <v>63</v>
      </c>
      <c r="F57" s="78"/>
      <c r="G57" s="78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dBJkyxnwhgZjviwvTbJqxmKJ/Fha/6Z9WoDD3uuXZ/E=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TMQZWlHLTT4nMDJ2G5+2dB6/04H0NYDMI4xeRPX73+8=</DigestValue>
    </Reference>
  </SignedInfo>
  <SignatureValue>Y/2631Ca/S00VDabbSMaB3SELztbo3T0u9Rh2wY6XJVcyHBIkdL9HuwzybF3xxnSH6F+iOtz4RvH
ESWd1VajDpX+ZNrF0tdwnwXh8tfbTPIx1pKw7O9K52+Axxog5EEUMQGTMql1S6O0JH/fKwVJEBop
hPOQ7vuxXlqUzFAiBsKITmSMIzO/FJm/IMsJLYrRI3eSDnAdZ/fiK8HeGv4tuztNXR7FRDg2wilL
GYGWEgxwd4m6dEkr88wUuemUOZwhLS2QYG2vM1UoW8EjvSxk+7yqiSb0RVOSL5rupql8mDUGlcEk
tD/cGS7CwTx25bmWQE36CxikHpVJEeNpEDl0/g==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UWT6/LjEjB/AwVgZ9knweCsO94tYoJdKkD1WK58wc1k=</DigestValue>
      </Reference>
      <Reference URI="/xl/calcChain.xml?ContentType=application/vnd.openxmlformats-officedocument.spreadsheetml.calcChain+xml">
        <DigestMethod Algorithm="http://www.w3.org/2001/04/xmlenc#sha256"/>
        <DigestValue>xBO0eFbddHFiOjj2jfYZmpQfMSy0lBeB4oJsNV6xumg=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NWsiP13Lw9sNgdi+v6wq/JiMmX7m8eQzxcpBSdH67GM=</DigestValue>
      </Reference>
      <Reference URI="/xl/styles.xml?ContentType=application/vnd.openxmlformats-officedocument.spreadsheetml.styles+xml">
        <DigestMethod Algorithm="http://www.w3.org/2001/04/xmlenc#sha256"/>
        <DigestValue>C+KeK+0dK3dkIfRSxNsDnMh7dkbOHPNk2zcAT0bSVr0=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ChcQqFrfaNR9cYBtjW61m0q/YbdqqeqDipQn6/A0/8U=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oZmYsNzqP6WXJTB6R8GrOSRnHSmjc98ZumzuR7SVmdw=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2025-05-23T04:38:06Z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2025-05-23T04:38:06Z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2025-05-23T04:25:23Z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