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drawings/drawing9.xml" ContentType="application/vnd.openxmlformats-officedocument.drawing+xml"/>
  <Override PartName="/xl/drawings/drawing10.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drawings/drawing8.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7.xml" ContentType="application/vnd.openxmlformats-officedocument.drawing+xml"/>
  <Override PartName="/xl/theme/theme1.xml" ContentType="application/vnd.openxmlformats-officedocument.theme+xml"/>
  <Override PartName="/xl/worksheets/sheet11.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drawings/drawing2.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mc:AlternateContent xmlns:mc="http://schemas.openxmlformats.org/markup-compatibility/2006">
    <mc:Choice Requires="x15">
      <x15ac:absPath xmlns:x15ac="http://schemas.microsoft.com/office/spreadsheetml/2010/11/ac" url="W:\GTO_SSO_FUNDSERVICES_GSSCKL\10. CLIENT PORTFOLIO-VN\1.01 VFMVF1\2019 VF1\6. Jun\Quarterly\FMS\GUI CBTT_VFMVF1_Quy_FILLING\"/>
    </mc:Choice>
  </mc:AlternateContent>
  <bookViews>
    <workbookView xWindow="480" yWindow="110" windowWidth="14910" windowHeight="7950" tabRatio="878" firstSheet="4" activeTab="8"/>
  </bookViews>
  <sheets>
    <sheet name="Tong quat" sheetId="5" r:id="rId1"/>
    <sheet name="BCthunhap" sheetId="16" r:id="rId2"/>
    <sheet name="BCtinhhinhtaichinh" sheetId="17" r:id="rId3"/>
    <sheet name="BCLCGT_06262" sheetId="36" r:id="rId4"/>
    <sheet name="BCTaiSan_06027" sheetId="9" r:id="rId5"/>
    <sheet name="BCKetQuaHoatDong_06028" sheetId="10" r:id="rId6"/>
    <sheet name="Thongke phi giao dich" sheetId="37" state="hidden" r:id="rId7"/>
    <sheet name="BCDanhMucDauTu_06029" sheetId="11" r:id="rId8"/>
    <sheet name="Khac_06030" sheetId="12" r:id="rId9"/>
    <sheet name="GiaTriTaiSanRong_06129" sheetId="14" r:id="rId10"/>
    <sheet name="BCHoatDongVay_06026" sheetId="8" r:id="rId11"/>
  </sheets>
  <definedNames>
    <definedName name="_xlnm._FilterDatabase" localSheetId="7" hidden="1">BCDanhMucDauTu_06029!$A$17:$G$67</definedName>
    <definedName name="_xlnm._FilterDatabase" localSheetId="3" hidden="1">BCLCGT_06262!$A$17:$E$57</definedName>
    <definedName name="_xlnm._FilterDatabase" localSheetId="1" hidden="1">BCthunhap!$A$16:$G$76</definedName>
    <definedName name="_xlnm._FilterDatabase" localSheetId="2" hidden="1">BCtinhhinhtaichinh!$A$17:$F$112</definedName>
    <definedName name="_xlnm.Print_Area" localSheetId="7">BCDanhMucDauTu_06029!$A$1:$G$113</definedName>
    <definedName name="_xlnm.Print_Area" localSheetId="10">BCHoatDongVay_06026!$A$1:$K$46</definedName>
    <definedName name="_xlnm.Print_Area" localSheetId="5">BCKetQuaHoatDong_06028!$A$1:$F$91</definedName>
    <definedName name="_xlnm.Print_Area" localSheetId="3">BCLCGT_06262!$A$1:$E$75</definedName>
    <definedName name="_xlnm.Print_Area" localSheetId="4">BCTaiSan_06027!$A$1:$F$104</definedName>
    <definedName name="_xlnm.Print_Area" localSheetId="1">BCthunhap!$A$1:$G$95</definedName>
    <definedName name="_xlnm.Print_Area" localSheetId="2">BCtinhhinhtaichinh!$A$1:$F$131</definedName>
    <definedName name="_xlnm.Print_Area" localSheetId="9">GiaTriTaiSanRong_06129!$A$1:$F$43</definedName>
    <definedName name="_xlnm.Print_Area" localSheetId="8">Khac_06030!$A$1:$E$63</definedName>
    <definedName name="_xlnm.Print_Area" localSheetId="6">'Thongke phi giao dich'!$A$1:$H$42</definedName>
    <definedName name="_xlnm.Print_Area" localSheetId="0">'Tong quat'!$A$1:$L$45</definedName>
    <definedName name="_xlnm.Print_Titles" localSheetId="7">BCDanhMucDauTu_06029!$17:$17</definedName>
    <definedName name="_xlnm.Print_Titles" localSheetId="10">BCHoatDongVay_06026!$16:$17</definedName>
    <definedName name="_xlnm.Print_Titles" localSheetId="5">BCKetQuaHoatDong_06028!$17:$17</definedName>
    <definedName name="_xlnm.Print_Titles" localSheetId="3">BCLCGT_06262!$16:$16</definedName>
    <definedName name="_xlnm.Print_Titles" localSheetId="4">BCTaiSan_06027!$17:$17</definedName>
    <definedName name="_xlnm.Print_Titles" localSheetId="1">BCthunhap!$16:$17</definedName>
    <definedName name="_xlnm.Print_Titles" localSheetId="2">BCtinhhinhtaichinh!$16:$16</definedName>
    <definedName name="_xlnm.Print_Titles" localSheetId="8">Khac_06030!$17:$17</definedName>
  </definedNames>
  <calcPr calcId="171027"/>
</workbook>
</file>

<file path=xl/calcChain.xml><?xml version="1.0" encoding="utf-8"?>
<calcChain xmlns="http://schemas.openxmlformats.org/spreadsheetml/2006/main">
  <c r="L24" i="37" l="1"/>
  <c r="D24" i="37"/>
  <c r="E21" i="37" s="1"/>
  <c r="F21" i="37" s="1"/>
  <c r="M23" i="37"/>
  <c r="D14" i="37"/>
  <c r="D13" i="37"/>
  <c r="A5" i="37" l="1"/>
  <c r="E20" i="37"/>
  <c r="F20" i="37" s="1"/>
  <c r="E22" i="37"/>
  <c r="F22" i="37" s="1"/>
  <c r="E19" i="37"/>
  <c r="F19" i="37" s="1"/>
  <c r="F24" i="37" l="1"/>
</calcChain>
</file>

<file path=xl/sharedStrings.xml><?xml version="1.0" encoding="utf-8"?>
<sst xmlns="http://schemas.openxmlformats.org/spreadsheetml/2006/main" count="1523" uniqueCount="1038">
  <si>
    <t>131</t>
  </si>
  <si>
    <t>311</t>
  </si>
  <si>
    <t>312</t>
  </si>
  <si>
    <t>314</t>
  </si>
  <si>
    <t>315</t>
  </si>
  <si>
    <t>318</t>
  </si>
  <si>
    <t>412</t>
  </si>
  <si>
    <t>420</t>
  </si>
  <si>
    <t>01</t>
  </si>
  <si>
    <t>02</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</si>
  <si>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</si>
  <si>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</si>
  <si>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</si>
  <si>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</si>
  <si>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</si>
  <si>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</si>
  <si>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</si>
  <si>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</si>
  <si>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</si>
  <si>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</si>
  <si>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</si>
  <si>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</si>
  <si>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</si>
  <si>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</si>
  <si>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</si>
  <si>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</si>
  <si>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</si>
  <si>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</si>
  <si>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</si>
  <si>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</si>
  <si>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</si>
  <si>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</si>
  <si>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</si>
  <si>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</si>
  <si>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</si>
  <si>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</si>
  <si>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</si>
  <si>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</si>
  <si>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</si>
  <si>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</si>
  <si>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</si>
  <si>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</si>
  <si>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</si>
  <si>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</si>
  <si>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</si>
  <si>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</si>
  <si>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136</t>
  </si>
  <si>
    <t>137</t>
  </si>
  <si>
    <t>138</t>
  </si>
  <si>
    <t>II</t>
  </si>
  <si>
    <t>313</t>
  </si>
  <si>
    <t>413</t>
  </si>
  <si>
    <t>414</t>
  </si>
  <si>
    <t>VI</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</si>
  <si>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</si>
  <si>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</si>
  <si>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</si>
  <si>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</si>
  <si>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</si>
  <si>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</si>
  <si>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</si>
  <si>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</si>
  <si>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</si>
  <si>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</si>
  <si>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</si>
  <si>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</si>
  <si>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</si>
  <si>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</si>
  <si>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</si>
  <si>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</si>
  <si>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</si>
  <si>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</si>
  <si>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</si>
  <si>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</si>
  <si>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</si>
  <si>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</si>
  <si>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</si>
  <si>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</si>
  <si>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</si>
  <si>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I.1</t>
  </si>
  <si>
    <t>2201</t>
  </si>
  <si>
    <t>2202</t>
  </si>
  <si>
    <t>2203</t>
  </si>
  <si>
    <t>2204</t>
  </si>
  <si>
    <t>I.2</t>
  </si>
  <si>
    <t>2205</t>
  </si>
  <si>
    <t>2205.1</t>
  </si>
  <si>
    <t>2205.2</t>
  </si>
  <si>
    <t>I.3</t>
  </si>
  <si>
    <t>2206</t>
  </si>
  <si>
    <t>I.4</t>
  </si>
  <si>
    <t>2207</t>
  </si>
  <si>
    <t>I.5</t>
  </si>
  <si>
    <t>2208</t>
  </si>
  <si>
    <t>I.6</t>
  </si>
  <si>
    <t>2210</t>
  </si>
  <si>
    <t>I.7</t>
  </si>
  <si>
    <t>I.8</t>
  </si>
  <si>
    <t>2212</t>
  </si>
  <si>
    <t>2213</t>
  </si>
  <si>
    <t>II.1</t>
  </si>
  <si>
    <t>2214</t>
  </si>
  <si>
    <t>II.2</t>
  </si>
  <si>
    <t>2215</t>
  </si>
  <si>
    <t>II.3</t>
  </si>
  <si>
    <t>2216</t>
  </si>
  <si>
    <t>2217</t>
  </si>
  <si>
    <t>2218</t>
  </si>
  <si>
    <t>2219</t>
  </si>
  <si>
    <t>2221</t>
  </si>
  <si>
    <t>2222</t>
  </si>
  <si>
    <t>2223</t>
  </si>
  <si>
    <t>2225</t>
  </si>
  <si>
    <t>2228</t>
  </si>
  <si>
    <t>2232.1</t>
  </si>
  <si>
    <t>III</t>
  </si>
  <si>
    <t>IV</t>
  </si>
  <si>
    <t>2235</t>
  </si>
  <si>
    <t>2236</t>
  </si>
  <si>
    <t>V</t>
  </si>
  <si>
    <t>VII</t>
  </si>
  <si>
    <t>VIII</t>
  </si>
  <si>
    <t>III.1</t>
  </si>
  <si>
    <t>III.2</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</si>
  <si>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</si>
  <si>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</si>
  <si>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</si>
  <si>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</si>
  <si>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</si>
  <si>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</si>
  <si>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</si>
  <si>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</si>
  <si>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</si>
  <si>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</si>
  <si>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</si>
  <si>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</si>
  <si>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</si>
  <si>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</si>
  <si>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</si>
  <si>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</si>
  <si>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</si>
  <si>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</si>
  <si>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</si>
  <si>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</si>
  <si>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</si>
  <si>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</si>
  <si>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</si>
  <si>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</si>
  <si>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</si>
  <si>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</si>
  <si>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</si>
  <si>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</si>
  <si>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</si>
  <si>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</si>
  <si>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</si>
  <si>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</si>
  <si>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</si>
  <si>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</si>
  <si>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</si>
  <si>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</si>
  <si>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</si>
  <si>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3.7. Chi phí họp, Đại hội Quỹ mở
Meeting and General Meeting expense</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</si>
  <si>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</si>
  <si>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</si>
  <si>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</si>
  <si>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</si>
  <si>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</si>
  <si>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</si>
  <si>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</si>
  <si>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</si>
  <si>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</si>
  <si>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</si>
  <si>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</si>
  <si>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</si>
  <si>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</si>
  <si>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</si>
  <si>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</si>
  <si>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</si>
  <si>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</si>
  <si>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</si>
  <si>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</si>
  <si>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</si>
  <si>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</si>
  <si>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</si>
  <si>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</si>
  <si>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</si>
  <si>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</si>
  <si>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</si>
  <si>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2215.3</t>
  </si>
  <si>
    <t>2215.15</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</si>
  <si>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</si>
  <si>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</si>
  <si>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</si>
  <si>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</si>
  <si>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</si>
  <si>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</si>
  <si>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</si>
  <si>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</si>
  <si>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</si>
  <si>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</si>
  <si>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</si>
  <si>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</si>
  <si>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</si>
  <si>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</si>
  <si>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</si>
  <si>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</si>
  <si>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</si>
  <si>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</si>
  <si>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</si>
  <si>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</si>
  <si>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</si>
  <si>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</si>
  <si>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</si>
  <si>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</si>
  <si>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TỔNG TÀI SẢN
TOTAL ASSETS</t>
  </si>
  <si>
    <t>TỔNG NỢ PHẢI TRẢ
TOTAL LIABILITIES</t>
  </si>
  <si>
    <t>VI. CÁC CHỈ TIÊU NGOÀI BÁO CÁO TÌNH HÌNH TÀI CHÍNH
OFF BALANCE SHEET ITEMS</t>
  </si>
  <si>
    <t>Phụ lục 34. Mẫu báo cáo định kỳ về hoạt động đầu tư của quỹ
Appendix 34. Periodical Report on Fund's Investment Activities</t>
  </si>
  <si>
    <t>(Ban hành kèm theo Thông tư 183/2011/TT-BTC ngày 16 tháng 12 năm 2011 hướng dẫn về việc thành lập và quản lý quỹ mở)
(Issued in association with Circular 183/2011/TT-BTC guiding establishment and management of the Open-Ended Fund)</t>
  </si>
  <si>
    <t>BÁO CÁO ĐỊNH KỲ VỀ HOẠT ĐỘNG ĐẦU TƯ CỦA QUỸ
PERIODICAL REPORT ON FUND'S INVESTMENT ACTIVITIES</t>
  </si>
  <si>
    <t>STT
No</t>
  </si>
  <si>
    <t>Nội dung
Indicator</t>
  </si>
  <si>
    <t>Mã chỉ tiêu
Code</t>
  </si>
  <si>
    <t>%/cùng kỳ năm trước
%/against last year</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</si>
  <si>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</si>
  <si>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</si>
  <si>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</si>
  <si>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</si>
  <si>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</si>
  <si>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</si>
  <si>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Cổ phiếu niêm yết
Listed shares</t>
  </si>
  <si>
    <t>Trái phiếu
Bonds</t>
  </si>
  <si>
    <t>2205.5</t>
  </si>
  <si>
    <t>Lãi được nhận
Interest Receivables</t>
  </si>
  <si>
    <t>Tiền bán chứng khoán chờ thu
Securities Trading Receivables</t>
  </si>
  <si>
    <t>Các khoản phải thu khác
Other Receivables</t>
  </si>
  <si>
    <t>Các tài sản khác
Other Assets</t>
  </si>
  <si>
    <t>Nợ
Liability</t>
  </si>
  <si>
    <t>Tiền phải thanh toán mua chứng khoán
Securities Trading Payables</t>
  </si>
  <si>
    <t>Các khoản phải trả khác
Other Payables</t>
  </si>
  <si>
    <t>Phải trả cho Nhà đầu tư về mua Chứng chỉ quỹ
Subscription Suspense Payable</t>
  </si>
  <si>
    <t>Phải trả thu nhập cho nhà đầu tư
Income payable to investors</t>
  </si>
  <si>
    <t>Phải trả thù lao ban đại diện quỹ
Remuneration Payable to Fund's Board of Representatives</t>
  </si>
  <si>
    <t>Thuế và các khoản phải nộp Nhà nước
Taxes Payables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</si>
  <si>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</si>
  <si>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</si>
  <si>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</si>
  <si>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</si>
  <si>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</si>
  <si>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</si>
  <si>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</si>
  <si>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</si>
  <si>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</si>
  <si>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</si>
  <si>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</si>
  <si>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</si>
  <si>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</si>
  <si>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</si>
  <si>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</si>
  <si>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</si>
  <si>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</si>
  <si>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</si>
  <si>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</si>
  <si>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</si>
  <si>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</si>
  <si>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</si>
  <si>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</si>
  <si>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</si>
  <si>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</si>
  <si>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</si>
  <si>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</si>
  <si>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</si>
  <si>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</si>
  <si>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</si>
  <si>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Thu nhập ròng từ hoạt động đầu tư ( = I - II)
Net Income from Investment Activities ( = I - II)</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</si>
  <si>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</si>
  <si>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</si>
  <si>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</si>
  <si>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</si>
  <si>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</si>
  <si>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</si>
  <si>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</si>
  <si>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</si>
  <si>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</si>
  <si>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</si>
  <si>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</si>
  <si>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</si>
  <si>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</si>
  <si>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</si>
  <si>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</si>
  <si>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</si>
  <si>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</si>
  <si>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</si>
  <si>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</si>
  <si>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</si>
  <si>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</si>
  <si>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</si>
  <si>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</si>
  <si>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</si>
  <si>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</si>
  <si>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</si>
  <si>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</si>
  <si>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Tiền bán chứng khoán chờ thu
Outstanding Settlement of sales transactions</t>
  </si>
  <si>
    <t>Phải thu khác
Other receivables</t>
  </si>
  <si>
    <t>Tài sản khác
Other investments</t>
  </si>
  <si>
    <t>TIỀN
CASH</t>
  </si>
  <si>
    <t>Chứng chỉ tiền gửi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</si>
  <si>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</si>
  <si>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</si>
  <si>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</si>
  <si>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</si>
  <si>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</si>
  <si>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</si>
  <si>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</si>
  <si>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</si>
  <si>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</si>
  <si>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</si>
  <si>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</si>
  <si>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</si>
  <si>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</si>
  <si>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</si>
  <si>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</si>
  <si>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</si>
  <si>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</si>
  <si>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</si>
  <si>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</si>
  <si>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</si>
  <si>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</si>
  <si>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</si>
  <si>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</si>
  <si>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</si>
  <si>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</si>
  <si>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</si>
  <si>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</si>
  <si>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</si>
  <si>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</si>
  <si>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</si>
  <si>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</si>
  <si>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STT
No.</t>
  </si>
  <si>
    <t>Nội dung hoạt động (nêu chi tiết theo mục tiêu và đối tác)
Description</t>
  </si>
  <si>
    <t>Đối tác
Couterparty</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</si>
  <si>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</si>
  <si>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</si>
  <si>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</si>
  <si>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</si>
  <si>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</si>
  <si>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</si>
  <si>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</si>
  <si>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</si>
  <si>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r>
      <t xml:space="preserve">Hợp đồng Repo </t>
    </r>
    <r>
      <rPr>
        <i/>
        <sz val="10"/>
        <rFont val="Tahoma"/>
        <family val="2"/>
      </rPr>
      <t>(nêu chi tiết từng hợp đồng)
Repo (detail by each contract)</t>
    </r>
  </si>
  <si>
    <t>Tổng giá trị các hợp đồng Repo/giá trị tài sản ròng
Repo/NAV</t>
  </si>
  <si>
    <r>
      <t xml:space="preserve">Cho vay chứng khoán </t>
    </r>
    <r>
      <rPr>
        <i/>
        <sz val="10"/>
        <rFont val="Tahoma"/>
        <family val="2"/>
      </rPr>
      <t>(nêu chi tiết từng hợp đồng)
Margin (detail by each contract)</t>
    </r>
  </si>
  <si>
    <t>Tổng giá trị các hợp đồng/giá trị tài sản ròng của quỹ
Total Margin/NAV</t>
  </si>
  <si>
    <r>
      <t>Hợp đồng Reverse Repo</t>
    </r>
    <r>
      <rPr>
        <i/>
        <sz val="10"/>
        <rFont val="Tahoma"/>
        <family val="2"/>
      </rPr>
      <t xml:space="preserve"> (nêu chi tiết từng hợp đồng)
Reverse Repo (Detail by each contract)</t>
    </r>
  </si>
  <si>
    <t>Tổng giá trị các hợp đồng/giá trị tài sản ròng của quỹ
Reverse Repo/NAV</t>
  </si>
  <si>
    <r>
      <t xml:space="preserve">Vay tiền </t>
    </r>
    <r>
      <rPr>
        <i/>
        <sz val="10"/>
        <rFont val="Tahoma"/>
        <family val="2"/>
      </rPr>
      <t>(nêu chi tiết từng hợp đồng)
Borrowings (detail by each contract)</t>
    </r>
  </si>
  <si>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</si>
  <si>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</si>
  <si>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</si>
  <si>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</si>
  <si>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</si>
  <si>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</si>
  <si>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</si>
  <si>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Thống kê phí giao dịch</t>
  </si>
  <si>
    <t>Phải trả, phải nộp khác</t>
  </si>
  <si>
    <t>Các khoản đầu tư</t>
  </si>
  <si>
    <t>Chi phí giao dịch bán các khoản đầu tư</t>
  </si>
  <si>
    <t>Phải trả phí phát hành thanh toán bù trừ chứng khoán
Clearing Settlement Payables</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</si>
  <si>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</si>
  <si>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</si>
  <si>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</si>
  <si>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</si>
  <si>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Chi phí cung cấp báo giá chứng khoán 
Price feed fee Expenses</t>
  </si>
  <si>
    <t>Phí niêm yết
Listing fee expenses</t>
  </si>
  <si>
    <t>20.10.01</t>
  </si>
  <si>
    <t>20.10.02</t>
  </si>
  <si>
    <t>20.10.03</t>
  </si>
  <si>
    <t>20.10.04</t>
  </si>
  <si>
    <t>20.10.05</t>
  </si>
  <si>
    <t>20.10.06</t>
  </si>
  <si>
    <t>20.10.07</t>
  </si>
  <si>
    <t>20.10.08</t>
  </si>
  <si>
    <t>20.10.09</t>
  </si>
  <si>
    <t>20.10.10</t>
  </si>
  <si>
    <t>2215.10</t>
  </si>
  <si>
    <t>2229.1</t>
  </si>
  <si>
    <t>2229.2</t>
  </si>
  <si>
    <t>2232.4</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</si>
  <si>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</si>
  <si>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</si>
  <si>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</si>
  <si>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</si>
  <si>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</si>
  <si>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</si>
  <si>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</si>
  <si>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</si>
  <si>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</si>
  <si>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</si>
  <si>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</si>
  <si>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</si>
  <si>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</si>
  <si>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</si>
  <si>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</si>
  <si>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</si>
  <si>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</si>
  <si>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</si>
  <si>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</si>
  <si>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</si>
  <si>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</si>
  <si>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</si>
  <si>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</si>
  <si>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</si>
  <si>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</si>
  <si>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</si>
  <si>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</si>
  <si>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</si>
  <si>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</si>
  <si>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</si>
  <si>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</si>
  <si>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</si>
  <si>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</si>
  <si>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</si>
  <si>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</si>
  <si>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</si>
  <si>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</si>
  <si>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</si>
  <si>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</si>
  <si>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</si>
  <si>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</si>
  <si>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</si>
  <si>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</si>
  <si>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</si>
  <si>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</si>
  <si>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</si>
  <si>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</si>
  <si>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</si>
  <si>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</si>
  <si>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</si>
  <si>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</si>
  <si>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</si>
  <si>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</si>
  <si>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</si>
  <si>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</si>
  <si>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</si>
  <si>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</si>
  <si>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</si>
  <si>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</si>
  <si>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</si>
  <si>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</si>
  <si>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</si>
  <si>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</si>
  <si>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</si>
  <si>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</si>
  <si>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</si>
  <si>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</si>
  <si>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</si>
  <si>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r>
      <rPr>
        <b/>
        <sz val="10"/>
        <color indexed="30"/>
        <rFont val="Tahoma"/>
        <family val="2"/>
      </rPr>
      <t>Ngân hàng TNHH một thành viên Standard Chartered (Việt Nam)</t>
    </r>
    <r>
      <rPr>
        <sz val="10"/>
        <color indexed="8"/>
        <rFont val="Tahoma"/>
        <family val="2"/>
      </rPr>
      <t xml:space="preserve">
</t>
    </r>
  </si>
  <si>
    <t xml:space="preserve">Supervising bank: </t>
  </si>
  <si>
    <t>Standard Chartered Bank (Vietnam) Ltd.</t>
  </si>
  <si>
    <t>Người ký báo cáo:</t>
  </si>
  <si>
    <t>Management Fund  Company:</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</si>
  <si>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</si>
  <si>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</si>
  <si>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</si>
  <si>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</si>
  <si>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</si>
  <si>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</si>
  <si>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</si>
  <si>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</si>
  <si>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</si>
  <si>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</si>
  <si>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</si>
  <si>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</si>
  <si>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Phí dịch vụ lưu ký - bảo quản tài sản
Custodian service - Safe Custody Fee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</si>
  <si>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</si>
  <si>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</si>
  <si>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</si>
  <si>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</si>
  <si>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</si>
  <si>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</si>
  <si>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</si>
  <si>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thu lãi tiền gửi có kỳ hạn dưới 3 tháng
Interest receivable from deposit with term less than three (03) months</t>
  </si>
  <si>
    <t>Phải trả phí báo giá
Price feed fee payable</t>
  </si>
  <si>
    <t>Phải trả khác
Other payables</t>
  </si>
  <si>
    <t>121.1</t>
  </si>
  <si>
    <t>136.3</t>
  </si>
  <si>
    <t>2205.6</t>
  </si>
  <si>
    <t>121.6</t>
  </si>
  <si>
    <t>Vietnam Securities Investment Fund (VFMVF1)</t>
  </si>
  <si>
    <t>Quỹ đầu tư Chứng khoán Việt Nam</t>
  </si>
  <si>
    <t>Quyền mua chứng khoán
Investment - Rights</t>
  </si>
  <si>
    <t xml:space="preserve"> </t>
  </si>
  <si>
    <t>02.1</t>
  </si>
  <si>
    <t>02.2</t>
  </si>
  <si>
    <t>03.1</t>
  </si>
  <si>
    <t>03.2</t>
  </si>
  <si>
    <t>Cổ tức được nhận
Dividend received</t>
  </si>
  <si>
    <t>Trái tức được nhận
Coupon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</si>
  <si>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</si>
  <si>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</si>
  <si>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BÁO  CÁO LƯU CHUYỂN TIỀN TỆ
CASH FLOW STATEMENT</t>
  </si>
  <si>
    <t>I. Lưu chuyển tiền từ hoạt động đầu tư
Cash flow from investing activities</t>
  </si>
  <si>
    <t>1. Lợi nhuận trước Thuế thu nhập doanh nghiệp
Profit before income tax</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</si>
  <si>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</si>
  <si>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Unreliased Gain or (Loss) from FX valuation/Investment revaluation</t>
  </si>
  <si>
    <t>(+) chi phí trích trước
Increase of Accrued Expenses</t>
  </si>
  <si>
    <t>3. Lợi nhuận từ hoạt động đầu tư trước thay đổi vốn lưu động
Profit from investing activities before changes in working capital</t>
  </si>
  <si>
    <t>(-) Tăng (+) giảm đầu tư
(Increase), Decrease Investments</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</si>
  <si>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</si>
  <si>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</si>
  <si>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các khoản phải thu khác
 (Increase), Decrease in other receivables</t>
  </si>
  <si>
    <t>(+) Tăng, (-) giảm vay ngắn hạn
Increase, (Decrease) in Short term Loans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</si>
  <si>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</si>
  <si>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</si>
  <si>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</si>
  <si>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</si>
  <si>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</si>
  <si>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</si>
  <si>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</si>
  <si>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16</t>
  </si>
  <si>
    <t>(+) Tăng, (-) giảm Phải trả dịch vụ quản lý Quỹ mở
Increase, (Decrease) Fund management related service expense payable</t>
  </si>
  <si>
    <t>17</t>
  </si>
  <si>
    <t>(+) Tăng, (-) giảm Thuế Thu nhập doanh nghiệp đã nộp
Increase, (Decrease) Income Tax Payment</t>
  </si>
  <si>
    <t>18</t>
  </si>
  <si>
    <t>Lưu chuyển tiền thuần từ hoạt động đầu tư (1+2+3)
Net Cash flow from Investing activities</t>
  </si>
  <si>
    <t>19</t>
  </si>
  <si>
    <t>II. Lưu chuyển tiền từ hoạt động tài chính 
Cash flow from financing activities</t>
  </si>
  <si>
    <t>1. Tiền thu từ phát hành Chứng chỉ quỹ  mở 
Receipts from subscriptions</t>
  </si>
  <si>
    <t>2. Tiền chi mua lại Chứng chỉ quỹ  mở 
Payments for redemptions</t>
  </si>
  <si>
    <t>3. Tiền vay gốc 
Principal of Loans</t>
  </si>
  <si>
    <t>33</t>
  </si>
  <si>
    <t>4. Tiền chi trả nợ gốc vay 
Payment of Principal loans</t>
  </si>
  <si>
    <t>34</t>
  </si>
  <si>
    <t>5. Tiền chi trả cổ tức, tiền lãi cho nhà đầu tư
Dividend, profit distribution payment</t>
  </si>
  <si>
    <t>35</t>
  </si>
  <si>
    <t>Lưu chuyển tiền thuần từ hoạt động tài chính (1-2+3-4-5) 
Net cash outflows from financing activities</t>
  </si>
  <si>
    <t>III. Tăng/giảm tiền thuần trong kỳ 
Net Increase/Decrease in cash and cash equivalent for the period</t>
  </si>
  <si>
    <t>IV. Tiền và các khoản tương đương tiền đầu kỳ 
Cash and cash equivalents at the beginning of period</t>
  </si>
  <si>
    <t>50</t>
  </si>
  <si>
    <t>Tiền gửi ngân hàng đầu kỳ: 
Cash at bank of the beginning of period</t>
  </si>
  <si>
    <t>51</t>
  </si>
  <si>
    <t>52</t>
  </si>
  <si>
    <t>53</t>
  </si>
  <si>
    <t>54</t>
  </si>
  <si>
    <t>V. Tiền và các khoản tương đương tiền cuối kỳ 
Cash and cash equivalents at the end of period</t>
  </si>
  <si>
    <t>55</t>
  </si>
  <si>
    <t>Tiền gửi ngân hàng cuối kỳ: 
Cash at bank of the end of period</t>
  </si>
  <si>
    <t>56</t>
  </si>
  <si>
    <t>57</t>
  </si>
  <si>
    <t>58</t>
  </si>
  <si>
    <t>59</t>
  </si>
  <si>
    <t>VI. Thay đổi Tiền và các khoản tương đương tiền trong kỳ
Changes in cash and cash equivalents in the period</t>
  </si>
  <si>
    <t>60</t>
  </si>
  <si>
    <t>Khác
Other</t>
  </si>
  <si>
    <t>80</t>
  </si>
  <si>
    <t>Phụ lục 27. Mẫu báo cáo thống kê phí giao dịch của Quỹ
Appendix 27. Periodical Report on Broker Fee</t>
  </si>
  <si>
    <t>BÁO CÁO THỐNG KÊ PHÍ GIAO DỊCH CỦA QUỸ
PERIODICAL REPORT ON BROKER FEE</t>
  </si>
  <si>
    <t>Số thứ tự</t>
  </si>
  <si>
    <t>Tên (mã) các công ty chứng khoán (có giá trị giao dịch vượt quá 5% tổng giá trị giao dịch kỳ báo cáo)</t>
  </si>
  <si>
    <t>Quan hệ với công ty quản lý quỹ</t>
  </si>
  <si>
    <t>Tỷ lệ giao dịch của quỹ qua từng công ty chứng khoán</t>
  </si>
  <si>
    <t>Phí giao dịch bình quân</t>
  </si>
  <si>
    <t>Phí giao dịch bình quân trên thị trường</t>
  </si>
  <si>
    <t>Giá trị giao dịch trong kỳ báo cáo của quỹ</t>
  </si>
  <si>
    <t>Tổng giá trị giao dịch trong kỳ báo cáo của quỹ</t>
  </si>
  <si>
    <t>Tỷ lệ giao dịch của quỹ qua công ty chứng khoán trong kỳ báo cáo</t>
  </si>
  <si>
    <t>(1)</t>
  </si>
  <si>
    <t>(2)</t>
  </si>
  <si>
    <t>(3)</t>
  </si>
  <si>
    <t>(4)</t>
  </si>
  <si>
    <t>(5)</t>
  </si>
  <si>
    <t>(6) = (4)/(5)%</t>
  </si>
  <si>
    <t>(7)</t>
  </si>
  <si>
    <t>(8)</t>
  </si>
  <si>
    <t>Công ty chứng khoán ACB</t>
  </si>
  <si>
    <t>Không</t>
  </si>
  <si>
    <t>0.15% - 0.5%</t>
  </si>
  <si>
    <t>Công ty CP Chứng khoán Bản Việt</t>
  </si>
  <si>
    <t>Công ty CP Chứng khoán Rồng Việt</t>
  </si>
  <si>
    <t>Tổng</t>
  </si>
  <si>
    <t>ACBS</t>
  </si>
  <si>
    <t>VCSC</t>
  </si>
  <si>
    <t>VDSC</t>
  </si>
  <si>
    <t>VDS</t>
  </si>
  <si>
    <t>NONE</t>
  </si>
  <si>
    <t>Giá trị tài sản ròng trên một đơn vị quỹ cuối kỳ
Net asset value per Fund Certificate at the end of period</t>
  </si>
  <si>
    <t>Lũy kế từ đầu năm 
Accumulated from the beginning of the year</t>
  </si>
  <si>
    <t xml:space="preserve">2.3. Chi phí lãi phải trả của hợp đồng repo
Interest expense from repo contract </t>
  </si>
  <si>
    <t>Số Lượng
Quantity</t>
  </si>
  <si>
    <t/>
  </si>
  <si>
    <t>Cổ tức được chia
Dividend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</si>
  <si>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</si>
  <si>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</si>
  <si>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</si>
  <si>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</si>
  <si>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</si>
  <si>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</si>
  <si>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</si>
  <si>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Vietnam Investment Fund Management Joint Stock Company</t>
  </si>
  <si>
    <t>Trái tức được chia
Interest income</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</si>
  <si>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</si>
  <si>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</si>
  <si>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</si>
  <si>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2203.1</t>
  </si>
  <si>
    <t>2203.2</t>
  </si>
  <si>
    <t>2203.3</t>
  </si>
  <si>
    <t>Phải thu cho khoản cổ phiếu hạn chế chờ mua
Receivable from AP/Investors on bought  investment</t>
  </si>
  <si>
    <t>Tiền gửi Ngân hàng
Cash at bank</t>
  </si>
  <si>
    <t>Tiền gửi có kỳ hạn trên 3 tháng
Deposit with term over three (03) months</t>
  </si>
  <si>
    <t>Chi phí dịch vụ tư vấn pháp lý
Legal consultancy expenses</t>
  </si>
  <si>
    <t>20.10.13</t>
  </si>
  <si>
    <t>20.10.14</t>
  </si>
  <si>
    <t>Phí thực hiện quyền trả cho VSD
Payables to VSD for getting the list of investors</t>
  </si>
  <si>
    <t>Phí đăng ký niêm yết bổ sung trả VSD
Additional registration fee pay for VSD</t>
  </si>
  <si>
    <t>20.10.12</t>
  </si>
  <si>
    <t>Cổ phiếu niêm yết
Listed Shares</t>
  </si>
  <si>
    <t>Cổ phiếu chưa niêm yết
Unlisted Shares</t>
  </si>
  <si>
    <t>121.5</t>
  </si>
  <si>
    <t>Trái phiếu niêm yết
Listed Bonds</t>
  </si>
  <si>
    <t>Trái phiếu chưa niêm yết 
Unlisted Bonds</t>
  </si>
  <si>
    <t xml:space="preserve">Chứng chỉ tiền gửi 
Certificate of Deposit </t>
  </si>
  <si>
    <t>121.7</t>
  </si>
  <si>
    <t>Đầu tư khác
Other Investments</t>
  </si>
  <si>
    <t>Trong đó: Phải thu khó đòi về bán các khoản đầu tư
In which: Overdue receivables from selling investments</t>
  </si>
  <si>
    <t>Phải thu trái tức
Coupon receivables</t>
  </si>
  <si>
    <t>Phải thu lãi tiền gửi có kỳ hạn trên 3 tháng
Interest receivables from deposit with term more than three (03) months</t>
  </si>
  <si>
    <t>Phải thu lãi chứng chỉ tiền gửi
Interest receivable from Certificate of Deposit</t>
  </si>
  <si>
    <t>Trong đó: Phải thu khó đòi về cổ tức, tiền lãi đến ngày nhận  nhưng chưa nhận được
In which: Overdue receivables from dividend, interest income</t>
  </si>
  <si>
    <t>136.5</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</si>
  <si>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</si>
  <si>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</si>
  <si>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</si>
  <si>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</si>
  <si>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</si>
  <si>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Phải trả phí môi giới
Brokerage fee payables</t>
  </si>
  <si>
    <t>316.1.1</t>
  </si>
  <si>
    <t>Phải trả phí giao dịch thanh toán bù trừ chứng khoán
Clearing Settlement Fee payables</t>
  </si>
  <si>
    <t>316.1.2</t>
  </si>
  <si>
    <t>Phí giao dịch
Transaction fee</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</si>
  <si>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</si>
  <si>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</si>
  <si>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</si>
  <si>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</si>
  <si>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Phải trả cho nhà đầu tư chờ mua chứng chỉ quỹ
Subscription Pending allotment</t>
  </si>
  <si>
    <t>Phải trả nhà đầu tư trên tài sản giữ hộ
Payables to investors for investment bought on behalf</t>
  </si>
  <si>
    <t xml:space="preserve">Trích trước phải trả phí quản lý
Accrued expense for Management fee </t>
  </si>
  <si>
    <t>Trích trước phí lưu ký tài sản Quỹ mở
Accrued expense for Custodian fee</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</si>
  <si>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</si>
  <si>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</si>
  <si>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</si>
  <si>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</si>
  <si>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</si>
  <si>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</si>
  <si>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</si>
  <si>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</si>
  <si>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Trích trước phí công tác, họp của ban đại diện
Accrued expense for Fund's Board of Representatives travelling, meeting</t>
  </si>
  <si>
    <t>Trích trước phí quản lý thường niên trả cho UBCKNN
Accrued expense for Annual Management  Fee pay to SSC</t>
  </si>
  <si>
    <t>Phí Ngân hàng S2B
S2B Bank charge</t>
  </si>
  <si>
    <t>320.5</t>
  </si>
  <si>
    <t>1</t>
  </si>
  <si>
    <t>2</t>
  </si>
  <si>
    <t>3</t>
  </si>
  <si>
    <t>3.1</t>
  </si>
  <si>
    <t>3.2</t>
  </si>
  <si>
    <t>3.2.1</t>
  </si>
  <si>
    <t>3.2.2</t>
  </si>
  <si>
    <t>3.3</t>
  </si>
  <si>
    <t>3.4</t>
  </si>
  <si>
    <t>4</t>
  </si>
  <si>
    <t>5</t>
  </si>
  <si>
    <t>6</t>
  </si>
  <si>
    <t>7</t>
  </si>
  <si>
    <t>8</t>
  </si>
  <si>
    <t>9</t>
  </si>
  <si>
    <t>Tiền gửi ngân hàng và tương đương tiền
Cash at bank and cash equivalent</t>
  </si>
  <si>
    <t xml:space="preserve">Tiền gửi ngân hàng cho hoạt động của Quỹ mở
Cash at bank for Fund's operation </t>
  </si>
  <si>
    <t>Tiền gửi có kỳ hạn dưới 3 tháng
Term deposit less than 3 months</t>
  </si>
  <si>
    <t>Các khoản đầu tư thuần
Investment</t>
  </si>
  <si>
    <t>Các khoản đầu tư
Investments</t>
  </si>
  <si>
    <t>Dự phòng giảm giá tài sản nhận thế chấp 
Impairment of devaluation of assets as pledge</t>
  </si>
  <si>
    <t>Các khoản phải thu
Receivables</t>
  </si>
  <si>
    <t>Phải thu về bán các khoản đầu tư
Receivables from investments sold but not yet settled</t>
  </si>
  <si>
    <t>Phải thu và dự thu cổ tức, tiền lãi các khoản đầu tư
Dividend and interest receivables</t>
  </si>
  <si>
    <t>Phải thu cổ tức, tiền lãi đến ngày nhận
Dividend and interest receivables on or after payment date</t>
  </si>
  <si>
    <t>Dự thu cổ tức, tiền lãi chưa đến ngày nhận 
Dividend and interest receivables before payment date</t>
  </si>
  <si>
    <t>Các khoản phải thu khác
Other receivables</t>
  </si>
  <si>
    <t>Dự phòng nợ phải thu khó đòi
Provision for doubtful debt</t>
  </si>
  <si>
    <t>NỢ PHẢI TRẢ
TOTAL LIABILITIES</t>
  </si>
  <si>
    <t>Vay ngắn hạn
Shorterm loans</t>
  </si>
  <si>
    <t>Phải trả về mua các khoản đầu tư
Payables for securities bought but not yet settled</t>
  </si>
  <si>
    <t>Phải trả phí cho các Đại lý phân phối, Công ty quản lý quỹ về mua bán Chứng chỉ quỹ
Subscription and Redemption fee payable to distributors and fund management company</t>
  </si>
  <si>
    <t>Thuế và các khoản phải nộp Nhà nước
Tax payables and obligations to the State Budget</t>
  </si>
  <si>
    <t>Phải trả thu nhập cho Nhà đầu tư
Profit distribution payables</t>
  </si>
  <si>
    <t>Chi phí phải trả
Expense Accuals</t>
  </si>
  <si>
    <t>Phải trả cho Nhà đầu tư về mua lại Chứng chỉ quỹ
Redemption payable</t>
  </si>
  <si>
    <t>Phải trả dịch vụ quản lý Quỹ mở
Fund management related service expense payable</t>
  </si>
  <si>
    <t>Phải trả, phải nộp khác
Other payables</t>
  </si>
  <si>
    <t xml:space="preserve">	GIÁ TRỊ TÀI SẢN RÒNG CÓ THỂ PHÂN PHỐI CHO NHÀ ĐẦU TƯ NẮM GIỮ CHỨNG CHỈ QUỸ MỞ (I-II)
DISTRIBUTABLE NET ASSET VALUE (I-II)</t>
  </si>
  <si>
    <t>Vốn góp của Nhà đầu tư
Paid up capital</t>
  </si>
  <si>
    <t>Vốn góp phát hành
Capital from subscription</t>
  </si>
  <si>
    <t>Thặng dư vốn góp của Nhà đầu tư
Share premium</t>
  </si>
  <si>
    <t>Lợi nhuận chưa phân phối 
Undistributed earnings</t>
  </si>
  <si>
    <t>Lợi nhuận chưa phân phối  đầu kỳ
Undistributed earnings  at the beginning of the period</t>
  </si>
  <si>
    <t>Lợi nhuận chưa phân phối  trong kỳ
Undistributed earnings during the period</t>
  </si>
  <si>
    <t xml:space="preserve">GIÁ TRỊ TÀI SẢN RÒNG QUỸ MỞ TRÊN 1 ĐƠN VỊ CHỨNG CHỈ QUỸ (IV=III/VI.4)
NET ASSET VALUE  PER FUND CERTIFICATE </t>
  </si>
  <si>
    <t>LỢI NHUẬN ĐÃ PHÂN PHỐI CHO NHÀ ĐẦU TƯ
DISTRIBUTED EARNINGS</t>
  </si>
  <si>
    <t>Lợi nhuận/Tài sản đã phân phối cho Nhà đầu tư trong năm
Distributed earnings assets in the period</t>
  </si>
  <si>
    <t>Lợi nhuận đã phân phối cho Nhà đầu tư lũy kế từ khi thành lập Quỹ mở đến kỳ lập báo cáo này
Accumulated distributed profit/ assets</t>
  </si>
  <si>
    <t>Tài sản nhận thế chấp
Assets received as pledge</t>
  </si>
  <si>
    <t>Nợ khó đòi đã xử lý
Written off bad debts</t>
  </si>
  <si>
    <t>Ngoại tệ các loại
Foreign currencies</t>
  </si>
  <si>
    <t>Số lượng Chứng chỉ quỹ đang lưu hành
Number of outstanding fund certificates</t>
  </si>
  <si>
    <t>Đầu tư khác
Other investments</t>
  </si>
  <si>
    <t>2205.7</t>
  </si>
  <si>
    <t>Chứng chỉ tiền gửi 
Certificate of Deposit</t>
  </si>
  <si>
    <t>Quyền mua chứng khoán
Investment Rights</t>
  </si>
  <si>
    <t>2215.1.2</t>
  </si>
  <si>
    <t>Phải trả nhà đầu tư trên cổ tức đã thu
Payables to investors for collected dividend</t>
  </si>
  <si>
    <t>2215.1.3</t>
  </si>
  <si>
    <t>Phải trả cho Nhà đầu tư về mua lại Chứng chỉ quỹ
Redemption payable to investors</t>
  </si>
  <si>
    <t>2215.1.4</t>
  </si>
  <si>
    <t>Phải trả nhà đầu tư
Payables to investors</t>
  </si>
  <si>
    <t>2215.1</t>
  </si>
  <si>
    <t>2215.2</t>
  </si>
  <si>
    <t>2215.9.1</t>
  </si>
  <si>
    <t>2215.9.2</t>
  </si>
  <si>
    <t xml:space="preserve">Trích trước phí lưu ký tài sản Quỹ mở
Accrued expense for Custodian fee </t>
  </si>
  <si>
    <t>2215.10.1</t>
  </si>
  <si>
    <t>2215.10.2</t>
  </si>
  <si>
    <t>2215.10.3</t>
  </si>
  <si>
    <t>2215.17.4</t>
  </si>
  <si>
    <t>2215.17.1</t>
  </si>
  <si>
    <t>2215.17.3</t>
  </si>
  <si>
    <t>2215.17.2</t>
  </si>
  <si>
    <t>Trích trước phí quản lý thường niên trả UBCKNN
Accrued expense for Annual Management Fee pay to SSC</t>
  </si>
  <si>
    <t>Vay ngắn hạn 
Shorterm loans</t>
  </si>
  <si>
    <t>2215.18.1</t>
  </si>
  <si>
    <t>2215.18.2</t>
  </si>
  <si>
    <t>Dự phòng giảm giá tài sản nhận thế chấp
Impairment of devaluation of assets as pledge</t>
  </si>
  <si>
    <t>2206.1</t>
  </si>
  <si>
    <t>Phải thu trái tức
Coupon receivable</t>
  </si>
  <si>
    <t>2206.2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</si>
  <si>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</si>
  <si>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niêm yết, phí đăng ký chứng khoán
Listing, Registration fee expenses</t>
  </si>
  <si>
    <t>Phí quản lý thường niên trả cho UBCKNN
Annual management fee paid to SSC</t>
  </si>
  <si>
    <t>2232.6</t>
  </si>
  <si>
    <t>Phải thu cổ tức, trái tức
Dividend, Coupon receivables</t>
  </si>
  <si>
    <t>Phải thu lãi tiền gửi có kỳ hạn
Interest receivable from term deposit</t>
  </si>
  <si>
    <t>Phải thu lãi chứng chỉ tiền gửi
Interest receivable from Certificates of Deposits</t>
  </si>
  <si>
    <t>Phải trả phí quản lý cho công ty quản lý quỹ
Management fee payable</t>
  </si>
  <si>
    <t>Phải trả phí họp đại hội thưởng niên
General meeting expense payable</t>
  </si>
  <si>
    <t>Phải trả phí báo cáo thường niên
Annual report fee payable</t>
  </si>
  <si>
    <t>Lãi chứng chỉ tiền gửi
Interest from Certificate of Deposits</t>
  </si>
  <si>
    <t>Thu nhập khác về đầu tư
Other investment income</t>
  </si>
  <si>
    <t>Thu nhập khác 
Other income</t>
  </si>
  <si>
    <t>Chi phí cung cấp báo giá chứng khoán
Price feed fee Expenses</t>
  </si>
  <si>
    <t xml:space="preserve">Chi phí môi giới
Brokerage fee </t>
  </si>
  <si>
    <t>Ghi chú/ Notes:</t>
  </si>
  <si>
    <t>2229.3</t>
  </si>
  <si>
    <t>2246.1</t>
  </si>
  <si>
    <t>2246.2</t>
  </si>
  <si>
    <t>2246.3</t>
  </si>
  <si>
    <t>2246.4</t>
  </si>
  <si>
    <t>2246.5</t>
  </si>
  <si>
    <t>2246.6</t>
  </si>
  <si>
    <t>2246.7</t>
  </si>
  <si>
    <t>2246.8</t>
  </si>
  <si>
    <t>2246.9</t>
  </si>
  <si>
    <t>2246.10</t>
  </si>
  <si>
    <t>2246.11</t>
  </si>
  <si>
    <t>2246.12</t>
  </si>
  <si>
    <t>2246.13</t>
  </si>
  <si>
    <t>2246.14</t>
  </si>
  <si>
    <t>2246.15</t>
  </si>
  <si>
    <t>2246.16</t>
  </si>
  <si>
    <t>2246.17</t>
  </si>
  <si>
    <t>2246.18</t>
  </si>
  <si>
    <t>2246.19</t>
  </si>
  <si>
    <t>2246.20</t>
  </si>
  <si>
    <t>110</t>
  </si>
  <si>
    <t>120</t>
  </si>
  <si>
    <t>121</t>
  </si>
  <si>
    <t>122</t>
  </si>
  <si>
    <t>130</t>
  </si>
  <si>
    <t>132</t>
  </si>
  <si>
    <t>133</t>
  </si>
  <si>
    <t>134</t>
  </si>
  <si>
    <t>135</t>
  </si>
  <si>
    <t>100</t>
  </si>
  <si>
    <t>316</t>
  </si>
  <si>
    <t>317</t>
  </si>
  <si>
    <t>317.1</t>
  </si>
  <si>
    <t>317.2</t>
  </si>
  <si>
    <t>319</t>
  </si>
  <si>
    <t>319.6</t>
  </si>
  <si>
    <t>319.7</t>
  </si>
  <si>
    <t>320</t>
  </si>
  <si>
    <t>320.4</t>
  </si>
  <si>
    <t>300</t>
  </si>
  <si>
    <t>400</t>
  </si>
  <si>
    <t>411</t>
  </si>
  <si>
    <t>430</t>
  </si>
  <si>
    <t>440</t>
  </si>
  <si>
    <t>441</t>
  </si>
  <si>
    <t>442</t>
  </si>
  <si>
    <t>001</t>
  </si>
  <si>
    <t>002</t>
  </si>
  <si>
    <t>003</t>
  </si>
  <si>
    <t>004</t>
  </si>
  <si>
    <t>Chi phí khác
Other expenses</t>
  </si>
  <si>
    <t>Phí quản lý thường niên trả UBCKNN
Annual fee Expenses paid to SSC</t>
  </si>
  <si>
    <t>ACB</t>
  </si>
  <si>
    <t>CTG</t>
  </si>
  <si>
    <t>FPT</t>
  </si>
  <si>
    <t>GAS</t>
  </si>
  <si>
    <t>HPG</t>
  </si>
  <si>
    <t>KDH</t>
  </si>
  <si>
    <t>MWG</t>
  </si>
  <si>
    <t>PNJ</t>
  </si>
  <si>
    <t>SAB</t>
  </si>
  <si>
    <t>VCB</t>
  </si>
  <si>
    <t>VJC</t>
  </si>
  <si>
    <t>VNM</t>
  </si>
  <si>
    <t>2246.21</t>
  </si>
  <si>
    <t>2246.22</t>
  </si>
  <si>
    <t>2246.23</t>
  </si>
  <si>
    <t>2246.24</t>
  </si>
  <si>
    <t>2246.25</t>
  </si>
  <si>
    <t>2246.26</t>
  </si>
  <si>
    <t>121.2</t>
  </si>
  <si>
    <t>Người lập:</t>
  </si>
  <si>
    <t xml:space="preserve">             Người duyệt:</t>
  </si>
  <si>
    <t>____________________________________________</t>
  </si>
  <si>
    <t>_____________________________________</t>
  </si>
  <si>
    <t>Bà Lâm Thị Loan</t>
  </si>
  <si>
    <t>Ông Nguyễn Minh Đăng Khánh</t>
  </si>
  <si>
    <t>Ông Trần Thanh Tân</t>
  </si>
  <si>
    <t>Kế toán Quỹ</t>
  </si>
  <si>
    <t xml:space="preserve">Phó Tổng Giám đốc kiêm 
Giám đốc Tài chính
</t>
  </si>
  <si>
    <t>Tổng Giám đốc</t>
  </si>
  <si>
    <t>______________________________________</t>
  </si>
  <si>
    <t xml:space="preserve">         Ông Nguyễn Minh Đăng Khánh</t>
  </si>
  <si>
    <t xml:space="preserve">            Ông Trần Thanh Tân</t>
  </si>
  <si>
    <t xml:space="preserve">   Phó Tổng Giám đốc kiêm 
Giám đốc Tài chính
</t>
  </si>
  <si>
    <t xml:space="preserve">                 Tổng Giám đốc</t>
  </si>
  <si>
    <t xml:space="preserve">        Ông Nguyễn Minh Đăng Khánh</t>
  </si>
  <si>
    <t>________________________________</t>
  </si>
  <si>
    <t>__________________________</t>
  </si>
  <si>
    <t xml:space="preserve">      Ông Trần Thanh Tân</t>
  </si>
  <si>
    <t xml:space="preserve">           Tổng Giám đốc</t>
  </si>
  <si>
    <t>Năm 2018
Year 2018</t>
  </si>
  <si>
    <t>2232.7</t>
  </si>
  <si>
    <t>2221.2</t>
  </si>
  <si>
    <t>111.2</t>
  </si>
  <si>
    <t>111.3</t>
  </si>
  <si>
    <t>MBB</t>
  </si>
  <si>
    <t>PLX</t>
  </si>
  <si>
    <t>VPB</t>
  </si>
  <si>
    <t>PME</t>
  </si>
  <si>
    <t>ACV</t>
  </si>
  <si>
    <t>MSN</t>
  </si>
  <si>
    <t>CTD</t>
  </si>
  <si>
    <t>VIC</t>
  </si>
  <si>
    <t>2246.27</t>
  </si>
  <si>
    <t>SSI</t>
  </si>
  <si>
    <t>2246.28</t>
  </si>
  <si>
    <t>BID</t>
  </si>
  <si>
    <t>2246.29</t>
  </si>
  <si>
    <t>DXG</t>
  </si>
  <si>
    <t>2246.30</t>
  </si>
  <si>
    <t>NLG</t>
  </si>
  <si>
    <t>2247</t>
  </si>
  <si>
    <t>111.1</t>
  </si>
  <si>
    <t>121.4</t>
  </si>
  <si>
    <t>134.1</t>
  </si>
  <si>
    <t>134.2</t>
  </si>
  <si>
    <t>134.3</t>
  </si>
  <si>
    <t>134.4</t>
  </si>
  <si>
    <t>134.5</t>
  </si>
  <si>
    <t>136.1</t>
  </si>
  <si>
    <t>136.2</t>
  </si>
  <si>
    <t>136.4</t>
  </si>
  <si>
    <t>311.1</t>
  </si>
  <si>
    <t>311.2</t>
  </si>
  <si>
    <t>316.1</t>
  </si>
  <si>
    <t>316.2</t>
  </si>
  <si>
    <t>316.3</t>
  </si>
  <si>
    <t>316.4</t>
  </si>
  <si>
    <t>316.5</t>
  </si>
  <si>
    <t>319.1</t>
  </si>
  <si>
    <t>319.2</t>
  </si>
  <si>
    <t>319.3</t>
  </si>
  <si>
    <t>319.4</t>
  </si>
  <si>
    <t>319.5</t>
  </si>
  <si>
    <t>320.1</t>
  </si>
  <si>
    <t>320.2</t>
  </si>
  <si>
    <t>320.3</t>
  </si>
  <si>
    <t>420.1</t>
  </si>
  <si>
    <t>420.2</t>
  </si>
  <si>
    <t>2210.1</t>
  </si>
  <si>
    <t>2210.2</t>
  </si>
  <si>
    <t>2215.16</t>
  </si>
  <si>
    <t>2215.18</t>
  </si>
  <si>
    <t>2224</t>
  </si>
  <si>
    <t>2226</t>
  </si>
  <si>
    <t>2227</t>
  </si>
  <si>
    <t>2229</t>
  </si>
  <si>
    <t>2230</t>
  </si>
  <si>
    <t>2231</t>
  </si>
  <si>
    <t>2232</t>
  </si>
  <si>
    <t>2233</t>
  </si>
  <si>
    <t>2234</t>
  </si>
  <si>
    <t>2237</t>
  </si>
  <si>
    <t>2238</t>
  </si>
  <si>
    <t>2239</t>
  </si>
  <si>
    <t>2240</t>
  </si>
  <si>
    <t>2243</t>
  </si>
  <si>
    <t>2220</t>
  </si>
  <si>
    <t>2221.1</t>
  </si>
  <si>
    <t>2222.1</t>
  </si>
  <si>
    <t>2222.2</t>
  </si>
  <si>
    <t>2223.1</t>
  </si>
  <si>
    <t>2223.2</t>
  </si>
  <si>
    <t>2223.3</t>
  </si>
  <si>
    <t>2230.5</t>
  </si>
  <si>
    <t>2232.5</t>
  </si>
  <si>
    <t>2239.1</t>
  </si>
  <si>
    <t>2239.2</t>
  </si>
  <si>
    <t>2239.3</t>
  </si>
  <si>
    <t>2239.4</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</si>
  <si>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</si>
  <si>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HOẠT ĐỘNG VAY, GIAO DỊCH MUA BÁN LẠI CỦA QUỸ
REPORT ON BORROWING OPERATION, REPO/REVERSE REPO TRANSACTIONS OF THE FUND</t>
  </si>
  <si>
    <t>Fund Management Company:</t>
  </si>
  <si>
    <t>BÁO CÁO THAY ĐỔI GIÁ TRỊ TÀI SẢN RÒNG, GIAO DỊCH CHỨNG CHỈ QŨY
REPORT ON CHANGE OF NET ASSET VALUE, TRADING OF FUND CERTIFICATE</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</si>
  <si>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</si>
  <si>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</si>
  <si>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</si>
  <si>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</si>
  <si>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Lãi tiền gửi ngân hàng
Interest from bank deposits</t>
  </si>
  <si>
    <t>1.1 Cổ tức, trái tức được chia
Dividend and interest income</t>
  </si>
  <si>
    <t>Mẫu số B02g - QM. Báo cáo tình hình tài chính
Template B02g - QM. Statement of Financial Position</t>
  </si>
  <si>
    <t>Mẫu số B01g - QM. Báo cáo thu nhập
Template B01g - QM. Statement of Comprehensive Income</t>
  </si>
  <si>
    <t>111.4</t>
  </si>
  <si>
    <t>121.9</t>
  </si>
  <si>
    <t>Quyền mua
Rights</t>
  </si>
  <si>
    <t>2253.1</t>
  </si>
  <si>
    <t>2253.2</t>
  </si>
  <si>
    <t>2203.4</t>
  </si>
  <si>
    <t>2205.8</t>
  </si>
  <si>
    <t>VHM</t>
  </si>
  <si>
    <t>TCB</t>
  </si>
  <si>
    <t>(**) Không tính đến giá trị cam kết của các hợp đồng tương lai chỉ số
       Excluding the committed value of the Index Futures contracts.</t>
  </si>
  <si>
    <t>2231.3</t>
  </si>
  <si>
    <t>Hợp đồng tương lai chỉ số
Index future contracts</t>
  </si>
  <si>
    <t>Tiền gửi ký quỹ cho hoạt động đầu tư chứng khoán phái sinh
Margin account for trading derivatives</t>
  </si>
  <si>
    <t>KBC</t>
  </si>
  <si>
    <t>POW</t>
  </si>
  <si>
    <t>VTP</t>
  </si>
  <si>
    <t xml:space="preserve">Ngân hàng TNHH một thành viên Standard Chartered (Việt Nam)
</t>
  </si>
  <si>
    <t>VietFund Management Company</t>
  </si>
  <si>
    <t>Nguyễn Ngọc Lan Anh</t>
  </si>
  <si>
    <t>Giám đốc Nghiệp vụ khối Thị trường, Tài sản và Dịch vụ chứng khoán</t>
  </si>
  <si>
    <t xml:space="preserve">Phụ lục 31: Mẫu Báo cáo hoạt động vay, giao dịch mua bán lại của quỹ
Appendix 31: Report on borrowing operation, repo/reverse repo transactions of the fund
</t>
  </si>
  <si>
    <t>Tốc độ vòng quay danh mục trong kỳ (%) = (Tổng giá trị danh mục mua vào + tổng giá trị danh mục bán ra) /2 / Giá trị tài sản ròng trung bình trong kỳ
Portfolio turnover rate (%) = (total value of buy-in portfolio + total proceeds of sale-out portfolio) / 2 / Average NAV (**)</t>
  </si>
  <si>
    <t>Năm 2019
Year 2019</t>
  </si>
  <si>
    <t>Vũ Hương Giang</t>
  </si>
  <si>
    <t>Phó Phòng Nghiệp vụ Dịch vụ Chứng khoán</t>
  </si>
  <si>
    <t>Ngày 31 tháng 03 năm 2019
As at 31 Mar 2019</t>
  </si>
  <si>
    <t>Quý I năm 2019
Quarter I 2019</t>
  </si>
  <si>
    <t>Tại ngày 31 tháng 03 năm 2019
As at 31 Mar 2019</t>
  </si>
  <si>
    <t>BVH</t>
  </si>
  <si>
    <t>VRE</t>
  </si>
  <si>
    <t>2246.31</t>
  </si>
  <si>
    <t>2246.32</t>
  </si>
  <si>
    <t>Trái phiếu Doanh Nghiệp CII11713
Corporate Bond CII11713</t>
  </si>
  <si>
    <t>Lãi tiền gửi và chứng chỉ tiền gửi được nhận
Interest receivables from deposits and certificates of deposit</t>
  </si>
  <si>
    <t>Tại ngày 30 tháng 06 năm 2019/As at 30 Jun 2019</t>
  </si>
  <si>
    <t>Quý II năm 2019/ Quarter II 2019</t>
  </si>
  <si>
    <t>Quý II
Quarter II</t>
  </si>
  <si>
    <t>Ngày 30 tháng 06 năm 2019
As at 30 Jun 2019</t>
  </si>
  <si>
    <t>Quý II năm 2019
Quarter II 2019</t>
  </si>
  <si>
    <t>Tại ngày 30 tháng 06 năm 2019
As at 30 Jun 2019</t>
  </si>
  <si>
    <t>2226.5</t>
  </si>
  <si>
    <t>20.2.4</t>
  </si>
  <si>
    <t>Phí dịch vụ lưu ký - phí VSD về quản lý vị thế và tài sản ký quỹ cho các hợp đồng phái sinh
Custodian service -  VSD fee for position and margin management of index future contracts</t>
  </si>
  <si>
    <t>Phí thiết kế, in ấn, gửi thư…
Designing, printing, posting... expense</t>
  </si>
  <si>
    <t>Vốn góp mua lại
Capital from redemption</t>
  </si>
  <si>
    <t>CII</t>
  </si>
  <si>
    <t>DHG</t>
  </si>
  <si>
    <t>DPM</t>
  </si>
  <si>
    <t>EIB</t>
  </si>
  <si>
    <t>GMD</t>
  </si>
  <si>
    <t>HDB</t>
  </si>
  <si>
    <t>LHG</t>
  </si>
  <si>
    <t>MSR</t>
  </si>
  <si>
    <t>NVL</t>
  </si>
  <si>
    <t>PHR</t>
  </si>
  <si>
    <t>REE</t>
  </si>
  <si>
    <t>ROS</t>
  </si>
  <si>
    <t>SBT</t>
  </si>
  <si>
    <t>VEA</t>
  </si>
  <si>
    <t>VHC</t>
  </si>
  <si>
    <t>2246.33</t>
  </si>
  <si>
    <t>2246.34</t>
  </si>
  <si>
    <t>2246.35</t>
  </si>
  <si>
    <t>2246.36</t>
  </si>
  <si>
    <t>2246.37</t>
  </si>
  <si>
    <t>2246.38</t>
  </si>
  <si>
    <t>2246.39</t>
  </si>
  <si>
    <t>2246.40</t>
  </si>
  <si>
    <t>2246.41</t>
  </si>
  <si>
    <t>2246.42</t>
  </si>
  <si>
    <t>2246.43</t>
  </si>
  <si>
    <t>2246.44</t>
  </si>
  <si>
    <t>2246.45</t>
  </si>
  <si>
    <t>2246.46</t>
  </si>
  <si>
    <t>- Tiền gửi cho hoạt động mua bán của nhà đầu tư 
Cash at bank for Fund's subscription/redemption</t>
  </si>
  <si>
    <t>- Tiền gửi phong tỏa 
Frozen Account</t>
  </si>
  <si>
    <t>Ngày 09 tháng 07 năm 2019</t>
  </si>
  <si>
    <t>Công cụ chuyển nhượng…
Transferable instruments…</t>
  </si>
  <si>
    <t xml:space="preserve">-Tiền gửi ngân hàng và tương đương tiền cho hoạt động của Quỹ 
Cash at bank and cash equivalent for Fund's operation </t>
  </si>
  <si>
    <t>Gốc khoản vay ngắn hạn
Shorterm loans Principal</t>
  </si>
  <si>
    <t>Trich trước lãi vay ngắn hạn
Accrued Interest Expense</t>
  </si>
  <si>
    <t>Chi tiết loại hợp đồng phái sinh
Index future contracts</t>
  </si>
  <si>
    <t>Chi phi lãi vay
Borrowing Interest Expenses</t>
  </si>
  <si>
    <t>Trái phiếu Doanh Nghiệp KBC11806
Corporate Bond KBC11806</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</si>
  <si>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</si>
  <si>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Lãi tiền gửi ngân hàng
Interest income from bank deposits</t>
  </si>
  <si>
    <t>Lãi chứng chỉ tiền gửi
Interest income from certificates of deposits</t>
  </si>
  <si>
    <t>11.1</t>
  </si>
  <si>
    <t>11.2</t>
  </si>
  <si>
    <t>2200</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</si>
  <si>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</si>
  <si>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</si>
  <si>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</si>
  <si>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</si>
  <si>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IV. Giá trị tài sản ròng của Quỹ mở cuối kỳ 
( = I + II + III) 
NAV at the end of period (= I + II + III)</t>
  </si>
  <si>
    <t xml:space="preserve">Giá trị tài sản ròng trên một đơn vị quỹ cuối kỳ
NAV per unit at the end of period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</si>
</sst>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1" formatCode="_(* #,##0_);_(* \(#,##0\);_(* &quot;-&quot;_);_(@_)"/>
    <numFmt numFmtId="43" formatCode="_(* #,##0.00_);_(* \(#,##0.00\);_(* &quot;-&quot;??_);_(@_)"/>
    <numFmt numFmtId="164" formatCode="_-* #,##0\ _₫_-;\-* #,##0\ _₫_-;_-* &quot;-&quot;\ _₫_-;_-@_-"/>
    <numFmt numFmtId="165" formatCode="_-* #,##0.00\ _₫_-;\-* #,##0.00\ _₫_-;_-* &quot;-&quot;??\ _₫_-;_-@_-"/>
    <numFmt numFmtId="166" formatCode="_(* #,##0_);_(* \(#,##0\);_(* &quot;-&quot;??_);_(@_)"/>
    <numFmt numFmtId="167" formatCode="#,##0.####"/>
  </numFmts>
  <fonts count="5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i/>
      <sz val="10"/>
      <color rgb="FF0070C0"/>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sz val="10"/>
      <color rgb="FFFF0000"/>
      <name val="Tahoma"/>
      <family val="2"/>
    </font>
    <font>
      <b/>
      <sz val="11"/>
      <color theme="1"/>
      <name val="Calibri"/>
      <family val="2"/>
      <scheme val="minor"/>
    </font>
    <font>
      <i/>
      <sz val="11"/>
      <color theme="1"/>
      <name val="Calibri"/>
      <family val="2"/>
      <scheme val="minor"/>
    </font>
    <font>
      <b/>
      <i/>
      <sz val="10"/>
      <color indexed="63"/>
      <name val="Tahoma"/>
      <family val="2"/>
    </font>
    <font>
      <b/>
      <i/>
      <u/>
      <sz val="10"/>
      <name val="Tahoma"/>
      <family val="2"/>
    </font>
    <font>
      <i/>
      <sz val="10"/>
      <name val="Arial"/>
      <family val="2"/>
    </font>
    <font>
      <b/>
      <sz val="11"/>
      <name val="Tahoma"/>
      <family val="2"/>
    </font>
  </fonts>
  <fills count="12">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indexed="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58"/>
      </left>
      <right style="thin">
        <color indexed="58"/>
      </right>
      <top style="thin">
        <color indexed="58"/>
      </top>
      <bottom style="thin">
        <color indexed="58"/>
      </bottom>
      <diagonal/>
    </border>
  </borders>
  <cellStyleXfs count="128">
    <xf numFmtId="0" fontId="0" fillId="0" borderId="0"/>
    <xf numFmtId="165" fontId="20" fillId="0" borderId="0" quotePrefix="1" applyFont="0" applyFill="0" applyBorder="0" applyAlignment="0">
      <protection locked="0"/>
    </xf>
    <xf numFmtId="0" fontId="20" fillId="0" borderId="0"/>
    <xf numFmtId="0" fontId="21" fillId="0" borderId="0" applyNumberFormat="0" applyFill="0" applyBorder="0" applyAlignment="0" applyProtection="0"/>
    <xf numFmtId="0" fontId="20" fillId="0" borderId="0"/>
    <xf numFmtId="9" fontId="20" fillId="0" borderId="0" quotePrefix="1" applyFont="0" applyFill="0" applyBorder="0" applyAlignment="0">
      <protection locked="0"/>
    </xf>
    <xf numFmtId="0" fontId="19" fillId="0" borderId="0"/>
    <xf numFmtId="165" fontId="19" fillId="0" borderId="0" applyFont="0" applyFill="0" applyBorder="0" applyAlignment="0" applyProtection="0"/>
    <xf numFmtId="9" fontId="19" fillId="0" borderId="0" applyFont="0" applyFill="0" applyBorder="0" applyAlignment="0" applyProtection="0"/>
    <xf numFmtId="165" fontId="20" fillId="0" borderId="0" applyFont="0" applyFill="0" applyBorder="0" applyAlignment="0" applyProtection="0"/>
    <xf numFmtId="0" fontId="40" fillId="0" borderId="0"/>
    <xf numFmtId="165" fontId="19" fillId="0" borderId="0" applyFont="0" applyFill="0" applyBorder="0" applyAlignment="0" applyProtection="0"/>
    <xf numFmtId="165" fontId="47" fillId="0" borderId="0" applyFont="0" applyFill="0" applyBorder="0" applyAlignment="0" applyProtection="0"/>
    <xf numFmtId="0" fontId="17" fillId="0" borderId="0"/>
    <xf numFmtId="0" fontId="16" fillId="0" borderId="0"/>
    <xf numFmtId="0" fontId="15" fillId="0" borderId="0"/>
    <xf numFmtId="0" fontId="14" fillId="0" borderId="0"/>
    <xf numFmtId="0" fontId="13" fillId="0" borderId="0"/>
    <xf numFmtId="0" fontId="12" fillId="0" borderId="0"/>
    <xf numFmtId="165" fontId="20" fillId="0" borderId="0" applyFont="0" applyFill="0" applyBorder="0" applyAlignment="0" applyProtection="0"/>
    <xf numFmtId="0" fontId="11" fillId="0" borderId="0"/>
    <xf numFmtId="0" fontId="10" fillId="0" borderId="0"/>
    <xf numFmtId="0" fontId="9" fillId="0" borderId="0"/>
    <xf numFmtId="0" fontId="9" fillId="0" borderId="0"/>
    <xf numFmtId="165" fontId="9" fillId="0" borderId="0" applyFont="0" applyFill="0" applyBorder="0" applyAlignment="0" applyProtection="0"/>
    <xf numFmtId="165" fontId="20" fillId="0" borderId="0" applyFont="0" applyFill="0" applyBorder="0" applyAlignment="0" applyProtection="0"/>
    <xf numFmtId="0" fontId="9" fillId="0" borderId="0"/>
    <xf numFmtId="0" fontId="9" fillId="0" borderId="0"/>
    <xf numFmtId="0" fontId="9" fillId="0" borderId="0"/>
    <xf numFmtId="0" fontId="9" fillId="0" borderId="0"/>
    <xf numFmtId="167" fontId="20" fillId="11" borderId="15" applyNumberFormat="0" applyFont="0" applyFill="0" applyBorder="0" applyAlignment="0" applyProtection="0">
      <alignment vertical="center"/>
    </xf>
    <xf numFmtId="0" fontId="20" fillId="11" borderId="15" applyNumberFormat="0" applyFont="0" applyFill="0" applyBorder="0" applyAlignment="0" applyProtection="0">
      <alignment vertical="center"/>
    </xf>
    <xf numFmtId="167" fontId="20" fillId="11" borderId="15" applyNumberFormat="0" applyFont="0" applyFill="0" applyBorder="0" applyAlignment="0" applyProtection="0">
      <alignment vertical="center"/>
    </xf>
    <xf numFmtId="0" fontId="8" fillId="0" borderId="0"/>
    <xf numFmtId="0" fontId="8" fillId="0" borderId="0"/>
    <xf numFmtId="0" fontId="7" fillId="0" borderId="0"/>
    <xf numFmtId="0" fontId="7" fillId="0" borderId="0"/>
    <xf numFmtId="0" fontId="7" fillId="0" borderId="0"/>
    <xf numFmtId="0" fontId="6" fillId="0" borderId="0"/>
    <xf numFmtId="0" fontId="6" fillId="0" borderId="0"/>
    <xf numFmtId="0" fontId="6" fillId="0" borderId="0"/>
    <xf numFmtId="0" fontId="5" fillId="0" borderId="0"/>
    <xf numFmtId="0" fontId="5" fillId="0" borderId="0"/>
    <xf numFmtId="0" fontId="5" fillId="0" borderId="0"/>
    <xf numFmtId="0" fontId="20" fillId="0" borderId="0"/>
    <xf numFmtId="165" fontId="3" fillId="0" borderId="0" applyFont="0" applyFill="0" applyBorder="0" applyAlignment="0" applyProtection="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476">
    <xf numFmtId="0" fontId="0" fillId="0" borderId="0" xfId="0"/>
    <xf numFmtId="0" fontId="22" fillId="2" borderId="0" xfId="0" applyFont="1" applyFill="1"/>
    <xf numFmtId="0" fontId="23" fillId="2" borderId="0" xfId="0" applyFont="1" applyFill="1"/>
    <xf numFmtId="0" fontId="25" fillId="2" borderId="0" xfId="0" applyFont="1" applyFill="1"/>
    <xf numFmtId="0" fontId="25" fillId="2" borderId="0" xfId="0" applyFont="1" applyFill="1" applyAlignment="1">
      <alignment vertical="top" wrapText="1"/>
    </xf>
    <xf numFmtId="0" fontId="22" fillId="2" borderId="0" xfId="0" applyFont="1" applyFill="1" applyAlignment="1">
      <alignment vertical="top" wrapText="1"/>
    </xf>
    <xf numFmtId="0" fontId="22" fillId="2" borderId="0" xfId="0" applyFont="1" applyFill="1" applyAlignment="1">
      <alignment vertical="center"/>
    </xf>
    <xf numFmtId="0" fontId="25" fillId="2" borderId="0" xfId="0" applyFont="1" applyFill="1" applyAlignment="1">
      <alignment vertical="center"/>
    </xf>
    <xf numFmtId="0" fontId="25" fillId="2" borderId="0" xfId="0" applyFont="1" applyFill="1" applyAlignment="1">
      <alignment vertical="center" wrapText="1"/>
    </xf>
    <xf numFmtId="0" fontId="22" fillId="2" borderId="0" xfId="0" applyFont="1" applyFill="1" applyAlignment="1">
      <alignment vertical="center" wrapText="1"/>
    </xf>
    <xf numFmtId="0" fontId="19" fillId="0" borderId="0" xfId="6"/>
    <xf numFmtId="0" fontId="19" fillId="0" borderId="0" xfId="6" applyAlignment="1">
      <alignment horizontal="center"/>
    </xf>
    <xf numFmtId="166" fontId="0" fillId="0" borderId="0" xfId="7" applyNumberFormat="1" applyFont="1"/>
    <xf numFmtId="0" fontId="0" fillId="0" borderId="0" xfId="0" applyAlignment="1">
      <alignment horizontal="left"/>
    </xf>
    <xf numFmtId="0" fontId="24" fillId="2" borderId="1" xfId="0" applyFont="1" applyFill="1" applyBorder="1" applyAlignment="1">
      <alignment horizontal="left" vertical="top"/>
    </xf>
    <xf numFmtId="0" fontId="22" fillId="2" borderId="1" xfId="0" applyFont="1" applyFill="1" applyBorder="1" applyAlignment="1">
      <alignment horizontal="left" vertical="top"/>
    </xf>
    <xf numFmtId="0" fontId="22" fillId="2" borderId="1" xfId="0" applyFont="1" applyFill="1" applyBorder="1" applyAlignment="1">
      <alignment horizontal="left" vertical="top" wrapText="1"/>
    </xf>
    <xf numFmtId="0" fontId="21" fillId="2" borderId="1" xfId="3" applyFill="1" applyBorder="1" applyAlignment="1">
      <alignment horizontal="left" vertical="top"/>
    </xf>
    <xf numFmtId="0" fontId="29" fillId="3" borderId="0" xfId="0" applyFont="1" applyFill="1" applyAlignment="1">
      <alignment horizontal="center" vertical="center"/>
    </xf>
    <xf numFmtId="0" fontId="34" fillId="3" borderId="0" xfId="0" applyFont="1" applyFill="1" applyAlignment="1">
      <alignment vertical="center" wrapText="1"/>
    </xf>
    <xf numFmtId="0" fontId="35" fillId="3" borderId="0" xfId="0" applyFont="1" applyFill="1" applyAlignment="1">
      <alignment vertical="center" wrapText="1"/>
    </xf>
    <xf numFmtId="0" fontId="32" fillId="3" borderId="0" xfId="0" applyFont="1" applyFill="1"/>
    <xf numFmtId="49" fontId="37" fillId="2" borderId="1" xfId="0" applyNumberFormat="1" applyFont="1" applyFill="1" applyBorder="1" applyAlignment="1" applyProtection="1">
      <alignment horizontal="center" vertical="center" wrapText="1"/>
    </xf>
    <xf numFmtId="166" fontId="32" fillId="3" borderId="0" xfId="0" applyNumberFormat="1" applyFont="1" applyFill="1"/>
    <xf numFmtId="0" fontId="32" fillId="3" borderId="0" xfId="0" applyFont="1" applyFill="1" applyAlignment="1"/>
    <xf numFmtId="0" fontId="33" fillId="3" borderId="0" xfId="0" applyFont="1" applyFill="1" applyAlignment="1">
      <alignment vertical="center"/>
    </xf>
    <xf numFmtId="166" fontId="33" fillId="3" borderId="0" xfId="11" applyNumberFormat="1" applyFont="1" applyFill="1" applyAlignment="1">
      <alignment vertical="center"/>
    </xf>
    <xf numFmtId="0" fontId="0" fillId="3" borderId="0" xfId="0" applyFill="1"/>
    <xf numFmtId="49" fontId="37" fillId="3" borderId="1" xfId="0" applyNumberFormat="1" applyFont="1" applyFill="1" applyBorder="1" applyAlignment="1" applyProtection="1">
      <alignment horizontal="center" vertical="center" wrapText="1"/>
    </xf>
    <xf numFmtId="0" fontId="0" fillId="6" borderId="0" xfId="0" applyFill="1"/>
    <xf numFmtId="0" fontId="38" fillId="3" borderId="1" xfId="2" applyNumberFormat="1" applyFont="1" applyFill="1" applyBorder="1" applyAlignment="1" applyProtection="1">
      <alignment horizontal="center" vertical="center" wrapText="1"/>
    </xf>
    <xf numFmtId="0" fontId="0" fillId="7" borderId="0" xfId="0" applyFill="1"/>
    <xf numFmtId="49" fontId="37" fillId="5" borderId="1" xfId="0" applyNumberFormat="1" applyFont="1" applyFill="1" applyBorder="1" applyAlignment="1" applyProtection="1">
      <alignment horizontal="center" vertical="center" wrapText="1"/>
    </xf>
    <xf numFmtId="0" fontId="38" fillId="6" borderId="1" xfId="2" applyNumberFormat="1" applyFont="1" applyFill="1" applyBorder="1" applyAlignment="1" applyProtection="1">
      <alignment horizontal="center" vertical="center" wrapText="1"/>
    </xf>
    <xf numFmtId="49" fontId="30" fillId="5" borderId="1" xfId="0" applyNumberFormat="1" applyFont="1" applyFill="1" applyBorder="1" applyAlignment="1" applyProtection="1">
      <alignment horizontal="center" vertical="center" wrapText="1"/>
    </xf>
    <xf numFmtId="166" fontId="30" fillId="5" borderId="1" xfId="1" applyNumberFormat="1" applyFont="1" applyFill="1" applyBorder="1" applyAlignment="1" applyProtection="1">
      <alignment horizontal="center" vertical="center" wrapText="1"/>
      <protection locked="0"/>
    </xf>
    <xf numFmtId="0" fontId="32" fillId="6" borderId="0" xfId="0" applyFont="1" applyFill="1"/>
    <xf numFmtId="0" fontId="38" fillId="0" borderId="1" xfId="2" applyNumberFormat="1" applyFont="1" applyFill="1" applyBorder="1" applyAlignment="1" applyProtection="1">
      <alignment horizontal="center" vertical="center" wrapText="1"/>
    </xf>
    <xf numFmtId="0" fontId="34" fillId="3" borderId="0" xfId="0" applyFont="1" applyFill="1"/>
    <xf numFmtId="0" fontId="34" fillId="6" borderId="0" xfId="0" applyFont="1" applyFill="1"/>
    <xf numFmtId="0" fontId="38" fillId="4" borderId="1" xfId="2" applyNumberFormat="1" applyFont="1" applyFill="1" applyBorder="1" applyAlignment="1" applyProtection="1">
      <alignment horizontal="center" vertical="center" wrapText="1"/>
    </xf>
    <xf numFmtId="166" fontId="34" fillId="3" borderId="0" xfId="1" applyNumberFormat="1" applyFont="1" applyFill="1" applyProtection="1">
      <protection locked="0"/>
    </xf>
    <xf numFmtId="0" fontId="42" fillId="3" borderId="0" xfId="0" applyFont="1" applyFill="1"/>
    <xf numFmtId="166" fontId="42" fillId="3" borderId="0" xfId="1" applyNumberFormat="1" applyFont="1" applyFill="1" applyProtection="1">
      <protection locked="0"/>
    </xf>
    <xf numFmtId="0" fontId="43" fillId="3" borderId="0" xfId="0" applyFont="1" applyFill="1"/>
    <xf numFmtId="166" fontId="43" fillId="3" borderId="0" xfId="1" applyNumberFormat="1" applyFont="1" applyFill="1" applyProtection="1">
      <protection locked="0"/>
    </xf>
    <xf numFmtId="0" fontId="34" fillId="3" borderId="6" xfId="0" applyFont="1" applyFill="1" applyBorder="1"/>
    <xf numFmtId="166" fontId="34" fillId="3" borderId="6" xfId="1" applyNumberFormat="1" applyFont="1" applyFill="1" applyBorder="1" applyProtection="1">
      <protection locked="0"/>
    </xf>
    <xf numFmtId="10" fontId="32" fillId="3" borderId="0" xfId="5" applyNumberFormat="1" applyFont="1" applyFill="1" applyProtection="1"/>
    <xf numFmtId="0" fontId="35" fillId="3" borderId="0" xfId="0" applyFont="1" applyFill="1" applyAlignment="1">
      <alignment horizontal="left" vertical="top"/>
    </xf>
    <xf numFmtId="0" fontId="32" fillId="3" borderId="0" xfId="0" applyFont="1" applyFill="1" applyAlignment="1">
      <alignment horizontal="left" vertical="top"/>
    </xf>
    <xf numFmtId="0" fontId="34" fillId="3" borderId="0" xfId="0" applyFont="1" applyFill="1" applyAlignment="1">
      <alignment horizontal="left" vertical="top"/>
    </xf>
    <xf numFmtId="0" fontId="19" fillId="4" borderId="0" xfId="6" applyFill="1"/>
    <xf numFmtId="166" fontId="0" fillId="4" borderId="0" xfId="7" applyNumberFormat="1" applyFont="1" applyFill="1"/>
    <xf numFmtId="0" fontId="34" fillId="3" borderId="0" xfId="0" applyFont="1" applyFill="1" applyAlignment="1"/>
    <xf numFmtId="166" fontId="34" fillId="3" borderId="0" xfId="1" applyNumberFormat="1" applyFont="1" applyFill="1" applyAlignment="1" applyProtection="1">
      <alignment horizontal="right"/>
    </xf>
    <xf numFmtId="10" fontId="34" fillId="3" borderId="0" xfId="5" applyNumberFormat="1" applyFont="1" applyFill="1" applyAlignment="1" applyProtection="1">
      <alignment horizontal="right"/>
    </xf>
    <xf numFmtId="166" fontId="34" fillId="3" borderId="6" xfId="1" applyNumberFormat="1" applyFont="1" applyFill="1" applyBorder="1" applyAlignment="1" applyProtection="1">
      <alignment horizontal="right"/>
    </xf>
    <xf numFmtId="10" fontId="34" fillId="3" borderId="6" xfId="5" applyNumberFormat="1" applyFont="1" applyFill="1" applyBorder="1" applyAlignment="1" applyProtection="1">
      <alignment horizontal="right"/>
    </xf>
    <xf numFmtId="0" fontId="37" fillId="3" borderId="0" xfId="4" applyNumberFormat="1" applyFont="1" applyFill="1" applyBorder="1" applyAlignment="1" applyProtection="1">
      <alignment horizontal="center" vertical="center" wrapText="1"/>
    </xf>
    <xf numFmtId="0" fontId="37" fillId="3" borderId="0" xfId="4" applyNumberFormat="1" applyFont="1" applyFill="1" applyBorder="1" applyAlignment="1" applyProtection="1">
      <alignment horizontal="left" vertical="center" wrapText="1"/>
    </xf>
    <xf numFmtId="166" fontId="37" fillId="3" borderId="0" xfId="7" applyNumberFormat="1" applyFont="1" applyFill="1" applyBorder="1" applyAlignment="1" applyProtection="1">
      <alignment horizontal="left" vertical="center" wrapText="1"/>
    </xf>
    <xf numFmtId="0" fontId="34" fillId="3" borderId="0" xfId="6" applyFont="1" applyFill="1" applyBorder="1" applyAlignment="1">
      <alignment horizontal="center"/>
    </xf>
    <xf numFmtId="0" fontId="45" fillId="5" borderId="1" xfId="4" applyNumberFormat="1" applyFont="1" applyFill="1" applyBorder="1" applyAlignment="1" applyProtection="1">
      <alignment horizontal="center" vertical="center" wrapText="1"/>
    </xf>
    <xf numFmtId="166" fontId="45" fillId="5" borderId="1" xfId="1" applyNumberFormat="1" applyFont="1" applyFill="1" applyBorder="1" applyAlignment="1" applyProtection="1">
      <alignment horizontal="center" vertical="center" wrapText="1"/>
    </xf>
    <xf numFmtId="49" fontId="32" fillId="3" borderId="1" xfId="4" applyNumberFormat="1" applyFont="1" applyFill="1" applyBorder="1" applyAlignment="1" applyProtection="1">
      <alignment horizontal="center" vertical="center" wrapText="1"/>
    </xf>
    <xf numFmtId="49" fontId="32" fillId="6" borderId="1" xfId="4" applyNumberFormat="1" applyFont="1" applyFill="1" applyBorder="1" applyAlignment="1" applyProtection="1">
      <alignment horizontal="center" vertical="center" wrapText="1"/>
    </xf>
    <xf numFmtId="166" fontId="32" fillId="6" borderId="1" xfId="7" applyNumberFormat="1" applyFont="1" applyFill="1" applyBorder="1" applyAlignment="1" applyProtection="1">
      <alignment horizontal="left" vertical="center" wrapText="1"/>
    </xf>
    <xf numFmtId="10" fontId="32" fillId="3" borderId="1" xfId="6" applyNumberFormat="1" applyFont="1" applyFill="1" applyBorder="1" applyAlignment="1" applyProtection="1">
      <alignment horizontal="left" vertical="center" wrapText="1"/>
    </xf>
    <xf numFmtId="0" fontId="19" fillId="6" borderId="0" xfId="6" applyFill="1"/>
    <xf numFmtId="166" fontId="34" fillId="3" borderId="6" xfId="1" applyNumberFormat="1" applyFont="1" applyFill="1" applyBorder="1" applyProtection="1"/>
    <xf numFmtId="0" fontId="0" fillId="3" borderId="6" xfId="0" applyFill="1" applyBorder="1"/>
    <xf numFmtId="0" fontId="19" fillId="3" borderId="0" xfId="6" applyFill="1"/>
    <xf numFmtId="0" fontId="19" fillId="3" borderId="0" xfId="6" applyFill="1" applyBorder="1"/>
    <xf numFmtId="166" fontId="0" fillId="3" borderId="0" xfId="7" applyNumberFormat="1" applyFont="1" applyFill="1" applyBorder="1"/>
    <xf numFmtId="0" fontId="42" fillId="3" borderId="0" xfId="0" applyFont="1" applyFill="1" applyBorder="1"/>
    <xf numFmtId="0" fontId="34" fillId="3" borderId="0" xfId="0" applyFont="1" applyFill="1" applyBorder="1"/>
    <xf numFmtId="166" fontId="34" fillId="3" borderId="0" xfId="1" applyNumberFormat="1" applyFont="1" applyFill="1" applyBorder="1" applyProtection="1">
      <protection locked="0"/>
    </xf>
    <xf numFmtId="166" fontId="42" fillId="3" borderId="0" xfId="1" applyNumberFormat="1" applyFont="1" applyFill="1" applyBorder="1" applyProtection="1">
      <protection locked="0"/>
    </xf>
    <xf numFmtId="166" fontId="34" fillId="3" borderId="0" xfId="1" applyNumberFormat="1" applyFont="1" applyFill="1" applyBorder="1" applyProtection="1"/>
    <xf numFmtId="0" fontId="43" fillId="3" borderId="0" xfId="0" applyFont="1" applyFill="1" applyBorder="1"/>
    <xf numFmtId="166" fontId="43" fillId="3" borderId="0" xfId="1" applyNumberFormat="1" applyFont="1" applyFill="1" applyBorder="1" applyProtection="1">
      <protection locked="0"/>
    </xf>
    <xf numFmtId="166" fontId="32" fillId="3" borderId="0" xfId="7" applyNumberFormat="1" applyFont="1" applyFill="1" applyBorder="1"/>
    <xf numFmtId="0" fontId="34" fillId="3" borderId="0" xfId="6" applyFont="1" applyFill="1" applyBorder="1"/>
    <xf numFmtId="166" fontId="0" fillId="6" borderId="0" xfId="7" applyNumberFormat="1" applyFont="1" applyFill="1"/>
    <xf numFmtId="166" fontId="32" fillId="3" borderId="6" xfId="7" applyNumberFormat="1" applyFont="1" applyFill="1" applyBorder="1"/>
    <xf numFmtId="0" fontId="42" fillId="6" borderId="1" xfId="0" applyFont="1" applyFill="1" applyBorder="1" applyAlignment="1">
      <alignment horizontal="center" vertical="center"/>
    </xf>
    <xf numFmtId="0" fontId="34" fillId="3" borderId="1" xfId="6" applyFont="1" applyFill="1" applyBorder="1" applyAlignment="1">
      <alignment horizontal="center" vertical="center"/>
    </xf>
    <xf numFmtId="0" fontId="42" fillId="6" borderId="1" xfId="6" applyFont="1" applyFill="1" applyBorder="1" applyAlignment="1">
      <alignment horizontal="center" vertical="center"/>
    </xf>
    <xf numFmtId="0" fontId="19" fillId="3" borderId="0" xfId="6" applyFill="1" applyAlignment="1">
      <alignment horizontal="center"/>
    </xf>
    <xf numFmtId="0" fontId="19" fillId="3" borderId="0" xfId="6" applyFill="1" applyBorder="1" applyAlignment="1">
      <alignment horizontal="center"/>
    </xf>
    <xf numFmtId="0" fontId="32" fillId="3" borderId="0" xfId="0" applyFont="1" applyFill="1" applyBorder="1" applyAlignment="1">
      <alignment horizontal="left"/>
    </xf>
    <xf numFmtId="0" fontId="34" fillId="6" borderId="0" xfId="6" applyFont="1" applyFill="1"/>
    <xf numFmtId="0" fontId="38" fillId="3" borderId="1" xfId="6" applyNumberFormat="1" applyFont="1" applyFill="1" applyBorder="1" applyAlignment="1" applyProtection="1">
      <alignment horizontal="center" vertical="center" wrapText="1"/>
    </xf>
    <xf numFmtId="0" fontId="0" fillId="3" borderId="0" xfId="0" applyFill="1" applyAlignment="1">
      <alignment horizontal="left"/>
    </xf>
    <xf numFmtId="0" fontId="32" fillId="3" borderId="0" xfId="0" applyFont="1" applyFill="1" applyAlignment="1">
      <alignment horizontal="left"/>
    </xf>
    <xf numFmtId="0" fontId="45" fillId="5" borderId="1" xfId="0" applyNumberFormat="1" applyFont="1" applyFill="1" applyBorder="1" applyAlignment="1" applyProtection="1">
      <alignment horizontal="center" vertical="center" wrapText="1"/>
    </xf>
    <xf numFmtId="0" fontId="34" fillId="3" borderId="0" xfId="6" applyFont="1" applyFill="1"/>
    <xf numFmtId="49" fontId="32" fillId="3" borderId="1" xfId="6" applyNumberFormat="1" applyFont="1" applyFill="1" applyBorder="1" applyAlignment="1" applyProtection="1">
      <alignment horizontal="center" vertical="center" wrapText="1"/>
    </xf>
    <xf numFmtId="49" fontId="32" fillId="6" borderId="1" xfId="6" applyNumberFormat="1" applyFont="1" applyFill="1" applyBorder="1" applyAlignment="1" applyProtection="1">
      <alignment horizontal="center" vertical="center" wrapText="1"/>
    </xf>
    <xf numFmtId="0" fontId="32" fillId="6" borderId="1" xfId="6" applyNumberFormat="1" applyFont="1" applyFill="1" applyBorder="1" applyAlignment="1" applyProtection="1">
      <alignment horizontal="left" vertical="center" wrapText="1"/>
    </xf>
    <xf numFmtId="49" fontId="32" fillId="3" borderId="1" xfId="6" applyNumberFormat="1" applyFont="1" applyFill="1" applyBorder="1" applyAlignment="1" applyProtection="1">
      <alignment horizontal="left" vertical="center" wrapText="1"/>
    </xf>
    <xf numFmtId="0" fontId="34" fillId="3" borderId="1" xfId="6" applyFont="1" applyFill="1" applyBorder="1"/>
    <xf numFmtId="0" fontId="34" fillId="3" borderId="1" xfId="6" applyFont="1" applyFill="1" applyBorder="1" applyAlignment="1">
      <alignment vertical="center" wrapText="1"/>
    </xf>
    <xf numFmtId="164" fontId="34" fillId="3" borderId="1" xfId="6" applyNumberFormat="1" applyFont="1" applyFill="1" applyBorder="1" applyAlignment="1">
      <alignment vertical="center" wrapText="1"/>
    </xf>
    <xf numFmtId="14" fontId="30" fillId="3" borderId="1" xfId="6" applyNumberFormat="1" applyFont="1" applyFill="1" applyBorder="1" applyAlignment="1" applyProtection="1">
      <alignment horizontal="left" vertical="center" wrapText="1"/>
    </xf>
    <xf numFmtId="10" fontId="30" fillId="3" borderId="1" xfId="6" applyNumberFormat="1" applyFont="1" applyFill="1" applyBorder="1" applyAlignment="1" applyProtection="1">
      <alignment horizontal="left" vertical="center" wrapText="1"/>
    </xf>
    <xf numFmtId="10" fontId="34" fillId="3" borderId="1" xfId="6" applyNumberFormat="1" applyFont="1" applyFill="1" applyBorder="1"/>
    <xf numFmtId="0" fontId="38" fillId="3" borderId="1" xfId="6" applyNumberFormat="1" applyFont="1" applyFill="1" applyBorder="1" applyAlignment="1" applyProtection="1">
      <alignment horizontal="right" vertical="center" wrapText="1"/>
    </xf>
    <xf numFmtId="0" fontId="34" fillId="3" borderId="0" xfId="6" applyFont="1" applyFill="1" applyAlignment="1">
      <alignment horizontal="center"/>
    </xf>
    <xf numFmtId="0" fontId="42" fillId="5" borderId="1" xfId="6" applyFont="1" applyFill="1" applyBorder="1" applyAlignment="1">
      <alignment horizontal="center" vertical="center" wrapText="1"/>
    </xf>
    <xf numFmtId="0" fontId="19" fillId="3" borderId="6" xfId="6" applyFill="1" applyBorder="1"/>
    <xf numFmtId="0" fontId="19" fillId="6" borderId="0" xfId="6" applyFill="1" applyAlignment="1">
      <alignment horizontal="center"/>
    </xf>
    <xf numFmtId="0" fontId="32" fillId="7" borderId="0" xfId="0" applyFont="1" applyFill="1"/>
    <xf numFmtId="0" fontId="22" fillId="2" borderId="0" xfId="0" applyFont="1" applyFill="1" applyAlignment="1">
      <alignment horizontal="left"/>
    </xf>
    <xf numFmtId="0" fontId="33" fillId="3" borderId="0" xfId="0" applyFont="1" applyFill="1" applyAlignment="1">
      <alignment vertical="center" wrapText="1"/>
    </xf>
    <xf numFmtId="166" fontId="0" fillId="6" borderId="0" xfId="1" applyNumberFormat="1" applyFont="1" applyFill="1">
      <protection locked="0"/>
    </xf>
    <xf numFmtId="0" fontId="33" fillId="3" borderId="0" xfId="0" applyFont="1" applyFill="1" applyAlignment="1">
      <alignment horizontal="left" vertical="top"/>
    </xf>
    <xf numFmtId="0" fontId="48" fillId="2" borderId="0" xfId="0" applyFont="1" applyFill="1" applyAlignment="1">
      <alignment horizontal="center" vertical="center"/>
    </xf>
    <xf numFmtId="0" fontId="22" fillId="2" borderId="0" xfId="0" applyFont="1" applyFill="1" applyAlignment="1">
      <alignment horizontal="center" vertical="center"/>
    </xf>
    <xf numFmtId="0" fontId="22" fillId="7" borderId="0" xfId="0" applyFont="1" applyFill="1"/>
    <xf numFmtId="0" fontId="34" fillId="3" borderId="0" xfId="6" applyFont="1" applyFill="1" applyAlignment="1"/>
    <xf numFmtId="0" fontId="34" fillId="3" borderId="0" xfId="0" applyFont="1" applyFill="1" applyAlignment="1">
      <alignment horizontal="left" vertical="center" wrapText="1"/>
    </xf>
    <xf numFmtId="0" fontId="33" fillId="3" borderId="0" xfId="0" applyFont="1" applyFill="1" applyAlignment="1">
      <alignment horizontal="left" vertical="center" wrapText="1"/>
    </xf>
    <xf numFmtId="0" fontId="33" fillId="3" borderId="0" xfId="0" applyFont="1" applyFill="1" applyAlignment="1">
      <alignment horizontal="left" vertical="top" wrapText="1"/>
    </xf>
    <xf numFmtId="0" fontId="34" fillId="3" borderId="0" xfId="0" applyFont="1" applyFill="1" applyBorder="1" applyAlignment="1">
      <alignment horizontal="left" vertical="center" wrapText="1"/>
    </xf>
    <xf numFmtId="0" fontId="24" fillId="2" borderId="0" xfId="0" applyFont="1" applyFill="1"/>
    <xf numFmtId="0" fontId="22" fillId="3" borderId="4" xfId="0" applyFont="1" applyFill="1" applyBorder="1"/>
    <xf numFmtId="0" fontId="22" fillId="3" borderId="5" xfId="0" applyFont="1" applyFill="1" applyBorder="1"/>
    <xf numFmtId="0" fontId="31" fillId="3" borderId="0" xfId="0" applyFont="1" applyFill="1" applyAlignment="1">
      <alignment horizontal="left" vertical="center" wrapText="1"/>
    </xf>
    <xf numFmtId="0" fontId="32" fillId="3" borderId="0" xfId="0" applyFont="1" applyFill="1" applyAlignment="1">
      <alignment horizontal="left" vertical="center" wrapText="1"/>
    </xf>
    <xf numFmtId="0" fontId="31" fillId="3" borderId="0" xfId="0" applyFont="1" applyFill="1" applyAlignment="1">
      <alignment vertical="center" wrapText="1"/>
    </xf>
    <xf numFmtId="0" fontId="36" fillId="3" borderId="7" xfId="0" applyFont="1" applyFill="1" applyBorder="1" applyAlignment="1">
      <alignment vertical="center" wrapText="1"/>
    </xf>
    <xf numFmtId="0" fontId="23" fillId="3" borderId="8" xfId="0" applyFont="1" applyFill="1" applyBorder="1"/>
    <xf numFmtId="0" fontId="36" fillId="3" borderId="7" xfId="0" applyFont="1" applyFill="1" applyBorder="1" applyAlignment="1">
      <alignment vertical="center"/>
    </xf>
    <xf numFmtId="0" fontId="22" fillId="3" borderId="9" xfId="0" applyFont="1" applyFill="1" applyBorder="1"/>
    <xf numFmtId="0" fontId="22" fillId="3" borderId="8" xfId="0" applyFont="1" applyFill="1" applyBorder="1"/>
    <xf numFmtId="0" fontId="29" fillId="3" borderId="10" xfId="10" applyNumberFormat="1" applyFont="1" applyFill="1" applyBorder="1" applyAlignment="1">
      <alignment vertical="center"/>
    </xf>
    <xf numFmtId="0" fontId="23" fillId="3" borderId="11" xfId="0" applyFont="1" applyFill="1" applyBorder="1"/>
    <xf numFmtId="0" fontId="22" fillId="3" borderId="0" xfId="0" applyFont="1" applyFill="1" applyBorder="1"/>
    <xf numFmtId="0" fontId="22" fillId="3" borderId="11" xfId="0" applyFont="1" applyFill="1" applyBorder="1"/>
    <xf numFmtId="0" fontId="22" fillId="3" borderId="10" xfId="0" applyFont="1" applyFill="1" applyBorder="1"/>
    <xf numFmtId="0" fontId="30" fillId="3" borderId="10" xfId="10" applyNumberFormat="1" applyFont="1" applyFill="1" applyBorder="1" applyAlignment="1">
      <alignment vertical="center"/>
    </xf>
    <xf numFmtId="0" fontId="32" fillId="3" borderId="12" xfId="10" applyNumberFormat="1" applyFont="1" applyFill="1" applyBorder="1" applyAlignment="1">
      <alignment vertical="center"/>
    </xf>
    <xf numFmtId="0" fontId="23" fillId="3" borderId="13" xfId="0" applyFont="1" applyFill="1" applyBorder="1"/>
    <xf numFmtId="0" fontId="22" fillId="3" borderId="6" xfId="0" applyFont="1" applyFill="1" applyBorder="1"/>
    <xf numFmtId="0" fontId="22" fillId="3" borderId="13" xfId="0" applyFont="1" applyFill="1" applyBorder="1"/>
    <xf numFmtId="0" fontId="31" fillId="3" borderId="0" xfId="0" applyFont="1" applyFill="1" applyAlignment="1">
      <alignment vertical="top" wrapText="1"/>
    </xf>
    <xf numFmtId="0" fontId="32" fillId="3" borderId="0" xfId="0" applyFont="1" applyFill="1" applyAlignment="1">
      <alignment vertical="top" wrapText="1"/>
    </xf>
    <xf numFmtId="0" fontId="34" fillId="3" borderId="0" xfId="0" applyFont="1" applyFill="1" applyAlignment="1">
      <alignment vertical="top" wrapText="1"/>
    </xf>
    <xf numFmtId="0" fontId="33" fillId="3" borderId="0" xfId="0" applyFont="1" applyFill="1" applyAlignment="1">
      <alignment vertical="top" wrapText="1"/>
    </xf>
    <xf numFmtId="0" fontId="35" fillId="3" borderId="0" xfId="0" applyFont="1" applyFill="1" applyAlignment="1">
      <alignment vertical="top" wrapText="1"/>
    </xf>
    <xf numFmtId="0" fontId="32" fillId="3" borderId="0" xfId="0" applyFont="1" applyFill="1" applyAlignment="1">
      <alignment vertical="top"/>
    </xf>
    <xf numFmtId="0" fontId="34" fillId="3" borderId="0" xfId="0" applyFont="1" applyFill="1" applyBorder="1" applyAlignment="1">
      <alignment vertical="center" wrapText="1"/>
    </xf>
    <xf numFmtId="0" fontId="49" fillId="0" borderId="0" xfId="0" applyFont="1"/>
    <xf numFmtId="0" fontId="18" fillId="3" borderId="0" xfId="6" applyFont="1" applyFill="1"/>
    <xf numFmtId="0" fontId="50" fillId="3" borderId="0" xfId="0" applyFont="1" applyFill="1"/>
    <xf numFmtId="0" fontId="52" fillId="3" borderId="0" xfId="6" applyFont="1" applyFill="1" applyAlignment="1">
      <alignment horizontal="center"/>
    </xf>
    <xf numFmtId="0" fontId="52" fillId="3" borderId="0" xfId="6" applyFont="1" applyFill="1"/>
    <xf numFmtId="0" fontId="52" fillId="3" borderId="0" xfId="6" applyFont="1" applyFill="1" applyBorder="1" applyAlignment="1">
      <alignment horizontal="center"/>
    </xf>
    <xf numFmtId="0" fontId="52" fillId="3" borderId="0" xfId="6" applyFont="1" applyFill="1" applyBorder="1"/>
    <xf numFmtId="166" fontId="0" fillId="3" borderId="0" xfId="7" applyNumberFormat="1" applyFont="1" applyFill="1"/>
    <xf numFmtId="0" fontId="32" fillId="0" borderId="1" xfId="2" applyNumberFormat="1" applyFont="1" applyFill="1" applyBorder="1" applyAlignment="1" applyProtection="1">
      <alignment horizontal="center" vertical="center" wrapText="1"/>
    </xf>
    <xf numFmtId="0" fontId="38" fillId="0" borderId="1" xfId="2" quotePrefix="1" applyNumberFormat="1" applyFont="1" applyFill="1" applyBorder="1" applyAlignment="1" applyProtection="1">
      <alignment horizontal="center" vertical="center" wrapText="1"/>
    </xf>
    <xf numFmtId="0" fontId="32" fillId="0" borderId="1" xfId="2" quotePrefix="1" applyNumberFormat="1" applyFont="1" applyFill="1" applyBorder="1" applyAlignment="1" applyProtection="1">
      <alignment horizontal="center" vertical="center" wrapText="1"/>
    </xf>
    <xf numFmtId="10" fontId="45" fillId="5" borderId="2" xfId="5" applyNumberFormat="1" applyFont="1" applyFill="1" applyBorder="1" applyAlignment="1" applyProtection="1">
      <alignment horizontal="center" vertical="center" wrapText="1"/>
    </xf>
    <xf numFmtId="9" fontId="32" fillId="6" borderId="2" xfId="4" applyNumberFormat="1" applyFont="1" applyFill="1" applyBorder="1" applyAlignment="1" applyProtection="1">
      <alignment horizontal="left" vertical="center" wrapText="1"/>
    </xf>
    <xf numFmtId="0" fontId="34" fillId="0" borderId="1" xfId="0" applyFont="1" applyFill="1" applyBorder="1" applyAlignment="1">
      <alignment horizontal="center" vertical="center"/>
    </xf>
    <xf numFmtId="49" fontId="32" fillId="0" borderId="1" xfId="4" applyNumberFormat="1" applyFont="1" applyFill="1" applyBorder="1" applyAlignment="1" applyProtection="1">
      <alignment horizontal="center" vertical="center" wrapText="1"/>
    </xf>
    <xf numFmtId="0" fontId="34" fillId="0" borderId="1" xfId="6" applyFont="1" applyFill="1" applyBorder="1" applyAlignment="1">
      <alignment horizontal="center" vertical="center"/>
    </xf>
    <xf numFmtId="0" fontId="32" fillId="0" borderId="1" xfId="2" applyNumberFormat="1" applyFont="1" applyFill="1" applyBorder="1" applyAlignment="1" applyProtection="1">
      <alignment horizontal="left" vertical="center" wrapText="1"/>
    </xf>
    <xf numFmtId="0" fontId="32" fillId="3" borderId="1" xfId="2" applyNumberFormat="1" applyFont="1" applyFill="1" applyBorder="1" applyAlignment="1" applyProtection="1">
      <alignment horizontal="left" vertical="center" wrapText="1"/>
    </xf>
    <xf numFmtId="0" fontId="30" fillId="6" borderId="1" xfId="2" applyNumberFormat="1" applyFont="1" applyFill="1" applyBorder="1" applyAlignment="1" applyProtection="1">
      <alignment horizontal="left" vertical="center" wrapText="1"/>
    </xf>
    <xf numFmtId="49" fontId="37" fillId="3" borderId="1" xfId="0" applyNumberFormat="1" applyFont="1" applyFill="1" applyBorder="1" applyAlignment="1" applyProtection="1">
      <alignment horizontal="left" vertical="center" wrapText="1"/>
    </xf>
    <xf numFmtId="0" fontId="0" fillId="0" borderId="0" xfId="0" applyFill="1"/>
    <xf numFmtId="166" fontId="0" fillId="0" borderId="0" xfId="1" applyNumberFormat="1" applyFont="1">
      <protection locked="0"/>
    </xf>
    <xf numFmtId="0" fontId="19" fillId="0" borderId="0" xfId="6" applyFill="1"/>
    <xf numFmtId="10" fontId="32" fillId="0" borderId="0" xfId="6" applyNumberFormat="1" applyFont="1" applyFill="1" applyBorder="1" applyAlignment="1" applyProtection="1">
      <alignment horizontal="right" wrapText="1"/>
    </xf>
    <xf numFmtId="49" fontId="32" fillId="0" borderId="1" xfId="4" applyNumberFormat="1" applyFont="1" applyFill="1" applyBorder="1" applyAlignment="1" applyProtection="1">
      <alignment horizontal="left" vertical="center" wrapText="1"/>
    </xf>
    <xf numFmtId="0" fontId="19" fillId="7" borderId="0" xfId="6" applyFill="1"/>
    <xf numFmtId="164" fontId="32" fillId="3" borderId="0" xfId="0" applyNumberFormat="1" applyFont="1" applyFill="1"/>
    <xf numFmtId="166" fontId="32" fillId="3" borderId="0" xfId="1" applyNumberFormat="1" applyFont="1" applyFill="1">
      <protection locked="0"/>
    </xf>
    <xf numFmtId="0" fontId="32" fillId="0" borderId="1" xfId="6" applyFont="1" applyFill="1" applyBorder="1" applyAlignment="1">
      <alignment horizontal="center" vertical="center"/>
    </xf>
    <xf numFmtId="0" fontId="29" fillId="3" borderId="0" xfId="0" applyFont="1" applyFill="1" applyAlignment="1">
      <alignment horizontal="center" vertical="center"/>
    </xf>
    <xf numFmtId="0" fontId="35" fillId="3" borderId="0" xfId="0" applyFont="1" applyFill="1" applyAlignment="1">
      <alignment vertical="top" wrapText="1"/>
    </xf>
    <xf numFmtId="0" fontId="38" fillId="3" borderId="1" xfId="2" quotePrefix="1" applyNumberFormat="1" applyFont="1" applyFill="1" applyBorder="1" applyAlignment="1" applyProtection="1">
      <alignment horizontal="center" vertical="center" wrapText="1"/>
    </xf>
    <xf numFmtId="0" fontId="53" fillId="6" borderId="0" xfId="6" applyFont="1" applyFill="1"/>
    <xf numFmtId="0" fontId="43" fillId="0" borderId="1" xfId="6" applyFont="1" applyFill="1" applyBorder="1" applyAlignment="1">
      <alignment horizontal="center" vertical="center"/>
    </xf>
    <xf numFmtId="0" fontId="0" fillId="4" borderId="0" xfId="0" applyFill="1"/>
    <xf numFmtId="10" fontId="0" fillId="0" borderId="0" xfId="5" applyNumberFormat="1" applyFont="1">
      <protection locked="0"/>
    </xf>
    <xf numFmtId="0" fontId="32" fillId="4" borderId="0" xfId="0" applyFont="1" applyFill="1"/>
    <xf numFmtId="166" fontId="37" fillId="2" borderId="1" xfId="1" applyNumberFormat="1" applyFont="1" applyFill="1" applyBorder="1" applyAlignment="1">
      <alignment horizontal="center" vertical="center" wrapText="1"/>
      <protection locked="0"/>
    </xf>
    <xf numFmtId="0" fontId="32" fillId="0" borderId="0" xfId="0" applyFont="1"/>
    <xf numFmtId="166" fontId="32" fillId="0" borderId="0" xfId="1" applyNumberFormat="1" applyFont="1">
      <protection locked="0"/>
    </xf>
    <xf numFmtId="10" fontId="32" fillId="0" borderId="0" xfId="5" applyNumberFormat="1" applyFont="1">
      <protection locked="0"/>
    </xf>
    <xf numFmtId="166" fontId="32" fillId="6" borderId="0" xfId="1" applyNumberFormat="1" applyFont="1" applyFill="1">
      <protection locked="0"/>
    </xf>
    <xf numFmtId="10" fontId="32" fillId="6" borderId="0" xfId="5" applyNumberFormat="1" applyFont="1" applyFill="1">
      <protection locked="0"/>
    </xf>
    <xf numFmtId="0" fontId="55" fillId="6" borderId="0" xfId="0" applyFont="1" applyFill="1"/>
    <xf numFmtId="10" fontId="0" fillId="6" borderId="0" xfId="5" applyNumberFormat="1" applyFont="1" applyFill="1">
      <protection locked="0"/>
    </xf>
    <xf numFmtId="166" fontId="49" fillId="3" borderId="0" xfId="1" applyNumberFormat="1" applyFont="1" applyFill="1" applyProtection="1"/>
    <xf numFmtId="0" fontId="49" fillId="3" borderId="0" xfId="0" applyFont="1" applyFill="1"/>
    <xf numFmtId="0" fontId="34" fillId="0" borderId="0" xfId="0" applyFont="1"/>
    <xf numFmtId="49" fontId="42" fillId="3" borderId="5" xfId="0" applyNumberFormat="1" applyFont="1" applyFill="1" applyBorder="1" applyAlignment="1">
      <alignment horizontal="center" vertical="center" wrapText="1"/>
    </xf>
    <xf numFmtId="49" fontId="42" fillId="3" borderId="1" xfId="1" applyNumberFormat="1" applyFont="1" applyFill="1" applyBorder="1" applyAlignment="1" applyProtection="1">
      <alignment horizontal="center" vertical="center" wrapText="1"/>
    </xf>
    <xf numFmtId="49" fontId="42" fillId="3" borderId="5" xfId="1" applyNumberFormat="1" applyFont="1" applyFill="1" applyBorder="1" applyAlignment="1" applyProtection="1">
      <alignment horizontal="center" vertical="center" wrapText="1"/>
    </xf>
    <xf numFmtId="0" fontId="34" fillId="3" borderId="1" xfId="0" applyFont="1" applyFill="1" applyBorder="1" applyAlignment="1">
      <alignment horizontal="center" vertical="center" wrapText="1"/>
    </xf>
    <xf numFmtId="4" fontId="34" fillId="3" borderId="1" xfId="0" applyNumberFormat="1" applyFont="1" applyFill="1" applyBorder="1" applyAlignment="1">
      <alignment horizontal="justify" vertical="center" wrapText="1"/>
    </xf>
    <xf numFmtId="0" fontId="34" fillId="3" borderId="1" xfId="0" applyFont="1" applyFill="1" applyBorder="1" applyAlignment="1">
      <alignment horizontal="justify" vertical="center" wrapText="1"/>
    </xf>
    <xf numFmtId="166" fontId="34" fillId="3" borderId="1" xfId="1" applyNumberFormat="1" applyFont="1" applyFill="1" applyBorder="1" applyAlignment="1" applyProtection="1">
      <alignment horizontal="right" wrapText="1"/>
    </xf>
    <xf numFmtId="10" fontId="34" fillId="3" borderId="1" xfId="5" applyNumberFormat="1" applyFont="1" applyFill="1" applyBorder="1" applyAlignment="1">
      <alignment horizontal="right" wrapText="1"/>
      <protection locked="0"/>
    </xf>
    <xf numFmtId="0" fontId="51" fillId="0" borderId="0" xfId="0" applyFont="1"/>
    <xf numFmtId="0" fontId="42" fillId="6" borderId="1" xfId="0" applyFont="1" applyFill="1" applyBorder="1" applyAlignment="1">
      <alignment horizontal="justify" vertical="center" wrapText="1"/>
    </xf>
    <xf numFmtId="166" fontId="42" fillId="6" borderId="1" xfId="1" applyNumberFormat="1" applyFont="1" applyFill="1" applyBorder="1" applyAlignment="1" applyProtection="1">
      <alignment horizontal="right" wrapText="1"/>
    </xf>
    <xf numFmtId="9" fontId="42" fillId="6" borderId="1" xfId="5" applyFont="1" applyFill="1" applyBorder="1" applyAlignment="1">
      <alignment horizontal="right" wrapText="1"/>
      <protection locked="0"/>
    </xf>
    <xf numFmtId="3" fontId="51" fillId="0" borderId="0" xfId="0" applyNumberFormat="1" applyFont="1"/>
    <xf numFmtId="166" fontId="51" fillId="0" borderId="0" xfId="0" applyNumberFormat="1" applyFont="1"/>
    <xf numFmtId="166" fontId="34" fillId="3" borderId="0" xfId="1" applyNumberFormat="1" applyFont="1" applyFill="1" applyProtection="1"/>
    <xf numFmtId="0" fontId="34" fillId="3" borderId="0" xfId="20" applyFont="1" applyFill="1"/>
    <xf numFmtId="0" fontId="11" fillId="3" borderId="0" xfId="20" applyFill="1"/>
    <xf numFmtId="0" fontId="11" fillId="3" borderId="6" xfId="20" applyFill="1" applyBorder="1"/>
    <xf numFmtId="166" fontId="49" fillId="0" borderId="0" xfId="1" applyNumberFormat="1" applyFont="1" applyProtection="1"/>
    <xf numFmtId="166" fontId="42" fillId="5" borderId="1" xfId="1" applyNumberFormat="1" applyFont="1" applyFill="1" applyBorder="1" applyAlignment="1" applyProtection="1">
      <alignment horizontal="center" vertical="center" wrapText="1"/>
    </xf>
    <xf numFmtId="166" fontId="49" fillId="0" borderId="0" xfId="1" applyNumberFormat="1" applyFont="1">
      <protection locked="0"/>
    </xf>
    <xf numFmtId="166" fontId="34" fillId="0" borderId="0" xfId="1" applyNumberFormat="1" applyFont="1">
      <protection locked="0"/>
    </xf>
    <xf numFmtId="166" fontId="34" fillId="0" borderId="0" xfId="0" applyNumberFormat="1" applyFont="1"/>
    <xf numFmtId="164" fontId="32" fillId="0" borderId="0" xfId="0" applyNumberFormat="1" applyFont="1" applyFill="1"/>
    <xf numFmtId="0" fontId="32" fillId="0" borderId="0" xfId="0" applyFont="1" applyFill="1"/>
    <xf numFmtId="0" fontId="56" fillId="6" borderId="0" xfId="0" applyFont="1" applyFill="1"/>
    <xf numFmtId="49" fontId="32" fillId="0" borderId="1" xfId="6" applyNumberFormat="1" applyFont="1" applyFill="1" applyBorder="1" applyAlignment="1" applyProtection="1">
      <alignment horizontal="center" vertical="center" wrapText="1"/>
    </xf>
    <xf numFmtId="49" fontId="42" fillId="5" borderId="1" xfId="0" applyNumberFormat="1" applyFont="1" applyFill="1" applyBorder="1" applyAlignment="1" applyProtection="1">
      <alignment horizontal="center" vertical="center" wrapText="1"/>
    </xf>
    <xf numFmtId="10" fontId="42" fillId="5" borderId="1" xfId="5" applyNumberFormat="1" applyFont="1" applyFill="1" applyBorder="1" applyAlignment="1" applyProtection="1">
      <alignment horizontal="center" vertical="center" wrapText="1"/>
    </xf>
    <xf numFmtId="0" fontId="42" fillId="6" borderId="1" xfId="2" applyNumberFormat="1" applyFont="1" applyFill="1" applyBorder="1" applyAlignment="1" applyProtection="1">
      <alignment horizontal="center" vertical="center" wrapText="1"/>
    </xf>
    <xf numFmtId="0" fontId="42" fillId="6" borderId="1" xfId="2" applyNumberFormat="1" applyFont="1" applyFill="1" applyBorder="1" applyAlignment="1" applyProtection="1">
      <alignment horizontal="left" vertical="center" wrapText="1"/>
    </xf>
    <xf numFmtId="166" fontId="34" fillId="6" borderId="1" xfId="7" applyNumberFormat="1" applyFont="1" applyFill="1" applyBorder="1" applyAlignment="1">
      <alignment vertical="center"/>
    </xf>
    <xf numFmtId="165" fontId="34" fillId="6" borderId="1" xfId="7" applyNumberFormat="1" applyFont="1" applyFill="1" applyBorder="1" applyAlignment="1">
      <alignment vertical="center"/>
    </xf>
    <xf numFmtId="0" fontId="34" fillId="0" borderId="1" xfId="2" applyNumberFormat="1" applyFont="1" applyFill="1" applyBorder="1" applyAlignment="1" applyProtection="1">
      <alignment horizontal="center" vertical="center" wrapText="1"/>
    </xf>
    <xf numFmtId="10" fontId="34" fillId="0" borderId="1" xfId="5" applyNumberFormat="1" applyFont="1" applyFill="1" applyBorder="1" applyAlignment="1">
      <alignment horizontal="right" vertical="center"/>
      <protection locked="0"/>
    </xf>
    <xf numFmtId="0" fontId="34" fillId="8" borderId="1" xfId="2" applyNumberFormat="1" applyFont="1" applyFill="1" applyBorder="1" applyAlignment="1" applyProtection="1">
      <alignment horizontal="center" vertical="center" wrapText="1"/>
    </xf>
    <xf numFmtId="0" fontId="34" fillId="8" borderId="1" xfId="2" applyNumberFormat="1" applyFont="1" applyFill="1" applyBorder="1" applyAlignment="1" applyProtection="1">
      <alignment horizontal="left" vertical="center" wrapText="1"/>
    </xf>
    <xf numFmtId="10" fontId="34" fillId="8" borderId="1" xfId="5" applyNumberFormat="1" applyFont="1" applyFill="1" applyBorder="1" applyAlignment="1">
      <alignment horizontal="right" vertical="center"/>
      <protection locked="0"/>
    </xf>
    <xf numFmtId="0" fontId="34" fillId="10" borderId="1" xfId="2" applyNumberFormat="1" applyFont="1" applyFill="1" applyBorder="1" applyAlignment="1" applyProtection="1">
      <alignment horizontal="center" vertical="center" wrapText="1"/>
    </xf>
    <xf numFmtId="0" fontId="34" fillId="10" borderId="1" xfId="2" applyNumberFormat="1" applyFont="1" applyFill="1" applyBorder="1" applyAlignment="1" applyProtection="1">
      <alignment horizontal="left" vertical="center" wrapText="1"/>
    </xf>
    <xf numFmtId="9" fontId="34" fillId="6" borderId="1" xfId="8" applyFont="1" applyFill="1" applyBorder="1" applyAlignment="1">
      <alignment horizontal="right" vertical="center"/>
    </xf>
    <xf numFmtId="0" fontId="34" fillId="8" borderId="1" xfId="6" applyNumberFormat="1" applyFont="1" applyFill="1" applyBorder="1" applyAlignment="1" applyProtection="1">
      <alignment horizontal="center" vertical="center" wrapText="1"/>
    </xf>
    <xf numFmtId="10" fontId="42" fillId="6" borderId="1" xfId="8" applyNumberFormat="1" applyFont="1" applyFill="1" applyBorder="1" applyAlignment="1">
      <alignment horizontal="right" vertical="center"/>
    </xf>
    <xf numFmtId="0" fontId="34" fillId="0" borderId="1" xfId="2" applyNumberFormat="1" applyFont="1" applyFill="1" applyBorder="1" applyAlignment="1" applyProtection="1">
      <alignment horizontal="left" vertical="center" wrapText="1"/>
    </xf>
    <xf numFmtId="0" fontId="42" fillId="9" borderId="1" xfId="2" applyNumberFormat="1" applyFont="1" applyFill="1" applyBorder="1" applyAlignment="1" applyProtection="1">
      <alignment horizontal="center" vertical="center" wrapText="1"/>
    </xf>
    <xf numFmtId="0" fontId="42" fillId="9" borderId="1" xfId="2" applyNumberFormat="1" applyFont="1" applyFill="1" applyBorder="1" applyAlignment="1" applyProtection="1">
      <alignment horizontal="left" vertical="center" wrapText="1"/>
    </xf>
    <xf numFmtId="0" fontId="31" fillId="3" borderId="0" xfId="0" applyFont="1" applyFill="1" applyAlignment="1">
      <alignment vertical="top"/>
    </xf>
    <xf numFmtId="0" fontId="34" fillId="3" borderId="0" xfId="0" applyFont="1" applyFill="1" applyAlignment="1">
      <alignment vertical="top"/>
    </xf>
    <xf numFmtId="0" fontId="33" fillId="3" borderId="0" xfId="0" applyFont="1" applyFill="1" applyAlignment="1">
      <alignment vertical="top"/>
    </xf>
    <xf numFmtId="0" fontId="35" fillId="3" borderId="0" xfId="0" applyFont="1" applyFill="1" applyAlignment="1">
      <alignment vertical="top"/>
    </xf>
    <xf numFmtId="49" fontId="38" fillId="6" borderId="1" xfId="2" applyNumberFormat="1" applyFont="1" applyFill="1" applyBorder="1" applyAlignment="1" applyProtection="1">
      <alignment horizontal="center" vertical="center" wrapText="1"/>
    </xf>
    <xf numFmtId="49" fontId="38" fillId="0" borderId="1" xfId="2" quotePrefix="1" applyNumberFormat="1" applyFont="1" applyFill="1" applyBorder="1" applyAlignment="1" applyProtection="1">
      <alignment horizontal="center" vertical="center" wrapText="1"/>
    </xf>
    <xf numFmtId="49" fontId="32" fillId="0" borderId="1" xfId="2" quotePrefix="1" applyNumberFormat="1" applyFont="1" applyFill="1" applyBorder="1" applyAlignment="1" applyProtection="1">
      <alignment horizontal="center" vertical="center" wrapText="1"/>
    </xf>
    <xf numFmtId="49" fontId="38" fillId="3" borderId="1" xfId="2" applyNumberFormat="1" applyFont="1" applyFill="1" applyBorder="1" applyAlignment="1" applyProtection="1">
      <alignment horizontal="center" vertical="center" wrapText="1"/>
    </xf>
    <xf numFmtId="49" fontId="32" fillId="0" borderId="1" xfId="2" applyNumberFormat="1" applyFont="1" applyFill="1" applyBorder="1" applyAlignment="1" applyProtection="1">
      <alignment horizontal="center" vertical="center" wrapText="1"/>
    </xf>
    <xf numFmtId="49" fontId="38" fillId="0" borderId="1" xfId="2" applyNumberFormat="1" applyFont="1" applyFill="1" applyBorder="1" applyAlignment="1" applyProtection="1">
      <alignment horizontal="center" vertical="center" wrapText="1"/>
    </xf>
    <xf numFmtId="49" fontId="32" fillId="0" borderId="1" xfId="2" applyNumberFormat="1" applyFont="1" applyFill="1" applyBorder="1" applyAlignment="1" applyProtection="1">
      <alignment horizontal="center" wrapText="1"/>
    </xf>
    <xf numFmtId="49" fontId="32" fillId="3" borderId="1" xfId="2" quotePrefix="1" applyNumberFormat="1" applyFont="1" applyFill="1" applyBorder="1" applyAlignment="1" applyProtection="1">
      <alignment horizontal="center" vertical="center" wrapText="1"/>
    </xf>
    <xf numFmtId="49" fontId="30" fillId="6" borderId="1" xfId="2" applyNumberFormat="1" applyFont="1" applyFill="1" applyBorder="1" applyAlignment="1" applyProtection="1">
      <alignment horizontal="center" vertical="center" wrapText="1"/>
    </xf>
    <xf numFmtId="49" fontId="32" fillId="3" borderId="1" xfId="2" applyNumberFormat="1" applyFont="1" applyFill="1" applyBorder="1" applyAlignment="1" applyProtection="1">
      <alignment horizontal="center" vertical="center" wrapText="1"/>
    </xf>
    <xf numFmtId="0" fontId="29" fillId="3" borderId="0" xfId="0" applyFont="1" applyFill="1" applyAlignment="1">
      <alignment horizontal="center" vertical="center"/>
    </xf>
    <xf numFmtId="166" fontId="37" fillId="3" borderId="1" xfId="0" applyNumberFormat="1" applyFont="1" applyFill="1" applyBorder="1" applyAlignment="1" applyProtection="1">
      <alignment horizontal="center" vertical="center" wrapText="1"/>
    </xf>
    <xf numFmtId="0" fontId="45" fillId="5" borderId="1" xfId="0" applyFont="1" applyFill="1" applyBorder="1" applyAlignment="1" applyProtection="1">
      <alignment horizontal="center" vertical="center" wrapText="1"/>
    </xf>
    <xf numFmtId="0" fontId="32" fillId="6" borderId="1" xfId="6" applyFont="1" applyFill="1" applyBorder="1" applyAlignment="1" applyProtection="1">
      <alignment horizontal="left" vertical="center" wrapText="1"/>
    </xf>
    <xf numFmtId="0" fontId="53" fillId="7" borderId="0" xfId="6" applyFont="1" applyFill="1"/>
    <xf numFmtId="0" fontId="32" fillId="3" borderId="0" xfId="0" applyFont="1" applyFill="1" applyAlignment="1">
      <alignment horizontal="left" vertical="center" wrapText="1"/>
    </xf>
    <xf numFmtId="166" fontId="42" fillId="3" borderId="0" xfId="1" applyNumberFormat="1" applyFont="1" applyFill="1" applyAlignment="1" applyProtection="1">
      <alignment horizontal="center"/>
      <protection locked="0"/>
    </xf>
    <xf numFmtId="0" fontId="33" fillId="3" borderId="0" xfId="0" applyFont="1" applyFill="1" applyBorder="1" applyAlignment="1">
      <alignment horizontal="center" vertical="center"/>
    </xf>
    <xf numFmtId="0" fontId="30" fillId="0" borderId="0" xfId="0" applyFont="1" applyAlignment="1">
      <alignment horizontal="center"/>
    </xf>
    <xf numFmtId="0" fontId="32" fillId="3" borderId="0" xfId="10" applyFont="1" applyFill="1" applyAlignment="1">
      <alignment horizontal="center" vertical="center"/>
    </xf>
    <xf numFmtId="0" fontId="30" fillId="3" borderId="0" xfId="0" applyFont="1" applyFill="1" applyAlignment="1"/>
    <xf numFmtId="49" fontId="37" fillId="0" borderId="1" xfId="0" applyNumberFormat="1" applyFont="1" applyFill="1" applyBorder="1" applyAlignment="1" applyProtection="1">
      <alignment horizontal="center" wrapText="1"/>
    </xf>
    <xf numFmtId="49" fontId="37" fillId="0" borderId="1" xfId="0" applyNumberFormat="1" applyFont="1" applyFill="1" applyBorder="1" applyAlignment="1" applyProtection="1">
      <alignment horizontal="left" wrapText="1"/>
    </xf>
    <xf numFmtId="49" fontId="37" fillId="0" borderId="1" xfId="0" applyNumberFormat="1" applyFont="1" applyFill="1" applyBorder="1" applyAlignment="1" applyProtection="1">
      <alignment horizontal="center" vertical="center" wrapText="1"/>
    </xf>
    <xf numFmtId="49" fontId="37" fillId="0" borderId="1" xfId="0" applyNumberFormat="1" applyFont="1" applyFill="1" applyBorder="1" applyAlignment="1" applyProtection="1">
      <alignment wrapText="1"/>
    </xf>
    <xf numFmtId="49" fontId="37" fillId="0" borderId="0" xfId="0" applyNumberFormat="1" applyFont="1" applyFill="1" applyBorder="1" applyAlignment="1" applyProtection="1">
      <alignment horizontal="center" wrapText="1"/>
    </xf>
    <xf numFmtId="49" fontId="37" fillId="0" borderId="0" xfId="0" applyNumberFormat="1" applyFont="1" applyFill="1" applyBorder="1" applyAlignment="1" applyProtection="1">
      <alignment horizontal="left" wrapText="1"/>
    </xf>
    <xf numFmtId="49" fontId="37" fillId="0" borderId="0" xfId="0" applyNumberFormat="1" applyFont="1" applyFill="1" applyBorder="1" applyAlignment="1" applyProtection="1">
      <alignment horizontal="center" vertical="center" wrapText="1"/>
    </xf>
    <xf numFmtId="49" fontId="37" fillId="0" borderId="0" xfId="0" applyNumberFormat="1" applyFont="1" applyFill="1" applyBorder="1" applyAlignment="1" applyProtection="1">
      <alignment wrapText="1"/>
    </xf>
    <xf numFmtId="0" fontId="20" fillId="3" borderId="0" xfId="0" applyFont="1" applyFill="1" applyBorder="1" applyAlignment="1"/>
    <xf numFmtId="0" fontId="42" fillId="3" borderId="0" xfId="0" applyFont="1" applyFill="1" applyAlignment="1">
      <alignment horizontal="center"/>
    </xf>
    <xf numFmtId="0" fontId="42" fillId="3" borderId="0" xfId="0" applyFont="1" applyFill="1" applyAlignment="1"/>
    <xf numFmtId="0" fontId="4" fillId="6" borderId="0" xfId="6" applyFont="1" applyFill="1"/>
    <xf numFmtId="0" fontId="32" fillId="3" borderId="0" xfId="0" applyFont="1" applyFill="1" applyAlignment="1">
      <alignment horizontal="left" vertical="center" wrapText="1"/>
    </xf>
    <xf numFmtId="0" fontId="32" fillId="0" borderId="1" xfId="44" applyFont="1" applyFill="1" applyBorder="1" applyAlignment="1" applyProtection="1">
      <alignment horizontal="left" vertical="center"/>
      <protection locked="0"/>
    </xf>
    <xf numFmtId="49" fontId="34" fillId="3" borderId="1" xfId="6" applyNumberFormat="1" applyFont="1" applyFill="1" applyBorder="1" applyAlignment="1" applyProtection="1">
      <alignment horizontal="center" vertical="center" wrapText="1"/>
    </xf>
    <xf numFmtId="10" fontId="34" fillId="3" borderId="1" xfId="5" applyNumberFormat="1" applyFont="1" applyFill="1" applyBorder="1" applyAlignment="1">
      <alignment horizontal="right" vertical="center"/>
      <protection locked="0"/>
    </xf>
    <xf numFmtId="49" fontId="34" fillId="8" borderId="1" xfId="2" applyNumberFormat="1" applyFont="1" applyFill="1" applyBorder="1" applyAlignment="1" applyProtection="1">
      <alignment horizontal="center" vertical="center" wrapText="1"/>
    </xf>
    <xf numFmtId="0" fontId="42" fillId="6" borderId="1" xfId="6" applyNumberFormat="1" applyFont="1" applyFill="1" applyBorder="1" applyAlignment="1" applyProtection="1">
      <alignment horizontal="center" vertical="center" wrapText="1"/>
    </xf>
    <xf numFmtId="0" fontId="32" fillId="0" borderId="1" xfId="6" applyNumberFormat="1" applyFont="1" applyFill="1" applyBorder="1" applyAlignment="1" applyProtection="1">
      <alignment horizontal="center" vertical="center" wrapText="1"/>
    </xf>
    <xf numFmtId="166" fontId="37" fillId="3" borderId="0" xfId="4" applyNumberFormat="1" applyFont="1" applyFill="1" applyBorder="1" applyAlignment="1" applyProtection="1">
      <alignment horizontal="left" vertical="center" wrapText="1"/>
    </xf>
    <xf numFmtId="0" fontId="32" fillId="3" borderId="0" xfId="0" applyFont="1" applyFill="1" applyAlignment="1">
      <alignment horizontal="left" vertical="top" wrapText="1"/>
    </xf>
    <xf numFmtId="0" fontId="32" fillId="3" borderId="0" xfId="0" applyFont="1" applyFill="1" applyBorder="1" applyAlignment="1">
      <alignment horizontal="left" vertical="center"/>
    </xf>
    <xf numFmtId="49" fontId="34" fillId="0" borderId="1" xfId="2" applyNumberFormat="1" applyFont="1" applyFill="1" applyBorder="1" applyAlignment="1" applyProtection="1">
      <alignment horizontal="center" vertical="center" wrapText="1"/>
    </xf>
    <xf numFmtId="49" fontId="34" fillId="0" borderId="1" xfId="6" applyNumberFormat="1" applyFont="1" applyFill="1" applyBorder="1" applyAlignment="1" applyProtection="1">
      <alignment horizontal="center" vertical="center" wrapText="1"/>
    </xf>
    <xf numFmtId="0" fontId="42" fillId="4" borderId="1" xfId="2" applyNumberFormat="1" applyFont="1" applyFill="1" applyBorder="1" applyAlignment="1" applyProtection="1">
      <alignment horizontal="center" vertical="center" wrapText="1"/>
    </xf>
    <xf numFmtId="166" fontId="38" fillId="6" borderId="1" xfId="2" applyNumberFormat="1" applyFont="1" applyFill="1" applyBorder="1" applyAlignment="1" applyProtection="1">
      <alignment horizontal="left" vertical="center" wrapText="1"/>
    </xf>
    <xf numFmtId="49" fontId="38" fillId="8" borderId="1" xfId="2" applyNumberFormat="1" applyFont="1" applyFill="1" applyBorder="1" applyAlignment="1" applyProtection="1">
      <alignment horizontal="center" vertical="center" wrapText="1"/>
    </xf>
    <xf numFmtId="0" fontId="38" fillId="8" borderId="1" xfId="2" applyNumberFormat="1" applyFont="1" applyFill="1" applyBorder="1" applyAlignment="1" applyProtection="1">
      <alignment horizontal="center" vertical="center" wrapText="1"/>
    </xf>
    <xf numFmtId="49" fontId="54" fillId="8" borderId="1" xfId="2" applyNumberFormat="1" applyFont="1" applyFill="1" applyBorder="1" applyAlignment="1" applyProtection="1">
      <alignment horizontal="center" vertical="center" wrapText="1"/>
    </xf>
    <xf numFmtId="0" fontId="54" fillId="8" borderId="1" xfId="2" applyNumberFormat="1" applyFont="1" applyFill="1" applyBorder="1" applyAlignment="1" applyProtection="1">
      <alignment horizontal="center" vertical="center" wrapText="1"/>
    </xf>
    <xf numFmtId="166" fontId="38" fillId="0" borderId="1" xfId="1" applyNumberFormat="1" applyFont="1" applyFill="1" applyBorder="1" applyAlignment="1">
      <alignment horizontal="left" vertical="center" wrapText="1"/>
      <protection locked="0"/>
    </xf>
    <xf numFmtId="0" fontId="37" fillId="6" borderId="1" xfId="2" applyNumberFormat="1" applyFont="1" applyFill="1" applyBorder="1" applyAlignment="1" applyProtection="1">
      <alignment vertical="center" wrapText="1"/>
    </xf>
    <xf numFmtId="0" fontId="38" fillId="8" borderId="1" xfId="2" applyNumberFormat="1" applyFont="1" applyFill="1" applyBorder="1" applyAlignment="1" applyProtection="1">
      <alignment vertical="center" wrapText="1"/>
    </xf>
    <xf numFmtId="0" fontId="38" fillId="0" borderId="1" xfId="2" applyNumberFormat="1" applyFont="1" applyFill="1" applyBorder="1" applyAlignment="1" applyProtection="1">
      <alignment vertical="center" wrapText="1"/>
    </xf>
    <xf numFmtId="0" fontId="38" fillId="3" borderId="1" xfId="2" applyNumberFormat="1" applyFont="1" applyFill="1" applyBorder="1" applyAlignment="1" applyProtection="1">
      <alignment vertical="center" wrapText="1"/>
    </xf>
    <xf numFmtId="0" fontId="54" fillId="8" borderId="1" xfId="2" applyNumberFormat="1" applyFont="1" applyFill="1" applyBorder="1" applyAlignment="1" applyProtection="1">
      <alignment vertical="center" wrapText="1"/>
    </xf>
    <xf numFmtId="0" fontId="38" fillId="0" borderId="1" xfId="2" quotePrefix="1" applyNumberFormat="1" applyFont="1" applyFill="1" applyBorder="1" applyAlignment="1" applyProtection="1">
      <alignment vertical="center" wrapText="1"/>
    </xf>
    <xf numFmtId="0" fontId="37" fillId="0" borderId="1" xfId="2" applyNumberFormat="1" applyFont="1" applyFill="1" applyBorder="1" applyAlignment="1" applyProtection="1">
      <alignment vertical="center" wrapText="1"/>
    </xf>
    <xf numFmtId="165" fontId="37" fillId="3" borderId="1" xfId="1" applyFont="1" applyFill="1" applyBorder="1" applyAlignment="1">
      <alignment horizontal="center" vertical="center" wrapText="1"/>
      <protection locked="0"/>
    </xf>
    <xf numFmtId="0" fontId="32" fillId="0" borderId="1" xfId="6" applyFont="1" applyFill="1" applyBorder="1" applyAlignment="1" applyProtection="1">
      <alignment horizontal="center" vertical="center" wrapText="1"/>
    </xf>
    <xf numFmtId="0" fontId="31" fillId="3" borderId="0" xfId="0" applyFont="1" applyFill="1" applyAlignment="1">
      <alignment vertical="center"/>
    </xf>
    <xf numFmtId="166" fontId="32" fillId="8" borderId="1" xfId="1" applyNumberFormat="1" applyFont="1" applyFill="1" applyBorder="1" applyAlignment="1">
      <alignment horizontal="right" vertical="center"/>
      <protection locked="0"/>
    </xf>
    <xf numFmtId="166" fontId="32" fillId="0" borderId="1" xfId="1" applyNumberFormat="1" applyFont="1" applyFill="1" applyBorder="1" applyAlignment="1">
      <alignment horizontal="right" vertical="center"/>
      <protection locked="0"/>
    </xf>
    <xf numFmtId="166" fontId="32" fillId="0" borderId="1" xfId="1" applyNumberFormat="1" applyFont="1" applyBorder="1" applyAlignment="1">
      <alignment horizontal="right" vertical="center"/>
      <protection locked="0"/>
    </xf>
    <xf numFmtId="166" fontId="32" fillId="3" borderId="1" xfId="1" applyNumberFormat="1" applyFont="1" applyFill="1" applyBorder="1" applyAlignment="1">
      <alignment horizontal="right" vertical="center"/>
      <protection locked="0"/>
    </xf>
    <xf numFmtId="166" fontId="41" fillId="8" borderId="1" xfId="1" applyNumberFormat="1" applyFont="1" applyFill="1" applyBorder="1" applyAlignment="1">
      <alignment horizontal="right" vertical="center"/>
      <protection locked="0"/>
    </xf>
    <xf numFmtId="166" fontId="32" fillId="6" borderId="1" xfId="1" applyNumberFormat="1" applyFont="1" applyFill="1" applyBorder="1" applyAlignment="1">
      <alignment horizontal="right" vertical="center"/>
      <protection locked="0"/>
    </xf>
    <xf numFmtId="166" fontId="30" fillId="6" borderId="1" xfId="1" applyNumberFormat="1" applyFont="1" applyFill="1" applyBorder="1" applyAlignment="1">
      <alignment horizontal="right" vertical="center"/>
      <protection locked="0"/>
    </xf>
    <xf numFmtId="166" fontId="37" fillId="6" borderId="1" xfId="1" applyNumberFormat="1" applyFont="1" applyFill="1" applyBorder="1" applyAlignment="1">
      <alignment horizontal="right" vertical="center" wrapText="1"/>
      <protection locked="0"/>
    </xf>
    <xf numFmtId="166" fontId="30" fillId="6" borderId="1" xfId="1" applyNumberFormat="1" applyFont="1" applyFill="1" applyBorder="1" applyAlignment="1">
      <alignment horizontal="right" vertical="center" wrapText="1"/>
      <protection locked="0"/>
    </xf>
    <xf numFmtId="166" fontId="32" fillId="3" borderId="1" xfId="1" applyNumberFormat="1" applyFont="1" applyFill="1" applyBorder="1" applyAlignment="1">
      <alignment horizontal="right" vertical="center" wrapText="1"/>
      <protection locked="0"/>
    </xf>
    <xf numFmtId="166" fontId="32" fillId="0" borderId="1" xfId="1" applyNumberFormat="1" applyFont="1" applyFill="1" applyBorder="1" applyAlignment="1" applyProtection="1">
      <alignment horizontal="right" vertical="center" wrapText="1"/>
      <protection locked="0"/>
    </xf>
    <xf numFmtId="166" fontId="32" fillId="0" borderId="1" xfId="1" applyNumberFormat="1" applyFont="1" applyFill="1" applyBorder="1" applyAlignment="1">
      <alignment horizontal="right" vertical="center" wrapText="1"/>
      <protection locked="0"/>
    </xf>
    <xf numFmtId="166" fontId="29" fillId="0" borderId="1" xfId="1" applyNumberFormat="1" applyFont="1" applyFill="1" applyBorder="1" applyAlignment="1">
      <alignment horizontal="right" vertical="center" wrapText="1"/>
      <protection locked="0"/>
    </xf>
    <xf numFmtId="166" fontId="29" fillId="0" borderId="1" xfId="1" applyNumberFormat="1" applyFont="1" applyFill="1" applyBorder="1" applyAlignment="1" applyProtection="1">
      <alignment horizontal="right" vertical="center" wrapText="1"/>
      <protection locked="0"/>
    </xf>
    <xf numFmtId="166" fontId="32" fillId="0" borderId="1" xfId="45" applyNumberFormat="1" applyFont="1" applyFill="1" applyBorder="1" applyAlignment="1" applyProtection="1">
      <alignment horizontal="right" vertical="center"/>
    </xf>
    <xf numFmtId="166" fontId="34" fillId="8" borderId="1" xfId="7" applyNumberFormat="1" applyFont="1" applyFill="1" applyBorder="1" applyAlignment="1">
      <alignment horizontal="right" vertical="center"/>
    </xf>
    <xf numFmtId="166" fontId="34" fillId="6" borderId="1" xfId="7" applyNumberFormat="1" applyFont="1" applyFill="1" applyBorder="1" applyAlignment="1">
      <alignment horizontal="right" vertical="center"/>
    </xf>
    <xf numFmtId="166" fontId="34" fillId="3" borderId="1" xfId="7" applyNumberFormat="1" applyFont="1" applyFill="1" applyBorder="1" applyAlignment="1">
      <alignment horizontal="right" vertical="center"/>
    </xf>
    <xf numFmtId="166" fontId="34" fillId="10" borderId="1" xfId="7" applyNumberFormat="1" applyFont="1" applyFill="1" applyBorder="1" applyAlignment="1">
      <alignment horizontal="right" vertical="center"/>
    </xf>
    <xf numFmtId="10" fontId="34" fillId="10" borderId="1" xfId="5" applyNumberFormat="1" applyFont="1" applyFill="1" applyBorder="1" applyAlignment="1">
      <alignment horizontal="right" vertical="center"/>
      <protection locked="0"/>
    </xf>
    <xf numFmtId="166" fontId="34" fillId="0" borderId="1" xfId="7" applyNumberFormat="1" applyFont="1" applyFill="1" applyBorder="1" applyAlignment="1">
      <alignment horizontal="right" vertical="center"/>
    </xf>
    <xf numFmtId="165" fontId="34" fillId="0" borderId="1" xfId="7" applyFont="1" applyFill="1" applyBorder="1" applyAlignment="1">
      <alignment horizontal="right" vertical="center"/>
    </xf>
    <xf numFmtId="166" fontId="42" fillId="6" borderId="1" xfId="7" applyNumberFormat="1" applyFont="1" applyFill="1" applyBorder="1" applyAlignment="1">
      <alignment horizontal="right" vertical="center"/>
    </xf>
    <xf numFmtId="9" fontId="42" fillId="6" borderId="1" xfId="8" applyFont="1" applyFill="1" applyBorder="1" applyAlignment="1">
      <alignment horizontal="right" vertical="center"/>
    </xf>
    <xf numFmtId="166" fontId="34" fillId="9" borderId="1" xfId="7" applyNumberFormat="1" applyFont="1" applyFill="1" applyBorder="1" applyAlignment="1">
      <alignment horizontal="right" vertical="center"/>
    </xf>
    <xf numFmtId="9" fontId="34" fillId="9" borderId="1" xfId="8" applyFont="1" applyFill="1" applyBorder="1" applyAlignment="1">
      <alignment horizontal="right" vertical="center"/>
    </xf>
    <xf numFmtId="0" fontId="32" fillId="0" borderId="1" xfId="4" quotePrefix="1" applyNumberFormat="1" applyFont="1" applyFill="1" applyBorder="1" applyAlignment="1" applyProtection="1">
      <alignment horizontal="center" vertical="center" wrapText="1"/>
    </xf>
    <xf numFmtId="49" fontId="37" fillId="6" borderId="1" xfId="2" applyNumberFormat="1" applyFont="1" applyFill="1" applyBorder="1" applyAlignment="1" applyProtection="1">
      <alignment horizontal="center" vertical="center" wrapText="1"/>
    </xf>
    <xf numFmtId="0" fontId="42" fillId="9" borderId="1" xfId="6" applyNumberFormat="1" applyFont="1" applyFill="1" applyBorder="1" applyAlignment="1" applyProtection="1">
      <alignment horizontal="center" vertical="center" wrapText="1"/>
    </xf>
    <xf numFmtId="166" fontId="38" fillId="3" borderId="1" xfId="9" applyNumberFormat="1" applyFont="1" applyFill="1" applyBorder="1" applyAlignment="1" applyProtection="1">
      <alignment horizontal="right" vertical="center" wrapText="1"/>
      <protection locked="0"/>
    </xf>
    <xf numFmtId="49" fontId="37" fillId="0" borderId="1" xfId="2" applyNumberFormat="1" applyFont="1" applyFill="1" applyBorder="1" applyAlignment="1" applyProtection="1">
      <alignment horizontal="center" vertical="center" wrapText="1"/>
    </xf>
    <xf numFmtId="0" fontId="30" fillId="3" borderId="0" xfId="0" applyFont="1" applyFill="1" applyAlignment="1">
      <alignment horizontal="left"/>
    </xf>
    <xf numFmtId="0" fontId="32" fillId="3" borderId="0" xfId="0" applyFont="1" applyFill="1" applyAlignment="1">
      <alignment horizontal="left"/>
    </xf>
    <xf numFmtId="49" fontId="30" fillId="6" borderId="1" xfId="4" applyNumberFormat="1" applyFont="1" applyFill="1" applyBorder="1" applyAlignment="1" applyProtection="1">
      <alignment horizontal="center" vertical="center" wrapText="1"/>
    </xf>
    <xf numFmtId="49" fontId="29" fillId="0" borderId="1" xfId="4" applyNumberFormat="1" applyFont="1" applyFill="1" applyBorder="1" applyAlignment="1" applyProtection="1">
      <alignment horizontal="center" vertical="center" wrapText="1"/>
    </xf>
    <xf numFmtId="49" fontId="45" fillId="5" borderId="1" xfId="0" applyNumberFormat="1" applyFont="1" applyFill="1" applyBorder="1" applyAlignment="1" applyProtection="1">
      <alignment horizontal="center" vertical="center" wrapText="1"/>
    </xf>
    <xf numFmtId="166" fontId="32" fillId="0" borderId="1" xfId="6" applyNumberFormat="1" applyFont="1" applyFill="1" applyBorder="1" applyAlignment="1" applyProtection="1">
      <alignment horizontal="right" vertical="center" wrapText="1"/>
    </xf>
    <xf numFmtId="10" fontId="32" fillId="0" borderId="1" xfId="6" applyNumberFormat="1" applyFont="1" applyFill="1" applyBorder="1" applyAlignment="1" applyProtection="1">
      <alignment horizontal="right" vertical="center" wrapText="1"/>
    </xf>
    <xf numFmtId="41" fontId="37" fillId="6" borderId="1" xfId="2" applyNumberFormat="1" applyFont="1" applyFill="1" applyBorder="1" applyAlignment="1" applyProtection="1">
      <alignment horizontal="right" vertical="center" wrapText="1"/>
    </xf>
    <xf numFmtId="41" fontId="32" fillId="0" borderId="1" xfId="1" applyNumberFormat="1" applyFont="1" applyFill="1" applyBorder="1" applyAlignment="1" applyProtection="1">
      <alignment horizontal="right" vertical="center" wrapText="1"/>
      <protection locked="0"/>
    </xf>
    <xf numFmtId="166" fontId="30" fillId="6" borderId="1" xfId="1" applyNumberFormat="1" applyFont="1" applyFill="1" applyBorder="1" applyAlignment="1" applyProtection="1">
      <alignment horizontal="right" vertical="center" wrapText="1"/>
      <protection locked="0"/>
    </xf>
    <xf numFmtId="41" fontId="30" fillId="6" borderId="1" xfId="1" applyNumberFormat="1" applyFont="1" applyFill="1" applyBorder="1" applyAlignment="1" applyProtection="1">
      <alignment horizontal="right" vertical="center" wrapText="1"/>
      <protection locked="0"/>
    </xf>
    <xf numFmtId="0" fontId="30" fillId="4" borderId="1" xfId="2" applyNumberFormat="1" applyFont="1" applyFill="1" applyBorder="1" applyAlignment="1" applyProtection="1">
      <alignment horizontal="center" vertical="center" wrapText="1"/>
    </xf>
    <xf numFmtId="0" fontId="30" fillId="4" borderId="1" xfId="2" applyNumberFormat="1" applyFont="1" applyFill="1" applyBorder="1" applyAlignment="1" applyProtection="1">
      <alignment horizontal="left" vertical="center" wrapText="1"/>
    </xf>
    <xf numFmtId="166" fontId="30" fillId="4" borderId="1" xfId="1" applyNumberFormat="1" applyFont="1" applyFill="1" applyBorder="1" applyAlignment="1" applyProtection="1">
      <alignment horizontal="left" vertical="center" wrapText="1"/>
      <protection locked="0"/>
    </xf>
    <xf numFmtId="166" fontId="32" fillId="0" borderId="1" xfId="1" quotePrefix="1" applyNumberFormat="1" applyFont="1" applyFill="1" applyBorder="1" applyAlignment="1" applyProtection="1">
      <alignment horizontal="center" vertical="center"/>
      <protection locked="0"/>
    </xf>
    <xf numFmtId="0" fontId="32" fillId="0" borderId="1" xfId="0" applyFont="1" applyFill="1" applyBorder="1" applyAlignment="1">
      <alignment horizontal="center" vertical="center"/>
    </xf>
    <xf numFmtId="0" fontId="0" fillId="0" borderId="1" xfId="0" quotePrefix="1" applyFill="1" applyBorder="1" applyAlignment="1">
      <alignment horizontal="center" vertical="center"/>
    </xf>
    <xf numFmtId="166" fontId="32" fillId="0" borderId="1" xfId="1" applyNumberFormat="1" applyFont="1" applyFill="1" applyBorder="1" applyAlignment="1" applyProtection="1">
      <alignment horizontal="left" vertical="center"/>
      <protection locked="0"/>
    </xf>
    <xf numFmtId="0" fontId="20" fillId="0" borderId="1" xfId="0" quotePrefix="1" applyFont="1" applyFill="1" applyBorder="1" applyAlignment="1">
      <alignment horizontal="center" vertical="center"/>
    </xf>
    <xf numFmtId="49" fontId="32" fillId="0" borderId="1" xfId="0" quotePrefix="1" applyNumberFormat="1" applyFont="1" applyFill="1" applyBorder="1" applyAlignment="1">
      <alignment horizontal="center" vertical="center"/>
    </xf>
    <xf numFmtId="0" fontId="37" fillId="4" borderId="1" xfId="2" applyNumberFormat="1" applyFont="1" applyFill="1" applyBorder="1" applyAlignment="1" applyProtection="1">
      <alignment horizontal="center" vertical="center" wrapText="1"/>
    </xf>
    <xf numFmtId="166" fontId="30" fillId="4" borderId="1" xfId="1" applyNumberFormat="1" applyFont="1" applyFill="1" applyBorder="1" applyAlignment="1" applyProtection="1">
      <alignment horizontal="right" vertical="center" wrapText="1"/>
      <protection locked="0"/>
    </xf>
    <xf numFmtId="0" fontId="32" fillId="3" borderId="1" xfId="2" applyNumberFormat="1" applyFont="1" applyFill="1" applyBorder="1" applyAlignment="1" applyProtection="1">
      <alignment horizontal="center" vertical="center" wrapText="1"/>
    </xf>
    <xf numFmtId="165" fontId="30" fillId="4" borderId="1" xfId="1" applyNumberFormat="1" applyFont="1" applyFill="1" applyBorder="1" applyAlignment="1" applyProtection="1">
      <alignment horizontal="right" vertical="center" wrapText="1"/>
      <protection locked="0"/>
    </xf>
    <xf numFmtId="165" fontId="30" fillId="4" borderId="1" xfId="1" applyFont="1" applyFill="1" applyBorder="1" applyAlignment="1" applyProtection="1">
      <alignment horizontal="right" vertical="center" wrapText="1"/>
      <protection locked="0"/>
    </xf>
    <xf numFmtId="164" fontId="37" fillId="4" borderId="1" xfId="2" applyNumberFormat="1" applyFont="1" applyFill="1" applyBorder="1" applyAlignment="1" applyProtection="1">
      <alignment horizontal="right" vertical="center" wrapText="1"/>
    </xf>
    <xf numFmtId="164" fontId="32" fillId="0" borderId="1" xfId="1" applyNumberFormat="1" applyFont="1" applyBorder="1" applyAlignment="1" applyProtection="1">
      <alignment horizontal="right" vertical="center"/>
    </xf>
    <xf numFmtId="165" fontId="32" fillId="0" borderId="1" xfId="1" applyNumberFormat="1" applyFont="1" applyFill="1" applyBorder="1" applyAlignment="1" applyProtection="1">
      <alignment horizontal="right" vertical="center" wrapText="1"/>
      <protection locked="0"/>
    </xf>
    <xf numFmtId="165" fontId="32" fillId="0" borderId="1" xfId="1" applyFont="1" applyFill="1" applyBorder="1" applyAlignment="1" applyProtection="1">
      <alignment horizontal="right" vertical="center" wrapText="1"/>
      <protection locked="0"/>
    </xf>
    <xf numFmtId="49" fontId="37" fillId="2" borderId="1" xfId="0" applyNumberFormat="1" applyFont="1" applyFill="1" applyBorder="1" applyAlignment="1" applyProtection="1">
      <alignment vertical="center" wrapText="1"/>
    </xf>
    <xf numFmtId="49" fontId="30" fillId="6" borderId="1" xfId="4" applyNumberFormat="1" applyFont="1" applyFill="1" applyBorder="1" applyAlignment="1" applyProtection="1">
      <alignment horizontal="left" vertical="center" wrapText="1"/>
    </xf>
    <xf numFmtId="166" fontId="30" fillId="6" borderId="1" xfId="6" applyNumberFormat="1" applyFont="1" applyFill="1" applyBorder="1" applyAlignment="1" applyProtection="1">
      <alignment horizontal="right" vertical="center" wrapText="1"/>
    </xf>
    <xf numFmtId="10" fontId="30" fillId="6" borderId="1" xfId="6" applyNumberFormat="1" applyFont="1" applyFill="1" applyBorder="1" applyAlignment="1" applyProtection="1">
      <alignment horizontal="right" vertical="center" wrapText="1"/>
    </xf>
    <xf numFmtId="166" fontId="32" fillId="6" borderId="1" xfId="6" applyNumberFormat="1" applyFont="1" applyFill="1" applyBorder="1" applyAlignment="1" applyProtection="1">
      <alignment horizontal="right" vertical="center" wrapText="1"/>
    </xf>
    <xf numFmtId="10" fontId="32" fillId="6" borderId="1" xfId="6" applyNumberFormat="1" applyFont="1" applyFill="1" applyBorder="1" applyAlignment="1" applyProtection="1">
      <alignment horizontal="right" vertical="center" wrapText="1"/>
    </xf>
    <xf numFmtId="49" fontId="32" fillId="3" borderId="1" xfId="4" applyNumberFormat="1" applyFont="1" applyFill="1" applyBorder="1" applyAlignment="1" applyProtection="1">
      <alignment horizontal="left" vertical="center" wrapText="1"/>
    </xf>
    <xf numFmtId="166" fontId="32" fillId="3" borderId="1" xfId="6" applyNumberFormat="1" applyFont="1" applyFill="1" applyBorder="1" applyAlignment="1" applyProtection="1">
      <alignment horizontal="right" vertical="center" wrapText="1"/>
    </xf>
    <xf numFmtId="43" fontId="32" fillId="0" borderId="1" xfId="6" applyNumberFormat="1" applyFont="1" applyFill="1" applyBorder="1" applyAlignment="1" applyProtection="1">
      <alignment horizontal="right" vertical="center" wrapText="1"/>
    </xf>
    <xf numFmtId="43" fontId="32" fillId="3" borderId="1" xfId="6" applyNumberFormat="1" applyFont="1" applyFill="1" applyBorder="1" applyAlignment="1" applyProtection="1">
      <alignment horizontal="right" vertical="center" wrapText="1"/>
    </xf>
    <xf numFmtId="49" fontId="29" fillId="0" borderId="1" xfId="4" applyNumberFormat="1" applyFont="1" applyFill="1" applyBorder="1" applyAlignment="1" applyProtection="1">
      <alignment horizontal="left" vertical="center" wrapText="1"/>
    </xf>
    <xf numFmtId="49" fontId="39" fillId="3" borderId="1" xfId="4" applyNumberFormat="1" applyFont="1" applyFill="1" applyBorder="1" applyAlignment="1" applyProtection="1">
      <alignment horizontal="left" vertical="center" wrapText="1"/>
    </xf>
    <xf numFmtId="49" fontId="39" fillId="0" borderId="1" xfId="4" applyNumberFormat="1" applyFont="1" applyFill="1" applyBorder="1" applyAlignment="1" applyProtection="1">
      <alignment horizontal="left" vertical="center" wrapText="1"/>
    </xf>
    <xf numFmtId="0" fontId="32" fillId="3" borderId="1" xfId="4" applyFont="1" applyFill="1" applyBorder="1" applyAlignment="1" applyProtection="1">
      <alignment horizontal="left" vertical="center" wrapText="1"/>
    </xf>
    <xf numFmtId="0" fontId="39" fillId="3" borderId="1" xfId="4" applyFont="1" applyFill="1" applyBorder="1" applyAlignment="1" applyProtection="1">
      <alignment horizontal="left" vertical="center" wrapText="1"/>
    </xf>
    <xf numFmtId="0" fontId="39" fillId="3" borderId="1" xfId="2" applyNumberFormat="1" applyFont="1" applyFill="1" applyBorder="1" applyAlignment="1" applyProtection="1">
      <alignment horizontal="left" vertical="center" wrapText="1"/>
    </xf>
    <xf numFmtId="0" fontId="39" fillId="3" borderId="1" xfId="2" applyFont="1" applyFill="1" applyBorder="1" applyAlignment="1" applyProtection="1">
      <alignment horizontal="left" vertical="center" wrapText="1"/>
    </xf>
    <xf numFmtId="0" fontId="30" fillId="6" borderId="1" xfId="0" applyNumberFormat="1" applyFont="1" applyFill="1" applyBorder="1" applyAlignment="1" applyProtection="1">
      <alignment horizontal="left" vertical="center" wrapText="1"/>
    </xf>
    <xf numFmtId="0" fontId="32" fillId="3" borderId="1" xfId="0" applyNumberFormat="1" applyFont="1" applyFill="1" applyBorder="1" applyAlignment="1" applyProtection="1">
      <alignment horizontal="left" vertical="center" wrapText="1"/>
    </xf>
    <xf numFmtId="10" fontId="32" fillId="3" borderId="1" xfId="7" applyNumberFormat="1" applyFont="1" applyFill="1" applyBorder="1" applyAlignment="1" applyProtection="1">
      <alignment horizontal="right" vertical="center" wrapText="1"/>
    </xf>
    <xf numFmtId="0" fontId="32" fillId="0" borderId="1" xfId="0" applyNumberFormat="1" applyFont="1" applyFill="1" applyBorder="1" applyAlignment="1" applyProtection="1">
      <alignment horizontal="left" vertical="center" wrapText="1"/>
    </xf>
    <xf numFmtId="10" fontId="32" fillId="0" borderId="1" xfId="7" applyNumberFormat="1" applyFont="1" applyFill="1" applyBorder="1" applyAlignment="1" applyProtection="1">
      <alignment horizontal="right" vertical="center" wrapText="1"/>
    </xf>
    <xf numFmtId="166" fontId="32" fillId="6" borderId="1" xfId="7" applyNumberFormat="1" applyFont="1" applyFill="1" applyBorder="1" applyAlignment="1" applyProtection="1">
      <alignment horizontal="right" vertical="center" wrapText="1"/>
    </xf>
    <xf numFmtId="166" fontId="32" fillId="0" borderId="1" xfId="7" applyNumberFormat="1" applyFont="1" applyFill="1" applyBorder="1" applyAlignment="1" applyProtection="1">
      <alignment horizontal="right" vertical="center" wrapText="1"/>
    </xf>
    <xf numFmtId="166" fontId="32" fillId="3" borderId="1" xfId="7" applyNumberFormat="1" applyFont="1" applyFill="1" applyBorder="1" applyAlignment="1" applyProtection="1">
      <alignment horizontal="right" vertical="center" wrapText="1"/>
    </xf>
    <xf numFmtId="165" fontId="32" fillId="0" borderId="1" xfId="1" applyFont="1" applyFill="1" applyBorder="1" applyAlignment="1">
      <alignment horizontal="right" vertical="center" wrapText="1"/>
      <protection locked="0"/>
    </xf>
    <xf numFmtId="165" fontId="32" fillId="3" borderId="1" xfId="1" applyFont="1" applyFill="1" applyBorder="1" applyAlignment="1">
      <alignment horizontal="right" vertical="center" wrapText="1"/>
      <protection locked="0"/>
    </xf>
    <xf numFmtId="43" fontId="32" fillId="0" borderId="1" xfId="7" applyNumberFormat="1" applyFont="1" applyFill="1" applyBorder="1" applyAlignment="1" applyProtection="1">
      <alignment horizontal="right" vertical="center" wrapText="1"/>
    </xf>
    <xf numFmtId="165" fontId="32" fillId="0" borderId="1" xfId="7" applyNumberFormat="1" applyFont="1" applyFill="1" applyBorder="1" applyAlignment="1" applyProtection="1">
      <alignment horizontal="right" vertical="center" wrapText="1"/>
    </xf>
    <xf numFmtId="165" fontId="32" fillId="0" borderId="1" xfId="7" applyFont="1" applyFill="1" applyBorder="1" applyAlignment="1" applyProtection="1">
      <alignment horizontal="right" vertical="center" wrapText="1"/>
    </xf>
    <xf numFmtId="0" fontId="34" fillId="3" borderId="1" xfId="0" applyFont="1" applyFill="1" applyBorder="1" applyAlignment="1">
      <alignment horizontal="center" vertical="center"/>
    </xf>
    <xf numFmtId="10" fontId="32" fillId="3" borderId="1" xfId="5" applyNumberFormat="1" applyFont="1" applyFill="1" applyBorder="1" applyAlignment="1">
      <alignment horizontal="right" vertical="center" wrapText="1"/>
      <protection locked="0"/>
    </xf>
    <xf numFmtId="49" fontId="45" fillId="5" borderId="1" xfId="0" applyNumberFormat="1" applyFont="1" applyFill="1" applyBorder="1" applyAlignment="1" applyProtection="1">
      <alignment horizontal="center" vertical="center" wrapText="1"/>
    </xf>
    <xf numFmtId="166" fontId="42" fillId="6" borderId="1" xfId="9" applyNumberFormat="1" applyFont="1" applyFill="1" applyBorder="1" applyAlignment="1" applyProtection="1">
      <alignment horizontal="right" vertical="center" wrapText="1"/>
      <protection locked="0"/>
    </xf>
    <xf numFmtId="43" fontId="42" fillId="4" borderId="1" xfId="9" applyNumberFormat="1" applyFont="1" applyFill="1" applyBorder="1" applyAlignment="1" applyProtection="1">
      <alignment horizontal="right" vertical="center" wrapText="1"/>
      <protection locked="0"/>
    </xf>
    <xf numFmtId="0" fontId="42" fillId="6" borderId="1" xfId="2" applyFont="1" applyFill="1" applyBorder="1" applyAlignment="1" applyProtection="1">
      <alignment vertical="center" wrapText="1"/>
    </xf>
    <xf numFmtId="0" fontId="38" fillId="0" borderId="1" xfId="2" applyFont="1" applyFill="1" applyBorder="1" applyAlignment="1" applyProtection="1">
      <alignment vertical="center" wrapText="1"/>
    </xf>
    <xf numFmtId="0" fontId="42" fillId="4" borderId="1" xfId="2" applyFont="1" applyFill="1" applyBorder="1" applyAlignment="1" applyProtection="1">
      <alignment vertical="center" wrapText="1"/>
    </xf>
    <xf numFmtId="14" fontId="31" fillId="3" borderId="0" xfId="0" applyNumberFormat="1" applyFont="1" applyFill="1" applyAlignment="1">
      <alignment horizontal="left" vertical="center" wrapText="1"/>
    </xf>
    <xf numFmtId="0" fontId="36" fillId="3" borderId="0" xfId="0" applyFont="1" applyFill="1" applyAlignment="1">
      <alignment horizontal="left" vertical="center" wrapText="1"/>
    </xf>
    <xf numFmtId="15" fontId="32" fillId="3" borderId="0" xfId="0" applyNumberFormat="1" applyFont="1" applyFill="1" applyAlignment="1">
      <alignment horizontal="left"/>
    </xf>
    <xf numFmtId="0" fontId="31" fillId="3" borderId="0" xfId="0" applyFont="1" applyFill="1" applyAlignment="1">
      <alignment horizontal="left" vertical="center" wrapText="1"/>
    </xf>
    <xf numFmtId="0" fontId="33" fillId="3" borderId="0" xfId="0" applyFont="1" applyFill="1" applyAlignment="1">
      <alignment horizontal="left" vertical="center" wrapText="1"/>
    </xf>
    <xf numFmtId="0" fontId="34" fillId="3" borderId="0" xfId="0" applyFont="1" applyFill="1" applyAlignment="1">
      <alignment horizontal="left" vertical="center"/>
    </xf>
    <xf numFmtId="0" fontId="35" fillId="3" borderId="0" xfId="0" applyFont="1" applyFill="1" applyAlignment="1">
      <alignment horizontal="left" vertical="center" wrapText="1"/>
    </xf>
    <xf numFmtId="0" fontId="32" fillId="3" borderId="0" xfId="0" applyFont="1" applyFill="1" applyAlignment="1">
      <alignment horizontal="center"/>
    </xf>
    <xf numFmtId="0" fontId="33" fillId="3" borderId="0" xfId="0" applyFont="1" applyFill="1" applyBorder="1" applyAlignment="1">
      <alignment horizontal="center" vertical="center"/>
    </xf>
    <xf numFmtId="0" fontId="20" fillId="3" borderId="0" xfId="0" applyFont="1" applyFill="1" applyBorder="1" applyAlignment="1">
      <alignment horizontal="center"/>
    </xf>
    <xf numFmtId="0" fontId="0" fillId="3" borderId="0" xfId="0" applyFill="1" applyBorder="1" applyAlignment="1">
      <alignment horizontal="center"/>
    </xf>
    <xf numFmtId="0" fontId="30" fillId="3" borderId="0" xfId="0" applyFont="1" applyFill="1" applyAlignment="1">
      <alignment horizontal="center"/>
    </xf>
    <xf numFmtId="0" fontId="26" fillId="3" borderId="0" xfId="0" applyFont="1" applyFill="1" applyAlignment="1">
      <alignment horizontal="right" vertical="center" wrapText="1"/>
    </xf>
    <xf numFmtId="0" fontId="27" fillId="3" borderId="0" xfId="0" applyFont="1" applyFill="1" applyAlignment="1">
      <alignment horizontal="right" vertical="center" wrapText="1"/>
    </xf>
    <xf numFmtId="0" fontId="28" fillId="3" borderId="0" xfId="0" applyFont="1" applyFill="1" applyAlignment="1">
      <alignment horizontal="center" vertical="center" wrapText="1"/>
    </xf>
    <xf numFmtId="0" fontId="29" fillId="3" borderId="0" xfId="0" applyFont="1" applyFill="1" applyAlignment="1">
      <alignment horizontal="center" vertical="center"/>
    </xf>
    <xf numFmtId="49" fontId="37" fillId="5" borderId="4" xfId="0" applyNumberFormat="1" applyFont="1" applyFill="1" applyBorder="1" applyAlignment="1" applyProtection="1">
      <alignment horizontal="center" vertical="center" wrapText="1"/>
    </xf>
    <xf numFmtId="49" fontId="37" fillId="5" borderId="5" xfId="0" applyNumberFormat="1" applyFont="1" applyFill="1" applyBorder="1" applyAlignment="1" applyProtection="1">
      <alignment horizontal="center" vertical="center" wrapText="1"/>
    </xf>
    <xf numFmtId="0" fontId="0" fillId="0" borderId="5" xfId="0" applyBorder="1"/>
    <xf numFmtId="49" fontId="37" fillId="5" borderId="2" xfId="0" applyNumberFormat="1" applyFont="1" applyFill="1" applyBorder="1" applyAlignment="1" applyProtection="1">
      <alignment horizontal="center" vertical="center" wrapText="1"/>
    </xf>
    <xf numFmtId="49" fontId="37" fillId="5" borderId="3" xfId="0" applyNumberFormat="1" applyFont="1" applyFill="1" applyBorder="1" applyAlignment="1" applyProtection="1">
      <alignment horizontal="center" vertical="center" wrapText="1"/>
    </xf>
    <xf numFmtId="0" fontId="35" fillId="3" borderId="0" xfId="0" applyFont="1" applyFill="1" applyAlignment="1">
      <alignment horizontal="left" vertical="center"/>
    </xf>
    <xf numFmtId="0" fontId="30" fillId="3" borderId="0" xfId="0" applyFont="1" applyFill="1" applyAlignment="1">
      <alignment horizontal="left"/>
    </xf>
    <xf numFmtId="0" fontId="32" fillId="3" borderId="0" xfId="0" applyFont="1" applyFill="1" applyAlignment="1">
      <alignment horizontal="left"/>
    </xf>
    <xf numFmtId="0" fontId="0" fillId="0" borderId="0" xfId="0" applyAlignment="1"/>
    <xf numFmtId="166" fontId="42" fillId="3" borderId="0" xfId="1" applyNumberFormat="1" applyFont="1" applyFill="1" applyAlignment="1" applyProtection="1">
      <alignment horizontal="center"/>
      <protection locked="0"/>
    </xf>
    <xf numFmtId="0" fontId="33" fillId="3" borderId="0" xfId="0" applyFont="1" applyFill="1" applyBorder="1" applyAlignment="1">
      <alignment horizontal="left" vertical="center"/>
    </xf>
    <xf numFmtId="0" fontId="46" fillId="3" borderId="0" xfId="0" applyFont="1" applyFill="1" applyAlignment="1">
      <alignment vertical="top" wrapText="1"/>
    </xf>
    <xf numFmtId="0" fontId="35" fillId="3" borderId="0" xfId="0" applyFont="1" applyFill="1" applyAlignment="1">
      <alignment vertical="top" wrapText="1"/>
    </xf>
    <xf numFmtId="0" fontId="42" fillId="3" borderId="0" xfId="0" applyFont="1" applyFill="1" applyAlignment="1">
      <alignment horizontal="center"/>
    </xf>
    <xf numFmtId="0" fontId="42" fillId="3" borderId="0" xfId="0" applyFont="1" applyFill="1" applyAlignment="1">
      <alignment horizontal="left"/>
    </xf>
    <xf numFmtId="0" fontId="34" fillId="3" borderId="0" xfId="0" applyFont="1" applyFill="1" applyAlignment="1">
      <alignment horizontal="left"/>
    </xf>
    <xf numFmtId="0" fontId="44" fillId="3" borderId="0" xfId="0" applyFont="1" applyFill="1" applyAlignment="1">
      <alignment horizontal="right" vertical="center" wrapText="1"/>
    </xf>
    <xf numFmtId="0" fontId="31" fillId="3" borderId="0" xfId="0" applyFont="1" applyFill="1" applyAlignment="1">
      <alignment horizontal="left" vertical="top" wrapText="1"/>
    </xf>
    <xf numFmtId="0" fontId="35" fillId="3" borderId="0" xfId="0" applyFont="1" applyFill="1" applyAlignment="1">
      <alignment horizontal="left" vertical="top" wrapText="1"/>
    </xf>
    <xf numFmtId="0" fontId="32" fillId="3" borderId="0" xfId="0" applyFont="1" applyFill="1" applyAlignment="1">
      <alignment horizontal="left" vertical="top"/>
    </xf>
    <xf numFmtId="0" fontId="32" fillId="3" borderId="0" xfId="0" applyFont="1" applyFill="1" applyAlignment="1">
      <alignment horizontal="left" vertical="top" wrapText="1"/>
    </xf>
    <xf numFmtId="0" fontId="34" fillId="3" borderId="0" xfId="0" applyFont="1" applyFill="1" applyAlignment="1">
      <alignment horizontal="left" vertical="top" wrapText="1"/>
    </xf>
    <xf numFmtId="0" fontId="33" fillId="3" borderId="0" xfId="0" applyFont="1" applyFill="1" applyAlignment="1">
      <alignment horizontal="left" vertical="top" wrapText="1"/>
    </xf>
    <xf numFmtId="166" fontId="42" fillId="5" borderId="4" xfId="1" applyNumberFormat="1" applyFont="1" applyFill="1" applyBorder="1" applyAlignment="1" applyProtection="1">
      <alignment horizontal="center" vertical="center" wrapText="1"/>
    </xf>
    <xf numFmtId="166" fontId="42" fillId="5" borderId="5" xfId="1" applyNumberFormat="1" applyFont="1" applyFill="1" applyBorder="1" applyAlignment="1" applyProtection="1">
      <alignment horizontal="center" vertical="center" wrapText="1"/>
    </xf>
    <xf numFmtId="0" fontId="42" fillId="5" borderId="4" xfId="0" applyFont="1" applyFill="1" applyBorder="1" applyAlignment="1">
      <alignment horizontal="center" vertical="center" wrapText="1"/>
    </xf>
    <xf numFmtId="0" fontId="42" fillId="5" borderId="5" xfId="0" applyFont="1" applyFill="1" applyBorder="1" applyAlignment="1">
      <alignment horizontal="center" vertical="center" wrapText="1"/>
    </xf>
    <xf numFmtId="166" fontId="42" fillId="5" borderId="2" xfId="1" applyNumberFormat="1" applyFont="1" applyFill="1" applyBorder="1" applyAlignment="1" applyProtection="1">
      <alignment horizontal="center" vertical="center" wrapText="1"/>
    </xf>
    <xf numFmtId="166" fontId="42" fillId="5" borderId="14" xfId="1" applyNumberFormat="1" applyFont="1" applyFill="1" applyBorder="1" applyAlignment="1" applyProtection="1">
      <alignment horizontal="center" vertical="center" wrapText="1"/>
    </xf>
    <xf numFmtId="166" fontId="42" fillId="5" borderId="3" xfId="1" applyNumberFormat="1" applyFont="1" applyFill="1" applyBorder="1" applyAlignment="1" applyProtection="1">
      <alignment horizontal="center" vertical="center" wrapText="1"/>
    </xf>
    <xf numFmtId="0" fontId="46" fillId="3" borderId="0" xfId="0" applyFont="1" applyFill="1" applyAlignment="1">
      <alignment horizontal="left" vertical="top" wrapText="1"/>
    </xf>
    <xf numFmtId="15" fontId="35" fillId="3" borderId="0" xfId="0" applyNumberFormat="1" applyFont="1" applyFill="1" applyAlignment="1">
      <alignment horizontal="left" vertical="top" wrapText="1"/>
    </xf>
    <xf numFmtId="0" fontId="34" fillId="3" borderId="1" xfId="0" applyFont="1" applyFill="1" applyBorder="1" applyAlignment="1">
      <alignment horizontal="center" vertical="center"/>
    </xf>
    <xf numFmtId="0" fontId="29" fillId="0" borderId="0" xfId="0" applyFont="1" applyFill="1" applyAlignment="1">
      <alignment horizontal="center" vertical="center"/>
    </xf>
    <xf numFmtId="0" fontId="29" fillId="3" borderId="0" xfId="0" applyFont="1" applyFill="1" applyAlignment="1">
      <alignment horizontal="left" vertical="top" wrapText="1"/>
    </xf>
    <xf numFmtId="49" fontId="45" fillId="5" borderId="1" xfId="0" applyNumberFormat="1" applyFont="1" applyFill="1" applyBorder="1" applyAlignment="1" applyProtection="1">
      <alignment horizontal="center" vertical="center" wrapText="1"/>
    </xf>
    <xf numFmtId="0" fontId="38" fillId="3" borderId="4" xfId="2" applyNumberFormat="1" applyFont="1" applyFill="1" applyBorder="1" applyAlignment="1" applyProtection="1">
      <alignment horizontal="center" vertical="center" wrapText="1"/>
    </xf>
    <xf numFmtId="0" fontId="38" fillId="3" borderId="5" xfId="2" applyNumberFormat="1" applyFont="1" applyFill="1" applyBorder="1" applyAlignment="1" applyProtection="1">
      <alignment horizontal="center" vertical="center" wrapText="1"/>
    </xf>
    <xf numFmtId="0" fontId="57" fillId="3" borderId="0" xfId="0" applyFont="1" applyFill="1" applyAlignment="1">
      <alignment horizontal="center" vertical="center" wrapText="1"/>
    </xf>
    <xf numFmtId="0" fontId="42" fillId="5" borderId="4" xfId="6" applyFont="1" applyFill="1" applyBorder="1" applyAlignment="1">
      <alignment horizontal="center" vertical="center" wrapText="1"/>
    </xf>
    <xf numFmtId="0" fontId="42" fillId="5" borderId="5" xfId="6" applyFont="1" applyFill="1" applyBorder="1" applyAlignment="1">
      <alignment horizontal="center" vertical="center" wrapText="1"/>
    </xf>
    <xf numFmtId="0" fontId="42" fillId="5" borderId="2" xfId="6" applyFont="1" applyFill="1" applyBorder="1" applyAlignment="1">
      <alignment horizontal="center" vertical="center" wrapText="1"/>
    </xf>
    <xf numFmtId="0" fontId="42" fillId="5" borderId="3" xfId="6" applyFont="1" applyFill="1" applyBorder="1" applyAlignment="1">
      <alignment horizontal="center" vertical="center" wrapText="1"/>
    </xf>
    <xf numFmtId="0" fontId="37" fillId="5" borderId="4" xfId="6" applyNumberFormat="1" applyFont="1" applyFill="1" applyBorder="1" applyAlignment="1" applyProtection="1">
      <alignment horizontal="center" vertical="center" wrapText="1"/>
    </xf>
    <xf numFmtId="0" fontId="37" fillId="5" borderId="5" xfId="6" applyNumberFormat="1" applyFont="1" applyFill="1" applyBorder="1" applyAlignment="1" applyProtection="1">
      <alignment horizontal="center" vertical="center" wrapText="1"/>
    </xf>
    <xf numFmtId="0" fontId="30" fillId="3" borderId="0" xfId="0" applyFont="1" applyFill="1" applyAlignment="1">
      <alignment horizontal="left" vertical="center"/>
    </xf>
    <xf numFmtId="0" fontId="32" fillId="3" borderId="0" xfId="0" applyFont="1" applyFill="1" applyAlignment="1">
      <alignment horizontal="left" vertical="center" wrapText="1"/>
    </xf>
    <xf numFmtId="0" fontId="46" fillId="3" borderId="0" xfId="0" applyFont="1" applyFill="1" applyAlignment="1">
      <alignment horizontal="left" vertical="center" wrapText="1"/>
    </xf>
  </cellXfs>
  <cellStyles count="128">
    <cellStyle name="Comma" xfId="1" builtinId="3"/>
    <cellStyle name="Comma 10" xfId="11"/>
    <cellStyle name="Comma 11" xfId="19"/>
    <cellStyle name="Comma 12" xfId="12"/>
    <cellStyle name="Comma 14" xfId="45"/>
    <cellStyle name="Comma 2" xfId="7"/>
    <cellStyle name="Comma 2 2" xfId="9"/>
    <cellStyle name="Comma 2 3" xfId="24"/>
    <cellStyle name="Comma 3" xfId="25"/>
    <cellStyle name="Currency [0] 2" xfId="2"/>
    <cellStyle name="Hyperlink" xfId="3" builtinId="8"/>
    <cellStyle name="Normal" xfId="0" builtinId="0"/>
    <cellStyle name="Normal 10" xfId="21"/>
    <cellStyle name="Normal 101" xfId="68"/>
    <cellStyle name="Normal 102" xfId="70"/>
    <cellStyle name="Normal 105" xfId="16"/>
    <cellStyle name="Normal 106" xfId="71"/>
    <cellStyle name="Normal 107" xfId="72"/>
    <cellStyle name="Normal 108" xfId="73"/>
    <cellStyle name="Normal 109" xfId="75"/>
    <cellStyle name="Normal 11" xfId="26"/>
    <cellStyle name="Normal 110" xfId="76"/>
    <cellStyle name="Normal 112" xfId="49"/>
    <cellStyle name="Normal 113" xfId="50"/>
    <cellStyle name="Normal 114" xfId="51"/>
    <cellStyle name="Normal 117" xfId="55"/>
    <cellStyle name="Normal 118" xfId="56"/>
    <cellStyle name="Normal 119" xfId="57"/>
    <cellStyle name="Normal 12" xfId="27"/>
    <cellStyle name="Normal 122" xfId="77"/>
    <cellStyle name="Normal 123" xfId="78"/>
    <cellStyle name="Normal 126" xfId="82"/>
    <cellStyle name="Normal 127" xfId="83"/>
    <cellStyle name="Normal 13" xfId="28"/>
    <cellStyle name="Normal 130" xfId="87"/>
    <cellStyle name="Normal 131" xfId="88"/>
    <cellStyle name="Normal 135" xfId="120"/>
    <cellStyle name="Normal 136" xfId="121"/>
    <cellStyle name="Normal 139" xfId="94"/>
    <cellStyle name="Normal 14" xfId="23"/>
    <cellStyle name="Normal 140" xfId="95"/>
    <cellStyle name="Normal 143" xfId="98"/>
    <cellStyle name="Normal 144" xfId="99"/>
    <cellStyle name="Normal 147" xfId="111"/>
    <cellStyle name="Normal 148" xfId="112"/>
    <cellStyle name="Normal 149" xfId="113"/>
    <cellStyle name="Normal 15" xfId="22"/>
    <cellStyle name="Normal 153" xfId="116"/>
    <cellStyle name="Normal 154" xfId="117"/>
    <cellStyle name="Normal 158" xfId="48"/>
    <cellStyle name="Normal 16" xfId="46"/>
    <cellStyle name="Normal 161" xfId="65"/>
    <cellStyle name="Normal 162" xfId="74"/>
    <cellStyle name="Normal 163" xfId="63"/>
    <cellStyle name="Normal 164" xfId="64"/>
    <cellStyle name="Normal 165" xfId="54"/>
    <cellStyle name="Normal 166" xfId="60"/>
    <cellStyle name="Normal 167" xfId="52"/>
    <cellStyle name="Normal 168" xfId="53"/>
    <cellStyle name="Normal 169" xfId="58"/>
    <cellStyle name="Normal 17" xfId="34"/>
    <cellStyle name="Normal 170" xfId="59"/>
    <cellStyle name="Normal 171" xfId="81"/>
    <cellStyle name="Normal 172" xfId="79"/>
    <cellStyle name="Normal 173" xfId="80"/>
    <cellStyle name="Normal 174" xfId="86"/>
    <cellStyle name="Normal 175" xfId="84"/>
    <cellStyle name="Normal 176" xfId="85"/>
    <cellStyle name="Normal 177" xfId="91"/>
    <cellStyle name="Normal 178" xfId="89"/>
    <cellStyle name="Normal 179" xfId="90"/>
    <cellStyle name="Normal 18" xfId="33"/>
    <cellStyle name="Normal 180" xfId="93"/>
    <cellStyle name="Normal 181" xfId="92"/>
    <cellStyle name="Normal 182" xfId="97"/>
    <cellStyle name="Normal 184" xfId="96"/>
    <cellStyle name="Normal 186" xfId="100"/>
    <cellStyle name="Normal 187" xfId="102"/>
    <cellStyle name="Normal 188" xfId="101"/>
    <cellStyle name="Normal 189" xfId="104"/>
    <cellStyle name="Normal 19" xfId="37"/>
    <cellStyle name="Normal 190" xfId="103"/>
    <cellStyle name="Normal 191" xfId="106"/>
    <cellStyle name="Normal 193" xfId="105"/>
    <cellStyle name="Normal 194" xfId="108"/>
    <cellStyle name="Normal 195" xfId="107"/>
    <cellStyle name="Normal 196" xfId="110"/>
    <cellStyle name="Normal 197" xfId="109"/>
    <cellStyle name="Normal 198" xfId="123"/>
    <cellStyle name="Normal 2" xfId="4"/>
    <cellStyle name="Normal 2 2" xfId="47"/>
    <cellStyle name="Normal 201" xfId="122"/>
    <cellStyle name="Normal 202" xfId="124"/>
    <cellStyle name="Normal 203" xfId="125"/>
    <cellStyle name="Normal 204" xfId="126"/>
    <cellStyle name="Normal 206" xfId="127"/>
    <cellStyle name="Normal 207" xfId="115"/>
    <cellStyle name="Normal 208" xfId="114"/>
    <cellStyle name="Normal 209" xfId="119"/>
    <cellStyle name="Normal 21" xfId="36"/>
    <cellStyle name="Normal 210" xfId="118"/>
    <cellStyle name="Normal 22" xfId="35"/>
    <cellStyle name="Normal 23" xfId="39"/>
    <cellStyle name="Normal 24" xfId="40"/>
    <cellStyle name="Normal 26" xfId="38"/>
    <cellStyle name="Normal 27" xfId="43"/>
    <cellStyle name="Normal 28" xfId="42"/>
    <cellStyle name="Normal 29" xfId="41"/>
    <cellStyle name="Normal 3" xfId="6"/>
    <cellStyle name="Normal 3 2" xfId="20"/>
    <cellStyle name="Normal 4" xfId="13"/>
    <cellStyle name="Normal 5" xfId="14"/>
    <cellStyle name="Normal 6" xfId="15"/>
    <cellStyle name="Normal 7" xfId="17"/>
    <cellStyle name="Normal 8" xfId="18"/>
    <cellStyle name="Normal 8 3" xfId="44"/>
    <cellStyle name="Normal 81" xfId="66"/>
    <cellStyle name="Normal 85" xfId="67"/>
    <cellStyle name="Normal 87" xfId="69"/>
    <cellStyle name="Normal 9" xfId="29"/>
    <cellStyle name="Normal 97" xfId="61"/>
    <cellStyle name="Normal 98" xfId="62"/>
    <cellStyle name="Normal_Bao cao tai chinh 280405" xfId="10"/>
    <cellStyle name="OddStyleFINAL_BALANCE" xfId="30"/>
    <cellStyle name="OddStyleFULL_NAME" xfId="31"/>
    <cellStyle name="OddStyleRATE" xfId="32"/>
    <cellStyle name="Percent" xfId="5" builtinId="5"/>
    <cellStyle name="Percent 2" xfId="8"/>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1828800</xdr:colOff>
      <xdr:row>2</xdr:row>
      <xdr:rowOff>76200</xdr:rowOff>
    </xdr:to>
    <xdr:pic>
      <xdr:nvPicPr>
        <xdr:cNvPr id="62466" name="Picture 2">
          <a:extLst>
            <a:ext uri="{FF2B5EF4-FFF2-40B4-BE49-F238E27FC236}">
              <a16:creationId xmlns:a16="http://schemas.microsoft.com/office/drawing/2014/main" id="{00000000-0008-0000-0300-000002F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28800" cy="7239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1</xdr:col>
      <xdr:colOff>1133475</xdr:colOff>
      <xdr:row>1</xdr:row>
      <xdr:rowOff>335756</xdr:rowOff>
    </xdr:to>
    <xdr:pic>
      <xdr:nvPicPr>
        <xdr:cNvPr id="61442" name="Picture 2">
          <a:extLst>
            <a:ext uri="{FF2B5EF4-FFF2-40B4-BE49-F238E27FC236}">
              <a16:creationId xmlns:a16="http://schemas.microsoft.com/office/drawing/2014/main" id="{00000000-0008-0000-0400-000002F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0"/>
          <a:ext cx="1714500" cy="678656"/>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0</xdr:row>
      <xdr:rowOff>19050</xdr:rowOff>
    </xdr:from>
    <xdr:to>
      <xdr:col>0</xdr:col>
      <xdr:colOff>1704975</xdr:colOff>
      <xdr:row>1</xdr:row>
      <xdr:rowOff>276820</xdr:rowOff>
    </xdr:to>
    <xdr:pic>
      <xdr:nvPicPr>
        <xdr:cNvPr id="34822" name="Picture 6">
          <a:extLst>
            <a:ext uri="{FF2B5EF4-FFF2-40B4-BE49-F238E27FC236}">
              <a16:creationId xmlns:a16="http://schemas.microsoft.com/office/drawing/2014/main" id="{00000000-0008-0000-0500-0000068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28650" y="19050"/>
          <a:ext cx="1685925" cy="66734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67236</xdr:colOff>
      <xdr:row>0</xdr:row>
      <xdr:rowOff>56030</xdr:rowOff>
    </xdr:from>
    <xdr:to>
      <xdr:col>1</xdr:col>
      <xdr:colOff>1276884</xdr:colOff>
      <xdr:row>2</xdr:row>
      <xdr:rowOff>56030</xdr:rowOff>
    </xdr:to>
    <xdr:pic>
      <xdr:nvPicPr>
        <xdr:cNvPr id="3" name="Picture 6">
          <a:extLst>
            <a:ext uri="{FF2B5EF4-FFF2-40B4-BE49-F238E27FC236}">
              <a16:creationId xmlns:a16="http://schemas.microsoft.com/office/drawing/2014/main" id="{8F90B759-B406-40CD-BC4B-D19827FB6942}"/>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7236" y="56030"/>
          <a:ext cx="1557030" cy="616324"/>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983317</xdr:colOff>
      <xdr:row>1</xdr:row>
      <xdr:rowOff>304204</xdr:rowOff>
    </xdr:to>
    <xdr:pic>
      <xdr:nvPicPr>
        <xdr:cNvPr id="6148" name="Picture 4">
          <a:extLst>
            <a:ext uri="{FF2B5EF4-FFF2-40B4-BE49-F238E27FC236}">
              <a16:creationId xmlns:a16="http://schemas.microsoft.com/office/drawing/2014/main" id="{00000000-0008-0000-0700-0000041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14475" cy="599479"/>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52915</xdr:colOff>
      <xdr:row>0</xdr:row>
      <xdr:rowOff>42332</xdr:rowOff>
    </xdr:from>
    <xdr:to>
      <xdr:col>1</xdr:col>
      <xdr:colOff>963082</xdr:colOff>
      <xdr:row>1</xdr:row>
      <xdr:rowOff>410632</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52915" y="42332"/>
          <a:ext cx="1519767" cy="777875"/>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1181100</xdr:colOff>
      <xdr:row>1</xdr:row>
      <xdr:rowOff>283171</xdr:rowOff>
    </xdr:to>
    <xdr:pic>
      <xdr:nvPicPr>
        <xdr:cNvPr id="64514" name="Picture 2">
          <a:extLst>
            <a:ext uri="{FF2B5EF4-FFF2-40B4-BE49-F238E27FC236}">
              <a16:creationId xmlns:a16="http://schemas.microsoft.com/office/drawing/2014/main" id="{00000000-0008-0000-0900-000002F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533525" cy="607020"/>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952500</xdr:colOff>
      <xdr:row>1</xdr:row>
      <xdr:rowOff>327197</xdr:rowOff>
    </xdr:to>
    <xdr:pic>
      <xdr:nvPicPr>
        <xdr:cNvPr id="39939" name="Picture 3">
          <a:extLst>
            <a:ext uri="{FF2B5EF4-FFF2-40B4-BE49-F238E27FC236}">
              <a16:creationId xmlns:a16="http://schemas.microsoft.com/office/drawing/2014/main" id="{00000000-0008-0000-0C00-0000039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57618" cy="618550"/>
        </a:xfrm>
        <a:prstGeom prst="rect">
          <a:avLst/>
        </a:prstGeom>
        <a:noFill/>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2</xdr:col>
      <xdr:colOff>857251</xdr:colOff>
      <xdr:row>1</xdr:row>
      <xdr:rowOff>236142</xdr:rowOff>
    </xdr:to>
    <xdr:pic>
      <xdr:nvPicPr>
        <xdr:cNvPr id="65538" name="Picture 2">
          <a:extLst>
            <a:ext uri="{FF2B5EF4-FFF2-40B4-BE49-F238E27FC236}">
              <a16:creationId xmlns:a16="http://schemas.microsoft.com/office/drawing/2014/main" id="{00000000-0008-0000-0A00-0000020001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1"/>
          <a:ext cx="1390650" cy="550466"/>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1257300</xdr:colOff>
      <xdr:row>1</xdr:row>
      <xdr:rowOff>130572</xdr:rowOff>
    </xdr:to>
    <xdr:pic>
      <xdr:nvPicPr>
        <xdr:cNvPr id="66562" name="Picture 2">
          <a:extLst>
            <a:ext uri="{FF2B5EF4-FFF2-40B4-BE49-F238E27FC236}">
              <a16:creationId xmlns:a16="http://schemas.microsoft.com/office/drawing/2014/main" id="{00000000-0008-0000-0B00-0000020401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81150" cy="625872"/>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75"/>
  <sheetViews>
    <sheetView view="pageBreakPreview" zoomScaleNormal="100" zoomScaleSheetLayoutView="100" workbookViewId="0">
      <selection activeCell="C1" sqref="C1"/>
    </sheetView>
  </sheetViews>
  <sheetFormatPr defaultColWidth="9.26953125" defaultRowHeight="14"/>
  <cols>
    <col min="1" max="2" width="9.26953125" style="1"/>
    <col min="3" max="3" width="25.54296875" style="1" customWidth="1"/>
    <col min="4" max="4" width="30.7265625" style="1" customWidth="1"/>
    <col min="5" max="5" width="21.26953125" style="1" customWidth="1"/>
    <col min="6" max="9" width="9.26953125" style="1"/>
    <col min="10" max="10" width="11.7265625" style="1" customWidth="1"/>
    <col min="11" max="16384" width="9.26953125" style="1"/>
  </cols>
  <sheetData>
    <row r="1" spans="1:10">
      <c r="A1" s="126" t="s">
        <v>452</v>
      </c>
      <c r="C1" s="127" t="s">
        <v>976</v>
      </c>
      <c r="D1" s="2"/>
    </row>
    <row r="2" spans="1:10">
      <c r="C2" s="128" t="s">
        <v>977</v>
      </c>
      <c r="D2" s="2"/>
    </row>
    <row r="3" spans="1:10">
      <c r="D3" s="2"/>
    </row>
    <row r="4" spans="1:10">
      <c r="A4" s="126" t="s">
        <v>453</v>
      </c>
      <c r="D4" s="2"/>
    </row>
    <row r="5" spans="1:10">
      <c r="C5" s="129" t="s">
        <v>454</v>
      </c>
      <c r="D5" s="415" t="s">
        <v>464</v>
      </c>
      <c r="E5" s="416"/>
      <c r="F5" s="416"/>
      <c r="G5" s="416"/>
      <c r="H5" s="115"/>
      <c r="I5" s="115"/>
    </row>
    <row r="6" spans="1:10">
      <c r="C6" s="130" t="s">
        <v>932</v>
      </c>
      <c r="D6" s="416" t="s">
        <v>598</v>
      </c>
      <c r="E6" s="416"/>
      <c r="F6" s="416"/>
      <c r="G6" s="416"/>
      <c r="H6" s="115"/>
      <c r="I6" s="115"/>
    </row>
    <row r="7" spans="1:10" s="6" customFormat="1" ht="24.75" customHeight="1">
      <c r="C7" s="131" t="s">
        <v>455</v>
      </c>
      <c r="D7" s="417" t="s">
        <v>456</v>
      </c>
      <c r="E7" s="417"/>
      <c r="F7" s="417"/>
      <c r="G7" s="417"/>
      <c r="H7" s="417"/>
      <c r="I7" s="417"/>
    </row>
    <row r="8" spans="1:10">
      <c r="C8" s="19" t="s">
        <v>457</v>
      </c>
      <c r="D8" s="416" t="s">
        <v>458</v>
      </c>
      <c r="E8" s="416"/>
      <c r="F8" s="416"/>
      <c r="G8" s="416"/>
      <c r="H8" s="122"/>
      <c r="I8" s="122"/>
    </row>
    <row r="9" spans="1:10">
      <c r="C9" s="131" t="s">
        <v>391</v>
      </c>
      <c r="D9" s="418" t="s">
        <v>489</v>
      </c>
      <c r="E9" s="418"/>
      <c r="F9" s="418"/>
      <c r="G9" s="418"/>
      <c r="H9" s="115"/>
      <c r="I9" s="115"/>
    </row>
    <row r="10" spans="1:10" ht="15" customHeight="1">
      <c r="C10" s="115" t="s">
        <v>389</v>
      </c>
      <c r="D10" s="416" t="s">
        <v>488</v>
      </c>
      <c r="E10" s="416"/>
      <c r="F10" s="416"/>
      <c r="G10" s="416"/>
      <c r="H10" s="123"/>
      <c r="I10" s="123"/>
    </row>
    <row r="11" spans="1:10">
      <c r="C11" s="20" t="s">
        <v>138</v>
      </c>
      <c r="D11" s="412" t="s">
        <v>1018</v>
      </c>
      <c r="E11" s="413"/>
      <c r="F11" s="413"/>
      <c r="G11" s="413"/>
      <c r="H11" s="413"/>
      <c r="I11" s="413"/>
    </row>
    <row r="12" spans="1:10">
      <c r="C12" s="21" t="s">
        <v>139</v>
      </c>
      <c r="D12" s="414">
        <v>43655</v>
      </c>
      <c r="E12" s="414"/>
      <c r="F12" s="414"/>
      <c r="G12" s="414"/>
      <c r="H12" s="414"/>
      <c r="I12" s="414"/>
    </row>
    <row r="13" spans="1:10">
      <c r="D13" s="2"/>
    </row>
    <row r="14" spans="1:10">
      <c r="A14" s="126" t="s">
        <v>459</v>
      </c>
      <c r="D14" s="2"/>
    </row>
    <row r="15" spans="1:10">
      <c r="D15" s="2"/>
    </row>
    <row r="16" spans="1:10" ht="25">
      <c r="C16" s="132" t="s">
        <v>178</v>
      </c>
      <c r="D16" s="133"/>
      <c r="F16" s="134" t="s">
        <v>179</v>
      </c>
      <c r="G16" s="135"/>
      <c r="H16" s="135"/>
      <c r="I16" s="135"/>
      <c r="J16" s="136"/>
    </row>
    <row r="17" spans="3:10">
      <c r="C17" s="137" t="s">
        <v>180</v>
      </c>
      <c r="D17" s="138"/>
      <c r="F17" s="137" t="s">
        <v>181</v>
      </c>
      <c r="G17" s="139"/>
      <c r="H17" s="139"/>
      <c r="I17" s="139"/>
      <c r="J17" s="140"/>
    </row>
    <row r="18" spans="3:10">
      <c r="C18" s="141"/>
      <c r="D18" s="138"/>
      <c r="F18" s="141"/>
      <c r="G18" s="139"/>
      <c r="H18" s="139"/>
      <c r="I18" s="139"/>
      <c r="J18" s="140"/>
    </row>
    <row r="19" spans="3:10">
      <c r="C19" s="142" t="s">
        <v>182</v>
      </c>
      <c r="D19" s="138"/>
      <c r="F19" s="142" t="s">
        <v>465</v>
      </c>
      <c r="G19" s="139"/>
      <c r="H19" s="139"/>
      <c r="I19" s="139"/>
      <c r="J19" s="140"/>
    </row>
    <row r="20" spans="3:10">
      <c r="C20" s="142" t="s">
        <v>965</v>
      </c>
      <c r="D20" s="138"/>
      <c r="F20" s="142" t="s">
        <v>466</v>
      </c>
      <c r="G20" s="139"/>
      <c r="H20" s="139"/>
      <c r="I20" s="139"/>
      <c r="J20" s="140"/>
    </row>
    <row r="21" spans="3:10">
      <c r="C21" s="143" t="s">
        <v>966</v>
      </c>
      <c r="D21" s="144"/>
      <c r="F21" s="143" t="s">
        <v>467</v>
      </c>
      <c r="G21" s="145"/>
      <c r="H21" s="145"/>
      <c r="I21" s="145"/>
      <c r="J21" s="146"/>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4" t="s">
        <v>54</v>
      </c>
      <c r="C34" s="14" t="s">
        <v>55</v>
      </c>
      <c r="D34" s="14" t="s">
        <v>56</v>
      </c>
    </row>
    <row r="35" spans="2:12" s="6" customFormat="1" ht="14.5">
      <c r="B35" s="15">
        <v>1</v>
      </c>
      <c r="C35" s="16" t="s">
        <v>59</v>
      </c>
      <c r="D35" s="17" t="s">
        <v>61</v>
      </c>
    </row>
    <row r="36" spans="2:12" s="6" customFormat="1" ht="28">
      <c r="B36" s="15">
        <v>2</v>
      </c>
      <c r="C36" s="16" t="s">
        <v>60</v>
      </c>
      <c r="D36" s="17" t="s">
        <v>57</v>
      </c>
    </row>
    <row r="37" spans="2:12" s="6" customFormat="1" ht="14.5">
      <c r="B37" s="15">
        <v>3</v>
      </c>
      <c r="C37" s="16" t="s">
        <v>58</v>
      </c>
      <c r="D37" s="17" t="s">
        <v>62</v>
      </c>
      <c r="J37" s="7"/>
      <c r="K37" s="8"/>
      <c r="L37" s="9"/>
    </row>
    <row r="38" spans="2:12" ht="14.5">
      <c r="B38" s="15">
        <v>4</v>
      </c>
      <c r="C38" s="15" t="s">
        <v>124</v>
      </c>
      <c r="D38" s="17" t="s">
        <v>125</v>
      </c>
      <c r="J38" s="3"/>
      <c r="K38" s="4"/>
      <c r="L38" s="5"/>
    </row>
    <row r="39" spans="2:12" ht="14.5">
      <c r="B39" s="15">
        <v>5</v>
      </c>
      <c r="C39" s="15" t="s">
        <v>126</v>
      </c>
      <c r="D39" s="17" t="s">
        <v>127</v>
      </c>
    </row>
    <row r="40" spans="2:12" ht="14.5">
      <c r="B40" s="15">
        <v>6</v>
      </c>
      <c r="C40" s="15" t="s">
        <v>128</v>
      </c>
      <c r="D40" s="17" t="s">
        <v>129</v>
      </c>
    </row>
    <row r="41" spans="2:12" ht="14.5">
      <c r="B41" s="15">
        <v>7</v>
      </c>
      <c r="C41" s="15" t="s">
        <v>130</v>
      </c>
      <c r="D41" s="17" t="s">
        <v>131</v>
      </c>
    </row>
    <row r="42" spans="2:12" ht="14.5">
      <c r="B42" s="15">
        <v>8</v>
      </c>
      <c r="C42" s="15" t="s">
        <v>132</v>
      </c>
      <c r="D42" s="17" t="s">
        <v>134</v>
      </c>
    </row>
    <row r="43" spans="2:12" ht="14.5">
      <c r="B43" s="15">
        <v>9</v>
      </c>
      <c r="C43" s="15" t="s">
        <v>133</v>
      </c>
      <c r="D43" s="17" t="s">
        <v>135</v>
      </c>
    </row>
    <row r="44" spans="2:12">
      <c r="B44" s="114">
        <v>10</v>
      </c>
      <c r="C44" s="1" t="s">
        <v>363</v>
      </c>
    </row>
    <row r="48" spans="2:12">
      <c r="B48" s="1" t="s">
        <v>410</v>
      </c>
    </row>
    <row r="50" spans="2:6">
      <c r="B50" s="120"/>
      <c r="C50" s="120"/>
      <c r="D50" s="120" t="s">
        <v>442</v>
      </c>
      <c r="E50" s="120" t="s">
        <v>436</v>
      </c>
      <c r="F50" s="120"/>
    </row>
    <row r="51" spans="2:6">
      <c r="B51" s="1" t="s">
        <v>411</v>
      </c>
      <c r="C51" s="1" t="s">
        <v>392</v>
      </c>
      <c r="D51" s="118" t="s">
        <v>435</v>
      </c>
    </row>
    <row r="52" spans="2:6">
      <c r="B52" s="1" t="s">
        <v>412</v>
      </c>
      <c r="C52" s="1" t="s">
        <v>365</v>
      </c>
      <c r="D52" s="118" t="s">
        <v>435</v>
      </c>
    </row>
    <row r="53" spans="2:6">
      <c r="B53" s="1" t="s">
        <v>413</v>
      </c>
      <c r="C53" s="1" t="s">
        <v>393</v>
      </c>
      <c r="D53" s="119" t="s">
        <v>441</v>
      </c>
      <c r="E53" s="1" t="s">
        <v>437</v>
      </c>
    </row>
    <row r="54" spans="2:6">
      <c r="B54" s="1" t="s">
        <v>414</v>
      </c>
      <c r="C54" s="1" t="s">
        <v>394</v>
      </c>
      <c r="D54" s="119" t="s">
        <v>402</v>
      </c>
      <c r="E54" s="1" t="s">
        <v>438</v>
      </c>
    </row>
    <row r="55" spans="2:6">
      <c r="B55" s="1" t="s">
        <v>415</v>
      </c>
      <c r="C55" s="1" t="s">
        <v>395</v>
      </c>
      <c r="D55" s="119" t="s">
        <v>402</v>
      </c>
      <c r="E55" s="1" t="s">
        <v>438</v>
      </c>
    </row>
    <row r="56" spans="2:6">
      <c r="B56" s="1" t="s">
        <v>416</v>
      </c>
      <c r="C56" s="1" t="s">
        <v>396</v>
      </c>
      <c r="D56" s="119" t="s">
        <v>402</v>
      </c>
      <c r="E56" s="1" t="s">
        <v>439</v>
      </c>
    </row>
    <row r="57" spans="2:6">
      <c r="B57" s="1" t="s">
        <v>417</v>
      </c>
      <c r="C57" s="1" t="s">
        <v>360</v>
      </c>
      <c r="D57" s="119" t="s">
        <v>402</v>
      </c>
      <c r="E57" s="1" t="s">
        <v>440</v>
      </c>
    </row>
    <row r="58" spans="2:6">
      <c r="B58" s="1" t="s">
        <v>418</v>
      </c>
      <c r="C58" s="1" t="s">
        <v>361</v>
      </c>
      <c r="D58" s="119" t="s">
        <v>402</v>
      </c>
      <c r="E58" s="1" t="s">
        <v>443</v>
      </c>
    </row>
    <row r="59" spans="2:6">
      <c r="B59" s="1" t="s">
        <v>419</v>
      </c>
      <c r="C59" s="1" t="s">
        <v>362</v>
      </c>
      <c r="D59" s="119" t="s">
        <v>402</v>
      </c>
      <c r="E59" s="1" t="s">
        <v>439</v>
      </c>
    </row>
    <row r="60" spans="2:6">
      <c r="B60" s="1" t="s">
        <v>420</v>
      </c>
      <c r="C60" s="1" t="s">
        <v>397</v>
      </c>
      <c r="D60" s="119" t="s">
        <v>402</v>
      </c>
      <c r="E60" s="1" t="s">
        <v>439</v>
      </c>
    </row>
    <row r="61" spans="2:6">
      <c r="B61" s="1" t="s">
        <v>421</v>
      </c>
      <c r="C61" s="1" t="s">
        <v>364</v>
      </c>
      <c r="D61" s="118" t="s">
        <v>435</v>
      </c>
      <c r="E61" s="1" t="s">
        <v>444</v>
      </c>
    </row>
    <row r="62" spans="2:6">
      <c r="B62" s="1" t="s">
        <v>422</v>
      </c>
      <c r="C62" s="1" t="s">
        <v>398</v>
      </c>
      <c r="D62" s="118" t="s">
        <v>435</v>
      </c>
    </row>
    <row r="63" spans="2:6">
      <c r="B63" s="1" t="s">
        <v>423</v>
      </c>
      <c r="C63" s="1" t="s">
        <v>359</v>
      </c>
      <c r="D63" s="118" t="s">
        <v>435</v>
      </c>
    </row>
    <row r="64" spans="2:6">
      <c r="B64" s="1" t="s">
        <v>424</v>
      </c>
      <c r="C64" s="1" t="s">
        <v>399</v>
      </c>
      <c r="D64" s="118" t="s">
        <v>435</v>
      </c>
      <c r="E64" s="1" t="s">
        <v>445</v>
      </c>
    </row>
    <row r="65" spans="2:5">
      <c r="B65" s="1" t="s">
        <v>425</v>
      </c>
      <c r="C65" s="1" t="s">
        <v>400</v>
      </c>
      <c r="D65" s="118" t="s">
        <v>435</v>
      </c>
      <c r="E65" s="1" t="s">
        <v>446</v>
      </c>
    </row>
    <row r="66" spans="2:5">
      <c r="B66" s="1" t="s">
        <v>426</v>
      </c>
      <c r="C66" s="1" t="s">
        <v>401</v>
      </c>
      <c r="D66" s="118" t="s">
        <v>435</v>
      </c>
    </row>
    <row r="67" spans="2:5">
      <c r="B67" s="1" t="s">
        <v>427</v>
      </c>
      <c r="C67" s="1" t="s">
        <v>403</v>
      </c>
      <c r="D67" s="119" t="s">
        <v>402</v>
      </c>
      <c r="E67" s="1" t="s">
        <v>447</v>
      </c>
    </row>
    <row r="68" spans="2:5">
      <c r="B68" s="1" t="s">
        <v>428</v>
      </c>
      <c r="C68" s="1" t="s">
        <v>366</v>
      </c>
      <c r="D68" s="119" t="s">
        <v>402</v>
      </c>
      <c r="E68" s="1" t="s">
        <v>447</v>
      </c>
    </row>
    <row r="69" spans="2:5">
      <c r="B69" s="1" t="s">
        <v>429</v>
      </c>
      <c r="C69" s="1" t="s">
        <v>404</v>
      </c>
      <c r="D69" s="119" t="s">
        <v>402</v>
      </c>
      <c r="E69" s="1" t="s">
        <v>439</v>
      </c>
    </row>
    <row r="70" spans="2:5">
      <c r="B70" s="1" t="s">
        <v>430</v>
      </c>
      <c r="C70" s="1" t="s">
        <v>405</v>
      </c>
      <c r="D70" s="119" t="s">
        <v>402</v>
      </c>
      <c r="E70" s="1" t="s">
        <v>439</v>
      </c>
    </row>
    <row r="71" spans="2:5">
      <c r="B71" s="1" t="s">
        <v>431</v>
      </c>
      <c r="C71" s="1" t="s">
        <v>406</v>
      </c>
      <c r="D71" s="118" t="s">
        <v>435</v>
      </c>
      <c r="E71" s="1" t="s">
        <v>448</v>
      </c>
    </row>
    <row r="72" spans="2:5">
      <c r="B72" s="1" t="s">
        <v>432</v>
      </c>
      <c r="C72" s="1" t="s">
        <v>407</v>
      </c>
      <c r="D72" s="119" t="s">
        <v>402</v>
      </c>
      <c r="E72" s="1" t="s">
        <v>449</v>
      </c>
    </row>
    <row r="73" spans="2:5">
      <c r="B73" s="1" t="s">
        <v>433</v>
      </c>
      <c r="C73" s="1" t="s">
        <v>408</v>
      </c>
      <c r="D73" s="119" t="s">
        <v>402</v>
      </c>
      <c r="E73" s="1" t="s">
        <v>450</v>
      </c>
    </row>
    <row r="74" spans="2:5">
      <c r="B74" s="1" t="s">
        <v>434</v>
      </c>
      <c r="C74" s="1" t="s">
        <v>409</v>
      </c>
      <c r="D74" s="119" t="s">
        <v>402</v>
      </c>
      <c r="E74" s="1" t="s">
        <v>451</v>
      </c>
    </row>
    <row r="75" spans="2:5">
      <c r="D75" s="119"/>
    </row>
  </sheetData>
  <mergeCells count="8">
    <mergeCell ref="D11:I11"/>
    <mergeCell ref="D12:I12"/>
    <mergeCell ref="D5:G5"/>
    <mergeCell ref="D6:G6"/>
    <mergeCell ref="D7:I7"/>
    <mergeCell ref="D8:G8"/>
    <mergeCell ref="D9:G9"/>
    <mergeCell ref="D10:G10"/>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paperSize="9" scale="5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G96"/>
  <sheetViews>
    <sheetView showGridLines="0" view="pageBreakPreview" topLeftCell="A73" zoomScale="85" zoomScaleNormal="100" zoomScaleSheetLayoutView="85" workbookViewId="0">
      <selection activeCell="A79" sqref="A79"/>
    </sheetView>
  </sheetViews>
  <sheetFormatPr defaultColWidth="9.26953125" defaultRowHeight="12.5"/>
  <cols>
    <col min="1" max="1" width="55.7265625" style="29" customWidth="1"/>
    <col min="2" max="2" width="9.54296875" style="29" customWidth="1"/>
    <col min="3" max="3" width="9.26953125" style="29"/>
    <col min="4" max="5" width="20" style="29" customWidth="1"/>
    <col min="6" max="6" width="19.26953125" style="29" customWidth="1"/>
    <col min="7" max="7" width="19.26953125" style="29" bestFit="1" customWidth="1"/>
    <col min="8" max="16384" width="9.26953125" style="29"/>
  </cols>
  <sheetData>
    <row r="1" spans="1:7" ht="23.25" customHeight="1">
      <c r="A1" s="424" t="s">
        <v>941</v>
      </c>
      <c r="B1" s="424"/>
      <c r="C1" s="424"/>
      <c r="D1" s="424"/>
      <c r="E1" s="424"/>
      <c r="F1" s="424"/>
      <c r="G1" s="424"/>
    </row>
    <row r="2" spans="1:7" ht="27.75" customHeight="1">
      <c r="A2" s="425" t="s">
        <v>136</v>
      </c>
      <c r="B2" s="425"/>
      <c r="C2" s="425"/>
      <c r="D2" s="425"/>
      <c r="E2" s="425"/>
      <c r="F2" s="425"/>
      <c r="G2" s="425"/>
    </row>
    <row r="3" spans="1:7" ht="15" customHeight="1">
      <c r="A3" s="426" t="s">
        <v>137</v>
      </c>
      <c r="B3" s="426"/>
      <c r="C3" s="426"/>
      <c r="D3" s="426"/>
      <c r="E3" s="426"/>
      <c r="F3" s="426"/>
      <c r="G3" s="426"/>
    </row>
    <row r="4" spans="1:7" ht="18.75" customHeight="1">
      <c r="A4" s="426"/>
      <c r="B4" s="426"/>
      <c r="C4" s="426"/>
      <c r="D4" s="426"/>
      <c r="E4" s="426"/>
      <c r="F4" s="426"/>
      <c r="G4" s="426"/>
    </row>
    <row r="5" spans="1:7">
      <c r="A5" s="427" t="s">
        <v>977</v>
      </c>
      <c r="B5" s="427"/>
      <c r="C5" s="427"/>
      <c r="D5" s="427"/>
      <c r="E5" s="427"/>
      <c r="F5" s="427"/>
      <c r="G5" s="427"/>
    </row>
    <row r="6" spans="1:7">
      <c r="A6" s="18"/>
      <c r="B6" s="18"/>
      <c r="C6" s="18"/>
      <c r="D6" s="18"/>
      <c r="E6" s="27"/>
      <c r="F6" s="27"/>
      <c r="G6" s="27"/>
    </row>
    <row r="7" spans="1:7" ht="12.75" customHeight="1">
      <c r="A7" s="129" t="s">
        <v>454</v>
      </c>
      <c r="B7" s="418" t="s">
        <v>464</v>
      </c>
      <c r="C7" s="418"/>
      <c r="D7" s="418"/>
      <c r="E7" s="418"/>
      <c r="F7" s="418"/>
      <c r="G7" s="418"/>
    </row>
    <row r="8" spans="1:7" ht="18" customHeight="1">
      <c r="A8" s="285" t="s">
        <v>932</v>
      </c>
      <c r="B8" s="416" t="s">
        <v>598</v>
      </c>
      <c r="C8" s="416"/>
      <c r="D8" s="416"/>
      <c r="E8" s="416"/>
      <c r="F8" s="416"/>
      <c r="G8" s="416"/>
    </row>
    <row r="9" spans="1:7" ht="17.25" customHeight="1">
      <c r="A9" s="313" t="s">
        <v>455</v>
      </c>
      <c r="B9" s="433" t="s">
        <v>958</v>
      </c>
      <c r="C9" s="433"/>
      <c r="D9" s="433"/>
      <c r="E9" s="433"/>
      <c r="F9" s="433"/>
      <c r="G9" s="433"/>
    </row>
    <row r="10" spans="1:7" ht="12.75" customHeight="1">
      <c r="A10" s="19" t="s">
        <v>457</v>
      </c>
      <c r="B10" s="416" t="s">
        <v>458</v>
      </c>
      <c r="C10" s="416"/>
      <c r="D10" s="416"/>
      <c r="E10" s="416"/>
      <c r="F10" s="416"/>
      <c r="G10" s="416"/>
    </row>
    <row r="11" spans="1:7" ht="12.75" customHeight="1">
      <c r="A11" s="131" t="s">
        <v>391</v>
      </c>
      <c r="B11" s="418" t="s">
        <v>489</v>
      </c>
      <c r="C11" s="418"/>
      <c r="D11" s="418"/>
      <c r="E11" s="418"/>
      <c r="F11" s="418"/>
      <c r="G11" s="418"/>
    </row>
    <row r="12" spans="1:7" ht="12.75" customHeight="1">
      <c r="A12" s="115" t="s">
        <v>389</v>
      </c>
      <c r="B12" s="416" t="s">
        <v>488</v>
      </c>
      <c r="C12" s="416"/>
      <c r="D12" s="416"/>
      <c r="E12" s="416"/>
      <c r="F12" s="416"/>
      <c r="G12" s="416"/>
    </row>
    <row r="13" spans="1:7" ht="12.75" customHeight="1">
      <c r="A13" s="20" t="s">
        <v>138</v>
      </c>
      <c r="B13" s="412" t="s">
        <v>1018</v>
      </c>
      <c r="C13" s="413"/>
      <c r="D13" s="413"/>
      <c r="E13" s="413"/>
      <c r="F13" s="413"/>
      <c r="G13" s="413"/>
    </row>
    <row r="14" spans="1:7">
      <c r="A14" s="21" t="s">
        <v>139</v>
      </c>
      <c r="B14" s="414">
        <v>43655</v>
      </c>
      <c r="C14" s="414"/>
      <c r="D14" s="414"/>
      <c r="E14" s="414"/>
      <c r="F14" s="414"/>
      <c r="G14" s="414"/>
    </row>
    <row r="15" spans="1:7" ht="9" customHeight="1">
      <c r="A15" s="21"/>
      <c r="B15" s="21"/>
      <c r="C15" s="21"/>
      <c r="D15" s="21"/>
      <c r="E15" s="156"/>
      <c r="F15" s="156"/>
      <c r="G15" s="156"/>
    </row>
    <row r="16" spans="1:7" ht="39" customHeight="1">
      <c r="A16" s="428" t="s">
        <v>140</v>
      </c>
      <c r="B16" s="428" t="s">
        <v>141</v>
      </c>
      <c r="C16" s="428" t="s">
        <v>142</v>
      </c>
      <c r="D16" s="431" t="s">
        <v>964</v>
      </c>
      <c r="E16" s="432"/>
      <c r="F16" s="431" t="s">
        <v>850</v>
      </c>
      <c r="G16" s="432"/>
    </row>
    <row r="17" spans="1:7" ht="57" customHeight="1">
      <c r="A17" s="429"/>
      <c r="B17" s="429"/>
      <c r="C17" s="430"/>
      <c r="D17" s="32" t="s">
        <v>978</v>
      </c>
      <c r="E17" s="32" t="s">
        <v>586</v>
      </c>
      <c r="F17" s="32" t="s">
        <v>978</v>
      </c>
      <c r="G17" s="32" t="s">
        <v>586</v>
      </c>
    </row>
    <row r="18" spans="1:7" ht="32.25" customHeight="1">
      <c r="A18" s="172" t="s">
        <v>143</v>
      </c>
      <c r="B18" s="252" t="s">
        <v>8</v>
      </c>
      <c r="C18" s="33"/>
      <c r="D18" s="352">
        <v>-9835431228</v>
      </c>
      <c r="E18" s="352">
        <v>46925928053</v>
      </c>
      <c r="F18" s="352">
        <v>-292151362265</v>
      </c>
      <c r="G18" s="352">
        <v>-64883019376</v>
      </c>
    </row>
    <row r="19" spans="1:7" ht="32.25" customHeight="1">
      <c r="A19" s="170" t="s">
        <v>939</v>
      </c>
      <c r="B19" s="253" t="s">
        <v>9</v>
      </c>
      <c r="C19" s="163"/>
      <c r="D19" s="324">
        <v>8222910230</v>
      </c>
      <c r="E19" s="324">
        <v>11338281489</v>
      </c>
      <c r="F19" s="353">
        <v>6856347500</v>
      </c>
      <c r="G19" s="353">
        <v>8217042700</v>
      </c>
    </row>
    <row r="20" spans="1:7" s="227" customFormat="1" ht="32.25" customHeight="1">
      <c r="A20" s="170" t="s">
        <v>590</v>
      </c>
      <c r="B20" s="254" t="s">
        <v>492</v>
      </c>
      <c r="C20" s="164"/>
      <c r="D20" s="324">
        <v>6109536600</v>
      </c>
      <c r="E20" s="324">
        <v>6841760600</v>
      </c>
      <c r="F20" s="353">
        <v>6410097500</v>
      </c>
      <c r="G20" s="353">
        <v>7770792700</v>
      </c>
    </row>
    <row r="21" spans="1:7" s="227" customFormat="1" ht="32.25" customHeight="1">
      <c r="A21" s="170" t="s">
        <v>599</v>
      </c>
      <c r="B21" s="254" t="s">
        <v>493</v>
      </c>
      <c r="C21" s="162"/>
      <c r="D21" s="324">
        <v>2113373630</v>
      </c>
      <c r="E21" s="324">
        <v>4496520889</v>
      </c>
      <c r="F21" s="353">
        <v>446250000</v>
      </c>
      <c r="G21" s="353">
        <v>446250000</v>
      </c>
    </row>
    <row r="22" spans="1:7" ht="32.25" customHeight="1">
      <c r="A22" s="171" t="s">
        <v>591</v>
      </c>
      <c r="B22" s="255" t="s">
        <v>10</v>
      </c>
      <c r="C22" s="185"/>
      <c r="D22" s="324">
        <v>2348613142</v>
      </c>
      <c r="E22" s="324">
        <v>5511604777</v>
      </c>
      <c r="F22" s="353">
        <v>2231015535</v>
      </c>
      <c r="G22" s="353">
        <v>4486538724</v>
      </c>
    </row>
    <row r="23" spans="1:7" s="227" customFormat="1" ht="40.15" customHeight="1">
      <c r="A23" s="170" t="s">
        <v>1027</v>
      </c>
      <c r="B23" s="254" t="s">
        <v>494</v>
      </c>
      <c r="C23" s="162"/>
      <c r="D23" s="324">
        <v>72633405</v>
      </c>
      <c r="E23" s="324">
        <v>221616478</v>
      </c>
      <c r="F23" s="353">
        <v>278354385</v>
      </c>
      <c r="G23" s="353">
        <v>322627575</v>
      </c>
    </row>
    <row r="24" spans="1:7" s="227" customFormat="1" ht="38.65" customHeight="1">
      <c r="A24" s="170" t="s">
        <v>1028</v>
      </c>
      <c r="B24" s="254" t="s">
        <v>495</v>
      </c>
      <c r="C24" s="162"/>
      <c r="D24" s="324">
        <v>2275979737</v>
      </c>
      <c r="E24" s="324">
        <v>5289988299</v>
      </c>
      <c r="F24" s="353">
        <v>1952661150</v>
      </c>
      <c r="G24" s="353">
        <v>4163911149</v>
      </c>
    </row>
    <row r="25" spans="1:7" ht="32.25" customHeight="1">
      <c r="A25" s="171" t="s">
        <v>592</v>
      </c>
      <c r="B25" s="255" t="s">
        <v>19</v>
      </c>
      <c r="C25" s="185"/>
      <c r="D25" s="324">
        <v>-7286808677</v>
      </c>
      <c r="E25" s="324">
        <v>-5498088568</v>
      </c>
      <c r="F25" s="353">
        <v>34372709699</v>
      </c>
      <c r="G25" s="353">
        <v>75001169699</v>
      </c>
    </row>
    <row r="26" spans="1:7" ht="42.75" customHeight="1">
      <c r="A26" s="171" t="s">
        <v>593</v>
      </c>
      <c r="B26" s="255" t="s">
        <v>20</v>
      </c>
      <c r="C26" s="30"/>
      <c r="D26" s="324">
        <v>-13120145923</v>
      </c>
      <c r="E26" s="324">
        <v>35574130355</v>
      </c>
      <c r="F26" s="353">
        <v>-335611434999</v>
      </c>
      <c r="G26" s="353">
        <v>-152587770499</v>
      </c>
    </row>
    <row r="27" spans="1:7" ht="29.25" customHeight="1">
      <c r="A27" s="171" t="s">
        <v>594</v>
      </c>
      <c r="B27" s="255" t="s">
        <v>21</v>
      </c>
      <c r="C27" s="30"/>
      <c r="D27" s="324">
        <v>0</v>
      </c>
      <c r="E27" s="324">
        <v>0</v>
      </c>
      <c r="F27" s="353">
        <v>0</v>
      </c>
      <c r="G27" s="353">
        <v>0</v>
      </c>
    </row>
    <row r="28" spans="1:7" ht="33.75" customHeight="1">
      <c r="A28" s="171" t="s">
        <v>595</v>
      </c>
      <c r="B28" s="255" t="s">
        <v>22</v>
      </c>
      <c r="C28" s="30"/>
      <c r="D28" s="324">
        <v>0</v>
      </c>
      <c r="E28" s="324">
        <v>0</v>
      </c>
      <c r="F28" s="353">
        <v>0</v>
      </c>
      <c r="G28" s="353">
        <v>0</v>
      </c>
    </row>
    <row r="29" spans="1:7" ht="32.25" customHeight="1">
      <c r="A29" s="171" t="s">
        <v>596</v>
      </c>
      <c r="B29" s="255" t="s">
        <v>23</v>
      </c>
      <c r="C29" s="30"/>
      <c r="D29" s="324">
        <v>0</v>
      </c>
      <c r="E29" s="324">
        <v>0</v>
      </c>
      <c r="F29" s="353">
        <v>0</v>
      </c>
      <c r="G29" s="353">
        <v>0</v>
      </c>
    </row>
    <row r="30" spans="1:7" ht="66.75" customHeight="1">
      <c r="A30" s="171" t="s">
        <v>597</v>
      </c>
      <c r="B30" s="255" t="s">
        <v>24</v>
      </c>
      <c r="C30" s="30"/>
      <c r="D30" s="324">
        <v>0</v>
      </c>
      <c r="E30" s="324">
        <v>0</v>
      </c>
      <c r="F30" s="353">
        <v>0</v>
      </c>
      <c r="G30" s="353">
        <v>0</v>
      </c>
    </row>
    <row r="31" spans="1:7" ht="30.75" customHeight="1">
      <c r="A31" s="172" t="s">
        <v>144</v>
      </c>
      <c r="B31" s="252" t="s">
        <v>18</v>
      </c>
      <c r="C31" s="33"/>
      <c r="D31" s="354">
        <v>411624788</v>
      </c>
      <c r="E31" s="354">
        <v>1105128212</v>
      </c>
      <c r="F31" s="355">
        <v>1558795295</v>
      </c>
      <c r="G31" s="355">
        <v>2582460733</v>
      </c>
    </row>
    <row r="32" spans="1:7" ht="30.75" customHeight="1">
      <c r="A32" s="171" t="s">
        <v>145</v>
      </c>
      <c r="B32" s="255" t="s">
        <v>17</v>
      </c>
      <c r="C32" s="30"/>
      <c r="D32" s="324">
        <v>411624788</v>
      </c>
      <c r="E32" s="324">
        <v>1105128212</v>
      </c>
      <c r="F32" s="353">
        <v>995713995</v>
      </c>
      <c r="G32" s="353">
        <v>2016353913</v>
      </c>
    </row>
    <row r="33" spans="1:7" s="174" customFormat="1" ht="39.75" customHeight="1">
      <c r="A33" s="170" t="s">
        <v>146</v>
      </c>
      <c r="B33" s="254" t="s">
        <v>1029</v>
      </c>
      <c r="C33" s="37"/>
      <c r="D33" s="324">
        <v>409902088</v>
      </c>
      <c r="E33" s="324">
        <v>1100819662</v>
      </c>
      <c r="F33" s="353">
        <v>990623315</v>
      </c>
      <c r="G33" s="353">
        <v>2007431708</v>
      </c>
    </row>
    <row r="34" spans="1:7" s="31" customFormat="1" ht="42.75" customHeight="1">
      <c r="A34" s="170" t="s">
        <v>147</v>
      </c>
      <c r="B34" s="254" t="s">
        <v>1030</v>
      </c>
      <c r="C34" s="37"/>
      <c r="D34" s="324">
        <v>1722700</v>
      </c>
      <c r="E34" s="324">
        <v>4308550</v>
      </c>
      <c r="F34" s="353">
        <v>5090680</v>
      </c>
      <c r="G34" s="353">
        <v>8922205</v>
      </c>
    </row>
    <row r="35" spans="1:7" ht="45" customHeight="1">
      <c r="A35" s="171" t="s">
        <v>148</v>
      </c>
      <c r="B35" s="255" t="s">
        <v>16</v>
      </c>
      <c r="C35" s="30"/>
      <c r="D35" s="324">
        <v>0</v>
      </c>
      <c r="E35" s="324">
        <v>0</v>
      </c>
      <c r="F35" s="353">
        <v>0</v>
      </c>
      <c r="G35" s="353">
        <v>0</v>
      </c>
    </row>
    <row r="36" spans="1:7" ht="30.75" customHeight="1">
      <c r="A36" s="170" t="s">
        <v>587</v>
      </c>
      <c r="B36" s="255" t="s">
        <v>15</v>
      </c>
      <c r="C36" s="30"/>
      <c r="D36" s="324">
        <v>0</v>
      </c>
      <c r="E36" s="324">
        <v>0</v>
      </c>
      <c r="F36" s="353">
        <v>0</v>
      </c>
      <c r="G36" s="353">
        <v>0</v>
      </c>
    </row>
    <row r="37" spans="1:7" ht="54" customHeight="1">
      <c r="A37" s="171" t="s">
        <v>149</v>
      </c>
      <c r="B37" s="255" t="s">
        <v>14</v>
      </c>
      <c r="C37" s="30"/>
      <c r="D37" s="324">
        <v>0</v>
      </c>
      <c r="E37" s="324">
        <v>0</v>
      </c>
      <c r="F37" s="353">
        <v>0</v>
      </c>
      <c r="G37" s="353">
        <v>0</v>
      </c>
    </row>
    <row r="38" spans="1:7" ht="30.75" customHeight="1">
      <c r="A38" s="171" t="s">
        <v>150</v>
      </c>
      <c r="B38" s="255" t="s">
        <v>25</v>
      </c>
      <c r="C38" s="30"/>
      <c r="D38" s="324">
        <v>0</v>
      </c>
      <c r="E38" s="324">
        <v>0</v>
      </c>
      <c r="F38" s="353">
        <v>563081300</v>
      </c>
      <c r="G38" s="353">
        <v>566106820</v>
      </c>
    </row>
    <row r="39" spans="1:7" ht="30.75" customHeight="1">
      <c r="A39" s="172" t="s">
        <v>151</v>
      </c>
      <c r="B39" s="252" t="s">
        <v>26</v>
      </c>
      <c r="C39" s="33"/>
      <c r="D39" s="354">
        <v>5378522194</v>
      </c>
      <c r="E39" s="354">
        <v>11091262164</v>
      </c>
      <c r="F39" s="355">
        <v>7719117894</v>
      </c>
      <c r="G39" s="355">
        <v>14692717321</v>
      </c>
    </row>
    <row r="40" spans="1:7" ht="30.75" customHeight="1">
      <c r="A40" s="171" t="s">
        <v>152</v>
      </c>
      <c r="B40" s="255" t="s">
        <v>27</v>
      </c>
      <c r="C40" s="30"/>
      <c r="D40" s="324">
        <v>4949935802</v>
      </c>
      <c r="E40" s="324">
        <v>10185775622</v>
      </c>
      <c r="F40" s="353">
        <v>7070831065</v>
      </c>
      <c r="G40" s="353">
        <v>13432576073</v>
      </c>
    </row>
    <row r="41" spans="1:7" ht="30.75" customHeight="1">
      <c r="A41" s="170" t="s">
        <v>153</v>
      </c>
      <c r="B41" s="257" t="s">
        <v>29</v>
      </c>
      <c r="C41" s="37"/>
      <c r="D41" s="324">
        <v>145141018</v>
      </c>
      <c r="E41" s="324">
        <v>286238270</v>
      </c>
      <c r="F41" s="353">
        <v>198838404</v>
      </c>
      <c r="G41" s="353">
        <v>391166767</v>
      </c>
    </row>
    <row r="42" spans="1:7" s="31" customFormat="1" ht="30.75" customHeight="1">
      <c r="A42" s="178" t="s">
        <v>473</v>
      </c>
      <c r="B42" s="256" t="s">
        <v>154</v>
      </c>
      <c r="C42" s="162"/>
      <c r="D42" s="324">
        <v>109643438</v>
      </c>
      <c r="E42" s="324">
        <v>217045279</v>
      </c>
      <c r="F42" s="353">
        <v>145042690</v>
      </c>
      <c r="G42" s="353">
        <v>275540024</v>
      </c>
    </row>
    <row r="43" spans="1:7" s="31" customFormat="1" ht="30.75" customHeight="1">
      <c r="A43" s="178" t="s">
        <v>369</v>
      </c>
      <c r="B43" s="256" t="s">
        <v>156</v>
      </c>
      <c r="C43" s="162"/>
      <c r="D43" s="324">
        <v>17500000</v>
      </c>
      <c r="E43" s="324">
        <v>28600000</v>
      </c>
      <c r="F43" s="353">
        <v>29000000</v>
      </c>
      <c r="G43" s="353">
        <v>69100000</v>
      </c>
    </row>
    <row r="44" spans="1:7" s="31" customFormat="1" ht="30.75" customHeight="1">
      <c r="A44" s="178" t="s">
        <v>468</v>
      </c>
      <c r="B44" s="256" t="s">
        <v>469</v>
      </c>
      <c r="C44" s="162"/>
      <c r="D44" s="324">
        <v>17597580</v>
      </c>
      <c r="E44" s="324">
        <v>40192991</v>
      </c>
      <c r="F44" s="353">
        <v>24795714</v>
      </c>
      <c r="G44" s="353">
        <v>46526743</v>
      </c>
    </row>
    <row r="45" spans="1:7" s="31" customFormat="1" ht="56.25" customHeight="1">
      <c r="A45" s="178" t="s">
        <v>984</v>
      </c>
      <c r="B45" s="256" t="s">
        <v>983</v>
      </c>
      <c r="C45" s="162"/>
      <c r="D45" s="324">
        <v>400000</v>
      </c>
      <c r="E45" s="324">
        <v>400000</v>
      </c>
      <c r="F45" s="353">
        <v>0</v>
      </c>
      <c r="G45" s="353">
        <v>0</v>
      </c>
    </row>
    <row r="46" spans="1:7" ht="30.75" customHeight="1">
      <c r="A46" s="170" t="s">
        <v>157</v>
      </c>
      <c r="B46" s="257" t="s">
        <v>30</v>
      </c>
      <c r="C46" s="37"/>
      <c r="D46" s="324">
        <v>111690859</v>
      </c>
      <c r="E46" s="324">
        <v>229832885</v>
      </c>
      <c r="F46" s="353">
        <v>159546957</v>
      </c>
      <c r="G46" s="353">
        <v>303094025</v>
      </c>
    </row>
    <row r="47" spans="1:7" ht="30.75" customHeight="1">
      <c r="A47" s="170" t="s">
        <v>158</v>
      </c>
      <c r="B47" s="257" t="s">
        <v>31</v>
      </c>
      <c r="C47" s="37"/>
      <c r="D47" s="324">
        <v>69806788</v>
      </c>
      <c r="E47" s="324">
        <v>143645553</v>
      </c>
      <c r="F47" s="353">
        <v>99716844</v>
      </c>
      <c r="G47" s="353">
        <v>189433762</v>
      </c>
    </row>
    <row r="48" spans="1:7" ht="30.75" customHeight="1">
      <c r="A48" s="170" t="s">
        <v>159</v>
      </c>
      <c r="B48" s="257" t="s">
        <v>32</v>
      </c>
      <c r="C48" s="37"/>
      <c r="D48" s="324">
        <v>33000000</v>
      </c>
      <c r="E48" s="324">
        <v>66000000</v>
      </c>
      <c r="F48" s="353">
        <v>33000000</v>
      </c>
      <c r="G48" s="353">
        <v>66000000</v>
      </c>
    </row>
    <row r="49" spans="1:7" ht="30.75" customHeight="1">
      <c r="A49" s="170" t="s">
        <v>160</v>
      </c>
      <c r="B49" s="258" t="s">
        <v>33</v>
      </c>
      <c r="C49" s="37"/>
      <c r="D49" s="324">
        <v>0</v>
      </c>
      <c r="E49" s="324">
        <v>0</v>
      </c>
      <c r="F49" s="353">
        <v>0</v>
      </c>
      <c r="G49" s="353">
        <v>0</v>
      </c>
    </row>
    <row r="50" spans="1:7" ht="30.75" customHeight="1">
      <c r="A50" s="170" t="s">
        <v>161</v>
      </c>
      <c r="B50" s="258" t="s">
        <v>34</v>
      </c>
      <c r="C50" s="37"/>
      <c r="D50" s="324">
        <v>0</v>
      </c>
      <c r="E50" s="324">
        <v>0</v>
      </c>
      <c r="F50" s="353">
        <v>10507953</v>
      </c>
      <c r="G50" s="353">
        <v>16550899</v>
      </c>
    </row>
    <row r="51" spans="1:7" ht="30.75" customHeight="1">
      <c r="A51" s="170" t="s">
        <v>162</v>
      </c>
      <c r="B51" s="258" t="s">
        <v>35</v>
      </c>
      <c r="C51" s="37"/>
      <c r="D51" s="324">
        <v>45250673</v>
      </c>
      <c r="E51" s="324">
        <v>93642351</v>
      </c>
      <c r="F51" s="353">
        <v>49328999</v>
      </c>
      <c r="G51" s="353">
        <v>94082413</v>
      </c>
    </row>
    <row r="52" spans="1:7" ht="30.75" customHeight="1">
      <c r="A52" s="170" t="s">
        <v>163</v>
      </c>
      <c r="B52" s="258" t="s">
        <v>36</v>
      </c>
      <c r="C52" s="37"/>
      <c r="D52" s="324">
        <v>0</v>
      </c>
      <c r="E52" s="324">
        <v>0</v>
      </c>
      <c r="F52" s="353">
        <v>0</v>
      </c>
      <c r="G52" s="353">
        <v>0</v>
      </c>
    </row>
    <row r="53" spans="1:7" ht="30.75" customHeight="1">
      <c r="A53" s="170" t="s">
        <v>164</v>
      </c>
      <c r="B53" s="253" t="s">
        <v>28</v>
      </c>
      <c r="C53" s="37"/>
      <c r="D53" s="324">
        <v>23697054</v>
      </c>
      <c r="E53" s="324">
        <v>86127483</v>
      </c>
      <c r="F53" s="353">
        <v>97347672</v>
      </c>
      <c r="G53" s="353">
        <v>199813382</v>
      </c>
    </row>
    <row r="54" spans="1:7" ht="30.75" customHeight="1">
      <c r="A54" s="170" t="s">
        <v>165</v>
      </c>
      <c r="B54" s="254" t="s">
        <v>374</v>
      </c>
      <c r="C54" s="37"/>
      <c r="D54" s="324">
        <v>55238339</v>
      </c>
      <c r="E54" s="324">
        <v>110430103</v>
      </c>
      <c r="F54" s="353">
        <v>55238339</v>
      </c>
      <c r="G54" s="353">
        <v>110430104</v>
      </c>
    </row>
    <row r="55" spans="1:7" ht="30.75" customHeight="1">
      <c r="A55" s="170" t="s">
        <v>166</v>
      </c>
      <c r="B55" s="254" t="s">
        <v>375</v>
      </c>
      <c r="C55" s="37"/>
      <c r="D55" s="324">
        <v>-32471948</v>
      </c>
      <c r="E55" s="324">
        <v>-32471948</v>
      </c>
      <c r="F55" s="353">
        <v>3769202</v>
      </c>
      <c r="G55" s="353">
        <v>14044024</v>
      </c>
    </row>
    <row r="56" spans="1:7" ht="30.75" customHeight="1">
      <c r="A56" s="171" t="s">
        <v>167</v>
      </c>
      <c r="B56" s="259" t="s">
        <v>376</v>
      </c>
      <c r="C56" s="30"/>
      <c r="D56" s="324">
        <v>0</v>
      </c>
      <c r="E56" s="324">
        <v>0</v>
      </c>
      <c r="F56" s="353">
        <v>5627531</v>
      </c>
      <c r="G56" s="353">
        <v>11193221</v>
      </c>
    </row>
    <row r="57" spans="1:7" ht="30.75" customHeight="1">
      <c r="A57" s="171" t="s">
        <v>372</v>
      </c>
      <c r="B57" s="259" t="s">
        <v>377</v>
      </c>
      <c r="C57" s="30"/>
      <c r="D57" s="324">
        <v>-3785000</v>
      </c>
      <c r="E57" s="324">
        <v>-3785000</v>
      </c>
      <c r="F57" s="353">
        <v>19230000</v>
      </c>
      <c r="G57" s="353">
        <v>38460000</v>
      </c>
    </row>
    <row r="58" spans="1:7" ht="30.75" customHeight="1">
      <c r="A58" s="170" t="s">
        <v>609</v>
      </c>
      <c r="B58" s="254" t="s">
        <v>378</v>
      </c>
      <c r="C58" s="30"/>
      <c r="D58" s="324">
        <v>0</v>
      </c>
      <c r="E58" s="324">
        <v>0</v>
      </c>
      <c r="F58" s="353">
        <v>0</v>
      </c>
      <c r="G58" s="353">
        <v>0</v>
      </c>
    </row>
    <row r="59" spans="1:7" ht="30.75" customHeight="1">
      <c r="A59" s="171" t="s">
        <v>371</v>
      </c>
      <c r="B59" s="259" t="s">
        <v>379</v>
      </c>
      <c r="C59" s="30"/>
      <c r="D59" s="324">
        <v>0</v>
      </c>
      <c r="E59" s="324">
        <v>0</v>
      </c>
      <c r="F59" s="353">
        <v>0</v>
      </c>
      <c r="G59" s="353">
        <v>0</v>
      </c>
    </row>
    <row r="60" spans="1:7" s="31" customFormat="1" ht="30.75" customHeight="1">
      <c r="A60" s="170" t="s">
        <v>810</v>
      </c>
      <c r="B60" s="254" t="s">
        <v>380</v>
      </c>
      <c r="C60" s="37"/>
      <c r="D60" s="324">
        <v>0</v>
      </c>
      <c r="E60" s="324">
        <v>0</v>
      </c>
      <c r="F60" s="353">
        <v>2493141</v>
      </c>
      <c r="G60" s="353">
        <v>4958885</v>
      </c>
    </row>
    <row r="61" spans="1:7" ht="30.75" customHeight="1">
      <c r="A61" s="171" t="s">
        <v>169</v>
      </c>
      <c r="B61" s="259" t="s">
        <v>381</v>
      </c>
      <c r="C61" s="30"/>
      <c r="D61" s="324">
        <v>4715663</v>
      </c>
      <c r="E61" s="324">
        <v>10854328</v>
      </c>
      <c r="F61" s="353">
        <v>10989459</v>
      </c>
      <c r="G61" s="353">
        <v>20727148</v>
      </c>
    </row>
    <row r="62" spans="1:7" ht="30.75" customHeight="1">
      <c r="A62" s="170" t="s">
        <v>168</v>
      </c>
      <c r="B62" s="254" t="s">
        <v>382</v>
      </c>
      <c r="C62" s="37"/>
      <c r="D62" s="324">
        <v>0</v>
      </c>
      <c r="E62" s="324">
        <v>0</v>
      </c>
      <c r="F62" s="353">
        <v>0</v>
      </c>
      <c r="G62" s="353">
        <v>0</v>
      </c>
    </row>
    <row r="63" spans="1:7" s="31" customFormat="1" ht="35.25" customHeight="1">
      <c r="A63" s="170" t="s">
        <v>985</v>
      </c>
      <c r="B63" s="254" t="s">
        <v>383</v>
      </c>
      <c r="C63" s="37"/>
      <c r="D63" s="324">
        <v>0</v>
      </c>
      <c r="E63" s="324">
        <v>0</v>
      </c>
      <c r="F63" s="353">
        <v>0</v>
      </c>
      <c r="G63" s="353">
        <v>0</v>
      </c>
    </row>
    <row r="64" spans="1:7" s="31" customFormat="1" ht="29.25" customHeight="1">
      <c r="A64" s="170" t="s">
        <v>612</v>
      </c>
      <c r="B64" s="254" t="s">
        <v>474</v>
      </c>
      <c r="C64" s="162"/>
      <c r="D64" s="324">
        <v>0</v>
      </c>
      <c r="E64" s="324">
        <v>1100000</v>
      </c>
      <c r="F64" s="353">
        <v>0</v>
      </c>
      <c r="G64" s="353">
        <v>0</v>
      </c>
    </row>
    <row r="65" spans="1:7" s="31" customFormat="1" ht="29.25" customHeight="1">
      <c r="A65" s="170" t="s">
        <v>613</v>
      </c>
      <c r="B65" s="254" t="s">
        <v>614</v>
      </c>
      <c r="C65" s="162"/>
      <c r="D65" s="324">
        <v>0</v>
      </c>
      <c r="E65" s="324">
        <v>0</v>
      </c>
      <c r="F65" s="353">
        <v>0</v>
      </c>
      <c r="G65" s="353">
        <v>0</v>
      </c>
    </row>
    <row r="66" spans="1:7" ht="30.75" customHeight="1">
      <c r="A66" s="171" t="s">
        <v>373</v>
      </c>
      <c r="B66" s="259" t="s">
        <v>610</v>
      </c>
      <c r="C66" s="30"/>
      <c r="D66" s="324">
        <v>0</v>
      </c>
      <c r="E66" s="324">
        <v>0</v>
      </c>
      <c r="F66" s="353">
        <v>0</v>
      </c>
      <c r="G66" s="353">
        <v>0</v>
      </c>
    </row>
    <row r="67" spans="1:7" ht="30.75" customHeight="1">
      <c r="A67" s="171" t="s">
        <v>809</v>
      </c>
      <c r="B67" s="259" t="s">
        <v>611</v>
      </c>
      <c r="C67" s="30"/>
      <c r="D67" s="324">
        <v>0</v>
      </c>
      <c r="E67" s="324">
        <v>0</v>
      </c>
      <c r="F67" s="353">
        <v>0</v>
      </c>
      <c r="G67" s="353">
        <v>0</v>
      </c>
    </row>
    <row r="68" spans="1:7" ht="44.25" customHeight="1">
      <c r="A68" s="172" t="s">
        <v>170</v>
      </c>
      <c r="B68" s="260" t="s">
        <v>37</v>
      </c>
      <c r="C68" s="33"/>
      <c r="D68" s="354">
        <v>-15625578210</v>
      </c>
      <c r="E68" s="354">
        <v>34729537677</v>
      </c>
      <c r="F68" s="355">
        <v>-301429275454</v>
      </c>
      <c r="G68" s="355">
        <v>-82158197430</v>
      </c>
    </row>
    <row r="69" spans="1:7" ht="30" customHeight="1">
      <c r="A69" s="172" t="s">
        <v>183</v>
      </c>
      <c r="B69" s="260" t="s">
        <v>38</v>
      </c>
      <c r="C69" s="33"/>
      <c r="D69" s="354">
        <v>0</v>
      </c>
      <c r="E69" s="354">
        <v>0</v>
      </c>
      <c r="F69" s="355">
        <v>0</v>
      </c>
      <c r="G69" s="355">
        <v>0</v>
      </c>
    </row>
    <row r="70" spans="1:7" ht="30" customHeight="1">
      <c r="A70" s="171" t="s">
        <v>171</v>
      </c>
      <c r="B70" s="261" t="s">
        <v>39</v>
      </c>
      <c r="C70" s="30"/>
      <c r="D70" s="324">
        <v>0</v>
      </c>
      <c r="E70" s="324">
        <v>0</v>
      </c>
      <c r="F70" s="353">
        <v>0</v>
      </c>
      <c r="G70" s="353">
        <v>0</v>
      </c>
    </row>
    <row r="71" spans="1:7" ht="30" customHeight="1">
      <c r="A71" s="171" t="s">
        <v>172</v>
      </c>
      <c r="B71" s="261" t="s">
        <v>40</v>
      </c>
      <c r="C71" s="30"/>
      <c r="D71" s="324">
        <v>0</v>
      </c>
      <c r="E71" s="324">
        <v>0</v>
      </c>
      <c r="F71" s="353">
        <v>0</v>
      </c>
      <c r="G71" s="353">
        <v>0</v>
      </c>
    </row>
    <row r="72" spans="1:7" ht="46.5" customHeight="1">
      <c r="A72" s="172" t="s">
        <v>173</v>
      </c>
      <c r="B72" s="260" t="s">
        <v>13</v>
      </c>
      <c r="C72" s="33"/>
      <c r="D72" s="354">
        <v>-15625578210</v>
      </c>
      <c r="E72" s="354">
        <v>34729537677</v>
      </c>
      <c r="F72" s="355">
        <v>-301429275454</v>
      </c>
      <c r="G72" s="355">
        <v>-82158197430</v>
      </c>
    </row>
    <row r="73" spans="1:7" ht="31.5" customHeight="1">
      <c r="A73" s="171" t="s">
        <v>174</v>
      </c>
      <c r="B73" s="261" t="s">
        <v>12</v>
      </c>
      <c r="C73" s="30"/>
      <c r="D73" s="324">
        <v>-2505432287</v>
      </c>
      <c r="E73" s="324">
        <v>-844592678</v>
      </c>
      <c r="F73" s="353">
        <v>34182159545</v>
      </c>
      <c r="G73" s="353">
        <v>70429573069</v>
      </c>
    </row>
    <row r="74" spans="1:7" ht="31.5" customHeight="1">
      <c r="A74" s="171" t="s">
        <v>175</v>
      </c>
      <c r="B74" s="261" t="s">
        <v>11</v>
      </c>
      <c r="C74" s="30"/>
      <c r="D74" s="324">
        <v>-13120145923</v>
      </c>
      <c r="E74" s="324">
        <v>35574130355</v>
      </c>
      <c r="F74" s="353">
        <v>-335611434999</v>
      </c>
      <c r="G74" s="353">
        <v>-152587770499</v>
      </c>
    </row>
    <row r="75" spans="1:7" ht="31.5" customHeight="1">
      <c r="A75" s="172" t="s">
        <v>176</v>
      </c>
      <c r="B75" s="260" t="s">
        <v>41</v>
      </c>
      <c r="C75" s="33"/>
      <c r="D75" s="354">
        <v>0</v>
      </c>
      <c r="E75" s="354">
        <v>0</v>
      </c>
      <c r="F75" s="355">
        <v>0</v>
      </c>
      <c r="G75" s="355">
        <v>0</v>
      </c>
    </row>
    <row r="76" spans="1:7" ht="45" customHeight="1">
      <c r="A76" s="172" t="s">
        <v>177</v>
      </c>
      <c r="B76" s="260" t="s">
        <v>42</v>
      </c>
      <c r="C76" s="33"/>
      <c r="D76" s="354">
        <v>-15625578210</v>
      </c>
      <c r="E76" s="354">
        <v>34729537677</v>
      </c>
      <c r="F76" s="355">
        <v>-301429275454</v>
      </c>
      <c r="G76" s="355">
        <v>-82158197430</v>
      </c>
    </row>
    <row r="77" spans="1:7">
      <c r="A77" s="173"/>
      <c r="B77" s="28"/>
      <c r="C77" s="28"/>
      <c r="D77" s="28"/>
      <c r="E77" s="311"/>
      <c r="F77" s="263"/>
      <c r="G77" s="263"/>
    </row>
    <row r="78" spans="1:7">
      <c r="A78" s="267"/>
      <c r="B78" s="21"/>
      <c r="C78" s="21"/>
      <c r="D78" s="225"/>
      <c r="E78" s="226"/>
      <c r="F78" s="21"/>
      <c r="G78" s="21"/>
    </row>
    <row r="79" spans="1:7">
      <c r="A79" s="267"/>
      <c r="B79" s="21"/>
      <c r="C79" s="21"/>
      <c r="D79" s="225"/>
      <c r="E79" s="226"/>
      <c r="F79" s="21"/>
      <c r="G79" s="21"/>
    </row>
    <row r="80" spans="1:7">
      <c r="A80" s="268" t="s">
        <v>830</v>
      </c>
      <c r="B80" s="423" t="s">
        <v>831</v>
      </c>
      <c r="C80" s="423"/>
      <c r="D80" s="423"/>
      <c r="E80" s="423"/>
      <c r="F80" s="423"/>
      <c r="G80" s="423"/>
    </row>
    <row r="81" spans="1:7">
      <c r="A81" s="25"/>
      <c r="B81" s="25"/>
      <c r="C81" s="21"/>
      <c r="D81" s="21"/>
      <c r="E81" s="26"/>
      <c r="F81" s="27"/>
      <c r="G81" s="27"/>
    </row>
    <row r="82" spans="1:7">
      <c r="A82" s="25"/>
      <c r="B82" s="25"/>
      <c r="C82" s="21"/>
      <c r="D82" s="21"/>
      <c r="E82" s="26"/>
      <c r="F82" s="27"/>
      <c r="G82" s="27"/>
    </row>
    <row r="83" spans="1:7">
      <c r="A83" s="25"/>
      <c r="B83" s="25"/>
      <c r="C83" s="21"/>
      <c r="D83" s="21"/>
      <c r="E83" s="26"/>
      <c r="F83" s="27"/>
      <c r="G83" s="27"/>
    </row>
    <row r="84" spans="1:7">
      <c r="A84" s="25"/>
      <c r="B84" s="25"/>
      <c r="C84" s="21"/>
      <c r="D84" s="181"/>
      <c r="E84" s="26"/>
      <c r="F84" s="27"/>
      <c r="G84" s="27"/>
    </row>
    <row r="85" spans="1:7">
      <c r="A85" s="25"/>
      <c r="B85" s="25"/>
      <c r="C85" s="21"/>
      <c r="D85" s="180"/>
      <c r="E85" s="26"/>
      <c r="F85" s="27"/>
      <c r="G85" s="27"/>
    </row>
    <row r="86" spans="1:7">
      <c r="A86" s="25"/>
      <c r="B86" s="25"/>
      <c r="C86" s="21"/>
      <c r="D86" s="180"/>
      <c r="E86" s="26"/>
      <c r="F86" s="27"/>
      <c r="G86" s="27"/>
    </row>
    <row r="87" spans="1:7">
      <c r="A87" s="25"/>
      <c r="B87" s="25"/>
      <c r="C87" s="21"/>
      <c r="D87" s="180"/>
      <c r="E87" s="26"/>
      <c r="F87" s="27"/>
      <c r="G87" s="27"/>
    </row>
    <row r="88" spans="1:7">
      <c r="A88" s="25"/>
      <c r="B88" s="25"/>
      <c r="C88" s="21"/>
      <c r="D88" s="21"/>
      <c r="E88" s="26"/>
      <c r="F88" s="27"/>
      <c r="G88" s="27"/>
    </row>
    <row r="89" spans="1:7">
      <c r="A89" s="25"/>
      <c r="B89" s="25"/>
      <c r="C89" s="21"/>
      <c r="D89" s="21"/>
      <c r="E89" s="26"/>
      <c r="F89" s="27"/>
      <c r="G89" s="27"/>
    </row>
    <row r="90" spans="1:7">
      <c r="A90" s="25"/>
      <c r="B90" s="25"/>
      <c r="C90" s="21"/>
      <c r="D90" s="21"/>
      <c r="E90" s="26"/>
      <c r="F90" s="27"/>
      <c r="G90" s="27"/>
    </row>
    <row r="91" spans="1:7">
      <c r="A91" s="25"/>
      <c r="B91" s="25"/>
      <c r="C91" s="21"/>
      <c r="D91" s="21"/>
      <c r="E91" s="26"/>
      <c r="F91" s="27"/>
      <c r="G91" s="27"/>
    </row>
    <row r="92" spans="1:7">
      <c r="A92" s="25"/>
      <c r="B92" s="25"/>
      <c r="C92" s="21"/>
      <c r="D92" s="21"/>
      <c r="E92" s="26"/>
      <c r="F92" s="27"/>
      <c r="G92" s="27"/>
    </row>
    <row r="93" spans="1:7">
      <c r="A93" s="269" t="s">
        <v>832</v>
      </c>
      <c r="B93" s="420" t="s">
        <v>832</v>
      </c>
      <c r="C93" s="420"/>
      <c r="D93" s="420"/>
      <c r="E93" s="420"/>
      <c r="F93" s="421" t="s">
        <v>833</v>
      </c>
      <c r="G93" s="422"/>
    </row>
    <row r="94" spans="1:7">
      <c r="A94" s="270" t="s">
        <v>834</v>
      </c>
      <c r="B94" s="423" t="s">
        <v>835</v>
      </c>
      <c r="C94" s="423"/>
      <c r="D94" s="423"/>
      <c r="E94" s="423"/>
      <c r="F94" s="423" t="s">
        <v>836</v>
      </c>
      <c r="G94" s="423"/>
    </row>
    <row r="95" spans="1:7">
      <c r="A95" s="271" t="s">
        <v>837</v>
      </c>
      <c r="B95" s="419" t="s">
        <v>838</v>
      </c>
      <c r="C95" s="419"/>
      <c r="D95" s="419"/>
      <c r="E95" s="419"/>
      <c r="F95" s="419" t="s">
        <v>839</v>
      </c>
      <c r="G95" s="419"/>
    </row>
    <row r="96" spans="1:7">
      <c r="A96"/>
      <c r="B96"/>
      <c r="C96" s="21"/>
      <c r="D96" s="21"/>
      <c r="E96"/>
      <c r="F96"/>
      <c r="G96"/>
    </row>
  </sheetData>
  <protectedRanges>
    <protectedRange sqref="C41 F20:G30 C31 C39 C70:D74 C68:C69 C75:C76 F42:G67 C67:D67 C32:G38 C66 D64:D66 C40:G40 E72:G74 C42:E45 E18:G19 C18:D30 C46:D63 E46:E53 E22 F70:G71" name="Range1"/>
    <protectedRange sqref="D31:G31" name="Range1_1"/>
    <protectedRange sqref="D39:G39" name="Range1_2"/>
    <protectedRange sqref="D68:G68" name="Range1_3"/>
    <protectedRange sqref="D69:G69" name="Range1_4"/>
    <protectedRange sqref="D75:G75" name="Range1_5"/>
    <protectedRange sqref="D76:G76" name="Range1_6"/>
    <protectedRange sqref="C64:C65" name="Range1_7"/>
  </protectedRanges>
  <mergeCells count="24">
    <mergeCell ref="A1:G1"/>
    <mergeCell ref="A2:G2"/>
    <mergeCell ref="A3:G4"/>
    <mergeCell ref="A5:G5"/>
    <mergeCell ref="B80:G80"/>
    <mergeCell ref="A16:A17"/>
    <mergeCell ref="B16:B17"/>
    <mergeCell ref="C16:C17"/>
    <mergeCell ref="D16:E16"/>
    <mergeCell ref="F16:G16"/>
    <mergeCell ref="B14:G14"/>
    <mergeCell ref="B7:G7"/>
    <mergeCell ref="B9:G9"/>
    <mergeCell ref="B11:G11"/>
    <mergeCell ref="B13:G13"/>
    <mergeCell ref="B8:G8"/>
    <mergeCell ref="B95:E95"/>
    <mergeCell ref="F95:G95"/>
    <mergeCell ref="B10:G10"/>
    <mergeCell ref="B12:G12"/>
    <mergeCell ref="B93:E93"/>
    <mergeCell ref="F93:G93"/>
    <mergeCell ref="B94:E94"/>
    <mergeCell ref="F94:G94"/>
  </mergeCells>
  <printOptions horizontalCentered="1"/>
  <pageMargins left="0.17" right="0.17" top="0.33" bottom="0.38" header="0.3" footer="0.62"/>
  <pageSetup paperSize="9" scale="6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H146"/>
  <sheetViews>
    <sheetView showGridLines="0" view="pageBreakPreview" topLeftCell="A103" zoomScale="85" zoomScaleNormal="100" zoomScaleSheetLayoutView="85" workbookViewId="0">
      <selection activeCell="B115" sqref="B115"/>
    </sheetView>
  </sheetViews>
  <sheetFormatPr defaultColWidth="9.26953125" defaultRowHeight="12.5"/>
  <cols>
    <col min="1" max="1" width="8.7265625" style="29" customWidth="1"/>
    <col min="2" max="2" width="52.7265625" style="29" customWidth="1"/>
    <col min="3" max="3" width="11.54296875" style="29" customWidth="1"/>
    <col min="4" max="4" width="8.7265625" style="29" customWidth="1"/>
    <col min="5" max="5" width="28" style="29" customWidth="1"/>
    <col min="6" max="6" width="30.26953125" style="29" customWidth="1"/>
    <col min="7" max="16384" width="9.26953125" style="29"/>
  </cols>
  <sheetData>
    <row r="1" spans="1:8" ht="27" customHeight="1">
      <c r="B1" s="424" t="s">
        <v>940</v>
      </c>
      <c r="C1" s="424"/>
      <c r="D1" s="424"/>
      <c r="E1" s="424"/>
      <c r="F1" s="424"/>
    </row>
    <row r="2" spans="1:8" ht="35.25" customHeight="1">
      <c r="A2" s="27"/>
      <c r="B2" s="425" t="s">
        <v>136</v>
      </c>
      <c r="C2" s="425"/>
      <c r="D2" s="425"/>
      <c r="E2" s="425"/>
      <c r="F2" s="425"/>
    </row>
    <row r="3" spans="1:8">
      <c r="A3" s="27"/>
      <c r="B3" s="426" t="s">
        <v>184</v>
      </c>
      <c r="C3" s="426"/>
      <c r="D3" s="426"/>
      <c r="E3" s="426"/>
      <c r="F3" s="426"/>
    </row>
    <row r="4" spans="1:8" ht="19.5" customHeight="1">
      <c r="A4" s="27"/>
      <c r="B4" s="426"/>
      <c r="C4" s="426"/>
      <c r="D4" s="426"/>
      <c r="E4" s="426"/>
      <c r="F4" s="426"/>
    </row>
    <row r="5" spans="1:8">
      <c r="A5" s="27"/>
      <c r="B5" s="427" t="s">
        <v>976</v>
      </c>
      <c r="C5" s="427"/>
      <c r="D5" s="427"/>
      <c r="E5" s="427"/>
      <c r="F5" s="427"/>
    </row>
    <row r="6" spans="1:8">
      <c r="A6" s="262"/>
      <c r="B6" s="18"/>
      <c r="C6" s="18"/>
      <c r="D6" s="18"/>
      <c r="E6" s="18"/>
      <c r="F6" s="18"/>
    </row>
    <row r="7" spans="1:8">
      <c r="A7" s="248" t="s">
        <v>454</v>
      </c>
      <c r="B7" s="147"/>
      <c r="C7" s="440" t="s">
        <v>464</v>
      </c>
      <c r="D7" s="440"/>
      <c r="E7" s="440"/>
      <c r="F7" s="440"/>
    </row>
    <row r="8" spans="1:8" ht="12.75" customHeight="1">
      <c r="A8" s="152" t="s">
        <v>932</v>
      </c>
      <c r="B8" s="148"/>
      <c r="C8" s="439" t="s">
        <v>598</v>
      </c>
      <c r="D8" s="439"/>
      <c r="E8" s="439"/>
      <c r="F8" s="439"/>
    </row>
    <row r="9" spans="1:8" ht="12.75" customHeight="1">
      <c r="A9" s="248" t="s">
        <v>455</v>
      </c>
      <c r="B9" s="147"/>
      <c r="C9" s="440" t="s">
        <v>958</v>
      </c>
      <c r="D9" s="440"/>
      <c r="E9" s="440"/>
      <c r="F9" s="440"/>
    </row>
    <row r="10" spans="1:8" ht="12.75" customHeight="1">
      <c r="A10" s="249" t="s">
        <v>457</v>
      </c>
      <c r="B10" s="149"/>
      <c r="C10" s="439" t="s">
        <v>458</v>
      </c>
      <c r="D10" s="439"/>
      <c r="E10" s="439"/>
      <c r="F10" s="439"/>
    </row>
    <row r="11" spans="1:8" ht="15.75" customHeight="1">
      <c r="A11" s="248" t="s">
        <v>391</v>
      </c>
      <c r="B11" s="147"/>
      <c r="C11" s="440" t="s">
        <v>489</v>
      </c>
      <c r="D11" s="440"/>
      <c r="E11" s="440"/>
      <c r="F11" s="440"/>
    </row>
    <row r="12" spans="1:8" ht="12.75" customHeight="1">
      <c r="A12" s="250" t="s">
        <v>389</v>
      </c>
      <c r="B12" s="150"/>
      <c r="C12" s="439" t="s">
        <v>488</v>
      </c>
      <c r="D12" s="439"/>
      <c r="E12" s="439"/>
      <c r="F12" s="439"/>
    </row>
    <row r="13" spans="1:8" ht="12.75" customHeight="1">
      <c r="A13" s="251" t="s">
        <v>138</v>
      </c>
      <c r="B13" s="151"/>
      <c r="C13" s="412" t="s">
        <v>1018</v>
      </c>
      <c r="D13" s="413"/>
      <c r="E13" s="413"/>
      <c r="F13" s="413"/>
      <c r="G13" s="413"/>
      <c r="H13" s="413"/>
    </row>
    <row r="14" spans="1:8" ht="12.75" customHeight="1">
      <c r="A14" s="152" t="s">
        <v>139</v>
      </c>
      <c r="B14" s="152"/>
      <c r="C14" s="414">
        <v>43655</v>
      </c>
      <c r="D14" s="414"/>
      <c r="E14" s="414"/>
      <c r="F14" s="414"/>
      <c r="G14" s="414"/>
      <c r="H14" s="414"/>
    </row>
    <row r="15" spans="1:8">
      <c r="A15"/>
      <c r="B15"/>
      <c r="C15"/>
      <c r="D15"/>
      <c r="E15"/>
      <c r="F15"/>
    </row>
    <row r="16" spans="1:8" s="36" customFormat="1" ht="44.25" customHeight="1">
      <c r="A16" s="34" t="s">
        <v>338</v>
      </c>
      <c r="B16" s="34" t="s">
        <v>140</v>
      </c>
      <c r="C16" s="34" t="s">
        <v>141</v>
      </c>
      <c r="D16" s="35" t="s">
        <v>142</v>
      </c>
      <c r="E16" s="35" t="s">
        <v>979</v>
      </c>
      <c r="F16" s="35" t="s">
        <v>967</v>
      </c>
    </row>
    <row r="17" spans="1:6" s="36" customFormat="1" ht="30" customHeight="1">
      <c r="A17" s="356" t="s">
        <v>43</v>
      </c>
      <c r="B17" s="357" t="s">
        <v>213</v>
      </c>
      <c r="C17" s="356"/>
      <c r="D17" s="358"/>
      <c r="E17" s="358"/>
      <c r="F17" s="358"/>
    </row>
    <row r="18" spans="1:6" s="36" customFormat="1" ht="30" customHeight="1">
      <c r="A18" s="162" t="s">
        <v>659</v>
      </c>
      <c r="B18" s="170" t="s">
        <v>674</v>
      </c>
      <c r="C18" s="162" t="s">
        <v>779</v>
      </c>
      <c r="D18" s="359"/>
      <c r="E18" s="324">
        <v>47915864453</v>
      </c>
      <c r="F18" s="324">
        <v>57122604245</v>
      </c>
    </row>
    <row r="19" spans="1:6" s="36" customFormat="1" ht="30" customHeight="1">
      <c r="A19" s="37" t="s">
        <v>63</v>
      </c>
      <c r="B19" s="170" t="s">
        <v>675</v>
      </c>
      <c r="C19" s="37" t="s">
        <v>44</v>
      </c>
      <c r="D19" s="359"/>
      <c r="E19" s="324">
        <v>37915864453</v>
      </c>
      <c r="F19" s="324">
        <v>17122604245</v>
      </c>
    </row>
    <row r="20" spans="1:6" s="36" customFormat="1" ht="30" customHeight="1">
      <c r="A20" s="37" t="s">
        <v>589</v>
      </c>
      <c r="B20" s="170" t="s">
        <v>600</v>
      </c>
      <c r="C20" s="37" t="s">
        <v>872</v>
      </c>
      <c r="D20" s="359"/>
      <c r="E20" s="324">
        <v>1008010000</v>
      </c>
      <c r="F20" s="324">
        <v>36000000</v>
      </c>
    </row>
    <row r="21" spans="1:6" s="36" customFormat="1" ht="30" customHeight="1">
      <c r="A21" s="37" t="s">
        <v>589</v>
      </c>
      <c r="B21" s="170" t="s">
        <v>601</v>
      </c>
      <c r="C21" s="37" t="s">
        <v>853</v>
      </c>
      <c r="D21" s="359"/>
      <c r="E21" s="324">
        <v>438949250</v>
      </c>
      <c r="F21" s="324">
        <v>3836254186</v>
      </c>
    </row>
    <row r="22" spans="1:6" s="36" customFormat="1" ht="30" customHeight="1">
      <c r="A22" s="37" t="s">
        <v>589</v>
      </c>
      <c r="B22" s="170" t="s">
        <v>602</v>
      </c>
      <c r="C22" s="37" t="s">
        <v>854</v>
      </c>
      <c r="D22" s="359"/>
      <c r="E22" s="324">
        <v>35469305203</v>
      </c>
      <c r="F22" s="324">
        <v>13250350059</v>
      </c>
    </row>
    <row r="23" spans="1:6" s="36" customFormat="1" ht="30" customHeight="1">
      <c r="A23" s="360"/>
      <c r="B23" s="170" t="s">
        <v>954</v>
      </c>
      <c r="C23" s="256" t="s">
        <v>942</v>
      </c>
      <c r="D23" s="170"/>
      <c r="E23" s="324">
        <v>999600000</v>
      </c>
      <c r="F23" s="324">
        <v>0</v>
      </c>
    </row>
    <row r="24" spans="1:6" s="36" customFormat="1" ht="30" customHeight="1">
      <c r="A24" s="37" t="s">
        <v>66</v>
      </c>
      <c r="B24" s="170" t="s">
        <v>676</v>
      </c>
      <c r="C24" s="37" t="s">
        <v>45</v>
      </c>
      <c r="D24" s="359"/>
      <c r="E24" s="324">
        <v>10000000000</v>
      </c>
      <c r="F24" s="324">
        <v>40000000000</v>
      </c>
    </row>
    <row r="25" spans="1:6" s="36" customFormat="1" ht="30" customHeight="1">
      <c r="A25" s="37" t="s">
        <v>660</v>
      </c>
      <c r="B25" s="170" t="s">
        <v>677</v>
      </c>
      <c r="C25" s="37" t="s">
        <v>780</v>
      </c>
      <c r="D25" s="359"/>
      <c r="E25" s="324">
        <v>954248076600</v>
      </c>
      <c r="F25" s="324">
        <v>1030656972200</v>
      </c>
    </row>
    <row r="26" spans="1:6" s="36" customFormat="1" ht="30" customHeight="1">
      <c r="A26" s="37" t="s">
        <v>71</v>
      </c>
      <c r="B26" s="170" t="s">
        <v>678</v>
      </c>
      <c r="C26" s="37" t="s">
        <v>781</v>
      </c>
      <c r="D26" s="359"/>
      <c r="E26" s="324">
        <v>954248076600</v>
      </c>
      <c r="F26" s="324">
        <v>1030656972200</v>
      </c>
    </row>
    <row r="27" spans="1:6" s="39" customFormat="1" ht="30" customHeight="1">
      <c r="A27" s="162" t="s">
        <v>589</v>
      </c>
      <c r="B27" s="170" t="s">
        <v>615</v>
      </c>
      <c r="C27" s="162" t="s">
        <v>484</v>
      </c>
      <c r="D27" s="359"/>
      <c r="E27" s="324">
        <v>784100776600</v>
      </c>
      <c r="F27" s="324">
        <v>870509672200</v>
      </c>
    </row>
    <row r="28" spans="1:6" s="39" customFormat="1" ht="30" customHeight="1">
      <c r="A28" s="162" t="s">
        <v>589</v>
      </c>
      <c r="B28" s="170" t="s">
        <v>616</v>
      </c>
      <c r="C28" s="162" t="s">
        <v>829</v>
      </c>
      <c r="D28" s="359"/>
      <c r="E28" s="324">
        <v>0</v>
      </c>
      <c r="F28" s="324">
        <v>0</v>
      </c>
    </row>
    <row r="29" spans="1:6" s="39" customFormat="1" ht="30" customHeight="1">
      <c r="A29" s="361"/>
      <c r="B29" s="170" t="s">
        <v>618</v>
      </c>
      <c r="C29" s="361" t="s">
        <v>186</v>
      </c>
      <c r="D29" s="362"/>
      <c r="E29" s="324">
        <v>80147300000</v>
      </c>
      <c r="F29" s="324">
        <v>80147300000</v>
      </c>
    </row>
    <row r="30" spans="1:6" s="39" customFormat="1" ht="30" customHeight="1">
      <c r="A30" s="361"/>
      <c r="B30" s="170" t="s">
        <v>619</v>
      </c>
      <c r="C30" s="361" t="s">
        <v>873</v>
      </c>
      <c r="D30" s="362"/>
      <c r="E30" s="324"/>
      <c r="F30" s="324"/>
    </row>
    <row r="31" spans="1:6" s="39" customFormat="1" ht="30" customHeight="1">
      <c r="A31" s="162" t="s">
        <v>589</v>
      </c>
      <c r="B31" s="170" t="s">
        <v>620</v>
      </c>
      <c r="C31" s="162" t="s">
        <v>617</v>
      </c>
      <c r="D31" s="359"/>
      <c r="E31" s="324">
        <v>90000000000</v>
      </c>
      <c r="F31" s="324">
        <v>80000000000</v>
      </c>
    </row>
    <row r="32" spans="1:6" s="39" customFormat="1" ht="30" customHeight="1">
      <c r="A32" s="363" t="s">
        <v>589</v>
      </c>
      <c r="B32" s="170" t="s">
        <v>229</v>
      </c>
      <c r="C32" s="363" t="s">
        <v>487</v>
      </c>
      <c r="D32" s="362"/>
      <c r="E32" s="324">
        <v>0</v>
      </c>
      <c r="F32" s="324">
        <v>0</v>
      </c>
    </row>
    <row r="33" spans="1:6" s="39" customFormat="1" ht="30" customHeight="1">
      <c r="A33" s="363" t="s">
        <v>589</v>
      </c>
      <c r="B33" s="170" t="s">
        <v>490</v>
      </c>
      <c r="C33" s="363" t="s">
        <v>621</v>
      </c>
      <c r="D33" s="362"/>
      <c r="E33" s="324">
        <v>0</v>
      </c>
      <c r="F33" s="324">
        <v>0</v>
      </c>
    </row>
    <row r="34" spans="1:6" s="39" customFormat="1" ht="30" customHeight="1">
      <c r="A34" s="363"/>
      <c r="B34" s="170" t="s">
        <v>953</v>
      </c>
      <c r="C34" s="364">
        <v>121.8</v>
      </c>
      <c r="D34" s="362"/>
      <c r="E34" s="324">
        <v>0</v>
      </c>
      <c r="F34" s="324">
        <v>0</v>
      </c>
    </row>
    <row r="35" spans="1:6" s="39" customFormat="1" ht="30" customHeight="1">
      <c r="A35" s="363" t="s">
        <v>589</v>
      </c>
      <c r="B35" s="170" t="s">
        <v>622</v>
      </c>
      <c r="C35" s="363" t="s">
        <v>943</v>
      </c>
      <c r="D35" s="362"/>
      <c r="E35" s="324">
        <v>0</v>
      </c>
      <c r="F35" s="324">
        <v>0</v>
      </c>
    </row>
    <row r="36" spans="1:6" s="36" customFormat="1" ht="30" customHeight="1">
      <c r="A36" s="37" t="s">
        <v>74</v>
      </c>
      <c r="B36" s="170" t="s">
        <v>679</v>
      </c>
      <c r="C36" s="37" t="s">
        <v>782</v>
      </c>
      <c r="D36" s="37"/>
      <c r="E36" s="324">
        <v>0</v>
      </c>
      <c r="F36" s="324">
        <v>0</v>
      </c>
    </row>
    <row r="37" spans="1:6" s="36" customFormat="1" ht="30" customHeight="1">
      <c r="A37" s="37" t="s">
        <v>661</v>
      </c>
      <c r="B37" s="170" t="s">
        <v>680</v>
      </c>
      <c r="C37" s="37" t="s">
        <v>783</v>
      </c>
      <c r="D37" s="359"/>
      <c r="E37" s="324">
        <v>9640075795</v>
      </c>
      <c r="F37" s="324">
        <v>6694097180</v>
      </c>
    </row>
    <row r="38" spans="1:6" s="36" customFormat="1" ht="30" customHeight="1">
      <c r="A38" s="37" t="s">
        <v>662</v>
      </c>
      <c r="B38" s="171" t="s">
        <v>681</v>
      </c>
      <c r="C38" s="37" t="s">
        <v>0</v>
      </c>
      <c r="D38" s="37"/>
      <c r="E38" s="324">
        <v>1407776000</v>
      </c>
      <c r="F38" s="324">
        <v>0</v>
      </c>
    </row>
    <row r="39" spans="1:6" s="36" customFormat="1" ht="30" customHeight="1">
      <c r="A39" s="37"/>
      <c r="B39" s="171" t="s">
        <v>623</v>
      </c>
      <c r="C39" s="37" t="s">
        <v>784</v>
      </c>
      <c r="D39" s="37"/>
      <c r="E39" s="324">
        <v>0</v>
      </c>
      <c r="F39" s="324">
        <v>0</v>
      </c>
    </row>
    <row r="40" spans="1:6" s="36" customFormat="1" ht="30" customHeight="1">
      <c r="A40" s="37" t="s">
        <v>663</v>
      </c>
      <c r="B40" s="171" t="s">
        <v>682</v>
      </c>
      <c r="C40" s="37" t="s">
        <v>785</v>
      </c>
      <c r="D40" s="37"/>
      <c r="E40" s="324">
        <v>9098699795</v>
      </c>
      <c r="F40" s="324">
        <v>7560497180</v>
      </c>
    </row>
    <row r="41" spans="1:6" s="36" customFormat="1" ht="30" customHeight="1">
      <c r="A41" s="37" t="s">
        <v>664</v>
      </c>
      <c r="B41" s="171" t="s">
        <v>683</v>
      </c>
      <c r="C41" s="37" t="s">
        <v>786</v>
      </c>
      <c r="D41" s="37"/>
      <c r="E41" s="324">
        <v>866400000</v>
      </c>
      <c r="F41" s="324">
        <v>866400000</v>
      </c>
    </row>
    <row r="42" spans="1:6" s="36" customFormat="1" ht="34.5" customHeight="1">
      <c r="A42" s="37" t="s">
        <v>589</v>
      </c>
      <c r="B42" s="170" t="s">
        <v>480</v>
      </c>
      <c r="C42" s="37" t="s">
        <v>874</v>
      </c>
      <c r="D42" s="37"/>
      <c r="E42" s="324">
        <v>866400000</v>
      </c>
      <c r="F42" s="324">
        <v>866400000</v>
      </c>
    </row>
    <row r="43" spans="1:6" s="36" customFormat="1" ht="35.25" customHeight="1">
      <c r="A43" s="37" t="s">
        <v>589</v>
      </c>
      <c r="B43" s="170" t="s">
        <v>624</v>
      </c>
      <c r="C43" s="37" t="s">
        <v>875</v>
      </c>
      <c r="D43" s="37"/>
      <c r="E43" s="324">
        <v>0</v>
      </c>
      <c r="F43" s="324">
        <v>0</v>
      </c>
    </row>
    <row r="44" spans="1:6" s="36" customFormat="1" ht="48.75" customHeight="1">
      <c r="A44" s="37" t="s">
        <v>589</v>
      </c>
      <c r="B44" s="170" t="s">
        <v>481</v>
      </c>
      <c r="C44" s="37" t="s">
        <v>876</v>
      </c>
      <c r="D44" s="37"/>
      <c r="E44" s="324">
        <v>0</v>
      </c>
      <c r="F44" s="324">
        <v>0</v>
      </c>
    </row>
    <row r="45" spans="1:6" s="36" customFormat="1" ht="39" customHeight="1">
      <c r="A45" s="37" t="s">
        <v>589</v>
      </c>
      <c r="B45" s="170" t="s">
        <v>625</v>
      </c>
      <c r="C45" s="37" t="s">
        <v>877</v>
      </c>
      <c r="D45" s="37"/>
      <c r="E45" s="324">
        <v>0</v>
      </c>
      <c r="F45" s="324">
        <v>0</v>
      </c>
    </row>
    <row r="46" spans="1:6" s="36" customFormat="1" ht="35.25" customHeight="1">
      <c r="A46" s="37"/>
      <c r="B46" s="170" t="s">
        <v>626</v>
      </c>
      <c r="C46" s="37" t="s">
        <v>878</v>
      </c>
      <c r="D46" s="37"/>
      <c r="E46" s="324">
        <v>0</v>
      </c>
      <c r="F46" s="324">
        <v>0</v>
      </c>
    </row>
    <row r="47" spans="1:6" s="36" customFormat="1" ht="42" customHeight="1">
      <c r="A47" s="37" t="s">
        <v>589</v>
      </c>
      <c r="B47" s="170" t="s">
        <v>627</v>
      </c>
      <c r="C47" s="37" t="s">
        <v>787</v>
      </c>
      <c r="D47" s="37"/>
      <c r="E47" s="324">
        <v>866400000</v>
      </c>
      <c r="F47" s="324">
        <v>866400000</v>
      </c>
    </row>
    <row r="48" spans="1:6" s="36" customFormat="1" ht="33" customHeight="1">
      <c r="A48" s="37" t="s">
        <v>665</v>
      </c>
      <c r="B48" s="170" t="s">
        <v>684</v>
      </c>
      <c r="C48" s="37" t="s">
        <v>46</v>
      </c>
      <c r="D48" s="37"/>
      <c r="E48" s="324">
        <v>8232299795</v>
      </c>
      <c r="F48" s="324">
        <v>6694097180</v>
      </c>
    </row>
    <row r="49" spans="1:6" s="36" customFormat="1" ht="25">
      <c r="A49" s="37"/>
      <c r="B49" s="171" t="s">
        <v>629</v>
      </c>
      <c r="C49" s="37" t="s">
        <v>879</v>
      </c>
      <c r="D49" s="37"/>
      <c r="E49" s="324">
        <v>295620000</v>
      </c>
      <c r="F49" s="324">
        <v>520880000</v>
      </c>
    </row>
    <row r="50" spans="1:6" s="36" customFormat="1" ht="29.25" customHeight="1">
      <c r="A50" s="37"/>
      <c r="B50" s="171" t="s">
        <v>630</v>
      </c>
      <c r="C50" s="37" t="s">
        <v>880</v>
      </c>
      <c r="D50" s="37"/>
      <c r="E50" s="324">
        <v>1774880137</v>
      </c>
      <c r="F50" s="324">
        <v>2264931507</v>
      </c>
    </row>
    <row r="51" spans="1:6" s="113" customFormat="1" ht="37.5">
      <c r="A51" s="37"/>
      <c r="B51" s="170" t="s">
        <v>631</v>
      </c>
      <c r="C51" s="37" t="s">
        <v>485</v>
      </c>
      <c r="D51" s="37"/>
      <c r="E51" s="324">
        <v>1643836</v>
      </c>
      <c r="F51" s="324">
        <v>24109588</v>
      </c>
    </row>
    <row r="52" spans="1:6" s="113" customFormat="1" ht="42.75" customHeight="1">
      <c r="A52" s="37"/>
      <c r="B52" s="170" t="s">
        <v>632</v>
      </c>
      <c r="C52" s="37" t="s">
        <v>881</v>
      </c>
      <c r="D52" s="37"/>
      <c r="E52" s="324">
        <v>0</v>
      </c>
      <c r="F52" s="324">
        <v>0</v>
      </c>
    </row>
    <row r="53" spans="1:6" s="113" customFormat="1" ht="25">
      <c r="A53" s="37"/>
      <c r="B53" s="170" t="s">
        <v>633</v>
      </c>
      <c r="C53" s="37" t="s">
        <v>628</v>
      </c>
      <c r="D53" s="37"/>
      <c r="E53" s="324">
        <v>6160155822</v>
      </c>
      <c r="F53" s="324">
        <v>3884176085</v>
      </c>
    </row>
    <row r="54" spans="1:6" s="36" customFormat="1" ht="31.5" customHeight="1">
      <c r="A54" s="37" t="s">
        <v>666</v>
      </c>
      <c r="B54" s="171" t="s">
        <v>685</v>
      </c>
      <c r="C54" s="37" t="s">
        <v>47</v>
      </c>
      <c r="D54" s="37"/>
      <c r="E54" s="324">
        <v>0</v>
      </c>
      <c r="F54" s="324">
        <v>0</v>
      </c>
    </row>
    <row r="55" spans="1:6" s="36" customFormat="1" ht="31.5" customHeight="1">
      <c r="A55" s="37" t="s">
        <v>667</v>
      </c>
      <c r="B55" s="171" t="s">
        <v>686</v>
      </c>
      <c r="C55" s="37" t="s">
        <v>48</v>
      </c>
      <c r="D55" s="37"/>
      <c r="E55" s="324">
        <v>-866400000</v>
      </c>
      <c r="F55" s="324">
        <v>-866400000</v>
      </c>
    </row>
    <row r="56" spans="1:6" s="36" customFormat="1" ht="31.5" customHeight="1">
      <c r="A56" s="40" t="s">
        <v>589</v>
      </c>
      <c r="B56" s="357" t="s">
        <v>214</v>
      </c>
      <c r="C56" s="365" t="s">
        <v>788</v>
      </c>
      <c r="D56" s="40"/>
      <c r="E56" s="366">
        <v>1011804016848</v>
      </c>
      <c r="F56" s="366">
        <v>1094473673625</v>
      </c>
    </row>
    <row r="57" spans="1:6" s="36" customFormat="1" ht="31.5" customHeight="1">
      <c r="A57" s="365" t="s">
        <v>49</v>
      </c>
      <c r="B57" s="357" t="s">
        <v>687</v>
      </c>
      <c r="C57" s="365" t="s">
        <v>49</v>
      </c>
      <c r="D57" s="40"/>
      <c r="E57" s="366"/>
      <c r="F57" s="366"/>
    </row>
    <row r="58" spans="1:6" s="36" customFormat="1" ht="31.5" customHeight="1">
      <c r="A58" s="37" t="s">
        <v>659</v>
      </c>
      <c r="B58" s="171" t="s">
        <v>688</v>
      </c>
      <c r="C58" s="37" t="s">
        <v>1</v>
      </c>
      <c r="D58" s="37"/>
      <c r="E58" s="324">
        <v>0</v>
      </c>
      <c r="F58" s="324">
        <v>0</v>
      </c>
    </row>
    <row r="59" spans="1:6" s="36" customFormat="1" ht="31.5" customHeight="1">
      <c r="A59" s="37"/>
      <c r="B59" s="170" t="s">
        <v>1021</v>
      </c>
      <c r="C59" s="37" t="s">
        <v>882</v>
      </c>
      <c r="D59" s="37"/>
      <c r="E59" s="324">
        <v>0</v>
      </c>
      <c r="F59" s="324">
        <v>0</v>
      </c>
    </row>
    <row r="60" spans="1:6" s="36" customFormat="1" ht="31.5" customHeight="1">
      <c r="A60" s="37"/>
      <c r="B60" s="170" t="s">
        <v>1022</v>
      </c>
      <c r="C60" s="37" t="s">
        <v>883</v>
      </c>
      <c r="D60" s="37"/>
      <c r="E60" s="324">
        <v>0</v>
      </c>
      <c r="F60" s="324">
        <v>0</v>
      </c>
    </row>
    <row r="61" spans="1:6" s="36" customFormat="1" ht="31.5" customHeight="1">
      <c r="A61" s="37" t="s">
        <v>660</v>
      </c>
      <c r="B61" s="171" t="s">
        <v>689</v>
      </c>
      <c r="C61" s="37" t="s">
        <v>2</v>
      </c>
      <c r="D61" s="37"/>
      <c r="E61" s="324">
        <v>1771104000</v>
      </c>
      <c r="F61" s="324">
        <v>0</v>
      </c>
    </row>
    <row r="62" spans="1:6" s="36" customFormat="1" ht="59.25" customHeight="1">
      <c r="A62" s="37" t="s">
        <v>661</v>
      </c>
      <c r="B62" s="171" t="s">
        <v>690</v>
      </c>
      <c r="C62" s="37" t="s">
        <v>50</v>
      </c>
      <c r="D62" s="359"/>
      <c r="E62" s="324">
        <v>153225899</v>
      </c>
      <c r="F62" s="324">
        <v>411893233</v>
      </c>
    </row>
    <row r="63" spans="1:6" s="36" customFormat="1" ht="33" customHeight="1">
      <c r="A63" s="37" t="s">
        <v>668</v>
      </c>
      <c r="B63" s="171" t="s">
        <v>691</v>
      </c>
      <c r="C63" s="37" t="s">
        <v>3</v>
      </c>
      <c r="D63" s="359"/>
      <c r="E63" s="324">
        <v>8826373</v>
      </c>
      <c r="F63" s="324">
        <v>30142233</v>
      </c>
    </row>
    <row r="64" spans="1:6" s="36" customFormat="1" ht="33" customHeight="1">
      <c r="A64" s="37" t="s">
        <v>669</v>
      </c>
      <c r="B64" s="171" t="s">
        <v>692</v>
      </c>
      <c r="C64" s="37" t="s">
        <v>4</v>
      </c>
      <c r="D64" s="37"/>
      <c r="E64" s="324">
        <v>39925000</v>
      </c>
      <c r="F64" s="324">
        <v>39925000</v>
      </c>
    </row>
    <row r="65" spans="1:6" s="36" customFormat="1" ht="33" customHeight="1">
      <c r="A65" s="37" t="s">
        <v>670</v>
      </c>
      <c r="B65" s="171" t="s">
        <v>693</v>
      </c>
      <c r="C65" s="37" t="s">
        <v>789</v>
      </c>
      <c r="D65" s="359"/>
      <c r="E65" s="324">
        <v>214206772</v>
      </c>
      <c r="F65" s="324">
        <v>165384516</v>
      </c>
    </row>
    <row r="66" spans="1:6" s="36" customFormat="1" ht="33" customHeight="1">
      <c r="A66" s="367" t="s">
        <v>589</v>
      </c>
      <c r="B66" s="171" t="s">
        <v>638</v>
      </c>
      <c r="C66" s="367" t="s">
        <v>884</v>
      </c>
      <c r="D66" s="359"/>
      <c r="E66" s="324">
        <v>29903840</v>
      </c>
      <c r="F66" s="324">
        <v>25135520</v>
      </c>
    </row>
    <row r="67" spans="1:6" s="36" customFormat="1" ht="33" customHeight="1">
      <c r="A67" s="162" t="s">
        <v>589</v>
      </c>
      <c r="B67" s="170" t="s">
        <v>634</v>
      </c>
      <c r="C67" s="162" t="s">
        <v>635</v>
      </c>
      <c r="D67" s="359"/>
      <c r="E67" s="324">
        <v>29903840</v>
      </c>
      <c r="F67" s="324">
        <v>25135520</v>
      </c>
    </row>
    <row r="68" spans="1:6" s="36" customFormat="1" ht="33" customHeight="1">
      <c r="A68" s="162" t="s">
        <v>589</v>
      </c>
      <c r="B68" s="170" t="s">
        <v>636</v>
      </c>
      <c r="C68" s="162" t="s">
        <v>637</v>
      </c>
      <c r="D68" s="359"/>
      <c r="E68" s="324">
        <v>0</v>
      </c>
      <c r="F68" s="324">
        <v>0</v>
      </c>
    </row>
    <row r="69" spans="1:6" s="36" customFormat="1" ht="33" customHeight="1">
      <c r="A69" s="367" t="s">
        <v>589</v>
      </c>
      <c r="B69" s="171" t="s">
        <v>639</v>
      </c>
      <c r="C69" s="367" t="s">
        <v>885</v>
      </c>
      <c r="D69" s="359"/>
      <c r="E69" s="324">
        <v>90004087</v>
      </c>
      <c r="F69" s="324">
        <v>44753414</v>
      </c>
    </row>
    <row r="70" spans="1:6" s="36" customFormat="1" ht="33" customHeight="1">
      <c r="A70" s="367" t="s">
        <v>589</v>
      </c>
      <c r="B70" s="171" t="s">
        <v>640</v>
      </c>
      <c r="C70" s="367" t="s">
        <v>886</v>
      </c>
      <c r="D70" s="359"/>
      <c r="E70" s="324">
        <v>35802742</v>
      </c>
      <c r="F70" s="324">
        <v>41237818</v>
      </c>
    </row>
    <row r="71" spans="1:6" s="36" customFormat="1" ht="33" customHeight="1">
      <c r="A71" s="367" t="s">
        <v>589</v>
      </c>
      <c r="B71" s="171" t="s">
        <v>641</v>
      </c>
      <c r="C71" s="367" t="s">
        <v>887</v>
      </c>
      <c r="D71" s="359"/>
      <c r="E71" s="324">
        <v>33066000</v>
      </c>
      <c r="F71" s="324">
        <v>33066000</v>
      </c>
    </row>
    <row r="72" spans="1:6" s="36" customFormat="1" ht="44.25" customHeight="1">
      <c r="A72" s="367" t="s">
        <v>589</v>
      </c>
      <c r="B72" s="171" t="s">
        <v>642</v>
      </c>
      <c r="C72" s="367" t="s">
        <v>888</v>
      </c>
      <c r="D72" s="359"/>
      <c r="E72" s="324">
        <v>25430103</v>
      </c>
      <c r="F72" s="324">
        <v>21191764</v>
      </c>
    </row>
    <row r="73" spans="1:6" s="36" customFormat="1" ht="30" customHeight="1">
      <c r="A73" s="37" t="s">
        <v>671</v>
      </c>
      <c r="B73" s="171" t="s">
        <v>240</v>
      </c>
      <c r="C73" s="37" t="s">
        <v>790</v>
      </c>
      <c r="D73" s="37"/>
      <c r="E73" s="324">
        <v>1071510000</v>
      </c>
      <c r="F73" s="324">
        <v>152400000</v>
      </c>
    </row>
    <row r="74" spans="1:6" s="36" customFormat="1" ht="30" customHeight="1">
      <c r="A74" s="37" t="s">
        <v>589</v>
      </c>
      <c r="B74" s="170" t="s">
        <v>643</v>
      </c>
      <c r="C74" s="37" t="s">
        <v>791</v>
      </c>
      <c r="D74" s="37"/>
      <c r="E74" s="324">
        <v>1071510000</v>
      </c>
      <c r="F74" s="324">
        <v>152400000</v>
      </c>
    </row>
    <row r="75" spans="1:6" s="36" customFormat="1" ht="30" customHeight="1">
      <c r="A75" s="37" t="s">
        <v>589</v>
      </c>
      <c r="B75" s="170" t="s">
        <v>644</v>
      </c>
      <c r="C75" s="37" t="s">
        <v>792</v>
      </c>
      <c r="D75" s="37"/>
      <c r="E75" s="324">
        <v>0</v>
      </c>
      <c r="F75" s="324">
        <v>0</v>
      </c>
    </row>
    <row r="76" spans="1:6" s="36" customFormat="1" ht="30" customHeight="1">
      <c r="A76" s="37" t="s">
        <v>672</v>
      </c>
      <c r="B76" s="170" t="s">
        <v>694</v>
      </c>
      <c r="C76" s="37" t="s">
        <v>5</v>
      </c>
      <c r="D76" s="37"/>
      <c r="E76" s="324">
        <v>2248800568</v>
      </c>
      <c r="F76" s="324">
        <v>4258746113</v>
      </c>
    </row>
    <row r="77" spans="1:6" s="36" customFormat="1" ht="30" customHeight="1">
      <c r="A77" s="37" t="s">
        <v>673</v>
      </c>
      <c r="B77" s="170" t="s">
        <v>695</v>
      </c>
      <c r="C77" s="37" t="s">
        <v>793</v>
      </c>
      <c r="D77" s="359"/>
      <c r="E77" s="324">
        <v>1698666239</v>
      </c>
      <c r="F77" s="324">
        <v>1954192571</v>
      </c>
    </row>
    <row r="78" spans="1:6" s="36" customFormat="1" ht="30" customHeight="1">
      <c r="A78" s="162" t="s">
        <v>589</v>
      </c>
      <c r="B78" s="170" t="s">
        <v>645</v>
      </c>
      <c r="C78" s="162" t="s">
        <v>889</v>
      </c>
      <c r="D78" s="359"/>
      <c r="E78" s="324">
        <v>1586307900</v>
      </c>
      <c r="F78" s="324">
        <v>1833361881</v>
      </c>
    </row>
    <row r="79" spans="1:6" s="36" customFormat="1" ht="30" customHeight="1">
      <c r="A79" s="162" t="s">
        <v>589</v>
      </c>
      <c r="B79" s="170" t="s">
        <v>646</v>
      </c>
      <c r="C79" s="162" t="s">
        <v>890</v>
      </c>
      <c r="D79" s="359"/>
      <c r="E79" s="324">
        <v>43193715</v>
      </c>
      <c r="F79" s="324">
        <v>42607422</v>
      </c>
    </row>
    <row r="80" spans="1:6" s="36" customFormat="1" ht="30" customHeight="1">
      <c r="A80" s="162" t="s">
        <v>589</v>
      </c>
      <c r="B80" s="170" t="s">
        <v>473</v>
      </c>
      <c r="C80" s="162" t="s">
        <v>647</v>
      </c>
      <c r="D80" s="359"/>
      <c r="E80" s="324">
        <v>38193715</v>
      </c>
      <c r="F80" s="324">
        <v>37607422</v>
      </c>
    </row>
    <row r="81" spans="1:6" s="36" customFormat="1" ht="30" customHeight="1">
      <c r="A81" s="162" t="s">
        <v>589</v>
      </c>
      <c r="B81" s="170" t="s">
        <v>369</v>
      </c>
      <c r="C81" s="162" t="s">
        <v>648</v>
      </c>
      <c r="D81" s="359"/>
      <c r="E81" s="324">
        <v>5000000</v>
      </c>
      <c r="F81" s="324">
        <v>5000000</v>
      </c>
    </row>
    <row r="82" spans="1:6" s="36" customFormat="1" ht="30" customHeight="1">
      <c r="A82" s="162" t="s">
        <v>589</v>
      </c>
      <c r="B82" s="170" t="s">
        <v>468</v>
      </c>
      <c r="C82" s="162" t="s">
        <v>649</v>
      </c>
      <c r="D82" s="359"/>
      <c r="E82" s="324">
        <v>0</v>
      </c>
      <c r="F82" s="324">
        <v>0</v>
      </c>
    </row>
    <row r="83" spans="1:6" s="36" customFormat="1" ht="30" customHeight="1">
      <c r="A83" s="162" t="s">
        <v>589</v>
      </c>
      <c r="B83" s="170" t="s">
        <v>650</v>
      </c>
      <c r="C83" s="162" t="s">
        <v>891</v>
      </c>
      <c r="D83" s="359"/>
      <c r="E83" s="324">
        <v>22371010</v>
      </c>
      <c r="F83" s="324">
        <v>25855103</v>
      </c>
    </row>
    <row r="84" spans="1:6" s="36" customFormat="1" ht="30" customHeight="1">
      <c r="A84" s="162" t="s">
        <v>589</v>
      </c>
      <c r="B84" s="170" t="s">
        <v>651</v>
      </c>
      <c r="C84" s="162" t="s">
        <v>892</v>
      </c>
      <c r="D84" s="359"/>
      <c r="E84" s="324">
        <v>35793614</v>
      </c>
      <c r="F84" s="324">
        <v>41368165</v>
      </c>
    </row>
    <row r="85" spans="1:6" s="36" customFormat="1" ht="30" customHeight="1">
      <c r="A85" s="162" t="s">
        <v>589</v>
      </c>
      <c r="B85" s="170" t="s">
        <v>652</v>
      </c>
      <c r="C85" s="162" t="s">
        <v>893</v>
      </c>
      <c r="D85" s="359"/>
      <c r="E85" s="324">
        <v>11000000</v>
      </c>
      <c r="F85" s="324">
        <v>11000000</v>
      </c>
    </row>
    <row r="86" spans="1:6" s="36" customFormat="1" ht="39.75" customHeight="1">
      <c r="A86" s="162" t="s">
        <v>589</v>
      </c>
      <c r="B86" s="170" t="s">
        <v>653</v>
      </c>
      <c r="C86" s="162" t="s">
        <v>794</v>
      </c>
      <c r="D86" s="359"/>
      <c r="E86" s="324">
        <v>0</v>
      </c>
      <c r="F86" s="324">
        <v>0</v>
      </c>
    </row>
    <row r="87" spans="1:6" s="36" customFormat="1" ht="40.5" customHeight="1">
      <c r="A87" s="162" t="s">
        <v>589</v>
      </c>
      <c r="B87" s="170" t="s">
        <v>654</v>
      </c>
      <c r="C87" s="162" t="s">
        <v>795</v>
      </c>
      <c r="D87" s="359"/>
      <c r="E87" s="324">
        <v>0</v>
      </c>
      <c r="F87" s="324">
        <v>0</v>
      </c>
    </row>
    <row r="88" spans="1:6" s="113" customFormat="1" ht="31.5" customHeight="1">
      <c r="A88" s="37" t="s">
        <v>18</v>
      </c>
      <c r="B88" s="170" t="s">
        <v>696</v>
      </c>
      <c r="C88" s="37" t="s">
        <v>796</v>
      </c>
      <c r="D88" s="359"/>
      <c r="E88" s="324">
        <v>176482966</v>
      </c>
      <c r="F88" s="324">
        <v>232521966</v>
      </c>
    </row>
    <row r="89" spans="1:6" s="36" customFormat="1" ht="25">
      <c r="A89" s="37" t="s">
        <v>589</v>
      </c>
      <c r="B89" s="171" t="s">
        <v>482</v>
      </c>
      <c r="C89" s="37" t="s">
        <v>894</v>
      </c>
      <c r="D89" s="359"/>
      <c r="E89" s="324">
        <v>0</v>
      </c>
      <c r="F89" s="324">
        <v>19010000</v>
      </c>
    </row>
    <row r="90" spans="1:6" s="36" customFormat="1" ht="37.5">
      <c r="A90" s="37" t="s">
        <v>589</v>
      </c>
      <c r="B90" s="170" t="s">
        <v>655</v>
      </c>
      <c r="C90" s="37" t="s">
        <v>895</v>
      </c>
      <c r="D90" s="359"/>
      <c r="E90" s="324">
        <v>0</v>
      </c>
      <c r="F90" s="324">
        <v>37029000</v>
      </c>
    </row>
    <row r="91" spans="1:6" s="36" customFormat="1" ht="31.5" customHeight="1">
      <c r="A91" s="37" t="s">
        <v>589</v>
      </c>
      <c r="B91" s="170" t="s">
        <v>656</v>
      </c>
      <c r="C91" s="37" t="s">
        <v>896</v>
      </c>
      <c r="D91" s="359"/>
      <c r="E91" s="324">
        <v>0</v>
      </c>
      <c r="F91" s="324">
        <v>0</v>
      </c>
    </row>
    <row r="92" spans="1:6" s="36" customFormat="1" ht="31.5" customHeight="1">
      <c r="A92" s="37" t="s">
        <v>589</v>
      </c>
      <c r="B92" s="170" t="s">
        <v>657</v>
      </c>
      <c r="C92" s="37" t="s">
        <v>797</v>
      </c>
      <c r="D92" s="359"/>
      <c r="E92" s="324">
        <v>0</v>
      </c>
      <c r="F92" s="324">
        <v>0</v>
      </c>
    </row>
    <row r="93" spans="1:6" s="36" customFormat="1" ht="28.5" customHeight="1">
      <c r="A93" s="37" t="s">
        <v>589</v>
      </c>
      <c r="B93" s="171" t="s">
        <v>483</v>
      </c>
      <c r="C93" s="37" t="s">
        <v>658</v>
      </c>
      <c r="D93" s="359"/>
      <c r="E93" s="324">
        <v>176482966</v>
      </c>
      <c r="F93" s="324">
        <v>176482966</v>
      </c>
    </row>
    <row r="94" spans="1:6" s="36" customFormat="1" ht="31.5" customHeight="1">
      <c r="A94" s="365" t="s">
        <v>589</v>
      </c>
      <c r="B94" s="357" t="s">
        <v>215</v>
      </c>
      <c r="C94" s="365" t="s">
        <v>798</v>
      </c>
      <c r="D94" s="40"/>
      <c r="E94" s="366">
        <v>7382747817</v>
      </c>
      <c r="F94" s="366">
        <v>7245205632</v>
      </c>
    </row>
    <row r="95" spans="1:6" s="36" customFormat="1" ht="45.75" customHeight="1">
      <c r="A95" s="365" t="s">
        <v>115</v>
      </c>
      <c r="B95" s="357" t="s">
        <v>697</v>
      </c>
      <c r="C95" s="365" t="s">
        <v>799</v>
      </c>
      <c r="D95" s="40"/>
      <c r="E95" s="366">
        <v>1004421269031</v>
      </c>
      <c r="F95" s="366">
        <v>1087228467993</v>
      </c>
    </row>
    <row r="96" spans="1:6" s="36" customFormat="1" ht="31.5" customHeight="1">
      <c r="A96" s="37" t="s">
        <v>659</v>
      </c>
      <c r="B96" s="171" t="s">
        <v>698</v>
      </c>
      <c r="C96" s="37" t="s">
        <v>800</v>
      </c>
      <c r="D96" s="37"/>
      <c r="E96" s="324">
        <v>264310845300</v>
      </c>
      <c r="F96" s="324">
        <v>281776056400</v>
      </c>
    </row>
    <row r="97" spans="1:6" s="36" customFormat="1" ht="31.5" customHeight="1">
      <c r="A97" s="37" t="s">
        <v>63</v>
      </c>
      <c r="B97" s="171" t="s">
        <v>699</v>
      </c>
      <c r="C97" s="37" t="s">
        <v>6</v>
      </c>
      <c r="D97" s="37"/>
      <c r="E97" s="324">
        <v>1598373561600</v>
      </c>
      <c r="F97" s="324">
        <v>1591702396200</v>
      </c>
    </row>
    <row r="98" spans="1:6" s="36" customFormat="1" ht="31.5" customHeight="1">
      <c r="A98" s="37" t="s">
        <v>66</v>
      </c>
      <c r="B98" s="171" t="s">
        <v>986</v>
      </c>
      <c r="C98" s="37" t="s">
        <v>51</v>
      </c>
      <c r="D98" s="37"/>
      <c r="E98" s="324">
        <v>-1334062716300</v>
      </c>
      <c r="F98" s="324">
        <v>-1309926339800</v>
      </c>
    </row>
    <row r="99" spans="1:6" s="36" customFormat="1" ht="31.5" customHeight="1">
      <c r="A99" s="37" t="s">
        <v>660</v>
      </c>
      <c r="B99" s="171" t="s">
        <v>700</v>
      </c>
      <c r="C99" s="37" t="s">
        <v>52</v>
      </c>
      <c r="D99" s="37"/>
      <c r="E99" s="324">
        <v>547120847089</v>
      </c>
      <c r="F99" s="324">
        <v>596837256741</v>
      </c>
    </row>
    <row r="100" spans="1:6" s="36" customFormat="1" ht="31.5" customHeight="1">
      <c r="A100" s="37" t="s">
        <v>661</v>
      </c>
      <c r="B100" s="171" t="s">
        <v>701</v>
      </c>
      <c r="C100" s="37" t="s">
        <v>7</v>
      </c>
      <c r="D100" s="359"/>
      <c r="E100" s="324">
        <v>192989576642</v>
      </c>
      <c r="F100" s="324">
        <v>208615154852</v>
      </c>
    </row>
    <row r="101" spans="1:6" s="36" customFormat="1" ht="31.5" customHeight="1">
      <c r="A101" s="37" t="s">
        <v>662</v>
      </c>
      <c r="B101" s="171" t="s">
        <v>702</v>
      </c>
      <c r="C101" s="37" t="s">
        <v>897</v>
      </c>
      <c r="D101" s="37"/>
      <c r="E101" s="324">
        <v>208615154852</v>
      </c>
      <c r="F101" s="324">
        <v>158260038965</v>
      </c>
    </row>
    <row r="102" spans="1:6" s="36" customFormat="1" ht="31.5" customHeight="1">
      <c r="A102" s="37" t="s">
        <v>663</v>
      </c>
      <c r="B102" s="171" t="s">
        <v>703</v>
      </c>
      <c r="C102" s="37" t="s">
        <v>898</v>
      </c>
      <c r="D102" s="37"/>
      <c r="E102" s="324">
        <v>-15625578210</v>
      </c>
      <c r="F102" s="324">
        <v>50355115887</v>
      </c>
    </row>
    <row r="103" spans="1:6" s="36" customFormat="1" ht="45" customHeight="1">
      <c r="A103" s="365" t="s">
        <v>116</v>
      </c>
      <c r="B103" s="357" t="s">
        <v>704</v>
      </c>
      <c r="C103" s="365" t="s">
        <v>801</v>
      </c>
      <c r="D103" s="40"/>
      <c r="E103" s="368">
        <v>38001.51</v>
      </c>
      <c r="F103" s="369">
        <v>38584.839999999997</v>
      </c>
    </row>
    <row r="104" spans="1:6" s="36" customFormat="1" ht="33" customHeight="1">
      <c r="A104" s="365" t="s">
        <v>119</v>
      </c>
      <c r="B104" s="357" t="s">
        <v>705</v>
      </c>
      <c r="C104" s="365" t="s">
        <v>802</v>
      </c>
      <c r="D104" s="40"/>
      <c r="E104" s="370">
        <v>0</v>
      </c>
      <c r="F104" s="370">
        <v>0</v>
      </c>
    </row>
    <row r="105" spans="1:6" s="36" customFormat="1" ht="33" customHeight="1">
      <c r="A105" s="37" t="s">
        <v>659</v>
      </c>
      <c r="B105" s="171" t="s">
        <v>706</v>
      </c>
      <c r="C105" s="37" t="s">
        <v>803</v>
      </c>
      <c r="D105" s="37"/>
      <c r="E105" s="324">
        <v>0</v>
      </c>
      <c r="F105" s="324">
        <v>0</v>
      </c>
    </row>
    <row r="106" spans="1:6" s="36" customFormat="1" ht="47.25" customHeight="1">
      <c r="A106" s="37" t="s">
        <v>660</v>
      </c>
      <c r="B106" s="171" t="s">
        <v>707</v>
      </c>
      <c r="C106" s="37" t="s">
        <v>804</v>
      </c>
      <c r="D106" s="37"/>
      <c r="E106" s="324">
        <v>0</v>
      </c>
      <c r="F106" s="324">
        <v>0</v>
      </c>
    </row>
    <row r="107" spans="1:6" s="36" customFormat="1" ht="45" customHeight="1">
      <c r="A107" s="365" t="s">
        <v>53</v>
      </c>
      <c r="B107" s="357" t="s">
        <v>216</v>
      </c>
      <c r="C107" s="365" t="s">
        <v>53</v>
      </c>
      <c r="D107" s="40"/>
      <c r="E107" s="370"/>
      <c r="F107" s="370"/>
    </row>
    <row r="108" spans="1:6" s="36" customFormat="1" ht="30.75" customHeight="1">
      <c r="A108" s="163" t="s">
        <v>659</v>
      </c>
      <c r="B108" s="171" t="s">
        <v>708</v>
      </c>
      <c r="C108" s="163" t="s">
        <v>805</v>
      </c>
      <c r="D108" s="37"/>
      <c r="E108" s="371">
        <v>0</v>
      </c>
      <c r="F108" s="371">
        <v>0</v>
      </c>
    </row>
    <row r="109" spans="1:6" s="36" customFormat="1" ht="30.75" customHeight="1">
      <c r="A109" s="163" t="s">
        <v>660</v>
      </c>
      <c r="B109" s="171" t="s">
        <v>709</v>
      </c>
      <c r="C109" s="163" t="s">
        <v>806</v>
      </c>
      <c r="D109" s="37"/>
      <c r="E109" s="371">
        <v>0</v>
      </c>
      <c r="F109" s="371">
        <v>0</v>
      </c>
    </row>
    <row r="110" spans="1:6" s="36" customFormat="1" ht="30.75" customHeight="1">
      <c r="A110" s="163" t="s">
        <v>661</v>
      </c>
      <c r="B110" s="171" t="s">
        <v>710</v>
      </c>
      <c r="C110" s="163" t="s">
        <v>807</v>
      </c>
      <c r="D110" s="37"/>
      <c r="E110" s="371">
        <v>0</v>
      </c>
      <c r="F110" s="371">
        <v>0</v>
      </c>
    </row>
    <row r="111" spans="1:6" s="36" customFormat="1" ht="30.75" customHeight="1">
      <c r="A111" s="163" t="s">
        <v>668</v>
      </c>
      <c r="B111" s="171" t="s">
        <v>711</v>
      </c>
      <c r="C111" s="163" t="s">
        <v>808</v>
      </c>
      <c r="D111" s="37"/>
      <c r="E111" s="372">
        <v>26431084.530000024</v>
      </c>
      <c r="F111" s="373">
        <v>28177605.640000001</v>
      </c>
    </row>
    <row r="112" spans="1:6" s="36" customFormat="1">
      <c r="A112" s="273"/>
      <c r="B112" s="274"/>
      <c r="C112" s="273"/>
      <c r="D112" s="275"/>
      <c r="E112" s="276"/>
      <c r="F112" s="276"/>
    </row>
    <row r="113" spans="1:6" s="36" customFormat="1">
      <c r="A113" s="277"/>
      <c r="B113" s="278"/>
      <c r="C113" s="277"/>
      <c r="D113" s="279"/>
      <c r="E113" s="280"/>
      <c r="F113" s="280"/>
    </row>
    <row r="114" spans="1:6" s="36" customFormat="1">
      <c r="A114" s="277"/>
      <c r="B114" s="278"/>
      <c r="C114" s="277"/>
      <c r="D114" s="279"/>
      <c r="E114" s="280"/>
      <c r="F114" s="280"/>
    </row>
    <row r="115" spans="1:6" s="36" customFormat="1">
      <c r="A115" s="277"/>
      <c r="B115" s="278"/>
      <c r="C115" s="277"/>
      <c r="D115" s="279"/>
      <c r="E115" s="280"/>
      <c r="F115" s="280"/>
    </row>
    <row r="116" spans="1:6" s="36" customFormat="1">
      <c r="A116" s="437" t="s">
        <v>830</v>
      </c>
      <c r="B116" s="437"/>
      <c r="C116" s="423" t="s">
        <v>831</v>
      </c>
      <c r="D116" s="423"/>
      <c r="E116" s="423"/>
      <c r="F116" s="423"/>
    </row>
    <row r="117" spans="1:6" s="36" customFormat="1">
      <c r="A117" s="25"/>
      <c r="B117" s="25"/>
      <c r="C117" s="21"/>
      <c r="D117" s="21"/>
      <c r="E117" s="26"/>
      <c r="F117" s="27"/>
    </row>
    <row r="118" spans="1:6" s="36" customFormat="1">
      <c r="A118" s="25"/>
      <c r="B118" s="25"/>
      <c r="C118" s="21"/>
      <c r="D118" s="181"/>
      <c r="E118" s="26"/>
      <c r="F118" s="27"/>
    </row>
    <row r="119" spans="1:6" s="36" customFormat="1">
      <c r="A119" s="25"/>
      <c r="B119" s="25"/>
      <c r="C119" s="21"/>
      <c r="D119" s="180"/>
      <c r="E119" s="26"/>
      <c r="F119" s="27"/>
    </row>
    <row r="120" spans="1:6" s="36" customFormat="1">
      <c r="A120" s="25"/>
      <c r="B120" s="25"/>
      <c r="C120" s="21"/>
      <c r="D120" s="180"/>
      <c r="E120" s="26"/>
      <c r="F120" s="27"/>
    </row>
    <row r="121" spans="1:6" s="36" customFormat="1">
      <c r="A121" s="25"/>
      <c r="B121" s="25"/>
      <c r="C121" s="21"/>
      <c r="D121" s="180"/>
      <c r="E121" s="26"/>
      <c r="F121" s="27"/>
    </row>
    <row r="122" spans="1:6" s="36" customFormat="1">
      <c r="A122" s="25"/>
      <c r="B122" s="25"/>
      <c r="C122" s="21"/>
      <c r="D122" s="180"/>
      <c r="E122" s="26"/>
      <c r="F122" s="27"/>
    </row>
    <row r="123" spans="1:6" s="36" customFormat="1">
      <c r="A123" s="25"/>
      <c r="B123" s="25"/>
      <c r="C123" s="21"/>
      <c r="D123" s="180"/>
      <c r="E123" s="26"/>
      <c r="F123" s="27"/>
    </row>
    <row r="124" spans="1:6" s="36" customFormat="1">
      <c r="A124" s="25"/>
      <c r="B124" s="25"/>
      <c r="C124" s="21"/>
      <c r="D124" s="21"/>
      <c r="E124" s="26"/>
      <c r="F124" s="27"/>
    </row>
    <row r="125" spans="1:6" s="36" customFormat="1">
      <c r="A125" s="25"/>
      <c r="B125" s="25"/>
      <c r="C125" s="21"/>
      <c r="D125" s="21"/>
      <c r="E125" s="26"/>
      <c r="F125" s="27"/>
    </row>
    <row r="126" spans="1:6" s="36" customFormat="1">
      <c r="A126" s="25"/>
      <c r="B126" s="25"/>
      <c r="C126" s="21"/>
      <c r="D126" s="21"/>
      <c r="E126" s="26"/>
      <c r="F126" s="27"/>
    </row>
    <row r="127" spans="1:6" s="36" customFormat="1">
      <c r="A127" s="25"/>
      <c r="B127" s="25"/>
      <c r="C127" s="21"/>
      <c r="D127" s="21"/>
      <c r="E127" s="26"/>
      <c r="F127" s="27"/>
    </row>
    <row r="128" spans="1:6" s="36" customFormat="1">
      <c r="A128" s="25"/>
      <c r="B128" s="25"/>
      <c r="C128" s="21"/>
      <c r="D128" s="21"/>
      <c r="E128" s="26"/>
      <c r="F128" s="27"/>
    </row>
    <row r="129" spans="1:6" s="36" customFormat="1">
      <c r="A129" s="420" t="s">
        <v>833</v>
      </c>
      <c r="B129" s="420"/>
      <c r="C129" s="438" t="s">
        <v>840</v>
      </c>
      <c r="D129" s="438"/>
      <c r="E129" s="438"/>
      <c r="F129" s="281" t="s">
        <v>833</v>
      </c>
    </row>
    <row r="130" spans="1:6" s="36" customFormat="1">
      <c r="A130" s="423" t="s">
        <v>834</v>
      </c>
      <c r="B130" s="423"/>
      <c r="C130" s="434" t="s">
        <v>841</v>
      </c>
      <c r="D130" s="434"/>
      <c r="E130" s="434"/>
      <c r="F130" s="345" t="s">
        <v>842</v>
      </c>
    </row>
    <row r="131" spans="1:6" s="36" customFormat="1">
      <c r="A131" s="419" t="s">
        <v>837</v>
      </c>
      <c r="B131" s="419"/>
      <c r="C131" s="435" t="s">
        <v>843</v>
      </c>
      <c r="D131" s="436"/>
      <c r="E131" s="436"/>
      <c r="F131" s="346" t="s">
        <v>844</v>
      </c>
    </row>
    <row r="132" spans="1:6" s="36" customFormat="1"/>
    <row r="133" spans="1:6" s="36" customFormat="1"/>
    <row r="134" spans="1:6" s="36" customFormat="1"/>
    <row r="135" spans="1:6" s="36" customFormat="1"/>
    <row r="136" spans="1:6" s="36" customFormat="1"/>
    <row r="137" spans="1:6" s="36" customFormat="1"/>
    <row r="138" spans="1:6" s="36" customFormat="1"/>
    <row r="139" spans="1:6" s="36" customFormat="1"/>
    <row r="140" spans="1:6" s="36" customFormat="1"/>
    <row r="141" spans="1:6" s="36" customFormat="1"/>
    <row r="142" spans="1:6" s="36" customFormat="1"/>
    <row r="143" spans="1:6" s="36" customFormat="1"/>
    <row r="144" spans="1:6" s="36" customFormat="1"/>
    <row r="145" s="36" customFormat="1"/>
    <row r="146" s="36" customFormat="1"/>
  </sheetData>
  <mergeCells count="20">
    <mergeCell ref="B1:F1"/>
    <mergeCell ref="B2:F2"/>
    <mergeCell ref="B3:F4"/>
    <mergeCell ref="B5:F5"/>
    <mergeCell ref="C7:F7"/>
    <mergeCell ref="C12:F12"/>
    <mergeCell ref="C8:F8"/>
    <mergeCell ref="C10:F10"/>
    <mergeCell ref="C11:F11"/>
    <mergeCell ref="C9:F9"/>
    <mergeCell ref="C13:H13"/>
    <mergeCell ref="C14:H14"/>
    <mergeCell ref="A130:B130"/>
    <mergeCell ref="C130:E130"/>
    <mergeCell ref="A131:B131"/>
    <mergeCell ref="C131:E131"/>
    <mergeCell ref="A116:B116"/>
    <mergeCell ref="C116:F116"/>
    <mergeCell ref="A129:B129"/>
    <mergeCell ref="C129:E129"/>
  </mergeCells>
  <printOptions horizontalCentered="1"/>
  <pageMargins left="0.21" right="0.21" top="0.3" bottom="0.3" header="0.3" footer="0.3"/>
  <pageSetup paperSize="9" scale="6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G89"/>
  <sheetViews>
    <sheetView showGridLines="0" view="pageBreakPreview" topLeftCell="A39" zoomScaleNormal="100" zoomScaleSheetLayoutView="100" workbookViewId="0">
      <selection activeCell="A44" sqref="A44"/>
    </sheetView>
  </sheetViews>
  <sheetFormatPr defaultColWidth="9.26953125" defaultRowHeight="12.5"/>
  <cols>
    <col min="1" max="1" width="56.26953125" style="29" customWidth="1"/>
    <col min="2" max="2" width="9.26953125" style="29"/>
    <col min="3" max="3" width="11.7265625" style="116" customWidth="1"/>
    <col min="4" max="4" width="24.26953125" style="116" customWidth="1"/>
    <col min="5" max="5" width="25.26953125" style="198" customWidth="1"/>
    <col min="6" max="16384" width="9.26953125" style="29"/>
  </cols>
  <sheetData>
    <row r="1" spans="1:7" s="188" customFormat="1" ht="32.25" customHeight="1">
      <c r="A1" s="424" t="s">
        <v>498</v>
      </c>
      <c r="B1" s="424"/>
      <c r="C1" s="424"/>
      <c r="D1" s="424"/>
      <c r="E1" s="424"/>
    </row>
    <row r="2" spans="1:7" s="188" customFormat="1" ht="26.25" customHeight="1">
      <c r="A2" s="425" t="s">
        <v>499</v>
      </c>
      <c r="B2" s="425"/>
      <c r="C2" s="425"/>
      <c r="D2" s="425"/>
      <c r="E2" s="425"/>
    </row>
    <row r="3" spans="1:7" s="188" customFormat="1" ht="18" customHeight="1">
      <c r="A3" s="426" t="s">
        <v>500</v>
      </c>
      <c r="B3" s="426"/>
      <c r="C3" s="426"/>
      <c r="D3" s="426"/>
      <c r="E3" s="426"/>
    </row>
    <row r="4" spans="1:7" s="188" customFormat="1" ht="19.5" customHeight="1">
      <c r="A4" s="426"/>
      <c r="B4" s="426"/>
      <c r="C4" s="426"/>
      <c r="D4" s="426"/>
      <c r="E4" s="426"/>
    </row>
    <row r="5" spans="1:7" s="188" customFormat="1">
      <c r="A5" s="427" t="s">
        <v>977</v>
      </c>
      <c r="B5" s="427"/>
      <c r="C5" s="427"/>
      <c r="D5" s="427"/>
      <c r="E5" s="427"/>
    </row>
    <row r="6" spans="1:7" s="188" customFormat="1">
      <c r="A6" s="183"/>
      <c r="B6" s="183"/>
      <c r="C6" s="183"/>
      <c r="D6" s="183"/>
      <c r="E6" s="183"/>
    </row>
    <row r="7" spans="1:7" s="188" customFormat="1">
      <c r="A7" s="147" t="s">
        <v>454</v>
      </c>
      <c r="B7" s="440" t="s">
        <v>464</v>
      </c>
      <c r="C7" s="440"/>
      <c r="D7" s="440"/>
      <c r="E7" s="440"/>
    </row>
    <row r="8" spans="1:7" s="188" customFormat="1" ht="12.75" customHeight="1">
      <c r="A8" s="148" t="s">
        <v>932</v>
      </c>
      <c r="B8" s="439" t="s">
        <v>598</v>
      </c>
      <c r="C8" s="439"/>
      <c r="D8" s="439"/>
      <c r="E8" s="439"/>
    </row>
    <row r="9" spans="1:7" s="188" customFormat="1" ht="12.75" customHeight="1">
      <c r="A9" s="147" t="s">
        <v>455</v>
      </c>
      <c r="B9" s="440" t="s">
        <v>958</v>
      </c>
      <c r="C9" s="440"/>
      <c r="D9" s="440"/>
      <c r="E9" s="440"/>
    </row>
    <row r="10" spans="1:7" s="188" customFormat="1" ht="12.75" customHeight="1">
      <c r="A10" s="149" t="s">
        <v>457</v>
      </c>
      <c r="B10" s="439" t="s">
        <v>458</v>
      </c>
      <c r="C10" s="439"/>
      <c r="D10" s="439"/>
      <c r="E10" s="439"/>
    </row>
    <row r="11" spans="1:7" s="188" customFormat="1" ht="12.75" customHeight="1">
      <c r="A11" s="147" t="s">
        <v>391</v>
      </c>
      <c r="B11" s="440" t="s">
        <v>489</v>
      </c>
      <c r="C11" s="440"/>
      <c r="D11" s="440"/>
      <c r="E11" s="440"/>
    </row>
    <row r="12" spans="1:7" s="188" customFormat="1" ht="12.75" customHeight="1">
      <c r="A12" s="150" t="s">
        <v>389</v>
      </c>
      <c r="B12" s="439" t="s">
        <v>488</v>
      </c>
      <c r="C12" s="439"/>
      <c r="D12" s="439"/>
      <c r="E12" s="439"/>
    </row>
    <row r="13" spans="1:7" s="188" customFormat="1" ht="12.75" customHeight="1">
      <c r="A13" s="184" t="s">
        <v>138</v>
      </c>
      <c r="B13" s="412" t="s">
        <v>1018</v>
      </c>
      <c r="C13" s="413"/>
      <c r="D13" s="413"/>
      <c r="E13" s="413"/>
      <c r="F13" s="413"/>
      <c r="G13" s="413"/>
    </row>
    <row r="14" spans="1:7" s="188" customFormat="1">
      <c r="A14" s="152" t="s">
        <v>139</v>
      </c>
      <c r="B14" s="414">
        <v>43655</v>
      </c>
      <c r="C14" s="414"/>
      <c r="D14" s="414"/>
      <c r="E14" s="414"/>
      <c r="F14" s="414"/>
      <c r="G14" s="414"/>
    </row>
    <row r="15" spans="1:7" s="188" customFormat="1">
      <c r="A15"/>
      <c r="B15"/>
      <c r="C15" s="175"/>
      <c r="D15" s="175"/>
      <c r="E15" s="189"/>
    </row>
    <row r="16" spans="1:7" s="190" customFormat="1" ht="37.5">
      <c r="A16" s="34" t="s">
        <v>140</v>
      </c>
      <c r="B16" s="34" t="s">
        <v>141</v>
      </c>
      <c r="C16" s="35" t="s">
        <v>142</v>
      </c>
      <c r="D16" s="34" t="s">
        <v>980</v>
      </c>
      <c r="E16" s="34" t="s">
        <v>968</v>
      </c>
    </row>
    <row r="17" spans="1:5" s="190" customFormat="1" ht="30.75" customHeight="1">
      <c r="A17" s="304" t="s">
        <v>501</v>
      </c>
      <c r="B17" s="341" t="s">
        <v>43</v>
      </c>
      <c r="C17" s="33"/>
      <c r="D17" s="298"/>
      <c r="E17" s="298"/>
    </row>
    <row r="18" spans="1:5" s="190" customFormat="1" ht="30" customHeight="1">
      <c r="A18" s="305" t="s">
        <v>502</v>
      </c>
      <c r="B18" s="299" t="s">
        <v>8</v>
      </c>
      <c r="C18" s="300"/>
      <c r="D18" s="314">
        <v>-15625578210</v>
      </c>
      <c r="E18" s="314">
        <v>50355115887</v>
      </c>
    </row>
    <row r="19" spans="1:5" s="190" customFormat="1" ht="40.5" customHeight="1">
      <c r="A19" s="305" t="s">
        <v>503</v>
      </c>
      <c r="B19" s="299" t="s">
        <v>9</v>
      </c>
      <c r="C19" s="300"/>
      <c r="D19" s="314">
        <v>13103922520</v>
      </c>
      <c r="E19" s="314">
        <v>-48745322864</v>
      </c>
    </row>
    <row r="20" spans="1:5" s="190" customFormat="1" ht="42.75" customHeight="1">
      <c r="A20" s="306" t="s">
        <v>504</v>
      </c>
      <c r="B20" s="257" t="s">
        <v>10</v>
      </c>
      <c r="C20" s="37"/>
      <c r="D20" s="315">
        <v>13120145923</v>
      </c>
      <c r="E20" s="316">
        <v>-48694276278</v>
      </c>
    </row>
    <row r="21" spans="1:5" s="190" customFormat="1" ht="28.5" customHeight="1">
      <c r="A21" s="306" t="s">
        <v>505</v>
      </c>
      <c r="B21" s="257" t="s">
        <v>19</v>
      </c>
      <c r="C21" s="37"/>
      <c r="D21" s="316">
        <v>-16223403</v>
      </c>
      <c r="E21" s="316">
        <v>-51046586</v>
      </c>
    </row>
    <row r="22" spans="1:5" s="190" customFormat="1" ht="28.5" customHeight="1">
      <c r="A22" s="305" t="s">
        <v>506</v>
      </c>
      <c r="B22" s="299" t="s">
        <v>20</v>
      </c>
      <c r="C22" s="300"/>
      <c r="D22" s="314">
        <v>-2521655690</v>
      </c>
      <c r="E22" s="314">
        <v>1609793023</v>
      </c>
    </row>
    <row r="23" spans="1:5" s="190" customFormat="1" ht="28.5" customHeight="1">
      <c r="A23" s="307" t="s">
        <v>507</v>
      </c>
      <c r="B23" s="255" t="s">
        <v>26</v>
      </c>
      <c r="C23" s="30"/>
      <c r="D23" s="316">
        <v>63288749677</v>
      </c>
      <c r="E23" s="317">
        <v>45613751528</v>
      </c>
    </row>
    <row r="24" spans="1:5" s="190" customFormat="1" ht="43.5" customHeight="1">
      <c r="A24" s="307" t="s">
        <v>508</v>
      </c>
      <c r="B24" s="257" t="s">
        <v>21</v>
      </c>
      <c r="C24" s="37"/>
      <c r="D24" s="316">
        <v>-1407776000</v>
      </c>
      <c r="E24" s="317">
        <v>10497500000</v>
      </c>
    </row>
    <row r="25" spans="1:5" s="190" customFormat="1" ht="30" customHeight="1">
      <c r="A25" s="307" t="s">
        <v>509</v>
      </c>
      <c r="B25" s="257" t="s">
        <v>22</v>
      </c>
      <c r="C25" s="37"/>
      <c r="D25" s="316">
        <v>-1538202615</v>
      </c>
      <c r="E25" s="317">
        <v>1103446491</v>
      </c>
    </row>
    <row r="26" spans="1:5" s="190" customFormat="1" ht="30" customHeight="1">
      <c r="A26" s="306" t="s">
        <v>510</v>
      </c>
      <c r="B26" s="257" t="s">
        <v>23</v>
      </c>
      <c r="C26" s="37"/>
      <c r="D26" s="316">
        <v>0</v>
      </c>
      <c r="E26" s="317">
        <v>0</v>
      </c>
    </row>
    <row r="27" spans="1:5" s="190" customFormat="1" ht="30" customHeight="1">
      <c r="A27" s="306" t="s">
        <v>511</v>
      </c>
      <c r="B27" s="257" t="s">
        <v>24</v>
      </c>
      <c r="C27" s="37"/>
      <c r="D27" s="316">
        <v>0</v>
      </c>
      <c r="E27" s="317">
        <v>0</v>
      </c>
    </row>
    <row r="28" spans="1:5" s="190" customFormat="1" ht="40.5" customHeight="1">
      <c r="A28" s="306" t="s">
        <v>512</v>
      </c>
      <c r="B28" s="257" t="s">
        <v>18</v>
      </c>
      <c r="C28" s="37"/>
      <c r="D28" s="316">
        <v>1771104000</v>
      </c>
      <c r="E28" s="317">
        <v>-18243556000</v>
      </c>
    </row>
    <row r="29" spans="1:5" s="190" customFormat="1" ht="57" customHeight="1">
      <c r="A29" s="306" t="s">
        <v>513</v>
      </c>
      <c r="B29" s="257" t="s">
        <v>17</v>
      </c>
      <c r="C29" s="37"/>
      <c r="D29" s="316">
        <v>-258667334</v>
      </c>
      <c r="E29" s="317">
        <v>300893109</v>
      </c>
    </row>
    <row r="30" spans="1:5" s="190" customFormat="1" ht="29.25" customHeight="1">
      <c r="A30" s="306" t="s">
        <v>514</v>
      </c>
      <c r="B30" s="257" t="s">
        <v>16</v>
      </c>
      <c r="C30" s="37"/>
      <c r="D30" s="316">
        <v>0</v>
      </c>
      <c r="E30" s="317">
        <v>0</v>
      </c>
    </row>
    <row r="31" spans="1:5" s="190" customFormat="1" ht="42" customHeight="1">
      <c r="A31" s="306" t="s">
        <v>515</v>
      </c>
      <c r="B31" s="257" t="s">
        <v>15</v>
      </c>
      <c r="C31" s="37"/>
      <c r="D31" s="316">
        <v>-21315860</v>
      </c>
      <c r="E31" s="317">
        <v>23927080</v>
      </c>
    </row>
    <row r="32" spans="1:5" s="190" customFormat="1" ht="30" customHeight="1">
      <c r="A32" s="306" t="s">
        <v>516</v>
      </c>
      <c r="B32" s="257" t="s">
        <v>14</v>
      </c>
      <c r="C32" s="37"/>
      <c r="D32" s="316">
        <v>919110000</v>
      </c>
      <c r="E32" s="317">
        <v>-745600000</v>
      </c>
    </row>
    <row r="33" spans="1:5" s="190" customFormat="1" ht="43.5" customHeight="1">
      <c r="A33" s="306" t="s">
        <v>517</v>
      </c>
      <c r="B33" s="257" t="s">
        <v>25</v>
      </c>
      <c r="C33" s="37"/>
      <c r="D33" s="316">
        <v>-2009945545</v>
      </c>
      <c r="E33" s="317">
        <v>285606938</v>
      </c>
    </row>
    <row r="34" spans="1:5" s="190" customFormat="1" ht="30" customHeight="1">
      <c r="A34" s="306" t="s">
        <v>518</v>
      </c>
      <c r="B34" s="257" t="s">
        <v>519</v>
      </c>
      <c r="C34" s="37"/>
      <c r="D34" s="316">
        <v>9006659</v>
      </c>
      <c r="E34" s="317">
        <v>-55919820</v>
      </c>
    </row>
    <row r="35" spans="1:5" s="190" customFormat="1" ht="43.5" customHeight="1">
      <c r="A35" s="306" t="s">
        <v>520</v>
      </c>
      <c r="B35" s="257" t="s">
        <v>521</v>
      </c>
      <c r="C35" s="37"/>
      <c r="D35" s="316">
        <v>-255526332</v>
      </c>
      <c r="E35" s="317">
        <v>-7173868</v>
      </c>
    </row>
    <row r="36" spans="1:5" s="190" customFormat="1" ht="30.75" customHeight="1">
      <c r="A36" s="306" t="s">
        <v>522</v>
      </c>
      <c r="B36" s="257" t="s">
        <v>523</v>
      </c>
      <c r="C36" s="37"/>
      <c r="D36" s="316">
        <v>0</v>
      </c>
      <c r="E36" s="317">
        <v>0</v>
      </c>
    </row>
    <row r="37" spans="1:5" s="190" customFormat="1" ht="30.75" customHeight="1">
      <c r="A37" s="308" t="s">
        <v>524</v>
      </c>
      <c r="B37" s="301" t="s">
        <v>525</v>
      </c>
      <c r="C37" s="302"/>
      <c r="D37" s="318">
        <v>57974880960</v>
      </c>
      <c r="E37" s="318">
        <v>40382668481</v>
      </c>
    </row>
    <row r="38" spans="1:5" s="190" customFormat="1" ht="33.75" customHeight="1">
      <c r="A38" s="304" t="s">
        <v>526</v>
      </c>
      <c r="B38" s="341" t="s">
        <v>49</v>
      </c>
      <c r="C38" s="33"/>
      <c r="D38" s="319"/>
      <c r="E38" s="319"/>
    </row>
    <row r="39" spans="1:5" s="190" customFormat="1" ht="29.25" customHeight="1">
      <c r="A39" s="306" t="s">
        <v>527</v>
      </c>
      <c r="B39" s="257" t="s">
        <v>12</v>
      </c>
      <c r="C39" s="37"/>
      <c r="D39" s="316">
        <v>25372298072</v>
      </c>
      <c r="E39" s="316">
        <v>7377618797</v>
      </c>
    </row>
    <row r="40" spans="1:5" s="190" customFormat="1" ht="29.25" customHeight="1">
      <c r="A40" s="306" t="s">
        <v>528</v>
      </c>
      <c r="B40" s="257" t="s">
        <v>11</v>
      </c>
      <c r="C40" s="37"/>
      <c r="D40" s="316">
        <v>-92553918824</v>
      </c>
      <c r="E40" s="316">
        <v>-59521128886</v>
      </c>
    </row>
    <row r="41" spans="1:5" s="190" customFormat="1" ht="29.25" customHeight="1">
      <c r="A41" s="306" t="s">
        <v>529</v>
      </c>
      <c r="B41" s="257" t="s">
        <v>530</v>
      </c>
      <c r="C41" s="37"/>
      <c r="D41" s="316">
        <v>0</v>
      </c>
      <c r="E41" s="316">
        <v>0</v>
      </c>
    </row>
    <row r="42" spans="1:5" s="190" customFormat="1" ht="29.25" customHeight="1">
      <c r="A42" s="306" t="s">
        <v>531</v>
      </c>
      <c r="B42" s="257" t="s">
        <v>532</v>
      </c>
      <c r="C42" s="37"/>
      <c r="D42" s="316">
        <v>0</v>
      </c>
      <c r="E42" s="316">
        <v>0</v>
      </c>
    </row>
    <row r="43" spans="1:5" s="190" customFormat="1" ht="29.25" customHeight="1">
      <c r="A43" s="306" t="s">
        <v>533</v>
      </c>
      <c r="B43" s="257" t="s">
        <v>534</v>
      </c>
      <c r="C43" s="37"/>
      <c r="D43" s="316">
        <v>0</v>
      </c>
      <c r="E43" s="316">
        <v>0</v>
      </c>
    </row>
    <row r="44" spans="1:5" s="190" customFormat="1" ht="36" customHeight="1">
      <c r="A44" s="308" t="s">
        <v>535</v>
      </c>
      <c r="B44" s="301" t="s">
        <v>13</v>
      </c>
      <c r="C44" s="302"/>
      <c r="D44" s="318">
        <v>-67181620752</v>
      </c>
      <c r="E44" s="318">
        <v>-52143510089</v>
      </c>
    </row>
    <row r="45" spans="1:5" s="190" customFormat="1" ht="42" customHeight="1">
      <c r="A45" s="304" t="s">
        <v>536</v>
      </c>
      <c r="B45" s="341" t="s">
        <v>41</v>
      </c>
      <c r="C45" s="33"/>
      <c r="D45" s="320">
        <v>-9206739792</v>
      </c>
      <c r="E45" s="320">
        <v>-11760841608</v>
      </c>
    </row>
    <row r="46" spans="1:5" s="190" customFormat="1" ht="33" customHeight="1">
      <c r="A46" s="304" t="s">
        <v>537</v>
      </c>
      <c r="B46" s="341" t="s">
        <v>538</v>
      </c>
      <c r="C46" s="33"/>
      <c r="D46" s="320">
        <v>57122604245</v>
      </c>
      <c r="E46" s="320">
        <v>68883445853</v>
      </c>
    </row>
    <row r="47" spans="1:5" s="190" customFormat="1" ht="29.25" customHeight="1">
      <c r="A47" s="306" t="s">
        <v>539</v>
      </c>
      <c r="B47" s="257" t="s">
        <v>540</v>
      </c>
      <c r="C47" s="37"/>
      <c r="D47" s="316">
        <v>57122604245</v>
      </c>
      <c r="E47" s="316">
        <v>68883445853</v>
      </c>
    </row>
    <row r="48" spans="1:5" s="190" customFormat="1" ht="29.25" customHeight="1">
      <c r="A48" s="309" t="s">
        <v>1020</v>
      </c>
      <c r="B48" s="257" t="s">
        <v>541</v>
      </c>
      <c r="C48" s="37"/>
      <c r="D48" s="316">
        <v>53250350059</v>
      </c>
      <c r="E48" s="316">
        <v>65075335199</v>
      </c>
    </row>
    <row r="49" spans="1:5" s="190" customFormat="1" ht="34.5" customHeight="1">
      <c r="A49" s="309" t="s">
        <v>1016</v>
      </c>
      <c r="B49" s="257" t="s">
        <v>542</v>
      </c>
      <c r="C49" s="37"/>
      <c r="D49" s="315">
        <v>3872254186</v>
      </c>
      <c r="E49" s="315">
        <v>3808110654</v>
      </c>
    </row>
    <row r="50" spans="1:5" s="190" customFormat="1" ht="32.25" customHeight="1">
      <c r="A50" s="309" t="s">
        <v>1017</v>
      </c>
      <c r="B50" s="257" t="s">
        <v>543</v>
      </c>
      <c r="C50" s="37"/>
      <c r="D50" s="316">
        <v>0</v>
      </c>
      <c r="E50" s="316">
        <v>0</v>
      </c>
    </row>
    <row r="51" spans="1:5" s="190" customFormat="1" ht="29.25" customHeight="1">
      <c r="A51" s="304" t="s">
        <v>544</v>
      </c>
      <c r="B51" s="341" t="s">
        <v>545</v>
      </c>
      <c r="C51" s="33"/>
      <c r="D51" s="320">
        <v>47915864453</v>
      </c>
      <c r="E51" s="320">
        <v>57122604245</v>
      </c>
    </row>
    <row r="52" spans="1:5" s="190" customFormat="1" ht="29.25" customHeight="1">
      <c r="A52" s="306" t="s">
        <v>546</v>
      </c>
      <c r="B52" s="257" t="s">
        <v>547</v>
      </c>
      <c r="C52" s="37"/>
      <c r="D52" s="316">
        <v>47915864453</v>
      </c>
      <c r="E52" s="316">
        <v>57122604245</v>
      </c>
    </row>
    <row r="53" spans="1:5" s="190" customFormat="1" ht="29.25" customHeight="1">
      <c r="A53" s="309" t="s">
        <v>1020</v>
      </c>
      <c r="B53" s="257" t="s">
        <v>548</v>
      </c>
      <c r="C53" s="37"/>
      <c r="D53" s="316">
        <v>46468905203</v>
      </c>
      <c r="E53" s="316">
        <v>53250350059</v>
      </c>
    </row>
    <row r="54" spans="1:5" s="190" customFormat="1" ht="29.25" customHeight="1">
      <c r="A54" s="309" t="s">
        <v>1016</v>
      </c>
      <c r="B54" s="257" t="s">
        <v>549</v>
      </c>
      <c r="C54" s="37"/>
      <c r="D54" s="315">
        <v>1446959250</v>
      </c>
      <c r="E54" s="315">
        <v>3872254186</v>
      </c>
    </row>
    <row r="55" spans="1:5" s="190" customFormat="1" ht="33.75" customHeight="1">
      <c r="A55" s="309" t="s">
        <v>1017</v>
      </c>
      <c r="B55" s="257" t="s">
        <v>550</v>
      </c>
      <c r="C55" s="37"/>
      <c r="D55" s="316">
        <v>0</v>
      </c>
      <c r="E55" s="316">
        <v>0</v>
      </c>
    </row>
    <row r="56" spans="1:5" s="190" customFormat="1" ht="29.25" customHeight="1">
      <c r="A56" s="304" t="s">
        <v>551</v>
      </c>
      <c r="B56" s="341" t="s">
        <v>552</v>
      </c>
      <c r="C56" s="33"/>
      <c r="D56" s="321">
        <v>-9206739792</v>
      </c>
      <c r="E56" s="321">
        <v>-11760841608</v>
      </c>
    </row>
    <row r="57" spans="1:5" s="190" customFormat="1" ht="29.25" customHeight="1">
      <c r="A57" s="310" t="s">
        <v>553</v>
      </c>
      <c r="B57" s="344" t="s">
        <v>554</v>
      </c>
      <c r="C57" s="37"/>
      <c r="D57" s="303"/>
      <c r="E57" s="303"/>
    </row>
    <row r="58" spans="1:5" s="190" customFormat="1">
      <c r="A58" s="374"/>
      <c r="B58" s="22"/>
      <c r="C58" s="22"/>
      <c r="D58" s="191"/>
      <c r="E58" s="191"/>
    </row>
    <row r="59" spans="1:5" s="190" customFormat="1">
      <c r="A59" s="21"/>
      <c r="B59" s="21"/>
      <c r="C59" s="21"/>
      <c r="D59" s="23"/>
      <c r="E59" s="21"/>
    </row>
    <row r="60" spans="1:5" s="190" customFormat="1">
      <c r="A60" s="38"/>
      <c r="B60" s="38"/>
      <c r="C60" s="41"/>
      <c r="D60" s="41"/>
      <c r="E60" s="41"/>
    </row>
    <row r="61" spans="1:5" s="190" customFormat="1">
      <c r="A61" s="282" t="s">
        <v>830</v>
      </c>
      <c r="B61" s="441" t="s">
        <v>831</v>
      </c>
      <c r="C61" s="441"/>
      <c r="D61" s="441"/>
      <c r="E61" s="441"/>
    </row>
    <row r="62" spans="1:5" s="190" customFormat="1">
      <c r="A62" s="283"/>
      <c r="B62" s="283"/>
      <c r="C62" s="283"/>
      <c r="D62" s="283"/>
      <c r="E62" s="283"/>
    </row>
    <row r="63" spans="1:5" s="190" customFormat="1">
      <c r="A63" s="283"/>
      <c r="B63" s="283"/>
      <c r="C63" s="283"/>
      <c r="D63" s="283"/>
      <c r="E63" s="283"/>
    </row>
    <row r="64" spans="1:5" s="190" customFormat="1">
      <c r="A64" s="283"/>
      <c r="B64" s="283"/>
      <c r="C64" s="283"/>
      <c r="D64" s="283"/>
      <c r="E64" s="283"/>
    </row>
    <row r="65" spans="1:5" s="190" customFormat="1">
      <c r="A65" s="283"/>
      <c r="B65" s="283"/>
      <c r="C65" s="283"/>
      <c r="D65" s="283"/>
      <c r="E65" s="283"/>
    </row>
    <row r="66" spans="1:5" s="190" customFormat="1">
      <c r="A66" s="283"/>
      <c r="B66" s="283"/>
      <c r="C66" s="283"/>
      <c r="D66" s="283"/>
      <c r="E66" s="283"/>
    </row>
    <row r="67" spans="1:5" s="190" customFormat="1">
      <c r="A67" s="283"/>
      <c r="B67" s="283"/>
      <c r="C67" s="283"/>
      <c r="D67" s="283"/>
      <c r="E67" s="283"/>
    </row>
    <row r="68" spans="1:5" s="190" customFormat="1">
      <c r="A68" s="283"/>
      <c r="B68" s="283"/>
      <c r="C68" s="283"/>
      <c r="D68" s="283"/>
      <c r="E68" s="283"/>
    </row>
    <row r="69" spans="1:5" s="190" customFormat="1">
      <c r="A69" s="283"/>
      <c r="B69" s="283"/>
      <c r="C69" s="283"/>
      <c r="D69" s="283"/>
      <c r="E69" s="283"/>
    </row>
    <row r="70" spans="1:5" s="190" customFormat="1">
      <c r="A70" s="283"/>
      <c r="B70" s="283"/>
      <c r="C70" s="283"/>
      <c r="D70" s="283"/>
      <c r="E70" s="283"/>
    </row>
    <row r="71" spans="1:5" s="190" customFormat="1">
      <c r="A71" s="283"/>
      <c r="B71" s="283"/>
      <c r="C71" s="283"/>
      <c r="D71" s="283"/>
      <c r="E71" s="283"/>
    </row>
    <row r="72" spans="1:5" s="190" customFormat="1">
      <c r="A72" s="283"/>
      <c r="B72" s="283"/>
      <c r="C72" s="283"/>
      <c r="D72" s="283"/>
      <c r="E72" s="283"/>
    </row>
    <row r="73" spans="1:5" s="190" customFormat="1">
      <c r="A73" s="269" t="s">
        <v>832</v>
      </c>
      <c r="B73" s="442" t="s">
        <v>846</v>
      </c>
      <c r="C73" s="442"/>
      <c r="D73" s="442"/>
      <c r="E73" s="281" t="s">
        <v>847</v>
      </c>
    </row>
    <row r="74" spans="1:5" s="190" customFormat="1">
      <c r="A74" s="270" t="s">
        <v>834</v>
      </c>
      <c r="B74" s="442" t="s">
        <v>845</v>
      </c>
      <c r="C74" s="442"/>
      <c r="D74" s="442"/>
      <c r="E74" s="272" t="s">
        <v>848</v>
      </c>
    </row>
    <row r="75" spans="1:5" s="190" customFormat="1">
      <c r="A75" s="271" t="s">
        <v>837</v>
      </c>
      <c r="B75" s="443" t="s">
        <v>838</v>
      </c>
      <c r="C75" s="443"/>
      <c r="D75" s="443"/>
      <c r="E75" s="24" t="s">
        <v>849</v>
      </c>
    </row>
    <row r="76" spans="1:5" s="190" customFormat="1">
      <c r="A76" s="192"/>
      <c r="B76" s="192"/>
      <c r="C76" s="193"/>
      <c r="D76" s="193"/>
      <c r="E76" s="194"/>
    </row>
    <row r="77" spans="1:5" s="190" customFormat="1">
      <c r="A77" s="192"/>
      <c r="B77" s="192"/>
      <c r="C77" s="193"/>
      <c r="D77" s="193"/>
      <c r="E77" s="194"/>
    </row>
    <row r="78" spans="1:5" s="36" customFormat="1">
      <c r="C78" s="195"/>
      <c r="D78" s="195"/>
      <c r="E78" s="196"/>
    </row>
    <row r="79" spans="1:5" s="36" customFormat="1">
      <c r="C79" s="195"/>
      <c r="D79" s="195"/>
      <c r="E79" s="196"/>
    </row>
    <row r="80" spans="1:5" s="36" customFormat="1">
      <c r="A80" s="197"/>
      <c r="C80" s="195"/>
      <c r="D80" s="195"/>
      <c r="E80" s="196"/>
    </row>
    <row r="81" spans="1:5" s="36" customFormat="1">
      <c r="C81" s="195"/>
      <c r="D81" s="195"/>
      <c r="E81" s="196"/>
    </row>
    <row r="82" spans="1:5" s="36" customFormat="1">
      <c r="C82" s="195"/>
      <c r="D82" s="195"/>
      <c r="E82" s="196"/>
    </row>
    <row r="83" spans="1:5" s="36" customFormat="1">
      <c r="C83" s="195"/>
      <c r="D83" s="195"/>
      <c r="E83" s="196"/>
    </row>
    <row r="84" spans="1:5" s="36" customFormat="1">
      <c r="C84" s="195"/>
      <c r="D84" s="195"/>
      <c r="E84" s="196"/>
    </row>
    <row r="85" spans="1:5" s="36" customFormat="1">
      <c r="A85" s="197"/>
      <c r="C85" s="195"/>
      <c r="D85" s="195"/>
      <c r="E85" s="196"/>
    </row>
    <row r="86" spans="1:5" s="36" customFormat="1">
      <c r="C86" s="195"/>
      <c r="D86" s="195"/>
      <c r="E86" s="196"/>
    </row>
    <row r="87" spans="1:5" s="36" customFormat="1">
      <c r="C87" s="195"/>
      <c r="D87" s="195"/>
      <c r="E87" s="196"/>
    </row>
    <row r="88" spans="1:5" s="36" customFormat="1">
      <c r="C88" s="195"/>
      <c r="D88" s="195"/>
      <c r="E88" s="196"/>
    </row>
    <row r="89" spans="1:5" s="36" customFormat="1">
      <c r="C89" s="195"/>
      <c r="D89" s="195"/>
      <c r="E89" s="196"/>
    </row>
  </sheetData>
  <mergeCells count="16">
    <mergeCell ref="B13:G13"/>
    <mergeCell ref="A1:E1"/>
    <mergeCell ref="A2:E2"/>
    <mergeCell ref="A3:E4"/>
    <mergeCell ref="A5:E5"/>
    <mergeCell ref="B7:E7"/>
    <mergeCell ref="B8:E8"/>
    <mergeCell ref="B9:E9"/>
    <mergeCell ref="B10:E10"/>
    <mergeCell ref="B11:E11"/>
    <mergeCell ref="B12:E12"/>
    <mergeCell ref="B61:E61"/>
    <mergeCell ref="B73:D73"/>
    <mergeCell ref="B74:D74"/>
    <mergeCell ref="B75:D75"/>
    <mergeCell ref="B14:G14"/>
  </mergeCells>
  <dataValidations count="2">
    <dataValidation allowBlank="1" showInputMessage="1" showErrorMessage="1" promptTitle="Lưu ý nhập liệu!" prompt="Nhập năm báo cáo!" sqref="D16:E16"/>
    <dataValidation type="decimal" allowBlank="1" showInputMessage="1" showErrorMessage="1" errorTitle="Sai kiểu dữ liệu!" error="Dữ liệu nhập vào phải là kiểu số!" sqref="D17:E57">
      <formula1>-9999999999999990000</formula1>
      <formula2>99999999999999900000</formula2>
    </dataValidation>
  </dataValidations>
  <printOptions horizontalCentered="1"/>
  <pageMargins left="0.45" right="0.37" top="0.44" bottom="0.41" header="0.3" footer="0.3"/>
  <pageSetup paperSize="9" scale="7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H105"/>
  <sheetViews>
    <sheetView view="pageBreakPreview" topLeftCell="A78" zoomScale="85" zoomScaleNormal="100" zoomScaleSheetLayoutView="85" workbookViewId="0">
      <selection activeCell="B88" sqref="B88"/>
    </sheetView>
  </sheetViews>
  <sheetFormatPr defaultColWidth="9.26953125" defaultRowHeight="14.5"/>
  <cols>
    <col min="1" max="1" width="5.26953125" style="52" customWidth="1"/>
    <col min="2" max="2" width="46" style="52" customWidth="1"/>
    <col min="3" max="3" width="13.54296875" style="52" customWidth="1"/>
    <col min="4" max="4" width="23.7265625" style="53" customWidth="1"/>
    <col min="5" max="5" width="22.7265625" style="53" customWidth="1"/>
    <col min="6" max="6" width="17.453125" style="52" customWidth="1"/>
    <col min="7" max="16384" width="9.26953125" style="52"/>
  </cols>
  <sheetData>
    <row r="1" spans="1:8" ht="23.25" customHeight="1">
      <c r="A1" s="444" t="s">
        <v>217</v>
      </c>
      <c r="B1" s="444"/>
      <c r="C1" s="444"/>
      <c r="D1" s="444"/>
      <c r="E1" s="444"/>
      <c r="F1" s="444"/>
    </row>
    <row r="2" spans="1:8" ht="25.5" customHeight="1">
      <c r="A2" s="425" t="s">
        <v>930</v>
      </c>
      <c r="B2" s="425"/>
      <c r="C2" s="425"/>
      <c r="D2" s="425"/>
      <c r="E2" s="425"/>
      <c r="F2" s="425"/>
    </row>
    <row r="3" spans="1:8">
      <c r="A3" s="426" t="s">
        <v>219</v>
      </c>
      <c r="B3" s="426"/>
      <c r="C3" s="426"/>
      <c r="D3" s="426"/>
      <c r="E3" s="426"/>
      <c r="F3" s="48"/>
    </row>
    <row r="4" spans="1:8" ht="21.65" customHeight="1">
      <c r="A4" s="426"/>
      <c r="B4" s="426"/>
      <c r="C4" s="426"/>
      <c r="D4" s="426"/>
      <c r="E4" s="426"/>
      <c r="F4" s="48"/>
    </row>
    <row r="5" spans="1:8">
      <c r="A5" s="427" t="s">
        <v>976</v>
      </c>
      <c r="B5" s="427"/>
      <c r="C5" s="427"/>
      <c r="D5" s="427"/>
      <c r="E5" s="427"/>
      <c r="F5" s="48"/>
    </row>
    <row r="6" spans="1:8">
      <c r="A6" s="18"/>
      <c r="B6" s="18"/>
      <c r="C6" s="18"/>
      <c r="D6" s="18"/>
      <c r="E6" s="18"/>
      <c r="F6" s="48"/>
    </row>
    <row r="7" spans="1:8">
      <c r="A7" s="445" t="s">
        <v>454</v>
      </c>
      <c r="B7" s="445"/>
      <c r="C7" s="440" t="s">
        <v>464</v>
      </c>
      <c r="D7" s="440"/>
      <c r="E7" s="440"/>
      <c r="F7" s="440"/>
    </row>
    <row r="8" spans="1:8" ht="15" customHeight="1">
      <c r="A8" s="448" t="s">
        <v>932</v>
      </c>
      <c r="B8" s="448"/>
      <c r="C8" s="439" t="s">
        <v>598</v>
      </c>
      <c r="D8" s="439"/>
      <c r="E8" s="439"/>
      <c r="F8" s="439"/>
    </row>
    <row r="9" spans="1:8" ht="15" customHeight="1">
      <c r="A9" s="445" t="s">
        <v>455</v>
      </c>
      <c r="B9" s="445"/>
      <c r="C9" s="440" t="s">
        <v>958</v>
      </c>
      <c r="D9" s="440"/>
      <c r="E9" s="440"/>
      <c r="F9" s="440"/>
    </row>
    <row r="10" spans="1:8" ht="15" customHeight="1">
      <c r="A10" s="449" t="s">
        <v>457</v>
      </c>
      <c r="B10" s="449"/>
      <c r="C10" s="439" t="s">
        <v>458</v>
      </c>
      <c r="D10" s="439"/>
      <c r="E10" s="439"/>
      <c r="F10" s="439"/>
    </row>
    <row r="11" spans="1:8" ht="15" customHeight="1">
      <c r="A11" s="445" t="s">
        <v>391</v>
      </c>
      <c r="B11" s="445"/>
      <c r="C11" s="440" t="s">
        <v>489</v>
      </c>
      <c r="D11" s="440"/>
      <c r="E11" s="440"/>
      <c r="F11" s="440"/>
    </row>
    <row r="12" spans="1:8" ht="15" customHeight="1">
      <c r="A12" s="450" t="s">
        <v>389</v>
      </c>
      <c r="B12" s="450"/>
      <c r="C12" s="439" t="s">
        <v>488</v>
      </c>
      <c r="D12" s="439"/>
      <c r="E12" s="439"/>
      <c r="F12" s="439"/>
    </row>
    <row r="13" spans="1:8" ht="15" customHeight="1">
      <c r="A13" s="446" t="s">
        <v>138</v>
      </c>
      <c r="B13" s="446"/>
      <c r="C13" s="412" t="s">
        <v>1018</v>
      </c>
      <c r="D13" s="413"/>
      <c r="E13" s="413"/>
      <c r="F13" s="413"/>
      <c r="G13" s="413"/>
      <c r="H13" s="413"/>
    </row>
    <row r="14" spans="1:8">
      <c r="A14" s="447" t="s">
        <v>139</v>
      </c>
      <c r="B14" s="447"/>
      <c r="C14" s="414">
        <v>43655</v>
      </c>
      <c r="D14" s="414"/>
      <c r="E14" s="414"/>
      <c r="F14" s="414"/>
      <c r="G14" s="414"/>
      <c r="H14" s="414"/>
    </row>
    <row r="15" spans="1:8">
      <c r="A15" s="10"/>
      <c r="B15" s="10"/>
      <c r="C15" s="72"/>
      <c r="D15" s="161"/>
      <c r="E15" s="161"/>
      <c r="F15" s="72"/>
    </row>
    <row r="16" spans="1:8">
      <c r="A16" s="157" t="s">
        <v>43</v>
      </c>
      <c r="B16" s="158" t="s">
        <v>475</v>
      </c>
      <c r="C16" s="72"/>
      <c r="D16" s="161"/>
      <c r="E16" s="161"/>
      <c r="F16" s="72"/>
    </row>
    <row r="17" spans="1:6" ht="52.5" customHeight="1">
      <c r="A17" s="63" t="s">
        <v>220</v>
      </c>
      <c r="B17" s="63" t="s">
        <v>221</v>
      </c>
      <c r="C17" s="63" t="s">
        <v>222</v>
      </c>
      <c r="D17" s="64" t="s">
        <v>981</v>
      </c>
      <c r="E17" s="64" t="s">
        <v>969</v>
      </c>
      <c r="F17" s="165" t="s">
        <v>223</v>
      </c>
    </row>
    <row r="18" spans="1:6" ht="32.25" customHeight="1">
      <c r="A18" s="86" t="s">
        <v>43</v>
      </c>
      <c r="B18" s="375" t="s">
        <v>224</v>
      </c>
      <c r="C18" s="66" t="s">
        <v>1031</v>
      </c>
      <c r="D18" s="67"/>
      <c r="E18" s="67"/>
      <c r="F18" s="166"/>
    </row>
    <row r="19" spans="1:6" ht="32.25" customHeight="1">
      <c r="A19" s="167" t="s">
        <v>79</v>
      </c>
      <c r="B19" s="178" t="s">
        <v>225</v>
      </c>
      <c r="C19" s="168" t="s">
        <v>80</v>
      </c>
      <c r="D19" s="350">
        <v>47915864453</v>
      </c>
      <c r="E19" s="350">
        <v>57122604245</v>
      </c>
      <c r="F19" s="351">
        <v>0.39110054054609666</v>
      </c>
    </row>
    <row r="20" spans="1:6" ht="32.25" customHeight="1">
      <c r="A20" s="169"/>
      <c r="B20" s="178" t="s">
        <v>226</v>
      </c>
      <c r="C20" s="168" t="s">
        <v>81</v>
      </c>
      <c r="D20" s="350">
        <v>0</v>
      </c>
      <c r="E20" s="350">
        <v>0</v>
      </c>
      <c r="F20" s="351" t="s">
        <v>589</v>
      </c>
    </row>
    <row r="21" spans="1:6" ht="32.25" customHeight="1">
      <c r="A21" s="169"/>
      <c r="B21" s="178" t="s">
        <v>227</v>
      </c>
      <c r="C21" s="168" t="s">
        <v>82</v>
      </c>
      <c r="D21" s="350">
        <v>37915864453</v>
      </c>
      <c r="E21" s="350">
        <v>17122604245</v>
      </c>
      <c r="F21" s="351">
        <v>0.89181347911872089</v>
      </c>
    </row>
    <row r="22" spans="1:6" ht="40.5" customHeight="1">
      <c r="A22" s="169"/>
      <c r="B22" s="178" t="s">
        <v>600</v>
      </c>
      <c r="C22" s="168" t="s">
        <v>603</v>
      </c>
      <c r="D22" s="350">
        <v>1008010000</v>
      </c>
      <c r="E22" s="350">
        <v>36000000</v>
      </c>
      <c r="F22" s="351">
        <v>0.97521758320291996</v>
      </c>
    </row>
    <row r="23" spans="1:6" ht="32.25" customHeight="1">
      <c r="A23" s="169"/>
      <c r="B23" s="178" t="s">
        <v>601</v>
      </c>
      <c r="C23" s="168" t="s">
        <v>604</v>
      </c>
      <c r="D23" s="350">
        <v>438949250</v>
      </c>
      <c r="E23" s="350">
        <v>3836254186</v>
      </c>
      <c r="F23" s="351">
        <v>0.11158797544398469</v>
      </c>
    </row>
    <row r="24" spans="1:6" ht="32.25" customHeight="1">
      <c r="A24" s="169"/>
      <c r="B24" s="178" t="s">
        <v>602</v>
      </c>
      <c r="C24" s="168" t="s">
        <v>605</v>
      </c>
      <c r="D24" s="350">
        <v>35469305203</v>
      </c>
      <c r="E24" s="350">
        <v>13250350059</v>
      </c>
      <c r="F24" s="351">
        <v>1.2888495715241426</v>
      </c>
    </row>
    <row r="25" spans="1:6" ht="48" customHeight="1">
      <c r="A25" s="169"/>
      <c r="B25" s="178" t="s">
        <v>954</v>
      </c>
      <c r="C25" s="168" t="s">
        <v>947</v>
      </c>
      <c r="D25" s="350">
        <v>999600000</v>
      </c>
      <c r="E25" s="350">
        <v>0</v>
      </c>
      <c r="F25" s="351">
        <v>9.9680395990843704E-2</v>
      </c>
    </row>
    <row r="26" spans="1:6" ht="32.25" customHeight="1">
      <c r="A26" s="169"/>
      <c r="B26" s="178" t="s">
        <v>228</v>
      </c>
      <c r="C26" s="168" t="s">
        <v>83</v>
      </c>
      <c r="D26" s="350">
        <v>10000000000</v>
      </c>
      <c r="E26" s="350">
        <v>40000000000</v>
      </c>
      <c r="F26" s="351">
        <v>0.125</v>
      </c>
    </row>
    <row r="27" spans="1:6" ht="32.25" customHeight="1">
      <c r="A27" s="169" t="s">
        <v>84</v>
      </c>
      <c r="B27" s="178" t="s">
        <v>479</v>
      </c>
      <c r="C27" s="168" t="s">
        <v>85</v>
      </c>
      <c r="D27" s="350">
        <v>954248076600</v>
      </c>
      <c r="E27" s="350">
        <v>1030656972200</v>
      </c>
      <c r="F27" s="351">
        <v>0.85321036149903651</v>
      </c>
    </row>
    <row r="28" spans="1:6" ht="32.25" customHeight="1">
      <c r="A28" s="169"/>
      <c r="B28" s="170" t="s">
        <v>230</v>
      </c>
      <c r="C28" s="168" t="s">
        <v>86</v>
      </c>
      <c r="D28" s="350">
        <v>784100776600</v>
      </c>
      <c r="E28" s="350">
        <v>870509672200</v>
      </c>
      <c r="F28" s="351">
        <v>0.83066124341836778</v>
      </c>
    </row>
    <row r="29" spans="1:6" ht="32.25" customHeight="1">
      <c r="A29" s="169"/>
      <c r="B29" s="170" t="s">
        <v>616</v>
      </c>
      <c r="C29" s="168" t="s">
        <v>87</v>
      </c>
      <c r="D29" s="350">
        <v>0</v>
      </c>
      <c r="E29" s="350">
        <v>0</v>
      </c>
      <c r="F29" s="351">
        <v>0</v>
      </c>
    </row>
    <row r="30" spans="1:6" ht="32.25" customHeight="1">
      <c r="A30" s="169"/>
      <c r="B30" s="170" t="s">
        <v>231</v>
      </c>
      <c r="C30" s="168" t="s">
        <v>185</v>
      </c>
      <c r="D30" s="350">
        <v>80147300000</v>
      </c>
      <c r="E30" s="350">
        <v>80147300000</v>
      </c>
      <c r="F30" s="351">
        <v>2.6585233171793163</v>
      </c>
    </row>
    <row r="31" spans="1:6" ht="32.25" customHeight="1">
      <c r="A31" s="169"/>
      <c r="B31" s="170" t="s">
        <v>714</v>
      </c>
      <c r="C31" s="168" t="s">
        <v>187</v>
      </c>
      <c r="D31" s="350">
        <v>90000000000</v>
      </c>
      <c r="E31" s="350">
        <v>80000000000</v>
      </c>
      <c r="F31" s="351">
        <v>0.82568807339449546</v>
      </c>
    </row>
    <row r="32" spans="1:6" ht="32.25" customHeight="1">
      <c r="A32" s="169"/>
      <c r="B32" s="170" t="s">
        <v>229</v>
      </c>
      <c r="C32" s="168" t="s">
        <v>232</v>
      </c>
      <c r="D32" s="350">
        <v>0</v>
      </c>
      <c r="E32" s="350">
        <v>0</v>
      </c>
      <c r="F32" s="351" t="s">
        <v>589</v>
      </c>
    </row>
    <row r="33" spans="1:6" s="179" customFormat="1" ht="32.25" customHeight="1">
      <c r="A33" s="182"/>
      <c r="B33" s="170" t="s">
        <v>715</v>
      </c>
      <c r="C33" s="168" t="s">
        <v>486</v>
      </c>
      <c r="D33" s="350">
        <v>0</v>
      </c>
      <c r="E33" s="350">
        <v>0</v>
      </c>
      <c r="F33" s="351" t="s">
        <v>589</v>
      </c>
    </row>
    <row r="34" spans="1:6" s="179" customFormat="1" ht="32.25" customHeight="1">
      <c r="A34" s="182"/>
      <c r="B34" s="170" t="s">
        <v>953</v>
      </c>
      <c r="C34" s="168" t="s">
        <v>713</v>
      </c>
      <c r="D34" s="350">
        <v>0</v>
      </c>
      <c r="E34" s="350">
        <v>0</v>
      </c>
      <c r="F34" s="351">
        <v>0</v>
      </c>
    </row>
    <row r="35" spans="1:6" s="179" customFormat="1" ht="32.25" customHeight="1">
      <c r="A35" s="182"/>
      <c r="B35" s="170" t="s">
        <v>712</v>
      </c>
      <c r="C35" s="168" t="s">
        <v>948</v>
      </c>
      <c r="D35" s="350">
        <v>0</v>
      </c>
      <c r="E35" s="350">
        <v>0</v>
      </c>
      <c r="F35" s="351" t="s">
        <v>589</v>
      </c>
    </row>
    <row r="36" spans="1:6" ht="32.25" customHeight="1">
      <c r="A36" s="169" t="s">
        <v>88</v>
      </c>
      <c r="B36" s="178" t="s">
        <v>746</v>
      </c>
      <c r="C36" s="168" t="s">
        <v>89</v>
      </c>
      <c r="D36" s="350">
        <v>2936900137</v>
      </c>
      <c r="E36" s="350">
        <v>3652211507</v>
      </c>
      <c r="F36" s="351">
        <v>0.58468695926562253</v>
      </c>
    </row>
    <row r="37" spans="1:6" ht="32.25" customHeight="1">
      <c r="A37" s="169"/>
      <c r="B37" s="178" t="s">
        <v>480</v>
      </c>
      <c r="C37" s="168" t="s">
        <v>739</v>
      </c>
      <c r="D37" s="350">
        <v>1162020000</v>
      </c>
      <c r="E37" s="350">
        <v>1387280000</v>
      </c>
      <c r="F37" s="351">
        <v>0.29442228854914637</v>
      </c>
    </row>
    <row r="38" spans="1:6" ht="32.25" customHeight="1">
      <c r="A38" s="169"/>
      <c r="B38" s="178" t="s">
        <v>740</v>
      </c>
      <c r="C38" s="168" t="s">
        <v>741</v>
      </c>
      <c r="D38" s="350">
        <v>1774880137</v>
      </c>
      <c r="E38" s="350">
        <v>2264931507</v>
      </c>
      <c r="F38" s="351">
        <v>1.6491336929152149</v>
      </c>
    </row>
    <row r="39" spans="1:6" s="176" customFormat="1" ht="42.75" customHeight="1">
      <c r="A39" s="169" t="s">
        <v>90</v>
      </c>
      <c r="B39" s="178" t="s">
        <v>233</v>
      </c>
      <c r="C39" s="168" t="s">
        <v>91</v>
      </c>
      <c r="D39" s="350">
        <v>6161799658</v>
      </c>
      <c r="E39" s="350">
        <v>3908285673</v>
      </c>
      <c r="F39" s="351">
        <v>2.3249807368781181</v>
      </c>
    </row>
    <row r="40" spans="1:6" ht="42.75" customHeight="1">
      <c r="A40" s="169"/>
      <c r="B40" s="171" t="s">
        <v>747</v>
      </c>
      <c r="C40" s="65" t="s">
        <v>470</v>
      </c>
      <c r="D40" s="350">
        <v>1643836</v>
      </c>
      <c r="E40" s="350">
        <v>24109588</v>
      </c>
      <c r="F40" s="351">
        <v>1.7123291845034291E-2</v>
      </c>
    </row>
    <row r="41" spans="1:6" ht="42.75" customHeight="1">
      <c r="A41" s="169"/>
      <c r="B41" s="171" t="s">
        <v>748</v>
      </c>
      <c r="C41" s="65" t="s">
        <v>471</v>
      </c>
      <c r="D41" s="350">
        <v>6160155822</v>
      </c>
      <c r="E41" s="350">
        <v>3884176085</v>
      </c>
      <c r="F41" s="351">
        <v>2.4117199308965289</v>
      </c>
    </row>
    <row r="42" spans="1:6" ht="32.25" customHeight="1">
      <c r="A42" s="169" t="s">
        <v>92</v>
      </c>
      <c r="B42" s="178" t="s">
        <v>234</v>
      </c>
      <c r="C42" s="168" t="s">
        <v>93</v>
      </c>
      <c r="D42" s="350">
        <v>1407776000</v>
      </c>
      <c r="E42" s="350">
        <v>0</v>
      </c>
      <c r="F42" s="351">
        <v>3.5510459513255502E-2</v>
      </c>
    </row>
    <row r="43" spans="1:6" ht="33" customHeight="1">
      <c r="A43" s="169" t="s">
        <v>94</v>
      </c>
      <c r="B43" s="178" t="s">
        <v>235</v>
      </c>
      <c r="C43" s="168" t="s">
        <v>95</v>
      </c>
      <c r="D43" s="350">
        <v>-866400000</v>
      </c>
      <c r="E43" s="350">
        <v>-866400000</v>
      </c>
      <c r="F43" s="351">
        <v>1</v>
      </c>
    </row>
    <row r="44" spans="1:6" ht="33" customHeight="1">
      <c r="A44" s="169"/>
      <c r="B44" s="178" t="s">
        <v>738</v>
      </c>
      <c r="C44" s="168" t="s">
        <v>899</v>
      </c>
      <c r="D44" s="350">
        <v>0</v>
      </c>
      <c r="E44" s="350">
        <v>0</v>
      </c>
      <c r="F44" s="351" t="s">
        <v>589</v>
      </c>
    </row>
    <row r="45" spans="1:6" ht="33" customHeight="1">
      <c r="A45" s="169"/>
      <c r="B45" s="178" t="s">
        <v>686</v>
      </c>
      <c r="C45" s="168" t="s">
        <v>900</v>
      </c>
      <c r="D45" s="350">
        <v>-866400000</v>
      </c>
      <c r="E45" s="350">
        <v>-866400000</v>
      </c>
      <c r="F45" s="351">
        <v>1</v>
      </c>
    </row>
    <row r="46" spans="1:6" ht="33" customHeight="1">
      <c r="A46" s="169"/>
      <c r="B46" s="178" t="s">
        <v>235</v>
      </c>
      <c r="C46" s="340">
        <v>2210.3000000000002</v>
      </c>
      <c r="D46" s="350">
        <v>0</v>
      </c>
      <c r="E46" s="350">
        <v>0</v>
      </c>
      <c r="F46" s="351" t="s">
        <v>589</v>
      </c>
    </row>
    <row r="47" spans="1:6" ht="33" customHeight="1">
      <c r="A47" s="169" t="s">
        <v>96</v>
      </c>
      <c r="B47" s="178" t="s">
        <v>236</v>
      </c>
      <c r="C47" s="168">
        <v>2211</v>
      </c>
      <c r="D47" s="350">
        <v>0</v>
      </c>
      <c r="E47" s="350">
        <v>0</v>
      </c>
      <c r="F47" s="351" t="s">
        <v>589</v>
      </c>
    </row>
    <row r="48" spans="1:6" ht="33" customHeight="1">
      <c r="A48" s="86" t="s">
        <v>97</v>
      </c>
      <c r="B48" s="375" t="s">
        <v>214</v>
      </c>
      <c r="C48" s="66" t="s">
        <v>98</v>
      </c>
      <c r="D48" s="376">
        <v>1011804016848</v>
      </c>
      <c r="E48" s="376">
        <v>1094473673625</v>
      </c>
      <c r="F48" s="377">
        <v>0.78593619375915713</v>
      </c>
    </row>
    <row r="49" spans="1:6" ht="33" customHeight="1">
      <c r="A49" s="86" t="s">
        <v>49</v>
      </c>
      <c r="B49" s="375" t="s">
        <v>237</v>
      </c>
      <c r="C49" s="66" t="s">
        <v>99</v>
      </c>
      <c r="D49" s="378"/>
      <c r="E49" s="378"/>
      <c r="F49" s="379" t="s">
        <v>589</v>
      </c>
    </row>
    <row r="50" spans="1:6" ht="33" customHeight="1">
      <c r="A50" s="167" t="s">
        <v>100</v>
      </c>
      <c r="B50" s="178" t="s">
        <v>238</v>
      </c>
      <c r="C50" s="168" t="s">
        <v>101</v>
      </c>
      <c r="D50" s="350">
        <v>1771104000</v>
      </c>
      <c r="E50" s="350">
        <v>0</v>
      </c>
      <c r="F50" s="351" t="s">
        <v>589</v>
      </c>
    </row>
    <row r="51" spans="1:6" ht="33" customHeight="1">
      <c r="A51" s="167" t="s">
        <v>102</v>
      </c>
      <c r="B51" s="178" t="s">
        <v>239</v>
      </c>
      <c r="C51" s="168" t="s">
        <v>103</v>
      </c>
      <c r="D51" s="350">
        <v>5611643817</v>
      </c>
      <c r="E51" s="350">
        <v>7245205632</v>
      </c>
      <c r="F51" s="351">
        <v>0.7434064604041174</v>
      </c>
    </row>
    <row r="52" spans="1:6" ht="33" customHeight="1">
      <c r="A52" s="167"/>
      <c r="B52" s="178" t="s">
        <v>721</v>
      </c>
      <c r="C52" s="168" t="s">
        <v>722</v>
      </c>
      <c r="D52" s="350">
        <v>3320310568</v>
      </c>
      <c r="E52" s="350">
        <v>4411146113</v>
      </c>
      <c r="F52" s="351">
        <v>0.71065902543178627</v>
      </c>
    </row>
    <row r="53" spans="1:6" s="179" customFormat="1" ht="33" customHeight="1">
      <c r="A53" s="167"/>
      <c r="B53" s="178" t="s">
        <v>643</v>
      </c>
      <c r="C53" s="168" t="s">
        <v>463</v>
      </c>
      <c r="D53" s="350">
        <v>1071510000</v>
      </c>
      <c r="E53" s="350">
        <v>152400000</v>
      </c>
      <c r="F53" s="351">
        <v>9.1192340425531917</v>
      </c>
    </row>
    <row r="54" spans="1:6" ht="33" customHeight="1">
      <c r="A54" s="167"/>
      <c r="B54" s="178" t="s">
        <v>644</v>
      </c>
      <c r="C54" s="168" t="s">
        <v>716</v>
      </c>
      <c r="D54" s="350">
        <v>0</v>
      </c>
      <c r="E54" s="350">
        <v>0</v>
      </c>
      <c r="F54" s="351" t="s">
        <v>589</v>
      </c>
    </row>
    <row r="55" spans="1:6" ht="33" customHeight="1">
      <c r="A55" s="167"/>
      <c r="B55" s="178" t="s">
        <v>717</v>
      </c>
      <c r="C55" s="168" t="s">
        <v>718</v>
      </c>
      <c r="D55" s="350">
        <v>0</v>
      </c>
      <c r="E55" s="350">
        <v>0</v>
      </c>
      <c r="F55" s="351" t="s">
        <v>589</v>
      </c>
    </row>
    <row r="56" spans="1:6" s="179" customFormat="1" ht="33" customHeight="1">
      <c r="A56" s="167"/>
      <c r="B56" s="178" t="s">
        <v>719</v>
      </c>
      <c r="C56" s="168" t="s">
        <v>720</v>
      </c>
      <c r="D56" s="350">
        <v>2248800568</v>
      </c>
      <c r="E56" s="350">
        <v>4258746113</v>
      </c>
      <c r="F56" s="351">
        <v>0.49373653136652779</v>
      </c>
    </row>
    <row r="57" spans="1:6" ht="33" customHeight="1">
      <c r="A57" s="167"/>
      <c r="B57" s="178" t="s">
        <v>243</v>
      </c>
      <c r="C57" s="168" t="s">
        <v>723</v>
      </c>
      <c r="D57" s="350">
        <v>8826373</v>
      </c>
      <c r="E57" s="350">
        <v>30142233</v>
      </c>
      <c r="F57" s="351">
        <v>0.87501096691565328</v>
      </c>
    </row>
    <row r="58" spans="1:6" ht="60.75" customHeight="1">
      <c r="A58" s="167"/>
      <c r="B58" s="178" t="s">
        <v>249</v>
      </c>
      <c r="C58" s="168" t="s">
        <v>188</v>
      </c>
      <c r="D58" s="350">
        <v>153225899</v>
      </c>
      <c r="E58" s="350">
        <v>411893233</v>
      </c>
      <c r="F58" s="351">
        <v>2.4702276083141093</v>
      </c>
    </row>
    <row r="59" spans="1:6" ht="32.25" customHeight="1">
      <c r="A59" s="167"/>
      <c r="B59" s="178" t="s">
        <v>241</v>
      </c>
      <c r="C59" s="168" t="s">
        <v>194</v>
      </c>
      <c r="D59" s="350">
        <v>39925000</v>
      </c>
      <c r="E59" s="350">
        <v>39925000</v>
      </c>
      <c r="F59" s="351">
        <v>1</v>
      </c>
    </row>
    <row r="60" spans="1:6" ht="45" customHeight="1">
      <c r="A60" s="167"/>
      <c r="B60" s="178" t="s">
        <v>242</v>
      </c>
      <c r="C60" s="168" t="s">
        <v>190</v>
      </c>
      <c r="D60" s="350">
        <v>25430103</v>
      </c>
      <c r="E60" s="350">
        <v>21191764</v>
      </c>
      <c r="F60" s="351">
        <v>0.9999999606765273</v>
      </c>
    </row>
    <row r="61" spans="1:6" ht="32.25" customHeight="1">
      <c r="A61" s="167"/>
      <c r="B61" s="178" t="s">
        <v>749</v>
      </c>
      <c r="C61" s="168" t="s">
        <v>197</v>
      </c>
      <c r="D61" s="350">
        <v>1586307900</v>
      </c>
      <c r="E61" s="350">
        <v>1833361881</v>
      </c>
      <c r="F61" s="351">
        <v>0.75809969999028826</v>
      </c>
    </row>
    <row r="62" spans="1:6" ht="32.25" customHeight="1">
      <c r="A62" s="167"/>
      <c r="B62" s="178" t="s">
        <v>245</v>
      </c>
      <c r="C62" s="168" t="s">
        <v>193</v>
      </c>
      <c r="D62" s="350">
        <v>22371010</v>
      </c>
      <c r="E62" s="350">
        <v>25855103</v>
      </c>
      <c r="F62" s="351">
        <v>0.75809978819912527</v>
      </c>
    </row>
    <row r="63" spans="1:6" ht="32.25" customHeight="1">
      <c r="A63" s="167"/>
      <c r="B63" s="178" t="s">
        <v>244</v>
      </c>
      <c r="C63" s="168" t="s">
        <v>192</v>
      </c>
      <c r="D63" s="350">
        <v>35793614</v>
      </c>
      <c r="E63" s="350">
        <v>41368165</v>
      </c>
      <c r="F63" s="351">
        <v>0.75809972336072196</v>
      </c>
    </row>
    <row r="64" spans="1:6" ht="32.25" customHeight="1">
      <c r="A64" s="167"/>
      <c r="B64" s="178" t="s">
        <v>638</v>
      </c>
      <c r="C64" s="168" t="s">
        <v>196</v>
      </c>
      <c r="D64" s="350">
        <v>29903840</v>
      </c>
      <c r="E64" s="350">
        <v>25135520</v>
      </c>
      <c r="F64" s="351">
        <v>0.35346703144035385</v>
      </c>
    </row>
    <row r="65" spans="1:6" ht="32.25" customHeight="1">
      <c r="A65" s="167"/>
      <c r="B65" s="178" t="s">
        <v>248</v>
      </c>
      <c r="C65" s="168" t="s">
        <v>724</v>
      </c>
      <c r="D65" s="350">
        <v>29903840</v>
      </c>
      <c r="E65" s="350">
        <v>25135520</v>
      </c>
      <c r="F65" s="351">
        <v>0.35346703144035385</v>
      </c>
    </row>
    <row r="66" spans="1:6" ht="32.25" customHeight="1">
      <c r="A66" s="167"/>
      <c r="B66" s="178" t="s">
        <v>367</v>
      </c>
      <c r="C66" s="168" t="s">
        <v>725</v>
      </c>
      <c r="D66" s="350">
        <v>0</v>
      </c>
      <c r="E66" s="350">
        <v>0</v>
      </c>
      <c r="F66" s="351" t="s">
        <v>589</v>
      </c>
    </row>
    <row r="67" spans="1:6" s="179" customFormat="1" ht="32.25" customHeight="1">
      <c r="A67" s="167"/>
      <c r="B67" s="178" t="s">
        <v>726</v>
      </c>
      <c r="C67" s="168" t="s">
        <v>384</v>
      </c>
      <c r="D67" s="350">
        <v>43193715</v>
      </c>
      <c r="E67" s="350">
        <v>42607422</v>
      </c>
      <c r="F67" s="351">
        <v>0.83510248082406913</v>
      </c>
    </row>
    <row r="68" spans="1:6" ht="32.25" customHeight="1">
      <c r="A68" s="167"/>
      <c r="B68" s="178" t="s">
        <v>473</v>
      </c>
      <c r="C68" s="168" t="s">
        <v>727</v>
      </c>
      <c r="D68" s="350">
        <v>38193715</v>
      </c>
      <c r="E68" s="350">
        <v>37607422</v>
      </c>
      <c r="F68" s="351">
        <v>0.88982654193874133</v>
      </c>
    </row>
    <row r="69" spans="1:6" s="179" customFormat="1" ht="32.25" customHeight="1">
      <c r="A69" s="167"/>
      <c r="B69" s="178" t="s">
        <v>369</v>
      </c>
      <c r="C69" s="168" t="s">
        <v>728</v>
      </c>
      <c r="D69" s="350">
        <v>5000000</v>
      </c>
      <c r="E69" s="350">
        <v>5000000</v>
      </c>
      <c r="F69" s="351">
        <v>0.56818181818181823</v>
      </c>
    </row>
    <row r="70" spans="1:6" ht="32.25" customHeight="1">
      <c r="A70" s="167"/>
      <c r="B70" s="178" t="s">
        <v>468</v>
      </c>
      <c r="C70" s="168" t="s">
        <v>729</v>
      </c>
      <c r="D70" s="350">
        <v>0</v>
      </c>
      <c r="E70" s="350">
        <v>0</v>
      </c>
      <c r="F70" s="351" t="s">
        <v>589</v>
      </c>
    </row>
    <row r="71" spans="1:6" ht="32.25" customHeight="1">
      <c r="A71" s="167"/>
      <c r="B71" s="178" t="s">
        <v>247</v>
      </c>
      <c r="C71" s="168" t="s">
        <v>199</v>
      </c>
      <c r="D71" s="350">
        <v>90004087</v>
      </c>
      <c r="E71" s="350">
        <v>44753414</v>
      </c>
      <c r="F71" s="351">
        <v>0.99999998888939357</v>
      </c>
    </row>
    <row r="72" spans="1:6" ht="32.25" customHeight="1">
      <c r="A72" s="167"/>
      <c r="B72" s="178" t="s">
        <v>750</v>
      </c>
      <c r="C72" s="168" t="s">
        <v>195</v>
      </c>
      <c r="D72" s="350">
        <v>35802742</v>
      </c>
      <c r="E72" s="350">
        <v>41237818</v>
      </c>
      <c r="F72" s="351">
        <v>2.9459916024275743</v>
      </c>
    </row>
    <row r="73" spans="1:6" ht="32.25" customHeight="1">
      <c r="A73" s="167"/>
      <c r="B73" s="178" t="s">
        <v>751</v>
      </c>
      <c r="C73" s="168" t="s">
        <v>198</v>
      </c>
      <c r="D73" s="350">
        <v>33066000</v>
      </c>
      <c r="E73" s="350">
        <v>33066000</v>
      </c>
      <c r="F73" s="351">
        <v>1.4836005072041847</v>
      </c>
    </row>
    <row r="74" spans="1:6" ht="32.25" customHeight="1">
      <c r="A74" s="167"/>
      <c r="B74" s="178" t="s">
        <v>246</v>
      </c>
      <c r="C74" s="168" t="s">
        <v>191</v>
      </c>
      <c r="D74" s="350">
        <v>11000000</v>
      </c>
      <c r="E74" s="350">
        <v>11000000</v>
      </c>
      <c r="F74" s="351">
        <v>0.16666666666666666</v>
      </c>
    </row>
    <row r="75" spans="1:6" ht="50">
      <c r="A75" s="167"/>
      <c r="B75" s="178" t="s">
        <v>653</v>
      </c>
      <c r="C75" s="168" t="s">
        <v>189</v>
      </c>
      <c r="D75" s="350">
        <v>0</v>
      </c>
      <c r="E75" s="350">
        <v>0</v>
      </c>
      <c r="F75" s="351" t="s">
        <v>589</v>
      </c>
    </row>
    <row r="76" spans="1:6" ht="34.5" customHeight="1">
      <c r="A76" s="167"/>
      <c r="B76" s="178" t="s">
        <v>654</v>
      </c>
      <c r="C76" s="168" t="s">
        <v>901</v>
      </c>
      <c r="D76" s="350">
        <v>0</v>
      </c>
      <c r="E76" s="350">
        <v>0</v>
      </c>
      <c r="F76" s="351" t="s">
        <v>589</v>
      </c>
    </row>
    <row r="77" spans="1:6" s="176" customFormat="1" ht="33" customHeight="1">
      <c r="A77" s="167"/>
      <c r="B77" s="178" t="s">
        <v>250</v>
      </c>
      <c r="C77" s="168" t="s">
        <v>368</v>
      </c>
      <c r="D77" s="350">
        <v>176482966</v>
      </c>
      <c r="E77" s="350">
        <v>232521966</v>
      </c>
      <c r="F77" s="351">
        <v>0.72640722952053893</v>
      </c>
    </row>
    <row r="78" spans="1:6" s="179" customFormat="1" ht="25">
      <c r="A78" s="167"/>
      <c r="B78" s="170" t="s">
        <v>482</v>
      </c>
      <c r="C78" s="168" t="s">
        <v>731</v>
      </c>
      <c r="D78" s="350">
        <v>0</v>
      </c>
      <c r="E78" s="350">
        <v>19010000</v>
      </c>
      <c r="F78" s="351">
        <v>0</v>
      </c>
    </row>
    <row r="79" spans="1:6" s="179" customFormat="1" ht="37.5">
      <c r="A79" s="167"/>
      <c r="B79" s="170" t="s">
        <v>655</v>
      </c>
      <c r="C79" s="168" t="s">
        <v>733</v>
      </c>
      <c r="D79" s="350">
        <v>0</v>
      </c>
      <c r="E79" s="350">
        <v>37029000</v>
      </c>
      <c r="F79" s="351">
        <v>0</v>
      </c>
    </row>
    <row r="80" spans="1:6" s="179" customFormat="1" ht="37.5">
      <c r="A80" s="167"/>
      <c r="B80" s="170" t="s">
        <v>734</v>
      </c>
      <c r="C80" s="168" t="s">
        <v>732</v>
      </c>
      <c r="D80" s="350">
        <v>0</v>
      </c>
      <c r="E80" s="350">
        <v>0</v>
      </c>
      <c r="F80" s="351">
        <v>0</v>
      </c>
    </row>
    <row r="81" spans="1:6" ht="25">
      <c r="A81" s="167"/>
      <c r="B81" s="171" t="s">
        <v>483</v>
      </c>
      <c r="C81" s="65" t="s">
        <v>730</v>
      </c>
      <c r="D81" s="350">
        <v>176482966</v>
      </c>
      <c r="E81" s="350">
        <v>176482966</v>
      </c>
      <c r="F81" s="351">
        <v>1</v>
      </c>
    </row>
    <row r="82" spans="1:6" ht="25">
      <c r="A82" s="167"/>
      <c r="B82" s="170" t="s">
        <v>735</v>
      </c>
      <c r="C82" s="168" t="s">
        <v>902</v>
      </c>
      <c r="D82" s="350">
        <v>0</v>
      </c>
      <c r="E82" s="350">
        <v>0</v>
      </c>
      <c r="F82" s="351" t="s">
        <v>589</v>
      </c>
    </row>
    <row r="83" spans="1:6" ht="30" customHeight="1">
      <c r="A83" s="167"/>
      <c r="B83" s="170" t="s">
        <v>1021</v>
      </c>
      <c r="C83" s="168" t="s">
        <v>736</v>
      </c>
      <c r="D83" s="350">
        <v>0</v>
      </c>
      <c r="E83" s="350">
        <v>0</v>
      </c>
      <c r="F83" s="351" t="s">
        <v>589</v>
      </c>
    </row>
    <row r="84" spans="1:6" ht="37.5" customHeight="1">
      <c r="A84" s="167"/>
      <c r="B84" s="170" t="s">
        <v>1022</v>
      </c>
      <c r="C84" s="168" t="s">
        <v>737</v>
      </c>
      <c r="D84" s="350">
        <v>0</v>
      </c>
      <c r="E84" s="350">
        <v>0</v>
      </c>
      <c r="F84" s="351" t="s">
        <v>589</v>
      </c>
    </row>
    <row r="85" spans="1:6" ht="32.25" customHeight="1">
      <c r="A85" s="86" t="s">
        <v>104</v>
      </c>
      <c r="B85" s="375" t="s">
        <v>251</v>
      </c>
      <c r="C85" s="66" t="s">
        <v>105</v>
      </c>
      <c r="D85" s="376">
        <v>7382747817</v>
      </c>
      <c r="E85" s="376">
        <v>7245205632</v>
      </c>
      <c r="F85" s="377">
        <v>0.97803470813054894</v>
      </c>
    </row>
    <row r="86" spans="1:6" ht="32.25" customHeight="1">
      <c r="A86" s="87"/>
      <c r="B86" s="380" t="s">
        <v>252</v>
      </c>
      <c r="C86" s="65" t="s">
        <v>106</v>
      </c>
      <c r="D86" s="381">
        <v>1004421269031</v>
      </c>
      <c r="E86" s="381">
        <v>1087228467993</v>
      </c>
      <c r="F86" s="351">
        <v>0.78480318666221516</v>
      </c>
    </row>
    <row r="87" spans="1:6" ht="32.25" customHeight="1">
      <c r="A87" s="87"/>
      <c r="B87" s="380" t="s">
        <v>253</v>
      </c>
      <c r="C87" s="65" t="s">
        <v>107</v>
      </c>
      <c r="D87" s="382">
        <v>26431084.530000024</v>
      </c>
      <c r="E87" s="382">
        <v>28177605.640000001</v>
      </c>
      <c r="F87" s="351">
        <v>0.8192780552429233</v>
      </c>
    </row>
    <row r="88" spans="1:6" ht="32.25" customHeight="1">
      <c r="A88" s="87"/>
      <c r="B88" s="380" t="s">
        <v>254</v>
      </c>
      <c r="C88" s="65" t="s">
        <v>108</v>
      </c>
      <c r="D88" s="383">
        <v>38001.51</v>
      </c>
      <c r="E88" s="383">
        <v>38584.839999999997</v>
      </c>
      <c r="F88" s="351">
        <v>0.95792047761025489</v>
      </c>
    </row>
    <row r="89" spans="1:6" ht="14.25" customHeight="1">
      <c r="A89" s="60"/>
      <c r="B89" s="60"/>
      <c r="C89" s="60"/>
      <c r="D89" s="61"/>
      <c r="E89" s="61"/>
      <c r="F89" s="177"/>
    </row>
    <row r="90" spans="1:6" ht="14.25" customHeight="1">
      <c r="A90" s="38"/>
      <c r="B90" s="54"/>
      <c r="C90" s="38"/>
      <c r="D90" s="55"/>
      <c r="E90" s="55"/>
      <c r="F90" s="56"/>
    </row>
    <row r="91" spans="1:6" ht="14.25" customHeight="1">
      <c r="A91" s="38"/>
      <c r="B91" s="54"/>
      <c r="C91" s="38"/>
      <c r="D91" s="55"/>
      <c r="E91" s="55"/>
      <c r="F91" s="56"/>
    </row>
    <row r="92" spans="1:6">
      <c r="A92" s="42" t="s">
        <v>178</v>
      </c>
      <c r="B92" s="38"/>
      <c r="C92" s="41"/>
      <c r="D92" s="43" t="s">
        <v>179</v>
      </c>
      <c r="E92" s="55"/>
      <c r="F92" s="56"/>
    </row>
    <row r="93" spans="1:6">
      <c r="A93" s="44" t="s">
        <v>180</v>
      </c>
      <c r="B93" s="38"/>
      <c r="C93" s="41"/>
      <c r="D93" s="45" t="s">
        <v>181</v>
      </c>
      <c r="E93" s="55"/>
      <c r="F93" s="56"/>
    </row>
    <row r="94" spans="1:6">
      <c r="A94" s="38"/>
      <c r="B94" s="38"/>
      <c r="C94" s="41"/>
      <c r="D94" s="41"/>
      <c r="E94" s="55"/>
      <c r="F94" s="56"/>
    </row>
    <row r="95" spans="1:6">
      <c r="A95" s="38"/>
      <c r="B95" s="38"/>
      <c r="C95" s="41"/>
      <c r="D95" s="41"/>
      <c r="E95" s="55"/>
      <c r="F95" s="56"/>
    </row>
    <row r="96" spans="1:6">
      <c r="A96" s="38"/>
      <c r="B96" s="38"/>
      <c r="C96" s="41"/>
      <c r="D96" s="41"/>
      <c r="E96" s="55"/>
      <c r="F96" s="56"/>
    </row>
    <row r="97" spans="1:6">
      <c r="A97" s="38"/>
      <c r="B97" s="38"/>
      <c r="C97" s="41"/>
      <c r="D97" s="41"/>
      <c r="E97" s="55"/>
      <c r="F97" s="56"/>
    </row>
    <row r="98" spans="1:6">
      <c r="A98" s="38"/>
      <c r="B98" s="38"/>
      <c r="C98" s="41"/>
      <c r="D98" s="41"/>
      <c r="E98" s="55"/>
      <c r="F98" s="56"/>
    </row>
    <row r="99" spans="1:6">
      <c r="A99" s="38"/>
      <c r="B99" s="38"/>
      <c r="C99" s="41"/>
      <c r="D99" s="41"/>
      <c r="E99" s="55"/>
      <c r="F99" s="56"/>
    </row>
    <row r="100" spans="1:6">
      <c r="A100" s="38"/>
      <c r="B100" s="38"/>
      <c r="C100" s="41"/>
      <c r="D100" s="41"/>
      <c r="E100" s="55"/>
      <c r="F100" s="56"/>
    </row>
    <row r="101" spans="1:6">
      <c r="A101" s="46"/>
      <c r="B101" s="46"/>
      <c r="C101" s="41"/>
      <c r="D101" s="47"/>
      <c r="E101" s="57"/>
      <c r="F101" s="58"/>
    </row>
    <row r="102" spans="1:6">
      <c r="A102" s="42" t="s">
        <v>182</v>
      </c>
      <c r="B102" s="38"/>
      <c r="C102" s="41"/>
      <c r="D102" s="43" t="s">
        <v>179</v>
      </c>
      <c r="E102" s="55"/>
      <c r="F102" s="56"/>
    </row>
    <row r="103" spans="1:6">
      <c r="A103" s="42" t="s">
        <v>965</v>
      </c>
      <c r="B103" s="38"/>
      <c r="C103" s="41"/>
      <c r="D103" s="43" t="s">
        <v>466</v>
      </c>
      <c r="E103" s="55"/>
      <c r="F103" s="56"/>
    </row>
    <row r="104" spans="1:6">
      <c r="A104" s="38" t="s">
        <v>966</v>
      </c>
      <c r="B104" s="38"/>
      <c r="C104" s="41"/>
      <c r="D104" s="41" t="s">
        <v>467</v>
      </c>
      <c r="E104" s="55"/>
      <c r="F104" s="56"/>
    </row>
    <row r="105" spans="1:6">
      <c r="A105" s="10"/>
      <c r="B105" s="10"/>
      <c r="C105" s="10"/>
      <c r="D105" s="12"/>
      <c r="E105" s="12"/>
      <c r="F105" s="10"/>
    </row>
  </sheetData>
  <mergeCells count="20">
    <mergeCell ref="A13:B13"/>
    <mergeCell ref="A14:B14"/>
    <mergeCell ref="A8:B8"/>
    <mergeCell ref="C8:F8"/>
    <mergeCell ref="A10:B10"/>
    <mergeCell ref="C10:F10"/>
    <mergeCell ref="A12:B12"/>
    <mergeCell ref="C12:F12"/>
    <mergeCell ref="A9:B9"/>
    <mergeCell ref="C9:F9"/>
    <mergeCell ref="A11:B11"/>
    <mergeCell ref="C11:F11"/>
    <mergeCell ref="C13:H13"/>
    <mergeCell ref="C14:H14"/>
    <mergeCell ref="A1:F1"/>
    <mergeCell ref="A2:F2"/>
    <mergeCell ref="A3:E4"/>
    <mergeCell ref="A5:E5"/>
    <mergeCell ref="A7:B7"/>
    <mergeCell ref="C7:F7"/>
  </mergeCells>
  <printOptions horizontalCentered="1"/>
  <pageMargins left="0.25" right="0.25" top="0.36" bottom="0.32" header="0.3" footer="0.3"/>
  <pageSetup paperSize="9" scale="75" fitToHeight="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H92"/>
  <sheetViews>
    <sheetView view="pageBreakPreview" topLeftCell="A69" zoomScale="85" zoomScaleNormal="100" zoomScaleSheetLayoutView="85" workbookViewId="0">
      <selection activeCell="B76" sqref="B76"/>
    </sheetView>
  </sheetViews>
  <sheetFormatPr defaultColWidth="9.26953125" defaultRowHeight="14.5"/>
  <cols>
    <col min="1" max="1" width="8.1796875" style="69" customWidth="1"/>
    <col min="2" max="2" width="49.54296875" style="69" customWidth="1"/>
    <col min="3" max="3" width="9.26953125" style="69"/>
    <col min="4" max="4" width="19.453125" style="84" customWidth="1"/>
    <col min="5" max="5" width="21.26953125" style="84" customWidth="1"/>
    <col min="6" max="6" width="22.26953125" style="84" customWidth="1"/>
    <col min="7" max="16384" width="9.26953125" style="69"/>
  </cols>
  <sheetData>
    <row r="1" spans="1:8" ht="23.25" customHeight="1">
      <c r="A1" s="444" t="s">
        <v>217</v>
      </c>
      <c r="B1" s="444"/>
      <c r="C1" s="444"/>
      <c r="D1" s="444"/>
      <c r="E1" s="444"/>
      <c r="F1" s="444"/>
    </row>
    <row r="2" spans="1:8" ht="33" customHeight="1">
      <c r="A2" s="425" t="s">
        <v>930</v>
      </c>
      <c r="B2" s="425"/>
      <c r="C2" s="425"/>
      <c r="D2" s="425"/>
      <c r="E2" s="425"/>
      <c r="F2" s="425"/>
    </row>
    <row r="3" spans="1:8" ht="15" customHeight="1">
      <c r="A3" s="426" t="s">
        <v>219</v>
      </c>
      <c r="B3" s="426"/>
      <c r="C3" s="426"/>
      <c r="D3" s="426"/>
      <c r="E3" s="426"/>
      <c r="F3" s="426"/>
    </row>
    <row r="4" spans="1:8" ht="19.149999999999999" customHeight="1">
      <c r="A4" s="426"/>
      <c r="B4" s="426"/>
      <c r="C4" s="426"/>
      <c r="D4" s="426"/>
      <c r="E4" s="426"/>
      <c r="F4" s="426"/>
    </row>
    <row r="5" spans="1:8">
      <c r="A5" s="427" t="s">
        <v>977</v>
      </c>
      <c r="B5" s="427"/>
      <c r="C5" s="427"/>
      <c r="D5" s="427"/>
      <c r="E5" s="427"/>
      <c r="F5" s="427"/>
    </row>
    <row r="6" spans="1:8">
      <c r="A6" s="18"/>
      <c r="B6" s="18"/>
      <c r="C6" s="18"/>
      <c r="D6" s="18"/>
      <c r="E6" s="18"/>
      <c r="F6" s="21"/>
    </row>
    <row r="7" spans="1:8">
      <c r="A7" s="445" t="s">
        <v>454</v>
      </c>
      <c r="B7" s="445"/>
      <c r="C7" s="440" t="s">
        <v>464</v>
      </c>
      <c r="D7" s="440"/>
      <c r="E7" s="440"/>
      <c r="F7" s="440"/>
    </row>
    <row r="8" spans="1:8" ht="15" customHeight="1">
      <c r="A8" s="448" t="s">
        <v>932</v>
      </c>
      <c r="B8" s="448"/>
      <c r="C8" s="439" t="s">
        <v>598</v>
      </c>
      <c r="D8" s="439"/>
      <c r="E8" s="439"/>
      <c r="F8" s="439"/>
    </row>
    <row r="9" spans="1:8" ht="15" customHeight="1">
      <c r="A9" s="445" t="s">
        <v>455</v>
      </c>
      <c r="B9" s="445"/>
      <c r="C9" s="440" t="s">
        <v>958</v>
      </c>
      <c r="D9" s="440"/>
      <c r="E9" s="440"/>
      <c r="F9" s="440"/>
    </row>
    <row r="10" spans="1:8" ht="15" customHeight="1">
      <c r="A10" s="449" t="s">
        <v>457</v>
      </c>
      <c r="B10" s="449"/>
      <c r="C10" s="439" t="s">
        <v>458</v>
      </c>
      <c r="D10" s="439"/>
      <c r="E10" s="439"/>
      <c r="F10" s="439"/>
    </row>
    <row r="11" spans="1:8" ht="15" customHeight="1">
      <c r="A11" s="445" t="s">
        <v>391</v>
      </c>
      <c r="B11" s="445"/>
      <c r="C11" s="440" t="s">
        <v>489</v>
      </c>
      <c r="D11" s="440"/>
      <c r="E11" s="440"/>
      <c r="F11" s="440"/>
    </row>
    <row r="12" spans="1:8" ht="15" customHeight="1">
      <c r="A12" s="450" t="s">
        <v>389</v>
      </c>
      <c r="B12" s="450"/>
      <c r="C12" s="439" t="s">
        <v>488</v>
      </c>
      <c r="D12" s="439"/>
      <c r="E12" s="439"/>
      <c r="F12" s="439"/>
    </row>
    <row r="13" spans="1:8" ht="15" customHeight="1">
      <c r="A13" s="446" t="s">
        <v>138</v>
      </c>
      <c r="B13" s="446"/>
      <c r="C13" s="412" t="s">
        <v>1018</v>
      </c>
      <c r="D13" s="413"/>
      <c r="E13" s="413"/>
      <c r="F13" s="413"/>
      <c r="G13" s="413"/>
      <c r="H13" s="413"/>
    </row>
    <row r="14" spans="1:8">
      <c r="A14" s="447" t="s">
        <v>139</v>
      </c>
      <c r="B14" s="447"/>
      <c r="C14" s="414">
        <v>43655</v>
      </c>
      <c r="D14" s="414"/>
      <c r="E14" s="414"/>
      <c r="F14" s="414"/>
      <c r="G14" s="414"/>
      <c r="H14" s="414"/>
    </row>
    <row r="15" spans="1:8">
      <c r="A15" s="72"/>
      <c r="B15" s="72"/>
      <c r="C15" s="72"/>
      <c r="D15" s="161"/>
      <c r="E15" s="161"/>
      <c r="F15" s="161"/>
    </row>
    <row r="16" spans="1:8">
      <c r="A16" s="157" t="s">
        <v>49</v>
      </c>
      <c r="B16" s="158" t="s">
        <v>476</v>
      </c>
      <c r="C16" s="72"/>
      <c r="D16" s="161"/>
      <c r="E16" s="161"/>
      <c r="F16" s="161"/>
    </row>
    <row r="17" spans="1:6" ht="55.5" customHeight="1">
      <c r="A17" s="63" t="s">
        <v>220</v>
      </c>
      <c r="B17" s="63" t="s">
        <v>140</v>
      </c>
      <c r="C17" s="63" t="s">
        <v>222</v>
      </c>
      <c r="D17" s="64" t="s">
        <v>980</v>
      </c>
      <c r="E17" s="64" t="s">
        <v>968</v>
      </c>
      <c r="F17" s="64" t="s">
        <v>255</v>
      </c>
    </row>
    <row r="18" spans="1:6" ht="33.75" customHeight="1">
      <c r="A18" s="86" t="s">
        <v>43</v>
      </c>
      <c r="B18" s="375" t="s">
        <v>256</v>
      </c>
      <c r="C18" s="347" t="s">
        <v>917</v>
      </c>
      <c r="D18" s="322">
        <v>10571523372</v>
      </c>
      <c r="E18" s="322">
        <v>6278362894</v>
      </c>
      <c r="F18" s="322">
        <v>16849886266</v>
      </c>
    </row>
    <row r="19" spans="1:6" ht="32.25" customHeight="1">
      <c r="A19" s="87">
        <v>1</v>
      </c>
      <c r="B19" s="380" t="s">
        <v>258</v>
      </c>
      <c r="C19" s="65" t="s">
        <v>109</v>
      </c>
      <c r="D19" s="323">
        <v>8222910230</v>
      </c>
      <c r="E19" s="324">
        <v>3115371259</v>
      </c>
      <c r="F19" s="323">
        <v>11338281489</v>
      </c>
    </row>
    <row r="20" spans="1:6" s="186" customFormat="1" ht="32.25" customHeight="1">
      <c r="A20" s="187"/>
      <c r="B20" s="384" t="s">
        <v>496</v>
      </c>
      <c r="C20" s="168" t="s">
        <v>918</v>
      </c>
      <c r="D20" s="323">
        <v>6109536600</v>
      </c>
      <c r="E20" s="324">
        <v>732224000</v>
      </c>
      <c r="F20" s="323">
        <v>6841760600</v>
      </c>
    </row>
    <row r="21" spans="1:6" s="186" customFormat="1" ht="32.25" customHeight="1">
      <c r="A21" s="187"/>
      <c r="B21" s="384" t="s">
        <v>497</v>
      </c>
      <c r="C21" s="168" t="s">
        <v>852</v>
      </c>
      <c r="D21" s="323">
        <v>2113373630</v>
      </c>
      <c r="E21" s="324">
        <v>2383147259</v>
      </c>
      <c r="F21" s="323">
        <v>4496520889</v>
      </c>
    </row>
    <row r="22" spans="1:6" ht="32.25" customHeight="1">
      <c r="A22" s="87">
        <v>2</v>
      </c>
      <c r="B22" s="380" t="s">
        <v>259</v>
      </c>
      <c r="C22" s="65" t="s">
        <v>110</v>
      </c>
      <c r="D22" s="323">
        <v>2348613142</v>
      </c>
      <c r="E22" s="324">
        <v>3162991635</v>
      </c>
      <c r="F22" s="323">
        <v>5511604777</v>
      </c>
    </row>
    <row r="23" spans="1:6" s="266" customFormat="1" ht="32.25" customHeight="1">
      <c r="A23" s="187"/>
      <c r="B23" s="384" t="s">
        <v>938</v>
      </c>
      <c r="C23" s="348" t="s">
        <v>919</v>
      </c>
      <c r="D23" s="323">
        <v>72633405</v>
      </c>
      <c r="E23" s="324">
        <v>148983073</v>
      </c>
      <c r="F23" s="323">
        <v>221616478</v>
      </c>
    </row>
    <row r="24" spans="1:6" s="266" customFormat="1" ht="32.25" customHeight="1">
      <c r="A24" s="187"/>
      <c r="B24" s="384" t="s">
        <v>752</v>
      </c>
      <c r="C24" s="348" t="s">
        <v>920</v>
      </c>
      <c r="D24" s="323">
        <v>2275979737</v>
      </c>
      <c r="E24" s="324">
        <v>3014008562</v>
      </c>
      <c r="F24" s="323">
        <v>5289988299</v>
      </c>
    </row>
    <row r="25" spans="1:6" ht="32.25" customHeight="1">
      <c r="A25" s="87">
        <v>3</v>
      </c>
      <c r="B25" s="380" t="s">
        <v>260</v>
      </c>
      <c r="C25" s="65" t="s">
        <v>111</v>
      </c>
      <c r="D25" s="325">
        <v>0</v>
      </c>
      <c r="E25" s="324">
        <v>0</v>
      </c>
      <c r="F25" s="325">
        <v>0</v>
      </c>
    </row>
    <row r="26" spans="1:6" ht="32.25" customHeight="1">
      <c r="A26" s="187"/>
      <c r="B26" s="384" t="s">
        <v>753</v>
      </c>
      <c r="C26" s="348" t="s">
        <v>921</v>
      </c>
      <c r="D26" s="323">
        <v>0</v>
      </c>
      <c r="E26" s="324">
        <v>0</v>
      </c>
      <c r="F26" s="323">
        <v>0</v>
      </c>
    </row>
    <row r="27" spans="1:6" ht="32.25" customHeight="1">
      <c r="A27" s="187"/>
      <c r="B27" s="384" t="s">
        <v>754</v>
      </c>
      <c r="C27" s="348" t="s">
        <v>922</v>
      </c>
      <c r="D27" s="323">
        <v>0</v>
      </c>
      <c r="E27" s="324">
        <v>0</v>
      </c>
      <c r="F27" s="323">
        <v>0</v>
      </c>
    </row>
    <row r="28" spans="1:6" ht="79.5" customHeight="1">
      <c r="A28" s="187"/>
      <c r="B28" s="384" t="s">
        <v>742</v>
      </c>
      <c r="C28" s="348" t="s">
        <v>923</v>
      </c>
      <c r="D28" s="326">
        <v>0</v>
      </c>
      <c r="E28" s="327">
        <v>0</v>
      </c>
      <c r="F28" s="326">
        <v>0</v>
      </c>
    </row>
    <row r="29" spans="1:6" ht="32.25" customHeight="1">
      <c r="A29" s="86" t="s">
        <v>49</v>
      </c>
      <c r="B29" s="375" t="s">
        <v>257</v>
      </c>
      <c r="C29" s="347" t="s">
        <v>903</v>
      </c>
      <c r="D29" s="322">
        <v>5790146982</v>
      </c>
      <c r="E29" s="322">
        <v>6406243394</v>
      </c>
      <c r="F29" s="322">
        <v>12196390376</v>
      </c>
    </row>
    <row r="30" spans="1:6" ht="32.25" customHeight="1">
      <c r="A30" s="87">
        <v>1</v>
      </c>
      <c r="B30" s="380" t="s">
        <v>261</v>
      </c>
      <c r="C30" s="65" t="s">
        <v>112</v>
      </c>
      <c r="D30" s="323">
        <v>4949935802</v>
      </c>
      <c r="E30" s="324">
        <v>5235839820</v>
      </c>
      <c r="F30" s="323">
        <v>10185775622</v>
      </c>
    </row>
    <row r="31" spans="1:6" ht="47.25" customHeight="1">
      <c r="A31" s="87">
        <v>2</v>
      </c>
      <c r="B31" s="380" t="s">
        <v>262</v>
      </c>
      <c r="C31" s="65" t="s">
        <v>904</v>
      </c>
      <c r="D31" s="323">
        <v>256831877</v>
      </c>
      <c r="E31" s="324">
        <v>259239278</v>
      </c>
      <c r="F31" s="323">
        <v>516071155</v>
      </c>
    </row>
    <row r="32" spans="1:6" ht="31.5" customHeight="1">
      <c r="A32" s="87"/>
      <c r="B32" s="385" t="s">
        <v>473</v>
      </c>
      <c r="C32" s="65" t="s">
        <v>202</v>
      </c>
      <c r="D32" s="323">
        <v>109643438</v>
      </c>
      <c r="E32" s="324">
        <v>107401841</v>
      </c>
      <c r="F32" s="323">
        <v>217045279</v>
      </c>
    </row>
    <row r="33" spans="1:6" ht="31.5" customHeight="1">
      <c r="A33" s="87"/>
      <c r="B33" s="385" t="s">
        <v>155</v>
      </c>
      <c r="C33" s="65" t="s">
        <v>206</v>
      </c>
      <c r="D33" s="323">
        <v>17500000</v>
      </c>
      <c r="E33" s="324">
        <v>11100000</v>
      </c>
      <c r="F33" s="323">
        <v>28600000</v>
      </c>
    </row>
    <row r="34" spans="1:6" ht="31.5" customHeight="1">
      <c r="A34" s="87"/>
      <c r="B34" s="385" t="s">
        <v>468</v>
      </c>
      <c r="C34" s="65" t="s">
        <v>472</v>
      </c>
      <c r="D34" s="323">
        <v>17597580</v>
      </c>
      <c r="E34" s="324">
        <v>22595411</v>
      </c>
      <c r="F34" s="323">
        <v>40192991</v>
      </c>
    </row>
    <row r="35" spans="1:6" ht="31.5" customHeight="1">
      <c r="A35" s="87"/>
      <c r="B35" s="385" t="s">
        <v>263</v>
      </c>
      <c r="C35" s="65" t="s">
        <v>203</v>
      </c>
      <c r="D35" s="323">
        <v>111690859</v>
      </c>
      <c r="E35" s="324">
        <v>118142026</v>
      </c>
      <c r="F35" s="323">
        <v>229832885</v>
      </c>
    </row>
    <row r="36" spans="1:6" ht="59.25" customHeight="1">
      <c r="A36" s="169"/>
      <c r="B36" s="386" t="s">
        <v>984</v>
      </c>
      <c r="C36" s="168" t="s">
        <v>982</v>
      </c>
      <c r="D36" s="325">
        <v>400000</v>
      </c>
      <c r="E36" s="324">
        <v>0</v>
      </c>
      <c r="F36" s="325">
        <v>400000</v>
      </c>
    </row>
    <row r="37" spans="1:6" ht="74.25" customHeight="1">
      <c r="A37" s="87">
        <v>3</v>
      </c>
      <c r="B37" s="387" t="s">
        <v>264</v>
      </c>
      <c r="C37" s="65" t="s">
        <v>905</v>
      </c>
      <c r="D37" s="323">
        <v>102806788</v>
      </c>
      <c r="E37" s="324">
        <v>106838765</v>
      </c>
      <c r="F37" s="323">
        <v>209645553</v>
      </c>
    </row>
    <row r="38" spans="1:6" ht="30.75" customHeight="1">
      <c r="A38" s="87"/>
      <c r="B38" s="388" t="s">
        <v>265</v>
      </c>
      <c r="C38" s="65" t="s">
        <v>201</v>
      </c>
      <c r="D38" s="323">
        <v>69806788</v>
      </c>
      <c r="E38" s="324">
        <v>73838765</v>
      </c>
      <c r="F38" s="323">
        <v>143645553</v>
      </c>
    </row>
    <row r="39" spans="1:6" ht="30.75" customHeight="1">
      <c r="A39" s="87"/>
      <c r="B39" s="388" t="s">
        <v>266</v>
      </c>
      <c r="C39" s="65" t="s">
        <v>207</v>
      </c>
      <c r="D39" s="323">
        <v>33000000</v>
      </c>
      <c r="E39" s="324">
        <v>33000000</v>
      </c>
      <c r="F39" s="323">
        <v>66000000</v>
      </c>
    </row>
    <row r="40" spans="1:6" ht="30.75" customHeight="1">
      <c r="A40" s="87">
        <v>4</v>
      </c>
      <c r="B40" s="380" t="s">
        <v>268</v>
      </c>
      <c r="C40" s="65" t="s">
        <v>113</v>
      </c>
      <c r="D40" s="323">
        <v>45250673</v>
      </c>
      <c r="E40" s="324">
        <v>48391678</v>
      </c>
      <c r="F40" s="323">
        <v>93642351</v>
      </c>
    </row>
    <row r="41" spans="1:6" ht="72" customHeight="1">
      <c r="A41" s="87">
        <v>5</v>
      </c>
      <c r="B41" s="380" t="s">
        <v>269</v>
      </c>
      <c r="C41" s="65" t="s">
        <v>906</v>
      </c>
      <c r="D41" s="323">
        <v>51453339</v>
      </c>
      <c r="E41" s="324">
        <v>55191764</v>
      </c>
      <c r="F41" s="323">
        <v>106645103</v>
      </c>
    </row>
    <row r="42" spans="1:6" ht="30.75" customHeight="1">
      <c r="A42" s="87"/>
      <c r="B42" s="389" t="s">
        <v>165</v>
      </c>
      <c r="C42" s="65" t="s">
        <v>385</v>
      </c>
      <c r="D42" s="323">
        <v>55238339</v>
      </c>
      <c r="E42" s="324">
        <v>55191764</v>
      </c>
      <c r="F42" s="323">
        <v>110430103</v>
      </c>
    </row>
    <row r="43" spans="1:6" ht="30.75" customHeight="1">
      <c r="A43" s="87"/>
      <c r="B43" s="389" t="s">
        <v>755</v>
      </c>
      <c r="C43" s="65" t="s">
        <v>386</v>
      </c>
      <c r="D43" s="323">
        <v>-3785000</v>
      </c>
      <c r="E43" s="324">
        <v>0</v>
      </c>
      <c r="F43" s="323">
        <v>-3785000</v>
      </c>
    </row>
    <row r="44" spans="1:6" ht="30.75" customHeight="1">
      <c r="A44" s="87"/>
      <c r="B44" s="390" t="s">
        <v>609</v>
      </c>
      <c r="C44" s="65" t="s">
        <v>758</v>
      </c>
      <c r="D44" s="323">
        <v>0</v>
      </c>
      <c r="E44" s="324">
        <v>0</v>
      </c>
      <c r="F44" s="323">
        <v>0</v>
      </c>
    </row>
    <row r="45" spans="1:6" ht="150" customHeight="1">
      <c r="A45" s="87">
        <v>6</v>
      </c>
      <c r="B45" s="387" t="s">
        <v>270</v>
      </c>
      <c r="C45" s="65" t="s">
        <v>907</v>
      </c>
      <c r="D45" s="323">
        <v>-32471948</v>
      </c>
      <c r="E45" s="324">
        <v>0</v>
      </c>
      <c r="F45" s="323">
        <v>-32471948</v>
      </c>
    </row>
    <row r="46" spans="1:6" ht="30.75" customHeight="1">
      <c r="A46" s="87"/>
      <c r="B46" s="388" t="s">
        <v>267</v>
      </c>
      <c r="C46" s="65" t="s">
        <v>212</v>
      </c>
      <c r="D46" s="323">
        <v>0</v>
      </c>
      <c r="E46" s="324">
        <v>0</v>
      </c>
      <c r="F46" s="323">
        <v>0</v>
      </c>
    </row>
    <row r="47" spans="1:6" ht="30.75" customHeight="1">
      <c r="A47" s="87"/>
      <c r="B47" s="388" t="s">
        <v>167</v>
      </c>
      <c r="C47" s="65" t="s">
        <v>204</v>
      </c>
      <c r="D47" s="323">
        <v>0</v>
      </c>
      <c r="E47" s="324">
        <v>0</v>
      </c>
      <c r="F47" s="323">
        <v>0</v>
      </c>
    </row>
    <row r="48" spans="1:6" ht="45.75" customHeight="1">
      <c r="A48" s="87"/>
      <c r="B48" s="388" t="s">
        <v>370</v>
      </c>
      <c r="C48" s="65" t="s">
        <v>211</v>
      </c>
      <c r="D48" s="323">
        <v>-32471948</v>
      </c>
      <c r="E48" s="324">
        <v>0</v>
      </c>
      <c r="F48" s="323">
        <v>-32471948</v>
      </c>
    </row>
    <row r="49" spans="1:6" ht="33" customHeight="1">
      <c r="A49" s="87"/>
      <c r="B49" s="389" t="s">
        <v>168</v>
      </c>
      <c r="C49" s="65" t="s">
        <v>210</v>
      </c>
      <c r="D49" s="323">
        <v>0</v>
      </c>
      <c r="E49" s="324">
        <v>0</v>
      </c>
      <c r="F49" s="323">
        <v>0</v>
      </c>
    </row>
    <row r="50" spans="1:6" ht="33" customHeight="1">
      <c r="A50" s="87"/>
      <c r="B50" s="389" t="s">
        <v>985</v>
      </c>
      <c r="C50" s="65" t="s">
        <v>924</v>
      </c>
      <c r="D50" s="323">
        <v>0</v>
      </c>
      <c r="E50" s="324">
        <v>0</v>
      </c>
      <c r="F50" s="323">
        <v>0</v>
      </c>
    </row>
    <row r="51" spans="1:6" ht="59.25" customHeight="1">
      <c r="A51" s="87">
        <v>7</v>
      </c>
      <c r="B51" s="380" t="s">
        <v>271</v>
      </c>
      <c r="C51" s="65" t="s">
        <v>908</v>
      </c>
      <c r="D51" s="323">
        <v>411624788</v>
      </c>
      <c r="E51" s="324">
        <v>693503424</v>
      </c>
      <c r="F51" s="323">
        <v>1105128212</v>
      </c>
    </row>
    <row r="52" spans="1:6" ht="31.5" customHeight="1">
      <c r="A52" s="87"/>
      <c r="B52" s="385" t="s">
        <v>756</v>
      </c>
      <c r="C52" s="65" t="s">
        <v>208</v>
      </c>
      <c r="D52" s="323">
        <v>409902088</v>
      </c>
      <c r="E52" s="324">
        <v>690917574</v>
      </c>
      <c r="F52" s="323">
        <v>1100819662</v>
      </c>
    </row>
    <row r="53" spans="1:6" ht="31.5" customHeight="1">
      <c r="A53" s="87"/>
      <c r="B53" s="385" t="s">
        <v>147</v>
      </c>
      <c r="C53" s="65" t="s">
        <v>205</v>
      </c>
      <c r="D53" s="323">
        <v>1722700</v>
      </c>
      <c r="E53" s="324">
        <v>2585850</v>
      </c>
      <c r="F53" s="323">
        <v>4308550</v>
      </c>
    </row>
    <row r="54" spans="1:6" ht="31.5" customHeight="1">
      <c r="A54" s="87"/>
      <c r="B54" s="385" t="s">
        <v>273</v>
      </c>
      <c r="C54" s="65" t="s">
        <v>952</v>
      </c>
      <c r="D54" s="323">
        <v>0</v>
      </c>
      <c r="E54" s="324">
        <v>0</v>
      </c>
      <c r="F54" s="323">
        <v>0</v>
      </c>
    </row>
    <row r="55" spans="1:6" ht="30.75" customHeight="1">
      <c r="A55" s="169">
        <v>8</v>
      </c>
      <c r="B55" s="178" t="s">
        <v>272</v>
      </c>
      <c r="C55" s="168" t="s">
        <v>909</v>
      </c>
      <c r="D55" s="325">
        <v>4715663</v>
      </c>
      <c r="E55" s="324">
        <v>7238665</v>
      </c>
      <c r="F55" s="325">
        <v>11954328</v>
      </c>
    </row>
    <row r="56" spans="1:6" s="179" customFormat="1" ht="31.5" customHeight="1">
      <c r="A56" s="169"/>
      <c r="B56" s="386" t="s">
        <v>371</v>
      </c>
      <c r="C56" s="168" t="s">
        <v>114</v>
      </c>
      <c r="D56" s="325">
        <v>0</v>
      </c>
      <c r="E56" s="324">
        <v>0</v>
      </c>
      <c r="F56" s="325">
        <v>0</v>
      </c>
    </row>
    <row r="57" spans="1:6" s="179" customFormat="1" ht="31.5" customHeight="1">
      <c r="A57" s="169"/>
      <c r="B57" s="386" t="s">
        <v>743</v>
      </c>
      <c r="C57" s="168" t="s">
        <v>209</v>
      </c>
      <c r="D57" s="325">
        <v>0</v>
      </c>
      <c r="E57" s="324">
        <v>0</v>
      </c>
      <c r="F57" s="325">
        <v>0</v>
      </c>
    </row>
    <row r="58" spans="1:6" s="179" customFormat="1" ht="31.5" customHeight="1">
      <c r="A58" s="169"/>
      <c r="B58" s="386" t="s">
        <v>744</v>
      </c>
      <c r="C58" s="168" t="s">
        <v>200</v>
      </c>
      <c r="D58" s="325">
        <v>0</v>
      </c>
      <c r="E58" s="324">
        <v>0</v>
      </c>
      <c r="F58" s="325">
        <v>0</v>
      </c>
    </row>
    <row r="59" spans="1:6" s="179" customFormat="1" ht="31.5" customHeight="1">
      <c r="A59" s="169"/>
      <c r="B59" s="386" t="s">
        <v>169</v>
      </c>
      <c r="C59" s="168" t="s">
        <v>387</v>
      </c>
      <c r="D59" s="325">
        <v>4715663</v>
      </c>
      <c r="E59" s="324">
        <v>6138665</v>
      </c>
      <c r="F59" s="325">
        <v>10854328</v>
      </c>
    </row>
    <row r="60" spans="1:6" s="179" customFormat="1" ht="31.5" customHeight="1">
      <c r="A60" s="169"/>
      <c r="B60" s="386" t="s">
        <v>1024</v>
      </c>
      <c r="C60" s="168" t="s">
        <v>925</v>
      </c>
      <c r="D60" s="325"/>
      <c r="E60" s="324"/>
      <c r="F60" s="325"/>
    </row>
    <row r="61" spans="1:6" s="179" customFormat="1" ht="31.5" customHeight="1">
      <c r="A61" s="169"/>
      <c r="B61" s="386" t="s">
        <v>273</v>
      </c>
      <c r="C61" s="168" t="s">
        <v>745</v>
      </c>
      <c r="D61" s="325">
        <v>0</v>
      </c>
      <c r="E61" s="324">
        <v>0</v>
      </c>
      <c r="F61" s="325">
        <v>0</v>
      </c>
    </row>
    <row r="62" spans="1:6" s="179" customFormat="1" ht="31.5" customHeight="1">
      <c r="A62" s="169"/>
      <c r="B62" s="386" t="s">
        <v>612</v>
      </c>
      <c r="C62" s="168" t="s">
        <v>851</v>
      </c>
      <c r="D62" s="325">
        <v>0</v>
      </c>
      <c r="E62" s="324">
        <v>1100000</v>
      </c>
      <c r="F62" s="325">
        <v>1100000</v>
      </c>
    </row>
    <row r="63" spans="1:6" ht="25">
      <c r="A63" s="88" t="s">
        <v>115</v>
      </c>
      <c r="B63" s="375" t="s">
        <v>274</v>
      </c>
      <c r="C63" s="347" t="s">
        <v>910</v>
      </c>
      <c r="D63" s="322">
        <v>4781376390</v>
      </c>
      <c r="E63" s="322">
        <v>-127880500</v>
      </c>
      <c r="F63" s="322">
        <v>4653495890</v>
      </c>
    </row>
    <row r="64" spans="1:6" ht="31.5" customHeight="1">
      <c r="A64" s="88" t="s">
        <v>116</v>
      </c>
      <c r="B64" s="375" t="s">
        <v>275</v>
      </c>
      <c r="C64" s="347" t="s">
        <v>911</v>
      </c>
      <c r="D64" s="322">
        <v>-20406954600</v>
      </c>
      <c r="E64" s="322">
        <v>50482996387</v>
      </c>
      <c r="F64" s="322">
        <v>30076041787</v>
      </c>
    </row>
    <row r="65" spans="1:6" ht="31.5" customHeight="1">
      <c r="A65" s="87">
        <v>1</v>
      </c>
      <c r="B65" s="380" t="s">
        <v>276</v>
      </c>
      <c r="C65" s="65" t="s">
        <v>117</v>
      </c>
      <c r="D65" s="323">
        <v>-7286808677</v>
      </c>
      <c r="E65" s="324">
        <v>1788720109</v>
      </c>
      <c r="F65" s="323">
        <v>-5498088568</v>
      </c>
    </row>
    <row r="66" spans="1:6" ht="31.5" customHeight="1">
      <c r="A66" s="87">
        <v>2</v>
      </c>
      <c r="B66" s="380" t="s">
        <v>277</v>
      </c>
      <c r="C66" s="65" t="s">
        <v>118</v>
      </c>
      <c r="D66" s="323">
        <v>-13120145923</v>
      </c>
      <c r="E66" s="324">
        <v>48694276278</v>
      </c>
      <c r="F66" s="323">
        <v>35574130355</v>
      </c>
    </row>
    <row r="67" spans="1:6" ht="74.25" customHeight="1">
      <c r="A67" s="88" t="s">
        <v>119</v>
      </c>
      <c r="B67" s="375" t="s">
        <v>278</v>
      </c>
      <c r="C67" s="347" t="s">
        <v>912</v>
      </c>
      <c r="D67" s="322">
        <v>-15625578210</v>
      </c>
      <c r="E67" s="322">
        <v>50355115887</v>
      </c>
      <c r="F67" s="322">
        <v>34729537677</v>
      </c>
    </row>
    <row r="68" spans="1:6" ht="33" customHeight="1">
      <c r="A68" s="88" t="s">
        <v>53</v>
      </c>
      <c r="B68" s="375" t="s">
        <v>279</v>
      </c>
      <c r="C68" s="347" t="s">
        <v>913</v>
      </c>
      <c r="D68" s="322">
        <v>1087228467993</v>
      </c>
      <c r="E68" s="322">
        <v>1089016862195</v>
      </c>
      <c r="F68" s="322">
        <v>1089016862195</v>
      </c>
    </row>
    <row r="69" spans="1:6" ht="48" customHeight="1">
      <c r="A69" s="88" t="s">
        <v>120</v>
      </c>
      <c r="B69" s="375" t="s">
        <v>280</v>
      </c>
      <c r="C69" s="347" t="s">
        <v>914</v>
      </c>
      <c r="D69" s="322">
        <v>-82807198962</v>
      </c>
      <c r="E69" s="322">
        <v>-1788394202</v>
      </c>
      <c r="F69" s="322">
        <v>-84595593164</v>
      </c>
    </row>
    <row r="70" spans="1:6" ht="31.5" customHeight="1">
      <c r="A70" s="87"/>
      <c r="B70" s="380" t="s">
        <v>281</v>
      </c>
      <c r="C70" s="65" t="s">
        <v>915</v>
      </c>
      <c r="D70" s="323"/>
      <c r="E70" s="324"/>
      <c r="F70" s="323"/>
    </row>
    <row r="71" spans="1:6" ht="62.25" customHeight="1">
      <c r="A71" s="87">
        <v>1</v>
      </c>
      <c r="B71" s="380" t="s">
        <v>282</v>
      </c>
      <c r="C71" s="65" t="s">
        <v>926</v>
      </c>
      <c r="D71" s="323">
        <v>-15625578210</v>
      </c>
      <c r="E71" s="324">
        <v>50355115887</v>
      </c>
      <c r="F71" s="323">
        <v>34729537677</v>
      </c>
    </row>
    <row r="72" spans="1:6" ht="62.25" customHeight="1">
      <c r="A72" s="87">
        <v>2</v>
      </c>
      <c r="B72" s="380" t="s">
        <v>283</v>
      </c>
      <c r="C72" s="65" t="s">
        <v>927</v>
      </c>
      <c r="D72" s="323">
        <v>0</v>
      </c>
      <c r="E72" s="324">
        <v>0</v>
      </c>
      <c r="F72" s="323">
        <v>0</v>
      </c>
    </row>
    <row r="73" spans="1:6" ht="47.25" customHeight="1">
      <c r="A73" s="87">
        <v>3</v>
      </c>
      <c r="B73" s="380" t="s">
        <v>284</v>
      </c>
      <c r="C73" s="65" t="s">
        <v>928</v>
      </c>
      <c r="D73" s="325">
        <v>25372298072</v>
      </c>
      <c r="E73" s="324">
        <v>7377618797</v>
      </c>
      <c r="F73" s="323">
        <v>32749916869</v>
      </c>
    </row>
    <row r="74" spans="1:6" ht="47.25" customHeight="1">
      <c r="A74" s="87">
        <v>4</v>
      </c>
      <c r="B74" s="380" t="s">
        <v>285</v>
      </c>
      <c r="C74" s="65" t="s">
        <v>929</v>
      </c>
      <c r="D74" s="325">
        <v>-92553918824</v>
      </c>
      <c r="E74" s="324">
        <v>-59521128886</v>
      </c>
      <c r="F74" s="325">
        <v>-152075047710</v>
      </c>
    </row>
    <row r="75" spans="1:6" ht="33" customHeight="1">
      <c r="A75" s="86" t="s">
        <v>121</v>
      </c>
      <c r="B75" s="375" t="s">
        <v>286</v>
      </c>
      <c r="C75" s="347" t="s">
        <v>916</v>
      </c>
      <c r="D75" s="322">
        <v>1004421269031</v>
      </c>
      <c r="E75" s="322">
        <v>1087228467993</v>
      </c>
      <c r="F75" s="322">
        <v>1004421269031</v>
      </c>
    </row>
    <row r="76" spans="1:6" ht="15" customHeight="1">
      <c r="A76" s="60"/>
      <c r="B76" s="60"/>
      <c r="C76" s="60"/>
      <c r="D76" s="61"/>
      <c r="E76" s="61"/>
      <c r="F76" s="61"/>
    </row>
    <row r="77" spans="1:6" ht="15" customHeight="1">
      <c r="A77" s="83"/>
      <c r="B77" s="83"/>
      <c r="C77" s="83"/>
      <c r="D77" s="82"/>
      <c r="E77" s="82"/>
      <c r="F77" s="82"/>
    </row>
    <row r="78" spans="1:6" ht="15" customHeight="1">
      <c r="A78" s="83"/>
      <c r="B78" s="83"/>
      <c r="C78" s="83"/>
      <c r="D78" s="82"/>
      <c r="E78" s="82"/>
      <c r="F78" s="82"/>
    </row>
    <row r="79" spans="1:6">
      <c r="A79" s="75" t="s">
        <v>178</v>
      </c>
      <c r="B79" s="76"/>
      <c r="C79" s="77"/>
      <c r="D79" s="78" t="s">
        <v>179</v>
      </c>
      <c r="E79" s="79"/>
      <c r="F79" s="82"/>
    </row>
    <row r="80" spans="1:6">
      <c r="A80" s="80" t="s">
        <v>180</v>
      </c>
      <c r="B80" s="76"/>
      <c r="C80" s="77"/>
      <c r="D80" s="81" t="s">
        <v>181</v>
      </c>
      <c r="E80" s="79"/>
      <c r="F80" s="82"/>
    </row>
    <row r="81" spans="1:6">
      <c r="A81" s="76"/>
      <c r="B81" s="76"/>
      <c r="C81" s="77"/>
      <c r="D81" s="77"/>
      <c r="E81" s="79"/>
      <c r="F81" s="82"/>
    </row>
    <row r="82" spans="1:6">
      <c r="A82" s="76"/>
      <c r="B82" s="76"/>
      <c r="C82" s="77"/>
      <c r="D82" s="77"/>
      <c r="E82" s="79"/>
      <c r="F82" s="82"/>
    </row>
    <row r="83" spans="1:6">
      <c r="A83" s="76"/>
      <c r="B83" s="76"/>
      <c r="C83" s="77"/>
      <c r="D83" s="77"/>
      <c r="E83" s="79"/>
      <c r="F83" s="82"/>
    </row>
    <row r="84" spans="1:6">
      <c r="A84" s="76"/>
      <c r="B84" s="76"/>
      <c r="C84" s="77"/>
      <c r="D84" s="77"/>
      <c r="E84" s="79"/>
      <c r="F84" s="82"/>
    </row>
    <row r="85" spans="1:6">
      <c r="A85" s="76"/>
      <c r="B85" s="76"/>
      <c r="C85" s="77"/>
      <c r="D85" s="77"/>
      <c r="E85" s="79"/>
      <c r="F85" s="82"/>
    </row>
    <row r="86" spans="1:6">
      <c r="A86" s="76"/>
      <c r="B86" s="76"/>
      <c r="C86" s="77"/>
      <c r="D86" s="77"/>
      <c r="E86" s="79"/>
      <c r="F86" s="82"/>
    </row>
    <row r="87" spans="1:6">
      <c r="A87" s="76"/>
      <c r="B87" s="76"/>
      <c r="C87" s="77"/>
      <c r="D87" s="77"/>
      <c r="E87" s="79"/>
      <c r="F87" s="82"/>
    </row>
    <row r="88" spans="1:6">
      <c r="A88" s="46"/>
      <c r="B88" s="46"/>
      <c r="C88" s="77"/>
      <c r="D88" s="47"/>
      <c r="E88" s="70"/>
      <c r="F88" s="85"/>
    </row>
    <row r="89" spans="1:6">
      <c r="A89" s="75" t="s">
        <v>182</v>
      </c>
      <c r="B89" s="76"/>
      <c r="C89" s="77"/>
      <c r="D89" s="78" t="s">
        <v>465</v>
      </c>
      <c r="E89" s="79"/>
      <c r="F89" s="82"/>
    </row>
    <row r="90" spans="1:6">
      <c r="A90" s="75" t="s">
        <v>965</v>
      </c>
      <c r="B90" s="76"/>
      <c r="C90" s="77"/>
      <c r="D90" s="78" t="s">
        <v>466</v>
      </c>
      <c r="E90" s="79"/>
      <c r="F90" s="82"/>
    </row>
    <row r="91" spans="1:6">
      <c r="A91" s="76" t="s">
        <v>966</v>
      </c>
      <c r="B91" s="76"/>
      <c r="C91" s="77"/>
      <c r="D91" s="77" t="s">
        <v>467</v>
      </c>
      <c r="E91" s="79"/>
      <c r="F91" s="82"/>
    </row>
    <row r="92" spans="1:6">
      <c r="A92" s="73"/>
      <c r="B92" s="73"/>
      <c r="C92" s="73"/>
      <c r="D92" s="74"/>
      <c r="E92" s="74"/>
      <c r="F92" s="74"/>
    </row>
  </sheetData>
  <mergeCells count="20">
    <mergeCell ref="A8:B8"/>
    <mergeCell ref="C8:F8"/>
    <mergeCell ref="A10:B10"/>
    <mergeCell ref="C10:F10"/>
    <mergeCell ref="A12:B12"/>
    <mergeCell ref="C12:F12"/>
    <mergeCell ref="A9:B9"/>
    <mergeCell ref="A1:F1"/>
    <mergeCell ref="A2:F2"/>
    <mergeCell ref="A7:B7"/>
    <mergeCell ref="C7:F7"/>
    <mergeCell ref="A3:F4"/>
    <mergeCell ref="A5:F5"/>
    <mergeCell ref="C9:F9"/>
    <mergeCell ref="A11:B11"/>
    <mergeCell ref="C11:F11"/>
    <mergeCell ref="A13:B13"/>
    <mergeCell ref="A14:B14"/>
    <mergeCell ref="C13:H13"/>
    <mergeCell ref="C14:H14"/>
  </mergeCells>
  <printOptions horizontalCentered="1"/>
  <pageMargins left="0.3" right="0.33" top="0.3" bottom="0.3" header="0.3" footer="0.3"/>
  <pageSetup paperSize="9" scale="7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M47"/>
  <sheetViews>
    <sheetView view="pageBreakPreview" topLeftCell="A13" zoomScale="90" zoomScaleNormal="100" zoomScaleSheetLayoutView="90" workbookViewId="0">
      <selection activeCell="G34" sqref="G34"/>
    </sheetView>
  </sheetViews>
  <sheetFormatPr defaultColWidth="9.26953125" defaultRowHeight="10"/>
  <cols>
    <col min="1" max="1" width="9.26953125" style="154"/>
    <col min="2" max="2" width="17" style="154" customWidth="1"/>
    <col min="3" max="3" width="9.26953125" style="154"/>
    <col min="4" max="4" width="23.26953125" style="220" bestFit="1" customWidth="1"/>
    <col min="5" max="5" width="25" style="220" bestFit="1" customWidth="1"/>
    <col min="6" max="6" width="21.54296875" style="220" customWidth="1"/>
    <col min="7" max="7" width="20.453125" style="220" bestFit="1" customWidth="1"/>
    <col min="8" max="8" width="23.26953125" style="220" bestFit="1" customWidth="1"/>
    <col min="9" max="9" width="6.26953125" style="154" customWidth="1"/>
    <col min="10" max="10" width="7.26953125" style="154" customWidth="1"/>
    <col min="11" max="11" width="9.26953125" style="154"/>
    <col min="12" max="12" width="21.26953125" style="222" bestFit="1" customWidth="1"/>
    <col min="13" max="13" width="18.26953125" style="154" bestFit="1" customWidth="1"/>
    <col min="14" max="16384" width="9.26953125" style="154"/>
  </cols>
  <sheetData>
    <row r="1" spans="1:12" ht="32.25" customHeight="1">
      <c r="A1" s="444" t="s">
        <v>555</v>
      </c>
      <c r="B1" s="444"/>
      <c r="C1" s="444"/>
      <c r="D1" s="444"/>
      <c r="E1" s="444"/>
      <c r="F1" s="444"/>
      <c r="G1" s="444"/>
      <c r="H1" s="444"/>
    </row>
    <row r="2" spans="1:12" ht="34.5" customHeight="1">
      <c r="A2" s="425" t="s">
        <v>218</v>
      </c>
      <c r="B2" s="425"/>
      <c r="C2" s="425"/>
      <c r="D2" s="425"/>
      <c r="E2" s="425"/>
      <c r="F2" s="425"/>
      <c r="G2" s="425"/>
      <c r="H2" s="425"/>
    </row>
    <row r="3" spans="1:12" ht="12.75" customHeight="1">
      <c r="A3" s="426" t="s">
        <v>556</v>
      </c>
      <c r="B3" s="426"/>
      <c r="C3" s="426"/>
      <c r="D3" s="426"/>
      <c r="E3" s="426"/>
      <c r="F3" s="426"/>
      <c r="G3" s="426"/>
      <c r="H3" s="426"/>
    </row>
    <row r="4" spans="1:12" ht="27.75" customHeight="1">
      <c r="A4" s="426"/>
      <c r="B4" s="426"/>
      <c r="C4" s="426"/>
      <c r="D4" s="426"/>
      <c r="E4" s="426"/>
      <c r="F4" s="426"/>
      <c r="G4" s="426"/>
      <c r="H4" s="426"/>
    </row>
    <row r="5" spans="1:12" ht="12.5">
      <c r="A5" s="427" t="str">
        <f>BCthunhap!A5</f>
        <v>Quý II năm 2019/ Quarter II 2019</v>
      </c>
      <c r="B5" s="427"/>
      <c r="C5" s="427"/>
      <c r="D5" s="427"/>
      <c r="E5" s="427"/>
      <c r="F5" s="427"/>
      <c r="G5" s="427"/>
      <c r="H5" s="427"/>
    </row>
    <row r="6" spans="1:12" ht="12.5">
      <c r="A6" s="183"/>
      <c r="B6" s="183"/>
      <c r="C6" s="183"/>
      <c r="D6" s="183"/>
      <c r="E6" s="183"/>
      <c r="F6" s="48"/>
      <c r="G6" s="199"/>
      <c r="H6" s="199"/>
    </row>
    <row r="7" spans="1:12" ht="12.5">
      <c r="A7" s="445" t="s">
        <v>454</v>
      </c>
      <c r="B7" s="445"/>
      <c r="C7" s="200"/>
      <c r="D7" s="446" t="s">
        <v>464</v>
      </c>
      <c r="E7" s="446"/>
      <c r="F7" s="446"/>
      <c r="G7" s="446"/>
      <c r="H7" s="200"/>
    </row>
    <row r="8" spans="1:12" ht="12.75" customHeight="1">
      <c r="A8" s="448" t="s">
        <v>460</v>
      </c>
      <c r="B8" s="448"/>
      <c r="C8" s="448"/>
      <c r="D8" s="458" t="s">
        <v>959</v>
      </c>
      <c r="E8" s="458"/>
      <c r="F8" s="458"/>
      <c r="G8" s="458"/>
      <c r="H8" s="200"/>
    </row>
    <row r="9" spans="1:12" ht="12.75" customHeight="1">
      <c r="A9" s="445" t="s">
        <v>455</v>
      </c>
      <c r="B9" s="445"/>
      <c r="C9" s="200"/>
      <c r="D9" s="446" t="s">
        <v>958</v>
      </c>
      <c r="E9" s="446"/>
      <c r="F9" s="446"/>
      <c r="G9" s="446"/>
      <c r="H9" s="200"/>
    </row>
    <row r="10" spans="1:12" ht="12.75" customHeight="1">
      <c r="A10" s="449" t="s">
        <v>457</v>
      </c>
      <c r="B10" s="449"/>
      <c r="C10" s="200"/>
      <c r="D10" s="458" t="s">
        <v>458</v>
      </c>
      <c r="E10" s="458"/>
      <c r="F10" s="458"/>
      <c r="G10" s="458"/>
      <c r="H10" s="200"/>
    </row>
    <row r="11" spans="1:12" ht="12.75" customHeight="1">
      <c r="A11" s="445" t="s">
        <v>391</v>
      </c>
      <c r="B11" s="445"/>
      <c r="C11" s="200"/>
      <c r="D11" s="446" t="s">
        <v>489</v>
      </c>
      <c r="E11" s="446"/>
      <c r="F11" s="446"/>
      <c r="G11" s="446"/>
      <c r="H11" s="200"/>
    </row>
    <row r="12" spans="1:12" ht="12.75" customHeight="1">
      <c r="A12" s="450" t="s">
        <v>389</v>
      </c>
      <c r="B12" s="450"/>
      <c r="C12" s="200"/>
      <c r="D12" s="458" t="s">
        <v>488</v>
      </c>
      <c r="E12" s="458"/>
      <c r="F12" s="458"/>
      <c r="G12" s="458"/>
      <c r="H12" s="200"/>
    </row>
    <row r="13" spans="1:12" ht="12.75" customHeight="1">
      <c r="A13" s="446" t="s">
        <v>138</v>
      </c>
      <c r="B13" s="446"/>
      <c r="C13" s="200"/>
      <c r="D13" s="459" t="str">
        <f>BCthunhap!B13</f>
        <v>Ngày 09 tháng 07 năm 2019</v>
      </c>
      <c r="E13" s="446"/>
      <c r="F13" s="446"/>
      <c r="G13" s="446"/>
      <c r="H13" s="200"/>
    </row>
    <row r="14" spans="1:12" ht="12.5">
      <c r="A14" s="447" t="s">
        <v>139</v>
      </c>
      <c r="B14" s="447"/>
      <c r="D14" s="414">
        <f>BCthunhap!B14</f>
        <v>43655</v>
      </c>
      <c r="E14" s="414"/>
      <c r="F14" s="414"/>
      <c r="G14" s="414"/>
      <c r="H14" s="200"/>
    </row>
    <row r="15" spans="1:12">
      <c r="A15" s="200"/>
      <c r="B15" s="200"/>
      <c r="C15" s="200"/>
      <c r="D15" s="199"/>
      <c r="E15" s="199"/>
      <c r="F15" s="199"/>
      <c r="G15" s="199"/>
      <c r="H15" s="199"/>
    </row>
    <row r="16" spans="1:12" s="201" customFormat="1" ht="18.75" customHeight="1">
      <c r="A16" s="453" t="s">
        <v>557</v>
      </c>
      <c r="B16" s="453" t="s">
        <v>558</v>
      </c>
      <c r="C16" s="453" t="s">
        <v>559</v>
      </c>
      <c r="D16" s="455" t="s">
        <v>560</v>
      </c>
      <c r="E16" s="456"/>
      <c r="F16" s="457"/>
      <c r="G16" s="451" t="s">
        <v>561</v>
      </c>
      <c r="H16" s="451" t="s">
        <v>562</v>
      </c>
      <c r="L16" s="223"/>
    </row>
    <row r="17" spans="1:13" s="201" customFormat="1" ht="99.75" customHeight="1">
      <c r="A17" s="454"/>
      <c r="B17" s="454"/>
      <c r="C17" s="454"/>
      <c r="D17" s="221" t="s">
        <v>563</v>
      </c>
      <c r="E17" s="221" t="s">
        <v>564</v>
      </c>
      <c r="F17" s="221" t="s">
        <v>565</v>
      </c>
      <c r="G17" s="452"/>
      <c r="H17" s="452"/>
      <c r="L17" s="223"/>
    </row>
    <row r="18" spans="1:13" s="201" customFormat="1" ht="12.5">
      <c r="A18" s="202" t="s">
        <v>566</v>
      </c>
      <c r="B18" s="202" t="s">
        <v>567</v>
      </c>
      <c r="C18" s="202" t="s">
        <v>568</v>
      </c>
      <c r="D18" s="203" t="s">
        <v>569</v>
      </c>
      <c r="E18" s="203" t="s">
        <v>570</v>
      </c>
      <c r="F18" s="203" t="s">
        <v>571</v>
      </c>
      <c r="G18" s="204" t="s">
        <v>572</v>
      </c>
      <c r="H18" s="204" t="s">
        <v>573</v>
      </c>
      <c r="L18" s="223"/>
    </row>
    <row r="19" spans="1:13" s="201" customFormat="1" ht="30.75" customHeight="1">
      <c r="A19" s="205">
        <v>1</v>
      </c>
      <c r="B19" s="206" t="s">
        <v>574</v>
      </c>
      <c r="C19" s="207" t="s">
        <v>575</v>
      </c>
      <c r="D19" s="208">
        <v>83121367000</v>
      </c>
      <c r="E19" s="208">
        <f>$D$24</f>
        <v>325242221000</v>
      </c>
      <c r="F19" s="209">
        <f>D19/E19</f>
        <v>0.25556757897062815</v>
      </c>
      <c r="G19" s="209">
        <v>1.5E-3</v>
      </c>
      <c r="H19" s="209" t="s">
        <v>576</v>
      </c>
      <c r="I19" s="210" t="s">
        <v>580</v>
      </c>
      <c r="J19" s="201">
        <v>3223500000</v>
      </c>
      <c r="K19" s="201">
        <v>79897867000</v>
      </c>
      <c r="L19" s="223">
        <v>83121367000</v>
      </c>
    </row>
    <row r="20" spans="1:13" s="201" customFormat="1" ht="40.5" customHeight="1">
      <c r="A20" s="205">
        <v>2</v>
      </c>
      <c r="B20" s="207" t="s">
        <v>577</v>
      </c>
      <c r="C20" s="207" t="s">
        <v>575</v>
      </c>
      <c r="D20" s="208">
        <v>134640426000</v>
      </c>
      <c r="E20" s="208">
        <f>$D$24</f>
        <v>325242221000</v>
      </c>
      <c r="F20" s="209">
        <f>D20/E20</f>
        <v>0.41396970413629047</v>
      </c>
      <c r="G20" s="209">
        <v>1.5E-3</v>
      </c>
      <c r="H20" s="209" t="s">
        <v>576</v>
      </c>
      <c r="I20" s="210" t="s">
        <v>584</v>
      </c>
      <c r="J20" s="201">
        <v>844660000</v>
      </c>
      <c r="L20" s="223">
        <v>844660000</v>
      </c>
    </row>
    <row r="21" spans="1:13" s="201" customFormat="1" ht="40.5" customHeight="1">
      <c r="A21" s="205">
        <v>3</v>
      </c>
      <c r="B21" s="207" t="s">
        <v>578</v>
      </c>
      <c r="C21" s="207" t="s">
        <v>575</v>
      </c>
      <c r="D21" s="208">
        <v>107480428000</v>
      </c>
      <c r="E21" s="208">
        <f>$D$24</f>
        <v>325242221000</v>
      </c>
      <c r="F21" s="209">
        <f>D21/E21</f>
        <v>0.33046271689308138</v>
      </c>
      <c r="G21" s="209">
        <v>1.5E-3</v>
      </c>
      <c r="H21" s="209" t="s">
        <v>576</v>
      </c>
      <c r="I21" s="210" t="s">
        <v>581</v>
      </c>
      <c r="J21" s="201">
        <v>38699843000</v>
      </c>
      <c r="K21" s="201">
        <v>95940583000</v>
      </c>
      <c r="L21" s="223">
        <v>134640426000</v>
      </c>
    </row>
    <row r="22" spans="1:13" s="201" customFormat="1" ht="60" customHeight="1">
      <c r="A22" s="205">
        <v>4</v>
      </c>
      <c r="B22" s="207" t="s">
        <v>491</v>
      </c>
      <c r="C22" s="207" t="s">
        <v>575</v>
      </c>
      <c r="D22" s="208"/>
      <c r="E22" s="208">
        <f>$D$24</f>
        <v>325242221000</v>
      </c>
      <c r="F22" s="209">
        <f>D22/E22</f>
        <v>0</v>
      </c>
      <c r="G22" s="209">
        <v>5.7112678133959486E-3</v>
      </c>
      <c r="H22" s="209" t="s">
        <v>576</v>
      </c>
      <c r="I22" s="201" t="s">
        <v>583</v>
      </c>
      <c r="J22" s="201">
        <v>5895000000</v>
      </c>
      <c r="K22" s="201">
        <v>5425000000</v>
      </c>
      <c r="L22" s="223">
        <v>11320000000</v>
      </c>
    </row>
    <row r="23" spans="1:13" s="201" customFormat="1" ht="12.5">
      <c r="A23" s="205"/>
      <c r="B23" s="207"/>
      <c r="C23" s="207"/>
      <c r="D23" s="208"/>
      <c r="E23" s="208"/>
      <c r="F23" s="208"/>
      <c r="G23" s="208"/>
      <c r="H23" s="208"/>
      <c r="I23" s="210" t="s">
        <v>582</v>
      </c>
      <c r="J23" s="210">
        <v>50722501000</v>
      </c>
      <c r="K23" s="201">
        <v>45437927000</v>
      </c>
      <c r="L23" s="223">
        <v>96160428000</v>
      </c>
      <c r="M23" s="224">
        <f>SUM(L22:L23)</f>
        <v>107480428000</v>
      </c>
    </row>
    <row r="24" spans="1:13" s="201" customFormat="1" ht="30" customHeight="1">
      <c r="A24" s="211"/>
      <c r="B24" s="211" t="s">
        <v>579</v>
      </c>
      <c r="C24" s="211"/>
      <c r="D24" s="212">
        <f>SUM(D19:D23)</f>
        <v>325242221000</v>
      </c>
      <c r="E24" s="212"/>
      <c r="F24" s="213">
        <f>SUM(F19:F23)</f>
        <v>1</v>
      </c>
      <c r="G24" s="212"/>
      <c r="H24" s="212"/>
      <c r="I24" s="214"/>
      <c r="J24" s="215"/>
      <c r="L24" s="223">
        <f>SUM(L19:L23)</f>
        <v>326086881000</v>
      </c>
    </row>
    <row r="25" spans="1:13" s="201" customFormat="1" ht="12.5">
      <c r="A25" s="38"/>
      <c r="B25" s="38"/>
      <c r="C25" s="38"/>
      <c r="D25" s="216">
        <v>326086881000</v>
      </c>
      <c r="E25" s="216"/>
      <c r="F25" s="216"/>
      <c r="G25" s="216"/>
      <c r="H25" s="216"/>
      <c r="L25" s="223"/>
    </row>
    <row r="26" spans="1:13" s="201" customFormat="1" ht="12.5">
      <c r="A26" s="38"/>
      <c r="B26" s="38"/>
      <c r="C26" s="38"/>
      <c r="D26" s="216"/>
      <c r="E26" s="216"/>
      <c r="F26" s="216"/>
      <c r="G26" s="216"/>
      <c r="H26" s="216"/>
      <c r="L26" s="223"/>
    </row>
    <row r="27" spans="1:13" s="201" customFormat="1" ht="12.5">
      <c r="A27" s="38"/>
      <c r="B27" s="38"/>
      <c r="C27" s="38"/>
      <c r="D27" s="216"/>
      <c r="E27" s="216"/>
      <c r="F27" s="216"/>
      <c r="G27" s="216"/>
      <c r="H27" s="216"/>
      <c r="L27" s="223"/>
    </row>
    <row r="28" spans="1:13" s="201" customFormat="1" ht="12.5">
      <c r="A28" s="42" t="s">
        <v>178</v>
      </c>
      <c r="B28" s="38"/>
      <c r="C28" s="41"/>
      <c r="D28" s="217"/>
      <c r="E28" s="217"/>
      <c r="F28" s="43" t="s">
        <v>179</v>
      </c>
      <c r="G28" s="217"/>
      <c r="H28" s="217"/>
      <c r="L28" s="223"/>
    </row>
    <row r="29" spans="1:13" s="201" customFormat="1" ht="12.5">
      <c r="A29" s="44" t="s">
        <v>180</v>
      </c>
      <c r="B29" s="38"/>
      <c r="C29" s="41"/>
      <c r="D29" s="217"/>
      <c r="E29" s="217"/>
      <c r="F29" s="45" t="s">
        <v>181</v>
      </c>
      <c r="G29" s="217"/>
      <c r="H29" s="217"/>
      <c r="L29" s="223"/>
    </row>
    <row r="30" spans="1:13" ht="14.5">
      <c r="A30" s="38"/>
      <c r="B30" s="38"/>
      <c r="C30" s="41"/>
      <c r="D30" s="218"/>
      <c r="E30" s="218"/>
      <c r="F30" s="41"/>
      <c r="G30" s="218"/>
      <c r="H30" s="218"/>
    </row>
    <row r="31" spans="1:13" ht="14.5">
      <c r="A31" s="38"/>
      <c r="B31" s="38"/>
      <c r="C31" s="41"/>
      <c r="D31" s="218"/>
      <c r="E31" s="218"/>
      <c r="F31" s="41"/>
      <c r="G31" s="218"/>
      <c r="H31" s="218"/>
    </row>
    <row r="32" spans="1:13" ht="14.5">
      <c r="A32" s="38"/>
      <c r="B32" s="38"/>
      <c r="C32" s="41"/>
      <c r="D32" s="218"/>
      <c r="E32" s="218"/>
      <c r="F32" s="41"/>
      <c r="G32" s="218"/>
      <c r="H32" s="218"/>
    </row>
    <row r="33" spans="1:8" ht="14.5">
      <c r="A33" s="38"/>
      <c r="B33" s="38"/>
      <c r="C33" s="41"/>
      <c r="D33" s="218"/>
      <c r="E33" s="218"/>
      <c r="F33" s="41"/>
      <c r="G33" s="218"/>
      <c r="H33" s="218"/>
    </row>
    <row r="34" spans="1:8" ht="14.5">
      <c r="A34" s="38"/>
      <c r="B34" s="38"/>
      <c r="C34" s="41"/>
      <c r="D34" s="218"/>
      <c r="E34" s="218"/>
      <c r="F34" s="41"/>
      <c r="G34" s="218"/>
      <c r="H34" s="218"/>
    </row>
    <row r="35" spans="1:8" ht="14.5">
      <c r="A35" s="38"/>
      <c r="B35" s="38"/>
      <c r="C35" s="41"/>
      <c r="D35" s="218"/>
      <c r="E35" s="218"/>
      <c r="F35" s="41"/>
      <c r="G35" s="218"/>
      <c r="H35" s="218"/>
    </row>
    <row r="36" spans="1:8" ht="14.5">
      <c r="A36" s="38"/>
      <c r="B36" s="38"/>
      <c r="C36" s="41"/>
      <c r="D36" s="218"/>
      <c r="E36" s="218"/>
      <c r="F36" s="41"/>
      <c r="G36" s="218"/>
      <c r="H36" s="218"/>
    </row>
    <row r="37" spans="1:8" ht="14.5">
      <c r="A37" s="38"/>
      <c r="B37" s="38"/>
      <c r="C37" s="41"/>
      <c r="D37" s="218"/>
      <c r="E37" s="218"/>
      <c r="F37" s="41"/>
      <c r="G37" s="218"/>
      <c r="H37" s="218"/>
    </row>
    <row r="38" spans="1:8" ht="14.5">
      <c r="A38" s="38"/>
      <c r="B38" s="38"/>
      <c r="C38" s="41"/>
      <c r="D38" s="218"/>
      <c r="E38" s="218"/>
      <c r="F38" s="41"/>
      <c r="G38" s="218"/>
      <c r="H38" s="218"/>
    </row>
    <row r="39" spans="1:8" ht="14.5">
      <c r="A39" s="46"/>
      <c r="B39" s="46"/>
      <c r="C39" s="41"/>
      <c r="D39" s="218"/>
      <c r="E39" s="218"/>
      <c r="F39" s="47"/>
      <c r="G39" s="219"/>
      <c r="H39" s="219"/>
    </row>
    <row r="40" spans="1:8" ht="14.5">
      <c r="A40" s="42" t="s">
        <v>182</v>
      </c>
      <c r="B40" s="38"/>
      <c r="C40" s="41"/>
      <c r="D40" s="218"/>
      <c r="E40" s="218"/>
      <c r="F40" s="43" t="s">
        <v>465</v>
      </c>
      <c r="G40" s="218"/>
      <c r="H40" s="218"/>
    </row>
    <row r="41" spans="1:8" ht="14.5">
      <c r="A41" s="42" t="s">
        <v>960</v>
      </c>
      <c r="B41" s="38"/>
      <c r="C41" s="41"/>
      <c r="D41" s="218"/>
      <c r="E41" s="218"/>
      <c r="F41" s="43" t="s">
        <v>466</v>
      </c>
      <c r="G41" s="218"/>
      <c r="H41" s="218"/>
    </row>
    <row r="42" spans="1:8" ht="14.5">
      <c r="A42" s="38" t="s">
        <v>961</v>
      </c>
      <c r="B42" s="38"/>
      <c r="C42" s="41"/>
      <c r="D42" s="218"/>
      <c r="E42" s="218"/>
      <c r="F42" s="41" t="s">
        <v>467</v>
      </c>
      <c r="G42" s="218"/>
      <c r="H42" s="218"/>
    </row>
    <row r="43" spans="1:8">
      <c r="A43" s="200"/>
      <c r="B43" s="200"/>
      <c r="C43" s="200"/>
      <c r="D43" s="199"/>
      <c r="E43" s="199"/>
      <c r="F43" s="199"/>
      <c r="G43" s="199"/>
      <c r="H43" s="199"/>
    </row>
    <row r="44" spans="1:8">
      <c r="A44" s="200"/>
      <c r="B44" s="200"/>
      <c r="C44" s="200"/>
      <c r="D44" s="199"/>
      <c r="E44" s="199"/>
      <c r="F44" s="199"/>
      <c r="G44" s="199"/>
      <c r="H44" s="199"/>
    </row>
    <row r="45" spans="1:8">
      <c r="A45" s="200"/>
      <c r="B45" s="200"/>
      <c r="C45" s="200"/>
      <c r="D45" s="199"/>
      <c r="E45" s="199"/>
      <c r="F45" s="199"/>
      <c r="G45" s="199"/>
      <c r="H45" s="199"/>
    </row>
    <row r="46" spans="1:8">
      <c r="A46" s="200"/>
      <c r="B46" s="200"/>
      <c r="C46" s="200"/>
      <c r="D46" s="199"/>
      <c r="E46" s="199"/>
      <c r="F46" s="199"/>
      <c r="G46" s="199"/>
      <c r="H46" s="199"/>
    </row>
    <row r="47" spans="1:8">
      <c r="A47" s="200"/>
      <c r="B47" s="200"/>
      <c r="C47" s="200"/>
      <c r="D47" s="199"/>
      <c r="E47" s="199"/>
      <c r="F47" s="199"/>
      <c r="G47" s="199"/>
      <c r="H47" s="199"/>
    </row>
  </sheetData>
  <mergeCells count="26">
    <mergeCell ref="A1:H1"/>
    <mergeCell ref="A2:H2"/>
    <mergeCell ref="A3:H4"/>
    <mergeCell ref="A5:H5"/>
    <mergeCell ref="A7:B7"/>
    <mergeCell ref="D7:G7"/>
    <mergeCell ref="A8:C8"/>
    <mergeCell ref="D8:G8"/>
    <mergeCell ref="A9:B9"/>
    <mergeCell ref="D9:G9"/>
    <mergeCell ref="A10:B10"/>
    <mergeCell ref="D10:G10"/>
    <mergeCell ref="A11:B11"/>
    <mergeCell ref="D11:G11"/>
    <mergeCell ref="A12:B12"/>
    <mergeCell ref="D12:G12"/>
    <mergeCell ref="A13:B13"/>
    <mergeCell ref="D13:G13"/>
    <mergeCell ref="H16:H17"/>
    <mergeCell ref="A14:B14"/>
    <mergeCell ref="D14:G14"/>
    <mergeCell ref="A16:A17"/>
    <mergeCell ref="B16:B17"/>
    <mergeCell ref="C16:C17"/>
    <mergeCell ref="D16:F16"/>
    <mergeCell ref="G16:G17"/>
  </mergeCells>
  <printOptions horizontalCentered="1"/>
  <pageMargins left="0.7" right="0.7" top="0.75" bottom="0.75" header="0.3" footer="0.3"/>
  <pageSetup scale="61"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G186"/>
  <sheetViews>
    <sheetView view="pageBreakPreview" topLeftCell="A87" zoomScaleNormal="100" zoomScaleSheetLayoutView="100" workbookViewId="0">
      <selection activeCell="G95" sqref="G95"/>
    </sheetView>
  </sheetViews>
  <sheetFormatPr defaultColWidth="9.26953125" defaultRowHeight="14.5"/>
  <cols>
    <col min="1" max="1" width="5.26953125" style="11" customWidth="1"/>
    <col min="2" max="2" width="39.26953125" style="10" customWidth="1"/>
    <col min="3" max="3" width="9.54296875" style="10" bestFit="1" customWidth="1"/>
    <col min="4" max="4" width="12.453125" style="10" customWidth="1"/>
    <col min="5" max="5" width="19.54296875" style="10" customWidth="1"/>
    <col min="6" max="6" width="26.26953125" style="10" customWidth="1"/>
    <col min="7" max="7" width="20.1796875" style="10" customWidth="1"/>
    <col min="8" max="16384" width="9.26953125" style="69"/>
  </cols>
  <sheetData>
    <row r="1" spans="1:7" ht="25.5" customHeight="1">
      <c r="A1" s="444" t="s">
        <v>217</v>
      </c>
      <c r="B1" s="444"/>
      <c r="C1" s="444"/>
      <c r="D1" s="444"/>
      <c r="E1" s="444"/>
      <c r="F1" s="444"/>
      <c r="G1" s="444"/>
    </row>
    <row r="2" spans="1:7" ht="29.25" customHeight="1">
      <c r="A2" s="425" t="s">
        <v>930</v>
      </c>
      <c r="B2" s="425"/>
      <c r="C2" s="425"/>
      <c r="D2" s="425"/>
      <c r="E2" s="425"/>
      <c r="F2" s="425"/>
      <c r="G2" s="425"/>
    </row>
    <row r="3" spans="1:7">
      <c r="A3" s="426" t="s">
        <v>219</v>
      </c>
      <c r="B3" s="426"/>
      <c r="C3" s="426"/>
      <c r="D3" s="426"/>
      <c r="E3" s="426"/>
      <c r="F3" s="426"/>
      <c r="G3" s="426"/>
    </row>
    <row r="4" spans="1:7" ht="21.65" customHeight="1">
      <c r="A4" s="426"/>
      <c r="B4" s="426"/>
      <c r="C4" s="426"/>
      <c r="D4" s="426"/>
      <c r="E4" s="426"/>
      <c r="F4" s="426"/>
      <c r="G4" s="426"/>
    </row>
    <row r="5" spans="1:7">
      <c r="A5" s="427" t="s">
        <v>976</v>
      </c>
      <c r="B5" s="427"/>
      <c r="C5" s="427"/>
      <c r="D5" s="427"/>
      <c r="E5" s="427"/>
      <c r="F5" s="427"/>
      <c r="G5" s="427"/>
    </row>
    <row r="6" spans="1:7">
      <c r="A6" s="18"/>
      <c r="B6" s="18"/>
      <c r="C6" s="18"/>
      <c r="D6" s="18"/>
      <c r="E6" s="18"/>
      <c r="F6" s="21"/>
      <c r="G6" s="21"/>
    </row>
    <row r="7" spans="1:7">
      <c r="A7" s="445" t="s">
        <v>454</v>
      </c>
      <c r="B7" s="445"/>
      <c r="C7" s="440" t="s">
        <v>464</v>
      </c>
      <c r="D7" s="440"/>
      <c r="E7" s="440"/>
      <c r="F7" s="440"/>
      <c r="G7" s="91"/>
    </row>
    <row r="8" spans="1:7" ht="15" customHeight="1">
      <c r="A8" s="448" t="s">
        <v>932</v>
      </c>
      <c r="B8" s="448"/>
      <c r="C8" s="439" t="s">
        <v>598</v>
      </c>
      <c r="D8" s="439"/>
      <c r="E8" s="439"/>
      <c r="F8" s="439"/>
      <c r="G8" s="91"/>
    </row>
    <row r="9" spans="1:7" ht="15" customHeight="1">
      <c r="A9" s="445" t="s">
        <v>455</v>
      </c>
      <c r="B9" s="445"/>
      <c r="C9" s="440" t="s">
        <v>958</v>
      </c>
      <c r="D9" s="440"/>
      <c r="E9" s="440"/>
      <c r="F9" s="440"/>
      <c r="G9" s="153"/>
    </row>
    <row r="10" spans="1:7" ht="15" customHeight="1">
      <c r="A10" s="449" t="s">
        <v>457</v>
      </c>
      <c r="B10" s="449"/>
      <c r="C10" s="439" t="s">
        <v>458</v>
      </c>
      <c r="D10" s="439"/>
      <c r="E10" s="439"/>
      <c r="F10" s="439"/>
      <c r="G10" s="125"/>
    </row>
    <row r="11" spans="1:7" ht="15" customHeight="1">
      <c r="A11" s="445" t="s">
        <v>391</v>
      </c>
      <c r="B11" s="445"/>
      <c r="C11" s="440" t="s">
        <v>489</v>
      </c>
      <c r="D11" s="440"/>
      <c r="E11" s="440"/>
      <c r="F11" s="440"/>
      <c r="G11" s="91"/>
    </row>
    <row r="12" spans="1:7" ht="15" customHeight="1">
      <c r="A12" s="450" t="s">
        <v>389</v>
      </c>
      <c r="B12" s="450"/>
      <c r="C12" s="439" t="s">
        <v>488</v>
      </c>
      <c r="D12" s="439"/>
      <c r="E12" s="439"/>
      <c r="F12" s="439"/>
      <c r="G12" s="91"/>
    </row>
    <row r="13" spans="1:7" ht="15" customHeight="1">
      <c r="A13" s="446" t="s">
        <v>138</v>
      </c>
      <c r="B13" s="446"/>
      <c r="C13" s="412" t="s">
        <v>1018</v>
      </c>
      <c r="D13" s="412"/>
      <c r="E13" s="412"/>
      <c r="F13" s="412"/>
      <c r="G13" s="412"/>
    </row>
    <row r="14" spans="1:7">
      <c r="A14" s="447" t="s">
        <v>139</v>
      </c>
      <c r="B14" s="447"/>
      <c r="C14" s="414">
        <v>43655</v>
      </c>
      <c r="D14" s="414"/>
      <c r="E14" s="414"/>
      <c r="F14" s="414"/>
      <c r="G14" s="414"/>
    </row>
    <row r="15" spans="1:7">
      <c r="A15" s="90"/>
      <c r="B15" s="73"/>
      <c r="C15" s="73"/>
      <c r="D15" s="73"/>
      <c r="E15" s="73"/>
      <c r="F15" s="73"/>
      <c r="G15" s="73"/>
    </row>
    <row r="16" spans="1:7">
      <c r="A16" s="159" t="s">
        <v>115</v>
      </c>
      <c r="B16" s="160" t="s">
        <v>477</v>
      </c>
      <c r="C16" s="73"/>
      <c r="D16" s="73"/>
      <c r="E16" s="73"/>
      <c r="F16" s="73"/>
      <c r="G16" s="73"/>
    </row>
    <row r="17" spans="1:7" s="92" customFormat="1" ht="62.25" customHeight="1">
      <c r="A17" s="229" t="s">
        <v>287</v>
      </c>
      <c r="B17" s="229" t="s">
        <v>288</v>
      </c>
      <c r="C17" s="229" t="s">
        <v>222</v>
      </c>
      <c r="D17" s="229" t="s">
        <v>588</v>
      </c>
      <c r="E17" s="229" t="s">
        <v>289</v>
      </c>
      <c r="F17" s="229" t="s">
        <v>290</v>
      </c>
      <c r="G17" s="230" t="s">
        <v>291</v>
      </c>
    </row>
    <row r="18" spans="1:7" s="92" customFormat="1" ht="32.25" customHeight="1">
      <c r="A18" s="231" t="s">
        <v>43</v>
      </c>
      <c r="B18" s="232" t="s">
        <v>292</v>
      </c>
      <c r="C18" s="231">
        <v>2246</v>
      </c>
      <c r="D18" s="233"/>
      <c r="E18" s="233"/>
      <c r="F18" s="233"/>
      <c r="G18" s="234"/>
    </row>
    <row r="19" spans="1:7" s="92" customFormat="1" ht="20.25" customHeight="1">
      <c r="A19" s="235">
        <v>1</v>
      </c>
      <c r="B19" s="286" t="s">
        <v>811</v>
      </c>
      <c r="C19" s="287" t="s">
        <v>759</v>
      </c>
      <c r="D19" s="328">
        <v>988852</v>
      </c>
      <c r="E19" s="328">
        <v>28900</v>
      </c>
      <c r="F19" s="328">
        <v>28577822800</v>
      </c>
      <c r="G19" s="288">
        <v>2.8244425129904532E-2</v>
      </c>
    </row>
    <row r="20" spans="1:7" s="92" customFormat="1" ht="20.25" customHeight="1">
      <c r="A20" s="235">
        <v>2</v>
      </c>
      <c r="B20" s="286" t="s">
        <v>859</v>
      </c>
      <c r="C20" s="287" t="s">
        <v>760</v>
      </c>
      <c r="D20" s="328">
        <v>140900</v>
      </c>
      <c r="E20" s="328">
        <v>97000</v>
      </c>
      <c r="F20" s="328">
        <v>13667300000</v>
      </c>
      <c r="G20" s="288">
        <v>1.350785307472563E-2</v>
      </c>
    </row>
    <row r="21" spans="1:7" s="92" customFormat="1" ht="20.25" customHeight="1">
      <c r="A21" s="235">
        <v>3</v>
      </c>
      <c r="B21" s="286" t="s">
        <v>866</v>
      </c>
      <c r="C21" s="287" t="s">
        <v>761</v>
      </c>
      <c r="D21" s="328">
        <v>1237790</v>
      </c>
      <c r="E21" s="328">
        <v>31700</v>
      </c>
      <c r="F21" s="328">
        <v>39237943000</v>
      </c>
      <c r="G21" s="288">
        <v>3.8780181089056287E-2</v>
      </c>
    </row>
    <row r="22" spans="1:7" s="92" customFormat="1" ht="20.25" customHeight="1">
      <c r="A22" s="235">
        <v>4</v>
      </c>
      <c r="B22" s="286" t="s">
        <v>970</v>
      </c>
      <c r="C22" s="287" t="s">
        <v>762</v>
      </c>
      <c r="D22" s="328">
        <v>114600</v>
      </c>
      <c r="E22" s="328">
        <v>80800</v>
      </c>
      <c r="F22" s="328">
        <v>9259680000</v>
      </c>
      <c r="G22" s="288">
        <v>9.1516537252402021E-3</v>
      </c>
    </row>
    <row r="23" spans="1:7" s="92" customFormat="1" ht="20.25" customHeight="1">
      <c r="A23" s="235">
        <v>5</v>
      </c>
      <c r="B23" s="286" t="s">
        <v>987</v>
      </c>
      <c r="C23" s="287" t="s">
        <v>763</v>
      </c>
      <c r="D23" s="328">
        <v>100</v>
      </c>
      <c r="E23" s="328">
        <v>22500</v>
      </c>
      <c r="F23" s="328">
        <v>2250000</v>
      </c>
      <c r="G23" s="288">
        <v>2.2237508079966539E-6</v>
      </c>
    </row>
    <row r="24" spans="1:7" s="92" customFormat="1" ht="20.25" customHeight="1">
      <c r="A24" s="235">
        <v>6</v>
      </c>
      <c r="B24" s="286" t="s">
        <v>861</v>
      </c>
      <c r="C24" s="287" t="s">
        <v>764</v>
      </c>
      <c r="D24" s="328">
        <v>100</v>
      </c>
      <c r="E24" s="328">
        <v>107000</v>
      </c>
      <c r="F24" s="328">
        <v>10700000</v>
      </c>
      <c r="G24" s="288">
        <v>1.0575170509139642E-5</v>
      </c>
    </row>
    <row r="25" spans="1:7" s="92" customFormat="1" ht="20.25" customHeight="1">
      <c r="A25" s="235">
        <v>7</v>
      </c>
      <c r="B25" s="286" t="s">
        <v>812</v>
      </c>
      <c r="C25" s="287" t="s">
        <v>765</v>
      </c>
      <c r="D25" s="328">
        <v>624500</v>
      </c>
      <c r="E25" s="328">
        <v>19500</v>
      </c>
      <c r="F25" s="328">
        <v>12177750000</v>
      </c>
      <c r="G25" s="288">
        <v>1.2035680623147223E-2</v>
      </c>
    </row>
    <row r="26" spans="1:7" s="92" customFormat="1" ht="20.25" customHeight="1">
      <c r="A26" s="235">
        <v>8</v>
      </c>
      <c r="B26" s="286" t="s">
        <v>988</v>
      </c>
      <c r="C26" s="287" t="s">
        <v>766</v>
      </c>
      <c r="D26" s="328">
        <v>10</v>
      </c>
      <c r="E26" s="328">
        <v>109000</v>
      </c>
      <c r="F26" s="328">
        <v>1090000</v>
      </c>
      <c r="G26" s="288">
        <v>1.0772837247628233E-6</v>
      </c>
    </row>
    <row r="27" spans="1:7" s="92" customFormat="1" ht="20.25" customHeight="1">
      <c r="A27" s="235">
        <v>9</v>
      </c>
      <c r="B27" s="286" t="s">
        <v>989</v>
      </c>
      <c r="C27" s="287" t="s">
        <v>767</v>
      </c>
      <c r="D27" s="328">
        <v>100</v>
      </c>
      <c r="E27" s="328">
        <v>15150</v>
      </c>
      <c r="F27" s="328">
        <v>1515000</v>
      </c>
      <c r="G27" s="288">
        <v>1.4973255440510803E-6</v>
      </c>
    </row>
    <row r="28" spans="1:7" s="92" customFormat="1" ht="20.25" customHeight="1">
      <c r="A28" s="235">
        <v>10</v>
      </c>
      <c r="B28" s="286" t="s">
        <v>868</v>
      </c>
      <c r="C28" s="287" t="s">
        <v>768</v>
      </c>
      <c r="D28" s="328">
        <v>399900</v>
      </c>
      <c r="E28" s="328">
        <v>18650</v>
      </c>
      <c r="F28" s="328">
        <v>7458135000</v>
      </c>
      <c r="G28" s="288">
        <v>7.3711261032880556E-3</v>
      </c>
    </row>
    <row r="29" spans="1:7" s="92" customFormat="1" ht="20.25" customHeight="1">
      <c r="A29" s="235">
        <v>11</v>
      </c>
      <c r="B29" s="286" t="s">
        <v>990</v>
      </c>
      <c r="C29" s="287" t="s">
        <v>769</v>
      </c>
      <c r="D29" s="328">
        <v>100</v>
      </c>
      <c r="E29" s="328">
        <v>18800</v>
      </c>
      <c r="F29" s="328">
        <v>1880000</v>
      </c>
      <c r="G29" s="288">
        <v>1.8580673417927598E-6</v>
      </c>
    </row>
    <row r="30" spans="1:7" s="92" customFormat="1" ht="20.25" customHeight="1">
      <c r="A30" s="235">
        <v>12</v>
      </c>
      <c r="B30" s="286" t="s">
        <v>813</v>
      </c>
      <c r="C30" s="287" t="s">
        <v>770</v>
      </c>
      <c r="D30" s="328">
        <v>1143442</v>
      </c>
      <c r="E30" s="328">
        <v>45500</v>
      </c>
      <c r="F30" s="328">
        <v>52026611000</v>
      </c>
      <c r="G30" s="288">
        <v>5.1419652554923381E-2</v>
      </c>
    </row>
    <row r="31" spans="1:7" s="92" customFormat="1" ht="20.25" customHeight="1">
      <c r="A31" s="235">
        <v>13</v>
      </c>
      <c r="B31" s="286" t="s">
        <v>814</v>
      </c>
      <c r="C31" s="287" t="s">
        <v>771</v>
      </c>
      <c r="D31" s="328">
        <v>304250</v>
      </c>
      <c r="E31" s="328">
        <v>97500</v>
      </c>
      <c r="F31" s="328">
        <v>29664375000</v>
      </c>
      <c r="G31" s="288">
        <v>2.9318301277762551E-2</v>
      </c>
    </row>
    <row r="32" spans="1:7" s="92" customFormat="1" ht="20.25" customHeight="1">
      <c r="A32" s="235">
        <v>14</v>
      </c>
      <c r="B32" s="286" t="s">
        <v>991</v>
      </c>
      <c r="C32" s="287" t="s">
        <v>772</v>
      </c>
      <c r="D32" s="328">
        <v>100</v>
      </c>
      <c r="E32" s="328">
        <v>26000</v>
      </c>
      <c r="F32" s="328">
        <v>2600000</v>
      </c>
      <c r="G32" s="288">
        <v>2.5696676003516889E-6</v>
      </c>
    </row>
    <row r="33" spans="1:7" s="92" customFormat="1" ht="20.25" customHeight="1">
      <c r="A33" s="235">
        <v>15</v>
      </c>
      <c r="B33" s="286" t="s">
        <v>992</v>
      </c>
      <c r="C33" s="287" t="s">
        <v>773</v>
      </c>
      <c r="D33" s="328">
        <v>100</v>
      </c>
      <c r="E33" s="328">
        <v>27500</v>
      </c>
      <c r="F33" s="328">
        <v>2750000</v>
      </c>
      <c r="G33" s="288">
        <v>2.7179176542181327E-6</v>
      </c>
    </row>
    <row r="34" spans="1:7" s="92" customFormat="1" ht="20.25" customHeight="1">
      <c r="A34" s="235">
        <v>16</v>
      </c>
      <c r="B34" s="286" t="s">
        <v>815</v>
      </c>
      <c r="C34" s="287" t="s">
        <v>774</v>
      </c>
      <c r="D34" s="328">
        <v>1565365</v>
      </c>
      <c r="E34" s="328">
        <v>23500</v>
      </c>
      <c r="F34" s="328">
        <v>36786077500</v>
      </c>
      <c r="G34" s="288">
        <v>3.635691980606779E-2</v>
      </c>
    </row>
    <row r="35" spans="1:7" s="92" customFormat="1" ht="20.25" customHeight="1">
      <c r="A35" s="235">
        <v>17</v>
      </c>
      <c r="B35" s="286" t="s">
        <v>955</v>
      </c>
      <c r="C35" s="287" t="s">
        <v>775</v>
      </c>
      <c r="D35" s="328">
        <v>1107500</v>
      </c>
      <c r="E35" s="328">
        <v>14200</v>
      </c>
      <c r="F35" s="328">
        <v>15726500000</v>
      </c>
      <c r="G35" s="288">
        <v>1.5543029814204168E-2</v>
      </c>
    </row>
    <row r="36" spans="1:7" s="92" customFormat="1" ht="20.25" customHeight="1">
      <c r="A36" s="235">
        <v>18</v>
      </c>
      <c r="B36" s="286" t="s">
        <v>816</v>
      </c>
      <c r="C36" s="287" t="s">
        <v>776</v>
      </c>
      <c r="D36" s="328">
        <v>859171</v>
      </c>
      <c r="E36" s="328">
        <v>24400</v>
      </c>
      <c r="F36" s="328">
        <v>20963772400</v>
      </c>
      <c r="G36" s="288">
        <v>2.0719202583625758E-2</v>
      </c>
    </row>
    <row r="37" spans="1:7" s="92" customFormat="1" ht="20.25" customHeight="1">
      <c r="A37" s="235">
        <v>19</v>
      </c>
      <c r="B37" s="286" t="s">
        <v>993</v>
      </c>
      <c r="C37" s="287" t="s">
        <v>777</v>
      </c>
      <c r="D37" s="328">
        <v>40980</v>
      </c>
      <c r="E37" s="328">
        <v>18500</v>
      </c>
      <c r="F37" s="328">
        <v>758130000</v>
      </c>
      <c r="G37" s="288">
        <v>7.4928542225177926E-4</v>
      </c>
    </row>
    <row r="38" spans="1:7" s="92" customFormat="1" ht="20.25" customHeight="1">
      <c r="A38" s="235">
        <v>20</v>
      </c>
      <c r="B38" s="286" t="s">
        <v>855</v>
      </c>
      <c r="C38" s="287" t="s">
        <v>778</v>
      </c>
      <c r="D38" s="328">
        <v>2313484</v>
      </c>
      <c r="E38" s="328">
        <v>20900</v>
      </c>
      <c r="F38" s="328">
        <v>48351815600</v>
      </c>
      <c r="G38" s="288">
        <v>4.7787728448268986E-2</v>
      </c>
    </row>
    <row r="39" spans="1:7" s="92" customFormat="1" ht="20.25" customHeight="1">
      <c r="A39" s="235">
        <v>21</v>
      </c>
      <c r="B39" s="286" t="s">
        <v>860</v>
      </c>
      <c r="C39" s="287" t="s">
        <v>823</v>
      </c>
      <c r="D39" s="328">
        <v>234160</v>
      </c>
      <c r="E39" s="328">
        <v>83000</v>
      </c>
      <c r="F39" s="328">
        <v>19435280000</v>
      </c>
      <c r="G39" s="288">
        <v>1.920854204606276E-2</v>
      </c>
    </row>
    <row r="40" spans="1:7" s="92" customFormat="1" ht="20.25" customHeight="1">
      <c r="A40" s="235">
        <v>22</v>
      </c>
      <c r="B40" s="286" t="s">
        <v>994</v>
      </c>
      <c r="C40" s="287" t="s">
        <v>824</v>
      </c>
      <c r="D40" s="328">
        <v>241900</v>
      </c>
      <c r="E40" s="328">
        <v>18300</v>
      </c>
      <c r="F40" s="328">
        <v>4426770000</v>
      </c>
      <c r="G40" s="288">
        <v>4.3751259396957098E-3</v>
      </c>
    </row>
    <row r="41" spans="1:7" s="92" customFormat="1" ht="20.25" customHeight="1">
      <c r="A41" s="235">
        <v>23</v>
      </c>
      <c r="B41" s="286" t="s">
        <v>817</v>
      </c>
      <c r="C41" s="287" t="s">
        <v>825</v>
      </c>
      <c r="D41" s="328">
        <v>967640</v>
      </c>
      <c r="E41" s="328">
        <v>92800</v>
      </c>
      <c r="F41" s="328">
        <v>89796992000</v>
      </c>
      <c r="G41" s="288">
        <v>8.8749392673630689E-2</v>
      </c>
    </row>
    <row r="42" spans="1:7" s="92" customFormat="1" ht="20.25" customHeight="1">
      <c r="A42" s="235">
        <v>24</v>
      </c>
      <c r="B42" s="286" t="s">
        <v>870</v>
      </c>
      <c r="C42" s="287" t="s">
        <v>826</v>
      </c>
      <c r="D42" s="328">
        <v>205975</v>
      </c>
      <c r="E42" s="328">
        <v>29100</v>
      </c>
      <c r="F42" s="328">
        <v>5993872500</v>
      </c>
      <c r="G42" s="288">
        <v>5.9239461399572995E-3</v>
      </c>
    </row>
    <row r="43" spans="1:7" s="92" customFormat="1" ht="20.25" customHeight="1">
      <c r="A43" s="235">
        <v>25</v>
      </c>
      <c r="B43" s="286" t="s">
        <v>995</v>
      </c>
      <c r="C43" s="287" t="s">
        <v>827</v>
      </c>
      <c r="D43" s="328">
        <v>100</v>
      </c>
      <c r="E43" s="328">
        <v>59600</v>
      </c>
      <c r="F43" s="328">
        <v>5960000</v>
      </c>
      <c r="G43" s="288">
        <v>5.8904688069600258E-6</v>
      </c>
    </row>
    <row r="44" spans="1:7" s="92" customFormat="1" ht="20.25" customHeight="1">
      <c r="A44" s="235">
        <v>26</v>
      </c>
      <c r="B44" s="286" t="s">
        <v>996</v>
      </c>
      <c r="C44" s="287" t="s">
        <v>828</v>
      </c>
      <c r="D44" s="328">
        <v>215850</v>
      </c>
      <c r="E44" s="328">
        <v>61200</v>
      </c>
      <c r="F44" s="328">
        <v>13210020000</v>
      </c>
      <c r="G44" s="288">
        <v>1.3055907843845315E-2</v>
      </c>
    </row>
    <row r="45" spans="1:7" s="92" customFormat="1" ht="20.25" customHeight="1">
      <c r="A45" s="235">
        <v>27</v>
      </c>
      <c r="B45" s="286" t="s">
        <v>856</v>
      </c>
      <c r="C45" s="287" t="s">
        <v>863</v>
      </c>
      <c r="D45" s="328">
        <v>113700</v>
      </c>
      <c r="E45" s="328">
        <v>59500</v>
      </c>
      <c r="F45" s="328">
        <v>6765150000</v>
      </c>
      <c r="G45" s="288">
        <v>6.6862256794304725E-3</v>
      </c>
    </row>
    <row r="46" spans="1:7" s="92" customFormat="1" ht="20.25" customHeight="1">
      <c r="A46" s="235">
        <v>28</v>
      </c>
      <c r="B46" s="286" t="s">
        <v>858</v>
      </c>
      <c r="C46" s="287" t="s">
        <v>865</v>
      </c>
      <c r="D46" s="328">
        <v>5</v>
      </c>
      <c r="E46" s="328">
        <v>50500</v>
      </c>
      <c r="F46" s="328">
        <v>252500</v>
      </c>
      <c r="G46" s="288">
        <v>2.4955425734184671E-7</v>
      </c>
    </row>
    <row r="47" spans="1:7" s="92" customFormat="1" ht="20.25" customHeight="1">
      <c r="A47" s="235">
        <v>29</v>
      </c>
      <c r="B47" s="286" t="s">
        <v>818</v>
      </c>
      <c r="C47" s="287" t="s">
        <v>867</v>
      </c>
      <c r="D47" s="328">
        <v>827443</v>
      </c>
      <c r="E47" s="328">
        <v>73000</v>
      </c>
      <c r="F47" s="328">
        <v>60403339000</v>
      </c>
      <c r="G47" s="288">
        <v>5.9698655069753685E-2</v>
      </c>
    </row>
    <row r="48" spans="1:7" s="92" customFormat="1" ht="20.25" customHeight="1">
      <c r="A48" s="235">
        <v>30</v>
      </c>
      <c r="B48" s="286" t="s">
        <v>956</v>
      </c>
      <c r="C48" s="287" t="s">
        <v>869</v>
      </c>
      <c r="D48" s="328">
        <v>378700</v>
      </c>
      <c r="E48" s="328">
        <v>15200</v>
      </c>
      <c r="F48" s="328">
        <v>5756240000</v>
      </c>
      <c r="G48" s="288">
        <v>5.6890859337878482E-3</v>
      </c>
    </row>
    <row r="49" spans="1:7" s="92" customFormat="1" ht="20.25" customHeight="1">
      <c r="A49" s="235">
        <v>31</v>
      </c>
      <c r="B49" s="286" t="s">
        <v>997</v>
      </c>
      <c r="C49" s="287" t="s">
        <v>972</v>
      </c>
      <c r="D49" s="328">
        <v>100</v>
      </c>
      <c r="E49" s="328">
        <v>31750</v>
      </c>
      <c r="F49" s="328">
        <v>3175000</v>
      </c>
      <c r="G49" s="288">
        <v>3.1379594735063895E-6</v>
      </c>
    </row>
    <row r="50" spans="1:7" s="92" customFormat="1" ht="20.25" customHeight="1">
      <c r="A50" s="235">
        <v>32</v>
      </c>
      <c r="B50" s="286" t="s">
        <v>998</v>
      </c>
      <c r="C50" s="287" t="s">
        <v>973</v>
      </c>
      <c r="D50" s="328">
        <v>100</v>
      </c>
      <c r="E50" s="328">
        <v>29800</v>
      </c>
      <c r="F50" s="328">
        <v>2980000</v>
      </c>
      <c r="G50" s="288">
        <v>2.9452344034800129E-6</v>
      </c>
    </row>
    <row r="51" spans="1:7" s="92" customFormat="1" ht="20.25" customHeight="1">
      <c r="A51" s="235">
        <v>33</v>
      </c>
      <c r="B51" s="286" t="s">
        <v>819</v>
      </c>
      <c r="C51" s="287" t="s">
        <v>1002</v>
      </c>
      <c r="D51" s="328">
        <v>61520</v>
      </c>
      <c r="E51" s="328">
        <v>275000</v>
      </c>
      <c r="F51" s="328">
        <v>16918000000</v>
      </c>
      <c r="G51" s="288">
        <v>1.6720629408749951E-2</v>
      </c>
    </row>
    <row r="52" spans="1:7" s="92" customFormat="1" ht="20.25" customHeight="1">
      <c r="A52" s="235">
        <v>34</v>
      </c>
      <c r="B52" s="286" t="s">
        <v>999</v>
      </c>
      <c r="C52" s="287" t="s">
        <v>1003</v>
      </c>
      <c r="D52" s="328">
        <v>100</v>
      </c>
      <c r="E52" s="328">
        <v>17200</v>
      </c>
      <c r="F52" s="328">
        <v>1720000</v>
      </c>
      <c r="G52" s="288">
        <v>1.6999339510018866E-6</v>
      </c>
    </row>
    <row r="53" spans="1:7" s="92" customFormat="1" ht="20.25" customHeight="1">
      <c r="A53" s="235">
        <v>35</v>
      </c>
      <c r="B53" s="286" t="s">
        <v>864</v>
      </c>
      <c r="C53" s="287" t="s">
        <v>1004</v>
      </c>
      <c r="D53" s="328">
        <v>156080</v>
      </c>
      <c r="E53" s="328">
        <v>24800</v>
      </c>
      <c r="F53" s="328">
        <v>3870784000</v>
      </c>
      <c r="G53" s="288">
        <v>3.8256262433691199E-3</v>
      </c>
    </row>
    <row r="54" spans="1:7" s="92" customFormat="1" ht="20.25" customHeight="1">
      <c r="A54" s="235">
        <v>36</v>
      </c>
      <c r="B54" s="286" t="s">
        <v>950</v>
      </c>
      <c r="C54" s="287" t="s">
        <v>1005</v>
      </c>
      <c r="D54" s="328">
        <v>1112880</v>
      </c>
      <c r="E54" s="328">
        <v>20350</v>
      </c>
      <c r="F54" s="328">
        <v>22647108000</v>
      </c>
      <c r="G54" s="288">
        <v>2.2382899872794439E-2</v>
      </c>
    </row>
    <row r="55" spans="1:7" s="92" customFormat="1" ht="20.25" customHeight="1">
      <c r="A55" s="235">
        <v>37</v>
      </c>
      <c r="B55" s="286" t="s">
        <v>820</v>
      </c>
      <c r="C55" s="287" t="s">
        <v>1006</v>
      </c>
      <c r="D55" s="328">
        <v>761865</v>
      </c>
      <c r="E55" s="328">
        <v>70500</v>
      </c>
      <c r="F55" s="328">
        <v>53711482500</v>
      </c>
      <c r="G55" s="288">
        <v>5.3084867825810282E-2</v>
      </c>
    </row>
    <row r="56" spans="1:7" s="92" customFormat="1" ht="20.25" customHeight="1">
      <c r="A56" s="235">
        <v>38</v>
      </c>
      <c r="B56" s="286" t="s">
        <v>1000</v>
      </c>
      <c r="C56" s="287" t="s">
        <v>1007</v>
      </c>
      <c r="D56" s="328">
        <v>32000</v>
      </c>
      <c r="E56" s="328">
        <v>57800</v>
      </c>
      <c r="F56" s="328">
        <v>1849600000</v>
      </c>
      <c r="G56" s="288">
        <v>1.8280219975424937E-3</v>
      </c>
    </row>
    <row r="57" spans="1:7" s="92" customFormat="1" ht="20.25" customHeight="1">
      <c r="A57" s="235">
        <v>39</v>
      </c>
      <c r="B57" s="286" t="s">
        <v>1001</v>
      </c>
      <c r="C57" s="287" t="s">
        <v>1008</v>
      </c>
      <c r="D57" s="328">
        <v>100000</v>
      </c>
      <c r="E57" s="328">
        <v>88000</v>
      </c>
      <c r="F57" s="328">
        <v>8800000000</v>
      </c>
      <c r="G57" s="288">
        <v>8.6973364934980237E-3</v>
      </c>
    </row>
    <row r="58" spans="1:7" s="92" customFormat="1" ht="20.25" customHeight="1">
      <c r="A58" s="235">
        <v>40</v>
      </c>
      <c r="B58" s="286" t="s">
        <v>949</v>
      </c>
      <c r="C58" s="287" t="s">
        <v>1009</v>
      </c>
      <c r="D58" s="328">
        <v>554350</v>
      </c>
      <c r="E58" s="328">
        <v>79300</v>
      </c>
      <c r="F58" s="328">
        <v>43959955000</v>
      </c>
      <c r="G58" s="288">
        <v>4.344710464477624E-2</v>
      </c>
    </row>
    <row r="59" spans="1:7" s="92" customFormat="1" ht="20.25" customHeight="1">
      <c r="A59" s="235">
        <v>41</v>
      </c>
      <c r="B59" s="286" t="s">
        <v>862</v>
      </c>
      <c r="C59" s="287" t="s">
        <v>1010</v>
      </c>
      <c r="D59" s="328">
        <v>303313</v>
      </c>
      <c r="E59" s="328">
        <v>115700</v>
      </c>
      <c r="F59" s="328">
        <v>35093314100</v>
      </c>
      <c r="G59" s="288">
        <v>3.4683904704513498E-2</v>
      </c>
    </row>
    <row r="60" spans="1:7" s="92" customFormat="1" ht="20.25" customHeight="1">
      <c r="A60" s="235">
        <v>42</v>
      </c>
      <c r="B60" s="286" t="s">
        <v>821</v>
      </c>
      <c r="C60" s="287" t="s">
        <v>1011</v>
      </c>
      <c r="D60" s="328">
        <v>105431</v>
      </c>
      <c r="E60" s="328">
        <v>128000</v>
      </c>
      <c r="F60" s="328">
        <v>13495168000</v>
      </c>
      <c r="G60" s="288">
        <v>1.3337729219578039E-2</v>
      </c>
    </row>
    <row r="61" spans="1:7" s="92" customFormat="1" ht="20.25" customHeight="1">
      <c r="A61" s="235">
        <v>43</v>
      </c>
      <c r="B61" s="286" t="s">
        <v>822</v>
      </c>
      <c r="C61" s="287" t="s">
        <v>1012</v>
      </c>
      <c r="D61" s="328">
        <v>270863</v>
      </c>
      <c r="E61" s="328">
        <v>123000</v>
      </c>
      <c r="F61" s="328">
        <v>33316149000</v>
      </c>
      <c r="G61" s="288">
        <v>3.292747255914974E-2</v>
      </c>
    </row>
    <row r="62" spans="1:7" s="92" customFormat="1" ht="20.25" customHeight="1">
      <c r="A62" s="235">
        <v>44</v>
      </c>
      <c r="B62" s="286" t="s">
        <v>857</v>
      </c>
      <c r="C62" s="287" t="s">
        <v>1013</v>
      </c>
      <c r="D62" s="328">
        <v>477203</v>
      </c>
      <c r="E62" s="328">
        <v>18900</v>
      </c>
      <c r="F62" s="328">
        <v>9019136700</v>
      </c>
      <c r="G62" s="288">
        <v>8.913916677358788E-3</v>
      </c>
    </row>
    <row r="63" spans="1:7" s="92" customFormat="1" ht="20.25" customHeight="1">
      <c r="A63" s="235">
        <v>45</v>
      </c>
      <c r="B63" s="286" t="s">
        <v>971</v>
      </c>
      <c r="C63" s="287" t="s">
        <v>1014</v>
      </c>
      <c r="D63" s="328">
        <v>354270</v>
      </c>
      <c r="E63" s="328">
        <v>33800</v>
      </c>
      <c r="F63" s="328">
        <v>11974326000</v>
      </c>
      <c r="G63" s="288">
        <v>1.1834629830095707E-2</v>
      </c>
    </row>
    <row r="64" spans="1:7" s="92" customFormat="1" ht="20.25" customHeight="1">
      <c r="A64" s="235">
        <v>46</v>
      </c>
      <c r="B64" s="286" t="s">
        <v>957</v>
      </c>
      <c r="C64" s="287" t="s">
        <v>1015</v>
      </c>
      <c r="D64" s="328">
        <v>63810</v>
      </c>
      <c r="E64" s="328">
        <v>140500</v>
      </c>
      <c r="F64" s="328">
        <v>8965305000</v>
      </c>
      <c r="G64" s="288">
        <v>8.8607129945273075E-3</v>
      </c>
    </row>
    <row r="65" spans="1:7" s="92" customFormat="1" ht="28.5" customHeight="1">
      <c r="A65" s="237"/>
      <c r="B65" s="238" t="s">
        <v>293</v>
      </c>
      <c r="C65" s="289" t="s">
        <v>871</v>
      </c>
      <c r="D65" s="329"/>
      <c r="E65" s="329"/>
      <c r="F65" s="329">
        <v>784100776600</v>
      </c>
      <c r="G65" s="239">
        <v>0.77495321578446807</v>
      </c>
    </row>
    <row r="66" spans="1:7" s="92" customFormat="1" ht="30.75" customHeight="1">
      <c r="A66" s="231" t="s">
        <v>49</v>
      </c>
      <c r="B66" s="232" t="s">
        <v>294</v>
      </c>
      <c r="C66" s="231">
        <v>2248</v>
      </c>
      <c r="D66" s="330"/>
      <c r="E66" s="330"/>
      <c r="F66" s="330"/>
      <c r="G66" s="242"/>
    </row>
    <row r="67" spans="1:7" s="92" customFormat="1" ht="32.25" customHeight="1">
      <c r="A67" s="237"/>
      <c r="B67" s="238" t="s">
        <v>293</v>
      </c>
      <c r="C67" s="237">
        <v>2249</v>
      </c>
      <c r="D67" s="329">
        <v>0</v>
      </c>
      <c r="E67" s="329"/>
      <c r="F67" s="329">
        <v>0</v>
      </c>
      <c r="G67" s="239">
        <v>0</v>
      </c>
    </row>
    <row r="68" spans="1:7" s="92" customFormat="1" ht="32.25" customHeight="1">
      <c r="A68" s="240"/>
      <c r="B68" s="241" t="s">
        <v>295</v>
      </c>
      <c r="C68" s="240">
        <v>2250</v>
      </c>
      <c r="D68" s="332"/>
      <c r="E68" s="332"/>
      <c r="F68" s="332">
        <v>784100776600</v>
      </c>
      <c r="G68" s="333">
        <v>0.77495321578446841</v>
      </c>
    </row>
    <row r="69" spans="1:7" s="92" customFormat="1" ht="32.25" customHeight="1">
      <c r="A69" s="231" t="s">
        <v>115</v>
      </c>
      <c r="B69" s="232" t="s">
        <v>296</v>
      </c>
      <c r="C69" s="231">
        <v>2251</v>
      </c>
      <c r="D69" s="330"/>
      <c r="E69" s="330"/>
      <c r="F69" s="330"/>
      <c r="G69" s="242"/>
    </row>
    <row r="70" spans="1:7" s="92" customFormat="1" ht="34.5" customHeight="1">
      <c r="A70" s="312">
        <v>1</v>
      </c>
      <c r="B70" s="245" t="s">
        <v>974</v>
      </c>
      <c r="C70" s="312">
        <v>2251.1</v>
      </c>
      <c r="D70" s="334">
        <v>300000</v>
      </c>
      <c r="E70" s="334">
        <v>100491</v>
      </c>
      <c r="F70" s="331">
        <v>30147300000</v>
      </c>
      <c r="G70" s="288">
        <v>2.9795592326185567E-2</v>
      </c>
    </row>
    <row r="71" spans="1:7" s="92" customFormat="1" ht="33.75" customHeight="1">
      <c r="A71" s="312">
        <v>2</v>
      </c>
      <c r="B71" s="245" t="s">
        <v>1025</v>
      </c>
      <c r="C71" s="312">
        <v>2251.1999999999998</v>
      </c>
      <c r="D71" s="334">
        <v>500000</v>
      </c>
      <c r="E71" s="334">
        <v>100000</v>
      </c>
      <c r="F71" s="331">
        <v>50000000000</v>
      </c>
      <c r="G71" s="288">
        <v>4.9416684622147863E-2</v>
      </c>
    </row>
    <row r="72" spans="1:7" s="92" customFormat="1" ht="32.25" customHeight="1">
      <c r="A72" s="237"/>
      <c r="B72" s="238" t="s">
        <v>293</v>
      </c>
      <c r="C72" s="237">
        <v>2252</v>
      </c>
      <c r="D72" s="329"/>
      <c r="E72" s="329"/>
      <c r="F72" s="329">
        <v>80147300000</v>
      </c>
      <c r="G72" s="239">
        <v>7.9212276948333424E-2</v>
      </c>
    </row>
    <row r="73" spans="1:7" s="92" customFormat="1" ht="32.25" customHeight="1">
      <c r="A73" s="231" t="s">
        <v>116</v>
      </c>
      <c r="B73" s="232" t="s">
        <v>297</v>
      </c>
      <c r="C73" s="231">
        <v>2253</v>
      </c>
      <c r="D73" s="330"/>
      <c r="E73" s="330"/>
      <c r="F73" s="330"/>
      <c r="G73" s="242"/>
    </row>
    <row r="74" spans="1:7" s="92" customFormat="1" ht="32.25" customHeight="1">
      <c r="A74" s="235">
        <v>1</v>
      </c>
      <c r="B74" s="245" t="s">
        <v>944</v>
      </c>
      <c r="C74" s="295" t="s">
        <v>945</v>
      </c>
      <c r="D74" s="334"/>
      <c r="E74" s="334"/>
      <c r="F74" s="334"/>
      <c r="G74" s="236">
        <v>0</v>
      </c>
    </row>
    <row r="75" spans="1:7" s="92" customFormat="1" ht="33.75" customHeight="1">
      <c r="A75" s="291">
        <v>2</v>
      </c>
      <c r="B75" s="245" t="s">
        <v>1023</v>
      </c>
      <c r="C75" s="296" t="s">
        <v>946</v>
      </c>
      <c r="D75" s="334"/>
      <c r="E75" s="335"/>
      <c r="F75" s="334"/>
      <c r="G75" s="236">
        <v>0</v>
      </c>
    </row>
    <row r="76" spans="1:7" s="92" customFormat="1" ht="25">
      <c r="A76" s="243"/>
      <c r="B76" s="238" t="s">
        <v>293</v>
      </c>
      <c r="C76" s="243">
        <v>2254</v>
      </c>
      <c r="D76" s="329">
        <v>0</v>
      </c>
      <c r="E76" s="329"/>
      <c r="F76" s="329">
        <v>0</v>
      </c>
      <c r="G76" s="239">
        <v>0</v>
      </c>
    </row>
    <row r="77" spans="1:7" s="92" customFormat="1" ht="30.75" customHeight="1">
      <c r="A77" s="231"/>
      <c r="B77" s="232" t="s">
        <v>298</v>
      </c>
      <c r="C77" s="231">
        <v>2255</v>
      </c>
      <c r="D77" s="330"/>
      <c r="E77" s="330"/>
      <c r="F77" s="336">
        <v>864248076600</v>
      </c>
      <c r="G77" s="244">
        <v>0.85416549273280173</v>
      </c>
    </row>
    <row r="78" spans="1:7" s="92" customFormat="1" ht="32.25" customHeight="1">
      <c r="A78" s="231" t="s">
        <v>119</v>
      </c>
      <c r="B78" s="232" t="s">
        <v>299</v>
      </c>
      <c r="C78" s="231">
        <v>2256</v>
      </c>
      <c r="D78" s="330"/>
      <c r="E78" s="330"/>
      <c r="F78" s="336"/>
      <c r="G78" s="337"/>
    </row>
    <row r="79" spans="1:7" s="92" customFormat="1" ht="32.25" customHeight="1">
      <c r="A79" s="235">
        <v>1</v>
      </c>
      <c r="B79" s="245" t="s">
        <v>300</v>
      </c>
      <c r="C79" s="235">
        <v>2256.1</v>
      </c>
      <c r="D79" s="331"/>
      <c r="E79" s="331"/>
      <c r="F79" s="331">
        <v>1162020000</v>
      </c>
      <c r="G79" s="288">
        <v>1.1484635172925653E-3</v>
      </c>
    </row>
    <row r="80" spans="1:7" s="92" customFormat="1" ht="27.75" customHeight="1">
      <c r="A80" s="235">
        <v>2</v>
      </c>
      <c r="B80" s="245" t="s">
        <v>301</v>
      </c>
      <c r="C80" s="235">
        <v>2256.1999999999998</v>
      </c>
      <c r="D80" s="331"/>
      <c r="E80" s="331"/>
      <c r="F80" s="331">
        <v>1774880137</v>
      </c>
      <c r="G80" s="288">
        <v>1.7541738394448718E-3</v>
      </c>
    </row>
    <row r="81" spans="1:7" s="92" customFormat="1" ht="44.25" customHeight="1">
      <c r="A81" s="235">
        <v>3</v>
      </c>
      <c r="B81" s="245" t="s">
        <v>975</v>
      </c>
      <c r="C81" s="235">
        <v>2256.3000000000002</v>
      </c>
      <c r="D81" s="331"/>
      <c r="E81" s="331"/>
      <c r="F81" s="331">
        <v>6161799658</v>
      </c>
      <c r="G81" s="288">
        <v>6.0899142080848914E-3</v>
      </c>
    </row>
    <row r="82" spans="1:7" s="92" customFormat="1" ht="32.25" customHeight="1">
      <c r="A82" s="235">
        <v>4</v>
      </c>
      <c r="B82" s="245" t="s">
        <v>302</v>
      </c>
      <c r="C82" s="235">
        <v>2256.4</v>
      </c>
      <c r="D82" s="331"/>
      <c r="E82" s="331"/>
      <c r="F82" s="331">
        <v>1407776000</v>
      </c>
      <c r="G82" s="288">
        <v>1.3913524522125766E-3</v>
      </c>
    </row>
    <row r="83" spans="1:7" s="92" customFormat="1" ht="40.5" customHeight="1">
      <c r="A83" s="235">
        <v>5</v>
      </c>
      <c r="B83" s="245" t="s">
        <v>606</v>
      </c>
      <c r="C83" s="235">
        <v>2256.5</v>
      </c>
      <c r="D83" s="331"/>
      <c r="E83" s="331"/>
      <c r="F83" s="331">
        <v>0</v>
      </c>
      <c r="G83" s="288">
        <v>0</v>
      </c>
    </row>
    <row r="84" spans="1:7" s="92" customFormat="1" ht="32.25" customHeight="1">
      <c r="A84" s="235">
        <v>6</v>
      </c>
      <c r="B84" s="245" t="s">
        <v>303</v>
      </c>
      <c r="C84" s="235">
        <v>2256.6</v>
      </c>
      <c r="D84" s="331"/>
      <c r="E84" s="331"/>
      <c r="F84" s="331">
        <v>0</v>
      </c>
      <c r="G84" s="288">
        <v>0</v>
      </c>
    </row>
    <row r="85" spans="1:7" s="92" customFormat="1" ht="32.25" customHeight="1">
      <c r="A85" s="235">
        <v>7</v>
      </c>
      <c r="B85" s="245" t="s">
        <v>304</v>
      </c>
      <c r="C85" s="235">
        <v>2256.6999999999998</v>
      </c>
      <c r="D85" s="331"/>
      <c r="E85" s="331"/>
      <c r="F85" s="331">
        <v>-866400000</v>
      </c>
      <c r="G85" s="288">
        <v>-8.5629231113257818E-4</v>
      </c>
    </row>
    <row r="86" spans="1:7" s="92" customFormat="1" ht="32.25" customHeight="1">
      <c r="A86" s="237"/>
      <c r="B86" s="238" t="s">
        <v>293</v>
      </c>
      <c r="C86" s="237">
        <v>2257</v>
      </c>
      <c r="D86" s="329"/>
      <c r="E86" s="329"/>
      <c r="F86" s="329">
        <v>9640075795</v>
      </c>
      <c r="G86" s="239">
        <v>9.5276117059023262E-3</v>
      </c>
    </row>
    <row r="87" spans="1:7" s="92" customFormat="1" ht="32.25" customHeight="1">
      <c r="A87" s="246" t="s">
        <v>53</v>
      </c>
      <c r="B87" s="247" t="s">
        <v>305</v>
      </c>
      <c r="C87" s="342">
        <v>2258</v>
      </c>
      <c r="D87" s="338"/>
      <c r="E87" s="338"/>
      <c r="F87" s="338"/>
      <c r="G87" s="339"/>
    </row>
    <row r="88" spans="1:7" s="92" customFormat="1" ht="32.25" customHeight="1">
      <c r="A88" s="235">
        <v>1</v>
      </c>
      <c r="B88" s="245" t="s">
        <v>607</v>
      </c>
      <c r="C88" s="235">
        <v>2259</v>
      </c>
      <c r="D88" s="334"/>
      <c r="E88" s="334"/>
      <c r="F88" s="331">
        <v>47915864453</v>
      </c>
      <c r="G88" s="288">
        <v>4.7356863241429729E-2</v>
      </c>
    </row>
    <row r="89" spans="1:7" s="92" customFormat="1" ht="32.25" customHeight="1">
      <c r="A89" s="235"/>
      <c r="B89" s="245" t="s">
        <v>227</v>
      </c>
      <c r="C89" s="235">
        <v>2259.1</v>
      </c>
      <c r="D89" s="334"/>
      <c r="E89" s="334"/>
      <c r="F89" s="331">
        <v>37915864453</v>
      </c>
      <c r="G89" s="288">
        <v>3.7473526317000155E-2</v>
      </c>
    </row>
    <row r="90" spans="1:7" s="92" customFormat="1" ht="32.25" customHeight="1">
      <c r="A90" s="235"/>
      <c r="B90" s="245" t="s">
        <v>228</v>
      </c>
      <c r="C90" s="235">
        <v>2259.1999999999998</v>
      </c>
      <c r="D90" s="334"/>
      <c r="E90" s="334"/>
      <c r="F90" s="331">
        <v>10000000000</v>
      </c>
      <c r="G90" s="288">
        <v>9.8833369244295723E-3</v>
      </c>
    </row>
    <row r="91" spans="1:7" s="92" customFormat="1" ht="32.25" customHeight="1">
      <c r="A91" s="235"/>
      <c r="B91" s="245" t="s">
        <v>608</v>
      </c>
      <c r="C91" s="235">
        <v>2259.3000000000002</v>
      </c>
      <c r="D91" s="334"/>
      <c r="E91" s="334"/>
      <c r="F91" s="331">
        <v>0</v>
      </c>
      <c r="G91" s="288">
        <v>0</v>
      </c>
    </row>
    <row r="92" spans="1:7" s="92" customFormat="1" ht="32.25" customHeight="1">
      <c r="A92" s="235">
        <v>2</v>
      </c>
      <c r="B92" s="245" t="s">
        <v>306</v>
      </c>
      <c r="C92" s="235">
        <v>2260</v>
      </c>
      <c r="D92" s="331"/>
      <c r="E92" s="331"/>
      <c r="F92" s="331">
        <v>90000000000</v>
      </c>
      <c r="G92" s="288">
        <v>8.895003231986616E-2</v>
      </c>
    </row>
    <row r="93" spans="1:7" s="92" customFormat="1" ht="32.25" customHeight="1">
      <c r="A93" s="235">
        <v>3</v>
      </c>
      <c r="B93" s="245" t="s">
        <v>1019</v>
      </c>
      <c r="C93" s="235">
        <v>2261</v>
      </c>
      <c r="D93" s="331"/>
      <c r="E93" s="331"/>
      <c r="F93" s="331">
        <v>0</v>
      </c>
      <c r="G93" s="288">
        <v>0</v>
      </c>
    </row>
    <row r="94" spans="1:7" s="92" customFormat="1" ht="28.5" customHeight="1">
      <c r="A94" s="237"/>
      <c r="B94" s="238" t="s">
        <v>293</v>
      </c>
      <c r="C94" s="243">
        <v>2262</v>
      </c>
      <c r="D94" s="329"/>
      <c r="E94" s="329"/>
      <c r="F94" s="329">
        <v>137915864453</v>
      </c>
      <c r="G94" s="239">
        <v>0.13630689556129588</v>
      </c>
    </row>
    <row r="95" spans="1:7" s="92" customFormat="1" ht="29.25" customHeight="1">
      <c r="A95" s="231" t="s">
        <v>120</v>
      </c>
      <c r="B95" s="232" t="s">
        <v>307</v>
      </c>
      <c r="C95" s="290">
        <v>2263</v>
      </c>
      <c r="D95" s="336"/>
      <c r="E95" s="336"/>
      <c r="F95" s="336">
        <v>1011804016848</v>
      </c>
      <c r="G95" s="244">
        <v>1</v>
      </c>
    </row>
    <row r="96" spans="1:7" s="92" customFormat="1" ht="13.5" customHeight="1">
      <c r="A96" s="59"/>
      <c r="B96" s="60"/>
      <c r="C96" s="60"/>
      <c r="D96" s="60"/>
      <c r="E96" s="60"/>
      <c r="F96" s="292"/>
      <c r="G96" s="60"/>
    </row>
    <row r="97" spans="1:7" s="92" customFormat="1" ht="12.5">
      <c r="A97" s="59"/>
      <c r="B97" s="60"/>
      <c r="C97" s="60"/>
      <c r="D97" s="60"/>
      <c r="E97" s="60"/>
      <c r="F97" s="60"/>
      <c r="G97" s="60"/>
    </row>
    <row r="98" spans="1:7" s="92" customFormat="1" ht="12.5">
      <c r="A98" s="59"/>
      <c r="B98" s="60"/>
      <c r="C98" s="60"/>
      <c r="D98" s="60"/>
      <c r="E98" s="60"/>
      <c r="F98" s="60"/>
      <c r="G98" s="60"/>
    </row>
    <row r="99" spans="1:7" s="92" customFormat="1" ht="12.5">
      <c r="A99" s="75" t="s">
        <v>178</v>
      </c>
      <c r="B99" s="76"/>
      <c r="C99" s="77"/>
      <c r="D99" s="83"/>
      <c r="E99" s="78" t="s">
        <v>179</v>
      </c>
      <c r="F99" s="76"/>
      <c r="G99" s="76"/>
    </row>
    <row r="100" spans="1:7" s="92" customFormat="1" ht="12.5">
      <c r="A100" s="80" t="s">
        <v>180</v>
      </c>
      <c r="B100" s="76"/>
      <c r="C100" s="77"/>
      <c r="D100" s="83"/>
      <c r="E100" s="81" t="s">
        <v>181</v>
      </c>
      <c r="F100" s="76"/>
      <c r="G100" s="76"/>
    </row>
    <row r="101" spans="1:7" s="92" customFormat="1" ht="12.5">
      <c r="A101" s="76"/>
      <c r="B101" s="76"/>
      <c r="C101" s="77"/>
      <c r="D101" s="83"/>
      <c r="E101" s="77"/>
      <c r="F101" s="76"/>
      <c r="G101" s="76"/>
    </row>
    <row r="102" spans="1:7" s="92" customFormat="1" ht="12.5">
      <c r="A102" s="76"/>
      <c r="B102" s="76"/>
      <c r="C102" s="77"/>
      <c r="D102" s="83"/>
      <c r="E102" s="77"/>
      <c r="F102" s="76"/>
      <c r="G102" s="76"/>
    </row>
    <row r="103" spans="1:7" s="92" customFormat="1" ht="12.5">
      <c r="A103" s="76"/>
      <c r="B103" s="76"/>
      <c r="C103" s="77"/>
      <c r="D103" s="83"/>
      <c r="E103" s="77"/>
      <c r="F103" s="76"/>
      <c r="G103" s="76"/>
    </row>
    <row r="104" spans="1:7" s="92" customFormat="1" ht="12.5">
      <c r="A104" s="76"/>
      <c r="B104" s="76"/>
      <c r="C104" s="77"/>
      <c r="D104" s="83"/>
      <c r="E104" s="77"/>
      <c r="F104" s="76"/>
      <c r="G104" s="76"/>
    </row>
    <row r="105" spans="1:7" s="92" customFormat="1" ht="12.5">
      <c r="A105" s="76"/>
      <c r="B105" s="76"/>
      <c r="C105" s="77"/>
      <c r="D105" s="83"/>
      <c r="E105" s="77"/>
      <c r="F105" s="76"/>
      <c r="G105" s="76"/>
    </row>
    <row r="106" spans="1:7" s="92" customFormat="1" ht="12.5">
      <c r="A106" s="76"/>
      <c r="B106" s="76"/>
      <c r="C106" s="77"/>
      <c r="D106" s="83"/>
      <c r="E106" s="77"/>
      <c r="F106" s="76"/>
      <c r="G106" s="76"/>
    </row>
    <row r="107" spans="1:7" s="92" customFormat="1" ht="12.5">
      <c r="A107" s="76"/>
      <c r="B107" s="76"/>
      <c r="C107" s="77"/>
      <c r="D107" s="83"/>
      <c r="E107" s="77"/>
      <c r="F107" s="76"/>
      <c r="G107" s="76"/>
    </row>
    <row r="108" spans="1:7" s="92" customFormat="1" ht="12.5">
      <c r="A108" s="76"/>
      <c r="B108" s="76"/>
      <c r="C108" s="77"/>
      <c r="D108" s="83"/>
      <c r="E108" s="77"/>
      <c r="F108" s="76"/>
      <c r="G108" s="76"/>
    </row>
    <row r="109" spans="1:7" s="92" customFormat="1" ht="12.5">
      <c r="A109" s="76"/>
      <c r="B109" s="76"/>
      <c r="C109" s="77"/>
      <c r="D109" s="83"/>
      <c r="E109" s="77"/>
      <c r="F109" s="76"/>
      <c r="G109" s="76"/>
    </row>
    <row r="110" spans="1:7" s="92" customFormat="1" ht="12.5">
      <c r="A110" s="46"/>
      <c r="B110" s="46"/>
      <c r="C110" s="47"/>
      <c r="D110" s="83"/>
      <c r="E110" s="47"/>
      <c r="F110" s="46"/>
      <c r="G110" s="46"/>
    </row>
    <row r="111" spans="1:7" s="92" customFormat="1" ht="12.5">
      <c r="A111" s="75" t="s">
        <v>182</v>
      </c>
      <c r="B111" s="76"/>
      <c r="C111" s="77"/>
      <c r="D111" s="83"/>
      <c r="E111" s="78" t="s">
        <v>465</v>
      </c>
      <c r="F111" s="76"/>
      <c r="G111" s="76"/>
    </row>
    <row r="112" spans="1:7" s="92" customFormat="1" ht="12.5">
      <c r="A112" s="75" t="s">
        <v>965</v>
      </c>
      <c r="B112" s="76"/>
      <c r="C112" s="77"/>
      <c r="D112" s="83"/>
      <c r="E112" s="78" t="s">
        <v>466</v>
      </c>
      <c r="F112" s="76"/>
      <c r="G112" s="76"/>
    </row>
    <row r="113" spans="1:7">
      <c r="A113" s="76" t="s">
        <v>966</v>
      </c>
      <c r="B113" s="76"/>
      <c r="C113" s="77"/>
      <c r="D113" s="83"/>
      <c r="E113" s="77" t="s">
        <v>467</v>
      </c>
      <c r="F113" s="76"/>
      <c r="G113" s="76"/>
    </row>
    <row r="114" spans="1:7">
      <c r="A114" s="62"/>
      <c r="B114" s="83"/>
      <c r="C114" s="83"/>
      <c r="D114" s="83"/>
      <c r="E114" s="83"/>
      <c r="F114" s="83"/>
      <c r="G114" s="83"/>
    </row>
    <row r="115" spans="1:7">
      <c r="A115" s="90"/>
      <c r="B115" s="73"/>
      <c r="C115" s="73"/>
      <c r="D115" s="83"/>
      <c r="E115" s="73"/>
      <c r="F115" s="73"/>
      <c r="G115" s="73"/>
    </row>
    <row r="116" spans="1:7">
      <c r="A116" s="90"/>
      <c r="B116" s="73"/>
      <c r="C116" s="73"/>
      <c r="D116" s="73"/>
      <c r="E116" s="73"/>
      <c r="F116" s="73"/>
      <c r="G116" s="73"/>
    </row>
    <row r="117" spans="1:7">
      <c r="A117" s="90"/>
      <c r="B117" s="73"/>
      <c r="C117" s="73"/>
      <c r="D117" s="73"/>
      <c r="E117" s="73"/>
      <c r="F117" s="73"/>
      <c r="G117" s="73"/>
    </row>
    <row r="118" spans="1:7">
      <c r="A118" s="90"/>
      <c r="B118" s="73"/>
      <c r="C118" s="73"/>
      <c r="D118" s="73"/>
      <c r="E118" s="73"/>
      <c r="F118" s="73"/>
      <c r="G118" s="73"/>
    </row>
    <row r="119" spans="1:7">
      <c r="A119" s="90"/>
      <c r="B119" s="73"/>
      <c r="C119" s="73"/>
      <c r="D119" s="73"/>
      <c r="E119" s="73"/>
      <c r="F119" s="73"/>
      <c r="G119" s="73"/>
    </row>
    <row r="120" spans="1:7">
      <c r="A120" s="90"/>
      <c r="B120" s="73"/>
      <c r="C120" s="73"/>
      <c r="D120" s="73"/>
      <c r="E120" s="73"/>
      <c r="F120" s="73"/>
      <c r="G120" s="73"/>
    </row>
    <row r="121" spans="1:7">
      <c r="A121" s="90"/>
      <c r="B121" s="73"/>
      <c r="C121" s="73"/>
      <c r="D121" s="73"/>
      <c r="E121" s="73"/>
      <c r="F121" s="73"/>
      <c r="G121" s="73"/>
    </row>
    <row r="122" spans="1:7">
      <c r="A122" s="90"/>
      <c r="B122" s="73"/>
      <c r="C122" s="73"/>
      <c r="D122" s="73"/>
      <c r="E122" s="73"/>
      <c r="F122" s="73"/>
      <c r="G122" s="73"/>
    </row>
    <row r="123" spans="1:7">
      <c r="A123" s="90"/>
      <c r="B123" s="73"/>
      <c r="C123" s="73"/>
      <c r="D123" s="73"/>
      <c r="E123" s="73"/>
      <c r="F123" s="73"/>
      <c r="G123" s="73"/>
    </row>
    <row r="124" spans="1:7">
      <c r="A124" s="90"/>
      <c r="B124" s="73"/>
      <c r="C124" s="73"/>
      <c r="D124" s="73"/>
      <c r="E124" s="73"/>
      <c r="F124" s="73"/>
      <c r="G124" s="73"/>
    </row>
    <row r="125" spans="1:7">
      <c r="A125" s="90"/>
      <c r="B125" s="73"/>
      <c r="C125" s="73"/>
      <c r="D125" s="73"/>
      <c r="E125" s="73"/>
      <c r="F125" s="73"/>
      <c r="G125" s="73"/>
    </row>
    <row r="126" spans="1:7">
      <c r="A126" s="90"/>
      <c r="B126" s="73"/>
      <c r="C126" s="73"/>
      <c r="D126" s="73"/>
      <c r="E126" s="73"/>
      <c r="F126" s="73"/>
      <c r="G126" s="73"/>
    </row>
    <row r="127" spans="1:7">
      <c r="A127" s="90"/>
      <c r="B127" s="73"/>
      <c r="C127" s="73"/>
      <c r="D127" s="73"/>
      <c r="E127" s="73"/>
      <c r="F127" s="73"/>
      <c r="G127" s="73"/>
    </row>
    <row r="128" spans="1:7">
      <c r="A128" s="90"/>
      <c r="B128" s="73"/>
      <c r="C128" s="73"/>
      <c r="D128" s="73"/>
      <c r="E128" s="73"/>
      <c r="F128" s="73"/>
      <c r="G128" s="73"/>
    </row>
    <row r="129" spans="1:7">
      <c r="A129" s="90"/>
      <c r="B129" s="73"/>
      <c r="C129" s="73"/>
      <c r="D129" s="73"/>
      <c r="E129" s="73"/>
      <c r="F129" s="73"/>
      <c r="G129" s="73"/>
    </row>
    <row r="130" spans="1:7">
      <c r="A130" s="90"/>
      <c r="B130" s="73"/>
      <c r="C130" s="73"/>
      <c r="D130" s="73"/>
      <c r="E130" s="73"/>
      <c r="F130" s="73"/>
      <c r="G130" s="73"/>
    </row>
    <row r="131" spans="1:7">
      <c r="A131" s="90"/>
      <c r="B131" s="73"/>
      <c r="C131" s="73"/>
      <c r="D131" s="73"/>
      <c r="E131" s="73"/>
      <c r="F131" s="73"/>
      <c r="G131" s="73"/>
    </row>
    <row r="132" spans="1:7">
      <c r="A132" s="90"/>
      <c r="B132" s="73"/>
      <c r="C132" s="73"/>
      <c r="D132" s="73"/>
      <c r="E132" s="73"/>
      <c r="F132" s="73"/>
      <c r="G132" s="73"/>
    </row>
    <row r="133" spans="1:7">
      <c r="A133" s="90"/>
      <c r="B133" s="73"/>
      <c r="C133" s="73"/>
      <c r="D133" s="73"/>
      <c r="E133" s="73"/>
      <c r="F133" s="73"/>
      <c r="G133" s="73"/>
    </row>
    <row r="134" spans="1:7">
      <c r="A134" s="90"/>
      <c r="B134" s="73"/>
      <c r="C134" s="73"/>
      <c r="D134" s="73"/>
      <c r="E134" s="73"/>
      <c r="F134" s="73"/>
      <c r="G134" s="73"/>
    </row>
    <row r="135" spans="1:7">
      <c r="A135" s="90"/>
      <c r="B135" s="73"/>
      <c r="C135" s="73"/>
      <c r="D135" s="73"/>
      <c r="E135" s="73"/>
      <c r="F135" s="73"/>
      <c r="G135" s="73"/>
    </row>
    <row r="136" spans="1:7">
      <c r="A136" s="90"/>
      <c r="B136" s="73"/>
      <c r="C136" s="73"/>
      <c r="D136" s="73"/>
      <c r="E136" s="73"/>
      <c r="F136" s="73"/>
      <c r="G136" s="73"/>
    </row>
    <row r="137" spans="1:7">
      <c r="A137" s="90"/>
      <c r="B137" s="73"/>
      <c r="C137" s="73"/>
      <c r="D137" s="73"/>
      <c r="E137" s="73"/>
      <c r="F137" s="73"/>
      <c r="G137" s="73"/>
    </row>
    <row r="138" spans="1:7">
      <c r="A138" s="90"/>
      <c r="B138" s="73"/>
      <c r="C138" s="73"/>
      <c r="D138" s="73"/>
      <c r="E138" s="73"/>
      <c r="F138" s="73"/>
      <c r="G138" s="73"/>
    </row>
    <row r="139" spans="1:7">
      <c r="A139" s="90"/>
      <c r="B139" s="73"/>
      <c r="C139" s="73"/>
      <c r="D139" s="73"/>
      <c r="E139" s="73"/>
      <c r="F139" s="73"/>
      <c r="G139" s="73"/>
    </row>
    <row r="140" spans="1:7">
      <c r="A140" s="90"/>
      <c r="B140" s="73"/>
      <c r="C140" s="73"/>
      <c r="D140" s="73"/>
      <c r="E140" s="73"/>
      <c r="F140" s="73"/>
      <c r="G140" s="73"/>
    </row>
    <row r="141" spans="1:7">
      <c r="A141" s="90"/>
      <c r="B141" s="73"/>
      <c r="C141" s="73"/>
      <c r="D141" s="73"/>
      <c r="E141" s="73"/>
      <c r="F141" s="73"/>
      <c r="G141" s="73"/>
    </row>
    <row r="142" spans="1:7">
      <c r="A142" s="90"/>
      <c r="B142" s="73"/>
      <c r="C142" s="73"/>
      <c r="D142" s="73"/>
      <c r="E142" s="73"/>
      <c r="F142" s="73"/>
      <c r="G142" s="73"/>
    </row>
    <row r="143" spans="1:7">
      <c r="A143" s="90"/>
      <c r="B143" s="73"/>
      <c r="C143" s="73"/>
      <c r="D143" s="73"/>
      <c r="E143" s="73"/>
      <c r="F143" s="73"/>
      <c r="G143" s="73"/>
    </row>
    <row r="144" spans="1:7">
      <c r="A144" s="90"/>
      <c r="B144" s="73"/>
      <c r="C144" s="73"/>
      <c r="D144" s="73"/>
      <c r="E144" s="73"/>
      <c r="F144" s="73"/>
      <c r="G144" s="73"/>
    </row>
    <row r="145" spans="1:7">
      <c r="A145" s="90"/>
      <c r="B145" s="73"/>
      <c r="C145" s="73"/>
      <c r="D145" s="73"/>
      <c r="E145" s="73"/>
      <c r="F145" s="73"/>
      <c r="G145" s="73"/>
    </row>
    <row r="146" spans="1:7">
      <c r="A146" s="90"/>
      <c r="B146" s="73"/>
      <c r="C146" s="73"/>
      <c r="D146" s="73"/>
      <c r="E146" s="73"/>
      <c r="F146" s="73"/>
      <c r="G146" s="73"/>
    </row>
    <row r="147" spans="1:7">
      <c r="A147" s="90"/>
      <c r="B147" s="73"/>
      <c r="C147" s="73"/>
      <c r="D147" s="73"/>
      <c r="E147" s="73"/>
      <c r="F147" s="73"/>
      <c r="G147" s="73"/>
    </row>
    <row r="148" spans="1:7">
      <c r="A148" s="90"/>
      <c r="B148" s="73"/>
      <c r="C148" s="73"/>
      <c r="D148" s="73"/>
      <c r="E148" s="73"/>
      <c r="F148" s="73"/>
      <c r="G148" s="73"/>
    </row>
    <row r="149" spans="1:7">
      <c r="A149" s="90"/>
      <c r="B149" s="73"/>
      <c r="C149" s="73"/>
      <c r="D149" s="73"/>
      <c r="E149" s="73"/>
      <c r="F149" s="73"/>
      <c r="G149" s="73"/>
    </row>
    <row r="150" spans="1:7">
      <c r="A150" s="90"/>
      <c r="B150" s="73"/>
      <c r="C150" s="73"/>
      <c r="D150" s="73"/>
      <c r="E150" s="73"/>
      <c r="F150" s="73"/>
      <c r="G150" s="73"/>
    </row>
    <row r="151" spans="1:7">
      <c r="A151" s="90"/>
      <c r="B151" s="73"/>
      <c r="C151" s="73"/>
      <c r="D151" s="73"/>
      <c r="E151" s="73"/>
      <c r="F151" s="73"/>
      <c r="G151" s="73"/>
    </row>
    <row r="152" spans="1:7">
      <c r="A152" s="90"/>
      <c r="B152" s="73"/>
      <c r="C152" s="73"/>
      <c r="D152" s="73"/>
      <c r="E152" s="73"/>
      <c r="F152" s="73"/>
      <c r="G152" s="73"/>
    </row>
    <row r="153" spans="1:7">
      <c r="A153" s="90"/>
      <c r="B153" s="73"/>
      <c r="C153" s="73"/>
      <c r="D153" s="73"/>
      <c r="E153" s="73"/>
      <c r="F153" s="73"/>
      <c r="G153" s="73"/>
    </row>
    <row r="154" spans="1:7">
      <c r="A154" s="90"/>
      <c r="B154" s="73"/>
      <c r="C154" s="73"/>
      <c r="D154" s="73"/>
      <c r="E154" s="73"/>
      <c r="F154" s="73"/>
      <c r="G154" s="73"/>
    </row>
    <row r="155" spans="1:7">
      <c r="A155" s="90"/>
      <c r="B155" s="73"/>
      <c r="C155" s="73"/>
      <c r="D155" s="73"/>
      <c r="E155" s="73"/>
      <c r="F155" s="73"/>
      <c r="G155" s="73"/>
    </row>
    <row r="156" spans="1:7">
      <c r="A156" s="90"/>
      <c r="B156" s="73"/>
      <c r="C156" s="73"/>
      <c r="D156" s="73"/>
      <c r="E156" s="73"/>
      <c r="F156" s="73"/>
      <c r="G156" s="73"/>
    </row>
    <row r="157" spans="1:7">
      <c r="A157" s="90"/>
      <c r="B157" s="73"/>
      <c r="C157" s="73"/>
      <c r="D157" s="73"/>
      <c r="E157" s="73"/>
      <c r="F157" s="73"/>
      <c r="G157" s="73"/>
    </row>
    <row r="158" spans="1:7">
      <c r="A158" s="90"/>
      <c r="B158" s="73"/>
      <c r="C158" s="73"/>
      <c r="D158" s="73"/>
      <c r="E158" s="73"/>
      <c r="F158" s="73"/>
      <c r="G158" s="73"/>
    </row>
    <row r="159" spans="1:7">
      <c r="A159" s="90"/>
      <c r="B159" s="73"/>
      <c r="C159" s="73"/>
      <c r="D159" s="73"/>
      <c r="E159" s="73"/>
      <c r="F159" s="73"/>
      <c r="G159" s="73"/>
    </row>
    <row r="160" spans="1:7">
      <c r="A160" s="90"/>
      <c r="B160" s="73"/>
      <c r="C160" s="73"/>
      <c r="D160" s="73"/>
      <c r="E160" s="73"/>
      <c r="F160" s="73"/>
      <c r="G160" s="73"/>
    </row>
    <row r="161" spans="1:7">
      <c r="A161" s="90"/>
      <c r="B161" s="73"/>
      <c r="C161" s="73"/>
      <c r="D161" s="73"/>
      <c r="E161" s="73"/>
      <c r="F161" s="73"/>
      <c r="G161" s="73"/>
    </row>
    <row r="162" spans="1:7">
      <c r="A162" s="90"/>
      <c r="B162" s="73"/>
      <c r="C162" s="73"/>
      <c r="D162" s="73"/>
      <c r="E162" s="73"/>
      <c r="F162" s="73"/>
      <c r="G162" s="73"/>
    </row>
    <row r="163" spans="1:7">
      <c r="A163" s="90"/>
      <c r="B163" s="73"/>
      <c r="C163" s="73"/>
      <c r="D163" s="73"/>
      <c r="E163" s="73"/>
      <c r="F163" s="73"/>
      <c r="G163" s="73"/>
    </row>
    <row r="164" spans="1:7">
      <c r="A164" s="90"/>
      <c r="B164" s="73"/>
      <c r="C164" s="73"/>
      <c r="D164" s="73"/>
      <c r="E164" s="73"/>
      <c r="F164" s="73"/>
      <c r="G164" s="73"/>
    </row>
    <row r="165" spans="1:7">
      <c r="A165" s="90"/>
      <c r="B165" s="73"/>
      <c r="C165" s="73"/>
      <c r="D165" s="73"/>
      <c r="E165" s="73"/>
      <c r="F165" s="73"/>
      <c r="G165" s="73"/>
    </row>
    <row r="166" spans="1:7">
      <c r="A166" s="90"/>
      <c r="B166" s="73"/>
      <c r="C166" s="73"/>
      <c r="D166" s="73"/>
      <c r="E166" s="73"/>
      <c r="F166" s="73"/>
      <c r="G166" s="73"/>
    </row>
    <row r="167" spans="1:7">
      <c r="A167" s="90"/>
      <c r="B167" s="73"/>
      <c r="C167" s="73"/>
      <c r="D167" s="73"/>
      <c r="E167" s="73"/>
      <c r="F167" s="73"/>
      <c r="G167" s="73"/>
    </row>
    <row r="168" spans="1:7">
      <c r="A168" s="90"/>
      <c r="B168" s="73"/>
      <c r="C168" s="73"/>
      <c r="D168" s="73"/>
      <c r="E168" s="73"/>
      <c r="F168" s="73"/>
      <c r="G168" s="73"/>
    </row>
    <row r="169" spans="1:7">
      <c r="A169" s="90"/>
      <c r="B169" s="73"/>
      <c r="C169" s="73"/>
      <c r="D169" s="73"/>
      <c r="E169" s="73"/>
      <c r="F169" s="73"/>
      <c r="G169" s="73"/>
    </row>
    <row r="170" spans="1:7">
      <c r="A170" s="90"/>
      <c r="B170" s="73"/>
      <c r="C170" s="73"/>
      <c r="D170" s="73"/>
      <c r="E170" s="73"/>
      <c r="F170" s="73"/>
      <c r="G170" s="73"/>
    </row>
    <row r="171" spans="1:7">
      <c r="A171" s="90"/>
      <c r="B171" s="73"/>
      <c r="C171" s="73"/>
      <c r="D171" s="73"/>
      <c r="E171" s="73"/>
      <c r="F171" s="73"/>
      <c r="G171" s="73"/>
    </row>
    <row r="172" spans="1:7">
      <c r="A172" s="90"/>
      <c r="B172" s="73"/>
      <c r="C172" s="73"/>
      <c r="D172" s="73"/>
      <c r="E172" s="73"/>
      <c r="F172" s="73"/>
      <c r="G172" s="73"/>
    </row>
    <row r="173" spans="1:7">
      <c r="A173" s="90"/>
      <c r="B173" s="73"/>
      <c r="C173" s="73"/>
      <c r="D173" s="73"/>
      <c r="E173" s="73"/>
      <c r="F173" s="73"/>
      <c r="G173" s="73"/>
    </row>
    <row r="174" spans="1:7">
      <c r="A174" s="90"/>
      <c r="B174" s="73"/>
      <c r="C174" s="73"/>
      <c r="D174" s="73"/>
      <c r="E174" s="73"/>
      <c r="F174" s="73"/>
      <c r="G174" s="73"/>
    </row>
    <row r="175" spans="1:7">
      <c r="A175" s="90"/>
      <c r="B175" s="73"/>
      <c r="C175" s="73"/>
      <c r="D175" s="73"/>
      <c r="E175" s="73"/>
      <c r="F175" s="73"/>
      <c r="G175" s="73"/>
    </row>
    <row r="176" spans="1:7">
      <c r="A176" s="90"/>
      <c r="B176" s="73"/>
      <c r="C176" s="73"/>
      <c r="D176" s="73"/>
      <c r="E176" s="73"/>
      <c r="F176" s="73"/>
      <c r="G176" s="73"/>
    </row>
    <row r="177" spans="1:7">
      <c r="A177" s="90"/>
      <c r="B177" s="73"/>
      <c r="C177" s="73"/>
      <c r="D177" s="73"/>
      <c r="E177" s="73"/>
      <c r="F177" s="73"/>
      <c r="G177" s="73"/>
    </row>
    <row r="178" spans="1:7">
      <c r="A178" s="90"/>
      <c r="B178" s="73"/>
      <c r="C178" s="73"/>
      <c r="D178" s="73"/>
      <c r="E178" s="73"/>
      <c r="F178" s="73"/>
      <c r="G178" s="73"/>
    </row>
    <row r="179" spans="1:7">
      <c r="A179" s="90"/>
      <c r="B179" s="73"/>
      <c r="C179" s="73"/>
      <c r="D179" s="73"/>
      <c r="E179" s="73"/>
      <c r="F179" s="73"/>
      <c r="G179" s="73"/>
    </row>
    <row r="180" spans="1:7">
      <c r="A180" s="90"/>
      <c r="B180" s="73"/>
      <c r="C180" s="73"/>
      <c r="D180" s="73"/>
      <c r="E180" s="73"/>
      <c r="F180" s="73"/>
      <c r="G180" s="73"/>
    </row>
    <row r="181" spans="1:7">
      <c r="A181" s="90"/>
      <c r="B181" s="73"/>
      <c r="C181" s="73"/>
      <c r="D181" s="73"/>
      <c r="E181" s="73"/>
      <c r="F181" s="73"/>
      <c r="G181" s="73"/>
    </row>
    <row r="182" spans="1:7">
      <c r="A182" s="90"/>
      <c r="B182" s="73"/>
      <c r="C182" s="73"/>
      <c r="D182" s="73"/>
      <c r="E182" s="73"/>
      <c r="F182" s="73"/>
      <c r="G182" s="73"/>
    </row>
    <row r="183" spans="1:7">
      <c r="A183" s="90"/>
      <c r="B183" s="73"/>
      <c r="C183" s="73"/>
      <c r="D183" s="73"/>
      <c r="E183" s="73"/>
      <c r="F183" s="73"/>
      <c r="G183" s="73"/>
    </row>
    <row r="184" spans="1:7">
      <c r="A184" s="90"/>
      <c r="B184" s="73"/>
      <c r="C184" s="73"/>
      <c r="D184" s="73"/>
      <c r="E184" s="73"/>
      <c r="F184" s="73"/>
      <c r="G184" s="73"/>
    </row>
    <row r="185" spans="1:7">
      <c r="A185" s="90"/>
      <c r="B185" s="73"/>
      <c r="C185" s="73"/>
      <c r="D185" s="73"/>
      <c r="E185" s="73"/>
      <c r="F185" s="73"/>
      <c r="G185" s="73"/>
    </row>
    <row r="186" spans="1:7">
      <c r="A186" s="90"/>
      <c r="B186" s="73"/>
      <c r="C186" s="73"/>
      <c r="D186" s="73"/>
      <c r="E186" s="73"/>
      <c r="F186" s="73"/>
      <c r="G186" s="73"/>
    </row>
  </sheetData>
  <mergeCells count="20">
    <mergeCell ref="C13:G13"/>
    <mergeCell ref="C14:G14"/>
    <mergeCell ref="C12:F12"/>
    <mergeCell ref="A9:B9"/>
    <mergeCell ref="A11:B11"/>
    <mergeCell ref="C11:F11"/>
    <mergeCell ref="A12:B12"/>
    <mergeCell ref="A13:B13"/>
    <mergeCell ref="A14:B14"/>
    <mergeCell ref="A1:G1"/>
    <mergeCell ref="A2:G2"/>
    <mergeCell ref="A3:G4"/>
    <mergeCell ref="A5:G5"/>
    <mergeCell ref="A7:B7"/>
    <mergeCell ref="C7:F7"/>
    <mergeCell ref="A8:B8"/>
    <mergeCell ref="C8:F8"/>
    <mergeCell ref="C9:F9"/>
    <mergeCell ref="A10:B10"/>
    <mergeCell ref="C10:F10"/>
  </mergeCells>
  <printOptions horizontalCentered="1"/>
  <pageMargins left="0.3" right="0.3" top="0.55000000000000004" bottom="0.55000000000000004" header="0.3" footer="0.3"/>
  <pageSetup paperSize="9" scale="70" fitToHeight="2"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H65"/>
  <sheetViews>
    <sheetView tabSelected="1" view="pageBreakPreview" zoomScaleNormal="100" zoomScaleSheetLayoutView="100" workbookViewId="0">
      <selection sqref="A1:E1"/>
    </sheetView>
  </sheetViews>
  <sheetFormatPr defaultColWidth="9.26953125" defaultRowHeight="14.5"/>
  <cols>
    <col min="1" max="1" width="9.26953125" style="10"/>
    <col min="2" max="2" width="56.7265625" style="10" customWidth="1"/>
    <col min="3" max="3" width="14.26953125" style="10" customWidth="1"/>
    <col min="4" max="5" width="25.26953125" style="10" customWidth="1"/>
    <col min="6" max="16384" width="9.26953125" style="69"/>
  </cols>
  <sheetData>
    <row r="1" spans="1:8" ht="23.25" customHeight="1">
      <c r="A1" s="444" t="s">
        <v>217</v>
      </c>
      <c r="B1" s="444"/>
      <c r="C1" s="444"/>
      <c r="D1" s="444"/>
      <c r="E1" s="444"/>
    </row>
    <row r="2" spans="1:8" ht="27" customHeight="1">
      <c r="A2" s="425" t="s">
        <v>930</v>
      </c>
      <c r="B2" s="425"/>
      <c r="C2" s="425"/>
      <c r="D2" s="425"/>
      <c r="E2" s="425"/>
    </row>
    <row r="3" spans="1:8" ht="15" customHeight="1">
      <c r="A3" s="426" t="s">
        <v>219</v>
      </c>
      <c r="B3" s="426"/>
      <c r="C3" s="426"/>
      <c r="D3" s="426"/>
      <c r="E3" s="426"/>
    </row>
    <row r="4" spans="1:8">
      <c r="A4" s="426"/>
      <c r="B4" s="426"/>
      <c r="C4" s="426"/>
      <c r="D4" s="426"/>
      <c r="E4" s="426"/>
    </row>
    <row r="5" spans="1:8" s="176" customFormat="1">
      <c r="A5" s="461" t="s">
        <v>977</v>
      </c>
      <c r="B5" s="461"/>
      <c r="C5" s="461"/>
      <c r="D5" s="461"/>
      <c r="E5" s="461"/>
    </row>
    <row r="6" spans="1:8">
      <c r="A6" s="18"/>
      <c r="B6" s="18"/>
      <c r="C6" s="18"/>
      <c r="D6" s="18"/>
      <c r="E6" s="18"/>
    </row>
    <row r="7" spans="1:8" ht="15" customHeight="1">
      <c r="A7" s="445" t="s">
        <v>454</v>
      </c>
      <c r="B7" s="445"/>
      <c r="C7" s="446" t="s">
        <v>464</v>
      </c>
      <c r="D7" s="446"/>
      <c r="E7" s="446"/>
    </row>
    <row r="8" spans="1:8" ht="15" customHeight="1">
      <c r="A8" s="448" t="s">
        <v>932</v>
      </c>
      <c r="B8" s="448"/>
      <c r="C8" s="458" t="s">
        <v>598</v>
      </c>
      <c r="D8" s="458"/>
      <c r="E8" s="458"/>
    </row>
    <row r="9" spans="1:8" ht="15" customHeight="1">
      <c r="A9" s="445" t="s">
        <v>455</v>
      </c>
      <c r="B9" s="445"/>
      <c r="C9" s="446" t="s">
        <v>958</v>
      </c>
      <c r="D9" s="446"/>
      <c r="E9" s="446"/>
    </row>
    <row r="10" spans="1:8" ht="15" customHeight="1">
      <c r="A10" s="449" t="s">
        <v>457</v>
      </c>
      <c r="B10" s="449"/>
      <c r="C10" s="458" t="s">
        <v>458</v>
      </c>
      <c r="D10" s="458"/>
      <c r="E10" s="458"/>
    </row>
    <row r="11" spans="1:8" ht="15" customHeight="1">
      <c r="A11" s="445" t="s">
        <v>391</v>
      </c>
      <c r="B11" s="445"/>
      <c r="C11" s="446" t="s">
        <v>489</v>
      </c>
      <c r="D11" s="446"/>
      <c r="E11" s="446"/>
    </row>
    <row r="12" spans="1:8" ht="15" customHeight="1">
      <c r="A12" s="450" t="s">
        <v>389</v>
      </c>
      <c r="B12" s="450"/>
      <c r="C12" s="458" t="s">
        <v>488</v>
      </c>
      <c r="D12" s="458"/>
      <c r="E12" s="458"/>
    </row>
    <row r="13" spans="1:8" ht="15" customHeight="1">
      <c r="A13" s="446" t="s">
        <v>138</v>
      </c>
      <c r="B13" s="446"/>
      <c r="C13" s="412" t="s">
        <v>1018</v>
      </c>
      <c r="D13" s="413"/>
      <c r="E13" s="413"/>
      <c r="F13" s="413"/>
      <c r="G13" s="413"/>
      <c r="H13" s="413"/>
    </row>
    <row r="14" spans="1:8">
      <c r="A14" s="447" t="s">
        <v>139</v>
      </c>
      <c r="B14" s="447"/>
      <c r="C14" s="414">
        <v>43655</v>
      </c>
      <c r="D14" s="414"/>
      <c r="E14" s="414"/>
      <c r="F14" s="414"/>
      <c r="G14" s="414"/>
      <c r="H14" s="414"/>
    </row>
    <row r="15" spans="1:8">
      <c r="A15" s="72"/>
      <c r="B15" s="72"/>
      <c r="C15" s="72"/>
      <c r="D15" s="72"/>
      <c r="E15" s="72"/>
    </row>
    <row r="16" spans="1:8">
      <c r="A16" s="157" t="s">
        <v>116</v>
      </c>
      <c r="B16" s="158" t="s">
        <v>478</v>
      </c>
      <c r="C16" s="72"/>
      <c r="D16" s="72"/>
      <c r="E16" s="72"/>
    </row>
    <row r="17" spans="1:5" s="92" customFormat="1" ht="55.5" customHeight="1">
      <c r="A17" s="96" t="s">
        <v>287</v>
      </c>
      <c r="B17" s="96" t="s">
        <v>313</v>
      </c>
      <c r="C17" s="96" t="s">
        <v>314</v>
      </c>
      <c r="D17" s="96" t="s">
        <v>980</v>
      </c>
      <c r="E17" s="264" t="s">
        <v>968</v>
      </c>
    </row>
    <row r="18" spans="1:5" s="92" customFormat="1" ht="32.25" customHeight="1">
      <c r="A18" s="86" t="s">
        <v>43</v>
      </c>
      <c r="B18" s="391" t="s">
        <v>315</v>
      </c>
      <c r="C18" s="99">
        <v>2264</v>
      </c>
      <c r="D18" s="100"/>
      <c r="E18" s="265"/>
    </row>
    <row r="19" spans="1:5" s="92" customFormat="1" ht="48" customHeight="1">
      <c r="A19" s="404">
        <v>1</v>
      </c>
      <c r="B19" s="392" t="s">
        <v>316</v>
      </c>
      <c r="C19" s="98">
        <v>2265</v>
      </c>
      <c r="D19" s="393">
        <v>1.9448815826312492E-2</v>
      </c>
      <c r="E19" s="405">
        <v>1.9235329136937734E-2</v>
      </c>
    </row>
    <row r="20" spans="1:5" s="92" customFormat="1" ht="48.75" customHeight="1">
      <c r="A20" s="404">
        <v>2</v>
      </c>
      <c r="B20" s="392" t="s">
        <v>317</v>
      </c>
      <c r="C20" s="98">
        <v>2266</v>
      </c>
      <c r="D20" s="393">
        <v>9.3840494930924319E-4</v>
      </c>
      <c r="E20" s="393">
        <v>8.6937775533070419E-4</v>
      </c>
    </row>
    <row r="21" spans="1:5" s="92" customFormat="1" ht="72" customHeight="1">
      <c r="A21" s="404">
        <v>3</v>
      </c>
      <c r="B21" s="392" t="s">
        <v>318</v>
      </c>
      <c r="C21" s="98">
        <v>22661</v>
      </c>
      <c r="D21" s="393">
        <v>4.0393862980988074E-4</v>
      </c>
      <c r="E21" s="393">
        <v>3.9250223078041824E-4</v>
      </c>
    </row>
    <row r="22" spans="1:5" s="92" customFormat="1" ht="46.5" customHeight="1">
      <c r="A22" s="404">
        <v>4</v>
      </c>
      <c r="B22" s="392" t="s">
        <v>319</v>
      </c>
      <c r="C22" s="98">
        <v>2267</v>
      </c>
      <c r="D22" s="393">
        <v>1.777946301521935E-4</v>
      </c>
      <c r="E22" s="393">
        <v>1.7778042984873223E-4</v>
      </c>
    </row>
    <row r="23" spans="1:5" s="92" customFormat="1" ht="81" customHeight="1">
      <c r="A23" s="404">
        <v>5</v>
      </c>
      <c r="B23" s="392" t="s">
        <v>320</v>
      </c>
      <c r="C23" s="98">
        <v>2268</v>
      </c>
      <c r="D23" s="393">
        <v>2.0216555403718381E-4</v>
      </c>
      <c r="E23" s="393">
        <v>2.0276245696687322E-4</v>
      </c>
    </row>
    <row r="24" spans="1:5" s="92" customFormat="1" ht="31.5" customHeight="1">
      <c r="A24" s="404">
        <v>6</v>
      </c>
      <c r="B24" s="394" t="s">
        <v>321</v>
      </c>
      <c r="C24" s="228">
        <v>2269</v>
      </c>
      <c r="D24" s="395">
        <v>2.1132776616329979E-2</v>
      </c>
      <c r="E24" s="393">
        <v>2.0987355873062177E-2</v>
      </c>
    </row>
    <row r="25" spans="1:5" s="92" customFormat="1" ht="68.25" customHeight="1">
      <c r="A25" s="404">
        <v>7</v>
      </c>
      <c r="B25" s="392" t="s">
        <v>963</v>
      </c>
      <c r="C25" s="98">
        <v>2270</v>
      </c>
      <c r="D25" s="395">
        <v>0.55649495479055289</v>
      </c>
      <c r="E25" s="395">
        <v>1.1825718836336325</v>
      </c>
    </row>
    <row r="26" spans="1:5" s="92" customFormat="1" ht="31.5" customHeight="1">
      <c r="A26" s="86" t="s">
        <v>49</v>
      </c>
      <c r="B26" s="391" t="s">
        <v>322</v>
      </c>
      <c r="C26" s="99">
        <v>2272</v>
      </c>
      <c r="D26" s="396"/>
      <c r="E26" s="396"/>
    </row>
    <row r="27" spans="1:5" s="92" customFormat="1" ht="45" customHeight="1">
      <c r="A27" s="460">
        <v>1</v>
      </c>
      <c r="B27" s="392" t="s">
        <v>323</v>
      </c>
      <c r="C27" s="98">
        <v>2273</v>
      </c>
      <c r="D27" s="397">
        <v>281776056399.99963</v>
      </c>
      <c r="E27" s="398">
        <v>295584755299.99963</v>
      </c>
    </row>
    <row r="28" spans="1:5" s="92" customFormat="1" ht="42.75" customHeight="1">
      <c r="A28" s="460"/>
      <c r="B28" s="392" t="s">
        <v>324</v>
      </c>
      <c r="C28" s="98">
        <v>2274</v>
      </c>
      <c r="D28" s="397">
        <v>281776056399.99957</v>
      </c>
      <c r="E28" s="398">
        <v>295584755299.99957</v>
      </c>
    </row>
    <row r="29" spans="1:5" s="92" customFormat="1" ht="43.5" customHeight="1">
      <c r="A29" s="460"/>
      <c r="B29" s="392" t="s">
        <v>325</v>
      </c>
      <c r="C29" s="98">
        <v>2275</v>
      </c>
      <c r="D29" s="399">
        <v>28177605.639999956</v>
      </c>
      <c r="E29" s="400">
        <v>29558475.529999956</v>
      </c>
    </row>
    <row r="30" spans="1:5" s="92" customFormat="1" ht="45" customHeight="1">
      <c r="A30" s="460">
        <v>2</v>
      </c>
      <c r="B30" s="392" t="s">
        <v>326</v>
      </c>
      <c r="C30" s="98">
        <v>2276</v>
      </c>
      <c r="D30" s="398">
        <v>-17465211100</v>
      </c>
      <c r="E30" s="398">
        <v>-13808698900</v>
      </c>
    </row>
    <row r="31" spans="1:5" s="92" customFormat="1" ht="43.5" customHeight="1">
      <c r="A31" s="460"/>
      <c r="B31" s="392" t="s">
        <v>934</v>
      </c>
      <c r="C31" s="98" t="s">
        <v>935</v>
      </c>
      <c r="D31" s="401">
        <v>-1746521.1099999999</v>
      </c>
      <c r="E31" s="401">
        <v>-1380869.8900000001</v>
      </c>
    </row>
    <row r="32" spans="1:5" s="92" customFormat="1" ht="43.5" customHeight="1">
      <c r="A32" s="460"/>
      <c r="B32" s="392" t="s">
        <v>936</v>
      </c>
      <c r="C32" s="98" t="s">
        <v>937</v>
      </c>
      <c r="D32" s="397">
        <v>-17465211100</v>
      </c>
      <c r="E32" s="397">
        <v>-13808698900.000002</v>
      </c>
    </row>
    <row r="33" spans="1:5" s="92" customFormat="1" ht="31.5" customHeight="1">
      <c r="A33" s="460"/>
      <c r="B33" s="392" t="s">
        <v>327</v>
      </c>
      <c r="C33" s="98">
        <v>2277</v>
      </c>
      <c r="D33" s="401">
        <v>667116.54</v>
      </c>
      <c r="E33" s="401">
        <v>193527.36</v>
      </c>
    </row>
    <row r="34" spans="1:5" s="92" customFormat="1" ht="32.25" customHeight="1">
      <c r="A34" s="460"/>
      <c r="B34" s="392" t="s">
        <v>328</v>
      </c>
      <c r="C34" s="98">
        <v>2278</v>
      </c>
      <c r="D34" s="397">
        <v>6671165400</v>
      </c>
      <c r="E34" s="397">
        <v>1935273599.9999998</v>
      </c>
    </row>
    <row r="35" spans="1:5" s="92" customFormat="1" ht="32.25" customHeight="1">
      <c r="A35" s="460"/>
      <c r="B35" s="392" t="s">
        <v>329</v>
      </c>
      <c r="C35" s="98">
        <v>22781</v>
      </c>
      <c r="D35" s="401">
        <v>-2413637.65</v>
      </c>
      <c r="E35" s="401">
        <v>-1574397.25</v>
      </c>
    </row>
    <row r="36" spans="1:5" s="92" customFormat="1" ht="44.25" customHeight="1">
      <c r="A36" s="460"/>
      <c r="B36" s="392" t="s">
        <v>330</v>
      </c>
      <c r="C36" s="98">
        <v>22782</v>
      </c>
      <c r="D36" s="397">
        <v>-24136376500</v>
      </c>
      <c r="E36" s="397">
        <v>-15743972500</v>
      </c>
    </row>
    <row r="37" spans="1:5" s="92" customFormat="1" ht="44.25" customHeight="1">
      <c r="A37" s="460">
        <v>3</v>
      </c>
      <c r="B37" s="392" t="s">
        <v>331</v>
      </c>
      <c r="C37" s="228">
        <v>2279</v>
      </c>
      <c r="D37" s="397">
        <v>264310845299.99963</v>
      </c>
      <c r="E37" s="397">
        <v>281776056399.99963</v>
      </c>
    </row>
    <row r="38" spans="1:5" s="92" customFormat="1" ht="42.75" customHeight="1">
      <c r="A38" s="460"/>
      <c r="B38" s="392" t="s">
        <v>332</v>
      </c>
      <c r="C38" s="228">
        <v>2280</v>
      </c>
      <c r="D38" s="397">
        <v>264310845299.99957</v>
      </c>
      <c r="E38" s="397">
        <v>281776056399.99957</v>
      </c>
    </row>
    <row r="39" spans="1:5" s="92" customFormat="1" ht="44.25" customHeight="1">
      <c r="A39" s="460"/>
      <c r="B39" s="392" t="s">
        <v>333</v>
      </c>
      <c r="C39" s="228">
        <v>2281</v>
      </c>
      <c r="D39" s="402">
        <v>26431084.529999956</v>
      </c>
      <c r="E39" s="403">
        <v>28177605.639999956</v>
      </c>
    </row>
    <row r="40" spans="1:5" s="92" customFormat="1" ht="59.25" customHeight="1">
      <c r="A40" s="404">
        <v>4</v>
      </c>
      <c r="B40" s="392" t="s">
        <v>334</v>
      </c>
      <c r="C40" s="228">
        <v>2282</v>
      </c>
      <c r="D40" s="395">
        <v>3.7794005723305824E-2</v>
      </c>
      <c r="E40" s="395">
        <v>1.5299999999999999E-2</v>
      </c>
    </row>
    <row r="41" spans="1:5" s="92" customFormat="1" ht="32.25" customHeight="1">
      <c r="A41" s="404">
        <v>5</v>
      </c>
      <c r="B41" s="392" t="s">
        <v>335</v>
      </c>
      <c r="C41" s="228">
        <v>2283</v>
      </c>
      <c r="D41" s="395">
        <v>0.68459999999999999</v>
      </c>
      <c r="E41" s="395">
        <v>0.62780000000000002</v>
      </c>
    </row>
    <row r="42" spans="1:5" s="92" customFormat="1" ht="32.25" customHeight="1">
      <c r="A42" s="404">
        <v>6</v>
      </c>
      <c r="B42" s="392" t="s">
        <v>336</v>
      </c>
      <c r="C42" s="228">
        <v>2284</v>
      </c>
      <c r="D42" s="395">
        <v>0.5827</v>
      </c>
      <c r="E42" s="395">
        <v>0.5494</v>
      </c>
    </row>
    <row r="43" spans="1:5" s="92" customFormat="1" ht="32.25" customHeight="1">
      <c r="A43" s="404">
        <v>7</v>
      </c>
      <c r="B43" s="392" t="s">
        <v>337</v>
      </c>
      <c r="C43" s="228">
        <v>22841</v>
      </c>
      <c r="D43" s="325">
        <v>3279</v>
      </c>
      <c r="E43" s="325">
        <v>3486</v>
      </c>
    </row>
    <row r="44" spans="1:5" s="92" customFormat="1" ht="32.25" customHeight="1">
      <c r="A44" s="404">
        <v>8</v>
      </c>
      <c r="B44" s="392" t="s">
        <v>585</v>
      </c>
      <c r="C44" s="228">
        <v>2285</v>
      </c>
      <c r="D44" s="399">
        <v>38001.51</v>
      </c>
      <c r="E44" s="399">
        <v>38584.839999999997</v>
      </c>
    </row>
    <row r="45" spans="1:5" s="92" customFormat="1" ht="12.5">
      <c r="A45" s="97"/>
      <c r="B45" s="97"/>
      <c r="C45" s="97"/>
      <c r="D45" s="121"/>
      <c r="E45" s="121"/>
    </row>
    <row r="46" spans="1:5" s="92" customFormat="1" ht="24.75" customHeight="1">
      <c r="A46" s="294" t="s">
        <v>757</v>
      </c>
      <c r="B46" s="21"/>
      <c r="C46" s="21"/>
      <c r="D46" s="23"/>
      <c r="E46" s="21"/>
    </row>
    <row r="47" spans="1:5" s="92" customFormat="1" ht="54.75" customHeight="1">
      <c r="A47" s="462" t="s">
        <v>1026</v>
      </c>
      <c r="B47" s="462"/>
      <c r="C47" s="462"/>
      <c r="D47" s="462"/>
      <c r="E47" s="462"/>
    </row>
    <row r="48" spans="1:5" s="92" customFormat="1" ht="63" customHeight="1">
      <c r="A48" s="462" t="s">
        <v>951</v>
      </c>
      <c r="B48" s="462"/>
      <c r="C48" s="462"/>
      <c r="D48" s="293"/>
      <c r="E48" s="293"/>
    </row>
    <row r="49" spans="1:5" s="92" customFormat="1" ht="12.5">
      <c r="A49" s="42" t="s">
        <v>178</v>
      </c>
      <c r="B49" s="38"/>
      <c r="C49" s="41"/>
      <c r="D49" s="43" t="s">
        <v>179</v>
      </c>
      <c r="E49" s="97"/>
    </row>
    <row r="50" spans="1:5" s="92" customFormat="1" ht="12.5">
      <c r="A50" s="44" t="s">
        <v>180</v>
      </c>
      <c r="B50" s="38"/>
      <c r="C50" s="41"/>
      <c r="D50" s="45" t="s">
        <v>181</v>
      </c>
      <c r="E50" s="97"/>
    </row>
    <row r="51" spans="1:5" s="92" customFormat="1" ht="12.5">
      <c r="A51" s="38"/>
      <c r="B51" s="38"/>
      <c r="C51" s="41"/>
      <c r="D51" s="41"/>
      <c r="E51" s="97"/>
    </row>
    <row r="52" spans="1:5" s="92" customFormat="1" ht="12.5">
      <c r="A52" s="38"/>
      <c r="B52" s="38"/>
      <c r="C52" s="41"/>
      <c r="D52" s="41"/>
      <c r="E52" s="97"/>
    </row>
    <row r="53" spans="1:5" s="92" customFormat="1" ht="12.5">
      <c r="A53" s="38"/>
      <c r="B53" s="38"/>
      <c r="C53" s="41"/>
      <c r="D53" s="41"/>
      <c r="E53" s="97"/>
    </row>
    <row r="54" spans="1:5" s="92" customFormat="1" ht="12.5">
      <c r="A54" s="38"/>
      <c r="B54" s="38"/>
      <c r="C54" s="41"/>
      <c r="D54" s="41"/>
      <c r="E54" s="97"/>
    </row>
    <row r="55" spans="1:5" s="92" customFormat="1" ht="12.5">
      <c r="A55" s="38"/>
      <c r="B55" s="38"/>
      <c r="C55" s="41"/>
      <c r="D55" s="41"/>
      <c r="E55" s="97"/>
    </row>
    <row r="56" spans="1:5" s="92" customFormat="1" ht="12.5">
      <c r="A56" s="38"/>
      <c r="B56" s="38"/>
      <c r="C56" s="41"/>
      <c r="D56" s="41"/>
      <c r="E56" s="97"/>
    </row>
    <row r="57" spans="1:5" s="92" customFormat="1" ht="12.5">
      <c r="A57" s="38"/>
      <c r="B57" s="38"/>
      <c r="C57" s="41"/>
      <c r="D57" s="41"/>
      <c r="E57" s="97"/>
    </row>
    <row r="58" spans="1:5" s="92" customFormat="1" ht="12.5">
      <c r="A58" s="38"/>
      <c r="B58" s="38"/>
      <c r="C58" s="41"/>
      <c r="D58" s="41"/>
      <c r="E58" s="97"/>
    </row>
    <row r="59" spans="1:5" s="92" customFormat="1" ht="12.5">
      <c r="A59" s="38"/>
      <c r="B59" s="38"/>
      <c r="C59" s="41"/>
      <c r="D59" s="41"/>
      <c r="E59" s="97"/>
    </row>
    <row r="60" spans="1:5" s="92" customFormat="1" ht="12.5">
      <c r="A60" s="46"/>
      <c r="B60" s="46"/>
      <c r="C60" s="41"/>
      <c r="D60" s="47"/>
      <c r="E60" s="47"/>
    </row>
    <row r="61" spans="1:5" s="92" customFormat="1" ht="12.5">
      <c r="A61" s="42" t="s">
        <v>182</v>
      </c>
      <c r="B61" s="38"/>
      <c r="C61" s="41"/>
      <c r="D61" s="43" t="s">
        <v>465</v>
      </c>
      <c r="E61" s="97"/>
    </row>
    <row r="62" spans="1:5" s="92" customFormat="1" ht="12.5">
      <c r="A62" s="42" t="s">
        <v>965</v>
      </c>
      <c r="B62" s="38"/>
      <c r="C62" s="41"/>
      <c r="D62" s="43" t="s">
        <v>466</v>
      </c>
      <c r="E62" s="97"/>
    </row>
    <row r="63" spans="1:5" s="92" customFormat="1" ht="12.5">
      <c r="A63" s="38" t="s">
        <v>966</v>
      </c>
      <c r="B63" s="38"/>
      <c r="C63" s="41"/>
      <c r="D63" s="41" t="s">
        <v>467</v>
      </c>
      <c r="E63" s="97"/>
    </row>
    <row r="64" spans="1:5">
      <c r="A64" s="72"/>
      <c r="B64" s="72"/>
      <c r="C64" s="72"/>
      <c r="D64" s="72"/>
      <c r="E64" s="72"/>
    </row>
    <row r="65" spans="1:5">
      <c r="A65" s="72"/>
      <c r="B65" s="72"/>
      <c r="C65" s="72"/>
      <c r="D65" s="72"/>
      <c r="E65" s="72"/>
    </row>
  </sheetData>
  <mergeCells count="26">
    <mergeCell ref="A48:C48"/>
    <mergeCell ref="A1:E1"/>
    <mergeCell ref="A2:E2"/>
    <mergeCell ref="A3:E4"/>
    <mergeCell ref="A37:A39"/>
    <mergeCell ref="A11:B11"/>
    <mergeCell ref="A12:B12"/>
    <mergeCell ref="A13:B13"/>
    <mergeCell ref="A14:B14"/>
    <mergeCell ref="A27:A29"/>
    <mergeCell ref="A7:B7"/>
    <mergeCell ref="A9:B9"/>
    <mergeCell ref="A8:B8"/>
    <mergeCell ref="A10:B10"/>
    <mergeCell ref="A47:E47"/>
    <mergeCell ref="C12:E12"/>
    <mergeCell ref="A30:A32"/>
    <mergeCell ref="A33:A36"/>
    <mergeCell ref="C13:H13"/>
    <mergeCell ref="C14:H14"/>
    <mergeCell ref="A5:E5"/>
    <mergeCell ref="C7:E7"/>
    <mergeCell ref="C9:E9"/>
    <mergeCell ref="C11:E11"/>
    <mergeCell ref="C8:E8"/>
    <mergeCell ref="C10:E10"/>
  </mergeCells>
  <printOptions horizontalCentered="1"/>
  <pageMargins left="0.3" right="0.3" top="0.5" bottom="0.5" header="0.3" footer="0.3"/>
  <pageSetup paperSize="9" scale="76" fitToHeight="2" orientation="portrait" r:id="rId1"/>
  <rowBreaks count="1" manualBreakCount="1">
    <brk id="36" max="4"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I53"/>
  <sheetViews>
    <sheetView view="pageBreakPreview" topLeftCell="A22" zoomScaleNormal="100" zoomScaleSheetLayoutView="100" workbookViewId="0">
      <selection activeCell="C25" sqref="C25"/>
    </sheetView>
  </sheetViews>
  <sheetFormatPr defaultColWidth="9.26953125" defaultRowHeight="12.5"/>
  <cols>
    <col min="1" max="1" width="3.81640625" style="13" customWidth="1"/>
    <col min="2" max="2" width="4.26953125" style="13" customWidth="1"/>
    <col min="3" max="3" width="52.54296875" customWidth="1"/>
    <col min="4" max="4" width="11.7265625" customWidth="1"/>
    <col min="5" max="6" width="25.7265625" customWidth="1"/>
    <col min="7" max="16384" width="9.26953125" style="29"/>
  </cols>
  <sheetData>
    <row r="1" spans="1:9" ht="24.75" customHeight="1">
      <c r="A1" s="444" t="s">
        <v>308</v>
      </c>
      <c r="B1" s="444"/>
      <c r="C1" s="444"/>
      <c r="D1" s="444"/>
      <c r="E1" s="444"/>
      <c r="F1" s="444"/>
    </row>
    <row r="2" spans="1:9" ht="26.25" customHeight="1">
      <c r="A2" s="425" t="s">
        <v>930</v>
      </c>
      <c r="B2" s="425"/>
      <c r="C2" s="425"/>
      <c r="D2" s="425"/>
      <c r="E2" s="425"/>
      <c r="F2" s="425"/>
    </row>
    <row r="3" spans="1:9" ht="12.75" customHeight="1">
      <c r="A3" s="466" t="s">
        <v>933</v>
      </c>
      <c r="B3" s="466"/>
      <c r="C3" s="466"/>
      <c r="D3" s="466"/>
      <c r="E3" s="466"/>
      <c r="F3" s="466"/>
    </row>
    <row r="4" spans="1:9" ht="22.5" customHeight="1">
      <c r="A4" s="466"/>
      <c r="B4" s="466"/>
      <c r="C4" s="466"/>
      <c r="D4" s="466"/>
      <c r="E4" s="466"/>
      <c r="F4" s="466"/>
    </row>
    <row r="5" spans="1:9">
      <c r="A5" s="427" t="s">
        <v>977</v>
      </c>
      <c r="B5" s="427"/>
      <c r="C5" s="427"/>
      <c r="D5" s="427"/>
      <c r="E5" s="427"/>
      <c r="F5" s="427"/>
    </row>
    <row r="6" spans="1:9">
      <c r="A6" s="18"/>
      <c r="B6" s="18"/>
      <c r="C6" s="18"/>
      <c r="D6" s="18"/>
      <c r="E6" s="18"/>
      <c r="F6" s="21"/>
    </row>
    <row r="7" spans="1:9" ht="12.75" customHeight="1">
      <c r="A7" s="445" t="s">
        <v>454</v>
      </c>
      <c r="B7" s="445"/>
      <c r="C7" s="445"/>
      <c r="D7" s="446" t="s">
        <v>464</v>
      </c>
      <c r="E7" s="446"/>
      <c r="F7" s="446"/>
    </row>
    <row r="8" spans="1:9" ht="12.75" customHeight="1">
      <c r="A8" s="448" t="s">
        <v>932</v>
      </c>
      <c r="B8" s="448"/>
      <c r="C8" s="448"/>
      <c r="D8" s="458" t="s">
        <v>598</v>
      </c>
      <c r="E8" s="458"/>
      <c r="F8" s="458"/>
    </row>
    <row r="9" spans="1:9" ht="12.75" customHeight="1">
      <c r="A9" s="445" t="s">
        <v>455</v>
      </c>
      <c r="B9" s="445"/>
      <c r="C9" s="445"/>
      <c r="D9" s="446" t="s">
        <v>958</v>
      </c>
      <c r="E9" s="446"/>
      <c r="F9" s="446"/>
    </row>
    <row r="10" spans="1:9" ht="12.75" customHeight="1">
      <c r="A10" s="449" t="s">
        <v>457</v>
      </c>
      <c r="B10" s="449"/>
      <c r="C10" s="449"/>
      <c r="D10" s="458" t="s">
        <v>458</v>
      </c>
      <c r="E10" s="458"/>
      <c r="F10" s="458"/>
    </row>
    <row r="11" spans="1:9" ht="12.75" customHeight="1">
      <c r="A11" s="445" t="s">
        <v>391</v>
      </c>
      <c r="B11" s="445"/>
      <c r="C11" s="445"/>
      <c r="D11" s="446" t="s">
        <v>489</v>
      </c>
      <c r="E11" s="446"/>
      <c r="F11" s="446"/>
    </row>
    <row r="12" spans="1:9" ht="12.75" customHeight="1">
      <c r="A12" s="450" t="s">
        <v>389</v>
      </c>
      <c r="B12" s="450"/>
      <c r="C12" s="450"/>
      <c r="D12" s="458" t="s">
        <v>488</v>
      </c>
      <c r="E12" s="458"/>
      <c r="F12" s="458"/>
    </row>
    <row r="13" spans="1:9" ht="14.25" customHeight="1">
      <c r="A13" s="446" t="s">
        <v>138</v>
      </c>
      <c r="B13" s="446"/>
      <c r="C13" s="446"/>
      <c r="D13" s="412" t="s">
        <v>1018</v>
      </c>
      <c r="E13" s="413"/>
      <c r="F13" s="413"/>
      <c r="G13" s="413"/>
      <c r="H13" s="413"/>
      <c r="I13" s="413"/>
    </row>
    <row r="14" spans="1:9">
      <c r="A14" s="152" t="s">
        <v>139</v>
      </c>
      <c r="B14" s="152"/>
      <c r="C14" s="154"/>
      <c r="D14" s="414">
        <v>43655</v>
      </c>
      <c r="E14" s="414"/>
      <c r="F14" s="414"/>
      <c r="G14" s="414"/>
      <c r="H14" s="414"/>
      <c r="I14" s="414"/>
    </row>
    <row r="15" spans="1:9">
      <c r="A15" s="94"/>
      <c r="B15" s="94"/>
      <c r="C15" s="27"/>
      <c r="D15" s="27"/>
      <c r="E15" s="27"/>
      <c r="F15" s="27"/>
    </row>
    <row r="16" spans="1:9" s="36" customFormat="1" ht="58.5" customHeight="1">
      <c r="A16" s="463" t="s">
        <v>220</v>
      </c>
      <c r="B16" s="463"/>
      <c r="C16" s="406" t="s">
        <v>309</v>
      </c>
      <c r="D16" s="349" t="s">
        <v>141</v>
      </c>
      <c r="E16" s="349" t="s">
        <v>980</v>
      </c>
      <c r="F16" s="349" t="s">
        <v>968</v>
      </c>
    </row>
    <row r="17" spans="1:6" s="36" customFormat="1" ht="39" customHeight="1">
      <c r="A17" s="231" t="s">
        <v>43</v>
      </c>
      <c r="B17" s="231"/>
      <c r="C17" s="409" t="s">
        <v>310</v>
      </c>
      <c r="D17" s="231">
        <v>4060</v>
      </c>
      <c r="E17" s="407">
        <v>1087228467993</v>
      </c>
      <c r="F17" s="407">
        <v>1089016862195</v>
      </c>
    </row>
    <row r="18" spans="1:6" s="36" customFormat="1" ht="57" customHeight="1">
      <c r="A18" s="231" t="s">
        <v>49</v>
      </c>
      <c r="B18" s="231"/>
      <c r="C18" s="409" t="s">
        <v>1032</v>
      </c>
      <c r="D18" s="231">
        <v>4061</v>
      </c>
      <c r="E18" s="407">
        <v>-15625578210</v>
      </c>
      <c r="F18" s="407">
        <v>50355115887</v>
      </c>
    </row>
    <row r="19" spans="1:6" s="36" customFormat="1" ht="60" customHeight="1">
      <c r="A19" s="464"/>
      <c r="B19" s="37" t="s">
        <v>100</v>
      </c>
      <c r="C19" s="410" t="s">
        <v>1033</v>
      </c>
      <c r="D19" s="30">
        <v>4062</v>
      </c>
      <c r="E19" s="343">
        <v>-15625578210</v>
      </c>
      <c r="F19" s="343">
        <v>50355115887</v>
      </c>
    </row>
    <row r="20" spans="1:6" s="36" customFormat="1" ht="59.25" customHeight="1">
      <c r="A20" s="465"/>
      <c r="B20" s="37" t="s">
        <v>102</v>
      </c>
      <c r="C20" s="410" t="s">
        <v>1034</v>
      </c>
      <c r="D20" s="30">
        <v>4063</v>
      </c>
      <c r="E20" s="343">
        <v>0</v>
      </c>
      <c r="F20" s="343">
        <v>0</v>
      </c>
    </row>
    <row r="21" spans="1:6" s="36" customFormat="1" ht="57.75" customHeight="1">
      <c r="A21" s="231" t="s">
        <v>115</v>
      </c>
      <c r="B21" s="231"/>
      <c r="C21" s="409" t="s">
        <v>1035</v>
      </c>
      <c r="D21" s="231">
        <v>4064</v>
      </c>
      <c r="E21" s="407">
        <v>-67181620752</v>
      </c>
      <c r="F21" s="407">
        <v>-52143510089</v>
      </c>
    </row>
    <row r="22" spans="1:6" s="36" customFormat="1" ht="31.5" customHeight="1">
      <c r="A22" s="464"/>
      <c r="B22" s="30" t="s">
        <v>122</v>
      </c>
      <c r="C22" s="410" t="s">
        <v>311</v>
      </c>
      <c r="D22" s="30">
        <v>4065</v>
      </c>
      <c r="E22" s="343">
        <v>25372298072</v>
      </c>
      <c r="F22" s="343">
        <v>7377618797</v>
      </c>
    </row>
    <row r="23" spans="1:6" s="36" customFormat="1" ht="31.5" customHeight="1">
      <c r="A23" s="465"/>
      <c r="B23" s="30" t="s">
        <v>123</v>
      </c>
      <c r="C23" s="410" t="s">
        <v>312</v>
      </c>
      <c r="D23" s="30">
        <v>4066</v>
      </c>
      <c r="E23" s="343">
        <v>-92553918824</v>
      </c>
      <c r="F23" s="343">
        <v>-59521128886</v>
      </c>
    </row>
    <row r="24" spans="1:6" s="36" customFormat="1" ht="43.5" customHeight="1">
      <c r="A24" s="231" t="s">
        <v>116</v>
      </c>
      <c r="B24" s="231"/>
      <c r="C24" s="409" t="s">
        <v>1036</v>
      </c>
      <c r="D24" s="231">
        <v>4067</v>
      </c>
      <c r="E24" s="407">
        <v>1004421269031</v>
      </c>
      <c r="F24" s="407">
        <v>1087228467993</v>
      </c>
    </row>
    <row r="25" spans="1:6" s="36" customFormat="1" ht="25">
      <c r="A25" s="297" t="s">
        <v>119</v>
      </c>
      <c r="B25" s="297"/>
      <c r="C25" s="411" t="s">
        <v>1037</v>
      </c>
      <c r="D25" s="297">
        <v>4067.1</v>
      </c>
      <c r="E25" s="408">
        <v>38001.51</v>
      </c>
      <c r="F25" s="408">
        <v>38584.839999999997</v>
      </c>
    </row>
    <row r="26" spans="1:6" s="36" customFormat="1">
      <c r="A26" s="95"/>
      <c r="B26" s="95"/>
      <c r="C26" s="21"/>
      <c r="D26" s="21"/>
      <c r="E26" s="21"/>
      <c r="F26" s="21"/>
    </row>
    <row r="27" spans="1:6" s="36" customFormat="1">
      <c r="A27" s="95"/>
      <c r="B27" s="95"/>
      <c r="C27" s="21"/>
      <c r="D27" s="21"/>
      <c r="E27" s="21"/>
      <c r="F27" s="21"/>
    </row>
    <row r="28" spans="1:6" s="36" customFormat="1">
      <c r="A28" s="95"/>
      <c r="B28" s="95"/>
      <c r="C28" s="21"/>
      <c r="D28" s="21"/>
      <c r="E28" s="21"/>
      <c r="F28" s="21"/>
    </row>
    <row r="29" spans="1:6" s="36" customFormat="1">
      <c r="A29" s="42" t="s">
        <v>178</v>
      </c>
      <c r="B29" s="38"/>
      <c r="C29" s="41"/>
      <c r="D29" s="38"/>
      <c r="E29" s="43" t="s">
        <v>179</v>
      </c>
      <c r="F29" s="21"/>
    </row>
    <row r="30" spans="1:6" s="36" customFormat="1">
      <c r="A30" s="44" t="s">
        <v>180</v>
      </c>
      <c r="B30" s="38"/>
      <c r="C30" s="41"/>
      <c r="D30" s="38"/>
      <c r="E30" s="45" t="s">
        <v>181</v>
      </c>
      <c r="F30" s="21"/>
    </row>
    <row r="31" spans="1:6" s="36" customFormat="1">
      <c r="A31" s="38"/>
      <c r="B31" s="38"/>
      <c r="C31" s="41"/>
      <c r="D31" s="38"/>
      <c r="E31" s="41"/>
      <c r="F31" s="21"/>
    </row>
    <row r="32" spans="1:6" s="36" customFormat="1">
      <c r="A32" s="38"/>
      <c r="B32" s="38"/>
      <c r="C32" s="41"/>
      <c r="D32" s="38"/>
      <c r="E32" s="41"/>
      <c r="F32" s="21"/>
    </row>
    <row r="33" spans="1:6" s="36" customFormat="1">
      <c r="A33" s="38"/>
      <c r="B33" s="38"/>
      <c r="C33" s="41"/>
      <c r="D33" s="38"/>
      <c r="E33" s="41"/>
      <c r="F33" s="21"/>
    </row>
    <row r="34" spans="1:6" s="36" customFormat="1">
      <c r="A34" s="38"/>
      <c r="B34" s="38"/>
      <c r="C34" s="41"/>
      <c r="D34" s="38"/>
      <c r="E34" s="41"/>
      <c r="F34" s="21"/>
    </row>
    <row r="35" spans="1:6" s="36" customFormat="1">
      <c r="A35" s="38"/>
      <c r="B35" s="38"/>
      <c r="C35" s="41"/>
      <c r="D35" s="38"/>
      <c r="E35" s="41"/>
      <c r="F35" s="21"/>
    </row>
    <row r="36" spans="1:6" s="36" customFormat="1">
      <c r="A36" s="38"/>
      <c r="B36" s="38"/>
      <c r="C36" s="41"/>
      <c r="D36" s="38"/>
      <c r="E36" s="41"/>
      <c r="F36" s="21"/>
    </row>
    <row r="37" spans="1:6" s="36" customFormat="1">
      <c r="A37" s="38"/>
      <c r="B37" s="38"/>
      <c r="C37" s="41"/>
      <c r="D37" s="38"/>
      <c r="E37" s="41"/>
      <c r="F37" s="21"/>
    </row>
    <row r="38" spans="1:6" s="36" customFormat="1">
      <c r="A38" s="38"/>
      <c r="B38" s="38"/>
      <c r="C38" s="41"/>
      <c r="D38" s="38"/>
      <c r="E38" s="41"/>
      <c r="F38" s="21"/>
    </row>
    <row r="39" spans="1:6">
      <c r="A39" s="38"/>
      <c r="B39" s="38"/>
      <c r="C39" s="41"/>
      <c r="D39" s="38"/>
      <c r="E39" s="41"/>
      <c r="F39" s="27"/>
    </row>
    <row r="40" spans="1:6">
      <c r="A40" s="46"/>
      <c r="B40" s="46"/>
      <c r="C40" s="47"/>
      <c r="D40" s="38"/>
      <c r="E40" s="47"/>
      <c r="F40" s="71"/>
    </row>
    <row r="41" spans="1:6">
      <c r="A41" s="42" t="s">
        <v>182</v>
      </c>
      <c r="B41" s="38"/>
      <c r="C41" s="41"/>
      <c r="D41" s="38"/>
      <c r="E41" s="43" t="s">
        <v>465</v>
      </c>
      <c r="F41" s="27"/>
    </row>
    <row r="42" spans="1:6">
      <c r="A42" s="42" t="s">
        <v>965</v>
      </c>
      <c r="B42" s="38"/>
      <c r="C42" s="41"/>
      <c r="D42" s="38"/>
      <c r="E42" s="43" t="s">
        <v>466</v>
      </c>
      <c r="F42" s="27"/>
    </row>
    <row r="43" spans="1:6">
      <c r="A43" s="38" t="s">
        <v>966</v>
      </c>
      <c r="B43" s="38"/>
      <c r="C43" s="41"/>
      <c r="D43" s="38"/>
      <c r="E43" s="41" t="s">
        <v>467</v>
      </c>
      <c r="F43" s="27"/>
    </row>
    <row r="44" spans="1:6">
      <c r="A44" s="94"/>
      <c r="B44" s="94"/>
      <c r="C44" s="27"/>
      <c r="D44" s="27"/>
      <c r="E44" s="27"/>
      <c r="F44" s="27"/>
    </row>
    <row r="45" spans="1:6">
      <c r="A45" s="94"/>
      <c r="B45" s="94"/>
      <c r="C45" s="27"/>
      <c r="D45" s="27"/>
      <c r="E45" s="27"/>
      <c r="F45" s="27"/>
    </row>
    <row r="46" spans="1:6">
      <c r="A46" s="94"/>
      <c r="B46" s="94"/>
      <c r="C46" s="27"/>
      <c r="D46" s="27"/>
      <c r="E46" s="27"/>
      <c r="F46" s="27"/>
    </row>
    <row r="47" spans="1:6">
      <c r="A47" s="94"/>
      <c r="B47" s="94"/>
      <c r="C47" s="27"/>
      <c r="D47" s="27"/>
      <c r="E47" s="27"/>
      <c r="F47" s="27"/>
    </row>
    <row r="48" spans="1:6">
      <c r="A48" s="94"/>
      <c r="B48" s="94"/>
      <c r="C48" s="27"/>
      <c r="D48" s="27"/>
      <c r="E48" s="27"/>
      <c r="F48" s="27"/>
    </row>
    <row r="49" spans="1:6">
      <c r="A49" s="94"/>
      <c r="B49" s="94"/>
      <c r="C49" s="27"/>
      <c r="D49" s="27"/>
      <c r="E49" s="27"/>
      <c r="F49" s="27"/>
    </row>
    <row r="50" spans="1:6">
      <c r="A50" s="94"/>
      <c r="B50" s="94"/>
      <c r="C50" s="27"/>
      <c r="D50" s="27"/>
      <c r="E50" s="27"/>
      <c r="F50" s="27"/>
    </row>
    <row r="51" spans="1:6">
      <c r="A51" s="94"/>
      <c r="B51" s="94"/>
      <c r="C51" s="27"/>
      <c r="D51" s="27"/>
      <c r="E51" s="27"/>
      <c r="F51" s="27"/>
    </row>
    <row r="52" spans="1:6">
      <c r="A52" s="94"/>
      <c r="B52" s="94"/>
      <c r="C52" s="27"/>
      <c r="D52" s="27"/>
      <c r="E52" s="27"/>
      <c r="F52" s="27"/>
    </row>
    <row r="53" spans="1:6">
      <c r="A53" s="94"/>
      <c r="B53" s="94"/>
      <c r="C53" s="27"/>
      <c r="D53" s="27"/>
      <c r="E53" s="27"/>
      <c r="F53" s="27"/>
    </row>
  </sheetData>
  <mergeCells count="22">
    <mergeCell ref="D14:I14"/>
    <mergeCell ref="A16:B16"/>
    <mergeCell ref="A19:A20"/>
    <mergeCell ref="A22:A23"/>
    <mergeCell ref="A1:F1"/>
    <mergeCell ref="A2:F2"/>
    <mergeCell ref="A7:C7"/>
    <mergeCell ref="A9:C9"/>
    <mergeCell ref="A11:C11"/>
    <mergeCell ref="A8:C8"/>
    <mergeCell ref="A10:C10"/>
    <mergeCell ref="A12:C12"/>
    <mergeCell ref="A13:C13"/>
    <mergeCell ref="D12:F12"/>
    <mergeCell ref="A3:F4"/>
    <mergeCell ref="A5:F5"/>
    <mergeCell ref="D13:I13"/>
    <mergeCell ref="D7:F7"/>
    <mergeCell ref="D9:F9"/>
    <mergeCell ref="D11:F11"/>
    <mergeCell ref="D8:F8"/>
    <mergeCell ref="D10:F10"/>
  </mergeCells>
  <printOptions horizontalCentered="1"/>
  <pageMargins left="0.3" right="0.3" top="0.55000000000000004" bottom="0.3" header="0.5" footer="0.5"/>
  <pageSetup scale="75"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M46"/>
  <sheetViews>
    <sheetView view="pageBreakPreview" topLeftCell="A26" zoomScale="85" zoomScaleNormal="100" zoomScaleSheetLayoutView="85" workbookViewId="0">
      <selection activeCell="I26" sqref="I26"/>
    </sheetView>
  </sheetViews>
  <sheetFormatPr defaultColWidth="9.26953125" defaultRowHeight="14.5"/>
  <cols>
    <col min="1" max="1" width="4.7265625" style="112" customWidth="1"/>
    <col min="2" max="2" width="34.453125" style="69" customWidth="1"/>
    <col min="3" max="4" width="9.26953125" style="69"/>
    <col min="5" max="5" width="12.26953125" style="69" customWidth="1"/>
    <col min="6" max="6" width="9.26953125" style="69"/>
    <col min="7" max="7" width="15.26953125" style="69" customWidth="1"/>
    <col min="8" max="11" width="19" style="69" customWidth="1"/>
    <col min="12" max="16384" width="9.26953125" style="69"/>
  </cols>
  <sheetData>
    <row r="1" spans="1:13" ht="39" customHeight="1">
      <c r="A1" s="444" t="s">
        <v>962</v>
      </c>
      <c r="B1" s="444"/>
      <c r="C1" s="444"/>
      <c r="D1" s="444"/>
      <c r="E1" s="444"/>
      <c r="F1" s="444"/>
      <c r="G1" s="444"/>
      <c r="H1" s="444"/>
      <c r="I1" s="444"/>
      <c r="J1" s="444"/>
      <c r="K1" s="444"/>
    </row>
    <row r="2" spans="1:13" ht="28.5" customHeight="1">
      <c r="A2" s="425" t="s">
        <v>930</v>
      </c>
      <c r="B2" s="425"/>
      <c r="C2" s="425"/>
      <c r="D2" s="425"/>
      <c r="E2" s="425"/>
      <c r="F2" s="425"/>
      <c r="G2" s="425"/>
      <c r="H2" s="425"/>
      <c r="I2" s="425"/>
      <c r="J2" s="425"/>
      <c r="K2" s="425"/>
    </row>
    <row r="3" spans="1:13" ht="15" customHeight="1">
      <c r="A3" s="426" t="s">
        <v>931</v>
      </c>
      <c r="B3" s="426"/>
      <c r="C3" s="426"/>
      <c r="D3" s="426"/>
      <c r="E3" s="426"/>
      <c r="F3" s="426"/>
      <c r="G3" s="426"/>
      <c r="H3" s="426"/>
      <c r="I3" s="426"/>
      <c r="J3" s="426"/>
      <c r="K3" s="426"/>
    </row>
    <row r="4" spans="1:13">
      <c r="A4" s="426"/>
      <c r="B4" s="426"/>
      <c r="C4" s="426"/>
      <c r="D4" s="426"/>
      <c r="E4" s="426"/>
      <c r="F4" s="426"/>
      <c r="G4" s="426"/>
      <c r="H4" s="426"/>
      <c r="I4" s="426"/>
      <c r="J4" s="426"/>
      <c r="K4" s="426"/>
    </row>
    <row r="5" spans="1:13">
      <c r="A5" s="427" t="s">
        <v>977</v>
      </c>
      <c r="B5" s="427"/>
      <c r="C5" s="427"/>
      <c r="D5" s="427"/>
      <c r="E5" s="427"/>
      <c r="F5" s="427"/>
      <c r="G5" s="427"/>
      <c r="H5" s="427"/>
      <c r="I5" s="427"/>
      <c r="J5" s="427"/>
      <c r="K5" s="427"/>
    </row>
    <row r="6" spans="1:13">
      <c r="A6" s="18"/>
      <c r="B6" s="18"/>
      <c r="C6" s="18"/>
      <c r="D6" s="18"/>
      <c r="E6" s="18"/>
      <c r="F6" s="21"/>
      <c r="G6" s="72"/>
      <c r="H6" s="72"/>
      <c r="I6" s="72"/>
      <c r="J6" s="72"/>
      <c r="K6" s="72"/>
    </row>
    <row r="7" spans="1:13" ht="21" customHeight="1">
      <c r="A7" s="473" t="s">
        <v>461</v>
      </c>
      <c r="B7" s="473"/>
      <c r="C7" s="155"/>
      <c r="D7" s="155"/>
      <c r="E7" s="155"/>
      <c r="F7" s="155"/>
      <c r="G7" s="433" t="s">
        <v>464</v>
      </c>
      <c r="H7" s="433"/>
      <c r="I7" s="433"/>
      <c r="J7" s="433"/>
      <c r="K7" s="72"/>
    </row>
    <row r="8" spans="1:13" ht="15" customHeight="1">
      <c r="A8" s="474" t="s">
        <v>932</v>
      </c>
      <c r="B8" s="474"/>
      <c r="C8" s="155"/>
      <c r="D8" s="155"/>
      <c r="E8" s="155"/>
      <c r="F8" s="155"/>
      <c r="G8" s="475" t="s">
        <v>598</v>
      </c>
      <c r="H8" s="475"/>
      <c r="I8" s="475"/>
      <c r="J8" s="475"/>
      <c r="K8" s="72"/>
    </row>
    <row r="9" spans="1:13" ht="21.75" customHeight="1">
      <c r="A9" s="417" t="s">
        <v>462</v>
      </c>
      <c r="B9" s="417"/>
      <c r="C9" s="155"/>
      <c r="D9" s="155"/>
      <c r="E9" s="155"/>
      <c r="F9" s="155"/>
      <c r="G9" s="433" t="s">
        <v>958</v>
      </c>
      <c r="H9" s="433"/>
      <c r="I9" s="433"/>
      <c r="J9" s="433"/>
      <c r="K9" s="72"/>
    </row>
    <row r="10" spans="1:13" ht="15" customHeight="1">
      <c r="A10" s="449" t="s">
        <v>457</v>
      </c>
      <c r="B10" s="449"/>
      <c r="C10" s="155"/>
      <c r="D10" s="155"/>
      <c r="E10" s="155"/>
      <c r="F10" s="155"/>
      <c r="G10" s="475" t="s">
        <v>458</v>
      </c>
      <c r="H10" s="475"/>
      <c r="I10" s="475"/>
      <c r="J10" s="475"/>
      <c r="K10" s="72"/>
    </row>
    <row r="11" spans="1:13" ht="15" customHeight="1">
      <c r="A11" s="450" t="s">
        <v>388</v>
      </c>
      <c r="B11" s="450"/>
      <c r="C11" s="155"/>
      <c r="D11" s="155"/>
      <c r="E11" s="155"/>
      <c r="F11" s="155"/>
      <c r="G11" s="418" t="s">
        <v>489</v>
      </c>
      <c r="H11" s="418"/>
      <c r="I11" s="418"/>
      <c r="J11" s="418"/>
      <c r="K11" s="72"/>
      <c r="M11" s="284"/>
    </row>
    <row r="12" spans="1:13" ht="15" customHeight="1">
      <c r="A12" s="117" t="s">
        <v>390</v>
      </c>
      <c r="B12" s="124"/>
      <c r="C12" s="155"/>
      <c r="D12" s="155"/>
      <c r="E12" s="155"/>
      <c r="F12" s="155"/>
      <c r="G12" s="475" t="s">
        <v>488</v>
      </c>
      <c r="H12" s="475"/>
      <c r="I12" s="475"/>
      <c r="J12" s="475"/>
      <c r="K12" s="72"/>
    </row>
    <row r="13" spans="1:13" ht="15" customHeight="1">
      <c r="A13" s="49" t="s">
        <v>138</v>
      </c>
      <c r="B13" s="50"/>
      <c r="C13" s="155"/>
      <c r="D13" s="155"/>
      <c r="E13" s="155"/>
      <c r="F13" s="155"/>
      <c r="G13" s="412" t="s">
        <v>1018</v>
      </c>
      <c r="H13" s="413"/>
      <c r="I13" s="413"/>
      <c r="J13" s="413"/>
      <c r="K13" s="413"/>
      <c r="L13" s="413"/>
    </row>
    <row r="14" spans="1:13">
      <c r="A14" s="51" t="s">
        <v>139</v>
      </c>
      <c r="B14" s="51"/>
      <c r="C14" s="155"/>
      <c r="D14" s="155"/>
      <c r="E14" s="155"/>
      <c r="F14" s="155"/>
      <c r="G14" s="414">
        <v>43655</v>
      </c>
      <c r="H14" s="414"/>
      <c r="I14" s="414"/>
      <c r="J14" s="414"/>
      <c r="K14" s="414"/>
      <c r="L14" s="414"/>
    </row>
    <row r="15" spans="1:13">
      <c r="A15" s="89"/>
      <c r="B15" s="72"/>
      <c r="C15" s="72"/>
      <c r="D15" s="72"/>
      <c r="E15" s="72"/>
      <c r="F15" s="72"/>
      <c r="G15" s="72"/>
      <c r="H15" s="72"/>
      <c r="I15" s="72"/>
      <c r="J15" s="72"/>
      <c r="K15" s="72"/>
    </row>
    <row r="16" spans="1:13" s="92" customFormat="1" ht="37.5" customHeight="1">
      <c r="A16" s="467" t="s">
        <v>338</v>
      </c>
      <c r="B16" s="467" t="s">
        <v>339</v>
      </c>
      <c r="C16" s="471" t="s">
        <v>222</v>
      </c>
      <c r="D16" s="467" t="s">
        <v>340</v>
      </c>
      <c r="E16" s="467" t="s">
        <v>341</v>
      </c>
      <c r="F16" s="467" t="s">
        <v>342</v>
      </c>
      <c r="G16" s="467" t="s">
        <v>343</v>
      </c>
      <c r="H16" s="469" t="s">
        <v>344</v>
      </c>
      <c r="I16" s="470"/>
      <c r="J16" s="469" t="s">
        <v>347</v>
      </c>
      <c r="K16" s="470"/>
    </row>
    <row r="17" spans="1:11" s="92" customFormat="1" ht="58.5" customHeight="1">
      <c r="A17" s="468"/>
      <c r="B17" s="468"/>
      <c r="C17" s="472"/>
      <c r="D17" s="468"/>
      <c r="E17" s="468"/>
      <c r="F17" s="468"/>
      <c r="G17" s="468"/>
      <c r="H17" s="110" t="s">
        <v>345</v>
      </c>
      <c r="I17" s="110" t="s">
        <v>346</v>
      </c>
      <c r="J17" s="110" t="s">
        <v>348</v>
      </c>
      <c r="K17" s="110" t="s">
        <v>346</v>
      </c>
    </row>
    <row r="18" spans="1:11" s="92" customFormat="1" ht="34.5" customHeight="1">
      <c r="A18" s="98" t="s">
        <v>63</v>
      </c>
      <c r="B18" s="101" t="s">
        <v>355</v>
      </c>
      <c r="C18" s="101" t="s">
        <v>64</v>
      </c>
      <c r="D18" s="102"/>
      <c r="E18" s="102"/>
      <c r="F18" s="103"/>
      <c r="G18" s="104"/>
      <c r="H18" s="101"/>
      <c r="I18" s="68"/>
      <c r="J18" s="105"/>
      <c r="K18" s="106"/>
    </row>
    <row r="19" spans="1:11" s="92" customFormat="1" ht="45.75" customHeight="1">
      <c r="A19" s="98" t="s">
        <v>43</v>
      </c>
      <c r="B19" s="101" t="s">
        <v>356</v>
      </c>
      <c r="C19" s="101" t="s">
        <v>65</v>
      </c>
      <c r="D19" s="103"/>
      <c r="E19" s="103"/>
      <c r="F19" s="103"/>
      <c r="G19" s="104"/>
      <c r="H19" s="101"/>
      <c r="I19" s="68"/>
      <c r="J19" s="101"/>
      <c r="K19" s="68"/>
    </row>
    <row r="20" spans="1:11" s="92" customFormat="1" ht="45.75" customHeight="1">
      <c r="A20" s="98" t="s">
        <v>66</v>
      </c>
      <c r="B20" s="101" t="s">
        <v>349</v>
      </c>
      <c r="C20" s="101" t="s">
        <v>67</v>
      </c>
      <c r="D20" s="103"/>
      <c r="E20" s="103"/>
      <c r="F20" s="103"/>
      <c r="G20" s="102"/>
      <c r="H20" s="101"/>
      <c r="I20" s="107"/>
      <c r="J20" s="101"/>
      <c r="K20" s="107"/>
    </row>
    <row r="21" spans="1:11" s="92" customFormat="1" ht="44.25" customHeight="1">
      <c r="A21" s="98" t="s">
        <v>49</v>
      </c>
      <c r="B21" s="101" t="s">
        <v>350</v>
      </c>
      <c r="C21" s="101" t="s">
        <v>68</v>
      </c>
      <c r="D21" s="103"/>
      <c r="E21" s="103"/>
      <c r="F21" s="103"/>
      <c r="G21" s="104"/>
      <c r="H21" s="101"/>
      <c r="I21" s="68"/>
      <c r="J21" s="101"/>
      <c r="K21" s="68"/>
    </row>
    <row r="22" spans="1:11" s="92" customFormat="1" ht="44.25" customHeight="1">
      <c r="A22" s="98" t="s">
        <v>69</v>
      </c>
      <c r="B22" s="101" t="s">
        <v>357</v>
      </c>
      <c r="C22" s="101" t="s">
        <v>70</v>
      </c>
      <c r="D22" s="103"/>
      <c r="E22" s="103"/>
      <c r="F22" s="103"/>
      <c r="G22" s="104"/>
      <c r="H22" s="101"/>
      <c r="I22" s="68"/>
      <c r="J22" s="101"/>
      <c r="K22" s="68"/>
    </row>
    <row r="23" spans="1:11" s="92" customFormat="1" ht="44.25" customHeight="1">
      <c r="A23" s="98" t="s">
        <v>71</v>
      </c>
      <c r="B23" s="101" t="s">
        <v>351</v>
      </c>
      <c r="C23" s="101" t="s">
        <v>72</v>
      </c>
      <c r="D23" s="103"/>
      <c r="E23" s="103"/>
      <c r="F23" s="103"/>
      <c r="G23" s="104"/>
      <c r="H23" s="101"/>
      <c r="I23" s="68"/>
      <c r="J23" s="101"/>
      <c r="K23" s="68"/>
    </row>
    <row r="24" spans="1:11" s="92" customFormat="1" ht="44.25" customHeight="1">
      <c r="A24" s="98" t="s">
        <v>43</v>
      </c>
      <c r="B24" s="101" t="s">
        <v>352</v>
      </c>
      <c r="C24" s="101" t="s">
        <v>73</v>
      </c>
      <c r="D24" s="103"/>
      <c r="E24" s="103"/>
      <c r="F24" s="103"/>
      <c r="G24" s="104"/>
      <c r="H24" s="101"/>
      <c r="I24" s="68"/>
      <c r="J24" s="101"/>
      <c r="K24" s="68"/>
    </row>
    <row r="25" spans="1:11" s="92" customFormat="1" ht="44.25" customHeight="1">
      <c r="A25" s="98" t="s">
        <v>74</v>
      </c>
      <c r="B25" s="101" t="s">
        <v>353</v>
      </c>
      <c r="C25" s="101" t="s">
        <v>75</v>
      </c>
      <c r="D25" s="103"/>
      <c r="E25" s="103"/>
      <c r="F25" s="103"/>
      <c r="G25" s="104"/>
      <c r="H25" s="101"/>
      <c r="I25" s="68"/>
      <c r="J25" s="101"/>
      <c r="K25" s="68"/>
    </row>
    <row r="26" spans="1:11" s="92" customFormat="1" ht="44.25" customHeight="1">
      <c r="A26" s="98" t="s">
        <v>49</v>
      </c>
      <c r="B26" s="101" t="s">
        <v>354</v>
      </c>
      <c r="C26" s="101" t="s">
        <v>76</v>
      </c>
      <c r="D26" s="103"/>
      <c r="E26" s="103"/>
      <c r="F26" s="103"/>
      <c r="G26" s="104"/>
      <c r="H26" s="101"/>
      <c r="I26" s="68"/>
      <c r="J26" s="101"/>
      <c r="K26" s="68"/>
    </row>
    <row r="27" spans="1:11" s="92" customFormat="1" ht="44.25" customHeight="1">
      <c r="A27" s="98" t="s">
        <v>77</v>
      </c>
      <c r="B27" s="101" t="s">
        <v>358</v>
      </c>
      <c r="C27" s="101" t="s">
        <v>78</v>
      </c>
      <c r="D27" s="103"/>
      <c r="E27" s="103"/>
      <c r="F27" s="103"/>
      <c r="G27" s="104"/>
      <c r="H27" s="101"/>
      <c r="I27" s="68"/>
      <c r="J27" s="101"/>
      <c r="K27" s="68"/>
    </row>
    <row r="28" spans="1:11" s="92" customFormat="1" ht="12.5">
      <c r="A28" s="93"/>
      <c r="B28" s="108"/>
      <c r="C28" s="108"/>
      <c r="D28" s="103"/>
      <c r="E28" s="103"/>
      <c r="F28" s="103"/>
      <c r="G28" s="104"/>
      <c r="H28" s="101"/>
      <c r="I28" s="68"/>
      <c r="J28" s="105"/>
      <c r="K28" s="106"/>
    </row>
    <row r="29" spans="1:11" s="92" customFormat="1" ht="12.5">
      <c r="A29" s="109"/>
      <c r="B29" s="97"/>
      <c r="C29" s="97"/>
      <c r="D29" s="97"/>
      <c r="E29" s="97"/>
      <c r="F29" s="97"/>
      <c r="G29" s="97"/>
      <c r="H29" s="97"/>
      <c r="I29" s="97"/>
      <c r="J29" s="97"/>
      <c r="K29" s="97"/>
    </row>
    <row r="30" spans="1:11" s="92" customFormat="1" ht="12.5">
      <c r="A30" s="109"/>
      <c r="B30" s="97"/>
      <c r="C30" s="97"/>
      <c r="D30" s="97"/>
      <c r="E30" s="97"/>
      <c r="F30" s="97"/>
      <c r="G30" s="97"/>
      <c r="H30" s="97"/>
      <c r="I30" s="97"/>
      <c r="J30" s="97"/>
      <c r="K30" s="97"/>
    </row>
    <row r="31" spans="1:11" s="92" customFormat="1" ht="12.5">
      <c r="A31" s="109"/>
      <c r="B31" s="97"/>
      <c r="C31" s="97"/>
      <c r="D31" s="97"/>
      <c r="E31" s="97"/>
      <c r="F31" s="97"/>
      <c r="G31" s="97"/>
      <c r="H31" s="97"/>
      <c r="I31" s="97"/>
      <c r="J31" s="97"/>
      <c r="K31" s="97"/>
    </row>
    <row r="32" spans="1:11" s="92" customFormat="1" ht="12.5">
      <c r="A32" s="42" t="s">
        <v>178</v>
      </c>
      <c r="B32" s="38"/>
      <c r="C32" s="41"/>
      <c r="D32" s="97"/>
      <c r="E32" s="97"/>
      <c r="F32" s="97"/>
      <c r="G32" s="97"/>
      <c r="H32" s="97"/>
      <c r="I32" s="43" t="s">
        <v>179</v>
      </c>
      <c r="J32" s="97"/>
      <c r="K32" s="97"/>
    </row>
    <row r="33" spans="1:11" s="92" customFormat="1" ht="12.5">
      <c r="A33" s="44" t="s">
        <v>180</v>
      </c>
      <c r="B33" s="38"/>
      <c r="C33" s="41"/>
      <c r="D33" s="97"/>
      <c r="E33" s="97"/>
      <c r="F33" s="97"/>
      <c r="G33" s="97"/>
      <c r="H33" s="97"/>
      <c r="I33" s="45" t="s">
        <v>181</v>
      </c>
      <c r="J33" s="97"/>
      <c r="K33" s="97"/>
    </row>
    <row r="34" spans="1:11">
      <c r="A34" s="38"/>
      <c r="B34" s="38"/>
      <c r="C34" s="41"/>
      <c r="D34" s="72"/>
      <c r="E34" s="72"/>
      <c r="F34" s="72"/>
      <c r="G34" s="72"/>
      <c r="H34" s="72"/>
      <c r="I34" s="41"/>
      <c r="J34" s="72"/>
      <c r="K34" s="72"/>
    </row>
    <row r="35" spans="1:11">
      <c r="A35" s="38"/>
      <c r="B35" s="38"/>
      <c r="C35" s="41"/>
      <c r="D35" s="72"/>
      <c r="E35" s="72"/>
      <c r="F35" s="72"/>
      <c r="G35" s="72"/>
      <c r="H35" s="72"/>
      <c r="I35" s="41"/>
      <c r="J35" s="72"/>
      <c r="K35" s="72"/>
    </row>
    <row r="36" spans="1:11">
      <c r="A36" s="38"/>
      <c r="B36" s="38"/>
      <c r="C36" s="41"/>
      <c r="D36" s="72"/>
      <c r="E36" s="72"/>
      <c r="F36" s="72"/>
      <c r="G36" s="72"/>
      <c r="H36" s="72"/>
      <c r="I36" s="41"/>
      <c r="J36" s="72"/>
      <c r="K36" s="72"/>
    </row>
    <row r="37" spans="1:11">
      <c r="A37" s="38"/>
      <c r="B37" s="38"/>
      <c r="C37" s="41"/>
      <c r="D37" s="72"/>
      <c r="E37" s="72"/>
      <c r="F37" s="72"/>
      <c r="G37" s="72"/>
      <c r="H37" s="72"/>
      <c r="I37" s="41"/>
      <c r="J37" s="72"/>
      <c r="K37" s="72"/>
    </row>
    <row r="38" spans="1:11">
      <c r="A38" s="38"/>
      <c r="B38" s="38"/>
      <c r="C38" s="41"/>
      <c r="D38" s="72"/>
      <c r="E38" s="72"/>
      <c r="F38" s="72"/>
      <c r="G38" s="72"/>
      <c r="H38" s="72"/>
      <c r="I38" s="41"/>
      <c r="J38" s="72"/>
      <c r="K38" s="72"/>
    </row>
    <row r="39" spans="1:11">
      <c r="A39" s="38"/>
      <c r="B39" s="38"/>
      <c r="C39" s="41"/>
      <c r="D39" s="72"/>
      <c r="E39" s="72"/>
      <c r="F39" s="72"/>
      <c r="G39" s="72"/>
      <c r="H39" s="72"/>
      <c r="I39" s="41"/>
      <c r="J39" s="72"/>
      <c r="K39" s="72"/>
    </row>
    <row r="40" spans="1:11">
      <c r="A40" s="38"/>
      <c r="B40" s="38"/>
      <c r="C40" s="41"/>
      <c r="D40" s="72"/>
      <c r="E40" s="72"/>
      <c r="F40" s="72"/>
      <c r="G40" s="72"/>
      <c r="H40" s="72"/>
      <c r="I40" s="41"/>
      <c r="J40" s="72"/>
      <c r="K40" s="72"/>
    </row>
    <row r="41" spans="1:11">
      <c r="A41" s="38"/>
      <c r="B41" s="38"/>
      <c r="C41" s="41"/>
      <c r="D41" s="72"/>
      <c r="E41" s="72"/>
      <c r="F41" s="72"/>
      <c r="G41" s="72"/>
      <c r="H41" s="72"/>
      <c r="I41" s="41"/>
      <c r="J41" s="72"/>
      <c r="K41" s="72"/>
    </row>
    <row r="42" spans="1:11">
      <c r="A42" s="46"/>
      <c r="B42" s="46"/>
      <c r="C42" s="47"/>
      <c r="D42" s="111"/>
      <c r="E42" s="72"/>
      <c r="F42" s="72"/>
      <c r="G42" s="72"/>
      <c r="H42" s="72"/>
      <c r="I42" s="47"/>
      <c r="J42" s="111"/>
      <c r="K42" s="111"/>
    </row>
    <row r="43" spans="1:11">
      <c r="A43" s="42" t="s">
        <v>182</v>
      </c>
      <c r="B43" s="38"/>
      <c r="C43" s="41"/>
      <c r="D43" s="72"/>
      <c r="E43" s="72"/>
      <c r="F43" s="72"/>
      <c r="G43" s="72"/>
      <c r="H43" s="72"/>
      <c r="I43" s="43" t="s">
        <v>465</v>
      </c>
      <c r="J43" s="72"/>
      <c r="K43" s="72"/>
    </row>
    <row r="44" spans="1:11">
      <c r="A44" s="42" t="s">
        <v>965</v>
      </c>
      <c r="B44" s="38"/>
      <c r="C44" s="41"/>
      <c r="D44" s="72"/>
      <c r="E44" s="72"/>
      <c r="F44" s="72"/>
      <c r="G44" s="72"/>
      <c r="H44" s="72"/>
      <c r="I44" s="43" t="s">
        <v>466</v>
      </c>
      <c r="J44" s="72"/>
      <c r="K44" s="72"/>
    </row>
    <row r="45" spans="1:11">
      <c r="A45" s="38" t="s">
        <v>966</v>
      </c>
      <c r="B45" s="38"/>
      <c r="C45" s="41"/>
      <c r="D45" s="72"/>
      <c r="E45" s="72"/>
      <c r="F45" s="72"/>
      <c r="G45" s="72"/>
      <c r="H45" s="72"/>
      <c r="I45" s="41" t="s">
        <v>467</v>
      </c>
      <c r="J45" s="72"/>
      <c r="K45" s="72"/>
    </row>
    <row r="46" spans="1:11">
      <c r="A46" s="89"/>
      <c r="B46" s="72"/>
      <c r="C46" s="72"/>
      <c r="D46" s="72"/>
      <c r="E46" s="72"/>
      <c r="F46" s="72"/>
      <c r="G46" s="72"/>
      <c r="H46" s="72"/>
      <c r="I46" s="72"/>
      <c r="J46" s="72"/>
      <c r="K46" s="72"/>
    </row>
  </sheetData>
  <mergeCells count="26">
    <mergeCell ref="F16:F17"/>
    <mergeCell ref="A1:K1"/>
    <mergeCell ref="A2:K2"/>
    <mergeCell ref="A3:K4"/>
    <mergeCell ref="A5:K5"/>
    <mergeCell ref="A7:B7"/>
    <mergeCell ref="G7:J7"/>
    <mergeCell ref="A8:B8"/>
    <mergeCell ref="G8:J8"/>
    <mergeCell ref="A10:B10"/>
    <mergeCell ref="G10:J10"/>
    <mergeCell ref="G12:J12"/>
    <mergeCell ref="A9:B9"/>
    <mergeCell ref="G9:J9"/>
    <mergeCell ref="A11:B11"/>
    <mergeCell ref="G11:J11"/>
    <mergeCell ref="A16:A17"/>
    <mergeCell ref="B16:B17"/>
    <mergeCell ref="C16:C17"/>
    <mergeCell ref="D16:D17"/>
    <mergeCell ref="E16:E17"/>
    <mergeCell ref="G13:L13"/>
    <mergeCell ref="G14:L14"/>
    <mergeCell ref="G16:G17"/>
    <mergeCell ref="H16:I16"/>
    <mergeCell ref="J16:K16"/>
  </mergeCells>
  <printOptions horizontalCentered="1"/>
  <pageMargins left="0.3" right="0.3" top="0.5" bottom="0.5" header="0.3" footer="0.3"/>
  <pageSetup paperSize="9" scale="58"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xoqMb26RQ1stab4NxVRcuBgSk7U=</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a/eZ7OBld6sIGnpwGWBwEjsZbrk=</DigestValue>
    </Reference>
  </SignedInfo>
  <SignatureValue>vNBeVptmg3sWb3uw38bjXTt/uYS0vnVXYIC2J7NHp7P1T2H2L42FJZ4+e1xDmpAPwsXvistYl4+B
YxMUB6mwrY3yEUyDHRMKPsb+FeqzoR2SoeqTZTmDOu60hyeXIc7MblUko7j9TdLJ6seBOoSAxzSA
K8+oTNL+EWpj9gbw6c4=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Transform>
          <Transform Algorithm="http://www.w3.org/TR/2001/REC-xml-c14n-20010315"/>
        </Transforms>
        <DigestMethod Algorithm="http://www.w3.org/2000/09/xmldsig#sha1"/>
        <DigestValue>e6EjjVXi7TgJboLDkxdcAGm6NaA=</DigestValue>
      </Reference>
      <Reference URI="/xl/calcChain.xml?ContentType=application/vnd.openxmlformats-officedocument.spreadsheetml.calcChain+xml">
        <DigestMethod Algorithm="http://www.w3.org/2000/09/xmldsig#sha1"/>
        <DigestValue>03YHbsr4hb/USQDWiq9P1PrOikE=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b0fTaZUnfNl6fMDQqtjJJKbF5kU=</DigestValue>
      </Reference>
      <Reference URI="/xl/drawings/drawing10.xml?ContentType=application/vnd.openxmlformats-officedocument.drawing+xml">
        <DigestMethod Algorithm="http://www.w3.org/2000/09/xmldsig#sha1"/>
        <DigestValue>nR9014xG+Kr9jKAQdsK+e589s70=</DigestValue>
      </Reference>
      <Reference URI="/xl/drawings/drawing2.xml?ContentType=application/vnd.openxmlformats-officedocument.drawing+xml">
        <DigestMethod Algorithm="http://www.w3.org/2000/09/xmldsig#sha1"/>
        <DigestValue>5+IVyJ8UDgiPQpQDJytVLqTAtpk=</DigestValue>
      </Reference>
      <Reference URI="/xl/drawings/drawing3.xml?ContentType=application/vnd.openxmlformats-officedocument.drawing+xml">
        <DigestMethod Algorithm="http://www.w3.org/2000/09/xmldsig#sha1"/>
        <DigestValue>4Ii/LGKQzT2htWMUb8c4GIEDV4E=</DigestValue>
      </Reference>
      <Reference URI="/xl/drawings/drawing4.xml?ContentType=application/vnd.openxmlformats-officedocument.drawing+xml">
        <DigestMethod Algorithm="http://www.w3.org/2000/09/xmldsig#sha1"/>
        <DigestValue>DF1h3xRdbpuiFwsmm3A86RHGCnQ=</DigestValue>
      </Reference>
      <Reference URI="/xl/drawings/drawing5.xml?ContentType=application/vnd.openxmlformats-officedocument.drawing+xml">
        <DigestMethod Algorithm="http://www.w3.org/2000/09/xmldsig#sha1"/>
        <DigestValue>TrYfMLGSDOmdyME0GOZtQZhJfIw=</DigestValue>
      </Reference>
      <Reference URI="/xl/drawings/drawing6.xml?ContentType=application/vnd.openxmlformats-officedocument.drawing+xml">
        <DigestMethod Algorithm="http://www.w3.org/2000/09/xmldsig#sha1"/>
        <DigestValue>75eaOeoSlUcvG9z12sZezp890ik=</DigestValue>
      </Reference>
      <Reference URI="/xl/drawings/drawing7.xml?ContentType=application/vnd.openxmlformats-officedocument.drawing+xml">
        <DigestMethod Algorithm="http://www.w3.org/2000/09/xmldsig#sha1"/>
        <DigestValue>b3sZ9bYcVoUIkZ0spi1yNDylfdY=</DigestValue>
      </Reference>
      <Reference URI="/xl/drawings/drawing8.xml?ContentType=application/vnd.openxmlformats-officedocument.drawing+xml">
        <DigestMethod Algorithm="http://www.w3.org/2000/09/xmldsig#sha1"/>
        <DigestValue>jqVvx4xoz85HBGs5vbd7Dwx0RMY=</DigestValue>
      </Reference>
      <Reference URI="/xl/drawings/drawing9.xml?ContentType=application/vnd.openxmlformats-officedocument.drawing+xml">
        <DigestMethod Algorithm="http://www.w3.org/2000/09/xmldsig#sha1"/>
        <DigestValue>+DZ6vPABYLZkE9yYUaAlfvVqgQk=</DigestValue>
      </Reference>
      <Reference URI="/xl/media/image1.png?ContentType=image/png">
        <DigestMethod Algorithm="http://www.w3.org/2000/09/xmldsig#sha1"/>
        <DigestValue>7HLeWRFPtIfwPU1J5b9/JMp46JI=</DigestValue>
      </Reference>
      <Reference URI="/xl/media/image2.jpeg?ContentType=image/jpeg">
        <DigestMethod Algorithm="http://www.w3.org/2000/09/xmldsig#sha1"/>
        <DigestValue>veLPywS3qMttB+SJD540SWbI7Bg=</DigestValue>
      </Reference>
      <Reference URI="/xl/printerSettings/printerSettings1.bin?ContentType=application/vnd.openxmlformats-officedocument.spreadsheetml.printerSettings">
        <DigestMethod Algorithm="http://www.w3.org/2000/09/xmldsig#sha1"/>
        <DigestValue>9k3QcDOhi4ZWRD2lOjX1GnZx6sY=</DigestValue>
      </Reference>
      <Reference URI="/xl/printerSettings/printerSettings10.bin?ContentType=application/vnd.openxmlformats-officedocument.spreadsheetml.printerSettings">
        <DigestMethod Algorithm="http://www.w3.org/2000/09/xmldsig#sha1"/>
        <DigestValue>04WOmhh5ZzSEi6RCb1uTGtnE+xU=</DigestValue>
      </Reference>
      <Reference URI="/xl/printerSettings/printerSettings11.bin?ContentType=application/vnd.openxmlformats-officedocument.spreadsheetml.printerSettings">
        <DigestMethod Algorithm="http://www.w3.org/2000/09/xmldsig#sha1"/>
        <DigestValue>9k3QcDOhi4ZWRD2lOjX1GnZx6sY=</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04WOmhh5ZzSEi6RCb1uTGtnE+xU=</DigestValue>
      </Reference>
      <Reference URI="/xl/printerSettings/printerSettings8.bin?ContentType=application/vnd.openxmlformats-officedocument.spreadsheetml.printerSettings">
        <DigestMethod Algorithm="http://www.w3.org/2000/09/xmldsig#sha1"/>
        <DigestValue>9k3QcDOhi4ZWRD2lOjX1GnZx6sY=</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UUakr8dLffETDuJh0KvSzTw64vg=</DigestValue>
      </Reference>
      <Reference URI="/xl/styles.xml?ContentType=application/vnd.openxmlformats-officedocument.spreadsheetml.styles+xml">
        <DigestMethod Algorithm="http://www.w3.org/2000/09/xmldsig#sha1"/>
        <DigestValue>ixCRe95eZiZmytvCn0QB7UYbAeY=</DigestValue>
      </Reference>
      <Reference URI="/xl/theme/theme1.xml?ContentType=application/vnd.openxmlformats-officedocument.theme+xml">
        <DigestMethod Algorithm="http://www.w3.org/2000/09/xmldsig#sha1"/>
        <DigestValue>wALSnSSFaCFrlsx0hXxroAuqIcI=</DigestValue>
      </Reference>
      <Reference URI="/xl/workbook.xml?ContentType=application/vnd.openxmlformats-officedocument.spreadsheetml.sheet.main+xml">
        <DigestMethod Algorithm="http://www.w3.org/2000/09/xmldsig#sha1"/>
        <DigestValue>iGJJxOIdGdCrkyVuJv87Nm29hNk=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8kVPwk5ISmMV5+U/Bz0CDvBgn7Q=</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Gh6Qt25fDWsEeuIlcT1xrmosXEo=</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ZALdG9V//kC5To6TFla7KXAILfc=</DigestValue>
      </Reference>
      <Reference URI="/xl/worksheets/sheet10.xml?ContentType=application/vnd.openxmlformats-officedocument.spreadsheetml.worksheet+xml">
        <DigestMethod Algorithm="http://www.w3.org/2000/09/xmldsig#sha1"/>
        <DigestValue>rtjfCxAwIpV4NsrgLCus1X07vdM=</DigestValue>
      </Reference>
      <Reference URI="/xl/worksheets/sheet11.xml?ContentType=application/vnd.openxmlformats-officedocument.spreadsheetml.worksheet+xml">
        <DigestMethod Algorithm="http://www.w3.org/2000/09/xmldsig#sha1"/>
        <DigestValue>y/AfmQJkJWE562UEpfxZaI2V/is=</DigestValue>
      </Reference>
      <Reference URI="/xl/worksheets/sheet2.xml?ContentType=application/vnd.openxmlformats-officedocument.spreadsheetml.worksheet+xml">
        <DigestMethod Algorithm="http://www.w3.org/2000/09/xmldsig#sha1"/>
        <DigestValue>GNFLIuhnBrluhx7PRIFiHKEo5so=</DigestValue>
      </Reference>
      <Reference URI="/xl/worksheets/sheet3.xml?ContentType=application/vnd.openxmlformats-officedocument.spreadsheetml.worksheet+xml">
        <DigestMethod Algorithm="http://www.w3.org/2000/09/xmldsig#sha1"/>
        <DigestValue>MVGe1Z1cjltw1ItDjR1AWyNBIC0=</DigestValue>
      </Reference>
      <Reference URI="/xl/worksheets/sheet4.xml?ContentType=application/vnd.openxmlformats-officedocument.spreadsheetml.worksheet+xml">
        <DigestMethod Algorithm="http://www.w3.org/2000/09/xmldsig#sha1"/>
        <DigestValue>kFlmfGCpRCa5yRoDtLiUg+6CV9w=</DigestValue>
      </Reference>
      <Reference URI="/xl/worksheets/sheet5.xml?ContentType=application/vnd.openxmlformats-officedocument.spreadsheetml.worksheet+xml">
        <DigestMethod Algorithm="http://www.w3.org/2000/09/xmldsig#sha1"/>
        <DigestValue>4OyOou7aW+mpe1qCvmEuykgp+g8=</DigestValue>
      </Reference>
      <Reference URI="/xl/worksheets/sheet6.xml?ContentType=application/vnd.openxmlformats-officedocument.spreadsheetml.worksheet+xml">
        <DigestMethod Algorithm="http://www.w3.org/2000/09/xmldsig#sha1"/>
        <DigestValue>hTyjMh+MF5lp12PUHKmypdsYhGI=</DigestValue>
      </Reference>
      <Reference URI="/xl/worksheets/sheet7.xml?ContentType=application/vnd.openxmlformats-officedocument.spreadsheetml.worksheet+xml">
        <DigestMethod Algorithm="http://www.w3.org/2000/09/xmldsig#sha1"/>
        <DigestValue>FU9qBF8IVj0i0AB+svMZQzDCyPI=</DigestValue>
      </Reference>
      <Reference URI="/xl/worksheets/sheet8.xml?ContentType=application/vnd.openxmlformats-officedocument.spreadsheetml.worksheet+xml">
        <DigestMethod Algorithm="http://www.w3.org/2000/09/xmldsig#sha1"/>
        <DigestValue>iK5PI0wIx/XN/L9LVtIVJsMo6gw=</DigestValue>
      </Reference>
      <Reference URI="/xl/worksheets/sheet9.xml?ContentType=application/vnd.openxmlformats-officedocument.spreadsheetml.worksheet+xml">
        <DigestMethod Algorithm="http://www.w3.org/2000/09/xmldsig#sha1"/>
        <DigestValue>iljo5NPdrkxGMXTIO/VmPXvv0UA=</DigestValue>
      </Reference>
    </Manifest>
    <SignatureProperties>
      <SignatureProperty Id="idSignatureTime" Target="#idPackageSignature">
        <mdssi:SignatureTime xmlns:mdssi="http://schemas.openxmlformats.org/package/2006/digital-signature">
          <mdssi:Format>YYYY-MM-DDThh:mm:ssTZD</mdssi:Format>
          <mdssi:Value>2019-07-12T11:44:59Z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2019-07-12T11:44:59Z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Tong quat</vt:lpstr>
      <vt:lpstr>BCthunhap</vt:lpstr>
      <vt:lpstr>BCtinhhinhtaichinh</vt:lpstr>
      <vt:lpstr>BCLCGT_06262</vt:lpstr>
      <vt:lpstr>BCTaiSan_06027</vt:lpstr>
      <vt:lpstr>BCKetQuaHoatDong_06028</vt:lpstr>
      <vt:lpstr>Thongke phi giao dich</vt:lpstr>
      <vt:lpstr>BCDanhMucDauTu_06029</vt:lpstr>
      <vt:lpstr>Khac_06030</vt:lpstr>
      <vt:lpstr>GiaTriTaiSanRong_06129</vt:lpstr>
      <vt:lpstr>BCHoatDongVay_06026</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GiaTriTaiSanRong_06129!Print_Area</vt:lpstr>
      <vt:lpstr>Khac_06030!Print_Area</vt:lpstr>
      <vt:lpstr>'Thongke phi giao dich'!Print_Area</vt:lpstr>
      <vt:lpstr>'Tong quat'!Print_Area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Bui, Trang</cp:lastModifiedBy>
  <cp:lastPrinted>2019-07-11T07:46:48Z</cp:lastPrinted>
  <dcterms:created xsi:type="dcterms:W3CDTF">2013-10-21T08:38:47Z</dcterms:created>
  <dcterms:modified xsi:type="dcterms:W3CDTF">2019-07-12T11:44:43Z</dcterms:modified>
</cp:coreProperties>
</file>