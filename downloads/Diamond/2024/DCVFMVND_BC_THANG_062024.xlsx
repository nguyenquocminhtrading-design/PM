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3" r:id="rId7"/>
    <sheet name="BCTinhHinhTaiChinh_06105" sheetId="14" r:id="rId8"/>
    <sheet name="GTTSRong_06107" sheetId="12" r:id="rId9"/>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E13" i="15" l="1"/>
  <c r="F119" i="14" l="1"/>
  <c r="E119" i="14"/>
  <c r="F115" i="14"/>
  <c r="E115" i="14"/>
  <c r="F111" i="14"/>
  <c r="E111" i="14"/>
  <c r="F103" i="14"/>
  <c r="F100" i="14" s="1"/>
  <c r="E103" i="14"/>
  <c r="E100" i="14" s="1"/>
  <c r="F89" i="14"/>
  <c r="E89" i="14"/>
  <c r="E87" i="14" s="1"/>
  <c r="F87" i="14"/>
  <c r="F77" i="14"/>
  <c r="E77" i="14"/>
  <c r="F72" i="14"/>
  <c r="E72" i="14"/>
  <c r="F58" i="14"/>
  <c r="F56" i="14" s="1"/>
  <c r="E58" i="14"/>
  <c r="E56" i="14" s="1"/>
  <c r="F50" i="14"/>
  <c r="E50" i="14"/>
  <c r="F43" i="14"/>
  <c r="E43" i="14"/>
  <c r="F42" i="14"/>
  <c r="E42" i="14"/>
  <c r="F28" i="14"/>
  <c r="F27" i="14" s="1"/>
  <c r="E28" i="14"/>
  <c r="E27" i="14" s="1"/>
  <c r="F20" i="14"/>
  <c r="E20" i="14"/>
  <c r="F19" i="14"/>
  <c r="E19" i="14"/>
  <c r="G76" i="13"/>
  <c r="F76" i="13"/>
  <c r="E76" i="13"/>
  <c r="D76" i="13"/>
  <c r="G60" i="13"/>
  <c r="F60" i="13"/>
  <c r="E60" i="13"/>
  <c r="D60" i="13"/>
  <c r="G53" i="13"/>
  <c r="F53" i="13"/>
  <c r="E53" i="13"/>
  <c r="D53" i="13"/>
  <c r="G26" i="13"/>
  <c r="F26" i="13"/>
  <c r="E26" i="13"/>
  <c r="D26" i="13"/>
  <c r="G23" i="13"/>
  <c r="F23" i="13"/>
  <c r="E23" i="13"/>
  <c r="D23" i="13"/>
  <c r="G20" i="13"/>
  <c r="F20" i="13"/>
  <c r="E20" i="13"/>
  <c r="D20" i="13"/>
  <c r="G19" i="13" l="1"/>
  <c r="G75" i="13" s="1"/>
  <c r="G79" i="13" s="1"/>
  <c r="G83" i="13" s="1"/>
  <c r="E109" i="14"/>
  <c r="E39" i="14"/>
  <c r="F39" i="14"/>
  <c r="F66" i="14" s="1"/>
  <c r="D19" i="13"/>
  <c r="E19" i="13"/>
  <c r="F19" i="13"/>
  <c r="D75" i="13"/>
  <c r="D79" i="13" s="1"/>
  <c r="D83" i="13" s="1"/>
  <c r="F75" i="13"/>
  <c r="F79" i="13" s="1"/>
  <c r="F83" i="13" s="1"/>
  <c r="E75" i="13"/>
  <c r="E79" i="13" s="1"/>
  <c r="E83" i="13" s="1"/>
  <c r="F109" i="14"/>
  <c r="E66" i="14"/>
  <c r="E110" i="14" s="1"/>
  <c r="F110" i="14" l="1"/>
</calcChain>
</file>

<file path=xl/sharedStrings.xml><?xml version="1.0" encoding="utf-8"?>
<sst xmlns="http://schemas.openxmlformats.org/spreadsheetml/2006/main" count="1438" uniqueCount="1074">
  <si>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</si>
  <si>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</si>
  <si>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</si>
  <si>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06 năm 2024 / Jun 2024</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</si>
  <si>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</si>
  <si>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</si>
  <si>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</si>
  <si>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</si>
  <si>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</si>
  <si>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</si>
  <si>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</si>
  <si>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</si>
  <si>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</si>
  <si>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</si>
  <si>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</si>
  <si>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</si>
  <si>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</si>
  <si>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</si>
  <si>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</si>
  <si>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</si>
  <si>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</si>
  <si>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</si>
  <si>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</si>
  <si>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</si>
  <si>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</si>
  <si>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</si>
  <si>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</si>
  <si>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</si>
  <si>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06  năm2024 
As at 30 Jun 2024</t>
  </si>
  <si>
    <t>Tại ngày 31 tháng 05  năm 2024 
As at 31 May 2024</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</si>
  <si>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</si>
  <si>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</si>
  <si>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</si>
  <si>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</si>
  <si>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</si>
  <si>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</si>
  <si>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</si>
  <si>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</si>
  <si>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</si>
  <si>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</si>
  <si>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</si>
  <si>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</si>
  <si>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</si>
  <si>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</si>
  <si>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</si>
  <si>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</si>
  <si>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</si>
  <si>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</si>
  <si>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</si>
  <si>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</si>
  <si>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</si>
  <si>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</si>
  <si>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</si>
  <si>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</si>
  <si>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</si>
  <si>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</si>
  <si>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</si>
  <si>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</si>
  <si>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</si>
  <si>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</si>
  <si>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</si>
  <si>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</si>
  <si>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</si>
  <si>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</si>
  <si>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</si>
  <si>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</si>
  <si>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</si>
  <si>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</si>
  <si>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</si>
  <si>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</si>
  <si>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</si>
  <si>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</si>
  <si>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</si>
  <si>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</si>
  <si>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</si>
  <si>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</si>
  <si>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</si>
  <si>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</si>
  <si>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</si>
  <si>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</si>
  <si>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</si>
  <si>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</si>
  <si>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</si>
  <si>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</si>
  <si>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</si>
  <si>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</si>
  <si>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</si>
  <si>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</si>
  <si>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</si>
  <si>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</si>
  <si>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</si>
  <si>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</si>
  <si>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</si>
  <si>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</si>
  <si>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</si>
  <si>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</si>
  <si>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</si>
  <si>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</si>
  <si>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</si>
  <si>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</si>
  <si>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</si>
  <si>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</si>
  <si>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</si>
  <si>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</si>
  <si>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</si>
  <si>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</si>
  <si>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</si>
  <si>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</si>
  <si>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</si>
  <si>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</si>
  <si>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</si>
  <si>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</si>
  <si>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</si>
  <si>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</si>
  <si>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</si>
  <si>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</si>
  <si>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</si>
  <si>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</si>
  <si>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</si>
  <si>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</si>
  <si>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</si>
  <si>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</si>
  <si>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</si>
  <si>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</si>
  <si>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</si>
  <si>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</si>
  <si>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</si>
  <si>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</si>
  <si>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</si>
  <si>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</si>
  <si>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</si>
  <si>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</si>
  <si>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</si>
  <si>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</si>
  <si>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</si>
  <si>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</si>
  <si>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</si>
  <si>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</si>
  <si>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</si>
  <si>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</si>
  <si>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</si>
  <si>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</si>
  <si>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</si>
  <si>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</si>
  <si>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</si>
  <si>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</si>
  <si>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</si>
  <si>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</si>
  <si>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</si>
  <si>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</si>
  <si>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</si>
  <si>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</si>
  <si>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</si>
  <si>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</si>
  <si>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</si>
  <si>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</si>
  <si>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</si>
  <si>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</si>
  <si>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</si>
  <si>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</si>
  <si>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</si>
  <si>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</si>
  <si>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</si>
  <si>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</si>
  <si>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</si>
  <si>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</si>
  <si>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</si>
  <si>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</si>
  <si>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</si>
  <si>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</si>
  <si>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</si>
  <si>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</si>
  <si>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</si>
  <si>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</si>
  <si>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</si>
  <si>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</si>
  <si>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</si>
  <si>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</si>
  <si>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</si>
  <si>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</si>
  <si>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</si>
  <si>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</si>
  <si>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</si>
  <si>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</si>
  <si>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</si>
  <si>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</si>
  <si>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</si>
  <si>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</si>
  <si>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</si>
  <si>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</si>
  <si>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</si>
  <si>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</si>
  <si>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</si>
  <si>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</si>
  <si>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</si>
  <si>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</si>
  <si>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</si>
  <si>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</si>
  <si>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</si>
  <si>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</si>
  <si>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</si>
  <si>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</si>
  <si>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</si>
  <si>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</si>
  <si>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</si>
  <si>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</si>
  <si>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</si>
  <si>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</si>
  <si>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</si>
  <si>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</si>
  <si>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</si>
  <si>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</si>
  <si>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</si>
  <si>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</si>
  <si>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</si>
  <si>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</si>
  <si>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</si>
  <si>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</si>
  <si>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</si>
  <si>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</si>
  <si>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</si>
  <si>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</si>
  <si>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</si>
  <si>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</si>
  <si>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</si>
  <si>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</si>
  <si>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</si>
  <si>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</si>
  <si>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</si>
  <si>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</si>
  <si>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</si>
  <si>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</si>
  <si>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</si>
  <si>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</si>
  <si>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Tháng 06 năm 2024
Jun 2024</t>
  </si>
  <si>
    <t>Tháng 05 năm 2024
May 2024</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</si>
  <si>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</si>
  <si>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</si>
  <si>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</si>
  <si>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</si>
  <si>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</si>
  <si>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</si>
  <si>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</si>
  <si>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</si>
  <si>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</si>
  <si>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</si>
  <si>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</si>
  <si>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</si>
  <si>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</si>
  <si>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</si>
  <si>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</si>
  <si>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</si>
  <si>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</si>
  <si>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</si>
  <si>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</si>
  <si>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</si>
  <si>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</si>
  <si>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</si>
  <si>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</si>
  <si>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</si>
  <si>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</si>
  <si>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</si>
  <si>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</si>
  <si>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</si>
  <si>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</si>
  <si>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</si>
  <si>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</si>
  <si>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</si>
  <si>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</si>
  <si>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</si>
  <si>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</si>
  <si>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</si>
  <si>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</si>
  <si>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</si>
  <si>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</si>
  <si>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</si>
  <si>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</si>
  <si>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</si>
  <si>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</si>
  <si>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</si>
  <si>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</si>
  <si>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</si>
  <si>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</si>
  <si>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</si>
  <si>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</si>
  <si>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</si>
  <si>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</si>
  <si>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</si>
  <si>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</si>
  <si>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</si>
  <si>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</si>
  <si>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</si>
  <si>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</si>
  <si>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</si>
  <si>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</si>
  <si>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</si>
  <si>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</si>
  <si>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</si>
  <si>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</si>
  <si>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</si>
  <si>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</si>
  <si>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</si>
  <si>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</si>
  <si>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</si>
  <si>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</si>
  <si>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</si>
  <si>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</si>
  <si>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</si>
  <si>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</si>
  <si>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</si>
  <si>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</si>
  <si>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</si>
  <si>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</si>
  <si>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</si>
  <si>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</si>
  <si>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</si>
  <si>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</si>
  <si>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</si>
  <si>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</si>
  <si>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</si>
  <si>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</si>
  <si>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</si>
  <si>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</si>
  <si>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</si>
  <si>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</si>
  <si>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</si>
  <si>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</si>
  <si>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</si>
  <si>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</si>
  <si>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</si>
  <si>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</si>
  <si>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</si>
  <si>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</si>
  <si>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</si>
  <si>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</si>
  <si>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</si>
  <si>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</si>
  <si>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</si>
  <si>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</si>
  <si>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</si>
  <si>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</si>
  <si>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</si>
  <si>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</si>
  <si>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</si>
  <si>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</si>
  <si>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</si>
  <si>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</si>
  <si>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</si>
  <si>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</si>
  <si>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</si>
  <si>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</si>
  <si>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</si>
  <si>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</si>
  <si>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</si>
  <si>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</si>
  <si>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</si>
  <si>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</si>
  <si>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</si>
  <si>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</si>
  <si>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</si>
  <si>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</si>
  <si>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</si>
  <si>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</si>
  <si>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</si>
  <si>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</si>
  <si>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</si>
  <si>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</si>
  <si>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</si>
  <si>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</si>
  <si>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</si>
  <si>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</si>
  <si>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</si>
  <si>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</si>
  <si>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</si>
  <si>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</si>
  <si>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</si>
  <si>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</si>
  <si>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</si>
  <si>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</si>
  <si>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</si>
  <si>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</si>
  <si>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</si>
  <si>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</si>
  <si>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</si>
  <si>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06 năm 2024 / As at 30 Jun 2024</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</si>
  <si>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</si>
  <si>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</si>
  <si>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</si>
  <si>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</si>
  <si>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</si>
  <si>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</si>
  <si>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</si>
  <si>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</si>
  <si>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</si>
  <si>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</si>
  <si>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</si>
  <si>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</si>
  <si>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</si>
  <si>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</si>
  <si>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</si>
  <si>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</si>
  <si>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CTG</t>
  </si>
  <si>
    <t>2246.3</t>
  </si>
  <si>
    <t>FPT</t>
  </si>
  <si>
    <t>2246.4</t>
  </si>
  <si>
    <t>GMD</t>
  </si>
  <si>
    <t>2246.5</t>
  </si>
  <si>
    <t>HDB</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</si>
  <si>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</si>
  <si>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</si>
  <si>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</si>
  <si>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</si>
  <si>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</si>
  <si>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</si>
  <si>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</si>
  <si>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</si>
  <si>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</si>
  <si>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</si>
  <si>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</si>
  <si>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</si>
  <si>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</si>
  <si>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</si>
  <si>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</si>
  <si>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</si>
  <si>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</si>
  <si>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</si>
  <si>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</si>
  <si>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</si>
  <si>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</si>
  <si>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</si>
  <si>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</si>
  <si>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</si>
  <si>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</si>
  <si>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</si>
  <si>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</si>
  <si>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</si>
  <si>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</si>
  <si>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</si>
  <si>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</si>
  <si>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</si>
  <si>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</si>
  <si>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19</t>
  </si>
  <si>
    <t>VRE</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</si>
  <si>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</si>
  <si>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</si>
  <si>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</si>
  <si>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</si>
  <si>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</si>
  <si>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</si>
  <si>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</si>
  <si>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</si>
  <si>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</si>
  <si>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</si>
  <si>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</si>
  <si>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</si>
  <si>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</si>
  <si>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</si>
  <si>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</si>
  <si>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</si>
  <si>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</si>
  <si>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</si>
  <si>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</si>
  <si>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</si>
  <si>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</si>
  <si>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</si>
  <si>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</si>
  <si>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</si>
  <si>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</si>
  <si>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</si>
  <si>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</si>
  <si>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</si>
  <si>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</si>
  <si>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</si>
  <si>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</si>
  <si>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</si>
  <si>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</si>
  <si>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</si>
  <si>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</si>
  <si>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</si>
  <si>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</si>
  <si>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</si>
  <si>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</si>
  <si>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</si>
  <si>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</si>
  <si>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</si>
  <si>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</si>
  <si>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</si>
  <si>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</si>
  <si>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</si>
  <si>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</si>
  <si>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</si>
  <si>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</si>
  <si>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</si>
  <si>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</si>
  <si>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</si>
  <si>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</si>
  <si>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</si>
  <si>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</si>
  <si>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</si>
  <si>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</si>
  <si>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</si>
  <si>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</si>
  <si>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</si>
  <si>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</si>
  <si>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</si>
  <si>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</si>
  <si>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</si>
  <si>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</si>
  <si>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</si>
  <si>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</si>
  <si>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</si>
  <si>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</si>
  <si>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</si>
  <si>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</si>
  <si>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</si>
  <si>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</si>
  <si>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</si>
  <si>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</si>
  <si>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</si>
  <si>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</si>
  <si>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</si>
  <si>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</si>
  <si>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</si>
  <si>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</si>
  <si>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</si>
  <si>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</si>
  <si>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</si>
  <si>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</si>
  <si>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</si>
  <si>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</si>
  <si>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</si>
  <si>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</si>
  <si>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</si>
  <si>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</si>
  <si>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</si>
  <si>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</si>
  <si>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</si>
  <si>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</si>
  <si>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</si>
  <si>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</si>
  <si>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</si>
  <si>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</si>
  <si>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</si>
  <si>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</si>
  <si>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</si>
  <si>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</si>
  <si>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</si>
  <si>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</si>
  <si>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</si>
  <si>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</si>
  <si>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</si>
  <si>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</si>
  <si>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</si>
  <si>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</si>
  <si>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</si>
  <si>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</si>
  <si>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</si>
  <si>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</si>
  <si>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</si>
  <si>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</si>
  <si>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</si>
  <si>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</si>
  <si>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</si>
  <si>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</si>
  <si>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</si>
  <si>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</si>
  <si>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</si>
  <si>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</si>
  <si>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</si>
  <si>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</si>
  <si>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</si>
  <si>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</si>
  <si>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</si>
  <si>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</si>
  <si>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</si>
  <si>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</si>
  <si>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</si>
  <si>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</si>
  <si>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</si>
  <si>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</si>
  <si>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</si>
  <si>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</si>
  <si>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</si>
  <si>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</si>
  <si>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</si>
  <si>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</si>
  <si>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</si>
  <si>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</si>
  <si>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</si>
  <si>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</si>
  <si>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</si>
  <si>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</si>
  <si>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</si>
  <si>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</si>
  <si>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</si>
  <si>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</si>
  <si>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</si>
  <si>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</si>
  <si>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</si>
  <si>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</si>
  <si>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</si>
  <si>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</si>
  <si>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</si>
  <si>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</si>
  <si>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</si>
  <si>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</si>
  <si>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</si>
  <si>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</si>
  <si>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</si>
  <si>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Vương Thị Trâm Anh</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</si>
  <si>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</si>
  <si>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</si>
  <si>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</si>
  <si>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</si>
  <si>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</si>
  <si>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</si>
  <si>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2024
YEAR 2024</t>
  </si>
  <si>
    <t>NĂM 2023
YEAR 2023</t>
  </si>
  <si>
    <t>Số lũy kế
Year-to-date</t>
  </si>
  <si>
    <t>Tháng 06 năm 2023
Jun 2023</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</si>
  <si>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</si>
  <si>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</si>
  <si>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</si>
  <si>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</si>
  <si>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</si>
  <si>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</si>
  <si>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</si>
  <si>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</si>
  <si>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</si>
  <si>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</si>
  <si>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</si>
  <si>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</si>
  <si>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</si>
  <si>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</si>
  <si>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</si>
  <si>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</si>
  <si>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</si>
  <si>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</si>
  <si>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</si>
  <si>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</si>
  <si>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</si>
  <si>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</si>
  <si>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</si>
  <si>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</si>
  <si>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</si>
  <si>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</si>
  <si>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</si>
  <si>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</si>
  <si>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</si>
  <si>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</si>
  <si>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</si>
  <si>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</si>
  <si>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</si>
  <si>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</si>
  <si>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</si>
  <si>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</si>
  <si>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</si>
  <si>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</si>
  <si>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</si>
  <si>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</si>
  <si>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</si>
  <si>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</si>
  <si>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</si>
  <si>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</si>
  <si>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</si>
  <si>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</si>
  <si>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</si>
  <si>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</si>
  <si>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</si>
  <si>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</si>
  <si>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</si>
  <si>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</si>
  <si>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</si>
  <si>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</si>
  <si>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</si>
  <si>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</si>
  <si>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</si>
  <si>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</si>
  <si>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</si>
  <si>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</si>
  <si>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</si>
  <si>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</si>
  <si>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</si>
  <si>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</si>
  <si>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</si>
  <si>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</si>
  <si>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</si>
  <si>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</si>
  <si>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</si>
  <si>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</si>
  <si>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</si>
  <si>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</si>
  <si>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</si>
  <si>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</si>
  <si>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</si>
  <si>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</si>
  <si>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</si>
  <si>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</si>
  <si>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</si>
  <si>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</si>
  <si>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</si>
  <si>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</si>
  <si>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</si>
  <si>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</si>
  <si>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</si>
  <si>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</si>
  <si>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</si>
  <si>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</si>
  <si>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</si>
  <si>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</si>
  <si>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</si>
  <si>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</si>
  <si>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</si>
  <si>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</si>
  <si>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</si>
  <si>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</si>
  <si>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</si>
  <si>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</si>
  <si>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</si>
  <si>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</si>
  <si>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</si>
  <si>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</si>
  <si>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</si>
  <si>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</si>
  <si>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</si>
  <si>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</si>
  <si>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</si>
  <si>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</si>
  <si>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</si>
  <si>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</si>
  <si>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</si>
  <si>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</si>
  <si>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</si>
  <si>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</si>
  <si>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</si>
  <si>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</si>
  <si>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</si>
  <si>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</si>
  <si>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</si>
  <si>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</si>
  <si>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</si>
  <si>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</si>
  <si>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</si>
  <si>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</si>
  <si>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</si>
  <si>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</si>
  <si>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30 tháng 06 năm 2024 / As at 30 Jun 2024</t>
  </si>
  <si>
    <t>CHỈ TIÊU
Indicators</t>
  </si>
  <si>
    <t>Thuyết minh
Notes</t>
  </si>
  <si>
    <t>Tại ngày 30 tháng 06  năm 2024 
As at 30 Jun 2024</t>
  </si>
  <si>
    <t>Tại ngày 31 tháng 05  năm 2024 
As at 31 May 2024</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</si>
  <si>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</si>
  <si>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</si>
  <si>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</si>
  <si>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</si>
  <si>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</si>
  <si>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</si>
  <si>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</si>
  <si>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</si>
  <si>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</si>
  <si>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</si>
  <si>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</si>
  <si>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</si>
  <si>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</si>
  <si>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</si>
  <si>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</si>
  <si>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</si>
  <si>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</si>
  <si>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</si>
  <si>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</si>
  <si>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</si>
  <si>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</si>
  <si>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</si>
  <si>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</si>
  <si>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</si>
  <si>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</si>
  <si>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</si>
  <si>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</si>
  <si>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</si>
  <si>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</si>
  <si>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</si>
  <si>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</si>
  <si>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</si>
  <si>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</si>
  <si>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</si>
  <si>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</si>
  <si>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</si>
  <si>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</si>
  <si>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</si>
  <si>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</si>
  <si>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</si>
  <si>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</si>
  <si>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</si>
  <si>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</si>
  <si>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</si>
  <si>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</si>
  <si>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</si>
  <si>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</si>
  <si>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</si>
  <si>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</si>
  <si>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</si>
  <si>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</si>
  <si>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</si>
  <si>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</si>
  <si>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</si>
  <si>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</si>
  <si>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</si>
  <si>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</si>
  <si>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</si>
  <si>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</si>
  <si>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</si>
  <si>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</si>
  <si>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</si>
  <si>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</si>
  <si>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</si>
  <si>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</si>
  <si>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</si>
  <si>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</si>
  <si>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</si>
  <si>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</si>
  <si>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</si>
  <si>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</si>
  <si>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</si>
  <si>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</si>
  <si>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</si>
  <si>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</si>
  <si>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</si>
  <si>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</si>
  <si>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</si>
  <si>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</si>
  <si>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</si>
  <si>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</si>
  <si>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</si>
  <si>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</si>
  <si>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</si>
  <si>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</si>
  <si>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</si>
  <si>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</si>
  <si>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</si>
  <si>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</si>
  <si>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</si>
  <si>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</si>
  <si>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</si>
  <si>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</si>
  <si>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</si>
  <si>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</si>
  <si>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</si>
  <si>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</si>
  <si>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</si>
  <si>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</si>
  <si>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</si>
  <si>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</si>
  <si>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</si>
  <si>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</si>
  <si>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</si>
  <si>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</si>
  <si>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</si>
  <si>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</si>
  <si>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</si>
  <si>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</si>
  <si>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</si>
  <si>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</si>
  <si>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</si>
  <si>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</si>
  <si>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</si>
  <si>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</si>
  <si>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</si>
  <si>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</si>
  <si>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</si>
  <si>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</si>
  <si>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</si>
  <si>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</si>
  <si>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</si>
  <si>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</si>
  <si>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</si>
  <si>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</si>
  <si>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</si>
  <si>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</si>
  <si>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</si>
  <si>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</si>
  <si>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</si>
  <si>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</si>
  <si>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</si>
  <si>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</si>
  <si>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</si>
  <si>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</si>
  <si>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</si>
  <si>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</si>
  <si>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</si>
  <si>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</si>
  <si>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</si>
  <si>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</si>
  <si>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</si>
  <si>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</si>
  <si>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</si>
  <si>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</si>
  <si>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</si>
  <si>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</si>
  <si>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</si>
  <si>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</si>
  <si>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</si>
  <si>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</si>
  <si>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</si>
  <si>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</si>
  <si>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</si>
  <si>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</si>
  <si>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</si>
  <si>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</si>
  <si>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</si>
  <si>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</si>
  <si>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</si>
  <si>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</si>
  <si>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</si>
  <si>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</si>
  <si>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</si>
  <si>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</si>
  <si>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</si>
  <si>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</si>
  <si>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</si>
  <si>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</si>
  <si>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</si>
  <si>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</si>
  <si>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</si>
  <si>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</si>
  <si>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</si>
  <si>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</si>
  <si>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</si>
  <si>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</si>
  <si>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</si>
  <si>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</si>
  <si>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</si>
  <si>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</si>
  <si>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</si>
  <si>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</si>
  <si>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</si>
  <si>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</si>
  <si>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</si>
  <si>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</si>
  <si>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</si>
  <si>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</si>
  <si>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</si>
  <si>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</si>
  <si>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</si>
  <si>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</si>
  <si>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</si>
  <si>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</si>
  <si>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</si>
  <si>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</si>
  <si>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</si>
  <si>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</si>
  <si>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</si>
  <si>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</si>
  <si>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</si>
  <si>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</si>
  <si>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</si>
  <si>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</si>
  <si>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</si>
  <si>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</si>
  <si>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</si>
  <si>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</si>
  <si>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</si>
  <si>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</si>
  <si>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</si>
  <si>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</si>
  <si>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</si>
  <si>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</si>
  <si>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</si>
  <si>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</si>
  <si>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</si>
  <si>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</si>
  <si>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</si>
  <si>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</si>
  <si>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</si>
  <si>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</si>
  <si>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</si>
  <si>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</si>
  <si>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</si>
  <si>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</si>
  <si>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</si>
  <si>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</si>
  <si>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</si>
  <si>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</si>
  <si>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</si>
  <si>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</si>
  <si>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</si>
  <si>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</si>
  <si>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</si>
  <si>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</si>
  <si>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</si>
  <si>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</si>
  <si>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</si>
  <si>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</si>
  <si>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</si>
  <si>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</si>
  <si>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</si>
  <si>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</si>
  <si>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</si>
  <si>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</si>
  <si>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</si>
  <si>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</si>
  <si>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</si>
  <si>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</si>
  <si>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</si>
  <si>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</si>
  <si>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</si>
  <si>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</si>
  <si>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</si>
  <si>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</si>
  <si>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</si>
  <si>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</si>
  <si>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</si>
  <si>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</si>
  <si>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</si>
  <si>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</si>
  <si>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</si>
  <si>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</si>
  <si>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</si>
  <si>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</si>
  <si>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</si>
  <si>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</si>
  <si>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</si>
  <si>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</si>
  <si>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</si>
  <si>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</si>
  <si>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</si>
  <si>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</si>
  <si>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</si>
  <si>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</si>
  <si>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</si>
  <si>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</si>
  <si>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</si>
  <si>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</si>
  <si>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</si>
  <si>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</si>
  <si>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</si>
  <si>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</si>
  <si>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</si>
  <si>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</si>
  <si>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</si>
  <si>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</si>
  <si>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</si>
  <si>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</si>
  <si>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</si>
  <si>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</si>
  <si>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</si>
  <si>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</si>
  <si>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</si>
  <si>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</si>
  <si>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</si>
  <si>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</si>
  <si>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</si>
  <si>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</si>
  <si>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</si>
  <si>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</si>
  <si>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</si>
  <si>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</si>
  <si>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</si>
  <si>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</si>
  <si>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</si>
  <si>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</si>
  <si>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</si>
  <si>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</si>
  <si>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</si>
  <si>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</si>
  <si>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06 năm 2024/ Jun 2024</t>
  </si>
  <si>
    <t>Tại ngày 30 tháng 06 năm 2024/ As at 30 Jun 2024</t>
  </si>
  <si>
    <t>Trưởng phòng Kế toán Quỹ</t>
  </si>
  <si>
    <t>Ninh Thị Tuệ Minh</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</si>
  <si>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366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366 / number of data period days;
• The data period is from January 1 of the fiscal year to the last day of the reporting period;
• Total expense is not including brokerage fees.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</si>
  <si>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</si>
  <si>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005</t>
  </si>
  <si>
    <t>Số lượng Chứng khoán bị hạn chế đang nắm giữ hộ Nhà đầu tư
Restricted securities quantity fund holds on behalf of AP/ investors</t>
  </si>
  <si>
    <t>Mẫu số B03 - ETF: Mẫu báo cáo thay đổi giá trị tài sản ròng, giao dịch CCQ
Template B03 - ETF: Report on change of Net Asset Value, trading of Fund Certificate</t>
  </si>
  <si>
    <t>Trưởng phòng Kế toán quỹ</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</si>
</sst>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8"/>
      <color rgb="FF000000"/>
      <name val="Tahoma"/>
      <family val="2"/>
    </font>
    <font>
      <b/>
      <sz val="10"/>
      <color rgb="FF000000"/>
      <name val="Tahoma"/>
      <family val="2"/>
    </font>
    <font>
      <i/>
      <sz val="7"/>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47">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25" fillId="6" borderId="0" xfId="0" applyFont="1" applyFill="1" applyAlignment="1">
      <alignment horizontal="left" vertical="top"/>
    </xf>
    <xf numFmtId="0" fontId="25" fillId="6" borderId="0" xfId="0" applyFont="1" applyFill="1" applyAlignment="1">
      <alignment horizontal="left" vertical="top"/>
    </xf>
    <xf numFmtId="0" fontId="22" fillId="0" borderId="0" xfId="0" applyFont="1"/>
    <xf numFmtId="0" fontId="10" fillId="0" borderId="0" xfId="0" applyFont="1"/>
    <xf numFmtId="0" fontId="30" fillId="6" borderId="0" xfId="0" applyFont="1" applyFill="1" applyAlignment="1">
      <alignment horizontal="left" vertical="center"/>
    </xf>
    <xf numFmtId="0" fontId="30" fillId="6" borderId="0" xfId="0" applyFont="1" applyFill="1" applyAlignment="1">
      <alignment horizontal="left" vertical="top"/>
    </xf>
    <xf numFmtId="0" fontId="25" fillId="6" borderId="0" xfId="0" applyFont="1" applyFill="1" applyAlignment="1">
      <alignment horizontal="left" vertical="center"/>
    </xf>
    <xf numFmtId="0" fontId="25" fillId="6" borderId="16" xfId="0" applyFont="1" applyFill="1" applyBorder="1" applyAlignment="1">
      <alignment horizontal="left" vertical="top"/>
    </xf>
    <xf numFmtId="0" fontId="25" fillId="6" borderId="16" xfId="0" applyFont="1" applyFill="1" applyBorder="1" applyAlignment="1">
      <alignment horizontal="left" vertical="top"/>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21" xfId="0" applyNumberFormat="1" applyFont="1" applyFill="1" applyBorder="1" applyAlignment="1" applyProtection="1">
      <alignment horizontal="center" vertical="center" wrapText="1"/>
    </xf>
    <xf numFmtId="0" fontId="30" fillId="6" borderId="22" xfId="0" applyFont="1" applyFill="1" applyBorder="1" applyAlignment="1">
      <alignment horizontal="left" vertical="center" wrapText="1"/>
    </xf>
    <xf numFmtId="0" fontId="30" fillId="6" borderId="1" xfId="0" applyFont="1" applyFill="1" applyBorder="1" applyAlignment="1">
      <alignment horizontal="center" vertical="center" wrapText="1"/>
    </xf>
    <xf numFmtId="0" fontId="30"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71" fontId="30" fillId="6" borderId="23" xfId="2" applyNumberFormat="1" applyFont="1" applyFill="1" applyBorder="1" applyAlignment="1">
      <alignment horizontal="right" vertical="center"/>
    </xf>
    <xf numFmtId="0" fontId="22" fillId="0" borderId="0" xfId="0" applyFont="1" applyAlignment="1">
      <alignment vertical="center"/>
    </xf>
    <xf numFmtId="0" fontId="25" fillId="6" borderId="22"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25" fillId="6" borderId="1" xfId="0" applyFont="1" applyFill="1" applyBorder="1" applyAlignment="1">
      <alignment horizontal="center" vertical="center"/>
    </xf>
    <xf numFmtId="171" fontId="25" fillId="6" borderId="1" xfId="2" applyNumberFormat="1" applyFont="1" applyFill="1" applyBorder="1" applyAlignment="1">
      <alignment horizontal="right" vertical="center"/>
    </xf>
    <xf numFmtId="171" fontId="25" fillId="6" borderId="23" xfId="2" applyNumberFormat="1" applyFont="1" applyFill="1" applyBorder="1" applyAlignment="1">
      <alignment horizontal="right" vertical="center"/>
    </xf>
    <xf numFmtId="0" fontId="31" fillId="6" borderId="22" xfId="0" applyFont="1" applyFill="1" applyBorder="1" applyAlignment="1">
      <alignment horizontal="left" vertical="center" wrapText="1"/>
    </xf>
    <xf numFmtId="0" fontId="31" fillId="6" borderId="1" xfId="0" applyFont="1" applyFill="1" applyBorder="1" applyAlignment="1">
      <alignment horizontal="center" vertical="center" wrapText="1"/>
    </xf>
    <xf numFmtId="0" fontId="31" fillId="6" borderId="1" xfId="0" applyFont="1" applyFill="1" applyBorder="1" applyAlignment="1">
      <alignment horizontal="center" vertical="center"/>
    </xf>
    <xf numFmtId="171" fontId="31" fillId="6" borderId="1" xfId="2" applyNumberFormat="1" applyFont="1" applyFill="1" applyBorder="1" applyAlignment="1">
      <alignment horizontal="right" vertical="center"/>
    </xf>
    <xf numFmtId="171" fontId="31" fillId="6" borderId="23" xfId="2" applyNumberFormat="1" applyFont="1" applyFill="1" applyBorder="1" applyAlignment="1">
      <alignment horizontal="right" vertical="center"/>
    </xf>
    <xf numFmtId="0" fontId="30" fillId="6" borderId="24" xfId="0" applyFont="1" applyFill="1" applyBorder="1" applyAlignment="1">
      <alignment horizontal="left" vertical="center" wrapText="1"/>
    </xf>
    <xf numFmtId="0" fontId="30" fillId="6" borderId="25" xfId="0" applyFont="1" applyFill="1" applyBorder="1" applyAlignment="1">
      <alignment horizontal="center" vertical="center" wrapText="1"/>
    </xf>
    <xf numFmtId="0" fontId="30" fillId="6" borderId="25" xfId="0" applyFont="1" applyFill="1" applyBorder="1" applyAlignment="1">
      <alignment horizontal="center" vertical="center"/>
    </xf>
    <xf numFmtId="171" fontId="30" fillId="6" borderId="25" xfId="2" applyNumberFormat="1" applyFont="1" applyFill="1" applyBorder="1" applyAlignment="1">
      <alignment horizontal="right" vertical="center"/>
    </xf>
    <xf numFmtId="171" fontId="30" fillId="6" borderId="26" xfId="2" applyNumberFormat="1" applyFont="1" applyFill="1" applyBorder="1" applyAlignment="1">
      <alignment horizontal="right" vertical="center"/>
    </xf>
    <xf numFmtId="0" fontId="30" fillId="6" borderId="0" xfId="0" applyFont="1" applyFill="1" applyAlignment="1">
      <alignment horizontal="center" vertical="top"/>
    </xf>
    <xf numFmtId="0" fontId="31" fillId="6" borderId="0" xfId="0" applyFont="1" applyFill="1" applyAlignment="1">
      <alignment horizontal="center" vertical="top"/>
    </xf>
    <xf numFmtId="0" fontId="31" fillId="6" borderId="0" xfId="0" applyFont="1" applyFill="1" applyAlignment="1">
      <alignment horizontal="center" vertical="center"/>
    </xf>
    <xf numFmtId="0" fontId="31" fillId="6" borderId="0" xfId="0" applyFont="1" applyFill="1" applyAlignment="1">
      <alignment horizontal="center"/>
    </xf>
    <xf numFmtId="0" fontId="30" fillId="6" borderId="0" xfId="0" applyFont="1" applyFill="1" applyAlignment="1">
      <alignment horizontal="center" vertical="top"/>
    </xf>
    <xf numFmtId="0" fontId="22" fillId="0" borderId="0" xfId="0" applyFont="1" applyAlignment="1">
      <alignment wrapText="1"/>
    </xf>
    <xf numFmtId="0" fontId="31" fillId="6" borderId="0" xfId="0" applyFont="1" applyFill="1" applyAlignment="1">
      <alignment horizontal="righ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14" fontId="30" fillId="3" borderId="18" xfId="0" applyNumberFormat="1" applyFont="1" applyFill="1" applyBorder="1" applyAlignment="1">
      <alignment horizontal="center" vertical="center" wrapText="1"/>
    </xf>
    <xf numFmtId="0" fontId="30" fillId="3" borderId="19" xfId="0" applyFont="1" applyFill="1" applyBorder="1" applyAlignment="1">
      <alignment horizontal="center" vertical="center" wrapText="1"/>
    </xf>
    <xf numFmtId="167" fontId="30" fillId="6" borderId="22"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3"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3" xfId="2" applyNumberFormat="1" applyFont="1" applyFill="1" applyBorder="1" applyAlignment="1">
      <alignment horizontal="right" vertical="top"/>
    </xf>
    <xf numFmtId="171" fontId="22" fillId="0" borderId="0" xfId="0" applyNumberFormat="1" applyFont="1"/>
    <xf numFmtId="167" fontId="25" fillId="6" borderId="22"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3" xfId="2" applyNumberFormat="1" applyFont="1" applyFill="1" applyBorder="1" applyAlignment="1">
      <alignment horizontal="right" vertical="top"/>
    </xf>
    <xf numFmtId="167" fontId="31" fillId="6" borderId="22" xfId="0" applyNumberFormat="1" applyFont="1" applyFill="1" applyBorder="1" applyAlignment="1">
      <alignment horizontal="center" vertical="top"/>
    </xf>
    <xf numFmtId="167" fontId="31" fillId="6" borderId="1" xfId="0" applyNumberFormat="1" applyFont="1" applyFill="1" applyBorder="1" applyAlignment="1">
      <alignment horizontal="left" vertical="top" wrapText="1"/>
    </xf>
    <xf numFmtId="167" fontId="31" fillId="6" borderId="1" xfId="0" applyNumberFormat="1" applyFont="1" applyFill="1" applyBorder="1" applyAlignment="1">
      <alignment horizontal="center" vertical="top"/>
    </xf>
    <xf numFmtId="171" fontId="31" fillId="6" borderId="1" xfId="2" applyNumberFormat="1" applyFont="1" applyFill="1" applyBorder="1" applyAlignment="1">
      <alignment horizontal="right" vertical="top"/>
    </xf>
    <xf numFmtId="171" fontId="31" fillId="6" borderId="23" xfId="2" applyNumberFormat="1" applyFont="1" applyFill="1" applyBorder="1" applyAlignment="1">
      <alignment horizontal="right" vertical="top"/>
    </xf>
    <xf numFmtId="4" fontId="30" fillId="6" borderId="22"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3"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3" xfId="2" applyFont="1" applyFill="1" applyBorder="1" applyAlignment="1">
      <alignment horizontal="right" vertical="top"/>
    </xf>
    <xf numFmtId="167" fontId="25" fillId="6" borderId="24" xfId="0" applyNumberFormat="1" applyFont="1" applyFill="1" applyBorder="1" applyAlignment="1">
      <alignment horizontal="center" vertical="top"/>
    </xf>
    <xf numFmtId="167" fontId="25" fillId="6" borderId="25" xfId="0" applyNumberFormat="1" applyFont="1" applyFill="1" applyBorder="1" applyAlignment="1">
      <alignment horizontal="left" vertical="top" wrapText="1"/>
    </xf>
    <xf numFmtId="49" fontId="25" fillId="6" borderId="25" xfId="0" applyNumberFormat="1" applyFont="1" applyFill="1" applyBorder="1" applyAlignment="1">
      <alignment horizontal="center" vertical="top"/>
    </xf>
    <xf numFmtId="171" fontId="25" fillId="6" borderId="25" xfId="2" applyNumberFormat="1" applyFont="1" applyFill="1" applyBorder="1" applyAlignment="1">
      <alignment horizontal="right" vertical="top"/>
    </xf>
    <xf numFmtId="171" fontId="25" fillId="6" borderId="26"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22" fillId="0" borderId="0" xfId="0" applyFont="1" applyAlignment="1">
      <alignment vertical="top"/>
    </xf>
    <xf numFmtId="0" fontId="25" fillId="6" borderId="0" xfId="0" applyFont="1" applyFill="1" applyAlignment="1">
      <alignment horizontal="left" vertical="top"/>
    </xf>
    <xf numFmtId="0" fontId="30" fillId="6" borderId="0" xfId="0" applyFont="1" applyFill="1" applyAlignment="1">
      <alignment horizontal="center" vertical="top"/>
    </xf>
    <xf numFmtId="0" fontId="25" fillId="6" borderId="16" xfId="0" applyFont="1" applyFill="1" applyBorder="1" applyAlignment="1">
      <alignment horizontal="lef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6" borderId="0" xfId="0" applyFont="1" applyFill="1" applyAlignment="1">
      <alignment horizontal="center" vertical="top" wrapText="1"/>
    </xf>
    <xf numFmtId="0" fontId="30" fillId="6" borderId="0" xfId="0" applyFont="1" applyFill="1" applyAlignment="1">
      <alignment horizontal="right" vertical="center"/>
    </xf>
    <xf numFmtId="0" fontId="25" fillId="6" borderId="0" xfId="0" applyFont="1" applyFill="1" applyAlignment="1">
      <alignment horizontal="center" vertical="top"/>
    </xf>
    <xf numFmtId="0" fontId="25" fillId="6" borderId="22" xfId="0" applyFont="1" applyFill="1" applyBorder="1" applyAlignment="1">
      <alignment horizontal="center" vertical="center"/>
    </xf>
    <xf numFmtId="0" fontId="25" fillId="6" borderId="1" xfId="0" applyFont="1" applyFill="1" applyBorder="1" applyAlignment="1">
      <alignment horizontal="left" vertical="center" wrapText="1"/>
    </xf>
    <xf numFmtId="164" fontId="25" fillId="6" borderId="23" xfId="0" applyNumberFormat="1" applyFont="1" applyFill="1" applyBorder="1" applyAlignment="1">
      <alignment horizontal="right" vertical="center"/>
    </xf>
    <xf numFmtId="0" fontId="30" fillId="6" borderId="22" xfId="0" applyFont="1" applyFill="1" applyBorder="1" applyAlignment="1">
      <alignment horizontal="center" vertical="center"/>
    </xf>
    <xf numFmtId="0" fontId="30" fillId="6" borderId="1" xfId="0" applyFont="1" applyFill="1" applyBorder="1" applyAlignment="1">
      <alignment horizontal="left" vertical="center" wrapText="1"/>
    </xf>
    <xf numFmtId="164" fontId="30" fillId="6" borderId="23"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3" xfId="0" applyNumberFormat="1" applyFont="1" applyFill="1" applyBorder="1" applyAlignment="1">
      <alignment horizontal="right" vertical="center"/>
    </xf>
    <xf numFmtId="171" fontId="31" fillId="0" borderId="1" xfId="2" applyNumberFormat="1" applyFont="1" applyFill="1" applyBorder="1" applyAlignment="1">
      <alignment horizontal="right" vertical="center"/>
    </xf>
    <xf numFmtId="0" fontId="25" fillId="6" borderId="24" xfId="0" applyFont="1" applyFill="1" applyBorder="1" applyAlignment="1">
      <alignment horizontal="center" vertical="center"/>
    </xf>
    <xf numFmtId="0" fontId="25" fillId="6" borderId="25" xfId="0" applyFont="1" applyFill="1" applyBorder="1" applyAlignment="1">
      <alignment horizontal="left" vertical="center" wrapText="1"/>
    </xf>
    <xf numFmtId="0" fontId="25" fillId="6" borderId="25" xfId="0" applyFont="1" applyFill="1" applyBorder="1" applyAlignment="1">
      <alignment horizontal="center" vertical="center"/>
    </xf>
    <xf numFmtId="43" fontId="25" fillId="6" borderId="25" xfId="2" applyFont="1" applyFill="1" applyBorder="1" applyAlignment="1">
      <alignment horizontal="right" vertical="center"/>
    </xf>
    <xf numFmtId="164" fontId="25" fillId="6" borderId="26" xfId="0" applyNumberFormat="1" applyFont="1" applyFill="1" applyBorder="1" applyAlignment="1">
      <alignment horizontal="right" vertical="center"/>
    </xf>
    <xf numFmtId="0" fontId="30" fillId="6" borderId="0" xfId="0" applyFont="1" applyFill="1" applyAlignment="1">
      <alignment horizontal="center" vertical="center"/>
    </xf>
    <xf numFmtId="165" fontId="30" fillId="6" borderId="22"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65" fontId="25" fillId="6" borderId="22"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65" fontId="31" fillId="6" borderId="22" xfId="0" applyNumberFormat="1" applyFont="1" applyFill="1" applyBorder="1" applyAlignment="1">
      <alignment horizontal="center" vertical="center"/>
    </xf>
    <xf numFmtId="165" fontId="31" fillId="6" borderId="1" xfId="0" applyNumberFormat="1" applyFont="1" applyFill="1" applyBorder="1" applyAlignment="1">
      <alignment horizontal="left" vertical="center" wrapText="1"/>
    </xf>
    <xf numFmtId="165" fontId="31" fillId="6" borderId="1" xfId="0" applyNumberFormat="1" applyFont="1" applyFill="1" applyBorder="1" applyAlignment="1">
      <alignment horizontal="center" vertical="center"/>
    </xf>
    <xf numFmtId="165" fontId="25" fillId="6" borderId="24" xfId="0" applyNumberFormat="1" applyFont="1" applyFill="1" applyBorder="1" applyAlignment="1">
      <alignment horizontal="center" vertical="center"/>
    </xf>
    <xf numFmtId="165" fontId="25" fillId="6" borderId="25" xfId="0" applyNumberFormat="1" applyFont="1" applyFill="1" applyBorder="1" applyAlignment="1">
      <alignment horizontal="left" vertical="center" wrapText="1"/>
    </xf>
    <xf numFmtId="165" fontId="25" fillId="6" borderId="25" xfId="0" applyNumberFormat="1" applyFont="1" applyFill="1" applyBorder="1" applyAlignment="1">
      <alignment horizontal="center" vertical="center"/>
    </xf>
    <xf numFmtId="171" fontId="25" fillId="6" borderId="25" xfId="2" applyNumberFormat="1" applyFont="1" applyFill="1" applyBorder="1" applyAlignment="1">
      <alignment horizontal="right" vertical="center"/>
    </xf>
    <xf numFmtId="171" fontId="25" fillId="6" borderId="26" xfId="2" applyNumberFormat="1" applyFont="1" applyFill="1" applyBorder="1" applyAlignment="1">
      <alignment horizontal="right" vertical="center"/>
    </xf>
    <xf numFmtId="0" fontId="31"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43" fontId="25" fillId="6" borderId="23" xfId="2" applyFont="1" applyFill="1" applyBorder="1" applyAlignment="1">
      <alignment horizontal="right" vertical="center"/>
    </xf>
    <xf numFmtId="43" fontId="25" fillId="6" borderId="1" xfId="2" applyFont="1" applyFill="1" applyBorder="1" applyAlignment="1">
      <alignment horizontal="right" vertical="center"/>
    </xf>
    <xf numFmtId="165" fontId="22" fillId="0" borderId="0" xfId="0" applyNumberFormat="1" applyFont="1" applyAlignment="1">
      <alignment vertical="center"/>
    </xf>
    <xf numFmtId="0" fontId="30" fillId="3" borderId="27" xfId="0" applyFont="1" applyFill="1" applyBorder="1" applyAlignment="1">
      <alignment horizontal="center" vertical="center" wrapText="1"/>
    </xf>
    <xf numFmtId="0" fontId="30" fillId="3" borderId="28" xfId="0" applyFont="1" applyFill="1" applyBorder="1" applyAlignment="1">
      <alignment horizontal="center" vertical="center" wrapText="1"/>
    </xf>
    <xf numFmtId="0" fontId="30" fillId="3" borderId="29" xfId="0" applyFont="1" applyFill="1" applyBorder="1" applyAlignment="1">
      <alignment horizontal="center" vertical="center" wrapText="1"/>
    </xf>
    <xf numFmtId="0" fontId="31" fillId="6" borderId="16" xfId="0" applyFont="1" applyFill="1" applyBorder="1" applyAlignment="1">
      <alignment horizontal="right" vertical="center"/>
    </xf>
    <xf numFmtId="3" fontId="30" fillId="6" borderId="1" xfId="0" applyNumberFormat="1" applyFont="1" applyFill="1" applyBorder="1" applyAlignment="1">
      <alignment horizontal="right" vertical="center"/>
    </xf>
    <xf numFmtId="3" fontId="30" fillId="6" borderId="23"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3"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3"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3" fontId="25" fillId="0" borderId="25" xfId="0" applyNumberFormat="1" applyFont="1" applyFill="1" applyBorder="1" applyAlignment="1">
      <alignment horizontal="right" vertical="center" wrapText="1"/>
    </xf>
    <xf numFmtId="3" fontId="25" fillId="0" borderId="26" xfId="0" applyNumberFormat="1" applyFont="1" applyFill="1" applyBorder="1" applyAlignment="1">
      <alignment horizontal="right" vertical="center"/>
    </xf>
    <xf numFmtId="0" fontId="25" fillId="0" borderId="0" xfId="0" applyFont="1" applyAlignment="1">
      <alignment horizontal="left" vertical="center"/>
    </xf>
    <xf numFmtId="0" fontId="30" fillId="6" borderId="0" xfId="0" applyFont="1" applyFill="1" applyAlignment="1">
      <alignment vertical="center" wrapText="1"/>
    </xf>
    <xf numFmtId="165" fontId="30" fillId="6" borderId="22"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2"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4" xfId="0" applyNumberFormat="1" applyFont="1" applyFill="1" applyBorder="1" applyAlignment="1">
      <alignment horizontal="center" vertical="top"/>
    </xf>
    <xf numFmtId="4" fontId="30" fillId="6" borderId="25" xfId="0" applyNumberFormat="1" applyFont="1" applyFill="1" applyBorder="1" applyAlignment="1">
      <alignment horizontal="left" vertical="top" wrapText="1"/>
    </xf>
    <xf numFmtId="4" fontId="30" fillId="6" borderId="25" xfId="0" applyNumberFormat="1" applyFont="1" applyFill="1" applyBorder="1" applyAlignment="1">
      <alignment horizontal="center" vertical="top"/>
    </xf>
    <xf numFmtId="43" fontId="30" fillId="6" borderId="25" xfId="2" applyFont="1" applyFill="1" applyBorder="1" applyAlignment="1">
      <alignment horizontal="right" vertical="top"/>
    </xf>
    <xf numFmtId="43" fontId="30" fillId="6" borderId="26" xfId="2" applyFont="1" applyFill="1" applyBorder="1" applyAlignment="1">
      <alignment horizontal="right" vertical="top"/>
    </xf>
    <xf numFmtId="4" fontId="22" fillId="0" borderId="0" xfId="0" applyNumberFormat="1" applyFont="1"/>
    <xf numFmtId="0" fontId="22" fillId="0" borderId="0" xfId="0" applyFont="1" applyAlignment="1">
      <alignment vertical="top" wrapText="1"/>
    </xf>
    <xf numFmtId="171" fontId="22" fillId="0" borderId="0" xfId="0" applyNumberFormat="1" applyFont="1" applyAlignment="1">
      <alignment vertical="center"/>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168" fontId="13" fillId="2" borderId="7" xfId="4" applyNumberFormat="1" applyFont="1" applyFill="1" applyBorder="1" applyAlignment="1" applyProtection="1">
      <alignment horizontal="left" vertical="top"/>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10" fillId="4" borderId="11" xfId="0" applyFont="1" applyFill="1" applyBorder="1" applyAlignment="1">
      <alignment horizontal="left"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3"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1" fillId="6" borderId="0" xfId="0" applyFont="1" applyFill="1" applyAlignment="1">
      <alignment horizontal="left" vertical="center"/>
    </xf>
    <xf numFmtId="0" fontId="31"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31" fillId="6" borderId="0" xfId="0" applyFont="1" applyFill="1" applyAlignment="1">
      <alignment horizontal="right" vertical="center"/>
    </xf>
    <xf numFmtId="0" fontId="25" fillId="6" borderId="1" xfId="0" applyFont="1" applyFill="1" applyBorder="1" applyAlignment="1">
      <alignment horizontal="left" vertical="center" wrapText="1"/>
    </xf>
    <xf numFmtId="0" fontId="30" fillId="3" borderId="18" xfId="0" applyFont="1" applyFill="1" applyBorder="1" applyAlignment="1">
      <alignment horizontal="center" vertical="center" wrapText="1"/>
    </xf>
    <xf numFmtId="0" fontId="25" fillId="6" borderId="30" xfId="0" applyFont="1" applyFill="1" applyBorder="1" applyAlignment="1">
      <alignment horizontal="left" vertical="center" wrapText="1"/>
    </xf>
    <xf numFmtId="0" fontId="25" fillId="6" borderId="31" xfId="0" applyFont="1" applyFill="1" applyBorder="1" applyAlignment="1">
      <alignment horizontal="left" vertical="center" wrapText="1"/>
    </xf>
    <xf numFmtId="0" fontId="25" fillId="6" borderId="32" xfId="0" applyFont="1" applyFill="1" applyBorder="1" applyAlignment="1">
      <alignment horizontal="left" vertical="center" wrapText="1"/>
    </xf>
    <xf numFmtId="0" fontId="25" fillId="6" borderId="25" xfId="0" applyFont="1" applyFill="1" applyBorder="1" applyAlignment="1">
      <alignment horizontal="left" vertical="center" wrapText="1"/>
    </xf>
    <xf numFmtId="0" fontId="31" fillId="6" borderId="0" xfId="0" applyFont="1" applyFill="1" applyAlignment="1">
      <alignment horizontal="center" vertical="top"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0" fillId="3" borderId="17" xfId="0" applyFont="1" applyFill="1" applyBorder="1" applyAlignment="1">
      <alignment horizontal="center" vertical="center" wrapText="1"/>
    </xf>
    <xf numFmtId="0" fontId="30" fillId="3" borderId="20"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1" fillId="6" borderId="0" xfId="0" applyFont="1" applyFill="1" applyAlignment="1">
      <alignment horizontal="center" vertical="center"/>
    </xf>
    <xf numFmtId="0" fontId="31"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4" fillId="6" borderId="0" xfId="0" applyFont="1" applyFill="1" applyAlignment="1">
      <alignment horizontal="center" vertical="center" wrapText="1"/>
    </xf>
    <xf numFmtId="0" fontId="33" fillId="6" borderId="0" xfId="0" applyFont="1" applyFill="1" applyAlignment="1">
      <alignment horizontal="center" vertical="top" wrapText="1"/>
    </xf>
    <xf numFmtId="0" fontId="31" fillId="6" borderId="0" xfId="0" applyFont="1" applyFill="1" applyAlignment="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76201</xdr:rowOff>
    </xdr:from>
    <xdr:to>
      <xdr:col>1</xdr:col>
      <xdr:colOff>1733550</xdr:colOff>
      <xdr:row>0</xdr:row>
      <xdr:rowOff>345445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1"/>
          <a:ext cx="2114550" cy="269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76200</xdr:rowOff>
    </xdr:from>
    <xdr:to>
      <xdr:col>1</xdr:col>
      <xdr:colOff>1847850</xdr:colOff>
      <xdr:row>0</xdr:row>
      <xdr:rowOff>345530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0"/>
          <a:ext cx="2105025" cy="269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1800225</xdr:colOff>
      <xdr:row>0</xdr:row>
      <xdr:rowOff>269330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105025" cy="269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981075</xdr:colOff>
      <xdr:row>0</xdr:row>
      <xdr:rowOff>269330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105025" cy="269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1</xdr:col>
      <xdr:colOff>304800</xdr:colOff>
      <xdr:row>0</xdr:row>
      <xdr:rowOff>333375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38100"/>
          <a:ext cx="23431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66675</xdr:rowOff>
    </xdr:from>
    <xdr:to>
      <xdr:col>1</xdr:col>
      <xdr:colOff>1733550</xdr:colOff>
      <xdr:row>1</xdr:row>
      <xdr:rowOff>21067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66675"/>
          <a:ext cx="2076450" cy="268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1743075</xdr:colOff>
      <xdr:row>0</xdr:row>
      <xdr:rowOff>268717</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76450" cy="268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C9" sqref="C9:D9"/>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43" t="s">
        <v>981</v>
      </c>
      <c r="B1" s="243"/>
    </row>
    <row r="2" spans="1:10" ht="15.75" customHeight="1">
      <c r="C2" s="244" t="s">
        <v>1065</v>
      </c>
      <c r="D2" s="245"/>
      <c r="E2" s="246"/>
    </row>
    <row r="3" spans="1:10" ht="15.75" customHeight="1">
      <c r="A3" s="2"/>
      <c r="B3" s="2"/>
      <c r="C3" s="247" t="s">
        <v>1064</v>
      </c>
      <c r="D3" s="248"/>
      <c r="E3" s="249"/>
    </row>
    <row r="4" spans="1:10">
      <c r="A4" s="2"/>
      <c r="B4" s="2"/>
    </row>
    <row r="5" spans="1:10">
      <c r="A5" s="250" t="s">
        <v>982</v>
      </c>
      <c r="B5" s="250"/>
    </row>
    <row r="6" spans="1:10">
      <c r="A6" s="2"/>
      <c r="B6" s="2"/>
      <c r="C6" s="251" t="s">
        <v>10</v>
      </c>
      <c r="D6" s="252"/>
      <c r="E6" s="3" t="s">
        <v>983</v>
      </c>
      <c r="F6" s="4"/>
      <c r="G6" s="4"/>
      <c r="H6" s="4"/>
      <c r="I6" s="5"/>
    </row>
    <row r="7" spans="1:10">
      <c r="A7" s="2"/>
      <c r="B7" s="2"/>
      <c r="C7" s="241" t="s">
        <v>12</v>
      </c>
      <c r="D7" s="242"/>
      <c r="E7" s="6" t="s">
        <v>13</v>
      </c>
      <c r="F7" s="7"/>
      <c r="G7" s="7"/>
      <c r="H7" s="7"/>
      <c r="I7" s="8"/>
      <c r="J7" s="9"/>
    </row>
    <row r="8" spans="1:10">
      <c r="A8" s="2"/>
      <c r="B8" s="2"/>
      <c r="C8" s="253" t="s">
        <v>385</v>
      </c>
      <c r="D8" s="254"/>
      <c r="E8" s="10" t="s">
        <v>984</v>
      </c>
      <c r="F8" s="11"/>
      <c r="G8" s="11"/>
      <c r="H8" s="11"/>
      <c r="I8" s="12"/>
      <c r="J8" s="9"/>
    </row>
    <row r="9" spans="1:10">
      <c r="A9" s="2"/>
      <c r="B9" s="2"/>
      <c r="C9" s="241" t="s">
        <v>985</v>
      </c>
      <c r="D9" s="242"/>
      <c r="E9" s="6" t="s">
        <v>613</v>
      </c>
      <c r="F9" s="7"/>
      <c r="G9" s="7"/>
      <c r="H9" s="7"/>
      <c r="I9" s="8"/>
      <c r="J9" s="9"/>
    </row>
    <row r="10" spans="1:10">
      <c r="A10" s="2"/>
      <c r="B10" s="2"/>
      <c r="C10" s="253" t="s">
        <v>5</v>
      </c>
      <c r="D10" s="254"/>
      <c r="E10" s="10" t="s">
        <v>986</v>
      </c>
      <c r="F10" s="11"/>
      <c r="G10" s="11"/>
      <c r="H10" s="11"/>
      <c r="I10" s="12"/>
      <c r="J10" s="9"/>
    </row>
    <row r="11" spans="1:10">
      <c r="A11" s="2"/>
      <c r="B11" s="2"/>
      <c r="C11" s="241" t="s">
        <v>987</v>
      </c>
      <c r="D11" s="242"/>
      <c r="E11" s="6" t="s">
        <v>988</v>
      </c>
      <c r="F11" s="7"/>
      <c r="G11" s="7"/>
      <c r="H11" s="7"/>
      <c r="I11" s="8"/>
      <c r="J11" s="9"/>
    </row>
    <row r="12" spans="1:10">
      <c r="A12" s="2"/>
      <c r="B12" s="2"/>
      <c r="C12" s="253" t="s">
        <v>20</v>
      </c>
      <c r="D12" s="254"/>
      <c r="E12" s="13">
        <v>45477</v>
      </c>
      <c r="F12" s="11"/>
      <c r="G12" s="11"/>
      <c r="H12" s="11"/>
      <c r="I12" s="12"/>
      <c r="J12" s="9"/>
    </row>
    <row r="13" spans="1:10">
      <c r="A13" s="2"/>
      <c r="B13" s="2"/>
      <c r="C13" s="262" t="s">
        <v>21</v>
      </c>
      <c r="D13" s="263"/>
      <c r="E13" s="255">
        <f>+E12</f>
        <v>45477</v>
      </c>
      <c r="F13" s="255"/>
      <c r="G13" s="255"/>
      <c r="H13" s="255"/>
      <c r="I13" s="14"/>
      <c r="J13" s="9"/>
    </row>
    <row r="14" spans="1:10">
      <c r="D14" s="15"/>
    </row>
    <row r="15" spans="1:10">
      <c r="A15" s="250" t="s">
        <v>989</v>
      </c>
      <c r="B15" s="250"/>
    </row>
    <row r="16" spans="1:10">
      <c r="C16" s="256" t="s">
        <v>221</v>
      </c>
      <c r="D16" s="257"/>
      <c r="E16" s="258"/>
      <c r="G16" s="256" t="s">
        <v>990</v>
      </c>
      <c r="H16" s="257"/>
      <c r="I16" s="258"/>
    </row>
    <row r="17" spans="3:9">
      <c r="C17" s="259" t="s">
        <v>223</v>
      </c>
      <c r="D17" s="260"/>
      <c r="E17" s="261"/>
      <c r="G17" s="259" t="s">
        <v>224</v>
      </c>
      <c r="H17" s="260"/>
      <c r="I17" s="261"/>
    </row>
    <row r="18" spans="3:9">
      <c r="C18" s="259"/>
      <c r="D18" s="260"/>
      <c r="E18" s="261"/>
      <c r="G18" s="265"/>
      <c r="H18" s="266"/>
      <c r="I18" s="267"/>
    </row>
    <row r="19" spans="3:9" ht="27" customHeight="1">
      <c r="C19" s="259"/>
      <c r="D19" s="260"/>
      <c r="E19" s="261"/>
      <c r="G19" s="265"/>
      <c r="H19" s="266"/>
      <c r="I19" s="267"/>
    </row>
    <row r="20" spans="3:9">
      <c r="C20" s="259"/>
      <c r="D20" s="260"/>
      <c r="E20" s="261"/>
      <c r="G20" s="265"/>
      <c r="H20" s="266"/>
      <c r="I20" s="267"/>
    </row>
    <row r="21" spans="3:9">
      <c r="C21" s="259"/>
      <c r="D21" s="260"/>
      <c r="E21" s="261"/>
      <c r="G21" s="265"/>
      <c r="H21" s="266"/>
      <c r="I21" s="267"/>
    </row>
    <row r="22" spans="3:9">
      <c r="C22" s="259"/>
      <c r="D22" s="260"/>
      <c r="E22" s="261"/>
      <c r="G22" s="265"/>
      <c r="H22" s="266"/>
      <c r="I22" s="267"/>
    </row>
    <row r="23" spans="3:9">
      <c r="C23" s="259"/>
      <c r="D23" s="260"/>
      <c r="E23" s="261"/>
      <c r="G23" s="265"/>
      <c r="H23" s="266"/>
      <c r="I23" s="267"/>
    </row>
    <row r="24" spans="3:9">
      <c r="C24" s="268" t="s">
        <v>984</v>
      </c>
      <c r="D24" s="269"/>
      <c r="E24" s="270"/>
      <c r="G24" s="268" t="s">
        <v>983</v>
      </c>
      <c r="H24" s="269"/>
      <c r="I24" s="270"/>
    </row>
    <row r="25" spans="3:9">
      <c r="C25" s="268" t="s">
        <v>227</v>
      </c>
      <c r="D25" s="269"/>
      <c r="E25" s="270"/>
      <c r="G25" s="268" t="s">
        <v>991</v>
      </c>
      <c r="H25" s="269"/>
      <c r="I25" s="270"/>
    </row>
    <row r="26" spans="3:9">
      <c r="C26" s="271" t="s">
        <v>992</v>
      </c>
      <c r="D26" s="272"/>
      <c r="E26" s="273"/>
      <c r="G26" s="271" t="s">
        <v>993</v>
      </c>
      <c r="H26" s="272"/>
      <c r="I26" s="273"/>
    </row>
    <row r="27" spans="3:9">
      <c r="C27" s="16"/>
      <c r="D27" s="16"/>
      <c r="E27" s="16"/>
      <c r="G27" s="17"/>
      <c r="H27" s="17"/>
      <c r="I27" s="17"/>
    </row>
    <row r="28" spans="3:9">
      <c r="C28" s="16"/>
      <c r="D28" s="16"/>
      <c r="E28" s="16"/>
      <c r="G28" s="17"/>
      <c r="H28" s="17"/>
      <c r="I28" s="17"/>
    </row>
    <row r="29" spans="3:9">
      <c r="C29" s="18" t="s">
        <v>506</v>
      </c>
      <c r="D29" s="274" t="s">
        <v>994</v>
      </c>
      <c r="E29" s="274"/>
      <c r="F29" s="274"/>
      <c r="G29" s="274"/>
      <c r="H29" s="19" t="s">
        <v>995</v>
      </c>
      <c r="I29" s="17"/>
    </row>
    <row r="30" spans="3:9">
      <c r="C30" s="18" t="s">
        <v>996</v>
      </c>
      <c r="D30" s="274" t="s">
        <v>997</v>
      </c>
      <c r="E30" s="274"/>
      <c r="F30" s="274"/>
      <c r="G30" s="274"/>
      <c r="H30" s="19"/>
      <c r="I30" s="17"/>
    </row>
    <row r="31" spans="3:9">
      <c r="C31" s="20" t="s">
        <v>998</v>
      </c>
      <c r="D31" s="264" t="s">
        <v>999</v>
      </c>
      <c r="E31" s="264"/>
      <c r="F31" s="264"/>
      <c r="G31" s="264"/>
      <c r="H31" s="21" t="s">
        <v>1000</v>
      </c>
      <c r="I31" s="17"/>
    </row>
    <row r="32" spans="3:9">
      <c r="C32" s="20" t="s">
        <v>1001</v>
      </c>
      <c r="D32" s="264" t="s">
        <v>1002</v>
      </c>
      <c r="E32" s="264"/>
      <c r="F32" s="264"/>
      <c r="G32" s="264"/>
      <c r="H32" s="21" t="s">
        <v>1003</v>
      </c>
      <c r="I32" s="17"/>
    </row>
    <row r="33" spans="3:9">
      <c r="C33" s="20" t="s">
        <v>1004</v>
      </c>
      <c r="D33" s="264" t="s">
        <v>1005</v>
      </c>
      <c r="E33" s="264"/>
      <c r="F33" s="264"/>
      <c r="G33" s="264"/>
      <c r="H33" s="21" t="s">
        <v>1006</v>
      </c>
      <c r="I33" s="17"/>
    </row>
    <row r="34" spans="3:9">
      <c r="C34" s="20" t="s">
        <v>1007</v>
      </c>
      <c r="D34" s="264" t="s">
        <v>1008</v>
      </c>
      <c r="E34" s="264"/>
      <c r="F34" s="264"/>
      <c r="G34" s="264"/>
      <c r="H34" s="21" t="s">
        <v>1009</v>
      </c>
      <c r="I34" s="17"/>
    </row>
    <row r="35" spans="3:9">
      <c r="C35" s="20" t="s">
        <v>1010</v>
      </c>
      <c r="D35" s="264" t="s">
        <v>1011</v>
      </c>
      <c r="E35" s="264"/>
      <c r="F35" s="264"/>
      <c r="G35" s="264"/>
      <c r="H35" s="21" t="s">
        <v>1012</v>
      </c>
      <c r="I35" s="17"/>
    </row>
    <row r="36" spans="3:9">
      <c r="C36" s="20" t="s">
        <v>1013</v>
      </c>
      <c r="D36" s="264" t="s">
        <v>1014</v>
      </c>
      <c r="E36" s="264"/>
      <c r="F36" s="264"/>
      <c r="G36" s="264"/>
      <c r="H36" s="22" t="s">
        <v>1015</v>
      </c>
      <c r="I36" s="17"/>
    </row>
    <row r="37" spans="3:9">
      <c r="C37" s="20" t="s">
        <v>1016</v>
      </c>
      <c r="D37" s="264" t="s">
        <v>1017</v>
      </c>
      <c r="E37" s="264"/>
      <c r="F37" s="264"/>
      <c r="G37" s="264"/>
      <c r="H37" s="23" t="s">
        <v>1018</v>
      </c>
      <c r="I37" s="17"/>
    </row>
    <row r="38" spans="3:9">
      <c r="C38" s="20" t="s">
        <v>1019</v>
      </c>
      <c r="D38" s="264" t="s">
        <v>1020</v>
      </c>
      <c r="E38" s="264"/>
      <c r="F38" s="264"/>
      <c r="G38" s="264"/>
      <c r="H38" s="23" t="s">
        <v>1018</v>
      </c>
      <c r="I38" s="17"/>
    </row>
    <row r="39" spans="3:9">
      <c r="C39" s="18" t="s">
        <v>1021</v>
      </c>
      <c r="D39" s="275" t="s">
        <v>1022</v>
      </c>
      <c r="E39" s="275"/>
      <c r="F39" s="275"/>
      <c r="G39" s="275"/>
      <c r="H39" s="23" t="s">
        <v>1018</v>
      </c>
      <c r="I39" s="17"/>
    </row>
    <row r="40" spans="3:9">
      <c r="C40" s="20">
        <v>6</v>
      </c>
      <c r="D40" s="264" t="s">
        <v>1023</v>
      </c>
      <c r="E40" s="264"/>
      <c r="F40" s="264"/>
      <c r="G40" s="264"/>
      <c r="H40" s="21" t="s">
        <v>1024</v>
      </c>
      <c r="I40" s="17"/>
    </row>
    <row r="41" spans="3:9">
      <c r="C41" s="20">
        <v>7</v>
      </c>
      <c r="D41" s="264" t="s">
        <v>1025</v>
      </c>
      <c r="E41" s="264"/>
      <c r="F41" s="264"/>
      <c r="G41" s="264"/>
      <c r="H41" s="21" t="s">
        <v>1026</v>
      </c>
      <c r="I41" s="17"/>
    </row>
    <row r="42" spans="3:9">
      <c r="C42" s="20">
        <v>8</v>
      </c>
      <c r="D42" s="264" t="s">
        <v>1027</v>
      </c>
      <c r="E42" s="264"/>
      <c r="F42" s="264"/>
      <c r="G42" s="264"/>
      <c r="H42" s="21" t="s">
        <v>1028</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6" zoomScaleNormal="100" zoomScaleSheetLayoutView="100" workbookViewId="0">
      <selection activeCell="D18" sqref="D18"/>
    </sheetView>
  </sheetViews>
  <sheetFormatPr defaultColWidth="9.140625" defaultRowHeight="10.5"/>
  <cols>
    <col min="1" max="1" width="6" style="84" customWidth="1"/>
    <col min="2" max="2" width="39.42578125" style="84" customWidth="1"/>
    <col min="3" max="3" width="8.140625" style="84" bestFit="1" customWidth="1"/>
    <col min="4" max="5" width="19.140625" style="84" bestFit="1" customWidth="1"/>
    <col min="6" max="6" width="12.7109375" style="84" customWidth="1"/>
    <col min="7" max="16384" width="9.140625" style="84"/>
  </cols>
  <sheetData>
    <row r="1" spans="1:6" ht="36" customHeight="1">
      <c r="A1" s="277"/>
      <c r="B1" s="277"/>
      <c r="C1" s="168"/>
      <c r="D1" s="278" t="s">
        <v>0</v>
      </c>
      <c r="E1" s="278"/>
      <c r="F1" s="278"/>
    </row>
    <row r="2" spans="1:6" ht="27.75" customHeight="1">
      <c r="A2" s="279" t="s">
        <v>1</v>
      </c>
      <c r="B2" s="279"/>
      <c r="C2" s="279"/>
      <c r="D2" s="279"/>
      <c r="E2" s="279"/>
      <c r="F2" s="279"/>
    </row>
    <row r="3" spans="1:6" ht="7.5" customHeight="1">
      <c r="A3" s="83"/>
      <c r="B3" s="83"/>
      <c r="C3" s="83"/>
      <c r="D3" s="83"/>
      <c r="E3" s="83"/>
      <c r="F3" s="83"/>
    </row>
    <row r="4" spans="1:6" ht="27" customHeight="1">
      <c r="A4" s="280" t="s">
        <v>2</v>
      </c>
      <c r="B4" s="280"/>
      <c r="C4" s="280"/>
      <c r="D4" s="280"/>
      <c r="E4" s="280"/>
      <c r="F4" s="280"/>
    </row>
    <row r="5" spans="1:6" ht="18" customHeight="1">
      <c r="A5" s="281" t="s">
        <v>3</v>
      </c>
      <c r="B5" s="281"/>
      <c r="C5" s="281"/>
      <c r="D5" s="281"/>
      <c r="E5" s="281"/>
      <c r="F5" s="281"/>
    </row>
    <row r="6" spans="1:6" ht="12.75" customHeight="1">
      <c r="A6" s="119" t="s">
        <v>4</v>
      </c>
      <c r="B6" s="87" t="s">
        <v>5</v>
      </c>
      <c r="C6" s="276" t="s">
        <v>6</v>
      </c>
      <c r="D6" s="276"/>
      <c r="E6" s="276"/>
      <c r="F6" s="276"/>
    </row>
    <row r="7" spans="1:6" ht="12.75" customHeight="1">
      <c r="A7" s="83"/>
      <c r="B7" s="83" t="s">
        <v>7</v>
      </c>
      <c r="C7" s="277" t="s">
        <v>8</v>
      </c>
      <c r="D7" s="277"/>
      <c r="E7" s="277"/>
      <c r="F7" s="277"/>
    </row>
    <row r="8" spans="1:6" ht="12.75" customHeight="1">
      <c r="A8" s="119" t="s">
        <v>9</v>
      </c>
      <c r="B8" s="87" t="s">
        <v>10</v>
      </c>
      <c r="C8" s="276" t="s">
        <v>11</v>
      </c>
      <c r="D8" s="276"/>
      <c r="E8" s="276"/>
      <c r="F8" s="276"/>
    </row>
    <row r="9" spans="1:6" ht="12.75" customHeight="1">
      <c r="A9" s="83"/>
      <c r="B9" s="83" t="s">
        <v>12</v>
      </c>
      <c r="C9" s="277" t="s">
        <v>13</v>
      </c>
      <c r="D9" s="277"/>
      <c r="E9" s="277"/>
      <c r="F9" s="277"/>
    </row>
    <row r="10" spans="1:6" ht="12.75" customHeight="1">
      <c r="A10" s="119" t="s">
        <v>14</v>
      </c>
      <c r="B10" s="87" t="s">
        <v>15</v>
      </c>
      <c r="C10" s="276" t="s">
        <v>16</v>
      </c>
      <c r="D10" s="276"/>
      <c r="E10" s="276"/>
      <c r="F10" s="276"/>
    </row>
    <row r="11" spans="1:6" ht="12.75" customHeight="1">
      <c r="A11" s="83"/>
      <c r="B11" s="83" t="s">
        <v>17</v>
      </c>
      <c r="C11" s="277" t="s">
        <v>18</v>
      </c>
      <c r="D11" s="277"/>
      <c r="E11" s="277"/>
      <c r="F11" s="277"/>
    </row>
    <row r="12" spans="1:6" ht="12.75" customHeight="1">
      <c r="A12" s="119" t="s">
        <v>19</v>
      </c>
      <c r="B12" s="87" t="s">
        <v>20</v>
      </c>
      <c r="C12" s="282">
        <v>45477</v>
      </c>
      <c r="D12" s="282"/>
      <c r="E12" s="282"/>
      <c r="F12" s="282"/>
    </row>
    <row r="13" spans="1:6" ht="12.75" customHeight="1">
      <c r="A13" s="83"/>
      <c r="B13" s="83" t="s">
        <v>21</v>
      </c>
      <c r="C13" s="283">
        <v>45477</v>
      </c>
      <c r="D13" s="283"/>
      <c r="E13" s="283"/>
      <c r="F13" s="283"/>
    </row>
    <row r="14" spans="1:6" ht="12.75" customHeight="1">
      <c r="A14" s="83"/>
      <c r="B14" s="83"/>
      <c r="C14" s="83"/>
      <c r="D14" s="83"/>
      <c r="E14" s="83"/>
      <c r="F14" s="83"/>
    </row>
    <row r="15" spans="1:6" ht="12.75" customHeight="1">
      <c r="A15" s="284" t="s">
        <v>22</v>
      </c>
      <c r="B15" s="284"/>
      <c r="C15" s="284"/>
      <c r="D15" s="284"/>
      <c r="E15" s="284"/>
      <c r="F15" s="284"/>
    </row>
    <row r="16" spans="1:6" ht="12.75" customHeight="1">
      <c r="A16" s="276" t="s">
        <v>23</v>
      </c>
      <c r="B16" s="276"/>
      <c r="C16" s="276"/>
      <c r="D16" s="276"/>
      <c r="E16" s="276"/>
      <c r="F16" s="276"/>
    </row>
    <row r="17" spans="1:6" ht="12.75" customHeight="1">
      <c r="A17" s="90"/>
      <c r="B17" s="122"/>
      <c r="C17" s="90"/>
      <c r="D17" s="90"/>
      <c r="E17" s="285" t="s">
        <v>24</v>
      </c>
      <c r="F17" s="285"/>
    </row>
    <row r="18" spans="1:6" ht="42">
      <c r="A18" s="123" t="s">
        <v>25</v>
      </c>
      <c r="B18" s="124" t="s">
        <v>26</v>
      </c>
      <c r="C18" s="124" t="s">
        <v>27</v>
      </c>
      <c r="D18" s="124" t="s">
        <v>28</v>
      </c>
      <c r="E18" s="124" t="s">
        <v>29</v>
      </c>
      <c r="F18" s="126" t="s">
        <v>30</v>
      </c>
    </row>
    <row r="19" spans="1:6" ht="23.1" customHeight="1">
      <c r="A19" s="170" t="s">
        <v>31</v>
      </c>
      <c r="B19" s="171" t="s">
        <v>32</v>
      </c>
      <c r="C19" s="102" t="s">
        <v>33</v>
      </c>
      <c r="D19" s="97"/>
      <c r="E19" s="97"/>
      <c r="F19" s="172"/>
    </row>
    <row r="20" spans="1:6" ht="23.1" customHeight="1">
      <c r="A20" s="170" t="s">
        <v>34</v>
      </c>
      <c r="B20" s="171" t="s">
        <v>35</v>
      </c>
      <c r="C20" s="102" t="s">
        <v>36</v>
      </c>
      <c r="D20" s="103">
        <v>139366645417</v>
      </c>
      <c r="E20" s="103">
        <v>189306388709</v>
      </c>
      <c r="F20" s="172">
        <v>1.9850000000000001</v>
      </c>
    </row>
    <row r="21" spans="1:6" ht="23.1" customHeight="1">
      <c r="A21" s="170"/>
      <c r="B21" s="171" t="s">
        <v>37</v>
      </c>
      <c r="C21" s="102" t="s">
        <v>38</v>
      </c>
      <c r="D21" s="103">
        <v>0</v>
      </c>
      <c r="E21" s="103">
        <v>0</v>
      </c>
      <c r="F21" s="172">
        <v>0</v>
      </c>
    </row>
    <row r="22" spans="1:6" ht="23.1" customHeight="1">
      <c r="A22" s="170"/>
      <c r="B22" s="171" t="s">
        <v>39</v>
      </c>
      <c r="C22" s="102" t="s">
        <v>40</v>
      </c>
      <c r="D22" s="103">
        <v>139366645417</v>
      </c>
      <c r="E22" s="103">
        <v>189306388709</v>
      </c>
      <c r="F22" s="172">
        <v>1.9850000000000001</v>
      </c>
    </row>
    <row r="23" spans="1:6" ht="33" customHeight="1">
      <c r="A23" s="170"/>
      <c r="B23" s="171" t="s">
        <v>41</v>
      </c>
      <c r="C23" s="102" t="s">
        <v>42</v>
      </c>
      <c r="D23" s="108">
        <v>0</v>
      </c>
      <c r="E23" s="108">
        <v>0</v>
      </c>
      <c r="F23" s="172">
        <v>0</v>
      </c>
    </row>
    <row r="24" spans="1:6" ht="23.1" customHeight="1">
      <c r="A24" s="170"/>
      <c r="B24" s="171" t="s">
        <v>43</v>
      </c>
      <c r="C24" s="102" t="s">
        <v>44</v>
      </c>
      <c r="D24" s="108">
        <v>0</v>
      </c>
      <c r="E24" s="108">
        <v>0</v>
      </c>
      <c r="F24" s="172">
        <v>0</v>
      </c>
    </row>
    <row r="25" spans="1:6" ht="23.1" customHeight="1">
      <c r="A25" s="170"/>
      <c r="B25" s="171" t="s">
        <v>45</v>
      </c>
      <c r="C25" s="102" t="s">
        <v>46</v>
      </c>
      <c r="D25" s="108">
        <v>139366645417</v>
      </c>
      <c r="E25" s="108">
        <v>189306388709</v>
      </c>
      <c r="F25" s="172">
        <v>1.9850000000000001</v>
      </c>
    </row>
    <row r="26" spans="1:6" ht="33" customHeight="1">
      <c r="A26" s="170"/>
      <c r="B26" s="171" t="s">
        <v>47</v>
      </c>
      <c r="C26" s="102" t="s">
        <v>48</v>
      </c>
      <c r="D26" s="108">
        <v>0</v>
      </c>
      <c r="E26" s="108">
        <v>0</v>
      </c>
      <c r="F26" s="172">
        <v>0</v>
      </c>
    </row>
    <row r="27" spans="1:6" ht="23.1" customHeight="1">
      <c r="A27" s="170"/>
      <c r="B27" s="171" t="s">
        <v>49</v>
      </c>
      <c r="C27" s="102" t="s">
        <v>50</v>
      </c>
      <c r="D27" s="108">
        <v>0</v>
      </c>
      <c r="E27" s="108">
        <v>0</v>
      </c>
      <c r="F27" s="172">
        <v>0</v>
      </c>
    </row>
    <row r="28" spans="1:6" ht="23.1" customHeight="1">
      <c r="A28" s="170"/>
      <c r="B28" s="171" t="s">
        <v>51</v>
      </c>
      <c r="C28" s="102" t="s">
        <v>52</v>
      </c>
      <c r="D28" s="103">
        <v>0</v>
      </c>
      <c r="E28" s="103">
        <v>0</v>
      </c>
      <c r="F28" s="172">
        <v>0</v>
      </c>
    </row>
    <row r="29" spans="1:6" ht="23.1" customHeight="1">
      <c r="A29" s="170" t="s">
        <v>53</v>
      </c>
      <c r="B29" s="171" t="s">
        <v>54</v>
      </c>
      <c r="C29" s="102" t="s">
        <v>55</v>
      </c>
      <c r="D29" s="103">
        <v>13249026461600</v>
      </c>
      <c r="E29" s="103">
        <v>13982330862850</v>
      </c>
      <c r="F29" s="172">
        <v>0.69699999999999995</v>
      </c>
    </row>
    <row r="30" spans="1:6" ht="23.1" customHeight="1">
      <c r="A30" s="170"/>
      <c r="B30" s="171" t="s">
        <v>56</v>
      </c>
      <c r="C30" s="102" t="s">
        <v>57</v>
      </c>
      <c r="D30" s="103">
        <v>13249026461600</v>
      </c>
      <c r="E30" s="103">
        <v>13982330862850</v>
      </c>
      <c r="F30" s="172">
        <v>0.69699999999999995</v>
      </c>
    </row>
    <row r="31" spans="1:6" ht="23.1" customHeight="1">
      <c r="A31" s="170"/>
      <c r="B31" s="171" t="s">
        <v>58</v>
      </c>
      <c r="C31" s="102" t="s">
        <v>59</v>
      </c>
      <c r="D31" s="103">
        <v>0</v>
      </c>
      <c r="E31" s="103">
        <v>0</v>
      </c>
      <c r="F31" s="172">
        <v>0</v>
      </c>
    </row>
    <row r="32" spans="1:6" ht="23.1" customHeight="1">
      <c r="A32" s="170"/>
      <c r="B32" s="171" t="s">
        <v>60</v>
      </c>
      <c r="C32" s="102" t="s">
        <v>61</v>
      </c>
      <c r="D32" s="103">
        <v>0</v>
      </c>
      <c r="E32" s="103">
        <v>0</v>
      </c>
      <c r="F32" s="172">
        <v>0</v>
      </c>
    </row>
    <row r="33" spans="1:6" ht="23.1" customHeight="1">
      <c r="A33" s="170"/>
      <c r="B33" s="171" t="s">
        <v>62</v>
      </c>
      <c r="C33" s="102" t="s">
        <v>63</v>
      </c>
      <c r="D33" s="103">
        <v>0</v>
      </c>
      <c r="E33" s="103">
        <v>0</v>
      </c>
      <c r="F33" s="172">
        <v>0</v>
      </c>
    </row>
    <row r="34" spans="1:6" ht="23.1" customHeight="1">
      <c r="A34" s="170"/>
      <c r="B34" s="171" t="s">
        <v>64</v>
      </c>
      <c r="C34" s="102" t="s">
        <v>65</v>
      </c>
      <c r="D34" s="103">
        <v>0</v>
      </c>
      <c r="E34" s="103">
        <v>0</v>
      </c>
      <c r="F34" s="172">
        <v>0</v>
      </c>
    </row>
    <row r="35" spans="1:6" ht="23.1" customHeight="1">
      <c r="A35" s="170"/>
      <c r="B35" s="171" t="s">
        <v>66</v>
      </c>
      <c r="C35" s="102" t="s">
        <v>67</v>
      </c>
      <c r="D35" s="103">
        <v>0</v>
      </c>
      <c r="E35" s="103">
        <v>0</v>
      </c>
      <c r="F35" s="172">
        <v>0</v>
      </c>
    </row>
    <row r="36" spans="1:6" ht="23.1" customHeight="1">
      <c r="A36" s="170"/>
      <c r="B36" s="171" t="s">
        <v>68</v>
      </c>
      <c r="C36" s="102" t="s">
        <v>69</v>
      </c>
      <c r="D36" s="103">
        <v>0</v>
      </c>
      <c r="E36" s="103">
        <v>0</v>
      </c>
      <c r="F36" s="172">
        <v>0</v>
      </c>
    </row>
    <row r="37" spans="1:6" ht="23.1" customHeight="1">
      <c r="A37" s="170"/>
      <c r="B37" s="171" t="s">
        <v>70</v>
      </c>
      <c r="C37" s="102" t="s">
        <v>71</v>
      </c>
      <c r="D37" s="103">
        <v>0</v>
      </c>
      <c r="E37" s="103">
        <v>0</v>
      </c>
      <c r="F37" s="172">
        <v>0</v>
      </c>
    </row>
    <row r="38" spans="1:6" ht="34.5" customHeight="1">
      <c r="A38" s="170" t="s">
        <v>72</v>
      </c>
      <c r="B38" s="171" t="s">
        <v>73</v>
      </c>
      <c r="C38" s="102"/>
      <c r="D38" s="103">
        <v>0</v>
      </c>
      <c r="E38" s="103">
        <v>0</v>
      </c>
      <c r="F38" s="172">
        <v>0</v>
      </c>
    </row>
    <row r="39" spans="1:6" ht="23.1" customHeight="1">
      <c r="A39" s="170" t="s">
        <v>74</v>
      </c>
      <c r="B39" s="171" t="s">
        <v>75</v>
      </c>
      <c r="C39" s="102" t="s">
        <v>76</v>
      </c>
      <c r="D39" s="103">
        <v>10028037000</v>
      </c>
      <c r="E39" s="103">
        <v>103510679312</v>
      </c>
      <c r="F39" s="172">
        <v>0.1993</v>
      </c>
    </row>
    <row r="40" spans="1:6" ht="23.1" customHeight="1">
      <c r="A40" s="170"/>
      <c r="B40" s="171" t="s">
        <v>77</v>
      </c>
      <c r="C40" s="102" t="s">
        <v>78</v>
      </c>
      <c r="D40" s="103">
        <v>10028037000</v>
      </c>
      <c r="E40" s="103">
        <v>103510679312</v>
      </c>
      <c r="F40" s="172">
        <v>0.1993</v>
      </c>
    </row>
    <row r="41" spans="1:6" ht="23.1" customHeight="1">
      <c r="A41" s="170"/>
      <c r="B41" s="171" t="s">
        <v>79</v>
      </c>
      <c r="C41" s="102" t="s">
        <v>80</v>
      </c>
      <c r="D41" s="103">
        <v>0</v>
      </c>
      <c r="E41" s="103">
        <v>0</v>
      </c>
      <c r="F41" s="172">
        <v>0</v>
      </c>
    </row>
    <row r="42" spans="1:6" ht="23.1" customHeight="1">
      <c r="A42" s="170" t="s">
        <v>81</v>
      </c>
      <c r="B42" s="171" t="s">
        <v>82</v>
      </c>
      <c r="C42" s="102" t="s">
        <v>83</v>
      </c>
      <c r="D42" s="103">
        <v>0</v>
      </c>
      <c r="E42" s="103">
        <v>0</v>
      </c>
      <c r="F42" s="172">
        <v>0</v>
      </c>
    </row>
    <row r="43" spans="1:6" ht="33" customHeight="1">
      <c r="A43" s="170"/>
      <c r="B43" s="171" t="s">
        <v>84</v>
      </c>
      <c r="C43" s="102" t="s">
        <v>85</v>
      </c>
      <c r="D43" s="103">
        <v>0</v>
      </c>
      <c r="E43" s="103">
        <v>0</v>
      </c>
      <c r="F43" s="172">
        <v>0</v>
      </c>
    </row>
    <row r="44" spans="1:6" ht="33" customHeight="1">
      <c r="A44" s="170"/>
      <c r="B44" s="171" t="s">
        <v>86</v>
      </c>
      <c r="C44" s="102" t="s">
        <v>87</v>
      </c>
      <c r="D44" s="103">
        <v>0</v>
      </c>
      <c r="E44" s="103">
        <v>0</v>
      </c>
      <c r="F44" s="172">
        <v>0</v>
      </c>
    </row>
    <row r="45" spans="1:6" ht="23.1" customHeight="1">
      <c r="A45" s="170"/>
      <c r="B45" s="171" t="s">
        <v>88</v>
      </c>
      <c r="C45" s="102" t="s">
        <v>89</v>
      </c>
      <c r="D45" s="103">
        <v>0</v>
      </c>
      <c r="E45" s="103">
        <v>0</v>
      </c>
      <c r="F45" s="172">
        <v>0</v>
      </c>
    </row>
    <row r="46" spans="1:6" ht="23.1" customHeight="1">
      <c r="A46" s="170" t="s">
        <v>90</v>
      </c>
      <c r="B46" s="171" t="s">
        <v>91</v>
      </c>
      <c r="C46" s="102" t="s">
        <v>92</v>
      </c>
      <c r="D46" s="103">
        <v>0</v>
      </c>
      <c r="E46" s="103">
        <v>0</v>
      </c>
      <c r="F46" s="172">
        <v>0</v>
      </c>
    </row>
    <row r="47" spans="1:6" ht="23.1" customHeight="1">
      <c r="A47" s="170" t="s">
        <v>93</v>
      </c>
      <c r="B47" s="171" t="s">
        <v>94</v>
      </c>
      <c r="C47" s="102" t="s">
        <v>95</v>
      </c>
      <c r="D47" s="103">
        <v>51833950000</v>
      </c>
      <c r="E47" s="103">
        <v>0</v>
      </c>
      <c r="F47" s="172">
        <v>18.601500000000001</v>
      </c>
    </row>
    <row r="48" spans="1:6" ht="23.1" customHeight="1">
      <c r="A48" s="170" t="s">
        <v>96</v>
      </c>
      <c r="B48" s="171" t="s">
        <v>97</v>
      </c>
      <c r="C48" s="102" t="s">
        <v>98</v>
      </c>
      <c r="D48" s="103">
        <v>0</v>
      </c>
      <c r="E48" s="103">
        <v>0</v>
      </c>
      <c r="F48" s="172">
        <v>0</v>
      </c>
    </row>
    <row r="49" spans="1:6" ht="23.1" customHeight="1">
      <c r="A49" s="170"/>
      <c r="B49" s="171" t="s">
        <v>99</v>
      </c>
      <c r="C49" s="102" t="s">
        <v>100</v>
      </c>
      <c r="D49" s="103">
        <v>0</v>
      </c>
      <c r="E49" s="103">
        <v>0</v>
      </c>
      <c r="F49" s="172">
        <v>0</v>
      </c>
    </row>
    <row r="50" spans="1:6" ht="23.1" customHeight="1">
      <c r="A50" s="170"/>
      <c r="B50" s="171" t="s">
        <v>101</v>
      </c>
      <c r="C50" s="102" t="s">
        <v>102</v>
      </c>
      <c r="D50" s="103">
        <v>0</v>
      </c>
      <c r="E50" s="103">
        <v>0</v>
      </c>
      <c r="F50" s="172">
        <v>0</v>
      </c>
    </row>
    <row r="51" spans="1:6" ht="23.1" customHeight="1">
      <c r="A51" s="170"/>
      <c r="B51" s="171" t="s">
        <v>103</v>
      </c>
      <c r="C51" s="102" t="s">
        <v>104</v>
      </c>
      <c r="D51" s="103">
        <v>0</v>
      </c>
      <c r="E51" s="103">
        <v>0</v>
      </c>
      <c r="F51" s="172">
        <v>0</v>
      </c>
    </row>
    <row r="52" spans="1:6" ht="23.1" customHeight="1">
      <c r="A52" s="170" t="s">
        <v>105</v>
      </c>
      <c r="B52" s="171" t="s">
        <v>106</v>
      </c>
      <c r="C52" s="102" t="s">
        <v>107</v>
      </c>
      <c r="D52" s="103">
        <v>0</v>
      </c>
      <c r="E52" s="103">
        <v>0</v>
      </c>
      <c r="F52" s="172">
        <v>0</v>
      </c>
    </row>
    <row r="53" spans="1:6" ht="23.1" customHeight="1">
      <c r="A53" s="170"/>
      <c r="B53" s="171" t="s">
        <v>108</v>
      </c>
      <c r="C53" s="102" t="s">
        <v>109</v>
      </c>
      <c r="D53" s="103">
        <v>0</v>
      </c>
      <c r="E53" s="103">
        <v>0</v>
      </c>
      <c r="F53" s="172">
        <v>0</v>
      </c>
    </row>
    <row r="54" spans="1:6" ht="23.1" customHeight="1">
      <c r="A54" s="170"/>
      <c r="B54" s="171" t="s">
        <v>110</v>
      </c>
      <c r="C54" s="102" t="s">
        <v>111</v>
      </c>
      <c r="D54" s="103">
        <v>0</v>
      </c>
      <c r="E54" s="103">
        <v>0</v>
      </c>
      <c r="F54" s="172">
        <v>0</v>
      </c>
    </row>
    <row r="55" spans="1:6" ht="23.1" customHeight="1">
      <c r="A55" s="170"/>
      <c r="B55" s="171" t="s">
        <v>112</v>
      </c>
      <c r="C55" s="102" t="s">
        <v>113</v>
      </c>
      <c r="D55" s="103">
        <v>0</v>
      </c>
      <c r="E55" s="103">
        <v>0</v>
      </c>
      <c r="F55" s="172">
        <v>0</v>
      </c>
    </row>
    <row r="56" spans="1:6" ht="23.1" customHeight="1">
      <c r="A56" s="170"/>
      <c r="B56" s="171" t="s">
        <v>114</v>
      </c>
      <c r="C56" s="102" t="s">
        <v>115</v>
      </c>
      <c r="D56" s="103">
        <v>0</v>
      </c>
      <c r="E56" s="103">
        <v>0</v>
      </c>
      <c r="F56" s="172">
        <v>0</v>
      </c>
    </row>
    <row r="57" spans="1:6" ht="44.1" customHeight="1">
      <c r="A57" s="170"/>
      <c r="B57" s="171" t="s">
        <v>116</v>
      </c>
      <c r="C57" s="102" t="s">
        <v>117</v>
      </c>
      <c r="D57" s="103">
        <v>0</v>
      </c>
      <c r="E57" s="103">
        <v>0</v>
      </c>
      <c r="F57" s="172">
        <v>0</v>
      </c>
    </row>
    <row r="58" spans="1:6" s="176" customFormat="1" ht="23.1" customHeight="1">
      <c r="A58" s="173" t="s">
        <v>118</v>
      </c>
      <c r="B58" s="174" t="s">
        <v>119</v>
      </c>
      <c r="C58" s="96" t="s">
        <v>120</v>
      </c>
      <c r="D58" s="97">
        <v>13450255094017</v>
      </c>
      <c r="E58" s="97">
        <v>14275147930871</v>
      </c>
      <c r="F58" s="175">
        <v>0.70299999999999996</v>
      </c>
    </row>
    <row r="59" spans="1:6" ht="23.1" customHeight="1">
      <c r="A59" s="170" t="s">
        <v>121</v>
      </c>
      <c r="B59" s="171" t="s">
        <v>122</v>
      </c>
      <c r="C59" s="102" t="s">
        <v>123</v>
      </c>
      <c r="D59" s="97">
        <v>0</v>
      </c>
      <c r="E59" s="97">
        <v>0</v>
      </c>
      <c r="F59" s="172">
        <v>0</v>
      </c>
    </row>
    <row r="60" spans="1:6" ht="33" customHeight="1">
      <c r="A60" s="170" t="s">
        <v>124</v>
      </c>
      <c r="B60" s="171" t="s">
        <v>125</v>
      </c>
      <c r="C60" s="102"/>
      <c r="D60" s="103">
        <v>0</v>
      </c>
      <c r="E60" s="103">
        <v>0</v>
      </c>
      <c r="F60" s="172">
        <v>0</v>
      </c>
    </row>
    <row r="61" spans="1:6" ht="23.1" customHeight="1">
      <c r="A61" s="170" t="s">
        <v>126</v>
      </c>
      <c r="B61" s="171" t="s">
        <v>127</v>
      </c>
      <c r="C61" s="102" t="s">
        <v>128</v>
      </c>
      <c r="D61" s="103">
        <v>52308950000</v>
      </c>
      <c r="E61" s="103">
        <v>32518960000</v>
      </c>
      <c r="F61" s="172">
        <v>5.1520000000000001</v>
      </c>
    </row>
    <row r="62" spans="1:6" ht="23.1" customHeight="1">
      <c r="A62" s="170" t="s">
        <v>129</v>
      </c>
      <c r="B62" s="171" t="s">
        <v>130</v>
      </c>
      <c r="C62" s="102" t="s">
        <v>131</v>
      </c>
      <c r="D62" s="103">
        <v>38254425054</v>
      </c>
      <c r="E62" s="103">
        <v>19093272011</v>
      </c>
      <c r="F62" s="172">
        <v>0.95309999999999995</v>
      </c>
    </row>
    <row r="63" spans="1:6" ht="23.1" customHeight="1">
      <c r="A63" s="170"/>
      <c r="B63" s="171" t="s">
        <v>132</v>
      </c>
      <c r="C63" s="102" t="s">
        <v>133</v>
      </c>
      <c r="D63" s="103">
        <v>18509020595</v>
      </c>
      <c r="E63" s="103">
        <v>1035152235</v>
      </c>
      <c r="F63" s="172">
        <v>1.1753</v>
      </c>
    </row>
    <row r="64" spans="1:6" ht="23.1" customHeight="1">
      <c r="A64" s="170"/>
      <c r="B64" s="171" t="s">
        <v>134</v>
      </c>
      <c r="C64" s="102" t="s">
        <v>135</v>
      </c>
      <c r="D64" s="108">
        <v>0</v>
      </c>
      <c r="E64" s="108">
        <v>0</v>
      </c>
      <c r="F64" s="172">
        <v>0</v>
      </c>
    </row>
    <row r="65" spans="1:6" ht="23.1" customHeight="1">
      <c r="A65" s="170"/>
      <c r="B65" s="171" t="s">
        <v>136</v>
      </c>
      <c r="C65" s="102" t="s">
        <v>137</v>
      </c>
      <c r="D65" s="108">
        <v>0</v>
      </c>
      <c r="E65" s="108">
        <v>0</v>
      </c>
      <c r="F65" s="172">
        <v>0</v>
      </c>
    </row>
    <row r="66" spans="1:6" ht="23.1" customHeight="1">
      <c r="A66" s="170"/>
      <c r="B66" s="171" t="s">
        <v>138</v>
      </c>
      <c r="C66" s="102" t="s">
        <v>139</v>
      </c>
      <c r="D66" s="108">
        <v>18509020595</v>
      </c>
      <c r="E66" s="108">
        <v>1035152235</v>
      </c>
      <c r="F66" s="172">
        <v>1.1753</v>
      </c>
    </row>
    <row r="67" spans="1:6" ht="23.1" customHeight="1">
      <c r="A67" s="170"/>
      <c r="B67" s="171" t="s">
        <v>140</v>
      </c>
      <c r="C67" s="102" t="s">
        <v>141</v>
      </c>
      <c r="D67" s="103">
        <v>0</v>
      </c>
      <c r="E67" s="103">
        <v>0</v>
      </c>
      <c r="F67" s="172">
        <v>0</v>
      </c>
    </row>
    <row r="68" spans="1:6" ht="44.1" customHeight="1">
      <c r="A68" s="170"/>
      <c r="B68" s="171" t="s">
        <v>142</v>
      </c>
      <c r="C68" s="102" t="s">
        <v>143</v>
      </c>
      <c r="D68" s="103">
        <v>0</v>
      </c>
      <c r="E68" s="103">
        <v>0</v>
      </c>
      <c r="F68" s="172">
        <v>0</v>
      </c>
    </row>
    <row r="69" spans="1:6" ht="33" customHeight="1">
      <c r="A69" s="170"/>
      <c r="B69" s="171" t="s">
        <v>144</v>
      </c>
      <c r="C69" s="102" t="s">
        <v>145</v>
      </c>
      <c r="D69" s="103">
        <v>0</v>
      </c>
      <c r="E69" s="103">
        <v>0</v>
      </c>
      <c r="F69" s="172">
        <v>0</v>
      </c>
    </row>
    <row r="70" spans="1:6" ht="44.1" customHeight="1">
      <c r="A70" s="170"/>
      <c r="B70" s="171" t="s">
        <v>146</v>
      </c>
      <c r="C70" s="102" t="s">
        <v>147</v>
      </c>
      <c r="D70" s="108">
        <v>0</v>
      </c>
      <c r="E70" s="108">
        <v>0</v>
      </c>
      <c r="F70" s="172">
        <v>0</v>
      </c>
    </row>
    <row r="71" spans="1:6" ht="23.1" customHeight="1">
      <c r="A71" s="170"/>
      <c r="B71" s="171" t="s">
        <v>148</v>
      </c>
      <c r="C71" s="102" t="s">
        <v>149</v>
      </c>
      <c r="D71" s="103">
        <v>0</v>
      </c>
      <c r="E71" s="103">
        <v>0</v>
      </c>
      <c r="F71" s="172">
        <v>0</v>
      </c>
    </row>
    <row r="72" spans="1:6" ht="33" customHeight="1">
      <c r="A72" s="170"/>
      <c r="B72" s="171" t="s">
        <v>150</v>
      </c>
      <c r="C72" s="102" t="s">
        <v>151</v>
      </c>
      <c r="D72" s="103">
        <v>13475383</v>
      </c>
      <c r="E72" s="103">
        <v>12737683</v>
      </c>
      <c r="F72" s="172">
        <v>1.0008999999999999</v>
      </c>
    </row>
    <row r="73" spans="1:6" ht="23.1" customHeight="1">
      <c r="A73" s="170"/>
      <c r="B73" s="171" t="s">
        <v>152</v>
      </c>
      <c r="C73" s="102" t="s">
        <v>153</v>
      </c>
      <c r="D73" s="103">
        <v>9416764896</v>
      </c>
      <c r="E73" s="103">
        <v>9556921524</v>
      </c>
      <c r="F73" s="172">
        <v>0.76759999999999995</v>
      </c>
    </row>
    <row r="74" spans="1:6" ht="23.1" customHeight="1">
      <c r="A74" s="170"/>
      <c r="B74" s="171" t="s">
        <v>154</v>
      </c>
      <c r="C74" s="102" t="s">
        <v>155</v>
      </c>
      <c r="D74" s="103">
        <v>258961032</v>
      </c>
      <c r="E74" s="103">
        <v>262815341</v>
      </c>
      <c r="F74" s="172">
        <v>0.76759999999999995</v>
      </c>
    </row>
    <row r="75" spans="1:6" ht="23.1" customHeight="1">
      <c r="A75" s="170"/>
      <c r="B75" s="171" t="s">
        <v>156</v>
      </c>
      <c r="C75" s="102" t="s">
        <v>157</v>
      </c>
      <c r="D75" s="103">
        <v>517922071</v>
      </c>
      <c r="E75" s="103">
        <v>525630683</v>
      </c>
      <c r="F75" s="172">
        <v>0.76759999999999995</v>
      </c>
    </row>
    <row r="76" spans="1:6" ht="23.1" customHeight="1">
      <c r="A76" s="170"/>
      <c r="B76" s="171" t="s">
        <v>158</v>
      </c>
      <c r="C76" s="102" t="s">
        <v>159</v>
      </c>
      <c r="D76" s="177">
        <v>156214350</v>
      </c>
      <c r="E76" s="177">
        <v>48778440</v>
      </c>
      <c r="F76" s="178">
        <v>8.0482999999999993</v>
      </c>
    </row>
    <row r="77" spans="1:6" ht="23.1" customHeight="1">
      <c r="A77" s="170"/>
      <c r="B77" s="171" t="s">
        <v>160</v>
      </c>
      <c r="C77" s="102" t="s">
        <v>161</v>
      </c>
      <c r="D77" s="108">
        <v>156214350</v>
      </c>
      <c r="E77" s="108">
        <v>48778440</v>
      </c>
      <c r="F77" s="172">
        <v>8.0482999999999993</v>
      </c>
    </row>
    <row r="78" spans="1:6" ht="23.1" customHeight="1">
      <c r="A78" s="170"/>
      <c r="B78" s="171" t="s">
        <v>162</v>
      </c>
      <c r="C78" s="102" t="s">
        <v>163</v>
      </c>
      <c r="D78" s="179">
        <v>0</v>
      </c>
      <c r="E78" s="108">
        <v>0</v>
      </c>
      <c r="F78" s="172">
        <v>0</v>
      </c>
    </row>
    <row r="79" spans="1:6" ht="23.1" customHeight="1">
      <c r="A79" s="170"/>
      <c r="B79" s="171" t="s">
        <v>164</v>
      </c>
      <c r="C79" s="102" t="s">
        <v>165</v>
      </c>
      <c r="D79" s="103">
        <v>243419120</v>
      </c>
      <c r="E79" s="103">
        <v>250123037</v>
      </c>
      <c r="F79" s="172">
        <v>0.77200000000000002</v>
      </c>
    </row>
    <row r="80" spans="1:6" ht="23.1" customHeight="1">
      <c r="A80" s="170"/>
      <c r="B80" s="171" t="s">
        <v>166</v>
      </c>
      <c r="C80" s="102" t="s">
        <v>167</v>
      </c>
      <c r="D80" s="108">
        <v>235419120</v>
      </c>
      <c r="E80" s="108">
        <v>238923037</v>
      </c>
      <c r="F80" s="172">
        <v>0.76759999999999995</v>
      </c>
    </row>
    <row r="81" spans="1:6" ht="23.1" customHeight="1">
      <c r="A81" s="170"/>
      <c r="B81" s="171" t="s">
        <v>168</v>
      </c>
      <c r="C81" s="102" t="s">
        <v>169</v>
      </c>
      <c r="D81" s="108">
        <v>8000000</v>
      </c>
      <c r="E81" s="108">
        <v>11200000</v>
      </c>
      <c r="F81" s="172">
        <v>0.93020000000000003</v>
      </c>
    </row>
    <row r="82" spans="1:6" ht="23.1" customHeight="1">
      <c r="A82" s="170"/>
      <c r="B82" s="171" t="s">
        <v>170</v>
      </c>
      <c r="C82" s="102" t="s">
        <v>171</v>
      </c>
      <c r="D82" s="108">
        <v>0</v>
      </c>
      <c r="E82" s="108">
        <v>0</v>
      </c>
      <c r="F82" s="172">
        <v>0</v>
      </c>
    </row>
    <row r="83" spans="1:6" ht="42">
      <c r="A83" s="170"/>
      <c r="B83" s="171" t="s">
        <v>172</v>
      </c>
      <c r="C83" s="102" t="s">
        <v>173</v>
      </c>
      <c r="D83" s="108">
        <v>0</v>
      </c>
      <c r="E83" s="108">
        <v>0</v>
      </c>
      <c r="F83" s="172">
        <v>0</v>
      </c>
    </row>
    <row r="84" spans="1:6" ht="21">
      <c r="A84" s="170"/>
      <c r="B84" s="171" t="s">
        <v>174</v>
      </c>
      <c r="C84" s="102" t="s">
        <v>175</v>
      </c>
      <c r="D84" s="103">
        <v>156458460</v>
      </c>
      <c r="E84" s="103">
        <v>131212560</v>
      </c>
      <c r="F84" s="172">
        <v>1.1358999999999999</v>
      </c>
    </row>
    <row r="85" spans="1:6" ht="21">
      <c r="A85" s="170"/>
      <c r="B85" s="171" t="s">
        <v>176</v>
      </c>
      <c r="C85" s="102" t="s">
        <v>177</v>
      </c>
      <c r="D85" s="103">
        <v>0</v>
      </c>
      <c r="E85" s="103">
        <v>0</v>
      </c>
      <c r="F85" s="172">
        <v>0</v>
      </c>
    </row>
    <row r="86" spans="1:6" ht="21">
      <c r="A86" s="170"/>
      <c r="B86" s="171" t="s">
        <v>178</v>
      </c>
      <c r="C86" s="102" t="s">
        <v>179</v>
      </c>
      <c r="D86" s="103">
        <v>0</v>
      </c>
      <c r="E86" s="103">
        <v>0</v>
      </c>
      <c r="F86" s="172">
        <v>0</v>
      </c>
    </row>
    <row r="87" spans="1:6" ht="21">
      <c r="A87" s="170"/>
      <c r="B87" s="171" t="s">
        <v>180</v>
      </c>
      <c r="C87" s="102" t="s">
        <v>181</v>
      </c>
      <c r="D87" s="103">
        <v>16500000</v>
      </c>
      <c r="E87" s="103">
        <v>11000000</v>
      </c>
      <c r="F87" s="172">
        <v>1</v>
      </c>
    </row>
    <row r="88" spans="1:6" ht="42">
      <c r="A88" s="170"/>
      <c r="B88" s="171" t="s">
        <v>182</v>
      </c>
      <c r="C88" s="102" t="s">
        <v>183</v>
      </c>
      <c r="D88" s="103">
        <v>3946418280</v>
      </c>
      <c r="E88" s="103">
        <v>3357870473</v>
      </c>
      <c r="F88" s="172">
        <v>0.85299999999999998</v>
      </c>
    </row>
    <row r="89" spans="1:6" ht="31.5">
      <c r="A89" s="170"/>
      <c r="B89" s="171" t="s">
        <v>184</v>
      </c>
      <c r="C89" s="102" t="s">
        <v>185</v>
      </c>
      <c r="D89" s="103">
        <v>3157134623</v>
      </c>
      <c r="E89" s="103">
        <v>2686296377</v>
      </c>
      <c r="F89" s="172">
        <v>0.85299999999999998</v>
      </c>
    </row>
    <row r="90" spans="1:6" ht="21">
      <c r="A90" s="170"/>
      <c r="B90" s="171" t="s">
        <v>186</v>
      </c>
      <c r="C90" s="102" t="s">
        <v>187</v>
      </c>
      <c r="D90" s="103">
        <v>1862136244</v>
      </c>
      <c r="E90" s="103">
        <v>1214733658</v>
      </c>
      <c r="F90" s="172">
        <v>0.81969999999999998</v>
      </c>
    </row>
    <row r="91" spans="1:6" ht="21">
      <c r="A91" s="170"/>
      <c r="B91" s="171" t="s">
        <v>188</v>
      </c>
      <c r="C91" s="102" t="s">
        <v>189</v>
      </c>
      <c r="D91" s="103">
        <v>0</v>
      </c>
      <c r="E91" s="103">
        <v>0</v>
      </c>
      <c r="F91" s="172">
        <v>0</v>
      </c>
    </row>
    <row r="92" spans="1:6" ht="21">
      <c r="A92" s="170"/>
      <c r="B92" s="171" t="s">
        <v>190</v>
      </c>
      <c r="C92" s="102" t="s">
        <v>191</v>
      </c>
      <c r="D92" s="108">
        <v>0</v>
      </c>
      <c r="E92" s="108">
        <v>0</v>
      </c>
      <c r="F92" s="172">
        <v>0</v>
      </c>
    </row>
    <row r="93" spans="1:6" ht="31.5">
      <c r="A93" s="170"/>
      <c r="B93" s="171" t="s">
        <v>192</v>
      </c>
      <c r="C93" s="102" t="s">
        <v>193</v>
      </c>
      <c r="D93" s="108">
        <v>0</v>
      </c>
      <c r="E93" s="108">
        <v>0</v>
      </c>
      <c r="F93" s="172">
        <v>0</v>
      </c>
    </row>
    <row r="94" spans="1:6" ht="21">
      <c r="A94" s="170"/>
      <c r="B94" s="171" t="s">
        <v>194</v>
      </c>
      <c r="C94" s="102" t="s">
        <v>195</v>
      </c>
      <c r="D94" s="108">
        <v>0</v>
      </c>
      <c r="E94" s="108">
        <v>0</v>
      </c>
      <c r="F94" s="172">
        <v>0</v>
      </c>
    </row>
    <row r="95" spans="1:6" ht="21">
      <c r="A95" s="170"/>
      <c r="B95" s="171" t="s">
        <v>196</v>
      </c>
      <c r="C95" s="102" t="s">
        <v>197</v>
      </c>
      <c r="D95" s="108">
        <v>0</v>
      </c>
      <c r="E95" s="108">
        <v>0</v>
      </c>
      <c r="F95" s="172">
        <v>0</v>
      </c>
    </row>
    <row r="96" spans="1:6" ht="31.5">
      <c r="A96" s="170"/>
      <c r="B96" s="171" t="s">
        <v>198</v>
      </c>
      <c r="C96" s="102" t="s">
        <v>199</v>
      </c>
      <c r="D96" s="108">
        <v>0</v>
      </c>
      <c r="E96" s="108">
        <v>0</v>
      </c>
      <c r="F96" s="172">
        <v>0</v>
      </c>
    </row>
    <row r="97" spans="1:6" ht="21">
      <c r="A97" s="170"/>
      <c r="B97" s="171" t="s">
        <v>200</v>
      </c>
      <c r="C97" s="102" t="s">
        <v>201</v>
      </c>
      <c r="D97" s="108">
        <v>0</v>
      </c>
      <c r="E97" s="108">
        <v>0</v>
      </c>
      <c r="F97" s="172">
        <v>0</v>
      </c>
    </row>
    <row r="98" spans="1:6" ht="21">
      <c r="A98" s="170"/>
      <c r="B98" s="171" t="s">
        <v>202</v>
      </c>
      <c r="C98" s="102" t="s">
        <v>203</v>
      </c>
      <c r="D98" s="108">
        <v>0</v>
      </c>
      <c r="E98" s="108">
        <v>0</v>
      </c>
      <c r="F98" s="172">
        <v>0</v>
      </c>
    </row>
    <row r="99" spans="1:6" ht="21">
      <c r="A99" s="170"/>
      <c r="B99" s="171" t="s">
        <v>204</v>
      </c>
      <c r="C99" s="102" t="s">
        <v>205</v>
      </c>
      <c r="D99" s="108">
        <v>0</v>
      </c>
      <c r="E99" s="108">
        <v>0</v>
      </c>
      <c r="F99" s="172">
        <v>0</v>
      </c>
    </row>
    <row r="100" spans="1:6" ht="21">
      <c r="A100" s="170"/>
      <c r="B100" s="171" t="s">
        <v>206</v>
      </c>
      <c r="C100" s="102" t="s">
        <v>207</v>
      </c>
      <c r="D100" s="103">
        <v>0</v>
      </c>
      <c r="E100" s="103">
        <v>0</v>
      </c>
      <c r="F100" s="172">
        <v>0</v>
      </c>
    </row>
    <row r="101" spans="1:6" ht="21">
      <c r="A101" s="170"/>
      <c r="B101" s="171" t="s">
        <v>208</v>
      </c>
      <c r="C101" s="102" t="s">
        <v>209</v>
      </c>
      <c r="D101" s="108">
        <v>0</v>
      </c>
      <c r="E101" s="108">
        <v>0</v>
      </c>
      <c r="F101" s="172">
        <v>0</v>
      </c>
    </row>
    <row r="102" spans="1:6" ht="21">
      <c r="A102" s="170"/>
      <c r="B102" s="171" t="s">
        <v>210</v>
      </c>
      <c r="C102" s="102" t="s">
        <v>211</v>
      </c>
      <c r="D102" s="108">
        <v>0</v>
      </c>
      <c r="E102" s="108">
        <v>0</v>
      </c>
      <c r="F102" s="172">
        <v>0</v>
      </c>
    </row>
    <row r="103" spans="1:6" s="176" customFormat="1" ht="21">
      <c r="A103" s="173" t="s">
        <v>212</v>
      </c>
      <c r="B103" s="174" t="s">
        <v>213</v>
      </c>
      <c r="C103" s="96" t="s">
        <v>214</v>
      </c>
      <c r="D103" s="97">
        <v>90563375054</v>
      </c>
      <c r="E103" s="97">
        <v>51612232011</v>
      </c>
      <c r="F103" s="175">
        <v>1.8008</v>
      </c>
    </row>
    <row r="104" spans="1:6" s="176" customFormat="1" ht="21">
      <c r="A104" s="173"/>
      <c r="B104" s="174" t="s">
        <v>215</v>
      </c>
      <c r="C104" s="96" t="s">
        <v>216</v>
      </c>
      <c r="D104" s="97">
        <v>13359691718963</v>
      </c>
      <c r="E104" s="97">
        <v>14223535698860</v>
      </c>
      <c r="F104" s="175">
        <v>0.70009999999999994</v>
      </c>
    </row>
    <row r="105" spans="1:6" ht="21">
      <c r="A105" s="170"/>
      <c r="B105" s="171" t="s">
        <v>217</v>
      </c>
      <c r="C105" s="102" t="s">
        <v>218</v>
      </c>
      <c r="D105" s="103">
        <v>414900000</v>
      </c>
      <c r="E105" s="103">
        <v>447800000</v>
      </c>
      <c r="F105" s="172">
        <v>0.51939999999999997</v>
      </c>
    </row>
    <row r="106" spans="1:6" ht="21">
      <c r="A106" s="180"/>
      <c r="B106" s="181" t="s">
        <v>219</v>
      </c>
      <c r="C106" s="182" t="s">
        <v>220</v>
      </c>
      <c r="D106" s="183">
        <v>32199.78</v>
      </c>
      <c r="E106" s="183">
        <v>31763.14</v>
      </c>
      <c r="F106" s="184">
        <v>1.3479000000000001</v>
      </c>
    </row>
    <row r="107" spans="1:6" ht="2.25" customHeight="1">
      <c r="A107" s="286"/>
      <c r="B107" s="286"/>
      <c r="C107" s="286"/>
      <c r="D107" s="286"/>
      <c r="E107" s="286"/>
      <c r="F107" s="286"/>
    </row>
    <row r="108" spans="1:6" ht="2.25" customHeight="1">
      <c r="A108" s="83"/>
      <c r="B108" s="83"/>
      <c r="C108" s="118"/>
      <c r="D108" s="83"/>
      <c r="E108" s="83"/>
      <c r="F108" s="83"/>
    </row>
    <row r="109" spans="1:6" ht="15.75" customHeight="1">
      <c r="A109" s="278" t="s">
        <v>221</v>
      </c>
      <c r="B109" s="278"/>
      <c r="C109" s="278"/>
      <c r="D109" s="278" t="s">
        <v>222</v>
      </c>
      <c r="E109" s="278"/>
      <c r="F109" s="278"/>
    </row>
    <row r="110" spans="1:6" ht="15.75" customHeight="1">
      <c r="A110" s="281" t="s">
        <v>223</v>
      </c>
      <c r="B110" s="281"/>
      <c r="C110" s="281"/>
      <c r="D110" s="288" t="s">
        <v>224</v>
      </c>
      <c r="E110" s="288"/>
      <c r="F110" s="288"/>
    </row>
    <row r="111" spans="1:6" ht="15.75" customHeight="1">
      <c r="A111" s="83"/>
      <c r="B111" s="83"/>
      <c r="C111" s="83"/>
      <c r="D111" s="83"/>
      <c r="E111" s="83"/>
      <c r="F111" s="83"/>
    </row>
    <row r="112" spans="1:6" ht="15.75" customHeight="1">
      <c r="A112" s="83"/>
      <c r="B112" s="83"/>
      <c r="C112" s="83"/>
      <c r="D112" s="83"/>
      <c r="E112" s="83"/>
      <c r="F112" s="83"/>
    </row>
    <row r="113" spans="1:6" ht="15" customHeight="1">
      <c r="A113" s="83"/>
      <c r="B113" s="83"/>
      <c r="C113" s="83"/>
      <c r="D113" s="83"/>
      <c r="E113" s="83"/>
      <c r="F113" s="83"/>
    </row>
    <row r="114" spans="1:6" ht="15.75" customHeight="1">
      <c r="A114" s="83"/>
      <c r="B114" s="83"/>
      <c r="C114" s="83"/>
      <c r="D114" s="83"/>
      <c r="E114" s="83"/>
      <c r="F114" s="83"/>
    </row>
    <row r="115" spans="1:6" ht="15.75" customHeight="1">
      <c r="A115" s="83"/>
      <c r="B115" s="83"/>
      <c r="C115" s="83"/>
      <c r="D115" s="83"/>
      <c r="E115" s="83"/>
      <c r="F115" s="83"/>
    </row>
    <row r="116" spans="1:6" ht="15.75" customHeight="1">
      <c r="A116" s="278" t="s">
        <v>225</v>
      </c>
      <c r="B116" s="278"/>
      <c r="C116" s="278"/>
      <c r="D116" s="278" t="s">
        <v>226</v>
      </c>
      <c r="E116" s="278"/>
      <c r="F116" s="278"/>
    </row>
    <row r="117" spans="1:6" ht="15.75" customHeight="1">
      <c r="A117" s="287" t="s">
        <v>227</v>
      </c>
      <c r="B117" s="287"/>
      <c r="C117" s="287"/>
      <c r="D117" s="287" t="s">
        <v>228</v>
      </c>
      <c r="E117" s="287"/>
      <c r="F117" s="287"/>
    </row>
    <row r="118" spans="1:6" ht="15.75" customHeight="1">
      <c r="A118" s="287" t="s">
        <v>229</v>
      </c>
      <c r="B118" s="287"/>
      <c r="C118" s="287"/>
      <c r="D118" s="287" t="s">
        <v>230</v>
      </c>
      <c r="E118" s="287"/>
      <c r="F118" s="287"/>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39370078740157483" right="0.39370078740157483" top="0.78740157480314965" bottom="0" header="0" footer="0"/>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C14" sqref="C14"/>
    </sheetView>
  </sheetViews>
  <sheetFormatPr defaultColWidth="9.140625" defaultRowHeight="10.5"/>
  <cols>
    <col min="1" max="1" width="4.140625" style="84" customWidth="1"/>
    <col min="2" max="2" width="40.7109375" style="84" customWidth="1"/>
    <col min="3" max="3" width="6.5703125" style="84" bestFit="1" customWidth="1"/>
    <col min="4" max="6" width="18.42578125" style="84" bestFit="1" customWidth="1"/>
    <col min="7" max="16384" width="9.140625" style="84"/>
  </cols>
  <sheetData>
    <row r="1" spans="1:6" ht="36.75" customHeight="1">
      <c r="A1" s="277"/>
      <c r="B1" s="277"/>
      <c r="C1" s="168"/>
      <c r="D1" s="278" t="s">
        <v>0</v>
      </c>
      <c r="E1" s="278"/>
      <c r="F1" s="278"/>
    </row>
    <row r="2" spans="1:6" ht="27.75" customHeight="1">
      <c r="A2" s="279" t="s">
        <v>1</v>
      </c>
      <c r="B2" s="279"/>
      <c r="C2" s="279"/>
      <c r="D2" s="279"/>
      <c r="E2" s="279"/>
      <c r="F2" s="279"/>
    </row>
    <row r="3" spans="1:6" ht="4.5" customHeight="1">
      <c r="A3" s="83"/>
      <c r="B3" s="83"/>
      <c r="C3" s="83"/>
      <c r="D3" s="83"/>
      <c r="E3" s="83"/>
      <c r="F3" s="83"/>
    </row>
    <row r="4" spans="1:6" ht="28.5" customHeight="1">
      <c r="A4" s="280" t="s">
        <v>231</v>
      </c>
      <c r="B4" s="280"/>
      <c r="C4" s="280"/>
      <c r="D4" s="280"/>
      <c r="E4" s="280"/>
      <c r="F4" s="280"/>
    </row>
    <row r="5" spans="1:6" s="161" customFormat="1" ht="16.5" customHeight="1">
      <c r="A5" s="281" t="s">
        <v>3</v>
      </c>
      <c r="B5" s="281"/>
      <c r="C5" s="281"/>
      <c r="D5" s="281"/>
      <c r="E5" s="281"/>
      <c r="F5" s="281"/>
    </row>
    <row r="6" spans="1:6" ht="12" customHeight="1">
      <c r="A6" s="185" t="s">
        <v>4</v>
      </c>
      <c r="B6" s="87" t="s">
        <v>232</v>
      </c>
      <c r="C6" s="276" t="s">
        <v>6</v>
      </c>
      <c r="D6" s="276"/>
      <c r="E6" s="276"/>
      <c r="F6" s="276"/>
    </row>
    <row r="7" spans="1:6" ht="12" customHeight="1">
      <c r="A7" s="83"/>
      <c r="B7" s="83" t="s">
        <v>7</v>
      </c>
      <c r="C7" s="277" t="s">
        <v>8</v>
      </c>
      <c r="D7" s="277"/>
      <c r="E7" s="277"/>
      <c r="F7" s="277"/>
    </row>
    <row r="8" spans="1:6" ht="12" customHeight="1">
      <c r="A8" s="119" t="s">
        <v>9</v>
      </c>
      <c r="B8" s="87" t="s">
        <v>10</v>
      </c>
      <c r="C8" s="276" t="s">
        <v>11</v>
      </c>
      <c r="D8" s="276"/>
      <c r="E8" s="276"/>
      <c r="F8" s="276"/>
    </row>
    <row r="9" spans="1:6" ht="12" customHeight="1">
      <c r="A9" s="83"/>
      <c r="B9" s="83" t="s">
        <v>12</v>
      </c>
      <c r="C9" s="277" t="s">
        <v>13</v>
      </c>
      <c r="D9" s="277"/>
      <c r="E9" s="277"/>
      <c r="F9" s="277"/>
    </row>
    <row r="10" spans="1:6" ht="12" customHeight="1">
      <c r="A10" s="119" t="s">
        <v>14</v>
      </c>
      <c r="B10" s="87" t="s">
        <v>15</v>
      </c>
      <c r="C10" s="276" t="s">
        <v>16</v>
      </c>
      <c r="D10" s="276"/>
      <c r="E10" s="276"/>
      <c r="F10" s="276"/>
    </row>
    <row r="11" spans="1:6" ht="12" customHeight="1">
      <c r="A11" s="83"/>
      <c r="B11" s="83" t="s">
        <v>17</v>
      </c>
      <c r="C11" s="277" t="s">
        <v>18</v>
      </c>
      <c r="D11" s="277"/>
      <c r="E11" s="277"/>
      <c r="F11" s="277"/>
    </row>
    <row r="12" spans="1:6" ht="12" customHeight="1">
      <c r="A12" s="119" t="s">
        <v>19</v>
      </c>
      <c r="B12" s="87" t="s">
        <v>20</v>
      </c>
      <c r="C12" s="282">
        <v>45477</v>
      </c>
      <c r="D12" s="282"/>
      <c r="E12" s="282"/>
      <c r="F12" s="282"/>
    </row>
    <row r="13" spans="1:6" ht="12" customHeight="1">
      <c r="A13" s="83"/>
      <c r="B13" s="83" t="s">
        <v>21</v>
      </c>
      <c r="C13" s="283">
        <v>45477</v>
      </c>
      <c r="D13" s="283"/>
      <c r="E13" s="283"/>
      <c r="F13" s="283"/>
    </row>
    <row r="14" spans="1:6">
      <c r="A14" s="83"/>
      <c r="B14" s="83"/>
      <c r="C14" s="83"/>
      <c r="D14" s="83"/>
      <c r="E14" s="83"/>
      <c r="F14" s="83"/>
    </row>
    <row r="15" spans="1:6" ht="12" customHeight="1">
      <c r="A15" s="284" t="s">
        <v>22</v>
      </c>
      <c r="B15" s="284"/>
      <c r="C15" s="284"/>
      <c r="D15" s="284"/>
      <c r="E15" s="284"/>
      <c r="F15" s="284"/>
    </row>
    <row r="16" spans="1:6" ht="12" customHeight="1">
      <c r="A16" s="276" t="s">
        <v>233</v>
      </c>
      <c r="B16" s="276"/>
      <c r="C16" s="276"/>
      <c r="D16" s="276"/>
      <c r="E16" s="276"/>
      <c r="F16" s="276"/>
    </row>
    <row r="17" spans="1:6">
      <c r="A17" s="90"/>
      <c r="B17" s="122"/>
      <c r="C17" s="90"/>
      <c r="D17" s="90"/>
      <c r="E17" s="285" t="s">
        <v>24</v>
      </c>
      <c r="F17" s="285"/>
    </row>
    <row r="18" spans="1:6" s="99" customFormat="1" ht="48" customHeight="1">
      <c r="A18" s="123" t="s">
        <v>25</v>
      </c>
      <c r="B18" s="124" t="s">
        <v>26</v>
      </c>
      <c r="C18" s="124" t="s">
        <v>27</v>
      </c>
      <c r="D18" s="124" t="s">
        <v>234</v>
      </c>
      <c r="E18" s="124" t="s">
        <v>235</v>
      </c>
      <c r="F18" s="126" t="s">
        <v>236</v>
      </c>
    </row>
    <row r="19" spans="1:6" s="99" customFormat="1" ht="21">
      <c r="A19" s="186" t="s">
        <v>31</v>
      </c>
      <c r="B19" s="187" t="s">
        <v>237</v>
      </c>
      <c r="C19" s="188" t="s">
        <v>238</v>
      </c>
      <c r="D19" s="97">
        <v>28146461785</v>
      </c>
      <c r="E19" s="97">
        <v>131671784998</v>
      </c>
      <c r="F19" s="98">
        <v>211813969784</v>
      </c>
    </row>
    <row r="20" spans="1:6" s="99" customFormat="1" ht="21">
      <c r="A20" s="189" t="s">
        <v>4</v>
      </c>
      <c r="B20" s="190" t="s">
        <v>239</v>
      </c>
      <c r="C20" s="191"/>
      <c r="D20" s="103">
        <v>0</v>
      </c>
      <c r="E20" s="103">
        <v>0</v>
      </c>
      <c r="F20" s="104">
        <v>0</v>
      </c>
    </row>
    <row r="21" spans="1:6" s="99" customFormat="1" ht="21">
      <c r="A21" s="189" t="s">
        <v>9</v>
      </c>
      <c r="B21" s="190" t="s">
        <v>240</v>
      </c>
      <c r="C21" s="191" t="s">
        <v>241</v>
      </c>
      <c r="D21" s="103">
        <v>28121471000</v>
      </c>
      <c r="E21" s="103">
        <v>131601495312</v>
      </c>
      <c r="F21" s="104">
        <v>211570894712</v>
      </c>
    </row>
    <row r="22" spans="1:6" s="99" customFormat="1" ht="21">
      <c r="A22" s="192"/>
      <c r="B22" s="193" t="s">
        <v>242</v>
      </c>
      <c r="C22" s="194" t="s">
        <v>243</v>
      </c>
      <c r="D22" s="108">
        <v>28121471000</v>
      </c>
      <c r="E22" s="108">
        <v>131601495312</v>
      </c>
      <c r="F22" s="109">
        <v>211570894712</v>
      </c>
    </row>
    <row r="23" spans="1:6" s="99" customFormat="1" ht="21">
      <c r="A23" s="192"/>
      <c r="B23" s="193" t="s">
        <v>244</v>
      </c>
      <c r="C23" s="194" t="s">
        <v>245</v>
      </c>
      <c r="D23" s="108">
        <v>0</v>
      </c>
      <c r="E23" s="108">
        <v>0</v>
      </c>
      <c r="F23" s="109">
        <v>0</v>
      </c>
    </row>
    <row r="24" spans="1:6" s="99" customFormat="1" ht="21">
      <c r="A24" s="189" t="s">
        <v>14</v>
      </c>
      <c r="B24" s="190" t="s">
        <v>246</v>
      </c>
      <c r="C24" s="191" t="s">
        <v>247</v>
      </c>
      <c r="D24" s="103">
        <v>24990785</v>
      </c>
      <c r="E24" s="103">
        <v>70289686</v>
      </c>
      <c r="F24" s="104">
        <v>243075072</v>
      </c>
    </row>
    <row r="25" spans="1:6" s="99" customFormat="1" ht="21">
      <c r="A25" s="192"/>
      <c r="B25" s="193" t="s">
        <v>248</v>
      </c>
      <c r="C25" s="194" t="s">
        <v>249</v>
      </c>
      <c r="D25" s="108">
        <v>24990785</v>
      </c>
      <c r="E25" s="108">
        <v>70289686</v>
      </c>
      <c r="F25" s="109">
        <v>243075072</v>
      </c>
    </row>
    <row r="26" spans="1:6" s="99" customFormat="1" ht="21">
      <c r="A26" s="192"/>
      <c r="B26" s="193" t="s">
        <v>250</v>
      </c>
      <c r="C26" s="194" t="s">
        <v>251</v>
      </c>
      <c r="D26" s="108">
        <v>0</v>
      </c>
      <c r="E26" s="108">
        <v>0</v>
      </c>
      <c r="F26" s="109">
        <v>0</v>
      </c>
    </row>
    <row r="27" spans="1:6" s="99" customFormat="1" ht="21">
      <c r="A27" s="189" t="s">
        <v>19</v>
      </c>
      <c r="B27" s="190" t="s">
        <v>252</v>
      </c>
      <c r="C27" s="191" t="s">
        <v>253</v>
      </c>
      <c r="D27" s="103">
        <v>0</v>
      </c>
      <c r="E27" s="103">
        <v>0</v>
      </c>
      <c r="F27" s="104">
        <v>0</v>
      </c>
    </row>
    <row r="28" spans="1:6" s="99" customFormat="1" ht="21">
      <c r="A28" s="192"/>
      <c r="B28" s="193" t="s">
        <v>254</v>
      </c>
      <c r="C28" s="194" t="s">
        <v>255</v>
      </c>
      <c r="D28" s="108">
        <v>0</v>
      </c>
      <c r="E28" s="108">
        <v>0</v>
      </c>
      <c r="F28" s="109">
        <v>0</v>
      </c>
    </row>
    <row r="29" spans="1:6" s="99" customFormat="1" ht="21">
      <c r="A29" s="192"/>
      <c r="B29" s="193" t="s">
        <v>256</v>
      </c>
      <c r="C29" s="194" t="s">
        <v>257</v>
      </c>
      <c r="D29" s="108">
        <v>0</v>
      </c>
      <c r="E29" s="108">
        <v>0</v>
      </c>
      <c r="F29" s="109">
        <v>0</v>
      </c>
    </row>
    <row r="30" spans="1:6" s="99" customFormat="1" ht="53.25" customHeight="1">
      <c r="A30" s="192"/>
      <c r="B30" s="193" t="s">
        <v>258</v>
      </c>
      <c r="C30" s="194" t="s">
        <v>259</v>
      </c>
      <c r="D30" s="108">
        <v>0</v>
      </c>
      <c r="E30" s="108">
        <v>0</v>
      </c>
      <c r="F30" s="109">
        <v>0</v>
      </c>
    </row>
    <row r="31" spans="1:6" s="99" customFormat="1" ht="21">
      <c r="A31" s="186" t="s">
        <v>121</v>
      </c>
      <c r="B31" s="187" t="s">
        <v>260</v>
      </c>
      <c r="C31" s="188" t="s">
        <v>261</v>
      </c>
      <c r="D31" s="97">
        <v>13116367596</v>
      </c>
      <c r="E31" s="97">
        <v>18153939578</v>
      </c>
      <c r="F31" s="98">
        <v>95428662732</v>
      </c>
    </row>
    <row r="32" spans="1:6" s="99" customFormat="1" ht="21">
      <c r="A32" s="189" t="s">
        <v>4</v>
      </c>
      <c r="B32" s="190" t="s">
        <v>262</v>
      </c>
      <c r="C32" s="191" t="s">
        <v>263</v>
      </c>
      <c r="D32" s="103">
        <v>9416764896</v>
      </c>
      <c r="E32" s="103">
        <v>9556921524</v>
      </c>
      <c r="F32" s="104">
        <v>63142692489</v>
      </c>
    </row>
    <row r="33" spans="1:6" s="99" customFormat="1" ht="21">
      <c r="A33" s="189" t="s">
        <v>9</v>
      </c>
      <c r="B33" s="190" t="s">
        <v>264</v>
      </c>
      <c r="C33" s="191" t="s">
        <v>265</v>
      </c>
      <c r="D33" s="103">
        <v>853527834</v>
      </c>
      <c r="E33" s="103">
        <v>876281749</v>
      </c>
      <c r="F33" s="104">
        <v>5813561776</v>
      </c>
    </row>
    <row r="34" spans="1:6" s="99" customFormat="1" ht="21">
      <c r="A34" s="192"/>
      <c r="B34" s="193" t="s">
        <v>266</v>
      </c>
      <c r="C34" s="194" t="s">
        <v>267</v>
      </c>
      <c r="D34" s="108">
        <v>235419120</v>
      </c>
      <c r="E34" s="108">
        <v>238923037</v>
      </c>
      <c r="F34" s="109">
        <v>1578567309</v>
      </c>
    </row>
    <row r="35" spans="1:6" s="99" customFormat="1" ht="21">
      <c r="A35" s="192"/>
      <c r="B35" s="193" t="s">
        <v>268</v>
      </c>
      <c r="C35" s="194" t="s">
        <v>269</v>
      </c>
      <c r="D35" s="108">
        <v>7600000</v>
      </c>
      <c r="E35" s="108">
        <v>11200000</v>
      </c>
      <c r="F35" s="109">
        <v>52300000</v>
      </c>
    </row>
    <row r="36" spans="1:6" s="99" customFormat="1" ht="21">
      <c r="A36" s="192"/>
      <c r="B36" s="193" t="s">
        <v>170</v>
      </c>
      <c r="C36" s="194" t="s">
        <v>270</v>
      </c>
      <c r="D36" s="108">
        <v>92586643</v>
      </c>
      <c r="E36" s="108">
        <v>100528029</v>
      </c>
      <c r="F36" s="109">
        <v>709846381</v>
      </c>
    </row>
    <row r="37" spans="1:6" s="99" customFormat="1" ht="21">
      <c r="A37" s="192"/>
      <c r="B37" s="193" t="s">
        <v>271</v>
      </c>
      <c r="C37" s="194" t="s">
        <v>272</v>
      </c>
      <c r="D37" s="108">
        <v>517922071</v>
      </c>
      <c r="E37" s="108">
        <v>525630683</v>
      </c>
      <c r="F37" s="109">
        <v>3472848086</v>
      </c>
    </row>
    <row r="38" spans="1:6" s="99" customFormat="1" ht="42">
      <c r="A38" s="192"/>
      <c r="B38" s="193" t="s">
        <v>172</v>
      </c>
      <c r="C38" s="194" t="s">
        <v>273</v>
      </c>
      <c r="D38" s="108">
        <v>0</v>
      </c>
      <c r="E38" s="108">
        <v>0</v>
      </c>
      <c r="F38" s="109">
        <v>0</v>
      </c>
    </row>
    <row r="39" spans="1:6" s="99" customFormat="1" ht="52.5">
      <c r="A39" s="189" t="s">
        <v>14</v>
      </c>
      <c r="B39" s="190" t="s">
        <v>274</v>
      </c>
      <c r="C39" s="191" t="s">
        <v>275</v>
      </c>
      <c r="D39" s="103">
        <v>1971249671</v>
      </c>
      <c r="E39" s="103">
        <v>1873726726</v>
      </c>
      <c r="F39" s="104">
        <v>12907027916</v>
      </c>
    </row>
    <row r="40" spans="1:6" s="99" customFormat="1" ht="21">
      <c r="A40" s="192"/>
      <c r="B40" s="193" t="s">
        <v>276</v>
      </c>
      <c r="C40" s="194" t="s">
        <v>277</v>
      </c>
      <c r="D40" s="108">
        <v>258961032</v>
      </c>
      <c r="E40" s="108">
        <v>262815341</v>
      </c>
      <c r="F40" s="109">
        <v>1736424040</v>
      </c>
    </row>
    <row r="41" spans="1:6" s="99" customFormat="1" ht="21">
      <c r="A41" s="192"/>
      <c r="B41" s="193" t="s">
        <v>278</v>
      </c>
      <c r="C41" s="194" t="s">
        <v>279</v>
      </c>
      <c r="D41" s="108">
        <v>5500000</v>
      </c>
      <c r="E41" s="108">
        <v>5500000</v>
      </c>
      <c r="F41" s="109">
        <v>33000000</v>
      </c>
    </row>
    <row r="42" spans="1:6" s="99" customFormat="1" ht="31.5">
      <c r="A42" s="192"/>
      <c r="B42" s="193" t="s">
        <v>280</v>
      </c>
      <c r="C42" s="194" t="s">
        <v>281</v>
      </c>
      <c r="D42" s="108">
        <v>588547807</v>
      </c>
      <c r="E42" s="108">
        <v>597307596</v>
      </c>
      <c r="F42" s="109">
        <v>3946418280</v>
      </c>
    </row>
    <row r="43" spans="1:6" s="99" customFormat="1" ht="21">
      <c r="A43" s="192"/>
      <c r="B43" s="193" t="s">
        <v>282</v>
      </c>
      <c r="C43" s="194" t="s">
        <v>283</v>
      </c>
      <c r="D43" s="108">
        <v>470838246</v>
      </c>
      <c r="E43" s="108">
        <v>477846075</v>
      </c>
      <c r="F43" s="109">
        <v>3157134623</v>
      </c>
    </row>
    <row r="44" spans="1:6" s="99" customFormat="1" ht="21">
      <c r="A44" s="192"/>
      <c r="B44" s="193" t="s">
        <v>284</v>
      </c>
      <c r="C44" s="194" t="s">
        <v>285</v>
      </c>
      <c r="D44" s="108">
        <v>647402586</v>
      </c>
      <c r="E44" s="108">
        <v>530257714</v>
      </c>
      <c r="F44" s="109">
        <v>4034050973</v>
      </c>
    </row>
    <row r="45" spans="1:6" s="99" customFormat="1" ht="21">
      <c r="A45" s="189" t="s">
        <v>19</v>
      </c>
      <c r="B45" s="190" t="s">
        <v>286</v>
      </c>
      <c r="C45" s="191"/>
      <c r="D45" s="103">
        <v>0</v>
      </c>
      <c r="E45" s="103">
        <v>0</v>
      </c>
      <c r="F45" s="104">
        <v>0</v>
      </c>
    </row>
    <row r="46" spans="1:6" s="99" customFormat="1" ht="21">
      <c r="A46" s="189" t="s">
        <v>287</v>
      </c>
      <c r="B46" s="190" t="s">
        <v>288</v>
      </c>
      <c r="C46" s="191"/>
      <c r="D46" s="103">
        <v>0</v>
      </c>
      <c r="E46" s="103">
        <v>0</v>
      </c>
      <c r="F46" s="104">
        <v>0</v>
      </c>
    </row>
    <row r="47" spans="1:6" s="99" customFormat="1" ht="21">
      <c r="A47" s="189" t="s">
        <v>289</v>
      </c>
      <c r="B47" s="190" t="s">
        <v>290</v>
      </c>
      <c r="C47" s="191" t="s">
        <v>291</v>
      </c>
      <c r="D47" s="103">
        <v>25245900</v>
      </c>
      <c r="E47" s="103">
        <v>26087430</v>
      </c>
      <c r="F47" s="104">
        <v>153319960</v>
      </c>
    </row>
    <row r="48" spans="1:6" s="99" customFormat="1" ht="52.5">
      <c r="A48" s="189" t="s">
        <v>292</v>
      </c>
      <c r="B48" s="190" t="s">
        <v>293</v>
      </c>
      <c r="C48" s="191" t="s">
        <v>294</v>
      </c>
      <c r="D48" s="103">
        <v>9737700</v>
      </c>
      <c r="E48" s="103">
        <v>36428956</v>
      </c>
      <c r="F48" s="104">
        <v>85142049</v>
      </c>
    </row>
    <row r="49" spans="1:6" s="99" customFormat="1" ht="21">
      <c r="A49" s="192"/>
      <c r="B49" s="193" t="s">
        <v>295</v>
      </c>
      <c r="C49" s="194" t="s">
        <v>296</v>
      </c>
      <c r="D49" s="108">
        <v>9737700</v>
      </c>
      <c r="E49" s="108">
        <v>9762290</v>
      </c>
      <c r="F49" s="109">
        <v>58475383</v>
      </c>
    </row>
    <row r="50" spans="1:6" s="99" customFormat="1" ht="21">
      <c r="A50" s="192"/>
      <c r="B50" s="193" t="s">
        <v>297</v>
      </c>
      <c r="C50" s="194" t="s">
        <v>298</v>
      </c>
      <c r="D50" s="108">
        <v>0</v>
      </c>
      <c r="E50" s="108">
        <v>0</v>
      </c>
      <c r="F50" s="109">
        <v>0</v>
      </c>
    </row>
    <row r="51" spans="1:6" s="99" customFormat="1" ht="21">
      <c r="A51" s="192"/>
      <c r="B51" s="193" t="s">
        <v>299</v>
      </c>
      <c r="C51" s="194" t="s">
        <v>300</v>
      </c>
      <c r="D51" s="108">
        <v>0</v>
      </c>
      <c r="E51" s="108">
        <v>26666666</v>
      </c>
      <c r="F51" s="109">
        <v>26666666</v>
      </c>
    </row>
    <row r="52" spans="1:6" s="99" customFormat="1" ht="115.5">
      <c r="A52" s="189" t="s">
        <v>301</v>
      </c>
      <c r="B52" s="190" t="s">
        <v>302</v>
      </c>
      <c r="C52" s="191" t="s">
        <v>303</v>
      </c>
      <c r="D52" s="103">
        <v>0</v>
      </c>
      <c r="E52" s="103">
        <v>22877334</v>
      </c>
      <c r="F52" s="104">
        <v>72341334</v>
      </c>
    </row>
    <row r="53" spans="1:6" s="99" customFormat="1" ht="21">
      <c r="A53" s="192"/>
      <c r="B53" s="193" t="s">
        <v>304</v>
      </c>
      <c r="C53" s="194" t="s">
        <v>305</v>
      </c>
      <c r="D53" s="108">
        <v>0</v>
      </c>
      <c r="E53" s="108">
        <v>22877334</v>
      </c>
      <c r="F53" s="109">
        <v>72341334</v>
      </c>
    </row>
    <row r="54" spans="1:6" s="99" customFormat="1" ht="21">
      <c r="A54" s="192"/>
      <c r="B54" s="193" t="s">
        <v>306</v>
      </c>
      <c r="C54" s="194" t="s">
        <v>307</v>
      </c>
      <c r="D54" s="108">
        <v>0</v>
      </c>
      <c r="E54" s="108">
        <v>0</v>
      </c>
      <c r="F54" s="109">
        <v>0</v>
      </c>
    </row>
    <row r="55" spans="1:6" s="99" customFormat="1" ht="31.5">
      <c r="A55" s="192"/>
      <c r="B55" s="193" t="s">
        <v>308</v>
      </c>
      <c r="C55" s="194" t="s">
        <v>309</v>
      </c>
      <c r="D55" s="108">
        <v>0</v>
      </c>
      <c r="E55" s="108">
        <v>0</v>
      </c>
      <c r="F55" s="109">
        <v>0</v>
      </c>
    </row>
    <row r="56" spans="1:6" s="99" customFormat="1" ht="21">
      <c r="A56" s="192"/>
      <c r="B56" s="193" t="s">
        <v>310</v>
      </c>
      <c r="C56" s="194" t="s">
        <v>311</v>
      </c>
      <c r="D56" s="108">
        <v>0</v>
      </c>
      <c r="E56" s="108">
        <v>0</v>
      </c>
      <c r="F56" s="109">
        <v>0</v>
      </c>
    </row>
    <row r="57" spans="1:6" s="99" customFormat="1" ht="21">
      <c r="A57" s="192"/>
      <c r="B57" s="193" t="s">
        <v>312</v>
      </c>
      <c r="C57" s="194" t="s">
        <v>313</v>
      </c>
      <c r="D57" s="108">
        <v>0</v>
      </c>
      <c r="E57" s="108">
        <v>0</v>
      </c>
      <c r="F57" s="109">
        <v>0</v>
      </c>
    </row>
    <row r="58" spans="1:6" s="99" customFormat="1" ht="42">
      <c r="A58" s="189" t="s">
        <v>314</v>
      </c>
      <c r="B58" s="190" t="s">
        <v>315</v>
      </c>
      <c r="C58" s="191" t="s">
        <v>316</v>
      </c>
      <c r="D58" s="103">
        <v>832485413</v>
      </c>
      <c r="E58" s="103">
        <v>5751118096</v>
      </c>
      <c r="F58" s="104">
        <v>13164441495</v>
      </c>
    </row>
    <row r="59" spans="1:6" s="99" customFormat="1" ht="21">
      <c r="A59" s="192"/>
      <c r="B59" s="193" t="s">
        <v>317</v>
      </c>
      <c r="C59" s="194" t="s">
        <v>318</v>
      </c>
      <c r="D59" s="108">
        <v>827527313</v>
      </c>
      <c r="E59" s="108">
        <v>5747933453</v>
      </c>
      <c r="F59" s="109">
        <v>13133013402</v>
      </c>
    </row>
    <row r="60" spans="1:6" s="99" customFormat="1" ht="21">
      <c r="A60" s="192"/>
      <c r="B60" s="193" t="s">
        <v>319</v>
      </c>
      <c r="C60" s="194" t="s">
        <v>320</v>
      </c>
      <c r="D60" s="108">
        <v>4958100</v>
      </c>
      <c r="E60" s="108">
        <v>3184643</v>
      </c>
      <c r="F60" s="109">
        <v>31428093</v>
      </c>
    </row>
    <row r="61" spans="1:6" s="99" customFormat="1" ht="21">
      <c r="A61" s="189" t="s">
        <v>321</v>
      </c>
      <c r="B61" s="190" t="s">
        <v>322</v>
      </c>
      <c r="C61" s="191" t="s">
        <v>323</v>
      </c>
      <c r="D61" s="103">
        <v>7356182</v>
      </c>
      <c r="E61" s="103">
        <v>10497763</v>
      </c>
      <c r="F61" s="104">
        <v>90135713</v>
      </c>
    </row>
    <row r="62" spans="1:6" s="99" customFormat="1" ht="21">
      <c r="A62" s="192"/>
      <c r="B62" s="193" t="s">
        <v>324</v>
      </c>
      <c r="C62" s="194" t="s">
        <v>325</v>
      </c>
      <c r="D62" s="108">
        <v>0</v>
      </c>
      <c r="E62" s="108">
        <v>0</v>
      </c>
      <c r="F62" s="109">
        <v>0</v>
      </c>
    </row>
    <row r="63" spans="1:6" s="99" customFormat="1" ht="21">
      <c r="A63" s="192"/>
      <c r="B63" s="193" t="s">
        <v>326</v>
      </c>
      <c r="C63" s="194" t="s">
        <v>327</v>
      </c>
      <c r="D63" s="108">
        <v>0</v>
      </c>
      <c r="E63" s="108">
        <v>0</v>
      </c>
      <c r="F63" s="109">
        <v>30000000</v>
      </c>
    </row>
    <row r="64" spans="1:6" s="99" customFormat="1" ht="21">
      <c r="A64" s="192"/>
      <c r="B64" s="193" t="s">
        <v>328</v>
      </c>
      <c r="C64" s="194" t="s">
        <v>329</v>
      </c>
      <c r="D64" s="108">
        <v>0</v>
      </c>
      <c r="E64" s="108">
        <v>0</v>
      </c>
      <c r="F64" s="109">
        <v>0</v>
      </c>
    </row>
    <row r="65" spans="1:6" s="99" customFormat="1" ht="21">
      <c r="A65" s="192"/>
      <c r="B65" s="193" t="s">
        <v>330</v>
      </c>
      <c r="C65" s="194" t="s">
        <v>331</v>
      </c>
      <c r="D65" s="108">
        <v>356182</v>
      </c>
      <c r="E65" s="108">
        <v>1997763</v>
      </c>
      <c r="F65" s="109">
        <v>5135713</v>
      </c>
    </row>
    <row r="66" spans="1:6" s="99" customFormat="1" ht="21">
      <c r="A66" s="192"/>
      <c r="B66" s="193" t="s">
        <v>332</v>
      </c>
      <c r="C66" s="194" t="s">
        <v>333</v>
      </c>
      <c r="D66" s="108">
        <v>0</v>
      </c>
      <c r="E66" s="108">
        <v>0</v>
      </c>
      <c r="F66" s="109">
        <v>0</v>
      </c>
    </row>
    <row r="67" spans="1:6" s="99" customFormat="1" ht="21">
      <c r="A67" s="192"/>
      <c r="B67" s="193" t="s">
        <v>334</v>
      </c>
      <c r="C67" s="194" t="s">
        <v>335</v>
      </c>
      <c r="D67" s="108">
        <v>0</v>
      </c>
      <c r="E67" s="108">
        <v>0</v>
      </c>
      <c r="F67" s="109">
        <v>0</v>
      </c>
    </row>
    <row r="68" spans="1:6" s="99" customFormat="1" ht="21">
      <c r="A68" s="192"/>
      <c r="B68" s="193" t="s">
        <v>336</v>
      </c>
      <c r="C68" s="194" t="s">
        <v>337</v>
      </c>
      <c r="D68" s="108">
        <v>0</v>
      </c>
      <c r="E68" s="108">
        <v>0</v>
      </c>
      <c r="F68" s="109">
        <v>10500000</v>
      </c>
    </row>
    <row r="69" spans="1:6" s="99" customFormat="1" ht="21">
      <c r="A69" s="192"/>
      <c r="B69" s="193" t="s">
        <v>338</v>
      </c>
      <c r="C69" s="194" t="s">
        <v>339</v>
      </c>
      <c r="D69" s="108">
        <v>7000000</v>
      </c>
      <c r="E69" s="108">
        <v>8500000</v>
      </c>
      <c r="F69" s="109">
        <v>44500000</v>
      </c>
    </row>
    <row r="70" spans="1:6" s="99" customFormat="1" ht="31.5">
      <c r="A70" s="186" t="s">
        <v>340</v>
      </c>
      <c r="B70" s="187" t="s">
        <v>341</v>
      </c>
      <c r="C70" s="188" t="s">
        <v>342</v>
      </c>
      <c r="D70" s="97">
        <v>15030094189</v>
      </c>
      <c r="E70" s="97">
        <v>113517845420</v>
      </c>
      <c r="F70" s="98">
        <v>116385307052</v>
      </c>
    </row>
    <row r="71" spans="1:6" s="99" customFormat="1" ht="21">
      <c r="A71" s="186" t="s">
        <v>343</v>
      </c>
      <c r="B71" s="187" t="s">
        <v>344</v>
      </c>
      <c r="C71" s="188" t="s">
        <v>345</v>
      </c>
      <c r="D71" s="97">
        <v>193502518750</v>
      </c>
      <c r="E71" s="97">
        <v>440600981500</v>
      </c>
      <c r="F71" s="98">
        <v>3346535618550</v>
      </c>
    </row>
    <row r="72" spans="1:6" s="99" customFormat="1" ht="42">
      <c r="A72" s="189" t="s">
        <v>4</v>
      </c>
      <c r="B72" s="190" t="s">
        <v>346</v>
      </c>
      <c r="C72" s="191" t="s">
        <v>347</v>
      </c>
      <c r="D72" s="103">
        <v>307990265263</v>
      </c>
      <c r="E72" s="103">
        <v>359300004039</v>
      </c>
      <c r="F72" s="104">
        <v>2114417449707</v>
      </c>
    </row>
    <row r="73" spans="1:6" s="99" customFormat="1" ht="21">
      <c r="A73" s="192"/>
      <c r="B73" s="193" t="s">
        <v>348</v>
      </c>
      <c r="C73" s="194" t="s">
        <v>349</v>
      </c>
      <c r="D73" s="108">
        <v>30200052633</v>
      </c>
      <c r="E73" s="108">
        <v>233920809951</v>
      </c>
      <c r="F73" s="109">
        <v>541259277578</v>
      </c>
    </row>
    <row r="74" spans="1:6" s="99" customFormat="1" ht="31.5">
      <c r="A74" s="192"/>
      <c r="B74" s="193" t="s">
        <v>350</v>
      </c>
      <c r="C74" s="194" t="s">
        <v>351</v>
      </c>
      <c r="D74" s="108">
        <v>277790212630</v>
      </c>
      <c r="E74" s="108">
        <v>125379194088</v>
      </c>
      <c r="F74" s="109">
        <v>1571169572129</v>
      </c>
    </row>
    <row r="75" spans="1:6" s="99" customFormat="1" ht="42">
      <c r="A75" s="192"/>
      <c r="B75" s="193" t="s">
        <v>352</v>
      </c>
      <c r="C75" s="194" t="s">
        <v>353</v>
      </c>
      <c r="D75" s="108">
        <v>0</v>
      </c>
      <c r="E75" s="108">
        <v>0</v>
      </c>
      <c r="F75" s="109">
        <v>1988600000</v>
      </c>
    </row>
    <row r="76" spans="1:6" s="99" customFormat="1" ht="21">
      <c r="A76" s="189" t="s">
        <v>9</v>
      </c>
      <c r="B76" s="190" t="s">
        <v>354</v>
      </c>
      <c r="C76" s="191" t="s">
        <v>355</v>
      </c>
      <c r="D76" s="103">
        <v>-114487746513</v>
      </c>
      <c r="E76" s="103">
        <v>81300977461</v>
      </c>
      <c r="F76" s="104">
        <v>1232118168843</v>
      </c>
    </row>
    <row r="77" spans="1:6" s="99" customFormat="1" ht="47.25" customHeight="1">
      <c r="A77" s="186" t="s">
        <v>356</v>
      </c>
      <c r="B77" s="187" t="s">
        <v>357</v>
      </c>
      <c r="C77" s="188" t="s">
        <v>358</v>
      </c>
      <c r="D77" s="97">
        <v>208532612939</v>
      </c>
      <c r="E77" s="97">
        <v>554118826920</v>
      </c>
      <c r="F77" s="98">
        <v>3462920925602</v>
      </c>
    </row>
    <row r="78" spans="1:6" s="99" customFormat="1" ht="21">
      <c r="A78" s="186" t="s">
        <v>359</v>
      </c>
      <c r="B78" s="187" t="s">
        <v>360</v>
      </c>
      <c r="C78" s="188" t="s">
        <v>361</v>
      </c>
      <c r="D78" s="97">
        <v>14223535698860</v>
      </c>
      <c r="E78" s="97">
        <v>13932355341518</v>
      </c>
      <c r="F78" s="98">
        <v>17261394813137</v>
      </c>
    </row>
    <row r="79" spans="1:6" s="99" customFormat="1" ht="31.5">
      <c r="A79" s="186" t="s">
        <v>362</v>
      </c>
      <c r="B79" s="187" t="s">
        <v>363</v>
      </c>
      <c r="C79" s="188" t="s">
        <v>364</v>
      </c>
      <c r="D79" s="97">
        <v>-863843979897</v>
      </c>
      <c r="E79" s="97">
        <v>291180357342</v>
      </c>
      <c r="F79" s="98">
        <v>-3901703094174</v>
      </c>
    </row>
    <row r="80" spans="1:6" s="99" customFormat="1" ht="21">
      <c r="A80" s="189"/>
      <c r="B80" s="190" t="s">
        <v>365</v>
      </c>
      <c r="C80" s="191" t="s">
        <v>366</v>
      </c>
      <c r="D80" s="103">
        <v>0</v>
      </c>
      <c r="E80" s="103">
        <v>0</v>
      </c>
      <c r="F80" s="104">
        <v>0</v>
      </c>
    </row>
    <row r="81" spans="1:6" s="99" customFormat="1" ht="42">
      <c r="A81" s="189" t="s">
        <v>4</v>
      </c>
      <c r="B81" s="190" t="s">
        <v>367</v>
      </c>
      <c r="C81" s="191" t="s">
        <v>368</v>
      </c>
      <c r="D81" s="103">
        <v>208532612939</v>
      </c>
      <c r="E81" s="103">
        <v>554118826920</v>
      </c>
      <c r="F81" s="104">
        <v>3462920925602</v>
      </c>
    </row>
    <row r="82" spans="1:6" s="99" customFormat="1" ht="42">
      <c r="A82" s="189" t="s">
        <v>9</v>
      </c>
      <c r="B82" s="190" t="s">
        <v>369</v>
      </c>
      <c r="C82" s="191"/>
      <c r="D82" s="103">
        <v>0</v>
      </c>
      <c r="E82" s="103">
        <v>0</v>
      </c>
      <c r="F82" s="104">
        <v>0</v>
      </c>
    </row>
    <row r="83" spans="1:6" s="99" customFormat="1" ht="42">
      <c r="A83" s="189" t="s">
        <v>14</v>
      </c>
      <c r="B83" s="190" t="s">
        <v>370</v>
      </c>
      <c r="C83" s="191" t="s">
        <v>371</v>
      </c>
      <c r="D83" s="103">
        <v>-1072376592836</v>
      </c>
      <c r="E83" s="103">
        <v>-262938469578</v>
      </c>
      <c r="F83" s="104">
        <v>-7364624019776</v>
      </c>
    </row>
    <row r="84" spans="1:6" s="99" customFormat="1" ht="42">
      <c r="A84" s="192"/>
      <c r="B84" s="193" t="s">
        <v>372</v>
      </c>
      <c r="C84" s="194" t="s">
        <v>373</v>
      </c>
      <c r="D84" s="108">
        <v>201819166612</v>
      </c>
      <c r="E84" s="108">
        <v>343960563669</v>
      </c>
      <c r="F84" s="109">
        <v>1170087094535</v>
      </c>
    </row>
    <row r="85" spans="1:6" s="99" customFormat="1" ht="31.5">
      <c r="A85" s="192"/>
      <c r="B85" s="193" t="s">
        <v>374</v>
      </c>
      <c r="C85" s="194" t="s">
        <v>375</v>
      </c>
      <c r="D85" s="108">
        <v>-1274195759448</v>
      </c>
      <c r="E85" s="108">
        <v>-606899033247</v>
      </c>
      <c r="F85" s="109">
        <v>-8534711114311</v>
      </c>
    </row>
    <row r="86" spans="1:6" s="99" customFormat="1" ht="21">
      <c r="A86" s="186" t="s">
        <v>376</v>
      </c>
      <c r="B86" s="187" t="s">
        <v>377</v>
      </c>
      <c r="C86" s="188" t="s">
        <v>378</v>
      </c>
      <c r="D86" s="97">
        <v>13359691718963</v>
      </c>
      <c r="E86" s="97">
        <v>14223535698860</v>
      </c>
      <c r="F86" s="98">
        <v>13359691718963</v>
      </c>
    </row>
    <row r="87" spans="1:6" s="99" customFormat="1" ht="42">
      <c r="A87" s="186" t="s">
        <v>379</v>
      </c>
      <c r="B87" s="187" t="s">
        <v>380</v>
      </c>
      <c r="C87" s="188" t="s">
        <v>381</v>
      </c>
      <c r="D87" s="97"/>
      <c r="E87" s="97"/>
      <c r="F87" s="98"/>
    </row>
    <row r="88" spans="1:6" s="99" customFormat="1" ht="42">
      <c r="A88" s="195"/>
      <c r="B88" s="196" t="s">
        <v>382</v>
      </c>
      <c r="C88" s="197" t="s">
        <v>383</v>
      </c>
      <c r="D88" s="198"/>
      <c r="E88" s="198"/>
      <c r="F88" s="199"/>
    </row>
    <row r="89" spans="1:6" ht="9" customHeight="1">
      <c r="A89" s="83"/>
      <c r="B89" s="83"/>
      <c r="C89" s="118"/>
      <c r="D89" s="83"/>
      <c r="E89" s="83"/>
      <c r="F89" s="83"/>
    </row>
    <row r="90" spans="1:6" ht="12.75" customHeight="1">
      <c r="A90" s="278" t="s">
        <v>221</v>
      </c>
      <c r="B90" s="278"/>
      <c r="C90" s="278"/>
      <c r="D90" s="278" t="s">
        <v>222</v>
      </c>
      <c r="E90" s="278"/>
      <c r="F90" s="278"/>
    </row>
    <row r="91" spans="1:6" ht="12.75" customHeight="1">
      <c r="A91" s="281" t="s">
        <v>223</v>
      </c>
      <c r="B91" s="281"/>
      <c r="C91" s="281"/>
      <c r="D91" s="288" t="s">
        <v>224</v>
      </c>
      <c r="E91" s="288"/>
      <c r="F91" s="288"/>
    </row>
    <row r="92" spans="1:6" ht="12.75" customHeight="1">
      <c r="A92" s="83"/>
      <c r="B92" s="83"/>
      <c r="C92" s="83"/>
      <c r="D92" s="83"/>
      <c r="E92" s="83"/>
      <c r="F92" s="83"/>
    </row>
    <row r="93" spans="1:6" ht="12.75" customHeight="1">
      <c r="A93" s="83"/>
      <c r="B93" s="83"/>
      <c r="C93" s="83"/>
      <c r="D93" s="83"/>
      <c r="E93" s="83"/>
      <c r="F93" s="83"/>
    </row>
    <row r="94" spans="1:6" ht="12.75" customHeight="1">
      <c r="A94" s="83"/>
      <c r="B94" s="83"/>
      <c r="C94" s="83"/>
      <c r="D94" s="83"/>
      <c r="E94" s="83"/>
      <c r="F94" s="83"/>
    </row>
    <row r="95" spans="1:6" ht="12.75" customHeight="1">
      <c r="A95" s="83"/>
      <c r="B95" s="83"/>
      <c r="C95" s="83"/>
      <c r="D95" s="83"/>
      <c r="E95" s="83"/>
      <c r="F95" s="83"/>
    </row>
    <row r="96" spans="1:6" ht="12.75" customHeight="1">
      <c r="A96" s="83"/>
      <c r="B96" s="83"/>
      <c r="C96" s="83"/>
      <c r="D96" s="83"/>
      <c r="E96" s="83"/>
      <c r="F96" s="83"/>
    </row>
    <row r="97" spans="1:6" ht="12.75" customHeight="1">
      <c r="A97" s="278" t="s">
        <v>225</v>
      </c>
      <c r="B97" s="278"/>
      <c r="C97" s="278"/>
      <c r="D97" s="278" t="s">
        <v>226</v>
      </c>
      <c r="E97" s="278"/>
      <c r="F97" s="278"/>
    </row>
    <row r="98" spans="1:6" ht="12.75" customHeight="1">
      <c r="A98" s="287" t="s">
        <v>227</v>
      </c>
      <c r="B98" s="287"/>
      <c r="C98" s="287"/>
      <c r="D98" s="287" t="s">
        <v>228</v>
      </c>
      <c r="E98" s="287"/>
      <c r="F98" s="287"/>
    </row>
    <row r="99" spans="1:6" ht="12.75" customHeight="1">
      <c r="A99" s="287" t="s">
        <v>229</v>
      </c>
      <c r="B99" s="287"/>
      <c r="C99" s="287"/>
      <c r="D99" s="287" t="s">
        <v>230</v>
      </c>
      <c r="E99" s="287"/>
      <c r="F99" s="287"/>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78740157480314965" bottom="0" header="0.51181102362204722" footer="0"/>
  <pageSetup paperSize="9" scale="8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7"/>
  <sheetViews>
    <sheetView showGridLines="0" showZeros="0" showOutlineSymbols="0" view="pageBreakPreview" topLeftCell="A37" zoomScaleNormal="100" zoomScaleSheetLayoutView="100" workbookViewId="0">
      <selection activeCell="C14" sqref="C14"/>
    </sheetView>
  </sheetViews>
  <sheetFormatPr defaultColWidth="9.140625" defaultRowHeight="10.5"/>
  <cols>
    <col min="1" max="1" width="4.5703125" style="99" customWidth="1"/>
    <col min="2" max="2" width="42" style="99" customWidth="1"/>
    <col min="3" max="3" width="9.140625" style="99"/>
    <col min="4" max="4" width="12.42578125" style="99" bestFit="1" customWidth="1"/>
    <col min="5" max="5" width="11.42578125" style="99" bestFit="1" customWidth="1"/>
    <col min="6" max="6" width="17.140625" style="99" customWidth="1"/>
    <col min="7" max="7" width="10.85546875" style="99" customWidth="1"/>
    <col min="8" max="8" width="9.140625" style="99"/>
    <col min="9" max="9" width="16.5703125" style="99" bestFit="1" customWidth="1"/>
    <col min="10" max="16384" width="9.140625" style="99"/>
  </cols>
  <sheetData>
    <row r="1" spans="1:7" ht="30.75" customHeight="1">
      <c r="A1" s="88"/>
      <c r="B1" s="88"/>
      <c r="C1" s="168"/>
      <c r="D1" s="278" t="s">
        <v>0</v>
      </c>
      <c r="E1" s="278"/>
      <c r="F1" s="278"/>
      <c r="G1" s="278"/>
    </row>
    <row r="2" spans="1:7" ht="27.75" customHeight="1">
      <c r="A2" s="279" t="s">
        <v>1</v>
      </c>
      <c r="B2" s="279"/>
      <c r="C2" s="279"/>
      <c r="D2" s="279"/>
      <c r="E2" s="279"/>
      <c r="F2" s="279"/>
      <c r="G2" s="279"/>
    </row>
    <row r="3" spans="1:7" ht="6" customHeight="1">
      <c r="A3" s="88"/>
      <c r="B3" s="88"/>
      <c r="C3" s="88"/>
      <c r="D3" s="88"/>
      <c r="E3" s="88"/>
      <c r="F3" s="88"/>
      <c r="G3" s="88"/>
    </row>
    <row r="4" spans="1:7" ht="30" customHeight="1">
      <c r="A4" s="280" t="s">
        <v>231</v>
      </c>
      <c r="B4" s="280"/>
      <c r="C4" s="280"/>
      <c r="D4" s="280"/>
      <c r="E4" s="280"/>
      <c r="F4" s="280"/>
      <c r="G4" s="280"/>
    </row>
    <row r="5" spans="1:7" ht="12.75" customHeight="1">
      <c r="A5" s="288" t="s">
        <v>384</v>
      </c>
      <c r="B5" s="288"/>
      <c r="C5" s="288"/>
      <c r="D5" s="288"/>
      <c r="E5" s="288"/>
      <c r="F5" s="288"/>
      <c r="G5" s="288"/>
    </row>
    <row r="6" spans="1:7" ht="12.75" customHeight="1">
      <c r="A6" s="185" t="s">
        <v>4</v>
      </c>
      <c r="B6" s="86" t="s">
        <v>232</v>
      </c>
      <c r="C6" s="290" t="s">
        <v>6</v>
      </c>
      <c r="D6" s="290"/>
      <c r="E6" s="290"/>
      <c r="F6" s="290"/>
      <c r="G6" s="290"/>
    </row>
    <row r="7" spans="1:7" ht="12.75" customHeight="1">
      <c r="A7" s="88"/>
      <c r="B7" s="88" t="s">
        <v>7</v>
      </c>
      <c r="C7" s="289" t="s">
        <v>8</v>
      </c>
      <c r="D7" s="289"/>
      <c r="E7" s="289"/>
      <c r="F7" s="289"/>
      <c r="G7" s="289"/>
    </row>
    <row r="8" spans="1:7" ht="12.75" customHeight="1">
      <c r="A8" s="185" t="s">
        <v>9</v>
      </c>
      <c r="B8" s="86" t="s">
        <v>10</v>
      </c>
      <c r="C8" s="290" t="s">
        <v>11</v>
      </c>
      <c r="D8" s="290"/>
      <c r="E8" s="290"/>
      <c r="F8" s="290"/>
      <c r="G8" s="290"/>
    </row>
    <row r="9" spans="1:7" ht="12.75" customHeight="1">
      <c r="A9" s="88"/>
      <c r="B9" s="88" t="s">
        <v>12</v>
      </c>
      <c r="C9" s="289" t="s">
        <v>13</v>
      </c>
      <c r="D9" s="289"/>
      <c r="E9" s="289"/>
      <c r="F9" s="289"/>
      <c r="G9" s="289"/>
    </row>
    <row r="10" spans="1:7" ht="12.75" customHeight="1">
      <c r="A10" s="185" t="s">
        <v>14</v>
      </c>
      <c r="B10" s="86" t="s">
        <v>385</v>
      </c>
      <c r="C10" s="290" t="s">
        <v>16</v>
      </c>
      <c r="D10" s="290"/>
      <c r="E10" s="290"/>
      <c r="F10" s="290"/>
      <c r="G10" s="290"/>
    </row>
    <row r="11" spans="1:7" ht="12.75" customHeight="1">
      <c r="A11" s="88"/>
      <c r="B11" s="88" t="s">
        <v>17</v>
      </c>
      <c r="C11" s="289" t="s">
        <v>18</v>
      </c>
      <c r="D11" s="289"/>
      <c r="E11" s="289"/>
      <c r="F11" s="289"/>
      <c r="G11" s="289"/>
    </row>
    <row r="12" spans="1:7" ht="12.75" customHeight="1">
      <c r="A12" s="185" t="s">
        <v>19</v>
      </c>
      <c r="B12" s="86" t="s">
        <v>20</v>
      </c>
      <c r="C12" s="282">
        <v>45477</v>
      </c>
      <c r="D12" s="282"/>
      <c r="E12" s="282"/>
      <c r="F12" s="282"/>
      <c r="G12" s="282"/>
    </row>
    <row r="13" spans="1:7" ht="12.75" customHeight="1">
      <c r="A13" s="88"/>
      <c r="B13" s="88" t="s">
        <v>21</v>
      </c>
      <c r="C13" s="283">
        <v>45477</v>
      </c>
      <c r="D13" s="283"/>
      <c r="E13" s="283"/>
      <c r="F13" s="283"/>
      <c r="G13" s="283"/>
    </row>
    <row r="14" spans="1:7" ht="9" customHeight="1">
      <c r="A14" s="88"/>
      <c r="B14" s="88"/>
      <c r="C14" s="200"/>
      <c r="D14" s="88"/>
      <c r="E14" s="88"/>
      <c r="F14" s="88"/>
      <c r="G14" s="88"/>
    </row>
    <row r="15" spans="1:7" ht="12.75" customHeight="1">
      <c r="A15" s="292" t="s">
        <v>386</v>
      </c>
      <c r="B15" s="292"/>
      <c r="C15" s="292"/>
      <c r="D15" s="292"/>
      <c r="E15" s="292"/>
      <c r="F15" s="292"/>
      <c r="G15" s="292"/>
    </row>
    <row r="16" spans="1:7" ht="12.75" customHeight="1">
      <c r="A16" s="290" t="s">
        <v>387</v>
      </c>
      <c r="B16" s="290"/>
      <c r="C16" s="290"/>
      <c r="D16" s="290"/>
      <c r="E16" s="290"/>
      <c r="F16" s="290"/>
      <c r="G16" s="290"/>
    </row>
    <row r="17" spans="1:7" ht="12.75" customHeight="1">
      <c r="A17" s="201"/>
      <c r="B17" s="201"/>
      <c r="C17" s="202"/>
      <c r="D17" s="201"/>
      <c r="E17" s="201"/>
      <c r="F17" s="293" t="s">
        <v>24</v>
      </c>
      <c r="G17" s="293"/>
    </row>
    <row r="18" spans="1:7" ht="79.5" customHeight="1">
      <c r="A18" s="123" t="s">
        <v>388</v>
      </c>
      <c r="B18" s="124" t="s">
        <v>389</v>
      </c>
      <c r="C18" s="124" t="s">
        <v>27</v>
      </c>
      <c r="D18" s="124" t="s">
        <v>390</v>
      </c>
      <c r="E18" s="124" t="s">
        <v>391</v>
      </c>
      <c r="F18" s="124" t="s">
        <v>392</v>
      </c>
      <c r="G18" s="126" t="s">
        <v>393</v>
      </c>
    </row>
    <row r="19" spans="1:7" ht="21">
      <c r="A19" s="170" t="s">
        <v>31</v>
      </c>
      <c r="B19" s="171" t="s">
        <v>394</v>
      </c>
      <c r="C19" s="102"/>
      <c r="D19" s="203">
        <v>0</v>
      </c>
      <c r="E19" s="204">
        <v>0</v>
      </c>
      <c r="F19" s="204">
        <v>0</v>
      </c>
      <c r="G19" s="172">
        <v>0</v>
      </c>
    </row>
    <row r="20" spans="1:7" ht="35.25" customHeight="1">
      <c r="A20" s="170" t="s">
        <v>121</v>
      </c>
      <c r="B20" s="171" t="s">
        <v>395</v>
      </c>
      <c r="C20" s="102" t="s">
        <v>396</v>
      </c>
      <c r="D20" s="203">
        <v>0</v>
      </c>
      <c r="E20" s="204">
        <v>0</v>
      </c>
      <c r="F20" s="204">
        <v>0</v>
      </c>
      <c r="G20" s="172">
        <v>0</v>
      </c>
    </row>
    <row r="21" spans="1:7" ht="15" customHeight="1">
      <c r="A21" s="170" t="s">
        <v>4</v>
      </c>
      <c r="B21" s="171" t="s">
        <v>397</v>
      </c>
      <c r="C21" s="102" t="s">
        <v>398</v>
      </c>
      <c r="D21" s="103">
        <v>45108458</v>
      </c>
      <c r="E21" s="103">
        <v>23800</v>
      </c>
      <c r="F21" s="103">
        <v>1073581300400</v>
      </c>
      <c r="G21" s="172">
        <v>7.9799999999999996E-2</v>
      </c>
    </row>
    <row r="22" spans="1:7" ht="15" customHeight="1">
      <c r="A22" s="170" t="s">
        <v>9</v>
      </c>
      <c r="B22" s="171" t="s">
        <v>399</v>
      </c>
      <c r="C22" s="102" t="s">
        <v>400</v>
      </c>
      <c r="D22" s="103">
        <v>343400</v>
      </c>
      <c r="E22" s="103">
        <v>100000</v>
      </c>
      <c r="F22" s="103">
        <v>34340000000</v>
      </c>
      <c r="G22" s="172">
        <v>2.5999999999999999E-3</v>
      </c>
    </row>
    <row r="23" spans="1:7" ht="15" customHeight="1">
      <c r="A23" s="170" t="s">
        <v>14</v>
      </c>
      <c r="B23" s="171" t="s">
        <v>401</v>
      </c>
      <c r="C23" s="102" t="s">
        <v>402</v>
      </c>
      <c r="D23" s="103">
        <v>6804236</v>
      </c>
      <c r="E23" s="103">
        <v>31000</v>
      </c>
      <c r="F23" s="103">
        <v>210931316000</v>
      </c>
      <c r="G23" s="172">
        <v>1.5699999999999999E-2</v>
      </c>
    </row>
    <row r="24" spans="1:7" ht="15" customHeight="1">
      <c r="A24" s="170" t="s">
        <v>19</v>
      </c>
      <c r="B24" s="171" t="s">
        <v>403</v>
      </c>
      <c r="C24" s="102" t="s">
        <v>404</v>
      </c>
      <c r="D24" s="103">
        <v>19439449</v>
      </c>
      <c r="E24" s="103">
        <v>130500</v>
      </c>
      <c r="F24" s="103">
        <v>2536848094500</v>
      </c>
      <c r="G24" s="172">
        <v>0.18859999999999999</v>
      </c>
    </row>
    <row r="25" spans="1:7" ht="15" customHeight="1">
      <c r="A25" s="170" t="s">
        <v>287</v>
      </c>
      <c r="B25" s="171" t="s">
        <v>405</v>
      </c>
      <c r="C25" s="102" t="s">
        <v>406</v>
      </c>
      <c r="D25" s="103">
        <v>18010850</v>
      </c>
      <c r="E25" s="103">
        <v>83000</v>
      </c>
      <c r="F25" s="103">
        <v>1494900550000</v>
      </c>
      <c r="G25" s="172">
        <v>0.1111</v>
      </c>
    </row>
    <row r="26" spans="1:7" ht="15" customHeight="1">
      <c r="A26" s="170" t="s">
        <v>289</v>
      </c>
      <c r="B26" s="171" t="s">
        <v>407</v>
      </c>
      <c r="C26" s="102" t="s">
        <v>408</v>
      </c>
      <c r="D26" s="103">
        <v>24109300</v>
      </c>
      <c r="E26" s="103">
        <v>23000</v>
      </c>
      <c r="F26" s="103">
        <v>554513900000</v>
      </c>
      <c r="G26" s="172">
        <v>4.1200000000000001E-2</v>
      </c>
    </row>
    <row r="27" spans="1:7" ht="15" customHeight="1">
      <c r="A27" s="170" t="s">
        <v>292</v>
      </c>
      <c r="B27" s="171" t="s">
        <v>409</v>
      </c>
      <c r="C27" s="102" t="s">
        <v>410</v>
      </c>
      <c r="D27" s="103">
        <v>9540792</v>
      </c>
      <c r="E27" s="103">
        <v>36900</v>
      </c>
      <c r="F27" s="103">
        <v>352055224800</v>
      </c>
      <c r="G27" s="172">
        <v>2.6200000000000001E-2</v>
      </c>
    </row>
    <row r="28" spans="1:7" ht="15" customHeight="1">
      <c r="A28" s="170" t="s">
        <v>301</v>
      </c>
      <c r="B28" s="171" t="s">
        <v>411</v>
      </c>
      <c r="C28" s="102" t="s">
        <v>412</v>
      </c>
      <c r="D28" s="103">
        <v>33307683</v>
      </c>
      <c r="E28" s="103">
        <v>22200</v>
      </c>
      <c r="F28" s="103">
        <v>739430562600</v>
      </c>
      <c r="G28" s="172">
        <v>5.5E-2</v>
      </c>
    </row>
    <row r="29" spans="1:7" ht="15" customHeight="1">
      <c r="A29" s="170" t="s">
        <v>314</v>
      </c>
      <c r="B29" s="171" t="s">
        <v>413</v>
      </c>
      <c r="C29" s="102" t="s">
        <v>414</v>
      </c>
      <c r="D29" s="103">
        <v>18648087</v>
      </c>
      <c r="E29" s="103">
        <v>14300</v>
      </c>
      <c r="F29" s="103">
        <v>266667644100</v>
      </c>
      <c r="G29" s="172">
        <v>1.9800000000000002E-2</v>
      </c>
    </row>
    <row r="30" spans="1:7" ht="15" customHeight="1">
      <c r="A30" s="170" t="s">
        <v>321</v>
      </c>
      <c r="B30" s="171" t="s">
        <v>415</v>
      </c>
      <c r="C30" s="102" t="s">
        <v>416</v>
      </c>
      <c r="D30" s="103">
        <v>6980000</v>
      </c>
      <c r="E30" s="103">
        <v>62400</v>
      </c>
      <c r="F30" s="103">
        <v>435552000000</v>
      </c>
      <c r="G30" s="172">
        <v>3.2399999999999998E-2</v>
      </c>
    </row>
    <row r="31" spans="1:7" ht="15" customHeight="1">
      <c r="A31" s="170" t="s">
        <v>417</v>
      </c>
      <c r="B31" s="171" t="s">
        <v>418</v>
      </c>
      <c r="C31" s="102" t="s">
        <v>419</v>
      </c>
      <c r="D31" s="103">
        <v>10634188</v>
      </c>
      <c r="E31" s="103">
        <v>41400</v>
      </c>
      <c r="F31" s="103">
        <v>440255383200</v>
      </c>
      <c r="G31" s="172">
        <v>3.27E-2</v>
      </c>
    </row>
    <row r="32" spans="1:7" ht="15" customHeight="1">
      <c r="A32" s="170" t="s">
        <v>420</v>
      </c>
      <c r="B32" s="171" t="s">
        <v>421</v>
      </c>
      <c r="C32" s="102" t="s">
        <v>422</v>
      </c>
      <c r="D32" s="103">
        <v>10378250</v>
      </c>
      <c r="E32" s="103">
        <v>14100</v>
      </c>
      <c r="F32" s="103">
        <v>146333325000</v>
      </c>
      <c r="G32" s="172">
        <v>1.09E-2</v>
      </c>
    </row>
    <row r="33" spans="1:7" ht="15" customHeight="1">
      <c r="A33" s="170" t="s">
        <v>423</v>
      </c>
      <c r="B33" s="171" t="s">
        <v>424</v>
      </c>
      <c r="C33" s="102" t="s">
        <v>425</v>
      </c>
      <c r="D33" s="103">
        <v>17921004</v>
      </c>
      <c r="E33" s="103">
        <v>95500</v>
      </c>
      <c r="F33" s="103">
        <v>1711455882000</v>
      </c>
      <c r="G33" s="172">
        <v>0.12720000000000001</v>
      </c>
    </row>
    <row r="34" spans="1:7" ht="15" customHeight="1">
      <c r="A34" s="170" t="s">
        <v>426</v>
      </c>
      <c r="B34" s="171" t="s">
        <v>427</v>
      </c>
      <c r="C34" s="102" t="s">
        <v>428</v>
      </c>
      <c r="D34" s="103">
        <v>12683088</v>
      </c>
      <c r="E34" s="103">
        <v>62600</v>
      </c>
      <c r="F34" s="103">
        <v>793961308800</v>
      </c>
      <c r="G34" s="172">
        <v>5.8999999999999997E-2</v>
      </c>
    </row>
    <row r="35" spans="1:7" ht="15" customHeight="1">
      <c r="A35" s="170" t="s">
        <v>429</v>
      </c>
      <c r="B35" s="171" t="s">
        <v>430</v>
      </c>
      <c r="C35" s="102" t="s">
        <v>431</v>
      </c>
      <c r="D35" s="103">
        <v>47880600</v>
      </c>
      <c r="E35" s="103">
        <v>23350</v>
      </c>
      <c r="F35" s="103">
        <v>1118012010000</v>
      </c>
      <c r="G35" s="172">
        <v>8.3099999999999993E-2</v>
      </c>
    </row>
    <row r="36" spans="1:7" ht="15" customHeight="1">
      <c r="A36" s="170" t="s">
        <v>432</v>
      </c>
      <c r="B36" s="171" t="s">
        <v>433</v>
      </c>
      <c r="C36" s="102" t="s">
        <v>434</v>
      </c>
      <c r="D36" s="103">
        <v>12132574</v>
      </c>
      <c r="E36" s="103">
        <v>17200</v>
      </c>
      <c r="F36" s="103">
        <v>208680272800</v>
      </c>
      <c r="G36" s="172">
        <v>1.55E-2</v>
      </c>
    </row>
    <row r="37" spans="1:7" ht="15" customHeight="1">
      <c r="A37" s="170" t="s">
        <v>435</v>
      </c>
      <c r="B37" s="171" t="s">
        <v>436</v>
      </c>
      <c r="C37" s="102" t="s">
        <v>437</v>
      </c>
      <c r="D37" s="103">
        <v>12579184</v>
      </c>
      <c r="E37" s="103">
        <v>21000</v>
      </c>
      <c r="F37" s="103">
        <v>264162864000</v>
      </c>
      <c r="G37" s="172">
        <v>1.9599999999999999E-2</v>
      </c>
    </row>
    <row r="38" spans="1:7" ht="15" customHeight="1">
      <c r="A38" s="170" t="s">
        <v>438</v>
      </c>
      <c r="B38" s="171" t="s">
        <v>439</v>
      </c>
      <c r="C38" s="102" t="s">
        <v>440</v>
      </c>
      <c r="D38" s="103">
        <v>26543716</v>
      </c>
      <c r="E38" s="103">
        <v>18650</v>
      </c>
      <c r="F38" s="103">
        <v>495040303400</v>
      </c>
      <c r="G38" s="172">
        <v>3.6799999999999999E-2</v>
      </c>
    </row>
    <row r="39" spans="1:7" ht="15" customHeight="1">
      <c r="A39" s="170" t="s">
        <v>441</v>
      </c>
      <c r="B39" s="171" t="s">
        <v>442</v>
      </c>
      <c r="C39" s="102" t="s">
        <v>443</v>
      </c>
      <c r="D39" s="103">
        <v>18205600</v>
      </c>
      <c r="E39" s="103">
        <v>20450</v>
      </c>
      <c r="F39" s="103">
        <v>372304520000</v>
      </c>
      <c r="G39" s="172">
        <v>2.7699999999999999E-2</v>
      </c>
    </row>
    <row r="40" spans="1:7" ht="21">
      <c r="A40" s="170"/>
      <c r="B40" s="171" t="s">
        <v>447</v>
      </c>
      <c r="C40" s="102" t="s">
        <v>444</v>
      </c>
      <c r="D40" s="103"/>
      <c r="E40" s="103"/>
      <c r="F40" s="103">
        <v>13249026461600</v>
      </c>
      <c r="G40" s="172">
        <v>0.98499999999999999</v>
      </c>
    </row>
    <row r="41" spans="1:7" ht="42">
      <c r="A41" s="170" t="s">
        <v>340</v>
      </c>
      <c r="B41" s="171" t="s">
        <v>445</v>
      </c>
      <c r="C41" s="102" t="s">
        <v>446</v>
      </c>
      <c r="D41" s="103"/>
      <c r="E41" s="103"/>
      <c r="F41" s="103">
        <v>0</v>
      </c>
      <c r="G41" s="172">
        <v>0</v>
      </c>
    </row>
    <row r="42" spans="1:7" ht="21">
      <c r="A42" s="170"/>
      <c r="B42" s="171" t="s">
        <v>447</v>
      </c>
      <c r="C42" s="102" t="s">
        <v>448</v>
      </c>
      <c r="D42" s="103"/>
      <c r="E42" s="103"/>
      <c r="F42" s="103">
        <v>0</v>
      </c>
      <c r="G42" s="205">
        <v>0</v>
      </c>
    </row>
    <row r="43" spans="1:7" ht="21">
      <c r="A43" s="170"/>
      <c r="B43" s="171" t="s">
        <v>449</v>
      </c>
      <c r="C43" s="102" t="s">
        <v>450</v>
      </c>
      <c r="D43" s="103"/>
      <c r="E43" s="103"/>
      <c r="F43" s="103">
        <v>13249026461600</v>
      </c>
      <c r="G43" s="172">
        <v>0.98499999999999999</v>
      </c>
    </row>
    <row r="44" spans="1:7" ht="21">
      <c r="A44" s="170" t="s">
        <v>343</v>
      </c>
      <c r="B44" s="171" t="s">
        <v>451</v>
      </c>
      <c r="C44" s="102" t="s">
        <v>452</v>
      </c>
      <c r="D44" s="103"/>
      <c r="E44" s="103"/>
      <c r="F44" s="103">
        <v>0</v>
      </c>
      <c r="G44" s="172">
        <v>0</v>
      </c>
    </row>
    <row r="45" spans="1:7" ht="21">
      <c r="A45" s="170"/>
      <c r="B45" s="171" t="s">
        <v>447</v>
      </c>
      <c r="C45" s="102" t="s">
        <v>453</v>
      </c>
      <c r="D45" s="103"/>
      <c r="E45" s="103"/>
      <c r="F45" s="206">
        <v>0</v>
      </c>
      <c r="G45" s="205">
        <v>0</v>
      </c>
    </row>
    <row r="46" spans="1:7" ht="21">
      <c r="A46" s="170" t="s">
        <v>356</v>
      </c>
      <c r="B46" s="171" t="s">
        <v>454</v>
      </c>
      <c r="C46" s="102" t="s">
        <v>455</v>
      </c>
      <c r="D46" s="103"/>
      <c r="E46" s="103"/>
      <c r="F46" s="206">
        <v>0</v>
      </c>
      <c r="G46" s="205">
        <v>0</v>
      </c>
    </row>
    <row r="47" spans="1:7" ht="21">
      <c r="A47" s="170" t="s">
        <v>4</v>
      </c>
      <c r="B47" s="171" t="s">
        <v>456</v>
      </c>
      <c r="C47" s="102" t="s">
        <v>457</v>
      </c>
      <c r="D47" s="103"/>
      <c r="E47" s="103"/>
      <c r="F47" s="206">
        <v>0</v>
      </c>
      <c r="G47" s="205">
        <v>0</v>
      </c>
    </row>
    <row r="48" spans="1:7" ht="21">
      <c r="A48" s="170" t="s">
        <v>9</v>
      </c>
      <c r="B48" s="171" t="s">
        <v>458</v>
      </c>
      <c r="C48" s="102" t="s">
        <v>459</v>
      </c>
      <c r="D48" s="103"/>
      <c r="E48" s="103"/>
      <c r="F48" s="206">
        <v>0</v>
      </c>
      <c r="G48" s="205">
        <v>0</v>
      </c>
    </row>
    <row r="49" spans="1:7" ht="21">
      <c r="A49" s="170"/>
      <c r="B49" s="171" t="s">
        <v>447</v>
      </c>
      <c r="C49" s="102" t="s">
        <v>460</v>
      </c>
      <c r="D49" s="103"/>
      <c r="E49" s="103"/>
      <c r="F49" s="206">
        <v>0</v>
      </c>
      <c r="G49" s="205">
        <v>0</v>
      </c>
    </row>
    <row r="50" spans="1:7" ht="21">
      <c r="A50" s="170"/>
      <c r="B50" s="171" t="s">
        <v>461</v>
      </c>
      <c r="C50" s="102" t="s">
        <v>462</v>
      </c>
      <c r="D50" s="103"/>
      <c r="E50" s="103"/>
      <c r="F50" s="103">
        <v>13249026461600</v>
      </c>
      <c r="G50" s="172">
        <v>0.98499999999999999</v>
      </c>
    </row>
    <row r="51" spans="1:7" ht="21">
      <c r="A51" s="170" t="s">
        <v>359</v>
      </c>
      <c r="B51" s="171" t="s">
        <v>463</v>
      </c>
      <c r="C51" s="102" t="s">
        <v>464</v>
      </c>
      <c r="D51" s="103"/>
      <c r="E51" s="103"/>
      <c r="F51" s="103">
        <v>0</v>
      </c>
      <c r="G51" s="172">
        <v>0</v>
      </c>
    </row>
    <row r="52" spans="1:7" ht="21">
      <c r="A52" s="170" t="s">
        <v>4</v>
      </c>
      <c r="B52" s="171" t="s">
        <v>465</v>
      </c>
      <c r="C52" s="102" t="s">
        <v>466</v>
      </c>
      <c r="D52" s="103"/>
      <c r="E52" s="103"/>
      <c r="F52" s="103">
        <v>10028037000</v>
      </c>
      <c r="G52" s="172">
        <v>6.9999999999999999E-4</v>
      </c>
    </row>
    <row r="53" spans="1:7" ht="21">
      <c r="A53" s="170" t="s">
        <v>9</v>
      </c>
      <c r="B53" s="171" t="s">
        <v>467</v>
      </c>
      <c r="C53" s="102" t="s">
        <v>468</v>
      </c>
      <c r="D53" s="103"/>
      <c r="E53" s="103"/>
      <c r="F53" s="206">
        <v>0</v>
      </c>
      <c r="G53" s="205">
        <v>0</v>
      </c>
    </row>
    <row r="54" spans="1:7" ht="21">
      <c r="A54" s="170" t="s">
        <v>14</v>
      </c>
      <c r="B54" s="171" t="s">
        <v>469</v>
      </c>
      <c r="C54" s="102" t="s">
        <v>470</v>
      </c>
      <c r="D54" s="103"/>
      <c r="E54" s="103"/>
      <c r="F54" s="206">
        <v>0</v>
      </c>
      <c r="G54" s="205">
        <v>0</v>
      </c>
    </row>
    <row r="55" spans="1:7" ht="33" customHeight="1">
      <c r="A55" s="170" t="s">
        <v>19</v>
      </c>
      <c r="B55" s="171" t="s">
        <v>471</v>
      </c>
      <c r="C55" s="102" t="s">
        <v>472</v>
      </c>
      <c r="D55" s="103"/>
      <c r="E55" s="103"/>
      <c r="F55" s="206">
        <v>51833950000</v>
      </c>
      <c r="G55" s="172">
        <v>3.8999999999999998E-3</v>
      </c>
    </row>
    <row r="56" spans="1:7" ht="21">
      <c r="A56" s="170" t="s">
        <v>287</v>
      </c>
      <c r="B56" s="171" t="s">
        <v>473</v>
      </c>
      <c r="C56" s="102" t="s">
        <v>474</v>
      </c>
      <c r="D56" s="103"/>
      <c r="E56" s="103"/>
      <c r="F56" s="206">
        <v>0</v>
      </c>
      <c r="G56" s="205">
        <v>0</v>
      </c>
    </row>
    <row r="57" spans="1:7" ht="21">
      <c r="A57" s="170" t="s">
        <v>289</v>
      </c>
      <c r="B57" s="171" t="s">
        <v>475</v>
      </c>
      <c r="C57" s="102" t="s">
        <v>476</v>
      </c>
      <c r="D57" s="103"/>
      <c r="E57" s="103"/>
      <c r="F57" s="206">
        <v>0</v>
      </c>
      <c r="G57" s="205">
        <v>0</v>
      </c>
    </row>
    <row r="58" spans="1:7" ht="21">
      <c r="A58" s="170" t="s">
        <v>292</v>
      </c>
      <c r="B58" s="171" t="s">
        <v>477</v>
      </c>
      <c r="C58" s="102" t="s">
        <v>478</v>
      </c>
      <c r="D58" s="103"/>
      <c r="E58" s="103"/>
      <c r="F58" s="206">
        <v>0</v>
      </c>
      <c r="G58" s="205">
        <v>0</v>
      </c>
    </row>
    <row r="59" spans="1:7" ht="21">
      <c r="A59" s="170" t="s">
        <v>301</v>
      </c>
      <c r="B59" s="171" t="s">
        <v>479</v>
      </c>
      <c r="C59" s="102" t="s">
        <v>480</v>
      </c>
      <c r="D59" s="103"/>
      <c r="E59" s="103"/>
      <c r="F59" s="206">
        <v>0</v>
      </c>
      <c r="G59" s="205">
        <v>0</v>
      </c>
    </row>
    <row r="60" spans="1:7" ht="21">
      <c r="A60" s="170" t="s">
        <v>314</v>
      </c>
      <c r="B60" s="171" t="s">
        <v>481</v>
      </c>
      <c r="C60" s="102" t="s">
        <v>482</v>
      </c>
      <c r="D60" s="103"/>
      <c r="E60" s="103"/>
      <c r="F60" s="206">
        <v>0</v>
      </c>
      <c r="G60" s="205">
        <v>0</v>
      </c>
    </row>
    <row r="61" spans="1:7" ht="21" customHeight="1">
      <c r="A61" s="170" t="s">
        <v>321</v>
      </c>
      <c r="B61" s="171" t="s">
        <v>483</v>
      </c>
      <c r="C61" s="102" t="s">
        <v>484</v>
      </c>
      <c r="D61" s="103"/>
      <c r="E61" s="103"/>
      <c r="F61" s="206">
        <v>0</v>
      </c>
      <c r="G61" s="205">
        <v>0</v>
      </c>
    </row>
    <row r="62" spans="1:7" ht="21">
      <c r="A62" s="170"/>
      <c r="B62" s="171" t="s">
        <v>447</v>
      </c>
      <c r="C62" s="102" t="s">
        <v>485</v>
      </c>
      <c r="D62" s="103"/>
      <c r="E62" s="103"/>
      <c r="F62" s="103">
        <v>61861987000</v>
      </c>
      <c r="G62" s="172">
        <v>4.5999999999999999E-3</v>
      </c>
    </row>
    <row r="63" spans="1:7" ht="21">
      <c r="A63" s="170" t="s">
        <v>362</v>
      </c>
      <c r="B63" s="171" t="s">
        <v>37</v>
      </c>
      <c r="C63" s="102" t="s">
        <v>486</v>
      </c>
      <c r="D63" s="103"/>
      <c r="E63" s="103"/>
      <c r="F63" s="103">
        <v>0</v>
      </c>
      <c r="G63" s="172">
        <v>0</v>
      </c>
    </row>
    <row r="64" spans="1:7" ht="21">
      <c r="A64" s="170" t="s">
        <v>4</v>
      </c>
      <c r="B64" s="171" t="s">
        <v>487</v>
      </c>
      <c r="C64" s="102" t="s">
        <v>488</v>
      </c>
      <c r="D64" s="103"/>
      <c r="E64" s="103"/>
      <c r="F64" s="103">
        <v>139366645417</v>
      </c>
      <c r="G64" s="172">
        <v>1.04E-2</v>
      </c>
    </row>
    <row r="65" spans="1:9" ht="21">
      <c r="A65" s="170"/>
      <c r="B65" s="171" t="s">
        <v>489</v>
      </c>
      <c r="C65" s="102" t="s">
        <v>490</v>
      </c>
      <c r="D65" s="103"/>
      <c r="E65" s="103"/>
      <c r="F65" s="103">
        <v>0</v>
      </c>
      <c r="G65" s="172">
        <v>0</v>
      </c>
    </row>
    <row r="66" spans="1:9" ht="21">
      <c r="A66" s="170"/>
      <c r="B66" s="171" t="s">
        <v>491</v>
      </c>
      <c r="C66" s="102" t="s">
        <v>492</v>
      </c>
      <c r="D66" s="103"/>
      <c r="E66" s="103"/>
      <c r="F66" s="103">
        <v>139366645417</v>
      </c>
      <c r="G66" s="172">
        <v>1.04E-2</v>
      </c>
    </row>
    <row r="67" spans="1:9" ht="21">
      <c r="A67" s="170"/>
      <c r="B67" s="171" t="s">
        <v>493</v>
      </c>
      <c r="C67" s="102" t="s">
        <v>494</v>
      </c>
      <c r="D67" s="103"/>
      <c r="E67" s="103"/>
      <c r="F67" s="206">
        <v>0</v>
      </c>
      <c r="G67" s="205">
        <v>0</v>
      </c>
    </row>
    <row r="68" spans="1:9" ht="21">
      <c r="A68" s="170" t="s">
        <v>9</v>
      </c>
      <c r="B68" s="171" t="s">
        <v>495</v>
      </c>
      <c r="C68" s="102" t="s">
        <v>496</v>
      </c>
      <c r="D68" s="103"/>
      <c r="E68" s="103"/>
      <c r="F68" s="206">
        <v>0</v>
      </c>
      <c r="G68" s="205">
        <v>0</v>
      </c>
    </row>
    <row r="69" spans="1:9" ht="21">
      <c r="A69" s="170" t="s">
        <v>14</v>
      </c>
      <c r="B69" s="171" t="s">
        <v>497</v>
      </c>
      <c r="C69" s="102" t="s">
        <v>498</v>
      </c>
      <c r="D69" s="103"/>
      <c r="E69" s="103"/>
      <c r="F69" s="206">
        <v>0</v>
      </c>
      <c r="G69" s="205">
        <v>0</v>
      </c>
    </row>
    <row r="70" spans="1:9" ht="21">
      <c r="A70" s="170" t="s">
        <v>19</v>
      </c>
      <c r="B70" s="171" t="s">
        <v>499</v>
      </c>
      <c r="C70" s="102" t="s">
        <v>500</v>
      </c>
      <c r="D70" s="103"/>
      <c r="E70" s="103"/>
      <c r="F70" s="206">
        <v>0</v>
      </c>
      <c r="G70" s="205">
        <v>0</v>
      </c>
    </row>
    <row r="71" spans="1:9" ht="21">
      <c r="A71" s="170"/>
      <c r="B71" s="171" t="s">
        <v>447</v>
      </c>
      <c r="C71" s="102" t="s">
        <v>501</v>
      </c>
      <c r="D71" s="103"/>
      <c r="E71" s="103"/>
      <c r="F71" s="103">
        <v>139366645417</v>
      </c>
      <c r="G71" s="172">
        <v>1.04E-2</v>
      </c>
    </row>
    <row r="72" spans="1:9" ht="21">
      <c r="A72" s="180" t="s">
        <v>376</v>
      </c>
      <c r="B72" s="181" t="s">
        <v>502</v>
      </c>
      <c r="C72" s="182" t="s">
        <v>503</v>
      </c>
      <c r="D72" s="198"/>
      <c r="E72" s="198"/>
      <c r="F72" s="198">
        <v>13450255094017</v>
      </c>
      <c r="G72" s="184">
        <v>1</v>
      </c>
    </row>
    <row r="73" spans="1:9" ht="6" customHeight="1">
      <c r="A73" s="88"/>
      <c r="B73" s="88"/>
      <c r="C73" s="88"/>
      <c r="D73" s="88"/>
      <c r="E73" s="88"/>
      <c r="F73" s="88"/>
      <c r="G73" s="88"/>
      <c r="I73" s="207"/>
    </row>
    <row r="74" spans="1:9">
      <c r="A74" s="294" t="s">
        <v>504</v>
      </c>
      <c r="B74" s="294"/>
      <c r="C74" s="88"/>
      <c r="D74" s="88"/>
      <c r="E74" s="88"/>
      <c r="F74" s="88"/>
      <c r="G74" s="88"/>
    </row>
    <row r="75" spans="1:9" ht="28.5" customHeight="1">
      <c r="A75" s="295" t="s">
        <v>505</v>
      </c>
      <c r="B75" s="295"/>
      <c r="C75" s="295"/>
      <c r="D75" s="295"/>
      <c r="E75" s="295"/>
      <c r="F75" s="295"/>
      <c r="G75" s="295"/>
    </row>
    <row r="76" spans="1:9" ht="6" customHeight="1">
      <c r="A76" s="201"/>
      <c r="B76" s="201"/>
      <c r="C76" s="201"/>
      <c r="D76" s="201"/>
      <c r="E76" s="201"/>
      <c r="F76" s="201"/>
      <c r="G76" s="201"/>
    </row>
    <row r="77" spans="1:9" ht="51" customHeight="1">
      <c r="A77" s="208" t="s">
        <v>506</v>
      </c>
      <c r="B77" s="209" t="s">
        <v>507</v>
      </c>
      <c r="C77" s="209" t="s">
        <v>508</v>
      </c>
      <c r="D77" s="209" t="s">
        <v>509</v>
      </c>
      <c r="E77" s="209" t="s">
        <v>510</v>
      </c>
      <c r="F77" s="209" t="s">
        <v>511</v>
      </c>
      <c r="G77" s="210" t="s">
        <v>512</v>
      </c>
    </row>
    <row r="78" spans="1:9" ht="7.5" customHeight="1">
      <c r="A78" s="88"/>
      <c r="B78" s="88"/>
      <c r="C78" s="88"/>
      <c r="D78" s="88"/>
      <c r="E78" s="88"/>
      <c r="F78" s="88"/>
      <c r="G78" s="88"/>
    </row>
    <row r="79" spans="1:9" ht="12" customHeight="1">
      <c r="A79" s="291" t="s">
        <v>221</v>
      </c>
      <c r="B79" s="291"/>
      <c r="C79" s="291"/>
      <c r="D79" s="291" t="s">
        <v>222</v>
      </c>
      <c r="E79" s="291"/>
      <c r="F79" s="291"/>
      <c r="G79" s="291"/>
    </row>
    <row r="80" spans="1:9" ht="12" customHeight="1">
      <c r="A80" s="288" t="s">
        <v>223</v>
      </c>
      <c r="B80" s="288"/>
      <c r="C80" s="288"/>
      <c r="D80" s="288" t="s">
        <v>224</v>
      </c>
      <c r="E80" s="288"/>
      <c r="F80" s="288"/>
      <c r="G80" s="288"/>
    </row>
    <row r="81" spans="1:7" ht="15" customHeight="1">
      <c r="A81" s="88"/>
      <c r="B81" s="88"/>
      <c r="C81" s="88"/>
      <c r="D81" s="88"/>
      <c r="E81" s="88"/>
      <c r="F81" s="88"/>
      <c r="G81" s="88"/>
    </row>
    <row r="82" spans="1:7" ht="15" customHeight="1">
      <c r="A82" s="88"/>
      <c r="B82" s="88"/>
      <c r="C82" s="88"/>
      <c r="D82" s="88"/>
      <c r="E82" s="88"/>
      <c r="F82" s="88"/>
      <c r="G82" s="88"/>
    </row>
    <row r="83" spans="1:7" ht="15.75" customHeight="1">
      <c r="A83" s="88"/>
      <c r="B83" s="88"/>
      <c r="C83" s="88"/>
      <c r="D83" s="88"/>
      <c r="E83" s="88"/>
      <c r="F83" s="88"/>
      <c r="G83" s="88"/>
    </row>
    <row r="84" spans="1:7" ht="15.75" customHeight="1">
      <c r="A84" s="88"/>
      <c r="B84" s="88"/>
      <c r="C84" s="88"/>
      <c r="D84" s="88"/>
      <c r="E84" s="88"/>
      <c r="F84" s="88"/>
      <c r="G84" s="88"/>
    </row>
    <row r="85" spans="1:7" ht="15.75" customHeight="1">
      <c r="A85" s="291" t="s">
        <v>225</v>
      </c>
      <c r="B85" s="291"/>
      <c r="C85" s="291"/>
      <c r="D85" s="291" t="s">
        <v>226</v>
      </c>
      <c r="E85" s="291"/>
      <c r="F85" s="291"/>
      <c r="G85" s="291"/>
    </row>
    <row r="86" spans="1:7" ht="15" customHeight="1">
      <c r="A86" s="291" t="s">
        <v>227</v>
      </c>
      <c r="B86" s="291"/>
      <c r="C86" s="291"/>
      <c r="D86" s="291" t="s">
        <v>228</v>
      </c>
      <c r="E86" s="291"/>
      <c r="F86" s="291"/>
      <c r="G86" s="291"/>
    </row>
    <row r="87" spans="1:7" ht="15" customHeight="1">
      <c r="A87" s="291" t="s">
        <v>229</v>
      </c>
      <c r="B87" s="291"/>
      <c r="C87" s="291"/>
      <c r="D87" s="291" t="s">
        <v>230</v>
      </c>
      <c r="E87" s="291"/>
      <c r="F87" s="291"/>
      <c r="G87" s="291"/>
    </row>
  </sheetData>
  <mergeCells count="27">
    <mergeCell ref="A87:C87"/>
    <mergeCell ref="D87:G87"/>
    <mergeCell ref="A80:C80"/>
    <mergeCell ref="D80:G80"/>
    <mergeCell ref="A85:C85"/>
    <mergeCell ref="D85:G85"/>
    <mergeCell ref="A86:C86"/>
    <mergeCell ref="D86:G86"/>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39370078740157483" right="0.39370078740157483" top="0.78740157480314965" bottom="0" header="0.51181102362204722" footer="0"/>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4" sqref="C14"/>
    </sheetView>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297" t="s">
        <v>513</v>
      </c>
      <c r="I1" s="297"/>
      <c r="J1" s="297"/>
      <c r="K1" s="297"/>
    </row>
    <row r="2" spans="1:11" ht="26.25" customHeight="1">
      <c r="A2" s="298" t="s">
        <v>1029</v>
      </c>
      <c r="B2" s="298"/>
      <c r="C2" s="298"/>
      <c r="D2" s="298"/>
      <c r="E2" s="298"/>
      <c r="F2" s="298"/>
      <c r="G2" s="298"/>
      <c r="H2" s="298"/>
      <c r="I2" s="298"/>
      <c r="J2" s="298"/>
      <c r="K2" s="298"/>
    </row>
    <row r="3" spans="1:11" ht="28.5" customHeight="1">
      <c r="A3" s="299" t="s">
        <v>1030</v>
      </c>
      <c r="B3" s="299"/>
      <c r="C3" s="299"/>
      <c r="D3" s="299"/>
      <c r="E3" s="299"/>
      <c r="F3" s="299"/>
      <c r="G3" s="299"/>
      <c r="H3" s="299"/>
      <c r="I3" s="299"/>
      <c r="J3" s="299"/>
      <c r="K3" s="299"/>
    </row>
    <row r="4" spans="1:11" ht="18" customHeight="1">
      <c r="A4" s="300" t="s">
        <v>1064</v>
      </c>
      <c r="B4" s="301"/>
      <c r="C4" s="301"/>
      <c r="D4" s="301"/>
      <c r="E4" s="301"/>
      <c r="F4" s="301"/>
      <c r="G4" s="301"/>
      <c r="H4" s="301"/>
      <c r="I4" s="301"/>
      <c r="J4" s="301"/>
      <c r="K4" s="301"/>
    </row>
    <row r="5" spans="1:11">
      <c r="A5" s="28"/>
      <c r="B5" s="29"/>
      <c r="C5" s="29"/>
      <c r="D5" s="30"/>
      <c r="E5" s="30"/>
      <c r="F5" s="29"/>
      <c r="G5" s="29"/>
      <c r="H5" s="29"/>
      <c r="I5" s="29"/>
      <c r="J5" s="29"/>
      <c r="K5" s="29"/>
    </row>
    <row r="6" spans="1:11">
      <c r="A6" s="31">
        <v>1</v>
      </c>
      <c r="B6" s="32" t="s">
        <v>10</v>
      </c>
      <c r="C6" s="32" t="s">
        <v>1031</v>
      </c>
      <c r="D6" s="30"/>
      <c r="E6" s="30"/>
      <c r="F6" s="29"/>
      <c r="G6" s="29"/>
      <c r="H6" s="29"/>
      <c r="I6" s="29"/>
      <c r="J6" s="29"/>
      <c r="K6" s="29"/>
    </row>
    <row r="7" spans="1:11">
      <c r="A7" s="31"/>
      <c r="B7" s="33" t="s">
        <v>12</v>
      </c>
      <c r="C7" s="33" t="s">
        <v>13</v>
      </c>
      <c r="D7" s="34"/>
      <c r="E7" s="34"/>
      <c r="F7" s="35"/>
      <c r="G7" s="35"/>
      <c r="H7" s="35"/>
      <c r="I7" s="35"/>
      <c r="J7" s="35"/>
      <c r="K7" s="35"/>
    </row>
    <row r="8" spans="1:11" ht="12.75" customHeight="1">
      <c r="A8" s="36">
        <v>2</v>
      </c>
      <c r="B8" s="37" t="s">
        <v>385</v>
      </c>
      <c r="C8" s="38" t="s">
        <v>984</v>
      </c>
      <c r="D8" s="38"/>
      <c r="E8" s="38"/>
      <c r="F8" s="38"/>
      <c r="G8" s="38"/>
      <c r="H8" s="38"/>
      <c r="I8" s="39"/>
      <c r="J8" s="39"/>
      <c r="K8" s="39"/>
    </row>
    <row r="9" spans="1:11" ht="12.75" customHeight="1">
      <c r="A9" s="36"/>
      <c r="B9" s="40" t="s">
        <v>985</v>
      </c>
      <c r="C9" s="41" t="s">
        <v>613</v>
      </c>
      <c r="D9" s="42"/>
      <c r="E9" s="42"/>
      <c r="F9" s="42"/>
      <c r="G9" s="42"/>
      <c r="H9" s="42"/>
      <c r="I9" s="43"/>
      <c r="J9" s="43"/>
      <c r="K9" s="43"/>
    </row>
    <row r="10" spans="1:11" ht="12.75" customHeight="1">
      <c r="A10" s="36">
        <v>3</v>
      </c>
      <c r="B10" s="37" t="s">
        <v>5</v>
      </c>
      <c r="C10" s="38" t="s">
        <v>986</v>
      </c>
      <c r="D10" s="38"/>
      <c r="E10" s="38"/>
      <c r="F10" s="38"/>
      <c r="G10" s="38"/>
      <c r="H10" s="38"/>
      <c r="I10" s="39"/>
      <c r="J10" s="39"/>
      <c r="K10" s="39"/>
    </row>
    <row r="11" spans="1:11" ht="12.75" customHeight="1">
      <c r="A11" s="36"/>
      <c r="B11" s="40" t="s">
        <v>987</v>
      </c>
      <c r="C11" s="42" t="s">
        <v>988</v>
      </c>
      <c r="D11" s="42"/>
      <c r="E11" s="42"/>
      <c r="F11" s="42"/>
      <c r="G11" s="42"/>
      <c r="H11" s="42"/>
      <c r="I11" s="39"/>
      <c r="J11" s="39"/>
      <c r="K11" s="39"/>
    </row>
    <row r="12" spans="1:11" ht="13.5" customHeight="1">
      <c r="A12" s="36">
        <v>4</v>
      </c>
      <c r="B12" s="37" t="s">
        <v>20</v>
      </c>
      <c r="C12" s="282">
        <v>45477</v>
      </c>
      <c r="D12" s="282"/>
      <c r="E12" s="282"/>
      <c r="F12" s="282"/>
      <c r="G12" s="38"/>
      <c r="H12" s="38"/>
      <c r="I12" s="44"/>
      <c r="J12" s="44"/>
      <c r="K12" s="44"/>
    </row>
    <row r="13" spans="1:11" ht="13.5" customHeight="1">
      <c r="A13" s="42"/>
      <c r="B13" s="40" t="s">
        <v>21</v>
      </c>
      <c r="C13" s="283">
        <v>45477</v>
      </c>
      <c r="D13" s="283"/>
      <c r="E13" s="283"/>
      <c r="F13" s="283"/>
      <c r="G13" s="296"/>
      <c r="H13" s="296"/>
      <c r="I13" s="45"/>
      <c r="J13" s="45"/>
      <c r="K13" s="45"/>
    </row>
    <row r="14" spans="1:11">
      <c r="A14" s="46" t="s">
        <v>996</v>
      </c>
      <c r="B14" s="46" t="s">
        <v>1032</v>
      </c>
      <c r="C14" s="47"/>
      <c r="D14" s="48"/>
      <c r="E14" s="48"/>
      <c r="F14" s="48"/>
      <c r="G14" s="49"/>
      <c r="H14" s="49"/>
      <c r="I14" s="45"/>
      <c r="J14" s="45"/>
      <c r="K14" s="45"/>
    </row>
    <row r="15" spans="1:11">
      <c r="A15" s="32" t="s">
        <v>343</v>
      </c>
      <c r="B15" s="32" t="s">
        <v>1033</v>
      </c>
      <c r="C15" s="50"/>
      <c r="D15" s="51"/>
      <c r="E15" s="51"/>
      <c r="F15" s="52"/>
      <c r="G15" s="52"/>
      <c r="H15" s="52"/>
      <c r="I15" s="52"/>
      <c r="J15" s="52"/>
      <c r="K15" s="52"/>
    </row>
    <row r="16" spans="1:11" ht="24.75" customHeight="1">
      <c r="A16" s="302" t="s">
        <v>388</v>
      </c>
      <c r="B16" s="302" t="s">
        <v>1034</v>
      </c>
      <c r="C16" s="317" t="s">
        <v>27</v>
      </c>
      <c r="D16" s="302" t="s">
        <v>1035</v>
      </c>
      <c r="E16" s="302" t="s">
        <v>1036</v>
      </c>
      <c r="F16" s="302" t="s">
        <v>1037</v>
      </c>
      <c r="G16" s="302" t="s">
        <v>1038</v>
      </c>
      <c r="H16" s="304" t="s">
        <v>1039</v>
      </c>
      <c r="I16" s="305"/>
      <c r="J16" s="304" t="s">
        <v>1040</v>
      </c>
      <c r="K16" s="305"/>
    </row>
    <row r="17" spans="1:11" ht="58.5" customHeight="1">
      <c r="A17" s="303"/>
      <c r="B17" s="303"/>
      <c r="C17" s="318"/>
      <c r="D17" s="303"/>
      <c r="E17" s="303"/>
      <c r="F17" s="303"/>
      <c r="G17" s="303"/>
      <c r="H17" s="53" t="s">
        <v>1041</v>
      </c>
      <c r="I17" s="53" t="s">
        <v>1042</v>
      </c>
      <c r="J17" s="53" t="s">
        <v>1043</v>
      </c>
      <c r="K17" s="53" t="s">
        <v>1044</v>
      </c>
    </row>
    <row r="18" spans="1:11" ht="21">
      <c r="A18" s="54">
        <v>1</v>
      </c>
      <c r="B18" s="55" t="s">
        <v>1045</v>
      </c>
      <c r="C18" s="56" t="s">
        <v>574</v>
      </c>
      <c r="D18" s="306"/>
      <c r="E18" s="307"/>
      <c r="F18" s="307"/>
      <c r="G18" s="307"/>
      <c r="H18" s="307"/>
      <c r="I18" s="307"/>
      <c r="J18" s="307"/>
      <c r="K18" s="308"/>
    </row>
    <row r="19" spans="1:11" ht="21">
      <c r="A19" s="54" t="s">
        <v>31</v>
      </c>
      <c r="B19" s="55" t="s">
        <v>1046</v>
      </c>
      <c r="C19" s="56" t="s">
        <v>1047</v>
      </c>
      <c r="D19" s="309"/>
      <c r="E19" s="310"/>
      <c r="F19" s="310"/>
      <c r="G19" s="310"/>
      <c r="H19" s="310"/>
      <c r="I19" s="310"/>
      <c r="J19" s="310"/>
      <c r="K19" s="311"/>
    </row>
    <row r="20" spans="1:11" ht="21">
      <c r="A20" s="54">
        <v>2</v>
      </c>
      <c r="B20" s="55" t="s">
        <v>1048</v>
      </c>
      <c r="C20" s="56" t="s">
        <v>1049</v>
      </c>
      <c r="D20" s="309"/>
      <c r="E20" s="310"/>
      <c r="F20" s="310"/>
      <c r="G20" s="310"/>
      <c r="H20" s="310"/>
      <c r="I20" s="310"/>
      <c r="J20" s="310"/>
      <c r="K20" s="311"/>
    </row>
    <row r="21" spans="1:11" ht="21">
      <c r="A21" s="54" t="s">
        <v>121</v>
      </c>
      <c r="B21" s="55" t="s">
        <v>1050</v>
      </c>
      <c r="C21" s="56" t="s">
        <v>1051</v>
      </c>
      <c r="D21" s="309"/>
      <c r="E21" s="310"/>
      <c r="F21" s="310"/>
      <c r="G21" s="310"/>
      <c r="H21" s="310"/>
      <c r="I21" s="310"/>
      <c r="J21" s="310"/>
      <c r="K21" s="311"/>
    </row>
    <row r="22" spans="1:11" ht="21">
      <c r="A22" s="54" t="s">
        <v>996</v>
      </c>
      <c r="B22" s="57" t="s">
        <v>1052</v>
      </c>
      <c r="C22" s="56" t="s">
        <v>1053</v>
      </c>
      <c r="D22" s="309"/>
      <c r="E22" s="310"/>
      <c r="F22" s="310"/>
      <c r="G22" s="310"/>
      <c r="H22" s="310"/>
      <c r="I22" s="310"/>
      <c r="J22" s="310"/>
      <c r="K22" s="311"/>
    </row>
    <row r="23" spans="1:11" ht="21">
      <c r="A23" s="58" t="s">
        <v>14</v>
      </c>
      <c r="B23" s="57" t="s">
        <v>1054</v>
      </c>
      <c r="C23" s="56" t="s">
        <v>1055</v>
      </c>
      <c r="D23" s="309"/>
      <c r="E23" s="310"/>
      <c r="F23" s="310"/>
      <c r="G23" s="310"/>
      <c r="H23" s="310"/>
      <c r="I23" s="310"/>
      <c r="J23" s="310"/>
      <c r="K23" s="311"/>
    </row>
    <row r="24" spans="1:11" ht="21">
      <c r="A24" s="58" t="s">
        <v>340</v>
      </c>
      <c r="B24" s="55" t="s">
        <v>1056</v>
      </c>
      <c r="C24" s="56" t="s">
        <v>1057</v>
      </c>
      <c r="D24" s="309"/>
      <c r="E24" s="310"/>
      <c r="F24" s="310"/>
      <c r="G24" s="310"/>
      <c r="H24" s="310"/>
      <c r="I24" s="310"/>
      <c r="J24" s="310"/>
      <c r="K24" s="311"/>
    </row>
    <row r="25" spans="1:11" ht="21">
      <c r="A25" s="58" t="s">
        <v>19</v>
      </c>
      <c r="B25" s="55" t="s">
        <v>1058</v>
      </c>
      <c r="C25" s="56" t="s">
        <v>1059</v>
      </c>
      <c r="D25" s="309"/>
      <c r="E25" s="310"/>
      <c r="F25" s="310"/>
      <c r="G25" s="310"/>
      <c r="H25" s="310"/>
      <c r="I25" s="310"/>
      <c r="J25" s="310"/>
      <c r="K25" s="311"/>
    </row>
    <row r="26" spans="1:11" ht="21">
      <c r="A26" s="58" t="s">
        <v>343</v>
      </c>
      <c r="B26" s="55" t="s">
        <v>1056</v>
      </c>
      <c r="C26" s="56" t="s">
        <v>1060</v>
      </c>
      <c r="D26" s="309"/>
      <c r="E26" s="310"/>
      <c r="F26" s="310"/>
      <c r="G26" s="310"/>
      <c r="H26" s="310"/>
      <c r="I26" s="310"/>
      <c r="J26" s="310"/>
      <c r="K26" s="311"/>
    </row>
    <row r="27" spans="1:11" ht="25.5" customHeight="1">
      <c r="A27" s="54" t="s">
        <v>1021</v>
      </c>
      <c r="B27" s="57" t="s">
        <v>1061</v>
      </c>
      <c r="C27" s="56" t="s">
        <v>1062</v>
      </c>
      <c r="D27" s="312"/>
      <c r="E27" s="313"/>
      <c r="F27" s="313"/>
      <c r="G27" s="313"/>
      <c r="H27" s="313"/>
      <c r="I27" s="313"/>
      <c r="J27" s="313"/>
      <c r="K27" s="314"/>
    </row>
    <row r="28" spans="1:11" ht="9" customHeight="1">
      <c r="A28" s="52"/>
      <c r="B28" s="59"/>
      <c r="C28" s="59"/>
      <c r="D28" s="52"/>
      <c r="E28" s="52"/>
      <c r="F28" s="52"/>
      <c r="G28" s="52"/>
      <c r="H28" s="52"/>
      <c r="I28" s="52"/>
      <c r="J28" s="52"/>
      <c r="K28" s="52"/>
    </row>
    <row r="29" spans="1:11">
      <c r="A29" s="315" t="s">
        <v>221</v>
      </c>
      <c r="B29" s="315"/>
      <c r="C29" s="315"/>
      <c r="E29" s="60"/>
      <c r="F29" s="61"/>
      <c r="G29" s="61"/>
      <c r="H29" s="316" t="s">
        <v>222</v>
      </c>
      <c r="I29" s="316"/>
      <c r="J29" s="316"/>
      <c r="K29" s="316"/>
    </row>
    <row r="30" spans="1:11">
      <c r="A30" s="319" t="s">
        <v>223</v>
      </c>
      <c r="B30" s="319"/>
      <c r="C30" s="319"/>
      <c r="E30" s="62"/>
      <c r="F30" s="63"/>
      <c r="G30" s="63"/>
      <c r="H30" s="321" t="s">
        <v>224</v>
      </c>
      <c r="I30" s="321"/>
      <c r="J30" s="321"/>
      <c r="K30" s="321"/>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319" t="s">
        <v>1063</v>
      </c>
      <c r="B34" s="319"/>
      <c r="C34" s="319"/>
      <c r="E34" s="63"/>
      <c r="F34" s="63"/>
      <c r="G34" s="79"/>
      <c r="H34" s="322" t="s">
        <v>983</v>
      </c>
      <c r="I34" s="322"/>
      <c r="J34" s="322"/>
      <c r="K34" s="322"/>
    </row>
    <row r="35" spans="1:11" s="78" customFormat="1" ht="12.75" customHeight="1">
      <c r="A35" s="319" t="s">
        <v>227</v>
      </c>
      <c r="B35" s="319"/>
      <c r="C35" s="319"/>
      <c r="E35" s="80"/>
      <c r="F35" s="81"/>
      <c r="G35" s="79"/>
      <c r="H35" s="320" t="s">
        <v>228</v>
      </c>
      <c r="I35" s="320"/>
      <c r="J35" s="320"/>
      <c r="K35" s="320"/>
    </row>
    <row r="36" spans="1:11" s="78" customFormat="1" ht="12.75" customHeight="1">
      <c r="A36" s="319" t="s">
        <v>229</v>
      </c>
      <c r="B36" s="319"/>
      <c r="C36" s="319"/>
      <c r="H36" s="320" t="s">
        <v>230</v>
      </c>
      <c r="I36" s="320"/>
      <c r="J36" s="320"/>
      <c r="K36" s="320"/>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39370078740157483" right="0.39370078740157483" top="0.35433070866141736" bottom="0.23622047244094491" header="0.31496062992125984" footer="0.31496062992125984"/>
  <pageSetup paperSize="9" scale="8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showOutlineSymbols="0" view="pageBreakPreview" zoomScaleNormal="100" zoomScaleSheetLayoutView="100" workbookViewId="0">
      <selection activeCell="F50" sqref="F50"/>
    </sheetView>
  </sheetViews>
  <sheetFormatPr defaultColWidth="9.140625" defaultRowHeight="10.5"/>
  <cols>
    <col min="1" max="1" width="4.28515625" style="99" customWidth="1"/>
    <col min="2" max="2" width="12.5703125" style="99" customWidth="1"/>
    <col min="3" max="3" width="16.28515625" style="99" customWidth="1"/>
    <col min="4" max="4" width="24.42578125" style="99" customWidth="1"/>
    <col min="5" max="5" width="9.140625" style="99"/>
    <col min="6" max="6" width="19.28515625" style="99" customWidth="1"/>
    <col min="7" max="7" width="20.5703125" style="99" customWidth="1"/>
    <col min="8" max="16384" width="9.140625" style="99"/>
  </cols>
  <sheetData>
    <row r="1" spans="1:7" ht="30.75" customHeight="1">
      <c r="A1" s="289"/>
      <c r="B1" s="289"/>
      <c r="C1" s="88"/>
      <c r="D1" s="88"/>
      <c r="E1" s="278" t="s">
        <v>513</v>
      </c>
      <c r="F1" s="278"/>
      <c r="G1" s="278"/>
    </row>
    <row r="2" spans="1:7" ht="27" customHeight="1">
      <c r="A2" s="279" t="s">
        <v>1</v>
      </c>
      <c r="B2" s="279"/>
      <c r="C2" s="279"/>
      <c r="D2" s="279"/>
      <c r="E2" s="279"/>
      <c r="F2" s="279"/>
      <c r="G2" s="279"/>
    </row>
    <row r="3" spans="1:7" ht="6.75" customHeight="1">
      <c r="A3" s="88"/>
      <c r="B3" s="88"/>
      <c r="C3" s="88"/>
      <c r="D3" s="88"/>
      <c r="E3" s="88"/>
      <c r="F3" s="88"/>
      <c r="G3" s="88"/>
    </row>
    <row r="4" spans="1:7" ht="24.75" customHeight="1">
      <c r="A4" s="280" t="s">
        <v>231</v>
      </c>
      <c r="B4" s="280"/>
      <c r="C4" s="280"/>
      <c r="D4" s="280"/>
      <c r="E4" s="280"/>
      <c r="F4" s="280"/>
      <c r="G4" s="280"/>
    </row>
    <row r="5" spans="1:7" ht="18.75" customHeight="1">
      <c r="A5" s="288" t="s">
        <v>3</v>
      </c>
      <c r="B5" s="288"/>
      <c r="C5" s="288"/>
      <c r="D5" s="288"/>
      <c r="E5" s="288"/>
      <c r="F5" s="288"/>
      <c r="G5" s="288"/>
    </row>
    <row r="6" spans="1:7" ht="12.75" customHeight="1">
      <c r="A6" s="185" t="s">
        <v>4</v>
      </c>
      <c r="B6" s="290" t="s">
        <v>232</v>
      </c>
      <c r="C6" s="290"/>
      <c r="D6" s="290" t="s">
        <v>6</v>
      </c>
      <c r="E6" s="290"/>
      <c r="F6" s="290"/>
      <c r="G6" s="290"/>
    </row>
    <row r="7" spans="1:7" ht="12.75" customHeight="1">
      <c r="A7" s="88"/>
      <c r="B7" s="289" t="s">
        <v>7</v>
      </c>
      <c r="C7" s="289"/>
      <c r="D7" s="289" t="s">
        <v>8</v>
      </c>
      <c r="E7" s="289"/>
      <c r="F7" s="289"/>
      <c r="G7" s="289"/>
    </row>
    <row r="8" spans="1:7" ht="12.75" customHeight="1">
      <c r="A8" s="185" t="s">
        <v>9</v>
      </c>
      <c r="B8" s="290" t="s">
        <v>10</v>
      </c>
      <c r="C8" s="290"/>
      <c r="D8" s="290" t="s">
        <v>11</v>
      </c>
      <c r="E8" s="290"/>
      <c r="F8" s="290"/>
      <c r="G8" s="290"/>
    </row>
    <row r="9" spans="1:7" ht="12.75" customHeight="1">
      <c r="A9" s="88"/>
      <c r="B9" s="289" t="s">
        <v>12</v>
      </c>
      <c r="C9" s="289"/>
      <c r="D9" s="289" t="s">
        <v>13</v>
      </c>
      <c r="E9" s="289"/>
      <c r="F9" s="289"/>
      <c r="G9" s="289"/>
    </row>
    <row r="10" spans="1:7" ht="12.75" customHeight="1">
      <c r="A10" s="185" t="s">
        <v>14</v>
      </c>
      <c r="B10" s="290" t="s">
        <v>15</v>
      </c>
      <c r="C10" s="290"/>
      <c r="D10" s="290" t="s">
        <v>16</v>
      </c>
      <c r="E10" s="290"/>
      <c r="F10" s="290"/>
      <c r="G10" s="290"/>
    </row>
    <row r="11" spans="1:7" ht="12.75" customHeight="1">
      <c r="A11" s="88"/>
      <c r="B11" s="289" t="s">
        <v>17</v>
      </c>
      <c r="C11" s="289"/>
      <c r="D11" s="289" t="s">
        <v>18</v>
      </c>
      <c r="E11" s="289"/>
      <c r="F11" s="289"/>
      <c r="G11" s="289"/>
    </row>
    <row r="12" spans="1:7" ht="12.75" customHeight="1">
      <c r="A12" s="185" t="s">
        <v>19</v>
      </c>
      <c r="B12" s="290" t="s">
        <v>20</v>
      </c>
      <c r="C12" s="290"/>
      <c r="D12" s="282">
        <v>45477</v>
      </c>
      <c r="E12" s="282"/>
      <c r="F12" s="282"/>
      <c r="G12" s="282"/>
    </row>
    <row r="13" spans="1:7" ht="12.75" customHeight="1">
      <c r="A13" s="88"/>
      <c r="B13" s="289" t="s">
        <v>21</v>
      </c>
      <c r="C13" s="289"/>
      <c r="D13" s="283">
        <v>45477</v>
      </c>
      <c r="E13" s="283"/>
      <c r="F13" s="283"/>
      <c r="G13" s="283"/>
    </row>
    <row r="14" spans="1:7" ht="9" customHeight="1">
      <c r="A14" s="88"/>
      <c r="B14" s="88"/>
      <c r="C14" s="88"/>
      <c r="D14" s="88"/>
      <c r="E14" s="323"/>
      <c r="F14" s="323"/>
      <c r="G14" s="323"/>
    </row>
    <row r="15" spans="1:7" ht="15.75" customHeight="1">
      <c r="A15" s="292" t="s">
        <v>22</v>
      </c>
      <c r="B15" s="292"/>
      <c r="C15" s="292"/>
      <c r="D15" s="292"/>
      <c r="E15" s="292"/>
      <c r="F15" s="292"/>
      <c r="G15" s="292"/>
    </row>
    <row r="16" spans="1:7" ht="15.75" customHeight="1">
      <c r="A16" s="290" t="s">
        <v>514</v>
      </c>
      <c r="B16" s="290"/>
      <c r="C16" s="290"/>
      <c r="D16" s="290"/>
      <c r="E16" s="290"/>
      <c r="F16" s="290"/>
      <c r="G16" s="290"/>
    </row>
    <row r="17" spans="1:11" ht="11.25" customHeight="1">
      <c r="A17" s="201"/>
      <c r="B17" s="211"/>
      <c r="C17" s="201"/>
      <c r="D17" s="293" t="s">
        <v>24</v>
      </c>
      <c r="E17" s="293"/>
      <c r="F17" s="293"/>
      <c r="G17" s="293"/>
    </row>
    <row r="18" spans="1:11" ht="32.25" customHeight="1">
      <c r="A18" s="123" t="s">
        <v>515</v>
      </c>
      <c r="B18" s="325" t="s">
        <v>26</v>
      </c>
      <c r="C18" s="325"/>
      <c r="D18" s="325"/>
      <c r="E18" s="124" t="s">
        <v>27</v>
      </c>
      <c r="F18" s="124" t="s">
        <v>234</v>
      </c>
      <c r="G18" s="126" t="s">
        <v>235</v>
      </c>
    </row>
    <row r="19" spans="1:11" ht="21.95" customHeight="1">
      <c r="A19" s="170" t="s">
        <v>31</v>
      </c>
      <c r="B19" s="324" t="s">
        <v>516</v>
      </c>
      <c r="C19" s="324"/>
      <c r="D19" s="324"/>
      <c r="E19" s="102" t="s">
        <v>517</v>
      </c>
      <c r="F19" s="212">
        <v>0</v>
      </c>
      <c r="G19" s="213">
        <v>0</v>
      </c>
    </row>
    <row r="20" spans="1:11" ht="33" customHeight="1">
      <c r="A20" s="170" t="s">
        <v>4</v>
      </c>
      <c r="B20" s="324" t="s">
        <v>518</v>
      </c>
      <c r="C20" s="324"/>
      <c r="D20" s="324"/>
      <c r="E20" s="102" t="s">
        <v>519</v>
      </c>
      <c r="F20" s="214">
        <v>7.8689999999999993E-3</v>
      </c>
      <c r="G20" s="172">
        <v>8.1320000000000003E-3</v>
      </c>
      <c r="H20" s="215"/>
      <c r="I20" s="215"/>
      <c r="J20" s="215"/>
      <c r="K20" s="215"/>
    </row>
    <row r="21" spans="1:11" ht="33" customHeight="1">
      <c r="A21" s="170" t="s">
        <v>9</v>
      </c>
      <c r="B21" s="324" t="s">
        <v>520</v>
      </c>
      <c r="C21" s="324"/>
      <c r="D21" s="324"/>
      <c r="E21" s="102" t="s">
        <v>521</v>
      </c>
      <c r="F21" s="214">
        <v>7.1299999999999998E-4</v>
      </c>
      <c r="G21" s="172">
        <v>7.4600000000000003E-4</v>
      </c>
      <c r="H21" s="215"/>
      <c r="I21" s="215"/>
      <c r="J21" s="215"/>
      <c r="K21" s="215"/>
    </row>
    <row r="22" spans="1:11" ht="41.25" customHeight="1">
      <c r="A22" s="170" t="s">
        <v>14</v>
      </c>
      <c r="B22" s="324" t="s">
        <v>522</v>
      </c>
      <c r="C22" s="324"/>
      <c r="D22" s="324"/>
      <c r="E22" s="102" t="s">
        <v>523</v>
      </c>
      <c r="F22" s="214">
        <v>1.647E-3</v>
      </c>
      <c r="G22" s="172">
        <v>1.5939999999999999E-3</v>
      </c>
      <c r="H22" s="215"/>
      <c r="I22" s="215"/>
      <c r="J22" s="215"/>
      <c r="K22" s="215"/>
    </row>
    <row r="23" spans="1:11" ht="33" customHeight="1">
      <c r="A23" s="170" t="s">
        <v>19</v>
      </c>
      <c r="B23" s="324" t="s">
        <v>524</v>
      </c>
      <c r="C23" s="324"/>
      <c r="D23" s="324"/>
      <c r="E23" s="102" t="s">
        <v>525</v>
      </c>
      <c r="F23" s="214">
        <v>2.0999999999999999E-5</v>
      </c>
      <c r="G23" s="172">
        <v>2.1999999999999999E-5</v>
      </c>
      <c r="H23" s="215"/>
      <c r="I23" s="215"/>
      <c r="J23" s="215"/>
      <c r="K23" s="215"/>
    </row>
    <row r="24" spans="1:11" ht="41.25" customHeight="1">
      <c r="A24" s="170" t="s">
        <v>287</v>
      </c>
      <c r="B24" s="324" t="s">
        <v>526</v>
      </c>
      <c r="C24" s="324"/>
      <c r="D24" s="324"/>
      <c r="E24" s="102"/>
      <c r="F24" s="214">
        <v>0</v>
      </c>
      <c r="G24" s="172">
        <v>0</v>
      </c>
      <c r="H24" s="215"/>
      <c r="I24" s="215"/>
      <c r="J24" s="215"/>
      <c r="K24" s="215"/>
    </row>
    <row r="25" spans="1:11" ht="42.75" customHeight="1">
      <c r="A25" s="170" t="s">
        <v>289</v>
      </c>
      <c r="B25" s="324" t="s">
        <v>527</v>
      </c>
      <c r="C25" s="324"/>
      <c r="D25" s="324"/>
      <c r="E25" s="102"/>
      <c r="F25" s="214">
        <v>0</v>
      </c>
      <c r="G25" s="172">
        <v>0</v>
      </c>
      <c r="H25" s="215"/>
      <c r="I25" s="215"/>
      <c r="J25" s="215"/>
      <c r="K25" s="215"/>
    </row>
    <row r="26" spans="1:11" ht="42.75" customHeight="1">
      <c r="A26" s="170" t="s">
        <v>292</v>
      </c>
      <c r="B26" s="324" t="s">
        <v>528</v>
      </c>
      <c r="C26" s="324"/>
      <c r="D26" s="324"/>
      <c r="E26" s="102" t="s">
        <v>529</v>
      </c>
      <c r="F26" s="214">
        <v>7.9999999999999996E-6</v>
      </c>
      <c r="G26" s="172">
        <v>3.1000000000000001E-5</v>
      </c>
      <c r="H26" s="215"/>
      <c r="I26" s="215"/>
      <c r="J26" s="215"/>
      <c r="K26" s="215"/>
    </row>
    <row r="27" spans="1:11" ht="21.95" customHeight="1">
      <c r="A27" s="170" t="s">
        <v>301</v>
      </c>
      <c r="B27" s="324" t="s">
        <v>530</v>
      </c>
      <c r="C27" s="324"/>
      <c r="D27" s="324"/>
      <c r="E27" s="102" t="s">
        <v>531</v>
      </c>
      <c r="F27" s="214">
        <v>1.0423E-2</v>
      </c>
      <c r="G27" s="172">
        <v>1.0421E-2</v>
      </c>
      <c r="H27" s="215"/>
      <c r="I27" s="215"/>
      <c r="J27" s="215"/>
      <c r="K27" s="215"/>
    </row>
    <row r="28" spans="1:11" ht="42.75" customHeight="1">
      <c r="A28" s="170" t="s">
        <v>314</v>
      </c>
      <c r="B28" s="324" t="s">
        <v>532</v>
      </c>
      <c r="C28" s="324"/>
      <c r="D28" s="324"/>
      <c r="E28" s="102" t="s">
        <v>533</v>
      </c>
      <c r="F28" s="214">
        <v>0.59076899999999999</v>
      </c>
      <c r="G28" s="172">
        <v>0.64927400000000002</v>
      </c>
      <c r="H28" s="215"/>
      <c r="I28" s="215"/>
      <c r="J28" s="215"/>
      <c r="K28" s="215"/>
    </row>
    <row r="29" spans="1:11" ht="42.75" customHeight="1">
      <c r="A29" s="170" t="s">
        <v>321</v>
      </c>
      <c r="B29" s="324" t="s">
        <v>534</v>
      </c>
      <c r="C29" s="324"/>
      <c r="D29" s="324"/>
      <c r="E29" s="102"/>
      <c r="F29" s="214">
        <v>0</v>
      </c>
      <c r="G29" s="172">
        <v>0</v>
      </c>
      <c r="H29" s="215"/>
      <c r="I29" s="215"/>
      <c r="J29" s="215"/>
      <c r="K29" s="215"/>
    </row>
    <row r="30" spans="1:11" ht="21.95" customHeight="1">
      <c r="A30" s="170" t="s">
        <v>121</v>
      </c>
      <c r="B30" s="324" t="s">
        <v>535</v>
      </c>
      <c r="C30" s="324"/>
      <c r="D30" s="324"/>
      <c r="E30" s="102" t="s">
        <v>536</v>
      </c>
      <c r="F30" s="212">
        <v>0</v>
      </c>
      <c r="G30" s="213">
        <v>0</v>
      </c>
      <c r="H30" s="215"/>
      <c r="I30" s="215"/>
      <c r="J30" s="215"/>
      <c r="K30" s="215"/>
    </row>
    <row r="31" spans="1:11" ht="21.95" customHeight="1">
      <c r="A31" s="170" t="s">
        <v>4</v>
      </c>
      <c r="B31" s="324" t="s">
        <v>537</v>
      </c>
      <c r="C31" s="324"/>
      <c r="D31" s="324"/>
      <c r="E31" s="102" t="s">
        <v>538</v>
      </c>
      <c r="F31" s="216">
        <v>4478000000000</v>
      </c>
      <c r="G31" s="217">
        <v>4566000000000</v>
      </c>
      <c r="H31" s="215"/>
      <c r="I31" s="215"/>
      <c r="J31" s="215"/>
      <c r="K31" s="215"/>
    </row>
    <row r="32" spans="1:11" ht="21.95" customHeight="1">
      <c r="A32" s="170"/>
      <c r="B32" s="324" t="s">
        <v>539</v>
      </c>
      <c r="C32" s="324"/>
      <c r="D32" s="324"/>
      <c r="E32" s="102" t="s">
        <v>540</v>
      </c>
      <c r="F32" s="216">
        <v>4478000000000</v>
      </c>
      <c r="G32" s="217">
        <v>4566000000000</v>
      </c>
      <c r="H32" s="215"/>
      <c r="I32" s="215"/>
      <c r="J32" s="215"/>
      <c r="K32" s="215"/>
    </row>
    <row r="33" spans="1:11" ht="21.95" customHeight="1">
      <c r="A33" s="170"/>
      <c r="B33" s="324" t="s">
        <v>541</v>
      </c>
      <c r="C33" s="324"/>
      <c r="D33" s="324"/>
      <c r="E33" s="102" t="s">
        <v>542</v>
      </c>
      <c r="F33" s="216">
        <v>447800000</v>
      </c>
      <c r="G33" s="217">
        <v>456600000</v>
      </c>
      <c r="H33" s="215"/>
      <c r="I33" s="215"/>
      <c r="J33" s="215"/>
      <c r="K33" s="215"/>
    </row>
    <row r="34" spans="1:11" ht="21.95" customHeight="1">
      <c r="A34" s="170" t="s">
        <v>9</v>
      </c>
      <c r="B34" s="324" t="s">
        <v>543</v>
      </c>
      <c r="C34" s="324"/>
      <c r="D34" s="324"/>
      <c r="E34" s="102" t="s">
        <v>544</v>
      </c>
      <c r="F34" s="216">
        <v>-329000000000</v>
      </c>
      <c r="G34" s="217">
        <v>-88000000000</v>
      </c>
      <c r="H34" s="215"/>
      <c r="I34" s="215"/>
      <c r="J34" s="215"/>
      <c r="K34" s="215"/>
    </row>
    <row r="35" spans="1:11" ht="21.95" customHeight="1">
      <c r="A35" s="170"/>
      <c r="B35" s="324" t="s">
        <v>545</v>
      </c>
      <c r="C35" s="324"/>
      <c r="D35" s="324"/>
      <c r="E35" s="102" t="s">
        <v>546</v>
      </c>
      <c r="F35" s="216">
        <v>-32900000</v>
      </c>
      <c r="G35" s="217">
        <v>-8800000</v>
      </c>
      <c r="H35" s="215"/>
      <c r="I35" s="215"/>
      <c r="J35" s="215"/>
      <c r="K35" s="215"/>
    </row>
    <row r="36" spans="1:11" ht="21.95" customHeight="1">
      <c r="A36" s="170"/>
      <c r="B36" s="324" t="s">
        <v>547</v>
      </c>
      <c r="C36" s="324"/>
      <c r="D36" s="324"/>
      <c r="E36" s="102" t="s">
        <v>548</v>
      </c>
      <c r="F36" s="216">
        <v>-329000000000</v>
      </c>
      <c r="G36" s="217">
        <v>-88000000000</v>
      </c>
      <c r="H36" s="215"/>
      <c r="I36" s="215"/>
      <c r="J36" s="215"/>
      <c r="K36" s="215"/>
    </row>
    <row r="37" spans="1:11" ht="21.95" customHeight="1">
      <c r="A37" s="170"/>
      <c r="B37" s="324" t="s">
        <v>549</v>
      </c>
      <c r="C37" s="324"/>
      <c r="D37" s="324"/>
      <c r="E37" s="102" t="s">
        <v>550</v>
      </c>
      <c r="F37" s="216">
        <v>6200000</v>
      </c>
      <c r="G37" s="217">
        <v>10700000</v>
      </c>
      <c r="H37" s="215"/>
      <c r="I37" s="215"/>
      <c r="J37" s="215"/>
      <c r="K37" s="215"/>
    </row>
    <row r="38" spans="1:11" ht="21.95" customHeight="1">
      <c r="A38" s="170"/>
      <c r="B38" s="324" t="s">
        <v>551</v>
      </c>
      <c r="C38" s="324"/>
      <c r="D38" s="324"/>
      <c r="E38" s="102" t="s">
        <v>552</v>
      </c>
      <c r="F38" s="216">
        <v>62000000000</v>
      </c>
      <c r="G38" s="217">
        <v>107000000000</v>
      </c>
      <c r="H38" s="215"/>
      <c r="I38" s="215"/>
      <c r="J38" s="215"/>
      <c r="K38" s="215"/>
    </row>
    <row r="39" spans="1:11" ht="21.95" customHeight="1">
      <c r="A39" s="170"/>
      <c r="B39" s="324" t="s">
        <v>553</v>
      </c>
      <c r="C39" s="324"/>
      <c r="D39" s="324"/>
      <c r="E39" s="102" t="s">
        <v>554</v>
      </c>
      <c r="F39" s="216">
        <v>-39100000</v>
      </c>
      <c r="G39" s="217">
        <v>-19500000</v>
      </c>
      <c r="H39" s="215"/>
      <c r="I39" s="215"/>
      <c r="J39" s="215"/>
      <c r="K39" s="215"/>
    </row>
    <row r="40" spans="1:11" ht="21.95" customHeight="1">
      <c r="A40" s="170"/>
      <c r="B40" s="324" t="s">
        <v>555</v>
      </c>
      <c r="C40" s="324"/>
      <c r="D40" s="324"/>
      <c r="E40" s="102" t="s">
        <v>556</v>
      </c>
      <c r="F40" s="216">
        <v>-391000000000</v>
      </c>
      <c r="G40" s="217">
        <v>-195000000000</v>
      </c>
      <c r="H40" s="215"/>
      <c r="I40" s="215"/>
      <c r="J40" s="215"/>
      <c r="K40" s="215"/>
    </row>
    <row r="41" spans="1:11" ht="21.95" customHeight="1">
      <c r="A41" s="170" t="s">
        <v>14</v>
      </c>
      <c r="B41" s="324" t="s">
        <v>557</v>
      </c>
      <c r="C41" s="324"/>
      <c r="D41" s="324"/>
      <c r="E41" s="102" t="s">
        <v>558</v>
      </c>
      <c r="F41" s="216">
        <v>4149000000000</v>
      </c>
      <c r="G41" s="217">
        <v>4478000000000</v>
      </c>
      <c r="H41" s="215"/>
      <c r="I41" s="215"/>
      <c r="J41" s="215"/>
      <c r="K41" s="215"/>
    </row>
    <row r="42" spans="1:11" ht="21.95" customHeight="1">
      <c r="A42" s="170"/>
      <c r="B42" s="324" t="s">
        <v>559</v>
      </c>
      <c r="C42" s="324"/>
      <c r="D42" s="324"/>
      <c r="E42" s="102" t="s">
        <v>560</v>
      </c>
      <c r="F42" s="216">
        <v>4149000000000</v>
      </c>
      <c r="G42" s="217">
        <v>4478000000000</v>
      </c>
      <c r="H42" s="215"/>
      <c r="I42" s="215"/>
      <c r="J42" s="215"/>
      <c r="K42" s="215"/>
    </row>
    <row r="43" spans="1:11" ht="21.95" customHeight="1">
      <c r="A43" s="170"/>
      <c r="B43" s="324" t="s">
        <v>561</v>
      </c>
      <c r="C43" s="324"/>
      <c r="D43" s="324"/>
      <c r="E43" s="102" t="s">
        <v>562</v>
      </c>
      <c r="F43" s="216">
        <v>414900000</v>
      </c>
      <c r="G43" s="217">
        <v>447800000</v>
      </c>
      <c r="H43" s="215"/>
      <c r="I43" s="215"/>
      <c r="J43" s="215"/>
      <c r="K43" s="215"/>
    </row>
    <row r="44" spans="1:11" ht="31.5" customHeight="1">
      <c r="A44" s="170" t="s">
        <v>19</v>
      </c>
      <c r="B44" s="324" t="s">
        <v>563</v>
      </c>
      <c r="C44" s="324"/>
      <c r="D44" s="324"/>
      <c r="E44" s="102" t="s">
        <v>564</v>
      </c>
      <c r="F44" s="218">
        <v>1.63E-4</v>
      </c>
      <c r="G44" s="178">
        <v>1.5100000000000001E-4</v>
      </c>
      <c r="H44" s="215"/>
      <c r="I44" s="215"/>
      <c r="J44" s="215"/>
      <c r="K44" s="215"/>
    </row>
    <row r="45" spans="1:11" ht="23.25" customHeight="1">
      <c r="A45" s="170" t="s">
        <v>287</v>
      </c>
      <c r="B45" s="326" t="s">
        <v>565</v>
      </c>
      <c r="C45" s="327"/>
      <c r="D45" s="328"/>
      <c r="E45" s="102" t="s">
        <v>566</v>
      </c>
      <c r="F45" s="218">
        <v>0.77590000000000003</v>
      </c>
      <c r="G45" s="178">
        <v>0.77029999999999998</v>
      </c>
      <c r="H45" s="215"/>
      <c r="I45" s="215"/>
      <c r="J45" s="215"/>
      <c r="K45" s="215"/>
    </row>
    <row r="46" spans="1:11" ht="23.25" customHeight="1">
      <c r="A46" s="170" t="s">
        <v>289</v>
      </c>
      <c r="B46" s="326" t="s">
        <v>567</v>
      </c>
      <c r="C46" s="327"/>
      <c r="D46" s="328"/>
      <c r="E46" s="102" t="s">
        <v>568</v>
      </c>
      <c r="F46" s="218">
        <v>0.93059999999999998</v>
      </c>
      <c r="G46" s="178">
        <v>0.94499999999999995</v>
      </c>
      <c r="H46" s="215"/>
      <c r="I46" s="215"/>
      <c r="J46" s="215"/>
      <c r="K46" s="215"/>
    </row>
    <row r="47" spans="1:11" ht="21.95" customHeight="1">
      <c r="A47" s="170" t="s">
        <v>292</v>
      </c>
      <c r="B47" s="324" t="s">
        <v>569</v>
      </c>
      <c r="C47" s="324"/>
      <c r="D47" s="324"/>
      <c r="E47" s="102" t="s">
        <v>570</v>
      </c>
      <c r="F47" s="219">
        <v>32199.78</v>
      </c>
      <c r="G47" s="220">
        <v>31763.14</v>
      </c>
      <c r="H47" s="215"/>
      <c r="I47" s="215"/>
      <c r="J47" s="215"/>
      <c r="K47" s="215"/>
    </row>
    <row r="48" spans="1:11" ht="21.95" customHeight="1">
      <c r="A48" s="170" t="s">
        <v>301</v>
      </c>
      <c r="B48" s="324" t="s">
        <v>571</v>
      </c>
      <c r="C48" s="324"/>
      <c r="D48" s="324"/>
      <c r="E48" s="102" t="s">
        <v>572</v>
      </c>
      <c r="F48" s="221">
        <v>32200</v>
      </c>
      <c r="G48" s="222">
        <v>31700</v>
      </c>
      <c r="H48" s="215"/>
      <c r="I48" s="215"/>
      <c r="J48" s="215"/>
      <c r="K48" s="215"/>
    </row>
    <row r="49" spans="1:11" ht="21.95" customHeight="1">
      <c r="A49" s="180" t="s">
        <v>314</v>
      </c>
      <c r="B49" s="329" t="s">
        <v>573</v>
      </c>
      <c r="C49" s="329"/>
      <c r="D49" s="329"/>
      <c r="E49" s="182" t="s">
        <v>574</v>
      </c>
      <c r="F49" s="223">
        <v>5130</v>
      </c>
      <c r="G49" s="224">
        <v>4962</v>
      </c>
      <c r="H49" s="215"/>
      <c r="I49" s="215"/>
      <c r="J49" s="215"/>
      <c r="K49" s="215"/>
    </row>
    <row r="50" spans="1:11" ht="7.5" customHeight="1">
      <c r="A50" s="88"/>
      <c r="B50" s="88"/>
      <c r="C50" s="88"/>
      <c r="D50" s="88"/>
      <c r="E50" s="88"/>
      <c r="F50" s="225"/>
      <c r="G50" s="225"/>
    </row>
    <row r="51" spans="1:11" ht="14.25" customHeight="1">
      <c r="A51" s="289" t="s">
        <v>575</v>
      </c>
      <c r="B51" s="289"/>
      <c r="C51" s="289"/>
      <c r="D51" s="289"/>
      <c r="E51" s="289"/>
      <c r="F51" s="289"/>
      <c r="G51" s="289"/>
    </row>
    <row r="52" spans="1:11" ht="238.5" customHeight="1">
      <c r="A52" s="286" t="s">
        <v>1068</v>
      </c>
      <c r="B52" s="286"/>
      <c r="C52" s="286"/>
      <c r="D52" s="286"/>
      <c r="E52" s="286"/>
      <c r="F52" s="286"/>
      <c r="G52" s="286"/>
    </row>
    <row r="53" spans="1:11" ht="48.75" customHeight="1">
      <c r="A53" s="286" t="s">
        <v>1069</v>
      </c>
      <c r="B53" s="286"/>
      <c r="C53" s="286"/>
      <c r="D53" s="286"/>
      <c r="E53" s="286"/>
      <c r="F53" s="286"/>
      <c r="G53" s="286"/>
    </row>
    <row r="54" spans="1:11" ht="7.5" customHeight="1">
      <c r="A54" s="88"/>
      <c r="B54" s="117"/>
      <c r="C54" s="88"/>
      <c r="D54" s="88"/>
      <c r="E54" s="88"/>
      <c r="F54" s="88"/>
      <c r="G54" s="88"/>
    </row>
    <row r="55" spans="1:11" ht="14.25" customHeight="1">
      <c r="A55" s="291" t="s">
        <v>576</v>
      </c>
      <c r="B55" s="291"/>
      <c r="C55" s="291"/>
      <c r="D55" s="291"/>
      <c r="E55" s="291" t="s">
        <v>222</v>
      </c>
      <c r="F55" s="291"/>
      <c r="G55" s="291"/>
    </row>
    <row r="56" spans="1:11" ht="12" customHeight="1">
      <c r="A56" s="288" t="s">
        <v>223</v>
      </c>
      <c r="B56" s="288"/>
      <c r="C56" s="288"/>
      <c r="D56" s="288"/>
      <c r="E56" s="288" t="s">
        <v>224</v>
      </c>
      <c r="F56" s="288"/>
      <c r="G56" s="288"/>
    </row>
    <row r="57" spans="1:11" ht="15" customHeight="1">
      <c r="A57" s="88"/>
      <c r="B57" s="88"/>
      <c r="C57" s="88"/>
      <c r="D57" s="88"/>
      <c r="E57" s="88"/>
      <c r="F57" s="88"/>
      <c r="G57" s="88"/>
    </row>
    <row r="58" spans="1:11" ht="15" customHeight="1">
      <c r="A58" s="88"/>
      <c r="B58" s="88"/>
      <c r="C58" s="88"/>
      <c r="D58" s="88"/>
      <c r="E58" s="88"/>
      <c r="F58" s="88"/>
      <c r="G58" s="88"/>
    </row>
    <row r="59" spans="1:11" ht="15.75" customHeight="1">
      <c r="A59" s="88"/>
      <c r="B59" s="88"/>
      <c r="C59" s="88"/>
      <c r="D59" s="88"/>
      <c r="E59" s="88"/>
      <c r="F59" s="88"/>
      <c r="G59" s="88"/>
    </row>
    <row r="60" spans="1:11" ht="15" customHeight="1">
      <c r="A60" s="88"/>
      <c r="B60" s="88"/>
      <c r="C60" s="88"/>
      <c r="D60" s="88"/>
      <c r="E60" s="88"/>
      <c r="F60" s="88"/>
      <c r="G60" s="88"/>
    </row>
    <row r="61" spans="1:11" ht="15.75" customHeight="1">
      <c r="A61" s="88"/>
      <c r="B61" s="88"/>
      <c r="C61" s="88"/>
      <c r="D61" s="88"/>
      <c r="E61" s="88"/>
      <c r="F61" s="88"/>
      <c r="G61" s="88"/>
    </row>
    <row r="62" spans="1:11" ht="15.75" customHeight="1">
      <c r="A62" s="88"/>
      <c r="B62" s="88"/>
      <c r="C62" s="88"/>
      <c r="D62" s="88"/>
      <c r="E62" s="88"/>
      <c r="F62" s="88"/>
      <c r="G62" s="88"/>
    </row>
    <row r="63" spans="1:11" ht="15.75" customHeight="1">
      <c r="A63" s="291" t="s">
        <v>225</v>
      </c>
      <c r="B63" s="291"/>
      <c r="C63" s="291"/>
      <c r="D63" s="291"/>
      <c r="E63" s="291" t="s">
        <v>226</v>
      </c>
      <c r="F63" s="291"/>
      <c r="G63" s="291"/>
    </row>
    <row r="64" spans="1:11">
      <c r="A64" s="291" t="s">
        <v>227</v>
      </c>
      <c r="B64" s="291"/>
      <c r="C64" s="291"/>
      <c r="D64" s="291"/>
      <c r="E64" s="291" t="s">
        <v>228</v>
      </c>
      <c r="F64" s="291"/>
      <c r="G64" s="291"/>
    </row>
    <row r="65" spans="1:7">
      <c r="A65" s="291" t="s">
        <v>229</v>
      </c>
      <c r="B65" s="291"/>
      <c r="C65" s="291"/>
      <c r="D65" s="291"/>
      <c r="E65" s="291" t="s">
        <v>230</v>
      </c>
      <c r="F65" s="291"/>
      <c r="G65" s="291"/>
    </row>
  </sheetData>
  <mergeCells count="70">
    <mergeCell ref="A63:D63"/>
    <mergeCell ref="E63:G63"/>
    <mergeCell ref="A64:D64"/>
    <mergeCell ref="E64:G64"/>
    <mergeCell ref="A65:D65"/>
    <mergeCell ref="E65:G65"/>
    <mergeCell ref="A52:G52"/>
    <mergeCell ref="A53:G53"/>
    <mergeCell ref="A55:D55"/>
    <mergeCell ref="E55:G55"/>
    <mergeCell ref="A56:D56"/>
    <mergeCell ref="E56:G56"/>
    <mergeCell ref="A51:G51"/>
    <mergeCell ref="B39:D39"/>
    <mergeCell ref="B40:D40"/>
    <mergeCell ref="B41:D41"/>
    <mergeCell ref="B42:D42"/>
    <mergeCell ref="B43:D43"/>
    <mergeCell ref="B44:D44"/>
    <mergeCell ref="B45:D45"/>
    <mergeCell ref="B46:D46"/>
    <mergeCell ref="B47:D47"/>
    <mergeCell ref="B48:D48"/>
    <mergeCell ref="B49:D49"/>
    <mergeCell ref="B38:D38"/>
    <mergeCell ref="B29:D29"/>
    <mergeCell ref="B30:D30"/>
    <mergeCell ref="B31:D31"/>
    <mergeCell ref="B32:D32"/>
    <mergeCell ref="B33:D33"/>
    <mergeCell ref="B34:D34"/>
    <mergeCell ref="B35:D35"/>
    <mergeCell ref="B36:D36"/>
    <mergeCell ref="B37:D37"/>
    <mergeCell ref="B28:D28"/>
    <mergeCell ref="B18:D18"/>
    <mergeCell ref="B19:D19"/>
    <mergeCell ref="B20:D20"/>
    <mergeCell ref="B21:D21"/>
    <mergeCell ref="B22:D22"/>
    <mergeCell ref="B23:D23"/>
    <mergeCell ref="B24:D24"/>
    <mergeCell ref="B25:D25"/>
    <mergeCell ref="B26:D26"/>
    <mergeCell ref="B27:D27"/>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39370078740157483" right="0.39370078740157483" top="0.78740157480314965" bottom="0" header="0.51181102362204722" footer="0"/>
  <pageSetup paperSize="9" scale="8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88"/>
  <sheetViews>
    <sheetView showGridLines="0" showZeros="0" showOutlineSymbols="0" view="pageBreakPreview" topLeftCell="A4" zoomScaleNormal="100" zoomScaleSheetLayoutView="100" workbookViewId="0">
      <selection activeCell="B14" sqref="B14:G14"/>
    </sheetView>
  </sheetViews>
  <sheetFormatPr defaultColWidth="9.140625" defaultRowHeight="10.5"/>
  <cols>
    <col min="1" max="1" width="30.85546875" style="84" customWidth="1"/>
    <col min="2" max="2" width="5.5703125" style="120" customWidth="1"/>
    <col min="3" max="3" width="6.42578125" style="84" customWidth="1"/>
    <col min="4" max="7" width="18.7109375" style="84" customWidth="1"/>
    <col min="8" max="8" width="14.28515625" style="84" bestFit="1" customWidth="1"/>
    <col min="9" max="16384" width="9.140625" style="84"/>
  </cols>
  <sheetData>
    <row r="1" spans="1:7" ht="27" customHeight="1">
      <c r="A1" s="82"/>
      <c r="B1" s="277"/>
      <c r="C1" s="277"/>
      <c r="D1" s="278" t="s">
        <v>610</v>
      </c>
      <c r="E1" s="278"/>
      <c r="F1" s="278"/>
      <c r="G1" s="278"/>
    </row>
    <row r="2" spans="1:7" ht="23.25" customHeight="1">
      <c r="A2" s="330" t="s">
        <v>577</v>
      </c>
      <c r="B2" s="330"/>
      <c r="C2" s="330"/>
      <c r="D2" s="330"/>
      <c r="E2" s="330"/>
      <c r="F2" s="330"/>
      <c r="G2" s="330"/>
    </row>
    <row r="3" spans="1:7" ht="6" customHeight="1">
      <c r="A3" s="82"/>
      <c r="B3" s="277"/>
      <c r="C3" s="277"/>
      <c r="D3" s="277"/>
      <c r="E3" s="277"/>
      <c r="F3" s="277"/>
      <c r="G3" s="277"/>
    </row>
    <row r="4" spans="1:7" s="85" customFormat="1" ht="12.75" customHeight="1">
      <c r="A4" s="331" t="s">
        <v>611</v>
      </c>
      <c r="B4" s="331"/>
      <c r="C4" s="331"/>
      <c r="D4" s="331"/>
      <c r="E4" s="331"/>
      <c r="F4" s="331"/>
      <c r="G4" s="331"/>
    </row>
    <row r="5" spans="1:7" s="85" customFormat="1" ht="12.75" customHeight="1">
      <c r="A5" s="332" t="s">
        <v>612</v>
      </c>
      <c r="B5" s="332"/>
      <c r="C5" s="332"/>
      <c r="D5" s="332"/>
      <c r="E5" s="332"/>
      <c r="F5" s="332"/>
      <c r="G5" s="332"/>
    </row>
    <row r="6" spans="1:7" ht="12.75" customHeight="1">
      <c r="A6" s="288" t="s">
        <v>3</v>
      </c>
      <c r="B6" s="288"/>
      <c r="C6" s="288"/>
      <c r="D6" s="288"/>
      <c r="E6" s="288"/>
      <c r="F6" s="288"/>
      <c r="G6" s="288"/>
    </row>
    <row r="7" spans="1:7" ht="12.75" customHeight="1">
      <c r="A7" s="82"/>
      <c r="B7" s="277"/>
      <c r="C7" s="277"/>
      <c r="D7" s="277"/>
      <c r="E7" s="277"/>
      <c r="F7" s="277"/>
      <c r="G7" s="277"/>
    </row>
    <row r="8" spans="1:7" ht="12.75" customHeight="1">
      <c r="A8" s="86" t="s">
        <v>10</v>
      </c>
      <c r="B8" s="276" t="s">
        <v>11</v>
      </c>
      <c r="C8" s="276"/>
      <c r="D8" s="276"/>
      <c r="E8" s="276"/>
      <c r="F8" s="276"/>
      <c r="G8" s="276"/>
    </row>
    <row r="9" spans="1:7" ht="12.75" customHeight="1">
      <c r="A9" s="88" t="s">
        <v>12</v>
      </c>
      <c r="B9" s="277" t="s">
        <v>13</v>
      </c>
      <c r="C9" s="277"/>
      <c r="D9" s="277"/>
      <c r="E9" s="277"/>
      <c r="F9" s="277"/>
      <c r="G9" s="277"/>
    </row>
    <row r="10" spans="1:7" ht="12.75" customHeight="1">
      <c r="A10" s="86" t="s">
        <v>385</v>
      </c>
      <c r="B10" s="276" t="s">
        <v>16</v>
      </c>
      <c r="C10" s="276"/>
      <c r="D10" s="276"/>
      <c r="E10" s="276"/>
      <c r="F10" s="276"/>
      <c r="G10" s="276"/>
    </row>
    <row r="11" spans="1:7" ht="12.75" customHeight="1">
      <c r="A11" s="88" t="s">
        <v>17</v>
      </c>
      <c r="B11" s="277" t="s">
        <v>613</v>
      </c>
      <c r="C11" s="277"/>
      <c r="D11" s="277"/>
      <c r="E11" s="277"/>
      <c r="F11" s="277"/>
      <c r="G11" s="277"/>
    </row>
    <row r="12" spans="1:7" ht="12.75" customHeight="1">
      <c r="A12" s="86" t="s">
        <v>5</v>
      </c>
      <c r="B12" s="284" t="s">
        <v>6</v>
      </c>
      <c r="C12" s="284"/>
      <c r="D12" s="284"/>
      <c r="E12" s="284"/>
      <c r="F12" s="284"/>
      <c r="G12" s="284"/>
    </row>
    <row r="13" spans="1:7" ht="12.75" customHeight="1">
      <c r="A13" s="88" t="s">
        <v>7</v>
      </c>
      <c r="B13" s="277" t="s">
        <v>8</v>
      </c>
      <c r="C13" s="277"/>
      <c r="D13" s="277"/>
      <c r="E13" s="277"/>
      <c r="F13" s="277"/>
      <c r="G13" s="277"/>
    </row>
    <row r="14" spans="1:7" ht="12.75" customHeight="1">
      <c r="A14" s="86" t="s">
        <v>20</v>
      </c>
      <c r="B14" s="282">
        <v>45477</v>
      </c>
      <c r="C14" s="282"/>
      <c r="D14" s="282"/>
      <c r="E14" s="282"/>
      <c r="F14" s="282"/>
      <c r="G14" s="282"/>
    </row>
    <row r="15" spans="1:7" ht="12.75" customHeight="1">
      <c r="A15" s="88" t="s">
        <v>21</v>
      </c>
      <c r="B15" s="283">
        <v>45477</v>
      </c>
      <c r="C15" s="283"/>
      <c r="D15" s="283"/>
      <c r="E15" s="283"/>
      <c r="F15" s="283"/>
      <c r="G15" s="283"/>
    </row>
    <row r="16" spans="1:7" ht="12.75" customHeight="1">
      <c r="A16" s="89"/>
      <c r="B16" s="340"/>
      <c r="C16" s="340"/>
      <c r="D16" s="340"/>
      <c r="E16" s="340"/>
      <c r="F16" s="285" t="s">
        <v>24</v>
      </c>
      <c r="G16" s="285"/>
    </row>
    <row r="17" spans="1:11" s="91" customFormat="1" ht="27.75" customHeight="1">
      <c r="A17" s="333" t="s">
        <v>26</v>
      </c>
      <c r="B17" s="325" t="s">
        <v>614</v>
      </c>
      <c r="C17" s="325" t="s">
        <v>615</v>
      </c>
      <c r="D17" s="336" t="s">
        <v>616</v>
      </c>
      <c r="E17" s="336"/>
      <c r="F17" s="336" t="s">
        <v>617</v>
      </c>
      <c r="G17" s="337"/>
    </row>
    <row r="18" spans="1:11" s="91" customFormat="1" ht="33.75" customHeight="1">
      <c r="A18" s="334"/>
      <c r="B18" s="335"/>
      <c r="C18" s="335"/>
      <c r="D18" s="92" t="s">
        <v>234</v>
      </c>
      <c r="E18" s="92" t="s">
        <v>618</v>
      </c>
      <c r="F18" s="92" t="s">
        <v>619</v>
      </c>
      <c r="G18" s="93" t="s">
        <v>618</v>
      </c>
    </row>
    <row r="19" spans="1:11" s="99" customFormat="1" ht="31.5">
      <c r="A19" s="94" t="s">
        <v>620</v>
      </c>
      <c r="B19" s="95" t="s">
        <v>621</v>
      </c>
      <c r="C19" s="96"/>
      <c r="D19" s="97">
        <f>D20+D23+D26+D30+D31+D32+D33+D34</f>
        <v>221648980535</v>
      </c>
      <c r="E19" s="97">
        <f>E20+E23+E26+E30+E31+E32+E33+E34</f>
        <v>3558349588334</v>
      </c>
      <c r="F19" s="97">
        <f>F20+F23+F26+F30+F31+F32+F33+F34</f>
        <v>1080501154970</v>
      </c>
      <c r="G19" s="98">
        <f>G20+G23+G26+G30+G31+G32+G33+G34</f>
        <v>1293148719742</v>
      </c>
      <c r="H19" s="240"/>
      <c r="I19" s="240"/>
      <c r="J19" s="240"/>
      <c r="K19" s="240"/>
    </row>
    <row r="20" spans="1:11" s="99" customFormat="1" ht="21">
      <c r="A20" s="100" t="s">
        <v>622</v>
      </c>
      <c r="B20" s="101" t="s">
        <v>623</v>
      </c>
      <c r="C20" s="102"/>
      <c r="D20" s="103">
        <f>D21+D22</f>
        <v>28121471000</v>
      </c>
      <c r="E20" s="103">
        <f>E21+E22</f>
        <v>211570894712</v>
      </c>
      <c r="F20" s="103">
        <f>F21+F22</f>
        <v>87742218400</v>
      </c>
      <c r="G20" s="104">
        <f>G21+G22</f>
        <v>224951010300</v>
      </c>
      <c r="H20" s="240"/>
      <c r="I20" s="240"/>
      <c r="J20" s="240"/>
      <c r="K20" s="240"/>
    </row>
    <row r="21" spans="1:11" s="99" customFormat="1" ht="21">
      <c r="A21" s="105" t="s">
        <v>624</v>
      </c>
      <c r="B21" s="106" t="s">
        <v>625</v>
      </c>
      <c r="C21" s="107"/>
      <c r="D21" s="108">
        <v>28121471000</v>
      </c>
      <c r="E21" s="108">
        <v>211570894712</v>
      </c>
      <c r="F21" s="108">
        <v>87742218400</v>
      </c>
      <c r="G21" s="109">
        <v>224951010300</v>
      </c>
      <c r="H21" s="240"/>
      <c r="I21" s="240"/>
      <c r="J21" s="240"/>
      <c r="K21" s="240"/>
    </row>
    <row r="22" spans="1:11" s="99" customFormat="1" ht="21">
      <c r="A22" s="105" t="s">
        <v>626</v>
      </c>
      <c r="B22" s="106" t="s">
        <v>627</v>
      </c>
      <c r="C22" s="107"/>
      <c r="D22" s="108">
        <v>0</v>
      </c>
      <c r="E22" s="108">
        <v>0</v>
      </c>
      <c r="F22" s="108">
        <v>0</v>
      </c>
      <c r="G22" s="109">
        <v>0</v>
      </c>
      <c r="H22" s="240"/>
      <c r="I22" s="240"/>
      <c r="J22" s="240"/>
      <c r="K22" s="240"/>
    </row>
    <row r="23" spans="1:11" s="99" customFormat="1" ht="21">
      <c r="A23" s="100" t="s">
        <v>628</v>
      </c>
      <c r="B23" s="101" t="s">
        <v>629</v>
      </c>
      <c r="C23" s="102"/>
      <c r="D23" s="103">
        <f>D24+D25</f>
        <v>24990785</v>
      </c>
      <c r="E23" s="103">
        <f>E24+E25</f>
        <v>243075072</v>
      </c>
      <c r="F23" s="103">
        <f>F24+F25</f>
        <v>8038170</v>
      </c>
      <c r="G23" s="104">
        <f>G24+G25</f>
        <v>177649842</v>
      </c>
      <c r="H23" s="240"/>
      <c r="I23" s="240"/>
      <c r="J23" s="240"/>
      <c r="K23" s="240"/>
    </row>
    <row r="24" spans="1:11" s="99" customFormat="1" ht="21">
      <c r="A24" s="105" t="s">
        <v>630</v>
      </c>
      <c r="B24" s="106" t="s">
        <v>631</v>
      </c>
      <c r="C24" s="107"/>
      <c r="D24" s="108">
        <v>24990785</v>
      </c>
      <c r="E24" s="108">
        <v>243075072</v>
      </c>
      <c r="F24" s="108">
        <v>8038170</v>
      </c>
      <c r="G24" s="109">
        <v>177649842</v>
      </c>
      <c r="H24" s="240"/>
      <c r="I24" s="240"/>
      <c r="J24" s="240"/>
      <c r="K24" s="240"/>
    </row>
    <row r="25" spans="1:11" s="99" customFormat="1" ht="31.5">
      <c r="A25" s="105" t="s">
        <v>632</v>
      </c>
      <c r="B25" s="106" t="s">
        <v>633</v>
      </c>
      <c r="C25" s="107"/>
      <c r="D25" s="108">
        <v>0</v>
      </c>
      <c r="E25" s="108">
        <v>0</v>
      </c>
      <c r="F25" s="108">
        <v>0</v>
      </c>
      <c r="G25" s="109">
        <v>0</v>
      </c>
      <c r="H25" s="240"/>
      <c r="I25" s="240"/>
      <c r="J25" s="240"/>
      <c r="K25" s="240"/>
    </row>
    <row r="26" spans="1:11" s="99" customFormat="1" ht="42">
      <c r="A26" s="100" t="s">
        <v>634</v>
      </c>
      <c r="B26" s="101" t="s">
        <v>635</v>
      </c>
      <c r="C26" s="102"/>
      <c r="D26" s="103">
        <f>D27+D28+D29</f>
        <v>307990265263</v>
      </c>
      <c r="E26" s="103">
        <f>E27+E28+E29</f>
        <v>2114417449707</v>
      </c>
      <c r="F26" s="103">
        <f>F27+F28+F29</f>
        <v>8085041521</v>
      </c>
      <c r="G26" s="104">
        <f>G27+G28+G29</f>
        <v>-63530675238</v>
      </c>
      <c r="H26" s="240"/>
      <c r="I26" s="240"/>
      <c r="J26" s="240"/>
      <c r="K26" s="240"/>
    </row>
    <row r="27" spans="1:11" s="99" customFormat="1" ht="31.5">
      <c r="A27" s="105" t="s">
        <v>636</v>
      </c>
      <c r="B27" s="106" t="s">
        <v>637</v>
      </c>
      <c r="C27" s="107"/>
      <c r="D27" s="108">
        <v>30200052633</v>
      </c>
      <c r="E27" s="108">
        <v>541259277578</v>
      </c>
      <c r="F27" s="108">
        <v>480925832</v>
      </c>
      <c r="G27" s="109">
        <v>-41193248791</v>
      </c>
      <c r="H27" s="240"/>
      <c r="I27" s="240"/>
      <c r="J27" s="240"/>
      <c r="K27" s="240"/>
    </row>
    <row r="28" spans="1:11" s="99" customFormat="1" ht="42">
      <c r="A28" s="105" t="s">
        <v>638</v>
      </c>
      <c r="B28" s="106" t="s">
        <v>639</v>
      </c>
      <c r="C28" s="107"/>
      <c r="D28" s="108">
        <v>277790212630</v>
      </c>
      <c r="E28" s="108">
        <v>1571169572129</v>
      </c>
      <c r="F28" s="108">
        <v>6666800689</v>
      </c>
      <c r="G28" s="109">
        <v>-24913811047</v>
      </c>
      <c r="H28" s="240"/>
      <c r="I28" s="240"/>
      <c r="J28" s="240"/>
      <c r="K28" s="240"/>
    </row>
    <row r="29" spans="1:11" s="99" customFormat="1" ht="52.5">
      <c r="A29" s="105" t="s">
        <v>640</v>
      </c>
      <c r="B29" s="106" t="s">
        <v>641</v>
      </c>
      <c r="C29" s="107"/>
      <c r="D29" s="108">
        <v>0</v>
      </c>
      <c r="E29" s="108">
        <v>1988600000</v>
      </c>
      <c r="F29" s="108">
        <v>937315000</v>
      </c>
      <c r="G29" s="109">
        <v>2576384600</v>
      </c>
      <c r="H29" s="240"/>
      <c r="I29" s="240"/>
      <c r="J29" s="240"/>
      <c r="K29" s="240"/>
    </row>
    <row r="30" spans="1:11" s="99" customFormat="1" ht="42">
      <c r="A30" s="100" t="s">
        <v>642</v>
      </c>
      <c r="B30" s="101" t="s">
        <v>643</v>
      </c>
      <c r="C30" s="102"/>
      <c r="D30" s="103">
        <v>-114487746513</v>
      </c>
      <c r="E30" s="103">
        <v>1232118168843</v>
      </c>
      <c r="F30" s="103">
        <v>984665856879</v>
      </c>
      <c r="G30" s="104">
        <v>1131550734838</v>
      </c>
      <c r="H30" s="240"/>
      <c r="I30" s="240"/>
      <c r="J30" s="240"/>
      <c r="K30" s="240"/>
    </row>
    <row r="31" spans="1:11" s="99" customFormat="1" ht="21">
      <c r="A31" s="100" t="s">
        <v>644</v>
      </c>
      <c r="B31" s="101" t="s">
        <v>645</v>
      </c>
      <c r="C31" s="102"/>
      <c r="D31" s="103">
        <v>0</v>
      </c>
      <c r="E31" s="103">
        <v>0</v>
      </c>
      <c r="F31" s="103">
        <v>0</v>
      </c>
      <c r="G31" s="104">
        <v>0</v>
      </c>
      <c r="H31" s="240"/>
      <c r="I31" s="240"/>
      <c r="J31" s="240"/>
      <c r="K31" s="240"/>
    </row>
    <row r="32" spans="1:11" s="99" customFormat="1" ht="42">
      <c r="A32" s="100" t="s">
        <v>646</v>
      </c>
      <c r="B32" s="101" t="s">
        <v>647</v>
      </c>
      <c r="C32" s="102"/>
      <c r="D32" s="103">
        <v>0</v>
      </c>
      <c r="E32" s="103">
        <v>0</v>
      </c>
      <c r="F32" s="103">
        <v>0</v>
      </c>
      <c r="G32" s="104">
        <v>0</v>
      </c>
      <c r="H32" s="240"/>
      <c r="I32" s="240"/>
      <c r="J32" s="240"/>
      <c r="K32" s="240"/>
    </row>
    <row r="33" spans="1:11" s="99" customFormat="1" ht="21">
      <c r="A33" s="100" t="s">
        <v>648</v>
      </c>
      <c r="B33" s="101" t="s">
        <v>649</v>
      </c>
      <c r="C33" s="102"/>
      <c r="D33" s="103">
        <v>0</v>
      </c>
      <c r="E33" s="103">
        <v>0</v>
      </c>
      <c r="F33" s="103">
        <v>0</v>
      </c>
      <c r="G33" s="104">
        <v>0</v>
      </c>
      <c r="H33" s="240"/>
      <c r="I33" s="240"/>
      <c r="J33" s="240"/>
      <c r="K33" s="240"/>
    </row>
    <row r="34" spans="1:11" s="99" customFormat="1" ht="63">
      <c r="A34" s="100" t="s">
        <v>650</v>
      </c>
      <c r="B34" s="101" t="s">
        <v>651</v>
      </c>
      <c r="C34" s="102"/>
      <c r="D34" s="103">
        <v>0</v>
      </c>
      <c r="E34" s="103">
        <v>0</v>
      </c>
      <c r="F34" s="103">
        <v>0</v>
      </c>
      <c r="G34" s="104">
        <v>0</v>
      </c>
      <c r="H34" s="240"/>
      <c r="I34" s="240"/>
      <c r="J34" s="240"/>
      <c r="K34" s="240"/>
    </row>
    <row r="35" spans="1:11" s="99" customFormat="1" ht="21">
      <c r="A35" s="94" t="s">
        <v>652</v>
      </c>
      <c r="B35" s="95" t="s">
        <v>321</v>
      </c>
      <c r="C35" s="96"/>
      <c r="D35" s="97">
        <v>832485413</v>
      </c>
      <c r="E35" s="97">
        <v>13164441495</v>
      </c>
      <c r="F35" s="97">
        <v>78531571</v>
      </c>
      <c r="G35" s="98">
        <v>5700449407</v>
      </c>
      <c r="H35" s="240"/>
      <c r="I35" s="240"/>
      <c r="J35" s="240"/>
      <c r="K35" s="240"/>
    </row>
    <row r="36" spans="1:11" s="99" customFormat="1" ht="42">
      <c r="A36" s="100" t="s">
        <v>653</v>
      </c>
      <c r="B36" s="101" t="s">
        <v>417</v>
      </c>
      <c r="C36" s="102"/>
      <c r="D36" s="103">
        <v>832485413</v>
      </c>
      <c r="E36" s="103">
        <v>13164441495</v>
      </c>
      <c r="F36" s="103">
        <v>78531571</v>
      </c>
      <c r="G36" s="104">
        <v>5700449407</v>
      </c>
      <c r="H36" s="240"/>
      <c r="I36" s="240"/>
      <c r="J36" s="240"/>
      <c r="K36" s="240"/>
    </row>
    <row r="37" spans="1:11" s="99" customFormat="1" ht="21">
      <c r="A37" s="105" t="s">
        <v>654</v>
      </c>
      <c r="B37" s="106" t="s">
        <v>655</v>
      </c>
      <c r="C37" s="107"/>
      <c r="D37" s="108">
        <v>827527313</v>
      </c>
      <c r="E37" s="108">
        <v>13133013402</v>
      </c>
      <c r="F37" s="108">
        <v>74943317</v>
      </c>
      <c r="G37" s="109">
        <v>5682171598</v>
      </c>
      <c r="H37" s="240"/>
      <c r="I37" s="240"/>
      <c r="J37" s="240"/>
      <c r="K37" s="240"/>
    </row>
    <row r="38" spans="1:11" s="99" customFormat="1" ht="21">
      <c r="A38" s="105" t="s">
        <v>656</v>
      </c>
      <c r="B38" s="106" t="s">
        <v>657</v>
      </c>
      <c r="C38" s="107"/>
      <c r="D38" s="108">
        <v>4958100</v>
      </c>
      <c r="E38" s="108">
        <v>31428093</v>
      </c>
      <c r="F38" s="108">
        <v>3588254</v>
      </c>
      <c r="G38" s="109">
        <v>18277809</v>
      </c>
      <c r="H38" s="240"/>
      <c r="I38" s="240"/>
      <c r="J38" s="240"/>
      <c r="K38" s="240"/>
    </row>
    <row r="39" spans="1:11" s="99" customFormat="1" ht="31.5">
      <c r="A39" s="100" t="s">
        <v>658</v>
      </c>
      <c r="B39" s="101" t="s">
        <v>420</v>
      </c>
      <c r="C39" s="102"/>
      <c r="D39" s="103">
        <v>0</v>
      </c>
      <c r="E39" s="103">
        <v>0</v>
      </c>
      <c r="F39" s="103">
        <v>0</v>
      </c>
      <c r="G39" s="104">
        <v>0</v>
      </c>
      <c r="H39" s="240"/>
      <c r="I39" s="240"/>
      <c r="J39" s="240"/>
      <c r="K39" s="240"/>
    </row>
    <row r="40" spans="1:11" s="99" customFormat="1" ht="21">
      <c r="A40" s="100" t="s">
        <v>659</v>
      </c>
      <c r="B40" s="101" t="s">
        <v>423</v>
      </c>
      <c r="C40" s="102"/>
      <c r="D40" s="103">
        <v>0</v>
      </c>
      <c r="E40" s="103">
        <v>0</v>
      </c>
      <c r="F40" s="103">
        <v>0</v>
      </c>
      <c r="G40" s="104">
        <v>0</v>
      </c>
      <c r="H40" s="240"/>
      <c r="I40" s="240"/>
      <c r="J40" s="240"/>
      <c r="K40" s="240"/>
    </row>
    <row r="41" spans="1:11" s="99" customFormat="1" ht="63">
      <c r="A41" s="100" t="s">
        <v>660</v>
      </c>
      <c r="B41" s="101" t="s">
        <v>426</v>
      </c>
      <c r="C41" s="102"/>
      <c r="D41" s="103">
        <v>0</v>
      </c>
      <c r="E41" s="103">
        <v>0</v>
      </c>
      <c r="F41" s="103">
        <v>0</v>
      </c>
      <c r="G41" s="104">
        <v>0</v>
      </c>
      <c r="H41" s="240"/>
      <c r="I41" s="240"/>
      <c r="J41" s="240"/>
      <c r="K41" s="240"/>
    </row>
    <row r="42" spans="1:11" s="99" customFormat="1" ht="21">
      <c r="A42" s="100" t="s">
        <v>661</v>
      </c>
      <c r="B42" s="101" t="s">
        <v>429</v>
      </c>
      <c r="C42" s="102"/>
      <c r="D42" s="103">
        <v>0</v>
      </c>
      <c r="E42" s="103">
        <v>0</v>
      </c>
      <c r="F42" s="103">
        <v>0</v>
      </c>
      <c r="G42" s="104">
        <v>0</v>
      </c>
      <c r="H42" s="240"/>
      <c r="I42" s="240"/>
      <c r="J42" s="240"/>
      <c r="K42" s="240"/>
    </row>
    <row r="43" spans="1:11" s="99" customFormat="1" ht="21">
      <c r="A43" s="94" t="s">
        <v>662</v>
      </c>
      <c r="B43" s="95" t="s">
        <v>663</v>
      </c>
      <c r="C43" s="96"/>
      <c r="D43" s="97">
        <v>12283882183</v>
      </c>
      <c r="E43" s="97">
        <v>82264221237</v>
      </c>
      <c r="F43" s="97">
        <v>16025738946</v>
      </c>
      <c r="G43" s="98">
        <v>96232836221</v>
      </c>
      <c r="H43" s="240"/>
      <c r="I43" s="240"/>
      <c r="J43" s="240"/>
      <c r="K43" s="240"/>
    </row>
    <row r="44" spans="1:11" s="99" customFormat="1" ht="21">
      <c r="A44" s="100" t="s">
        <v>664</v>
      </c>
      <c r="B44" s="101" t="s">
        <v>665</v>
      </c>
      <c r="C44" s="102"/>
      <c r="D44" s="103">
        <v>9416764896</v>
      </c>
      <c r="E44" s="103">
        <v>63142692489</v>
      </c>
      <c r="F44" s="103">
        <v>12268321434</v>
      </c>
      <c r="G44" s="104">
        <v>74022261711</v>
      </c>
      <c r="H44" s="240"/>
      <c r="I44" s="240"/>
      <c r="J44" s="240"/>
      <c r="K44" s="240"/>
    </row>
    <row r="45" spans="1:11" s="99" customFormat="1" ht="21">
      <c r="A45" s="100" t="s">
        <v>666</v>
      </c>
      <c r="B45" s="101" t="s">
        <v>667</v>
      </c>
      <c r="C45" s="102"/>
      <c r="D45" s="103">
        <v>335605763</v>
      </c>
      <c r="E45" s="103">
        <v>2340713690</v>
      </c>
      <c r="F45" s="103">
        <v>454497279</v>
      </c>
      <c r="G45" s="104">
        <v>2762000889</v>
      </c>
      <c r="H45" s="240"/>
      <c r="I45" s="240"/>
      <c r="J45" s="240"/>
      <c r="K45" s="240"/>
    </row>
    <row r="46" spans="1:11" s="99" customFormat="1" ht="21">
      <c r="A46" s="105" t="s">
        <v>668</v>
      </c>
      <c r="B46" s="106" t="s">
        <v>669</v>
      </c>
      <c r="C46" s="107"/>
      <c r="D46" s="108">
        <v>235419120</v>
      </c>
      <c r="E46" s="108">
        <v>1578567309</v>
      </c>
      <c r="F46" s="108">
        <v>306708036</v>
      </c>
      <c r="G46" s="109">
        <v>1850556543</v>
      </c>
      <c r="H46" s="240"/>
      <c r="I46" s="240"/>
      <c r="J46" s="240"/>
      <c r="K46" s="240"/>
    </row>
    <row r="47" spans="1:11" s="99" customFormat="1" ht="31.5">
      <c r="A47" s="105" t="s">
        <v>670</v>
      </c>
      <c r="B47" s="106" t="s">
        <v>671</v>
      </c>
      <c r="C47" s="107"/>
      <c r="D47" s="108">
        <v>7600000</v>
      </c>
      <c r="E47" s="108">
        <v>52300000</v>
      </c>
      <c r="F47" s="108">
        <v>1700000</v>
      </c>
      <c r="G47" s="109">
        <v>23100000</v>
      </c>
      <c r="H47" s="240"/>
      <c r="I47" s="240"/>
      <c r="J47" s="240"/>
      <c r="K47" s="240"/>
    </row>
    <row r="48" spans="1:11" s="99" customFormat="1" ht="21">
      <c r="A48" s="105" t="s">
        <v>672</v>
      </c>
      <c r="B48" s="106" t="s">
        <v>673</v>
      </c>
      <c r="C48" s="107"/>
      <c r="D48" s="108">
        <v>92586643</v>
      </c>
      <c r="E48" s="108">
        <v>709846381</v>
      </c>
      <c r="F48" s="108">
        <v>146089243</v>
      </c>
      <c r="G48" s="109">
        <v>888344346</v>
      </c>
      <c r="H48" s="240"/>
      <c r="I48" s="240"/>
      <c r="J48" s="240"/>
      <c r="K48" s="240"/>
    </row>
    <row r="49" spans="1:11" s="99" customFormat="1" ht="63">
      <c r="A49" s="105" t="s">
        <v>674</v>
      </c>
      <c r="B49" s="106" t="s">
        <v>675</v>
      </c>
      <c r="C49" s="107"/>
      <c r="D49" s="108">
        <v>0</v>
      </c>
      <c r="E49" s="108">
        <v>0</v>
      </c>
      <c r="F49" s="108">
        <v>0</v>
      </c>
      <c r="G49" s="109">
        <v>0</v>
      </c>
      <c r="H49" s="240"/>
      <c r="I49" s="240"/>
      <c r="J49" s="240"/>
      <c r="K49" s="240"/>
    </row>
    <row r="50" spans="1:11" s="99" customFormat="1" ht="21">
      <c r="A50" s="100" t="s">
        <v>676</v>
      </c>
      <c r="B50" s="101" t="s">
        <v>677</v>
      </c>
      <c r="C50" s="102"/>
      <c r="D50" s="103">
        <v>517922071</v>
      </c>
      <c r="E50" s="103">
        <v>3472848086</v>
      </c>
      <c r="F50" s="103">
        <v>674757679</v>
      </c>
      <c r="G50" s="104">
        <v>4071224389</v>
      </c>
      <c r="H50" s="240"/>
      <c r="I50" s="240"/>
      <c r="J50" s="240"/>
      <c r="K50" s="240"/>
    </row>
    <row r="51" spans="1:11" s="99" customFormat="1" ht="21">
      <c r="A51" s="100" t="s">
        <v>678</v>
      </c>
      <c r="B51" s="101" t="s">
        <v>679</v>
      </c>
      <c r="C51" s="102"/>
      <c r="D51" s="103">
        <v>258961032</v>
      </c>
      <c r="E51" s="103">
        <v>1736424040</v>
      </c>
      <c r="F51" s="103">
        <v>337378840</v>
      </c>
      <c r="G51" s="104">
        <v>2035612198</v>
      </c>
      <c r="H51" s="240"/>
      <c r="I51" s="240"/>
      <c r="J51" s="240"/>
      <c r="K51" s="240"/>
    </row>
    <row r="52" spans="1:11" s="99" customFormat="1" ht="21">
      <c r="A52" s="100" t="s">
        <v>680</v>
      </c>
      <c r="B52" s="101" t="s">
        <v>681</v>
      </c>
      <c r="C52" s="102"/>
      <c r="D52" s="103">
        <v>5500000</v>
      </c>
      <c r="E52" s="103">
        <v>33000000</v>
      </c>
      <c r="F52" s="103">
        <v>5500000</v>
      </c>
      <c r="G52" s="104">
        <v>33000000</v>
      </c>
      <c r="H52" s="240"/>
      <c r="I52" s="240"/>
      <c r="J52" s="240"/>
      <c r="K52" s="240"/>
    </row>
    <row r="53" spans="1:11" s="99" customFormat="1" ht="31.5">
      <c r="A53" s="100" t="s">
        <v>682</v>
      </c>
      <c r="B53" s="101" t="s">
        <v>683</v>
      </c>
      <c r="C53" s="102"/>
      <c r="D53" s="103">
        <f>D54+D55+D56</f>
        <v>1706788639</v>
      </c>
      <c r="E53" s="103">
        <f>E54+E55+E56</f>
        <v>11137603876</v>
      </c>
      <c r="F53" s="103">
        <f>F54+F55+F56</f>
        <v>2223633256</v>
      </c>
      <c r="G53" s="104">
        <f>G54+G55+G56</f>
        <v>12934017511</v>
      </c>
      <c r="H53" s="240"/>
      <c r="I53" s="240"/>
      <c r="J53" s="240"/>
      <c r="K53" s="240"/>
    </row>
    <row r="54" spans="1:11" s="99" customFormat="1" ht="42">
      <c r="A54" s="105" t="s">
        <v>684</v>
      </c>
      <c r="B54" s="106" t="s">
        <v>685</v>
      </c>
      <c r="C54" s="107"/>
      <c r="D54" s="108">
        <v>588547807</v>
      </c>
      <c r="E54" s="108">
        <v>3946418280</v>
      </c>
      <c r="F54" s="108">
        <v>766770087</v>
      </c>
      <c r="G54" s="109">
        <v>4626391356</v>
      </c>
      <c r="H54" s="240"/>
      <c r="I54" s="240"/>
      <c r="J54" s="240"/>
      <c r="K54" s="240"/>
    </row>
    <row r="55" spans="1:11" s="99" customFormat="1" ht="42">
      <c r="A55" s="105" t="s">
        <v>686</v>
      </c>
      <c r="B55" s="106" t="s">
        <v>687</v>
      </c>
      <c r="C55" s="107"/>
      <c r="D55" s="108">
        <v>470838246</v>
      </c>
      <c r="E55" s="108">
        <v>3157134623</v>
      </c>
      <c r="F55" s="108">
        <v>613416072</v>
      </c>
      <c r="G55" s="109">
        <v>3701113080</v>
      </c>
      <c r="H55" s="240"/>
      <c r="I55" s="240"/>
      <c r="J55" s="240"/>
      <c r="K55" s="240"/>
    </row>
    <row r="56" spans="1:11" s="99" customFormat="1" ht="21">
      <c r="A56" s="105" t="s">
        <v>688</v>
      </c>
      <c r="B56" s="106" t="s">
        <v>689</v>
      </c>
      <c r="C56" s="107"/>
      <c r="D56" s="108">
        <v>647402586</v>
      </c>
      <c r="E56" s="108">
        <v>4034050973</v>
      </c>
      <c r="F56" s="108">
        <v>843447097</v>
      </c>
      <c r="G56" s="109">
        <v>4606513075</v>
      </c>
      <c r="H56" s="240"/>
      <c r="I56" s="240"/>
      <c r="J56" s="240"/>
      <c r="K56" s="240"/>
    </row>
    <row r="57" spans="1:11" s="99" customFormat="1" ht="31.5">
      <c r="A57" s="100" t="s">
        <v>690</v>
      </c>
      <c r="B57" s="101" t="s">
        <v>691</v>
      </c>
      <c r="C57" s="102"/>
      <c r="D57" s="103">
        <v>0</v>
      </c>
      <c r="E57" s="103">
        <v>72341334</v>
      </c>
      <c r="F57" s="103">
        <v>20647000</v>
      </c>
      <c r="G57" s="104">
        <v>42258500</v>
      </c>
      <c r="H57" s="240"/>
      <c r="I57" s="240"/>
      <c r="J57" s="240"/>
      <c r="K57" s="240"/>
    </row>
    <row r="58" spans="1:11" s="99" customFormat="1" ht="21">
      <c r="A58" s="100" t="s">
        <v>692</v>
      </c>
      <c r="B58" s="101" t="s">
        <v>693</v>
      </c>
      <c r="C58" s="102"/>
      <c r="D58" s="103">
        <v>25245900</v>
      </c>
      <c r="E58" s="103">
        <v>153319960</v>
      </c>
      <c r="F58" s="103">
        <v>23977740</v>
      </c>
      <c r="G58" s="104">
        <v>138140890</v>
      </c>
      <c r="H58" s="240"/>
      <c r="I58" s="240"/>
      <c r="J58" s="240"/>
      <c r="K58" s="240"/>
    </row>
    <row r="59" spans="1:11" s="99" customFormat="1" ht="21">
      <c r="A59" s="100" t="s">
        <v>694</v>
      </c>
      <c r="B59" s="101" t="s">
        <v>695</v>
      </c>
      <c r="C59" s="102"/>
      <c r="D59" s="103">
        <v>0</v>
      </c>
      <c r="E59" s="103">
        <v>0</v>
      </c>
      <c r="F59" s="103">
        <v>0</v>
      </c>
      <c r="G59" s="104">
        <v>0</v>
      </c>
      <c r="H59" s="240"/>
      <c r="I59" s="240"/>
      <c r="J59" s="240"/>
      <c r="K59" s="240"/>
    </row>
    <row r="60" spans="1:11" s="99" customFormat="1" ht="21">
      <c r="A60" s="100" t="s">
        <v>696</v>
      </c>
      <c r="B60" s="101" t="s">
        <v>697</v>
      </c>
      <c r="C60" s="102"/>
      <c r="D60" s="103">
        <f>D61+D62+D63+D64+D65+D66+D67+D68+D69+D70+D71+D72+D73+D74</f>
        <v>17093882</v>
      </c>
      <c r="E60" s="103">
        <f>E61+E62+E63+E64+E65+E66+E67+E68+E69+E70+E71+E72+E73+E74</f>
        <v>175277762</v>
      </c>
      <c r="F60" s="103">
        <f>F61+F62+F63+F64+F65+F66+F67+F68+F69+F70+F71+F72+F73+F74</f>
        <v>17025718</v>
      </c>
      <c r="G60" s="104">
        <f>G61+G62+G63+G64+G65+G66+G67+G68+G69+G70+G71+G72+G73+G74</f>
        <v>194320133</v>
      </c>
      <c r="H60" s="240"/>
      <c r="I60" s="240"/>
      <c r="J60" s="240"/>
      <c r="K60" s="240"/>
    </row>
    <row r="61" spans="1:11" s="99" customFormat="1" ht="31.5">
      <c r="A61" s="105" t="s">
        <v>698</v>
      </c>
      <c r="B61" s="106" t="s">
        <v>699</v>
      </c>
      <c r="C61" s="107"/>
      <c r="D61" s="108">
        <v>9737700</v>
      </c>
      <c r="E61" s="108">
        <v>58475383</v>
      </c>
      <c r="F61" s="108">
        <v>9739718</v>
      </c>
      <c r="G61" s="109">
        <v>58462971</v>
      </c>
      <c r="H61" s="240"/>
      <c r="I61" s="240"/>
      <c r="J61" s="240"/>
      <c r="K61" s="240"/>
    </row>
    <row r="62" spans="1:11" s="99" customFormat="1" ht="31.5">
      <c r="A62" s="105" t="s">
        <v>700</v>
      </c>
      <c r="B62" s="106" t="s">
        <v>701</v>
      </c>
      <c r="C62" s="107"/>
      <c r="D62" s="108">
        <v>0</v>
      </c>
      <c r="E62" s="108">
        <v>0</v>
      </c>
      <c r="F62" s="108">
        <v>0</v>
      </c>
      <c r="G62" s="109">
        <v>0</v>
      </c>
      <c r="H62" s="240"/>
      <c r="I62" s="240"/>
      <c r="J62" s="240"/>
      <c r="K62" s="240"/>
    </row>
    <row r="63" spans="1:11" s="99" customFormat="1" ht="21">
      <c r="A63" s="105" t="s">
        <v>702</v>
      </c>
      <c r="B63" s="106" t="s">
        <v>703</v>
      </c>
      <c r="C63" s="107"/>
      <c r="D63" s="108">
        <v>0</v>
      </c>
      <c r="E63" s="108">
        <v>0</v>
      </c>
      <c r="F63" s="108">
        <v>0</v>
      </c>
      <c r="G63" s="109">
        <v>0</v>
      </c>
      <c r="H63" s="240"/>
      <c r="I63" s="240"/>
      <c r="J63" s="240"/>
      <c r="K63" s="240"/>
    </row>
    <row r="64" spans="1:11" s="99" customFormat="1" ht="21">
      <c r="A64" s="105" t="s">
        <v>704</v>
      </c>
      <c r="B64" s="106" t="s">
        <v>705</v>
      </c>
      <c r="C64" s="107"/>
      <c r="D64" s="108">
        <v>0</v>
      </c>
      <c r="E64" s="108">
        <v>0</v>
      </c>
      <c r="F64" s="108">
        <v>0</v>
      </c>
      <c r="G64" s="109">
        <v>0</v>
      </c>
      <c r="H64" s="240"/>
      <c r="I64" s="240"/>
      <c r="J64" s="240"/>
      <c r="K64" s="240"/>
    </row>
    <row r="65" spans="1:11" s="99" customFormat="1" ht="21">
      <c r="A65" s="105" t="s">
        <v>706</v>
      </c>
      <c r="B65" s="106" t="s">
        <v>707</v>
      </c>
      <c r="C65" s="107"/>
      <c r="D65" s="108">
        <v>0</v>
      </c>
      <c r="E65" s="108">
        <v>26666666</v>
      </c>
      <c r="F65" s="108">
        <v>0</v>
      </c>
      <c r="G65" s="109">
        <v>0</v>
      </c>
      <c r="H65" s="240"/>
      <c r="I65" s="240"/>
      <c r="J65" s="240"/>
      <c r="K65" s="240"/>
    </row>
    <row r="66" spans="1:11" s="99" customFormat="1" ht="21">
      <c r="A66" s="105" t="s">
        <v>708</v>
      </c>
      <c r="B66" s="106" t="s">
        <v>709</v>
      </c>
      <c r="C66" s="107"/>
      <c r="D66" s="108">
        <v>0</v>
      </c>
      <c r="E66" s="108">
        <v>0</v>
      </c>
      <c r="F66" s="108">
        <v>0</v>
      </c>
      <c r="G66" s="109">
        <v>0</v>
      </c>
      <c r="H66" s="240"/>
      <c r="I66" s="240"/>
      <c r="J66" s="240"/>
      <c r="K66" s="240"/>
    </row>
    <row r="67" spans="1:11" s="99" customFormat="1" ht="21">
      <c r="A67" s="105" t="s">
        <v>710</v>
      </c>
      <c r="B67" s="106" t="s">
        <v>711</v>
      </c>
      <c r="C67" s="107"/>
      <c r="D67" s="108">
        <v>0</v>
      </c>
      <c r="E67" s="108">
        <v>0</v>
      </c>
      <c r="F67" s="108">
        <v>0</v>
      </c>
      <c r="G67" s="109">
        <v>0</v>
      </c>
      <c r="H67" s="240"/>
      <c r="I67" s="240"/>
      <c r="J67" s="240"/>
      <c r="K67" s="240"/>
    </row>
    <row r="68" spans="1:11" s="99" customFormat="1" ht="21">
      <c r="A68" s="105" t="s">
        <v>712</v>
      </c>
      <c r="B68" s="106" t="s">
        <v>713</v>
      </c>
      <c r="C68" s="107"/>
      <c r="D68" s="108">
        <v>356182</v>
      </c>
      <c r="E68" s="108">
        <v>5135713</v>
      </c>
      <c r="F68" s="108">
        <v>286000</v>
      </c>
      <c r="G68" s="109">
        <v>6825946</v>
      </c>
      <c r="H68" s="240"/>
      <c r="I68" s="240"/>
      <c r="J68" s="240"/>
      <c r="K68" s="240"/>
    </row>
    <row r="69" spans="1:11" s="99" customFormat="1" ht="31.5">
      <c r="A69" s="105" t="s">
        <v>714</v>
      </c>
      <c r="B69" s="106" t="s">
        <v>715</v>
      </c>
      <c r="C69" s="107"/>
      <c r="D69" s="108">
        <v>0</v>
      </c>
      <c r="E69" s="108">
        <v>0</v>
      </c>
      <c r="F69" s="108">
        <v>0</v>
      </c>
      <c r="G69" s="109">
        <v>0</v>
      </c>
      <c r="H69" s="240"/>
      <c r="I69" s="240"/>
      <c r="J69" s="240"/>
      <c r="K69" s="240"/>
    </row>
    <row r="70" spans="1:11" s="99" customFormat="1" ht="21">
      <c r="A70" s="105" t="s">
        <v>716</v>
      </c>
      <c r="B70" s="106" t="s">
        <v>717</v>
      </c>
      <c r="C70" s="107"/>
      <c r="D70" s="108">
        <v>0</v>
      </c>
      <c r="E70" s="108">
        <v>0</v>
      </c>
      <c r="F70" s="108">
        <v>0</v>
      </c>
      <c r="G70" s="109">
        <v>45531216</v>
      </c>
      <c r="H70" s="240"/>
      <c r="I70" s="240"/>
      <c r="J70" s="240"/>
      <c r="K70" s="240"/>
    </row>
    <row r="71" spans="1:11" s="99" customFormat="1" ht="31.5">
      <c r="A71" s="105" t="s">
        <v>718</v>
      </c>
      <c r="B71" s="106" t="s">
        <v>719</v>
      </c>
      <c r="C71" s="107"/>
      <c r="D71" s="108">
        <v>0</v>
      </c>
      <c r="E71" s="108">
        <v>10500000</v>
      </c>
      <c r="F71" s="108">
        <v>0</v>
      </c>
      <c r="G71" s="109">
        <v>14000000</v>
      </c>
      <c r="H71" s="240"/>
      <c r="I71" s="240"/>
      <c r="J71" s="240"/>
      <c r="K71" s="240"/>
    </row>
    <row r="72" spans="1:11" s="99" customFormat="1" ht="21">
      <c r="A72" s="105" t="s">
        <v>720</v>
      </c>
      <c r="B72" s="106" t="s">
        <v>721</v>
      </c>
      <c r="C72" s="107"/>
      <c r="D72" s="108">
        <v>7000000</v>
      </c>
      <c r="E72" s="108">
        <v>44500000</v>
      </c>
      <c r="F72" s="108">
        <v>7000000</v>
      </c>
      <c r="G72" s="109">
        <v>39500000</v>
      </c>
      <c r="H72" s="240"/>
      <c r="I72" s="240"/>
      <c r="J72" s="240"/>
      <c r="K72" s="240"/>
    </row>
    <row r="73" spans="1:11" s="99" customFormat="1" ht="21">
      <c r="A73" s="105" t="s">
        <v>722</v>
      </c>
      <c r="B73" s="106" t="s">
        <v>723</v>
      </c>
      <c r="C73" s="107"/>
      <c r="D73" s="108">
        <v>0</v>
      </c>
      <c r="E73" s="108">
        <v>30000000</v>
      </c>
      <c r="F73" s="108">
        <v>0</v>
      </c>
      <c r="G73" s="109">
        <v>30000000</v>
      </c>
      <c r="H73" s="240"/>
      <c r="I73" s="240"/>
      <c r="J73" s="240"/>
      <c r="K73" s="240"/>
    </row>
    <row r="74" spans="1:11" s="99" customFormat="1" ht="21">
      <c r="A74" s="105" t="s">
        <v>724</v>
      </c>
      <c r="B74" s="106" t="s">
        <v>725</v>
      </c>
      <c r="C74" s="107"/>
      <c r="D74" s="108">
        <v>0</v>
      </c>
      <c r="E74" s="108">
        <v>0</v>
      </c>
      <c r="F74" s="108">
        <v>0</v>
      </c>
      <c r="G74" s="109">
        <v>0</v>
      </c>
      <c r="H74" s="240"/>
      <c r="I74" s="240"/>
      <c r="J74" s="240"/>
      <c r="K74" s="240"/>
    </row>
    <row r="75" spans="1:11" s="99" customFormat="1" ht="31.5">
      <c r="A75" s="94" t="s">
        <v>726</v>
      </c>
      <c r="B75" s="95" t="s">
        <v>727</v>
      </c>
      <c r="C75" s="96"/>
      <c r="D75" s="97">
        <f>D19-D35-D43</f>
        <v>208532612939</v>
      </c>
      <c r="E75" s="97">
        <f>E19-E35-E43</f>
        <v>3462920925602</v>
      </c>
      <c r="F75" s="97">
        <f>F19-F35-F43</f>
        <v>1064396884453</v>
      </c>
      <c r="G75" s="98">
        <f>G19-G35-G43</f>
        <v>1191215434114</v>
      </c>
      <c r="H75" s="240"/>
      <c r="I75" s="240"/>
      <c r="J75" s="240"/>
      <c r="K75" s="240"/>
    </row>
    <row r="76" spans="1:11" s="99" customFormat="1" ht="31.5">
      <c r="A76" s="94" t="s">
        <v>728</v>
      </c>
      <c r="B76" s="95" t="s">
        <v>729</v>
      </c>
      <c r="C76" s="96"/>
      <c r="D76" s="97">
        <f>D77-D78</f>
        <v>0</v>
      </c>
      <c r="E76" s="97">
        <f>E77-E78</f>
        <v>0</v>
      </c>
      <c r="F76" s="97">
        <f>F77-F78</f>
        <v>0</v>
      </c>
      <c r="G76" s="98">
        <f>G77-G78</f>
        <v>0</v>
      </c>
      <c r="H76" s="240"/>
      <c r="I76" s="240"/>
      <c r="J76" s="240"/>
      <c r="K76" s="240"/>
    </row>
    <row r="77" spans="1:11" s="99" customFormat="1" ht="21">
      <c r="A77" s="100" t="s">
        <v>730</v>
      </c>
      <c r="B77" s="101" t="s">
        <v>731</v>
      </c>
      <c r="C77" s="102"/>
      <c r="D77" s="103">
        <v>0</v>
      </c>
      <c r="E77" s="103">
        <v>0</v>
      </c>
      <c r="F77" s="103">
        <v>0</v>
      </c>
      <c r="G77" s="104">
        <v>0</v>
      </c>
      <c r="H77" s="240"/>
      <c r="I77" s="240"/>
      <c r="J77" s="240"/>
      <c r="K77" s="240"/>
    </row>
    <row r="78" spans="1:11" s="99" customFormat="1" ht="21">
      <c r="A78" s="100" t="s">
        <v>732</v>
      </c>
      <c r="B78" s="101" t="s">
        <v>733</v>
      </c>
      <c r="C78" s="102"/>
      <c r="D78" s="103">
        <v>0</v>
      </c>
      <c r="E78" s="103">
        <v>0</v>
      </c>
      <c r="F78" s="103">
        <v>0</v>
      </c>
      <c r="G78" s="104">
        <v>0</v>
      </c>
      <c r="H78" s="240"/>
      <c r="I78" s="240"/>
      <c r="J78" s="240"/>
      <c r="K78" s="240"/>
    </row>
    <row r="79" spans="1:11" s="99" customFormat="1" ht="42">
      <c r="A79" s="94" t="s">
        <v>734</v>
      </c>
      <c r="B79" s="95" t="s">
        <v>735</v>
      </c>
      <c r="C79" s="96"/>
      <c r="D79" s="97">
        <f>D75+D76</f>
        <v>208532612939</v>
      </c>
      <c r="E79" s="97">
        <f>E75+E76</f>
        <v>3462920925602</v>
      </c>
      <c r="F79" s="97">
        <f>F75+F76</f>
        <v>1064396884453</v>
      </c>
      <c r="G79" s="98">
        <f>G75+G76</f>
        <v>1191215434114</v>
      </c>
      <c r="H79" s="240"/>
      <c r="I79" s="240"/>
      <c r="J79" s="240"/>
      <c r="K79" s="240"/>
    </row>
    <row r="80" spans="1:11" s="99" customFormat="1" ht="21">
      <c r="A80" s="100" t="s">
        <v>736</v>
      </c>
      <c r="B80" s="101" t="s">
        <v>737</v>
      </c>
      <c r="C80" s="102"/>
      <c r="D80" s="103">
        <v>323020359452</v>
      </c>
      <c r="E80" s="103">
        <v>2230802756759</v>
      </c>
      <c r="F80" s="103">
        <v>79731027574</v>
      </c>
      <c r="G80" s="104">
        <v>59664699276</v>
      </c>
      <c r="H80" s="240"/>
      <c r="I80" s="240"/>
      <c r="J80" s="240"/>
      <c r="K80" s="240"/>
    </row>
    <row r="81" spans="1:11" s="99" customFormat="1" ht="21">
      <c r="A81" s="100" t="s">
        <v>738</v>
      </c>
      <c r="B81" s="101" t="s">
        <v>739</v>
      </c>
      <c r="C81" s="102"/>
      <c r="D81" s="103">
        <v>-114487746513</v>
      </c>
      <c r="E81" s="103">
        <v>1232118168843</v>
      </c>
      <c r="F81" s="103">
        <v>984665856879</v>
      </c>
      <c r="G81" s="104">
        <v>1131550734838</v>
      </c>
      <c r="H81" s="240"/>
      <c r="I81" s="240"/>
      <c r="J81" s="240"/>
      <c r="K81" s="240"/>
    </row>
    <row r="82" spans="1:11" s="99" customFormat="1" ht="21">
      <c r="A82" s="94" t="s">
        <v>740</v>
      </c>
      <c r="B82" s="95" t="s">
        <v>741</v>
      </c>
      <c r="C82" s="96"/>
      <c r="D82" s="97">
        <v>0</v>
      </c>
      <c r="E82" s="97">
        <v>0</v>
      </c>
      <c r="F82" s="97">
        <v>0</v>
      </c>
      <c r="G82" s="98">
        <v>0</v>
      </c>
      <c r="H82" s="240"/>
      <c r="I82" s="240"/>
      <c r="J82" s="240"/>
      <c r="K82" s="240"/>
    </row>
    <row r="83" spans="1:11" s="99" customFormat="1" ht="42">
      <c r="A83" s="110" t="s">
        <v>742</v>
      </c>
      <c r="B83" s="111" t="s">
        <v>743</v>
      </c>
      <c r="C83" s="112"/>
      <c r="D83" s="113">
        <f>D79</f>
        <v>208532612939</v>
      </c>
      <c r="E83" s="113">
        <f>E79</f>
        <v>3462920925602</v>
      </c>
      <c r="F83" s="113">
        <f>F79</f>
        <v>1064396884453</v>
      </c>
      <c r="G83" s="114">
        <f>G79</f>
        <v>1191215434114</v>
      </c>
      <c r="H83" s="240"/>
      <c r="I83" s="240"/>
      <c r="J83" s="240"/>
      <c r="K83" s="240"/>
    </row>
    <row r="84" spans="1:11" ht="10.5" customHeight="1">
      <c r="A84" s="82"/>
      <c r="B84" s="277"/>
      <c r="C84" s="277"/>
      <c r="D84" s="277"/>
      <c r="E84" s="277"/>
      <c r="F84" s="277"/>
      <c r="G84" s="277"/>
    </row>
    <row r="85" spans="1:11" ht="10.5" customHeight="1">
      <c r="A85" s="115" t="s">
        <v>606</v>
      </c>
      <c r="B85" s="278" t="s">
        <v>1066</v>
      </c>
      <c r="C85" s="278"/>
      <c r="D85" s="278"/>
      <c r="E85" s="278"/>
      <c r="F85" s="341" t="s">
        <v>228</v>
      </c>
      <c r="G85" s="341"/>
    </row>
    <row r="86" spans="1:11" ht="15" customHeight="1">
      <c r="A86" s="116" t="s">
        <v>607</v>
      </c>
      <c r="B86" s="338" t="s">
        <v>607</v>
      </c>
      <c r="C86" s="338"/>
      <c r="D86" s="338"/>
      <c r="E86" s="338"/>
      <c r="F86" s="339" t="s">
        <v>608</v>
      </c>
      <c r="G86" s="339"/>
    </row>
    <row r="87" spans="1:11" ht="103.5" customHeight="1">
      <c r="A87" s="82"/>
      <c r="B87" s="277"/>
      <c r="C87" s="277"/>
      <c r="D87" s="277"/>
      <c r="E87" s="277"/>
      <c r="F87" s="277"/>
      <c r="G87" s="277"/>
    </row>
    <row r="88" spans="1:11" ht="15.75" customHeight="1">
      <c r="A88" s="115" t="s">
        <v>609</v>
      </c>
      <c r="B88" s="287" t="s">
        <v>1067</v>
      </c>
      <c r="C88" s="287"/>
      <c r="D88" s="287"/>
      <c r="E88" s="287"/>
      <c r="F88" s="287" t="s">
        <v>230</v>
      </c>
      <c r="G88" s="287"/>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39370078740157483" right="0.39370078740157483" top="0.78740157480314965" bottom="0" header="0.51181102362204722" footer="0"/>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9"/>
  <sheetViews>
    <sheetView showGridLines="0" showZeros="0" showOutlineSymbols="0" view="pageBreakPreview" topLeftCell="A4" zoomScaleNormal="100" zoomScaleSheetLayoutView="100" workbookViewId="0">
      <selection activeCell="D127" sqref="D127"/>
    </sheetView>
  </sheetViews>
  <sheetFormatPr defaultColWidth="9.140625" defaultRowHeight="10.5"/>
  <cols>
    <col min="1" max="1" width="5.42578125" style="84" customWidth="1"/>
    <col min="2" max="2" width="43.85546875" style="84" customWidth="1"/>
    <col min="3" max="3" width="9.42578125" style="84" customWidth="1"/>
    <col min="4" max="4" width="8.5703125" style="84" customWidth="1"/>
    <col min="5" max="6" width="20.28515625" style="84" customWidth="1"/>
    <col min="7" max="16384" width="9.140625" style="84"/>
  </cols>
  <sheetData>
    <row r="1" spans="1:6" ht="24.75" customHeight="1">
      <c r="A1" s="277"/>
      <c r="B1" s="277"/>
      <c r="C1" s="278" t="s">
        <v>744</v>
      </c>
      <c r="D1" s="278"/>
      <c r="E1" s="278"/>
      <c r="F1" s="278"/>
    </row>
    <row r="2" spans="1:6" ht="27" customHeight="1">
      <c r="A2" s="279" t="s">
        <v>577</v>
      </c>
      <c r="B2" s="279"/>
      <c r="C2" s="279"/>
      <c r="D2" s="279"/>
      <c r="E2" s="279"/>
      <c r="F2" s="279"/>
    </row>
    <row r="3" spans="1:6" ht="3.75" customHeight="1">
      <c r="A3" s="82"/>
      <c r="B3" s="82"/>
      <c r="C3" s="82"/>
      <c r="D3" s="82"/>
      <c r="E3" s="82"/>
      <c r="F3" s="82"/>
    </row>
    <row r="4" spans="1:6" ht="30.75" customHeight="1">
      <c r="A4" s="280" t="s">
        <v>745</v>
      </c>
      <c r="B4" s="280"/>
      <c r="C4" s="280"/>
      <c r="D4" s="280"/>
      <c r="E4" s="280"/>
      <c r="F4" s="280"/>
    </row>
    <row r="5" spans="1:6" ht="11.25" customHeight="1">
      <c r="A5" s="288" t="s">
        <v>746</v>
      </c>
      <c r="B5" s="288"/>
      <c r="C5" s="288"/>
      <c r="D5" s="288"/>
      <c r="E5" s="288"/>
      <c r="F5" s="288"/>
    </row>
    <row r="6" spans="1:6" ht="5.25" customHeight="1">
      <c r="A6" s="82"/>
      <c r="B6" s="82"/>
      <c r="C6" s="121"/>
      <c r="D6" s="82"/>
      <c r="E6" s="82"/>
      <c r="F6" s="82"/>
    </row>
    <row r="7" spans="1:6" ht="4.5" customHeight="1">
      <c r="A7" s="82"/>
      <c r="B7" s="82"/>
      <c r="C7" s="82"/>
      <c r="D7" s="82"/>
      <c r="E7" s="82"/>
      <c r="F7" s="82"/>
    </row>
    <row r="8" spans="1:6" ht="12.75" customHeight="1">
      <c r="A8" s="276" t="s">
        <v>10</v>
      </c>
      <c r="B8" s="276"/>
      <c r="C8" s="276" t="s">
        <v>11</v>
      </c>
      <c r="D8" s="276"/>
      <c r="E8" s="276"/>
      <c r="F8" s="276"/>
    </row>
    <row r="9" spans="1:6" ht="12.75" customHeight="1">
      <c r="A9" s="277" t="s">
        <v>12</v>
      </c>
      <c r="B9" s="277"/>
      <c r="C9" s="277" t="s">
        <v>13</v>
      </c>
      <c r="D9" s="277"/>
      <c r="E9" s="277"/>
      <c r="F9" s="277"/>
    </row>
    <row r="10" spans="1:6" ht="12.75" customHeight="1">
      <c r="A10" s="276" t="s">
        <v>385</v>
      </c>
      <c r="B10" s="276"/>
      <c r="C10" s="276" t="s">
        <v>16</v>
      </c>
      <c r="D10" s="276"/>
      <c r="E10" s="276"/>
      <c r="F10" s="276"/>
    </row>
    <row r="11" spans="1:6" ht="12.75" customHeight="1">
      <c r="A11" s="277" t="s">
        <v>17</v>
      </c>
      <c r="B11" s="277"/>
      <c r="C11" s="277" t="s">
        <v>18</v>
      </c>
      <c r="D11" s="277"/>
      <c r="E11" s="277"/>
      <c r="F11" s="277"/>
    </row>
    <row r="12" spans="1:6" ht="12.75" customHeight="1">
      <c r="A12" s="276" t="s">
        <v>5</v>
      </c>
      <c r="B12" s="276"/>
      <c r="C12" s="276" t="s">
        <v>6</v>
      </c>
      <c r="D12" s="276"/>
      <c r="E12" s="276"/>
      <c r="F12" s="276"/>
    </row>
    <row r="13" spans="1:6" ht="12.75" customHeight="1">
      <c r="A13" s="277" t="s">
        <v>7</v>
      </c>
      <c r="B13" s="277"/>
      <c r="C13" s="277" t="s">
        <v>8</v>
      </c>
      <c r="D13" s="277"/>
      <c r="E13" s="277"/>
      <c r="F13" s="277"/>
    </row>
    <row r="14" spans="1:6" ht="12.75" customHeight="1">
      <c r="A14" s="276" t="s">
        <v>20</v>
      </c>
      <c r="B14" s="276"/>
      <c r="C14" s="282">
        <v>45477</v>
      </c>
      <c r="D14" s="282"/>
      <c r="E14" s="282"/>
      <c r="F14" s="282"/>
    </row>
    <row r="15" spans="1:6" ht="12.75" customHeight="1">
      <c r="A15" s="277" t="s">
        <v>21</v>
      </c>
      <c r="B15" s="277"/>
      <c r="C15" s="283">
        <v>45477</v>
      </c>
      <c r="D15" s="283"/>
      <c r="E15" s="283"/>
      <c r="F15" s="283"/>
    </row>
    <row r="16" spans="1:6" ht="12.75" customHeight="1">
      <c r="A16" s="89"/>
      <c r="B16" s="89"/>
      <c r="C16" s="89"/>
      <c r="D16" s="89"/>
      <c r="E16" s="89"/>
      <c r="F16" s="122" t="s">
        <v>24</v>
      </c>
    </row>
    <row r="17" spans="1:8" ht="39.75" customHeight="1">
      <c r="A17" s="123" t="s">
        <v>388</v>
      </c>
      <c r="B17" s="124" t="s">
        <v>747</v>
      </c>
      <c r="C17" s="124" t="s">
        <v>614</v>
      </c>
      <c r="D17" s="124" t="s">
        <v>748</v>
      </c>
      <c r="E17" s="125" t="s">
        <v>749</v>
      </c>
      <c r="F17" s="126" t="s">
        <v>750</v>
      </c>
    </row>
    <row r="18" spans="1:8" ht="21">
      <c r="A18" s="127" t="s">
        <v>31</v>
      </c>
      <c r="B18" s="128" t="s">
        <v>751</v>
      </c>
      <c r="C18" s="129" t="s">
        <v>31</v>
      </c>
      <c r="D18" s="129"/>
      <c r="E18" s="130">
        <v>0</v>
      </c>
      <c r="F18" s="131">
        <v>0</v>
      </c>
    </row>
    <row r="19" spans="1:8" ht="21">
      <c r="A19" s="127" t="s">
        <v>4</v>
      </c>
      <c r="B19" s="128" t="s">
        <v>752</v>
      </c>
      <c r="C19" s="129" t="s">
        <v>753</v>
      </c>
      <c r="D19" s="129"/>
      <c r="E19" s="132">
        <f>E20+E25+E26</f>
        <v>139366645417</v>
      </c>
      <c r="F19" s="133">
        <f>F20+F25+F26</f>
        <v>189306388709</v>
      </c>
      <c r="H19" s="134"/>
    </row>
    <row r="20" spans="1:8" ht="21">
      <c r="A20" s="135" t="s">
        <v>754</v>
      </c>
      <c r="B20" s="136" t="s">
        <v>755</v>
      </c>
      <c r="C20" s="137" t="s">
        <v>756</v>
      </c>
      <c r="D20" s="137"/>
      <c r="E20" s="138">
        <f>E21+E22+E23+E24</f>
        <v>139366645417</v>
      </c>
      <c r="F20" s="139">
        <f>F21+F22+F23+F24</f>
        <v>189306388709</v>
      </c>
      <c r="H20" s="134"/>
    </row>
    <row r="21" spans="1:8" ht="24" customHeight="1">
      <c r="A21" s="140"/>
      <c r="B21" s="141" t="s">
        <v>757</v>
      </c>
      <c r="C21" s="142" t="s">
        <v>758</v>
      </c>
      <c r="D21" s="142"/>
      <c r="E21" s="143">
        <v>0</v>
      </c>
      <c r="F21" s="144">
        <v>0</v>
      </c>
      <c r="H21" s="134"/>
    </row>
    <row r="22" spans="1:8" ht="24" customHeight="1">
      <c r="A22" s="140"/>
      <c r="B22" s="141" t="s">
        <v>759</v>
      </c>
      <c r="C22" s="142" t="s">
        <v>760</v>
      </c>
      <c r="D22" s="142"/>
      <c r="E22" s="143">
        <v>0</v>
      </c>
      <c r="F22" s="144">
        <v>0</v>
      </c>
      <c r="H22" s="134"/>
    </row>
    <row r="23" spans="1:8" ht="21">
      <c r="A23" s="140"/>
      <c r="B23" s="141" t="s">
        <v>491</v>
      </c>
      <c r="C23" s="142" t="s">
        <v>761</v>
      </c>
      <c r="D23" s="142"/>
      <c r="E23" s="143">
        <v>139366645417</v>
      </c>
      <c r="F23" s="144">
        <v>189306388709</v>
      </c>
      <c r="H23" s="134"/>
    </row>
    <row r="24" spans="1:8" ht="21">
      <c r="A24" s="140"/>
      <c r="B24" s="141" t="s">
        <v>762</v>
      </c>
      <c r="C24" s="142" t="s">
        <v>763</v>
      </c>
      <c r="D24" s="142"/>
      <c r="E24" s="143">
        <v>0</v>
      </c>
      <c r="F24" s="144">
        <v>0</v>
      </c>
      <c r="H24" s="134"/>
    </row>
    <row r="25" spans="1:8" ht="21">
      <c r="A25" s="135" t="s">
        <v>764</v>
      </c>
      <c r="B25" s="136" t="s">
        <v>765</v>
      </c>
      <c r="C25" s="137" t="s">
        <v>766</v>
      </c>
      <c r="D25" s="137"/>
      <c r="E25" s="138">
        <v>0</v>
      </c>
      <c r="F25" s="139">
        <v>0</v>
      </c>
      <c r="H25" s="134"/>
    </row>
    <row r="26" spans="1:8" ht="21">
      <c r="A26" s="135" t="s">
        <v>767</v>
      </c>
      <c r="B26" s="136" t="s">
        <v>768</v>
      </c>
      <c r="C26" s="137" t="s">
        <v>769</v>
      </c>
      <c r="D26" s="137"/>
      <c r="E26" s="138">
        <v>0</v>
      </c>
      <c r="F26" s="139">
        <v>0</v>
      </c>
      <c r="H26" s="134"/>
    </row>
    <row r="27" spans="1:8" ht="21">
      <c r="A27" s="127" t="s">
        <v>9</v>
      </c>
      <c r="B27" s="128" t="s">
        <v>770</v>
      </c>
      <c r="C27" s="129" t="s">
        <v>771</v>
      </c>
      <c r="D27" s="129"/>
      <c r="E27" s="132">
        <f>E28-E38</f>
        <v>13249026461600</v>
      </c>
      <c r="F27" s="133">
        <f>F28-F38</f>
        <v>13982330862850</v>
      </c>
      <c r="H27" s="134"/>
    </row>
    <row r="28" spans="1:8" ht="21">
      <c r="A28" s="135" t="s">
        <v>772</v>
      </c>
      <c r="B28" s="136" t="s">
        <v>773</v>
      </c>
      <c r="C28" s="137" t="s">
        <v>774</v>
      </c>
      <c r="D28" s="137"/>
      <c r="E28" s="138">
        <f>E29+E30+E31+E32+E33+E34+E35+E36+E37</f>
        <v>13249026461600</v>
      </c>
      <c r="F28" s="139">
        <f>F29+F30+F31+F32+F33+F34+F35+F36+F37</f>
        <v>13982330862850</v>
      </c>
      <c r="H28" s="134"/>
    </row>
    <row r="29" spans="1:8" ht="21">
      <c r="A29" s="140"/>
      <c r="B29" s="141" t="s">
        <v>775</v>
      </c>
      <c r="C29" s="142" t="s">
        <v>776</v>
      </c>
      <c r="D29" s="142"/>
      <c r="E29" s="143">
        <v>13249026461600</v>
      </c>
      <c r="F29" s="144">
        <v>13982330862850</v>
      </c>
      <c r="H29" s="134"/>
    </row>
    <row r="30" spans="1:8" ht="21">
      <c r="A30" s="140"/>
      <c r="B30" s="141" t="s">
        <v>777</v>
      </c>
      <c r="C30" s="142" t="s">
        <v>778</v>
      </c>
      <c r="D30" s="142"/>
      <c r="E30" s="143">
        <v>0</v>
      </c>
      <c r="F30" s="144">
        <v>0</v>
      </c>
      <c r="H30" s="134"/>
    </row>
    <row r="31" spans="1:8" ht="21">
      <c r="A31" s="140"/>
      <c r="B31" s="141" t="s">
        <v>779</v>
      </c>
      <c r="C31" s="142" t="s">
        <v>780</v>
      </c>
      <c r="D31" s="142"/>
      <c r="E31" s="143">
        <v>0</v>
      </c>
      <c r="F31" s="144">
        <v>0</v>
      </c>
      <c r="H31" s="134"/>
    </row>
    <row r="32" spans="1:8" ht="21">
      <c r="A32" s="140"/>
      <c r="B32" s="141" t="s">
        <v>781</v>
      </c>
      <c r="C32" s="142" t="s">
        <v>782</v>
      </c>
      <c r="D32" s="142"/>
      <c r="E32" s="143">
        <v>0</v>
      </c>
      <c r="F32" s="144">
        <v>0</v>
      </c>
      <c r="H32" s="134"/>
    </row>
    <row r="33" spans="1:8" ht="21">
      <c r="A33" s="140"/>
      <c r="B33" s="141" t="s">
        <v>783</v>
      </c>
      <c r="C33" s="142" t="s">
        <v>784</v>
      </c>
      <c r="D33" s="142"/>
      <c r="E33" s="143">
        <v>0</v>
      </c>
      <c r="F33" s="144">
        <v>0</v>
      </c>
      <c r="H33" s="134"/>
    </row>
    <row r="34" spans="1:8" ht="21">
      <c r="A34" s="140"/>
      <c r="B34" s="141" t="s">
        <v>785</v>
      </c>
      <c r="C34" s="142" t="s">
        <v>786</v>
      </c>
      <c r="D34" s="142"/>
      <c r="E34" s="143">
        <v>0</v>
      </c>
      <c r="F34" s="144">
        <v>0</v>
      </c>
      <c r="H34" s="134"/>
    </row>
    <row r="35" spans="1:8" ht="21">
      <c r="A35" s="140"/>
      <c r="B35" s="141" t="s">
        <v>456</v>
      </c>
      <c r="C35" s="142" t="s">
        <v>787</v>
      </c>
      <c r="D35" s="142"/>
      <c r="E35" s="143">
        <v>0</v>
      </c>
      <c r="F35" s="144">
        <v>0</v>
      </c>
      <c r="H35" s="134"/>
    </row>
    <row r="36" spans="1:8" ht="21">
      <c r="A36" s="140"/>
      <c r="B36" s="141" t="s">
        <v>788</v>
      </c>
      <c r="C36" s="142" t="s">
        <v>789</v>
      </c>
      <c r="D36" s="142"/>
      <c r="E36" s="143">
        <v>0</v>
      </c>
      <c r="F36" s="144">
        <v>0</v>
      </c>
      <c r="H36" s="134"/>
    </row>
    <row r="37" spans="1:8" ht="21">
      <c r="A37" s="140"/>
      <c r="B37" s="141" t="s">
        <v>70</v>
      </c>
      <c r="C37" s="142" t="s">
        <v>790</v>
      </c>
      <c r="D37" s="142"/>
      <c r="E37" s="143">
        <v>0</v>
      </c>
      <c r="F37" s="144">
        <v>0</v>
      </c>
      <c r="H37" s="134"/>
    </row>
    <row r="38" spans="1:8" ht="21">
      <c r="A38" s="135" t="s">
        <v>791</v>
      </c>
      <c r="B38" s="136" t="s">
        <v>792</v>
      </c>
      <c r="C38" s="137" t="s">
        <v>793</v>
      </c>
      <c r="D38" s="137"/>
      <c r="E38" s="138">
        <v>0</v>
      </c>
      <c r="F38" s="139">
        <v>0</v>
      </c>
      <c r="H38" s="134"/>
    </row>
    <row r="39" spans="1:8" ht="21">
      <c r="A39" s="127" t="s">
        <v>14</v>
      </c>
      <c r="B39" s="128" t="s">
        <v>794</v>
      </c>
      <c r="C39" s="129" t="s">
        <v>795</v>
      </c>
      <c r="D39" s="129"/>
      <c r="E39" s="132">
        <f>E40+E42+E56-E65</f>
        <v>61861987000</v>
      </c>
      <c r="F39" s="133">
        <f>F40+F42+F56-F65</f>
        <v>103510679312</v>
      </c>
      <c r="H39" s="134"/>
    </row>
    <row r="40" spans="1:8" ht="22.5" customHeight="1">
      <c r="A40" s="135" t="s">
        <v>796</v>
      </c>
      <c r="B40" s="136" t="s">
        <v>797</v>
      </c>
      <c r="C40" s="137" t="s">
        <v>798</v>
      </c>
      <c r="D40" s="137"/>
      <c r="E40" s="138">
        <v>51833950000</v>
      </c>
      <c r="F40" s="139">
        <v>0</v>
      </c>
      <c r="H40" s="134"/>
    </row>
    <row r="41" spans="1:8" ht="22.5" customHeight="1">
      <c r="A41" s="135"/>
      <c r="B41" s="136" t="s">
        <v>799</v>
      </c>
      <c r="C41" s="137" t="s">
        <v>800</v>
      </c>
      <c r="D41" s="137"/>
      <c r="E41" s="138">
        <v>0</v>
      </c>
      <c r="F41" s="139">
        <v>0</v>
      </c>
      <c r="H41" s="134"/>
    </row>
    <row r="42" spans="1:8" ht="22.5" customHeight="1">
      <c r="A42" s="135" t="s">
        <v>801</v>
      </c>
      <c r="B42" s="136" t="s">
        <v>802</v>
      </c>
      <c r="C42" s="137" t="s">
        <v>803</v>
      </c>
      <c r="D42" s="137"/>
      <c r="E42" s="138">
        <f>E43+E49+E50</f>
        <v>10028037000</v>
      </c>
      <c r="F42" s="139">
        <f>F43+F49+F50</f>
        <v>103510679312</v>
      </c>
      <c r="H42" s="134"/>
    </row>
    <row r="43" spans="1:8" ht="22.5" customHeight="1">
      <c r="A43" s="135" t="s">
        <v>804</v>
      </c>
      <c r="B43" s="136" t="s">
        <v>805</v>
      </c>
      <c r="C43" s="137" t="s">
        <v>806</v>
      </c>
      <c r="D43" s="137"/>
      <c r="E43" s="138">
        <f>E44+E45+E46+E47+E48</f>
        <v>0</v>
      </c>
      <c r="F43" s="139">
        <f>F44+F45+F46+F47+F48</f>
        <v>0</v>
      </c>
      <c r="H43" s="134"/>
    </row>
    <row r="44" spans="1:8" ht="21">
      <c r="A44" s="140"/>
      <c r="B44" s="141" t="s">
        <v>807</v>
      </c>
      <c r="C44" s="142" t="s">
        <v>808</v>
      </c>
      <c r="D44" s="142"/>
      <c r="E44" s="143">
        <v>0</v>
      </c>
      <c r="F44" s="144">
        <v>0</v>
      </c>
      <c r="H44" s="134"/>
    </row>
    <row r="45" spans="1:8" ht="21">
      <c r="A45" s="140"/>
      <c r="B45" s="141" t="s">
        <v>809</v>
      </c>
      <c r="C45" s="142" t="s">
        <v>810</v>
      </c>
      <c r="D45" s="142"/>
      <c r="E45" s="143">
        <v>0</v>
      </c>
      <c r="F45" s="144">
        <v>0</v>
      </c>
      <c r="H45" s="134"/>
    </row>
    <row r="46" spans="1:8" ht="31.5">
      <c r="A46" s="140"/>
      <c r="B46" s="141" t="s">
        <v>811</v>
      </c>
      <c r="C46" s="142" t="s">
        <v>812</v>
      </c>
      <c r="D46" s="142"/>
      <c r="E46" s="143">
        <v>0</v>
      </c>
      <c r="F46" s="144">
        <v>0</v>
      </c>
      <c r="H46" s="134"/>
    </row>
    <row r="47" spans="1:8" ht="31.5">
      <c r="A47" s="140"/>
      <c r="B47" s="141" t="s">
        <v>813</v>
      </c>
      <c r="C47" s="142" t="s">
        <v>814</v>
      </c>
      <c r="D47" s="142"/>
      <c r="E47" s="143">
        <v>0</v>
      </c>
      <c r="F47" s="144">
        <v>0</v>
      </c>
      <c r="H47" s="134"/>
    </row>
    <row r="48" spans="1:8" ht="21">
      <c r="A48" s="140"/>
      <c r="B48" s="141" t="s">
        <v>815</v>
      </c>
      <c r="C48" s="142" t="s">
        <v>816</v>
      </c>
      <c r="D48" s="142"/>
      <c r="E48" s="143">
        <v>0</v>
      </c>
      <c r="F48" s="144">
        <v>0</v>
      </c>
      <c r="H48" s="134"/>
    </row>
    <row r="49" spans="1:8" ht="33" customHeight="1">
      <c r="A49" s="135"/>
      <c r="B49" s="136" t="s">
        <v>817</v>
      </c>
      <c r="C49" s="137" t="s">
        <v>818</v>
      </c>
      <c r="D49" s="137"/>
      <c r="E49" s="138">
        <v>0</v>
      </c>
      <c r="F49" s="139">
        <v>0</v>
      </c>
      <c r="H49" s="134"/>
    </row>
    <row r="50" spans="1:8" ht="24" customHeight="1">
      <c r="A50" s="135" t="s">
        <v>819</v>
      </c>
      <c r="B50" s="136" t="s">
        <v>820</v>
      </c>
      <c r="C50" s="137" t="s">
        <v>821</v>
      </c>
      <c r="D50" s="137"/>
      <c r="E50" s="138">
        <f>E51+E52+E53+E54+E55</f>
        <v>10028037000</v>
      </c>
      <c r="F50" s="139">
        <f>F51+F52+F53+F54+F55</f>
        <v>103510679312</v>
      </c>
      <c r="H50" s="134"/>
    </row>
    <row r="51" spans="1:8" ht="21">
      <c r="A51" s="140"/>
      <c r="B51" s="141" t="s">
        <v>822</v>
      </c>
      <c r="C51" s="142" t="s">
        <v>823</v>
      </c>
      <c r="D51" s="142"/>
      <c r="E51" s="143">
        <v>10028037000</v>
      </c>
      <c r="F51" s="144">
        <v>103510679312</v>
      </c>
      <c r="H51" s="134"/>
    </row>
    <row r="52" spans="1:8" ht="21">
      <c r="A52" s="140"/>
      <c r="B52" s="141" t="s">
        <v>824</v>
      </c>
      <c r="C52" s="142" t="s">
        <v>825</v>
      </c>
      <c r="D52" s="142"/>
      <c r="E52" s="143">
        <v>0</v>
      </c>
      <c r="F52" s="144">
        <v>0</v>
      </c>
      <c r="H52" s="134"/>
    </row>
    <row r="53" spans="1:8" ht="31.5">
      <c r="A53" s="140"/>
      <c r="B53" s="141" t="s">
        <v>826</v>
      </c>
      <c r="C53" s="142" t="s">
        <v>827</v>
      </c>
      <c r="D53" s="142"/>
      <c r="E53" s="143">
        <v>0</v>
      </c>
      <c r="F53" s="144">
        <v>0</v>
      </c>
      <c r="H53" s="134"/>
    </row>
    <row r="54" spans="1:8" ht="31.5">
      <c r="A54" s="140"/>
      <c r="B54" s="141" t="s">
        <v>828</v>
      </c>
      <c r="C54" s="142" t="s">
        <v>829</v>
      </c>
      <c r="D54" s="142"/>
      <c r="E54" s="143">
        <v>0</v>
      </c>
      <c r="F54" s="144">
        <v>0</v>
      </c>
      <c r="H54" s="134"/>
    </row>
    <row r="55" spans="1:8" ht="21">
      <c r="A55" s="140"/>
      <c r="B55" s="141" t="s">
        <v>830</v>
      </c>
      <c r="C55" s="142" t="s">
        <v>831</v>
      </c>
      <c r="D55" s="142"/>
      <c r="E55" s="143">
        <v>0</v>
      </c>
      <c r="F55" s="144">
        <v>0</v>
      </c>
      <c r="H55" s="134"/>
    </row>
    <row r="56" spans="1:8" ht="21">
      <c r="A56" s="135" t="s">
        <v>832</v>
      </c>
      <c r="B56" s="136" t="s">
        <v>833</v>
      </c>
      <c r="C56" s="137" t="s">
        <v>834</v>
      </c>
      <c r="D56" s="137"/>
      <c r="E56" s="138">
        <f>E57+E58+E64</f>
        <v>0</v>
      </c>
      <c r="F56" s="139">
        <f>F57+F58+F64</f>
        <v>0</v>
      </c>
      <c r="H56" s="134"/>
    </row>
    <row r="57" spans="1:8" ht="42">
      <c r="A57" s="140"/>
      <c r="B57" s="141" t="s">
        <v>835</v>
      </c>
      <c r="C57" s="142" t="s">
        <v>836</v>
      </c>
      <c r="D57" s="142"/>
      <c r="E57" s="143">
        <v>0</v>
      </c>
      <c r="F57" s="144">
        <v>0</v>
      </c>
      <c r="H57" s="134"/>
    </row>
    <row r="58" spans="1:8" ht="21">
      <c r="A58" s="140"/>
      <c r="B58" s="141" t="s">
        <v>463</v>
      </c>
      <c r="C58" s="142" t="s">
        <v>837</v>
      </c>
      <c r="D58" s="142"/>
      <c r="E58" s="143">
        <f>E59+E60+E61+E62+E63</f>
        <v>0</v>
      </c>
      <c r="F58" s="144">
        <f>F59+F60+F61+F62+F63</f>
        <v>0</v>
      </c>
      <c r="H58" s="134"/>
    </row>
    <row r="59" spans="1:8" ht="21">
      <c r="A59" s="140"/>
      <c r="B59" s="141" t="s">
        <v>477</v>
      </c>
      <c r="C59" s="142" t="s">
        <v>838</v>
      </c>
      <c r="D59" s="142"/>
      <c r="E59" s="143">
        <v>0</v>
      </c>
      <c r="F59" s="144">
        <v>0</v>
      </c>
      <c r="H59" s="134"/>
    </row>
    <row r="60" spans="1:8" ht="21">
      <c r="A60" s="140"/>
      <c r="B60" s="141" t="s">
        <v>839</v>
      </c>
      <c r="C60" s="142" t="s">
        <v>840</v>
      </c>
      <c r="D60" s="142"/>
      <c r="E60" s="143">
        <v>0</v>
      </c>
      <c r="F60" s="144">
        <v>0</v>
      </c>
      <c r="H60" s="134"/>
    </row>
    <row r="61" spans="1:8" ht="21">
      <c r="A61" s="140"/>
      <c r="B61" s="141" t="s">
        <v>841</v>
      </c>
      <c r="C61" s="142" t="s">
        <v>842</v>
      </c>
      <c r="D61" s="142"/>
      <c r="E61" s="143">
        <v>0</v>
      </c>
      <c r="F61" s="144">
        <v>0</v>
      </c>
      <c r="H61" s="134"/>
    </row>
    <row r="62" spans="1:8" ht="31.5">
      <c r="A62" s="140"/>
      <c r="B62" s="141" t="s">
        <v>483</v>
      </c>
      <c r="C62" s="142" t="s">
        <v>843</v>
      </c>
      <c r="D62" s="142"/>
      <c r="E62" s="143">
        <v>0</v>
      </c>
      <c r="F62" s="144">
        <v>0</v>
      </c>
      <c r="H62" s="134"/>
    </row>
    <row r="63" spans="1:8" ht="21">
      <c r="A63" s="135"/>
      <c r="B63" s="136" t="s">
        <v>844</v>
      </c>
      <c r="C63" s="137" t="s">
        <v>845</v>
      </c>
      <c r="D63" s="137"/>
      <c r="E63" s="138">
        <v>0</v>
      </c>
      <c r="F63" s="139">
        <v>0</v>
      </c>
      <c r="H63" s="134"/>
    </row>
    <row r="64" spans="1:8" ht="21">
      <c r="A64" s="135"/>
      <c r="B64" s="136" t="s">
        <v>846</v>
      </c>
      <c r="C64" s="137" t="s">
        <v>847</v>
      </c>
      <c r="D64" s="137"/>
      <c r="E64" s="138">
        <v>0</v>
      </c>
      <c r="F64" s="139">
        <v>0</v>
      </c>
      <c r="H64" s="134"/>
    </row>
    <row r="65" spans="1:8" ht="21">
      <c r="A65" s="135" t="s">
        <v>848</v>
      </c>
      <c r="B65" s="136" t="s">
        <v>849</v>
      </c>
      <c r="C65" s="137" t="s">
        <v>850</v>
      </c>
      <c r="D65" s="137"/>
      <c r="E65" s="138">
        <v>0</v>
      </c>
      <c r="F65" s="139">
        <v>0</v>
      </c>
      <c r="H65" s="134"/>
    </row>
    <row r="66" spans="1:8" ht="21">
      <c r="A66" s="127"/>
      <c r="B66" s="128" t="s">
        <v>851</v>
      </c>
      <c r="C66" s="129" t="s">
        <v>852</v>
      </c>
      <c r="D66" s="129"/>
      <c r="E66" s="132">
        <f>E19+E27+E39</f>
        <v>13450255094017</v>
      </c>
      <c r="F66" s="133">
        <f>F19+F27+F39</f>
        <v>14275147930871</v>
      </c>
      <c r="H66" s="134"/>
    </row>
    <row r="67" spans="1:8" ht="21">
      <c r="A67" s="127" t="s">
        <v>121</v>
      </c>
      <c r="B67" s="128" t="s">
        <v>853</v>
      </c>
      <c r="C67" s="129" t="s">
        <v>121</v>
      </c>
      <c r="D67" s="129"/>
      <c r="E67" s="132">
        <v>0</v>
      </c>
      <c r="F67" s="133">
        <v>0</v>
      </c>
      <c r="H67" s="134"/>
    </row>
    <row r="68" spans="1:8" ht="21">
      <c r="A68" s="135" t="s">
        <v>4</v>
      </c>
      <c r="B68" s="136" t="s">
        <v>854</v>
      </c>
      <c r="C68" s="137" t="s">
        <v>855</v>
      </c>
      <c r="D68" s="137"/>
      <c r="E68" s="138">
        <v>0</v>
      </c>
      <c r="F68" s="139">
        <v>0</v>
      </c>
      <c r="H68" s="134"/>
    </row>
    <row r="69" spans="1:8" ht="21">
      <c r="A69" s="135"/>
      <c r="B69" s="136" t="s">
        <v>856</v>
      </c>
      <c r="C69" s="137" t="s">
        <v>857</v>
      </c>
      <c r="D69" s="137"/>
      <c r="E69" s="138">
        <v>0</v>
      </c>
      <c r="F69" s="139">
        <v>0</v>
      </c>
      <c r="H69" s="134"/>
    </row>
    <row r="70" spans="1:8" ht="21">
      <c r="A70" s="135"/>
      <c r="B70" s="136" t="s">
        <v>858</v>
      </c>
      <c r="C70" s="137" t="s">
        <v>859</v>
      </c>
      <c r="D70" s="137"/>
      <c r="E70" s="138">
        <v>0</v>
      </c>
      <c r="F70" s="139">
        <v>0</v>
      </c>
      <c r="H70" s="134"/>
    </row>
    <row r="71" spans="1:8" ht="21">
      <c r="A71" s="135" t="s">
        <v>9</v>
      </c>
      <c r="B71" s="136" t="s">
        <v>860</v>
      </c>
      <c r="C71" s="137" t="s">
        <v>861</v>
      </c>
      <c r="D71" s="137"/>
      <c r="E71" s="138">
        <v>52308950000</v>
      </c>
      <c r="F71" s="139">
        <v>32518960000</v>
      </c>
      <c r="H71" s="134"/>
    </row>
    <row r="72" spans="1:8" ht="42">
      <c r="A72" s="135" t="s">
        <v>14</v>
      </c>
      <c r="B72" s="136" t="s">
        <v>862</v>
      </c>
      <c r="C72" s="137" t="s">
        <v>863</v>
      </c>
      <c r="D72" s="137"/>
      <c r="E72" s="138">
        <f>E73+E74</f>
        <v>0</v>
      </c>
      <c r="F72" s="139">
        <f>F73+F74</f>
        <v>0</v>
      </c>
      <c r="H72" s="134"/>
    </row>
    <row r="73" spans="1:8" ht="21">
      <c r="A73" s="140"/>
      <c r="B73" s="141" t="s">
        <v>864</v>
      </c>
      <c r="C73" s="142" t="s">
        <v>865</v>
      </c>
      <c r="D73" s="142"/>
      <c r="E73" s="143">
        <v>0</v>
      </c>
      <c r="F73" s="144">
        <v>0</v>
      </c>
      <c r="H73" s="134"/>
    </row>
    <row r="74" spans="1:8" ht="33.75" customHeight="1">
      <c r="A74" s="140"/>
      <c r="B74" s="141" t="s">
        <v>866</v>
      </c>
      <c r="C74" s="142" t="s">
        <v>867</v>
      </c>
      <c r="D74" s="142"/>
      <c r="E74" s="143">
        <v>0</v>
      </c>
      <c r="F74" s="144">
        <v>0</v>
      </c>
      <c r="H74" s="134"/>
    </row>
    <row r="75" spans="1:8" ht="21">
      <c r="A75" s="135" t="s">
        <v>19</v>
      </c>
      <c r="B75" s="136" t="s">
        <v>868</v>
      </c>
      <c r="C75" s="137" t="s">
        <v>869</v>
      </c>
      <c r="D75" s="137"/>
      <c r="E75" s="138">
        <v>0</v>
      </c>
      <c r="F75" s="139">
        <v>0</v>
      </c>
      <c r="H75" s="134"/>
    </row>
    <row r="76" spans="1:8" ht="21">
      <c r="A76" s="135" t="s">
        <v>287</v>
      </c>
      <c r="B76" s="136" t="s">
        <v>870</v>
      </c>
      <c r="C76" s="137" t="s">
        <v>871</v>
      </c>
      <c r="D76" s="137"/>
      <c r="E76" s="138">
        <v>0</v>
      </c>
      <c r="F76" s="139">
        <v>0</v>
      </c>
      <c r="H76" s="134"/>
    </row>
    <row r="77" spans="1:8" ht="21">
      <c r="A77" s="135" t="s">
        <v>289</v>
      </c>
      <c r="B77" s="136" t="s">
        <v>872</v>
      </c>
      <c r="C77" s="137" t="s">
        <v>873</v>
      </c>
      <c r="D77" s="137"/>
      <c r="E77" s="138">
        <f>E78+E79+E80+E81+E82+E83+E84</f>
        <v>326148193</v>
      </c>
      <c r="F77" s="139">
        <f>F78+F79+F80+F81+F82+F83+F84</f>
        <v>192728683</v>
      </c>
      <c r="H77" s="134"/>
    </row>
    <row r="78" spans="1:8" ht="21">
      <c r="A78" s="140"/>
      <c r="B78" s="141" t="s">
        <v>874</v>
      </c>
      <c r="C78" s="142" t="s">
        <v>875</v>
      </c>
      <c r="D78" s="142"/>
      <c r="E78" s="143">
        <v>156214350</v>
      </c>
      <c r="F78" s="144">
        <v>48778440</v>
      </c>
      <c r="H78" s="134"/>
    </row>
    <row r="79" spans="1:8" ht="21">
      <c r="A79" s="140"/>
      <c r="B79" s="141" t="s">
        <v>876</v>
      </c>
      <c r="C79" s="142" t="s">
        <v>877</v>
      </c>
      <c r="D79" s="142"/>
      <c r="E79" s="143">
        <v>156458460</v>
      </c>
      <c r="F79" s="144">
        <v>131212560</v>
      </c>
      <c r="H79" s="134"/>
    </row>
    <row r="80" spans="1:8" ht="21">
      <c r="A80" s="140"/>
      <c r="B80" s="141" t="s">
        <v>878</v>
      </c>
      <c r="C80" s="142" t="s">
        <v>879</v>
      </c>
      <c r="D80" s="142"/>
      <c r="E80" s="143">
        <v>0</v>
      </c>
      <c r="F80" s="144">
        <v>0</v>
      </c>
      <c r="H80" s="134"/>
    </row>
    <row r="81" spans="1:8" ht="21">
      <c r="A81" s="140"/>
      <c r="B81" s="141" t="s">
        <v>880</v>
      </c>
      <c r="C81" s="142" t="s">
        <v>881</v>
      </c>
      <c r="D81" s="142"/>
      <c r="E81" s="143">
        <v>0</v>
      </c>
      <c r="F81" s="144">
        <v>0</v>
      </c>
      <c r="H81" s="134"/>
    </row>
    <row r="82" spans="1:8" ht="31.5">
      <c r="A82" s="140"/>
      <c r="B82" s="141" t="s">
        <v>882</v>
      </c>
      <c r="C82" s="142" t="s">
        <v>883</v>
      </c>
      <c r="D82" s="142"/>
      <c r="E82" s="143">
        <v>13475383</v>
      </c>
      <c r="F82" s="144">
        <v>12737683</v>
      </c>
      <c r="H82" s="134"/>
    </row>
    <row r="83" spans="1:8" ht="21">
      <c r="A83" s="140"/>
      <c r="B83" s="141" t="s">
        <v>884</v>
      </c>
      <c r="C83" s="142" t="s">
        <v>885</v>
      </c>
      <c r="D83" s="142"/>
      <c r="E83" s="143">
        <v>0</v>
      </c>
      <c r="F83" s="144">
        <v>0</v>
      </c>
      <c r="H83" s="134"/>
    </row>
    <row r="84" spans="1:8" ht="21">
      <c r="A84" s="140"/>
      <c r="B84" s="141" t="s">
        <v>886</v>
      </c>
      <c r="C84" s="142" t="s">
        <v>887</v>
      </c>
      <c r="D84" s="142"/>
      <c r="E84" s="143">
        <v>0</v>
      </c>
      <c r="F84" s="144">
        <v>0</v>
      </c>
      <c r="H84" s="134"/>
    </row>
    <row r="85" spans="1:8" ht="21">
      <c r="A85" s="135" t="s">
        <v>292</v>
      </c>
      <c r="B85" s="136" t="s">
        <v>888</v>
      </c>
      <c r="C85" s="137" t="s">
        <v>889</v>
      </c>
      <c r="D85" s="137"/>
      <c r="E85" s="138">
        <v>0</v>
      </c>
      <c r="F85" s="139">
        <v>0</v>
      </c>
      <c r="H85" s="134"/>
    </row>
    <row r="86" spans="1:8" ht="21">
      <c r="A86" s="135" t="s">
        <v>301</v>
      </c>
      <c r="B86" s="136" t="s">
        <v>890</v>
      </c>
      <c r="C86" s="137" t="s">
        <v>891</v>
      </c>
      <c r="D86" s="137"/>
      <c r="E86" s="138">
        <v>18509020595</v>
      </c>
      <c r="F86" s="139">
        <v>1035152235</v>
      </c>
      <c r="H86" s="134"/>
    </row>
    <row r="87" spans="1:8" ht="21">
      <c r="A87" s="135" t="s">
        <v>314</v>
      </c>
      <c r="B87" s="136" t="s">
        <v>892</v>
      </c>
      <c r="C87" s="137" t="s">
        <v>893</v>
      </c>
      <c r="D87" s="137"/>
      <c r="E87" s="138">
        <f>E88+E89+E94+E95+E96+E97+E98+E99</f>
        <v>19419256266</v>
      </c>
      <c r="F87" s="139">
        <f>F88+F89+F94+F95+F96+F97+F98+F99</f>
        <v>17865391093</v>
      </c>
      <c r="H87" s="134"/>
    </row>
    <row r="88" spans="1:8" ht="21">
      <c r="A88" s="140" t="s">
        <v>894</v>
      </c>
      <c r="B88" s="141" t="s">
        <v>895</v>
      </c>
      <c r="C88" s="142" t="s">
        <v>896</v>
      </c>
      <c r="D88" s="142"/>
      <c r="E88" s="143">
        <v>9416764896</v>
      </c>
      <c r="F88" s="144">
        <v>9556921524</v>
      </c>
      <c r="H88" s="134"/>
    </row>
    <row r="89" spans="1:8" ht="21">
      <c r="A89" s="140" t="s">
        <v>897</v>
      </c>
      <c r="B89" s="141" t="s">
        <v>898</v>
      </c>
      <c r="C89" s="142" t="s">
        <v>899</v>
      </c>
      <c r="D89" s="142"/>
      <c r="E89" s="143">
        <f>E90+E91+E92</f>
        <v>243419120</v>
      </c>
      <c r="F89" s="144">
        <f>F90+F91+F92</f>
        <v>250123037</v>
      </c>
      <c r="H89" s="134"/>
    </row>
    <row r="90" spans="1:8" ht="21">
      <c r="A90" s="140"/>
      <c r="B90" s="141" t="s">
        <v>900</v>
      </c>
      <c r="C90" s="142" t="s">
        <v>901</v>
      </c>
      <c r="D90" s="142"/>
      <c r="E90" s="143">
        <v>235419120</v>
      </c>
      <c r="F90" s="144">
        <v>238923037</v>
      </c>
      <c r="H90" s="134"/>
    </row>
    <row r="91" spans="1:8" ht="21">
      <c r="A91" s="140"/>
      <c r="B91" s="141" t="s">
        <v>902</v>
      </c>
      <c r="C91" s="142" t="s">
        <v>903</v>
      </c>
      <c r="D91" s="142"/>
      <c r="E91" s="143">
        <v>8000000</v>
      </c>
      <c r="F91" s="144">
        <v>11200000</v>
      </c>
      <c r="H91" s="134"/>
    </row>
    <row r="92" spans="1:8" ht="21">
      <c r="A92" s="140"/>
      <c r="B92" s="141" t="s">
        <v>904</v>
      </c>
      <c r="C92" s="142" t="s">
        <v>905</v>
      </c>
      <c r="D92" s="142"/>
      <c r="E92" s="143">
        <v>0</v>
      </c>
      <c r="F92" s="144">
        <v>0</v>
      </c>
      <c r="H92" s="134"/>
    </row>
    <row r="93" spans="1:8" ht="42">
      <c r="A93" s="140"/>
      <c r="B93" s="141" t="s">
        <v>906</v>
      </c>
      <c r="C93" s="142" t="s">
        <v>907</v>
      </c>
      <c r="D93" s="142"/>
      <c r="E93" s="143">
        <v>0</v>
      </c>
      <c r="F93" s="144">
        <v>0</v>
      </c>
      <c r="H93" s="134"/>
    </row>
    <row r="94" spans="1:8" ht="21">
      <c r="A94" s="140" t="s">
        <v>908</v>
      </c>
      <c r="B94" s="141" t="s">
        <v>909</v>
      </c>
      <c r="C94" s="142" t="s">
        <v>910</v>
      </c>
      <c r="D94" s="142"/>
      <c r="E94" s="143">
        <v>258961032</v>
      </c>
      <c r="F94" s="144">
        <v>262815341</v>
      </c>
      <c r="H94" s="134"/>
    </row>
    <row r="95" spans="1:8" ht="21">
      <c r="A95" s="140" t="s">
        <v>911</v>
      </c>
      <c r="B95" s="141" t="s">
        <v>912</v>
      </c>
      <c r="C95" s="142" t="s">
        <v>913</v>
      </c>
      <c r="D95" s="142"/>
      <c r="E95" s="143">
        <v>517922071</v>
      </c>
      <c r="F95" s="144">
        <v>525630683</v>
      </c>
      <c r="H95" s="134"/>
    </row>
    <row r="96" spans="1:8" ht="21">
      <c r="A96" s="140" t="s">
        <v>914</v>
      </c>
      <c r="B96" s="141" t="s">
        <v>915</v>
      </c>
      <c r="C96" s="142" t="s">
        <v>916</v>
      </c>
      <c r="D96" s="142"/>
      <c r="E96" s="143">
        <v>16500000</v>
      </c>
      <c r="F96" s="144">
        <v>11000000</v>
      </c>
      <c r="H96" s="134"/>
    </row>
    <row r="97" spans="1:8" ht="21.75" customHeight="1">
      <c r="A97" s="140" t="s">
        <v>917</v>
      </c>
      <c r="B97" s="141" t="s">
        <v>918</v>
      </c>
      <c r="C97" s="142" t="s">
        <v>919</v>
      </c>
      <c r="D97" s="142"/>
      <c r="E97" s="143">
        <v>3946418280</v>
      </c>
      <c r="F97" s="144">
        <v>3357870473</v>
      </c>
      <c r="H97" s="134"/>
    </row>
    <row r="98" spans="1:8" ht="21.75" customHeight="1">
      <c r="A98" s="140" t="s">
        <v>920</v>
      </c>
      <c r="B98" s="141" t="s">
        <v>921</v>
      </c>
      <c r="C98" s="142" t="s">
        <v>922</v>
      </c>
      <c r="D98" s="142"/>
      <c r="E98" s="143">
        <v>3157134623</v>
      </c>
      <c r="F98" s="144">
        <v>2686296377</v>
      </c>
      <c r="H98" s="134"/>
    </row>
    <row r="99" spans="1:8" ht="21">
      <c r="A99" s="140" t="s">
        <v>920</v>
      </c>
      <c r="B99" s="141" t="s">
        <v>923</v>
      </c>
      <c r="C99" s="142" t="s">
        <v>924</v>
      </c>
      <c r="D99" s="142"/>
      <c r="E99" s="143">
        <v>1862136244</v>
      </c>
      <c r="F99" s="144">
        <v>1214733658</v>
      </c>
      <c r="H99" s="134"/>
    </row>
    <row r="100" spans="1:8" ht="21">
      <c r="A100" s="135" t="s">
        <v>321</v>
      </c>
      <c r="B100" s="136" t="s">
        <v>925</v>
      </c>
      <c r="C100" s="137" t="s">
        <v>926</v>
      </c>
      <c r="D100" s="137"/>
      <c r="E100" s="138">
        <f>E101+E102+E103</f>
        <v>0</v>
      </c>
      <c r="F100" s="139">
        <f>F101+F102+F103</f>
        <v>0</v>
      </c>
      <c r="H100" s="134"/>
    </row>
    <row r="101" spans="1:8" ht="21">
      <c r="A101" s="140" t="s">
        <v>927</v>
      </c>
      <c r="B101" s="141" t="s">
        <v>928</v>
      </c>
      <c r="C101" s="142" t="s">
        <v>929</v>
      </c>
      <c r="D101" s="142"/>
      <c r="E101" s="143">
        <v>0</v>
      </c>
      <c r="F101" s="144">
        <v>0</v>
      </c>
      <c r="H101" s="134"/>
    </row>
    <row r="102" spans="1:8" ht="31.5">
      <c r="A102" s="140" t="s">
        <v>930</v>
      </c>
      <c r="B102" s="141" t="s">
        <v>931</v>
      </c>
      <c r="C102" s="142" t="s">
        <v>932</v>
      </c>
      <c r="D102" s="142"/>
      <c r="E102" s="143">
        <v>0</v>
      </c>
      <c r="F102" s="144">
        <v>0</v>
      </c>
      <c r="H102" s="134"/>
    </row>
    <row r="103" spans="1:8" ht="21">
      <c r="A103" s="140" t="s">
        <v>933</v>
      </c>
      <c r="B103" s="141" t="s">
        <v>934</v>
      </c>
      <c r="C103" s="142" t="s">
        <v>935</v>
      </c>
      <c r="D103" s="142"/>
      <c r="E103" s="143">
        <f>E104+E105+E106+E107+E108</f>
        <v>0</v>
      </c>
      <c r="F103" s="144">
        <f>F104+F105+F106+F107+F108</f>
        <v>0</v>
      </c>
      <c r="H103" s="134"/>
    </row>
    <row r="104" spans="1:8" ht="21">
      <c r="A104" s="140"/>
      <c r="B104" s="141" t="s">
        <v>936</v>
      </c>
      <c r="C104" s="142" t="s">
        <v>937</v>
      </c>
      <c r="D104" s="142"/>
      <c r="E104" s="143">
        <v>0</v>
      </c>
      <c r="F104" s="144">
        <v>0</v>
      </c>
      <c r="H104" s="134"/>
    </row>
    <row r="105" spans="1:8" ht="21">
      <c r="A105" s="140"/>
      <c r="B105" s="141" t="s">
        <v>938</v>
      </c>
      <c r="C105" s="142" t="s">
        <v>939</v>
      </c>
      <c r="D105" s="142"/>
      <c r="E105" s="143">
        <v>0</v>
      </c>
      <c r="F105" s="144">
        <v>0</v>
      </c>
      <c r="H105" s="134"/>
    </row>
    <row r="106" spans="1:8" ht="21">
      <c r="A106" s="135"/>
      <c r="B106" s="136" t="s">
        <v>940</v>
      </c>
      <c r="C106" s="137" t="s">
        <v>941</v>
      </c>
      <c r="D106" s="137"/>
      <c r="E106" s="138">
        <v>0</v>
      </c>
      <c r="F106" s="139">
        <v>0</v>
      </c>
      <c r="H106" s="134"/>
    </row>
    <row r="107" spans="1:8" ht="21">
      <c r="A107" s="140"/>
      <c r="B107" s="141" t="s">
        <v>942</v>
      </c>
      <c r="C107" s="142" t="s">
        <v>943</v>
      </c>
      <c r="D107" s="142"/>
      <c r="E107" s="143">
        <v>0</v>
      </c>
      <c r="F107" s="144">
        <v>0</v>
      </c>
      <c r="H107" s="134"/>
    </row>
    <row r="108" spans="1:8" ht="21">
      <c r="A108" s="140"/>
      <c r="B108" s="141" t="s">
        <v>944</v>
      </c>
      <c r="C108" s="142" t="s">
        <v>945</v>
      </c>
      <c r="D108" s="142"/>
      <c r="E108" s="143">
        <v>0</v>
      </c>
      <c r="F108" s="144">
        <v>0</v>
      </c>
      <c r="H108" s="134"/>
    </row>
    <row r="109" spans="1:8" ht="21">
      <c r="A109" s="127"/>
      <c r="B109" s="128" t="s">
        <v>946</v>
      </c>
      <c r="C109" s="129" t="s">
        <v>947</v>
      </c>
      <c r="D109" s="129"/>
      <c r="E109" s="132">
        <f>E68+E71+E72+E75+E76+E77+E85+E86+E87+E100</f>
        <v>90563375054</v>
      </c>
      <c r="F109" s="133">
        <f>F68+F71+F72+F75+F76+F77+F85+F86+F87+F100</f>
        <v>51612232011</v>
      </c>
      <c r="H109" s="134"/>
    </row>
    <row r="110" spans="1:8" ht="33" customHeight="1">
      <c r="A110" s="145" t="s">
        <v>340</v>
      </c>
      <c r="B110" s="146" t="s">
        <v>948</v>
      </c>
      <c r="C110" s="147" t="s">
        <v>949</v>
      </c>
      <c r="D110" s="147"/>
      <c r="E110" s="132">
        <f>E66-E109</f>
        <v>13359691718963</v>
      </c>
      <c r="F110" s="133">
        <f>F66-F109</f>
        <v>14223535698860</v>
      </c>
      <c r="H110" s="134"/>
    </row>
    <row r="111" spans="1:8" ht="21">
      <c r="A111" s="135" t="s">
        <v>4</v>
      </c>
      <c r="B111" s="136" t="s">
        <v>950</v>
      </c>
      <c r="C111" s="137" t="s">
        <v>951</v>
      </c>
      <c r="D111" s="137"/>
      <c r="E111" s="138">
        <f>E112+E113</f>
        <v>4149000000000</v>
      </c>
      <c r="F111" s="139">
        <f>F112+F113</f>
        <v>4478000000000</v>
      </c>
      <c r="H111" s="134"/>
    </row>
    <row r="112" spans="1:8" ht="21">
      <c r="A112" s="135" t="s">
        <v>754</v>
      </c>
      <c r="B112" s="136" t="s">
        <v>952</v>
      </c>
      <c r="C112" s="137" t="s">
        <v>953</v>
      </c>
      <c r="D112" s="137"/>
      <c r="E112" s="138">
        <v>12323000000000</v>
      </c>
      <c r="F112" s="139">
        <v>12261000000000</v>
      </c>
      <c r="H112" s="134"/>
    </row>
    <row r="113" spans="1:8" ht="21">
      <c r="A113" s="135" t="s">
        <v>764</v>
      </c>
      <c r="B113" s="136" t="s">
        <v>954</v>
      </c>
      <c r="C113" s="137" t="s">
        <v>955</v>
      </c>
      <c r="D113" s="137"/>
      <c r="E113" s="148">
        <v>-8174000000000</v>
      </c>
      <c r="F113" s="149">
        <v>-7783000000000</v>
      </c>
      <c r="H113" s="134"/>
    </row>
    <row r="114" spans="1:8" ht="21">
      <c r="A114" s="135" t="s">
        <v>9</v>
      </c>
      <c r="B114" s="136" t="s">
        <v>956</v>
      </c>
      <c r="C114" s="137" t="s">
        <v>957</v>
      </c>
      <c r="D114" s="137"/>
      <c r="E114" s="138">
        <v>137092894201</v>
      </c>
      <c r="F114" s="139">
        <v>880469487037</v>
      </c>
      <c r="H114" s="134"/>
    </row>
    <row r="115" spans="1:8" ht="21">
      <c r="A115" s="135" t="s">
        <v>14</v>
      </c>
      <c r="B115" s="136" t="s">
        <v>958</v>
      </c>
      <c r="C115" s="137" t="s">
        <v>959</v>
      </c>
      <c r="D115" s="137"/>
      <c r="E115" s="138">
        <f>E116+E117</f>
        <v>9073598824762</v>
      </c>
      <c r="F115" s="139">
        <f>F116+F117</f>
        <v>8865066211823</v>
      </c>
      <c r="H115" s="134"/>
    </row>
    <row r="116" spans="1:8" ht="21">
      <c r="A116" s="135" t="s">
        <v>796</v>
      </c>
      <c r="B116" s="136" t="s">
        <v>960</v>
      </c>
      <c r="C116" s="137" t="s">
        <v>961</v>
      </c>
      <c r="D116" s="137"/>
      <c r="E116" s="138">
        <v>8865066211823</v>
      </c>
      <c r="F116" s="139">
        <v>8310947384903</v>
      </c>
      <c r="H116" s="134"/>
    </row>
    <row r="117" spans="1:8" ht="21">
      <c r="A117" s="135" t="s">
        <v>801</v>
      </c>
      <c r="B117" s="136" t="s">
        <v>962</v>
      </c>
      <c r="C117" s="137" t="s">
        <v>963</v>
      </c>
      <c r="D117" s="137"/>
      <c r="E117" s="138">
        <v>208532612939</v>
      </c>
      <c r="F117" s="139">
        <v>554118826920</v>
      </c>
      <c r="H117" s="134"/>
    </row>
    <row r="118" spans="1:8" ht="31.5">
      <c r="A118" s="145" t="s">
        <v>343</v>
      </c>
      <c r="B118" s="146" t="s">
        <v>964</v>
      </c>
      <c r="C118" s="147" t="s">
        <v>965</v>
      </c>
      <c r="D118" s="147"/>
      <c r="E118" s="150">
        <v>32199.78</v>
      </c>
      <c r="F118" s="151">
        <v>31763.14</v>
      </c>
      <c r="H118" s="134"/>
    </row>
    <row r="119" spans="1:8" ht="21">
      <c r="A119" s="127" t="s">
        <v>356</v>
      </c>
      <c r="B119" s="128" t="s">
        <v>966</v>
      </c>
      <c r="C119" s="129" t="s">
        <v>967</v>
      </c>
      <c r="D119" s="129"/>
      <c r="E119" s="132">
        <f>E120+E121</f>
        <v>0</v>
      </c>
      <c r="F119" s="133">
        <f>F120+F121</f>
        <v>0</v>
      </c>
      <c r="H119" s="134"/>
    </row>
    <row r="120" spans="1:8" ht="21">
      <c r="A120" s="135" t="s">
        <v>4</v>
      </c>
      <c r="B120" s="136" t="s">
        <v>968</v>
      </c>
      <c r="C120" s="137" t="s">
        <v>969</v>
      </c>
      <c r="D120" s="137"/>
      <c r="E120" s="138">
        <v>0</v>
      </c>
      <c r="F120" s="139">
        <v>0</v>
      </c>
      <c r="H120" s="134"/>
    </row>
    <row r="121" spans="1:8" ht="31.5">
      <c r="A121" s="135" t="s">
        <v>9</v>
      </c>
      <c r="B121" s="136" t="s">
        <v>970</v>
      </c>
      <c r="C121" s="137" t="s">
        <v>971</v>
      </c>
      <c r="D121" s="137"/>
      <c r="E121" s="138">
        <v>0</v>
      </c>
      <c r="F121" s="139">
        <v>0</v>
      </c>
      <c r="H121" s="134"/>
    </row>
    <row r="122" spans="1:8" ht="31.5">
      <c r="A122" s="127" t="s">
        <v>359</v>
      </c>
      <c r="B122" s="128" t="s">
        <v>972</v>
      </c>
      <c r="C122" s="129" t="s">
        <v>359</v>
      </c>
      <c r="D122" s="129"/>
      <c r="E122" s="132">
        <v>0</v>
      </c>
      <c r="F122" s="133">
        <v>0</v>
      </c>
      <c r="H122" s="134"/>
    </row>
    <row r="123" spans="1:8" ht="21">
      <c r="A123" s="135" t="s">
        <v>4</v>
      </c>
      <c r="B123" s="136" t="s">
        <v>973</v>
      </c>
      <c r="C123" s="137" t="s">
        <v>974</v>
      </c>
      <c r="D123" s="137"/>
      <c r="E123" s="138">
        <v>0</v>
      </c>
      <c r="F123" s="139">
        <v>0</v>
      </c>
      <c r="H123" s="134"/>
    </row>
    <row r="124" spans="1:8" ht="21">
      <c r="A124" s="135" t="s">
        <v>9</v>
      </c>
      <c r="B124" s="136" t="s">
        <v>975</v>
      </c>
      <c r="C124" s="137" t="s">
        <v>976</v>
      </c>
      <c r="D124" s="137"/>
      <c r="E124" s="138">
        <v>0</v>
      </c>
      <c r="F124" s="139">
        <v>0</v>
      </c>
      <c r="H124" s="134"/>
    </row>
    <row r="125" spans="1:8" ht="21">
      <c r="A125" s="135" t="s">
        <v>14</v>
      </c>
      <c r="B125" s="136" t="s">
        <v>977</v>
      </c>
      <c r="C125" s="137" t="s">
        <v>978</v>
      </c>
      <c r="D125" s="137"/>
      <c r="E125" s="138">
        <v>0</v>
      </c>
      <c r="F125" s="139">
        <v>0</v>
      </c>
      <c r="H125" s="134"/>
    </row>
    <row r="126" spans="1:8" ht="21">
      <c r="A126" s="135" t="s">
        <v>19</v>
      </c>
      <c r="B126" s="136" t="s">
        <v>979</v>
      </c>
      <c r="C126" s="137" t="s">
        <v>980</v>
      </c>
      <c r="D126" s="137"/>
      <c r="E126" s="138">
        <v>414900000</v>
      </c>
      <c r="F126" s="139">
        <v>447800000</v>
      </c>
      <c r="H126" s="134"/>
    </row>
    <row r="127" spans="1:8" ht="34.5" customHeight="1">
      <c r="A127" s="135">
        <v>5</v>
      </c>
      <c r="B127" s="136" t="s">
        <v>1071</v>
      </c>
      <c r="C127" s="137" t="s">
        <v>1070</v>
      </c>
      <c r="D127" s="137"/>
      <c r="E127" s="138"/>
      <c r="F127" s="139"/>
      <c r="H127" s="134"/>
    </row>
    <row r="128" spans="1:8" ht="16.5" customHeight="1">
      <c r="A128" s="135"/>
      <c r="B128" s="136" t="s">
        <v>397</v>
      </c>
      <c r="C128" s="137"/>
      <c r="D128" s="137"/>
      <c r="E128" s="138">
        <v>208000</v>
      </c>
      <c r="F128" s="139"/>
      <c r="H128" s="134"/>
    </row>
    <row r="129" spans="1:8" ht="16.5" customHeight="1">
      <c r="A129" s="135"/>
      <c r="B129" s="136" t="s">
        <v>411</v>
      </c>
      <c r="C129" s="137"/>
      <c r="D129" s="137"/>
      <c r="E129" s="138">
        <v>143800</v>
      </c>
      <c r="F129" s="139"/>
      <c r="H129" s="134"/>
    </row>
    <row r="130" spans="1:8" ht="16.5" customHeight="1">
      <c r="A130" s="135"/>
      <c r="B130" s="136" t="s">
        <v>421</v>
      </c>
      <c r="C130" s="137"/>
      <c r="D130" s="137"/>
      <c r="E130" s="138">
        <v>32097</v>
      </c>
      <c r="F130" s="139"/>
      <c r="H130" s="134"/>
    </row>
    <row r="131" spans="1:8" ht="16.5" customHeight="1">
      <c r="A131" s="135"/>
      <c r="B131" s="136" t="s">
        <v>424</v>
      </c>
      <c r="C131" s="137"/>
      <c r="D131" s="137"/>
      <c r="E131" s="138">
        <v>84900</v>
      </c>
      <c r="F131" s="139"/>
      <c r="H131" s="134"/>
    </row>
    <row r="132" spans="1:8" ht="16.5" customHeight="1">
      <c r="A132" s="135"/>
      <c r="B132" s="136" t="s">
        <v>427</v>
      </c>
      <c r="C132" s="137"/>
      <c r="D132" s="137"/>
      <c r="E132" s="138">
        <v>72000</v>
      </c>
      <c r="F132" s="139"/>
      <c r="H132" s="134"/>
    </row>
    <row r="133" spans="1:8" ht="16.5" customHeight="1">
      <c r="A133" s="152"/>
      <c r="B133" s="153" t="s">
        <v>436</v>
      </c>
      <c r="C133" s="154"/>
      <c r="D133" s="154"/>
      <c r="E133" s="155">
        <v>58000</v>
      </c>
      <c r="F133" s="156"/>
      <c r="H133" s="134"/>
    </row>
    <row r="134" spans="1:8">
      <c r="A134" s="157"/>
      <c r="B134" s="158"/>
      <c r="C134" s="159"/>
      <c r="D134" s="159"/>
      <c r="E134" s="160"/>
      <c r="F134" s="160"/>
    </row>
    <row r="135" spans="1:8" s="161" customFormat="1" ht="21.75" customHeight="1">
      <c r="A135" s="342" t="s">
        <v>606</v>
      </c>
      <c r="B135" s="342"/>
      <c r="C135" s="342" t="s">
        <v>1073</v>
      </c>
      <c r="D135" s="342"/>
      <c r="E135" s="342" t="s">
        <v>228</v>
      </c>
      <c r="F135" s="342"/>
    </row>
    <row r="136" spans="1:8" s="161" customFormat="1" ht="15" customHeight="1">
      <c r="A136" s="343" t="s">
        <v>607</v>
      </c>
      <c r="B136" s="343"/>
      <c r="C136" s="343" t="s">
        <v>607</v>
      </c>
      <c r="D136" s="343"/>
      <c r="E136" s="343" t="s">
        <v>608</v>
      </c>
      <c r="F136" s="343"/>
    </row>
    <row r="137" spans="1:8" ht="88.5" customHeight="1">
      <c r="A137" s="338"/>
      <c r="B137" s="338"/>
      <c r="C137" s="338"/>
      <c r="D137" s="338"/>
      <c r="E137" s="338"/>
      <c r="F137" s="338"/>
    </row>
    <row r="138" spans="1:8" s="161" customFormat="1" ht="15.75" customHeight="1">
      <c r="A138" s="342" t="s">
        <v>609</v>
      </c>
      <c r="B138" s="342"/>
      <c r="C138" s="342" t="s">
        <v>1067</v>
      </c>
      <c r="D138" s="342"/>
      <c r="E138" s="342" t="s">
        <v>230</v>
      </c>
      <c r="F138" s="342"/>
    </row>
    <row r="139" spans="1:8">
      <c r="A139" s="287"/>
      <c r="B139" s="287"/>
      <c r="C139" s="287"/>
      <c r="D139" s="287"/>
      <c r="E139" s="287"/>
      <c r="F139" s="287"/>
    </row>
  </sheetData>
  <mergeCells count="36">
    <mergeCell ref="A139:B139"/>
    <mergeCell ref="C139:D139"/>
    <mergeCell ref="E139:F139"/>
    <mergeCell ref="A138:B138"/>
    <mergeCell ref="C138:D138"/>
    <mergeCell ref="E138:F138"/>
    <mergeCell ref="A137:B137"/>
    <mergeCell ref="C137:D137"/>
    <mergeCell ref="E137:F137"/>
    <mergeCell ref="A15:B15"/>
    <mergeCell ref="C15:F15"/>
    <mergeCell ref="A135:B135"/>
    <mergeCell ref="C135:D135"/>
    <mergeCell ref="E135:F135"/>
    <mergeCell ref="A136:B136"/>
    <mergeCell ref="C136:D136"/>
    <mergeCell ref="E136:F136"/>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39370078740157483" right="0.39370078740157483" top="0.78740157480314965" bottom="0" header="0.51181102362204722" footer="0"/>
  <pageSetup paperSize="9" scale="8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topLeftCell="A18" zoomScaleNormal="100" zoomScaleSheetLayoutView="100" workbookViewId="0">
      <selection activeCell="G27" sqref="G27"/>
    </sheetView>
  </sheetViews>
  <sheetFormatPr defaultColWidth="9.140625" defaultRowHeight="10.5"/>
  <cols>
    <col min="1" max="1" width="5" style="84" customWidth="1"/>
    <col min="2" max="2" width="37" style="84" customWidth="1"/>
    <col min="3" max="3" width="7.42578125" style="84" bestFit="1" customWidth="1"/>
    <col min="4" max="5" width="27.7109375" style="84" customWidth="1"/>
    <col min="6" max="6" width="9.140625" style="84"/>
    <col min="7" max="7" width="15.7109375" style="84" bestFit="1" customWidth="1"/>
    <col min="8" max="16384" width="9.140625" style="84"/>
  </cols>
  <sheetData>
    <row r="1" spans="1:7" ht="34.5" customHeight="1">
      <c r="A1" s="162"/>
      <c r="B1" s="226"/>
      <c r="C1" s="344" t="s">
        <v>1072</v>
      </c>
      <c r="D1" s="344"/>
      <c r="E1" s="344"/>
    </row>
    <row r="2" spans="1:7" ht="22.5" customHeight="1">
      <c r="A2" s="345" t="s">
        <v>577</v>
      </c>
      <c r="B2" s="345"/>
      <c r="C2" s="345"/>
      <c r="D2" s="345"/>
      <c r="E2" s="345"/>
    </row>
    <row r="3" spans="1:7" ht="6" customHeight="1">
      <c r="A3" s="162"/>
      <c r="B3" s="162"/>
      <c r="C3" s="162"/>
      <c r="D3" s="277"/>
      <c r="E3" s="277"/>
    </row>
    <row r="4" spans="1:7" ht="31.5" customHeight="1">
      <c r="A4" s="280" t="s">
        <v>578</v>
      </c>
      <c r="B4" s="280"/>
      <c r="C4" s="280"/>
      <c r="D4" s="280"/>
      <c r="E4" s="280"/>
    </row>
    <row r="5" spans="1:7" ht="15.75" customHeight="1">
      <c r="A5" s="281" t="s">
        <v>3</v>
      </c>
      <c r="B5" s="281"/>
      <c r="C5" s="281"/>
      <c r="D5" s="281"/>
      <c r="E5" s="281"/>
    </row>
    <row r="6" spans="1:7" ht="3.75" customHeight="1">
      <c r="A6" s="162"/>
      <c r="B6" s="162"/>
      <c r="C6" s="162"/>
      <c r="D6" s="277"/>
      <c r="E6" s="277"/>
    </row>
    <row r="7" spans="1:7" ht="12.75" customHeight="1">
      <c r="A7" s="276" t="s">
        <v>579</v>
      </c>
      <c r="B7" s="276"/>
      <c r="C7" s="276" t="s">
        <v>11</v>
      </c>
      <c r="D7" s="276"/>
      <c r="E7" s="276"/>
    </row>
    <row r="8" spans="1:7" ht="12.75" customHeight="1">
      <c r="A8" s="277" t="s">
        <v>12</v>
      </c>
      <c r="B8" s="277"/>
      <c r="C8" s="277" t="s">
        <v>13</v>
      </c>
      <c r="D8" s="277"/>
      <c r="E8" s="277"/>
    </row>
    <row r="9" spans="1:7" ht="15.75" customHeight="1">
      <c r="A9" s="276" t="s">
        <v>15</v>
      </c>
      <c r="B9" s="276"/>
      <c r="C9" s="276" t="s">
        <v>16</v>
      </c>
      <c r="D9" s="276"/>
      <c r="E9" s="276"/>
    </row>
    <row r="10" spans="1:7" ht="15.75" customHeight="1">
      <c r="A10" s="277" t="s">
        <v>580</v>
      </c>
      <c r="B10" s="277"/>
      <c r="C10" s="277" t="s">
        <v>18</v>
      </c>
      <c r="D10" s="277"/>
      <c r="E10" s="277"/>
    </row>
    <row r="11" spans="1:7" ht="15" customHeight="1">
      <c r="A11" s="276" t="s">
        <v>581</v>
      </c>
      <c r="B11" s="276"/>
      <c r="C11" s="282">
        <v>45477</v>
      </c>
      <c r="D11" s="282"/>
      <c r="E11" s="282"/>
    </row>
    <row r="12" spans="1:7" ht="15.75" customHeight="1">
      <c r="A12" s="277" t="s">
        <v>582</v>
      </c>
      <c r="B12" s="277"/>
      <c r="C12" s="283">
        <v>45477</v>
      </c>
      <c r="D12" s="283"/>
      <c r="E12" s="283"/>
    </row>
    <row r="13" spans="1:7" ht="15.75" customHeight="1">
      <c r="A13" s="164"/>
      <c r="B13" s="164"/>
      <c r="C13" s="164"/>
      <c r="D13" s="285" t="s">
        <v>583</v>
      </c>
      <c r="E13" s="285"/>
    </row>
    <row r="14" spans="1:7" ht="45" customHeight="1">
      <c r="A14" s="165" t="s">
        <v>25</v>
      </c>
      <c r="B14" s="166" t="s">
        <v>584</v>
      </c>
      <c r="C14" s="166" t="s">
        <v>585</v>
      </c>
      <c r="D14" s="166" t="s">
        <v>234</v>
      </c>
      <c r="E14" s="126" t="s">
        <v>235</v>
      </c>
    </row>
    <row r="15" spans="1:7" ht="42">
      <c r="A15" s="227" t="s">
        <v>31</v>
      </c>
      <c r="B15" s="228" t="s">
        <v>586</v>
      </c>
      <c r="C15" s="229" t="s">
        <v>587</v>
      </c>
      <c r="D15" s="132">
        <v>14223535698860</v>
      </c>
      <c r="E15" s="133">
        <v>13932355341518</v>
      </c>
      <c r="G15" s="134"/>
    </row>
    <row r="16" spans="1:7" ht="42">
      <c r="A16" s="227" t="s">
        <v>121</v>
      </c>
      <c r="B16" s="228" t="s">
        <v>588</v>
      </c>
      <c r="C16" s="229" t="s">
        <v>589</v>
      </c>
      <c r="D16" s="132">
        <v>208532612939</v>
      </c>
      <c r="E16" s="133">
        <v>554118826920</v>
      </c>
      <c r="G16" s="134"/>
    </row>
    <row r="17" spans="1:7" ht="42">
      <c r="A17" s="230" t="s">
        <v>124</v>
      </c>
      <c r="B17" s="231" t="s">
        <v>590</v>
      </c>
      <c r="C17" s="232" t="s">
        <v>591</v>
      </c>
      <c r="D17" s="138">
        <v>208532612939</v>
      </c>
      <c r="E17" s="139">
        <v>554118826920</v>
      </c>
      <c r="G17" s="134"/>
    </row>
    <row r="18" spans="1:7" ht="42">
      <c r="A18" s="230" t="s">
        <v>126</v>
      </c>
      <c r="B18" s="231" t="s">
        <v>592</v>
      </c>
      <c r="C18" s="232" t="s">
        <v>593</v>
      </c>
      <c r="D18" s="138">
        <v>0</v>
      </c>
      <c r="E18" s="139">
        <v>0</v>
      </c>
      <c r="G18" s="134"/>
    </row>
    <row r="19" spans="1:7" ht="52.5">
      <c r="A19" s="227" t="s">
        <v>340</v>
      </c>
      <c r="B19" s="228" t="s">
        <v>594</v>
      </c>
      <c r="C19" s="229" t="s">
        <v>595</v>
      </c>
      <c r="D19" s="132">
        <v>-1072376592836</v>
      </c>
      <c r="E19" s="133">
        <v>-262938469578</v>
      </c>
      <c r="G19" s="134"/>
    </row>
    <row r="20" spans="1:7" ht="31.5">
      <c r="A20" s="230" t="s">
        <v>596</v>
      </c>
      <c r="B20" s="231" t="s">
        <v>597</v>
      </c>
      <c r="C20" s="232" t="s">
        <v>598</v>
      </c>
      <c r="D20" s="138">
        <v>201819166612</v>
      </c>
      <c r="E20" s="139">
        <v>343960563669</v>
      </c>
      <c r="G20" s="134"/>
    </row>
    <row r="21" spans="1:7" ht="31.5">
      <c r="A21" s="230" t="s">
        <v>599</v>
      </c>
      <c r="B21" s="231" t="s">
        <v>600</v>
      </c>
      <c r="C21" s="232" t="s">
        <v>601</v>
      </c>
      <c r="D21" s="138">
        <v>-1274195759448</v>
      </c>
      <c r="E21" s="139">
        <v>-606899033247</v>
      </c>
      <c r="G21" s="134"/>
    </row>
    <row r="22" spans="1:7" ht="31.5">
      <c r="A22" s="227" t="s">
        <v>343</v>
      </c>
      <c r="B22" s="228" t="s">
        <v>602</v>
      </c>
      <c r="C22" s="229" t="s">
        <v>603</v>
      </c>
      <c r="D22" s="132">
        <v>13359691718963</v>
      </c>
      <c r="E22" s="133">
        <v>14223535698860</v>
      </c>
      <c r="G22" s="134"/>
    </row>
    <row r="23" spans="1:7" ht="31.5">
      <c r="A23" s="233" t="s">
        <v>356</v>
      </c>
      <c r="B23" s="234" t="s">
        <v>604</v>
      </c>
      <c r="C23" s="235" t="s">
        <v>605</v>
      </c>
      <c r="D23" s="236">
        <v>32199.78</v>
      </c>
      <c r="E23" s="237">
        <v>31763.14</v>
      </c>
      <c r="F23" s="238"/>
      <c r="G23" s="134"/>
    </row>
    <row r="24" spans="1:7" ht="15.75" customHeight="1">
      <c r="A24" s="277"/>
      <c r="B24" s="277"/>
      <c r="C24" s="277"/>
      <c r="D24" s="277"/>
      <c r="E24" s="162"/>
    </row>
    <row r="25" spans="1:7" s="239" customFormat="1" ht="14.25" customHeight="1">
      <c r="A25" s="342" t="s">
        <v>606</v>
      </c>
      <c r="B25" s="342"/>
      <c r="C25" s="342" t="s">
        <v>1066</v>
      </c>
      <c r="D25" s="342"/>
      <c r="E25" s="167" t="s">
        <v>228</v>
      </c>
    </row>
    <row r="26" spans="1:7" s="161" customFormat="1" ht="14.25" customHeight="1">
      <c r="A26" s="346" t="s">
        <v>607</v>
      </c>
      <c r="B26" s="346"/>
      <c r="C26" s="281" t="s">
        <v>607</v>
      </c>
      <c r="D26" s="281"/>
      <c r="E26" s="116" t="s">
        <v>608</v>
      </c>
    </row>
    <row r="27" spans="1:7" ht="78" customHeight="1">
      <c r="A27" s="277"/>
      <c r="B27" s="277"/>
      <c r="C27" s="277"/>
      <c r="D27" s="277"/>
      <c r="E27" s="169"/>
    </row>
    <row r="28" spans="1:7" ht="15.75" customHeight="1">
      <c r="A28" s="287" t="s">
        <v>609</v>
      </c>
      <c r="B28" s="287"/>
      <c r="C28" s="287" t="s">
        <v>1067</v>
      </c>
      <c r="D28" s="287"/>
      <c r="E28" s="163" t="s">
        <v>230</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39370078740157483" right="0.39370078740157483" top="0.59055118110236227" bottom="0" header="0.51181102362204722" footer="0"/>
  <pageSetup paperSize="9" scale="90"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+zEnAiUIsjxcUoNjdFbOzrC+R80=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KjGcn3ecm2iuBN5RHfEMyt/04Hk=</DigestValue>
    </Reference>
  </SignedInfo>
  <SignatureValue>FVrnncZTzkF2l8Ixt5EYj0wFXj5OPrJCh7LXLHqjgX66QuwWslSozDgR+DtwZqwfLaF6e/uJitrd
yuMenbxRYBCz8YMKuSTfeep7i9ZEZO78JWp+cjHKVLt+LzmWyL0Fb0gtp7KTGUkgOqVXixYUZmO/
GlFN2YVBEU9IksRzG1rUr6ip/eD3JauSkReKPBgE9bpQKxXj6G4cPpvIYQfKa9P6XYiFuNQo/JJx
o+MAcXF/6QucaAmGrbHsm3c6rbwri6YnWabOfRWnh2ake4wNzws1MA3OKvPWDB54CSk4TPJhgCv0
2VG2FAO1A3h6j292/zt/idYDbWjunqg+T0Mo4w==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3.xml?ContentType=application/vnd.openxmlformats-officedocument.drawing+xml">
        <DigestMethod Algorithm="http://www.w3.org/2000/09/xmldsig#sha1"/>
        <DigestValue>2w/XrgIi6YQnU+tI291JjP0Yud8=</DigestValue>
      </Reference>
      <Reference URI="/xl/drawings/drawing2.xml?ContentType=application/vnd.openxmlformats-officedocument.drawing+xml">
        <DigestMethod Algorithm="http://www.w3.org/2000/09/xmldsig#sha1"/>
        <DigestValue>h+f0Q6mtbFcQvlkl/VkWRcLfQAo=</DigestValue>
      </Reference>
      <Reference URI="/xl/media/image2.jpeg?ContentType=image/jpeg">
        <DigestMethod Algorithm="http://www.w3.org/2000/09/xmldsig#sha1"/>
        <DigestValue>9EjZUG5qvl/WqCXSdqbc1fJBSd4=</DigestValue>
      </Reference>
      <Reference URI="/xl/worksheets/sheet6.xml?ContentType=application/vnd.openxmlformats-officedocument.spreadsheetml.worksheet+xml">
        <DigestMethod Algorithm="http://www.w3.org/2000/09/xmldsig#sha1"/>
        <DigestValue>D3OpWk0+m9bbuycZw3BZFVkxyDc=</DigestValue>
      </Reference>
      <Reference URI="/xl/worksheets/sheet7.xml?ContentType=application/vnd.openxmlformats-officedocument.spreadsheetml.worksheet+xml">
        <DigestMethod Algorithm="http://www.w3.org/2000/09/xmldsig#sha1"/>
        <DigestValue>Mx8d8sSi8CQRMVrCs2svTQJud94=</DigestValue>
      </Reference>
      <Reference URI="/xl/worksheets/sheet8.xml?ContentType=application/vnd.openxmlformats-officedocument.spreadsheetml.worksheet+xml">
        <DigestMethod Algorithm="http://www.w3.org/2000/09/xmldsig#sha1"/>
        <DigestValue>S9HXY99omQbFuoxjrkSUDt4pFNc=</DigestValue>
      </Reference>
      <Reference URI="/xl/calcChain.xml?ContentType=application/vnd.openxmlformats-officedocument.spreadsheetml.calcChain+xml">
        <DigestMethod Algorithm="http://www.w3.org/2000/09/xmldsig#sha1"/>
        <DigestValue>XiYIq9AycDf+IqQQyuRN9WQGgXk=</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K5+3dz5Vms0mIrmIlZoz46jP+8I=</DigestValue>
      </Reference>
      <Reference URI="/xl/drawings/drawing5.xml?ContentType=application/vnd.openxmlformats-officedocument.drawing+xml">
        <DigestMethod Algorithm="http://www.w3.org/2000/09/xmldsig#sha1"/>
        <DigestValue>bB430+uOdpjgvn3SXf9l5eHnhhM=</DigestValue>
      </Reference>
      <Reference URI="/xl/media/image3.jpeg?ContentType=image/jpeg">
        <DigestMethod Algorithm="http://www.w3.org/2000/09/xmldsig#sha1"/>
        <DigestValue>crcL9ZDzkeu+7rd01szBfLMmQK4=</DigestValue>
      </Reference>
      <Reference URI="/xl/drawings/drawing4.xml?ContentType=application/vnd.openxmlformats-officedocument.drawing+xml">
        <DigestMethod Algorithm="http://www.w3.org/2000/09/xmldsig#sha1"/>
        <DigestValue>zgPTcYPF9ayfOjaVO7h8woq033Y=</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drawings/drawing6.xml?ContentType=application/vnd.openxmlformats-officedocument.drawing+xml">
        <DigestMethod Algorithm="http://www.w3.org/2000/09/xmldsig#sha1"/>
        <DigestValue>3reQGPfDAAfcL5Walhm1FCbq7SY=</DigestValue>
      </Reference>
      <Reference URI="/xl/worksheets/sheet9.xml?ContentType=application/vnd.openxmlformats-officedocument.spreadsheetml.worksheet+xml">
        <DigestMethod Algorithm="http://www.w3.org/2000/09/xmldsig#sha1"/>
        <DigestValue>O6ToXcWlbZrbrIYk8L+B4xY3zHo=</DigestValue>
      </Reference>
      <Reference URI="/xl/workbook.xml?ContentType=application/vnd.openxmlformats-officedocument.spreadsheetml.sheet.main+xml">
        <DigestMethod Algorithm="http://www.w3.org/2000/09/xmldsig#sha1"/>
        <DigestValue>ppiDc+dW6MOGgEPTVtzAvVkARB8=</DigestValue>
      </Reference>
      <Reference URI="/xl/media/image4.jpeg?ContentType=image/jpeg">
        <DigestMethod Algorithm="http://www.w3.org/2000/09/xmldsig#sha1"/>
        <DigestValue>qTnYKFW/2tAz985EoMEzDAodeTg=</DigestValue>
      </Reference>
      <Reference URI="/xl/media/image1.jpeg?ContentType=image/jpeg">
        <DigestMethod Algorithm="http://www.w3.org/2000/09/xmldsig#sha1"/>
        <DigestValue>9P11mtjLjGxcoV3ZY2HthQHVH30=</DigestValue>
      </Reference>
      <Reference URI="/xl/media/image5.jpeg?ContentType=image/jpeg">
        <DigestMethod Algorithm="http://www.w3.org/2000/09/xmldsig#sha1"/>
        <DigestValue>mGs5V64jSqfbPR1L9R8cBMwB0uI=</DigestValue>
      </Reference>
      <Reference URI="/xl/drawings/drawing8.xml?ContentType=application/vnd.openxmlformats-officedocument.drawing+xml">
        <DigestMethod Algorithm="http://www.w3.org/2000/09/xmldsig#sha1"/>
        <DigestValue>cpxlk+ro9o5mRdvdFjY5xkA6EFQ=</DigestValue>
      </Reference>
      <Reference URI="/xl/worksheets/sheet3.xml?ContentType=application/vnd.openxmlformats-officedocument.spreadsheetml.worksheet+xml">
        <DigestMethod Algorithm="http://www.w3.org/2000/09/xmldsig#sha1"/>
        <DigestValue>CGBq6kYcJdqeIKW/ADSwSZpQNYI=</DigestValue>
      </Reference>
      <Reference URI="/xl/worksheets/sheet2.xml?ContentType=application/vnd.openxmlformats-officedocument.spreadsheetml.worksheet+xml">
        <DigestMethod Algorithm="http://www.w3.org/2000/09/xmldsig#sha1"/>
        <DigestValue>hlakpea6+YClyxj1hGDgz4hh0zw=</DigestValue>
      </Reference>
      <Reference URI="/xl/worksheets/sheet4.xml?ContentType=application/vnd.openxmlformats-officedocument.spreadsheetml.worksheet+xml">
        <DigestMethod Algorithm="http://www.w3.org/2000/09/xmldsig#sha1"/>
        <DigestValue>+f54bdEFPrJAmzlmhVSAMCLOq0U=</DigestValue>
      </Reference>
      <Reference URI="/xl/worksheets/sheet1.xml?ContentType=application/vnd.openxmlformats-officedocument.spreadsheetml.worksheet+xml">
        <DigestMethod Algorithm="http://www.w3.org/2000/09/xmldsig#sha1"/>
        <DigestValue>VXFZw6hFXXHktJvuJPZmK4irAqU=</DigestValue>
      </Reference>
      <Reference URI="/xl/drawings/drawing7.xml?ContentType=application/vnd.openxmlformats-officedocument.drawing+xml">
        <DigestMethod Algorithm="http://www.w3.org/2000/09/xmldsig#sha1"/>
        <DigestValue>WL9wAW3QGR77/hCLiatt7XcWBUU=</DigestValue>
      </Reference>
      <Reference URI="/xl/drawings/drawing1.xml?ContentType=application/vnd.openxmlformats-officedocument.drawing+xml">
        <DigestMethod Algorithm="http://www.w3.org/2000/09/xmldsig#sha1"/>
        <DigestValue>oij8eOiVbGv2b5LdLUlFkR4/HcY=</DigestValue>
      </Reference>
      <Reference URI="/xl/worksheets/sheet5.xml?ContentType=application/vnd.openxmlformats-officedocument.spreadsheetml.worksheet+xml">
        <DigestMethod Algorithm="http://www.w3.org/2000/09/xmldsig#sha1"/>
        <DigestValue>aBBeDI3yTeP6ZlweWJcRNUL0f1g=</DigestValue>
      </Reference>
      <Reference URI="/xl/sharedStrings.xml?ContentType=application/vnd.openxmlformats-officedocument.spreadsheetml.sharedStrings+xml">
        <DigestMethod Algorithm="http://www.w3.org/2000/09/xmldsig#sha1"/>
        <DigestValue>mROkyJmMUlcNXqBb12XrUobKAL8=</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2024-07-05T02:09:41Z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2024-07-05T02:09:41Z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2024-07-05T02:09:35Z</dcterms:modified>
</cp:coreProperties>
</file>