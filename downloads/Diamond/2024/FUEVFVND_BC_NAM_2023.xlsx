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drawings/drawing4.xml" ContentType="application/vnd.openxmlformats-officedocument.drawing+xml"/>
  <Override PartName="/xl/drawings/drawing1.xml" ContentType="application/vnd.openxmlformats-officedocument.drawing+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firstSheet="3" activeTab="5"/>
  </bookViews>
  <sheets>
    <sheet name="TONGQUAN" sheetId="17" r:id="rId1"/>
    <sheet name="BCTaiSan_06134" sheetId="8" r:id="rId2"/>
    <sheet name="BCKetQuaHoatDong_06135" sheetId="9" r:id="rId3"/>
    <sheet name="BCDanhMucDauTu_06136" sheetId="10" r:id="rId4"/>
    <sheet name="BCHDVay_GDMuaBanLai" sheetId="18" r:id="rId5"/>
    <sheet name="Khac_06137" sheetId="11" r:id="rId6"/>
    <sheet name="ThongKePhiGiaoDich_06145" sheetId="12" r:id="rId7"/>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E13" i="17" l="1"/>
  <c r="F26" i="12" l="1"/>
  <c r="F25" i="12"/>
  <c r="F24" i="12"/>
  <c r="F23" i="12"/>
  <c r="F22" i="12"/>
  <c r="C13" i="18" l="1"/>
  <c r="F27" i="12" l="1"/>
  <c r="D27" i="12"/>
</calcChain>
</file>

<file path=xl/sharedStrings.xml><?xml version="1.0" encoding="utf-8"?>
<sst xmlns="http://schemas.openxmlformats.org/spreadsheetml/2006/main" count="972" uniqueCount="696">
  <si>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</si>
  <si>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</si>
  <si>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</si>
  <si>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Năm 2023 / Year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</si>
  <si>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</si>
  <si>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</si>
  <si>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</si>
  <si>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</si>
  <si>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</si>
  <si>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</si>
  <si>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</si>
  <si>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</si>
  <si>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</si>
  <si>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</si>
  <si>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</si>
  <si>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</si>
  <si>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</si>
  <si>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</si>
  <si>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</si>
  <si>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</si>
  <si>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</si>
  <si>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</si>
  <si>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</si>
  <si>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</si>
  <si>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</si>
  <si>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</si>
  <si>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</si>
  <si>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</si>
  <si>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năm2023 
As at 31 Dec 2023</t>
  </si>
  <si>
    <t>Tại ngày 31 tháng 12  năm 2022 
As at 31 Dec 2022</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</si>
  <si>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</si>
  <si>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</si>
  <si>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</si>
  <si>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</si>
  <si>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</si>
  <si>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</si>
  <si>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</si>
  <si>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</si>
  <si>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</si>
  <si>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</si>
  <si>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</si>
  <si>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</si>
  <si>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</si>
  <si>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</si>
  <si>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</si>
  <si>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</si>
  <si>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</si>
  <si>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</si>
  <si>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</si>
  <si>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</si>
  <si>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</si>
  <si>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</si>
  <si>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</si>
  <si>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</si>
  <si>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</si>
  <si>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</si>
  <si>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</si>
  <si>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</si>
  <si>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</si>
  <si>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</si>
  <si>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</si>
  <si>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</si>
  <si>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</si>
  <si>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</si>
  <si>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</si>
  <si>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</si>
  <si>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</si>
  <si>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</si>
  <si>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</si>
  <si>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</si>
  <si>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</si>
  <si>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</si>
  <si>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</si>
  <si>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</si>
  <si>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</si>
  <si>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</si>
  <si>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</si>
  <si>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</si>
  <si>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</si>
  <si>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</si>
  <si>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</si>
  <si>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</si>
  <si>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</si>
  <si>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</si>
  <si>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</si>
  <si>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</si>
  <si>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</si>
  <si>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</si>
  <si>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</si>
  <si>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</si>
  <si>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</si>
  <si>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</si>
  <si>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</si>
  <si>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</si>
  <si>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</si>
  <si>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</si>
  <si>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</si>
  <si>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</si>
  <si>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</si>
  <si>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</si>
  <si>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</si>
  <si>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</si>
  <si>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</si>
  <si>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</si>
  <si>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</si>
  <si>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</si>
  <si>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</si>
  <si>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</si>
  <si>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</si>
  <si>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</si>
  <si>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</si>
  <si>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</si>
  <si>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</si>
  <si>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</si>
  <si>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</si>
  <si>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</si>
  <si>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</si>
  <si>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</si>
  <si>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</si>
  <si>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</si>
  <si>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</si>
  <si>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</si>
  <si>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</si>
  <si>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</si>
  <si>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</si>
  <si>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</si>
  <si>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</si>
  <si>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</si>
  <si>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</si>
  <si>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</si>
  <si>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</si>
  <si>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</si>
  <si>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</si>
  <si>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</si>
  <si>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</si>
  <si>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</si>
  <si>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</si>
  <si>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</si>
  <si>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</si>
  <si>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</si>
  <si>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</si>
  <si>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</si>
  <si>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</si>
  <si>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</si>
  <si>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</si>
  <si>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</si>
  <si>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</si>
  <si>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</si>
  <si>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</si>
  <si>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</si>
  <si>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</si>
  <si>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</si>
  <si>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</si>
  <si>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</si>
  <si>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</si>
  <si>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</si>
  <si>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</si>
  <si>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</si>
  <si>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</si>
  <si>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</si>
  <si>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</si>
  <si>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</si>
  <si>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</si>
  <si>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</si>
  <si>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</si>
  <si>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</si>
  <si>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</si>
  <si>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</si>
  <si>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</si>
  <si>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</si>
  <si>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</si>
  <si>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</si>
  <si>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</si>
  <si>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</si>
  <si>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</si>
  <si>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</si>
  <si>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</si>
  <si>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</si>
  <si>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</si>
  <si>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</si>
  <si>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</si>
  <si>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</si>
  <si>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</si>
  <si>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</si>
  <si>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</si>
  <si>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</si>
  <si>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</si>
  <si>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</si>
  <si>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</si>
  <si>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</si>
  <si>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</si>
  <si>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</si>
  <si>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</si>
  <si>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</si>
  <si>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</si>
  <si>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</si>
  <si>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</si>
  <si>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</si>
  <si>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</si>
  <si>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</si>
  <si>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</si>
  <si>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</si>
  <si>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</si>
  <si>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</si>
  <si>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</si>
  <si>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</si>
  <si>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</si>
  <si>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</si>
  <si>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</si>
  <si>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</si>
  <si>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</si>
  <si>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</si>
  <si>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</si>
  <si>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</si>
  <si>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</si>
  <si>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</si>
  <si>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</si>
  <si>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</si>
  <si>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</si>
  <si>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</si>
  <si>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</si>
  <si>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</si>
  <si>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</si>
  <si>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</si>
  <si>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</si>
  <si>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</si>
  <si>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</si>
  <si>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</si>
  <si>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</si>
  <si>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</si>
  <si>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</si>
  <si>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</si>
  <si>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</si>
  <si>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</si>
  <si>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Năm 2023
Year 2023</t>
  </si>
  <si>
    <t>Năm 2022
Year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</si>
  <si>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</si>
  <si>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</si>
  <si>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</si>
  <si>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</si>
  <si>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</si>
  <si>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</si>
  <si>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</si>
  <si>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</si>
  <si>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</si>
  <si>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</si>
  <si>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</si>
  <si>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</si>
  <si>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</si>
  <si>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</si>
  <si>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</si>
  <si>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</si>
  <si>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</si>
  <si>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</si>
  <si>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</si>
  <si>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</si>
  <si>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</si>
  <si>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</si>
  <si>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</si>
  <si>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</si>
  <si>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</si>
  <si>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</si>
  <si>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</si>
  <si>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</si>
  <si>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</si>
  <si>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</si>
  <si>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</si>
  <si>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</si>
  <si>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</si>
  <si>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</si>
  <si>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</si>
  <si>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</si>
  <si>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</si>
  <si>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</si>
  <si>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</si>
  <si>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</si>
  <si>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</si>
  <si>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</si>
  <si>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</si>
  <si>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</si>
  <si>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</si>
  <si>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</si>
  <si>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</si>
  <si>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</si>
  <si>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</si>
  <si>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</si>
  <si>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</si>
  <si>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</si>
  <si>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</si>
  <si>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</si>
  <si>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</si>
  <si>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</si>
  <si>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</si>
  <si>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</si>
  <si>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</si>
  <si>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</si>
  <si>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</si>
  <si>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</si>
  <si>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</si>
  <si>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</si>
  <si>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</si>
  <si>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</si>
  <si>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</si>
  <si>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</si>
  <si>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</si>
  <si>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</si>
  <si>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</si>
  <si>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</si>
  <si>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</si>
  <si>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</si>
  <si>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</si>
  <si>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</si>
  <si>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</si>
  <si>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</si>
  <si>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</si>
  <si>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</si>
  <si>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</si>
  <si>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</si>
  <si>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</si>
  <si>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</si>
  <si>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</si>
  <si>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</si>
  <si>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</si>
  <si>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</si>
  <si>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</si>
  <si>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</si>
  <si>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</si>
  <si>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</si>
  <si>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</si>
  <si>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</si>
  <si>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</si>
  <si>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</si>
  <si>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</si>
  <si>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</si>
  <si>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</si>
  <si>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</si>
  <si>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</si>
  <si>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</si>
  <si>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</si>
  <si>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</si>
  <si>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</si>
  <si>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</si>
  <si>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</si>
  <si>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</si>
  <si>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</si>
  <si>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</si>
  <si>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</si>
  <si>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</si>
  <si>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</si>
  <si>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</si>
  <si>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</si>
  <si>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</si>
  <si>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</si>
  <si>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</si>
  <si>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</si>
  <si>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</si>
  <si>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</si>
  <si>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</si>
  <si>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</si>
  <si>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</si>
  <si>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</si>
  <si>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</si>
  <si>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</si>
  <si>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</si>
  <si>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</si>
  <si>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</si>
  <si>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</si>
  <si>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</si>
  <si>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</si>
  <si>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</si>
  <si>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</si>
  <si>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</si>
  <si>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</si>
  <si>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</si>
  <si>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</si>
  <si>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</si>
  <si>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</si>
  <si>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</si>
  <si>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</si>
  <si>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</si>
  <si>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</si>
  <si>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</si>
  <si>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</si>
  <si>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</si>
  <si>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2023 / As at 31 Dec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</si>
  <si>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</si>
  <si>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</si>
  <si>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</si>
  <si>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</si>
  <si>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</si>
  <si>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</si>
  <si>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</si>
  <si>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</si>
  <si>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</si>
  <si>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</si>
  <si>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</si>
  <si>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</si>
  <si>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</si>
  <si>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</si>
  <si>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</si>
  <si>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</si>
  <si>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</si>
  <si>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</si>
  <si>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</si>
  <si>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</si>
  <si>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</si>
  <si>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</si>
  <si>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</si>
  <si>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</si>
  <si>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</si>
  <si>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</si>
  <si>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</si>
  <si>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</si>
  <si>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</si>
  <si>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</si>
  <si>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</si>
  <si>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</si>
  <si>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</si>
  <si>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</si>
  <si>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</si>
  <si>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</si>
  <si>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</si>
  <si>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</si>
  <si>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</si>
  <si>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</si>
  <si>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</si>
  <si>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</si>
  <si>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</si>
  <si>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</si>
  <si>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</si>
  <si>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</si>
  <si>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</si>
  <si>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</si>
  <si>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</si>
  <si>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</si>
  <si>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</si>
  <si>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</si>
  <si>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</si>
  <si>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</si>
  <si>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</si>
  <si>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</si>
  <si>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</si>
  <si>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</si>
  <si>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</si>
  <si>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</si>
  <si>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</si>
  <si>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</si>
  <si>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</si>
  <si>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</si>
  <si>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</si>
  <si>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</si>
  <si>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</si>
  <si>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</si>
  <si>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</si>
  <si>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</si>
  <si>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</si>
  <si>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</si>
  <si>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</si>
  <si>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</si>
  <si>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</si>
  <si>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</si>
  <si>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</si>
  <si>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</si>
  <si>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</si>
  <si>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</si>
  <si>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</si>
  <si>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</si>
  <si>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</si>
  <si>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</si>
  <si>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</si>
  <si>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</si>
  <si>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</si>
  <si>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</si>
  <si>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</si>
  <si>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</si>
  <si>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</si>
  <si>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</si>
  <si>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</si>
  <si>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</si>
  <si>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</si>
  <si>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</si>
  <si>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</si>
  <si>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</si>
  <si>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</si>
  <si>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</si>
  <si>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</si>
  <si>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</si>
  <si>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</si>
  <si>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</si>
  <si>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</si>
  <si>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</si>
  <si>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</si>
  <si>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</si>
  <si>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</si>
  <si>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</si>
  <si>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</si>
  <si>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</si>
  <si>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</si>
  <si>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</si>
  <si>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</si>
  <si>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</si>
  <si>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</si>
  <si>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</si>
  <si>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</si>
  <si>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</si>
  <si>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</si>
  <si>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</si>
  <si>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</si>
  <si>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</si>
  <si>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</si>
  <si>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</si>
  <si>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</si>
  <si>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</si>
  <si>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</si>
  <si>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</si>
  <si>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</si>
  <si>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</si>
  <si>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</si>
  <si>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</si>
  <si>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</si>
  <si>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</si>
  <si>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</si>
  <si>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</si>
  <si>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</si>
  <si>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</si>
  <si>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</si>
  <si>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</si>
  <si>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</si>
  <si>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</si>
  <si>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</si>
  <si>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</si>
  <si>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</si>
  <si>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</si>
  <si>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</si>
  <si>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</si>
  <si>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</si>
  <si>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</si>
  <si>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</si>
  <si>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</si>
  <si>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</si>
  <si>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</si>
  <si>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</si>
  <si>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</si>
  <si>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</si>
  <si>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</si>
  <si>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</si>
  <si>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</si>
  <si>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</si>
  <si>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</si>
  <si>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</si>
  <si>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</si>
  <si>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</si>
  <si>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</si>
  <si>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</si>
  <si>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</si>
  <si>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</si>
  <si>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</si>
  <si>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</si>
  <si>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</si>
  <si>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</si>
  <si>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</si>
  <si>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</si>
  <si>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</si>
  <si>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</si>
  <si>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</si>
  <si>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</si>
  <si>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</si>
  <si>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</si>
  <si>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</si>
  <si>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</si>
  <si>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</si>
  <si>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</si>
  <si>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</si>
  <si>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</si>
  <si>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</si>
  <si>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(Ban hành kèm theo Thông tư số 98/2020/TT-BTC ngày 16 tháng 11  năm 2020 của Bộ trưởng Bộ Tài chính)
(Issued in association with Circular 98/2020/TT-BTC dated 16 Nov 2020 by Ministry of Finance)</t>
  </si>
  <si>
    <t>A. BÁO CÁO CHUNG VỀ HOẠT ĐỘNG ĐẦU TƯ CỦA QUỸ/GENERAL INFORMATION ON FUND'S INVESTMENT ACTIVITIES</t>
  </si>
  <si>
    <t>VI. THỐNG KÊ GIÁ DỊCH VỤ GIAO DỊCH/DETAILS OF TRANSACTION FEES</t>
  </si>
  <si>
    <t>Tên Công ty Quản lý Quỹ:</t>
  </si>
  <si>
    <t>Ngân hàng Giám sát:</t>
  </si>
  <si>
    <t>Reporting date:</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</si>
  <si>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</si>
  <si>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</si>
  <si>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</si>
  <si>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</si>
  <si>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</si>
  <si>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Tỷ lệ giao dịch của quỹ qua công ty chứng khoán trong kỳ báo cáo</t>
  </si>
  <si>
    <t>(1)</t>
  </si>
  <si>
    <t>(2)</t>
  </si>
  <si>
    <t>(3)</t>
  </si>
  <si>
    <t>(4)</t>
  </si>
  <si>
    <t>(5)</t>
  </si>
  <si>
    <t>(6)=(4)/(5)(%)</t>
  </si>
  <si>
    <t>(7)</t>
  </si>
  <si>
    <t>(8)</t>
  </si>
  <si>
    <t>Công ty Cổ phần Chứng khoán Bảo Việt</t>
  </si>
  <si>
    <t>Công ty CP Chứng khoán Vietcap</t>
  </si>
  <si>
    <t>Công ty Cổ phần Chứng khoán Thành Phố Hồ Chí Minh</t>
  </si>
  <si>
    <t>Công ty Cổ phần Chứng khoán KIS Việt Nam</t>
  </si>
  <si>
    <t>Công ty Cổ phần Chứng Khoán Tân Việt</t>
  </si>
  <si>
    <t>Tổng cộng:</t>
  </si>
  <si>
    <t>Đại diện có thẩm quyền của Công ty Quản lý Quỹ</t>
  </si>
  <si>
    <t>Joint Stock Commercial Bank for Foreign Trade of Vietnam - HCMC Branch</t>
  </si>
  <si>
    <t>Kỳ báo cáo:</t>
  </si>
  <si>
    <t>Tại ngày 31 tháng 12 năm 2023/ As at 31 Dec 2023</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</si>
  <si>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</si>
  <si>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</si>
  <si>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</si>
  <si>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</si>
  <si>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</si>
  <si>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</si>
  <si>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</si>
  <si>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</si>
  <si>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</si>
  <si>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</si>
  <si>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</si>
  <si>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</si>
  <si>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</si>
  <si>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</si>
  <si>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</si>
  <si>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</si>
  <si>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</si>
  <si>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</si>
  <si>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</si>
  <si>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</si>
  <si>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</si>
  <si>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</si>
  <si>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</si>
  <si>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</si>
  <si>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</si>
  <si>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</si>
  <si>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</si>
  <si>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</si>
  <si>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</si>
  <si>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</si>
  <si>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</si>
  <si>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</si>
  <si>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</si>
  <si>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</si>
  <si>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</si>
  <si>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</si>
  <si>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</si>
  <si>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</si>
  <si>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</si>
  <si>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</si>
  <si>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</si>
  <si>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</si>
  <si>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</si>
  <si>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</si>
  <si>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</si>
  <si>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</si>
  <si>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</si>
  <si>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</si>
  <si>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</si>
  <si>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</si>
  <si>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</si>
  <si>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</si>
  <si>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</si>
  <si>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</si>
  <si>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</si>
  <si>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</si>
  <si>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</si>
  <si>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</si>
  <si>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</si>
  <si>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</si>
  <si>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</si>
  <si>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</si>
  <si>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</si>
  <si>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</si>
  <si>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</si>
  <si>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</si>
  <si>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</si>
  <si>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</si>
  <si>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</si>
  <si>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</si>
  <si>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</si>
  <si>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</si>
  <si>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</si>
  <si>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</si>
  <si>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</si>
  <si>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</si>
  <si>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</si>
  <si>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</si>
  <si>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</si>
  <si>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</si>
  <si>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</si>
  <si>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</si>
  <si>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</si>
  <si>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0.00%-0.45%</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</si>
  <si>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Tổng chi phí kỳ dữ liệu không bao gồm chi phí liên quan đến thực hiện các giao dịch tài sản của quỹ.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Total expenses in the the period exclude expenses related to execution of fund’s asset transactions;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</si>
  <si>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Giá trị giao dịch trong kỳ báo cáo của quỹ (*)</t>
  </si>
  <si>
    <t>Tổng giá trị giao dịch trong kỳ báo cáo của quỹ (*)</t>
  </si>
  <si>
    <t>(*) Giá trị giao dịch bao gồm giá trị giao dịch của Quỹ và giá trị giao dịch Quỹ mua/ bán hộ chứng khoán của nhà đầu tư bị hạn chế</t>
  </si>
  <si>
    <t>Không liên quan</t>
  </si>
  <si>
    <t>Phụ lục XXVI. Mẫu báo cáo về hoạt động của quỹ
 Appendix XXVI. Report on Fund's Activities</t>
  </si>
  <si>
    <t>Năm 2023/ Year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</si>
</sst>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_);_(* \(#,##0.00\);_(* &quot;-&quot;??_);_(@_)"/>
    <numFmt numFmtId="164" formatCode="#,##0.00%"/>
    <numFmt numFmtId="165" formatCode="#,##0;\(#,##0\);"/>
    <numFmt numFmtId="166" formatCode="#,##0.000%"/>
    <numFmt numFmtId="167" formatCode="dd/mm/yyyy"/>
    <numFmt numFmtId="168" formatCode="[$-409]dd\ mmm\ yyyy;@"/>
    <numFmt numFmtId="169" formatCode="dd/mmm/yyyy"/>
    <numFmt numFmtId="170" formatCode="_(* #,##0_);_(* \(#,##0\);_(* &quot;-&quot;??_);_(@_)"/>
    <numFmt numFmtId="171" formatCode="_-* #,##0.00&quot; &quot;_₫_-;\-* #,##0.00&quot; &quot;_₫_-;_-* &quot;-&quot;??&quot; &quot;_₫_-;_-@_-"/>
    <numFmt numFmtId="172" formatCode="_-* #,##0.00\ _₫_-;\-* #,##0.00\ _₫_-;_-* &quot;-&quot;??\ _₫_-;_-@_-"/>
    <numFmt numFmtId="173" formatCode="[$-1010000]d/m/yyyy;@"/>
    <numFmt numFmtId="175" formatCode="0.000%"/>
  </numFmts>
  <fonts count="34">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rgb="FF000000"/>
      <name val="Tahoma"/>
      <family val="2"/>
    </font>
    <font>
      <b/>
      <sz val="8"/>
      <color rgb="FF000000"/>
      <name val="Tahoma"/>
      <family val="2"/>
    </font>
    <font>
      <sz val="8"/>
      <color theme="1"/>
      <name val="Tahoma"/>
      <family val="2"/>
    </font>
    <font>
      <i/>
      <sz val="7"/>
      <color rgb="FF000000"/>
      <name val="Tahoma"/>
      <family val="2"/>
    </font>
    <font>
      <b/>
      <sz val="10"/>
      <color rgb="FF000000"/>
      <name val="Tahoma"/>
      <family val="2"/>
    </font>
    <font>
      <b/>
      <sz val="8"/>
      <color theme="1"/>
      <name val="Tahoma"/>
      <family val="2"/>
    </font>
    <font>
      <i/>
      <sz val="8"/>
      <color rgb="FF000000"/>
      <name val="Tahoma"/>
      <family val="2"/>
    </font>
    <font>
      <sz val="11"/>
      <name val="Times New Roman"/>
      <family val="1"/>
    </font>
    <font>
      <sz val="8"/>
      <name val="Tahoma"/>
      <family val="2"/>
    </font>
    <font>
      <b/>
      <sz val="8"/>
      <name val="Tahoma"/>
      <family val="2"/>
    </font>
    <font>
      <sz val="8"/>
      <color theme="0"/>
      <name val="Tahoma"/>
      <family val="2"/>
    </font>
  </fonts>
  <fills count="10">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rgb="FFFFFFF0"/>
        <bgColor indexed="64"/>
      </patternFill>
    </fill>
    <fill>
      <patternFill patternType="solid">
        <fgColor rgb="FFFAFAD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2">
    <xf numFmtId="0" fontId="0" fillId="0" borderId="0"/>
    <xf numFmtId="0" fontId="1" fillId="0" borderId="0"/>
    <xf numFmtId="43" fontId="2" fillId="0" borderId="0" applyFont="0" applyFill="0" applyBorder="0" applyAlignment="0" applyProtection="0"/>
    <xf numFmtId="9" fontId="2" fillId="0" borderId="0" applyFont="0" applyFill="0" applyBorder="0" applyAlignment="0" applyProtection="0"/>
    <xf numFmtId="0" fontId="3" fillId="0" borderId="0">
      <alignment vertical="center"/>
    </xf>
    <xf numFmtId="0" fontId="13" fillId="0" borderId="0">
      <alignment vertical="center"/>
    </xf>
    <xf numFmtId="0" fontId="16" fillId="0" borderId="0"/>
    <xf numFmtId="0" fontId="20" fillId="0" borderId="0" applyNumberFormat="0" applyFill="0" applyBorder="0" applyAlignment="0" applyProtection="0"/>
    <xf numFmtId="0" fontId="2" fillId="0" borderId="0"/>
    <xf numFmtId="171" fontId="30" fillId="0" borderId="0" applyFont="0" applyFill="0" applyBorder="0" applyAlignment="0" applyProtection="0"/>
    <xf numFmtId="0" fontId="1" fillId="0" borderId="0"/>
    <xf numFmtId="0" fontId="16" fillId="0" borderId="0"/>
  </cellStyleXfs>
  <cellXfs count="313">
    <xf numFmtId="0" fontId="0" fillId="0" borderId="0" xfId="0"/>
    <xf numFmtId="0" fontId="4" fillId="2" borderId="0" xfId="4" applyNumberFormat="1" applyFont="1" applyFill="1" applyBorder="1" applyAlignment="1" applyProtection="1">
      <alignment horizontal="center" vertical="top"/>
    </xf>
    <xf numFmtId="0" fontId="7" fillId="2" borderId="0" xfId="4" applyNumberFormat="1" applyFont="1" applyFill="1" applyBorder="1" applyAlignment="1" applyProtection="1">
      <alignment horizontal="left" vertical="top"/>
    </xf>
    <xf numFmtId="0" fontId="7" fillId="2" borderId="0" xfId="4" applyNumberFormat="1" applyFont="1" applyFill="1" applyBorder="1" applyAlignment="1" applyProtection="1">
      <alignment horizontal="left" vertical="top"/>
    </xf>
    <xf numFmtId="0" fontId="8" fillId="2" borderId="0" xfId="4" applyNumberFormat="1" applyFont="1" applyFill="1" applyBorder="1" applyAlignment="1" applyProtection="1">
      <alignment horizontal="center"/>
    </xf>
    <xf numFmtId="0" fontId="4" fillId="2" borderId="0" xfId="4" applyNumberFormat="1" applyFont="1" applyFill="1" applyBorder="1" applyAlignment="1" applyProtection="1">
      <alignment horizontal="center" vertical="center"/>
    </xf>
    <xf numFmtId="0" fontId="7" fillId="2" borderId="5" xfId="4" applyNumberFormat="1" applyFont="1" applyFill="1" applyBorder="1" applyAlignment="1" applyProtection="1">
      <alignment horizontal="center" vertical="top"/>
    </xf>
    <xf numFmtId="0" fontId="7" fillId="2" borderId="6" xfId="4" applyNumberFormat="1" applyFont="1" applyFill="1" applyBorder="1" applyAlignment="1" applyProtection="1">
      <alignment horizontal="left" vertical="top" wrapText="1"/>
    </xf>
    <xf numFmtId="164" fontId="7" fillId="2" borderId="7" xfId="4" applyNumberFormat="1" applyFont="1" applyFill="1" applyBorder="1" applyAlignment="1" applyProtection="1">
      <alignment horizontal="right" vertical="top"/>
    </xf>
    <xf numFmtId="3" fontId="7" fillId="2" borderId="6" xfId="4" applyNumberFormat="1" applyFont="1" applyFill="1" applyBorder="1" applyAlignment="1" applyProtection="1">
      <alignment horizontal="right" vertical="top"/>
    </xf>
    <xf numFmtId="164" fontId="7" fillId="2" borderId="6" xfId="4" applyNumberFormat="1" applyFont="1" applyFill="1" applyBorder="1" applyAlignment="1" applyProtection="1">
      <alignment horizontal="right" vertical="top"/>
    </xf>
    <xf numFmtId="0" fontId="4" fillId="3" borderId="12" xfId="4" applyNumberFormat="1" applyFont="1" applyFill="1" applyBorder="1" applyAlignment="1" applyProtection="1">
      <alignment horizontal="center" vertical="center" wrapText="1"/>
    </xf>
    <xf numFmtId="0" fontId="11" fillId="6" borderId="0" xfId="0" applyFont="1" applyFill="1"/>
    <xf numFmtId="0" fontId="11" fillId="6" borderId="0" xfId="0" applyFont="1" applyFill="1" applyAlignment="1">
      <alignment horizontal="left"/>
    </xf>
    <xf numFmtId="0" fontId="10" fillId="7" borderId="15" xfId="0" applyFont="1" applyFill="1" applyBorder="1" applyAlignment="1">
      <alignment vertical="center"/>
    </xf>
    <xf numFmtId="0" fontId="10" fillId="7" borderId="15" xfId="0" applyFont="1" applyFill="1" applyBorder="1" applyAlignment="1">
      <alignment vertical="center" wrapText="1"/>
    </xf>
    <xf numFmtId="0" fontId="10" fillId="7" borderId="16" xfId="0" applyFont="1" applyFill="1" applyBorder="1" applyAlignment="1">
      <alignment vertical="center" wrapText="1"/>
    </xf>
    <xf numFmtId="0" fontId="11" fillId="7" borderId="0" xfId="0" applyFont="1" applyFill="1" applyBorder="1" applyAlignment="1">
      <alignment vertical="center"/>
    </xf>
    <xf numFmtId="0" fontId="11" fillId="7" borderId="0" xfId="0" applyFont="1" applyFill="1" applyBorder="1" applyAlignment="1">
      <alignment vertical="center" wrapText="1"/>
    </xf>
    <xf numFmtId="0" fontId="11" fillId="7" borderId="21" xfId="0" applyFont="1" applyFill="1" applyBorder="1" applyAlignment="1">
      <alignment vertical="center" wrapText="1"/>
    </xf>
    <xf numFmtId="0" fontId="12" fillId="6" borderId="0" xfId="0" applyFont="1" applyFill="1" applyBorder="1"/>
    <xf numFmtId="0" fontId="10" fillId="7" borderId="0" xfId="0" applyFont="1" applyFill="1" applyBorder="1" applyAlignment="1">
      <alignment vertical="center"/>
    </xf>
    <xf numFmtId="0" fontId="10" fillId="7" borderId="0" xfId="0" applyFont="1" applyFill="1" applyBorder="1" applyAlignment="1">
      <alignment vertical="center" wrapText="1"/>
    </xf>
    <xf numFmtId="0" fontId="10" fillId="7" borderId="21" xfId="0" applyFont="1" applyFill="1" applyBorder="1" applyAlignment="1">
      <alignment vertical="center" wrapText="1"/>
    </xf>
    <xf numFmtId="167" fontId="10" fillId="7" borderId="0" xfId="0" applyNumberFormat="1" applyFont="1" applyFill="1" applyBorder="1" applyAlignment="1">
      <alignment horizontal="left" vertical="center"/>
    </xf>
    <xf numFmtId="169" fontId="11" fillId="7" borderId="19" xfId="0" applyNumberFormat="1" applyFont="1" applyFill="1" applyBorder="1" applyAlignment="1"/>
    <xf numFmtId="0" fontId="15" fillId="6" borderId="0" xfId="0" applyFont="1" applyFill="1"/>
    <xf numFmtId="0" fontId="19" fillId="6" borderId="0" xfId="6" applyFont="1" applyFill="1" applyBorder="1" applyAlignment="1">
      <alignment horizontal="center" vertical="center"/>
    </xf>
    <xf numFmtId="0" fontId="18" fillId="6" borderId="0" xfId="6" applyFont="1" applyFill="1" applyBorder="1" applyAlignment="1">
      <alignment horizontal="center" vertical="center"/>
    </xf>
    <xf numFmtId="0" fontId="10" fillId="6" borderId="22" xfId="0" applyFont="1" applyFill="1" applyBorder="1" applyAlignment="1">
      <alignment horizontal="center" vertical="center"/>
    </xf>
    <xf numFmtId="0" fontId="10" fillId="6" borderId="22" xfId="0" applyFont="1" applyFill="1" applyBorder="1" applyAlignment="1">
      <alignment horizontal="left" vertical="center"/>
    </xf>
    <xf numFmtId="0" fontId="11" fillId="6" borderId="22" xfId="0" applyFont="1" applyFill="1" applyBorder="1" applyAlignment="1">
      <alignment horizontal="center" vertical="center"/>
    </xf>
    <xf numFmtId="0" fontId="21" fillId="6" borderId="22" xfId="7" applyFont="1" applyFill="1" applyBorder="1" applyAlignment="1">
      <alignment horizontal="center" vertical="center"/>
    </xf>
    <xf numFmtId="0" fontId="21" fillId="6" borderId="22" xfId="7" quotePrefix="1" applyFont="1" applyFill="1" applyBorder="1" applyAlignment="1">
      <alignment horizontal="center" vertical="center"/>
    </xf>
    <xf numFmtId="0" fontId="18" fillId="6" borderId="22" xfId="6" applyFont="1" applyFill="1" applyBorder="1" applyAlignment="1">
      <alignment horizontal="center" vertical="center"/>
    </xf>
    <xf numFmtId="0" fontId="22" fillId="6" borderId="0" xfId="0" applyFont="1" applyFill="1" applyBorder="1"/>
    <xf numFmtId="0" fontId="15" fillId="6" borderId="0" xfId="0" applyFont="1" applyFill="1" applyBorder="1" applyAlignment="1">
      <alignment vertical="center"/>
    </xf>
    <xf numFmtId="0" fontId="4" fillId="2" borderId="0" xfId="4" applyNumberFormat="1" applyFont="1" applyFill="1" applyBorder="1" applyAlignment="1" applyProtection="1">
      <alignment horizontal="left" vertical="top" wrapText="1"/>
    </xf>
    <xf numFmtId="0" fontId="7" fillId="2" borderId="0" xfId="4" applyNumberFormat="1" applyFont="1" applyFill="1" applyBorder="1" applyAlignment="1" applyProtection="1">
      <alignment horizontal="center" vertical="center"/>
    </xf>
    <xf numFmtId="0" fontId="24" fillId="8" borderId="0" xfId="0" applyFont="1" applyFill="1" applyAlignment="1">
      <alignment horizontal="right" vertical="center"/>
    </xf>
    <xf numFmtId="0" fontId="25" fillId="0" borderId="0" xfId="0" applyFont="1"/>
    <xf numFmtId="0" fontId="23" fillId="8" borderId="0" xfId="0" applyFont="1" applyFill="1" applyAlignment="1">
      <alignment horizontal="left" vertical="top"/>
    </xf>
    <xf numFmtId="0" fontId="24" fillId="8" borderId="0" xfId="0" applyFont="1" applyFill="1" applyAlignment="1">
      <alignment horizontal="center" vertical="top"/>
    </xf>
    <xf numFmtId="0" fontId="24" fillId="8" borderId="0" xfId="0" applyFont="1" applyFill="1" applyAlignment="1">
      <alignment horizontal="left" vertical="top"/>
    </xf>
    <xf numFmtId="0" fontId="23" fillId="8" borderId="23" xfId="0" applyFont="1" applyFill="1" applyBorder="1" applyAlignment="1">
      <alignment horizontal="left" vertical="top"/>
    </xf>
    <xf numFmtId="0" fontId="23" fillId="8" borderId="23" xfId="0" applyFont="1" applyFill="1" applyBorder="1" applyAlignment="1">
      <alignment horizontal="right" vertical="top"/>
    </xf>
    <xf numFmtId="0" fontId="24" fillId="3" borderId="24" xfId="0" applyFont="1" applyFill="1" applyBorder="1" applyAlignment="1">
      <alignment horizontal="center" vertical="center" wrapText="1"/>
    </xf>
    <xf numFmtId="0" fontId="24" fillId="3"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3" fillId="8" borderId="27" xfId="0" applyFont="1" applyFill="1" applyBorder="1" applyAlignment="1">
      <alignment horizontal="center" vertical="center"/>
    </xf>
    <xf numFmtId="0" fontId="23" fillId="8" borderId="6" xfId="0" applyFont="1" applyFill="1" applyBorder="1" applyAlignment="1">
      <alignment horizontal="left" vertical="center" wrapText="1"/>
    </xf>
    <xf numFmtId="0" fontId="23" fillId="8" borderId="6" xfId="0" applyFont="1" applyFill="1" applyBorder="1" applyAlignment="1">
      <alignment horizontal="center" vertical="center"/>
    </xf>
    <xf numFmtId="170" fontId="24" fillId="8" borderId="6" xfId="2" applyNumberFormat="1" applyFont="1" applyFill="1" applyBorder="1" applyAlignment="1">
      <alignment horizontal="right" vertical="center"/>
    </xf>
    <xf numFmtId="164" fontId="23" fillId="8" borderId="28" xfId="0" applyNumberFormat="1" applyFont="1" applyFill="1" applyBorder="1" applyAlignment="1">
      <alignment horizontal="right" vertical="center"/>
    </xf>
    <xf numFmtId="170" fontId="23" fillId="8" borderId="6" xfId="2" applyNumberFormat="1" applyFont="1" applyFill="1" applyBorder="1" applyAlignment="1">
      <alignment horizontal="right" vertical="center"/>
    </xf>
    <xf numFmtId="170" fontId="25" fillId="0" borderId="0" xfId="0" applyNumberFormat="1" applyFont="1"/>
    <xf numFmtId="170" fontId="29" fillId="8" borderId="6" xfId="2" applyNumberFormat="1" applyFont="1" applyFill="1" applyBorder="1" applyAlignment="1">
      <alignment horizontal="right" vertical="center"/>
    </xf>
    <xf numFmtId="0" fontId="24" fillId="8" borderId="27" xfId="0" applyFont="1" applyFill="1" applyBorder="1" applyAlignment="1">
      <alignment horizontal="center" vertical="center"/>
    </xf>
    <xf numFmtId="0" fontId="24" fillId="8" borderId="6" xfId="0" applyFont="1" applyFill="1" applyBorder="1" applyAlignment="1">
      <alignment horizontal="left" vertical="center" wrapText="1"/>
    </xf>
    <xf numFmtId="0" fontId="24" fillId="8" borderId="6" xfId="0" applyFont="1" applyFill="1" applyBorder="1" applyAlignment="1">
      <alignment horizontal="center" vertical="center"/>
    </xf>
    <xf numFmtId="164" fontId="24" fillId="8" borderId="28" xfId="0" applyNumberFormat="1" applyFont="1" applyFill="1" applyBorder="1" applyAlignment="1">
      <alignment horizontal="right" vertical="center"/>
    </xf>
    <xf numFmtId="0" fontId="28" fillId="0" borderId="0" xfId="0" applyFont="1"/>
    <xf numFmtId="170" fontId="23" fillId="0" borderId="6" xfId="2" applyNumberFormat="1" applyFont="1" applyFill="1" applyBorder="1" applyAlignment="1">
      <alignment horizontal="right" vertical="center"/>
    </xf>
    <xf numFmtId="164" fontId="23" fillId="0" borderId="28" xfId="0" applyNumberFormat="1" applyFont="1" applyFill="1" applyBorder="1" applyAlignment="1">
      <alignment horizontal="right" vertical="center"/>
    </xf>
    <xf numFmtId="170" fontId="29" fillId="0" borderId="6" xfId="2" applyNumberFormat="1" applyFont="1" applyFill="1" applyBorder="1" applyAlignment="1">
      <alignment horizontal="right" vertical="center"/>
    </xf>
    <xf numFmtId="0" fontId="23" fillId="8" borderId="29" xfId="0" applyFont="1" applyFill="1" applyBorder="1" applyAlignment="1">
      <alignment horizontal="center" vertical="center"/>
    </xf>
    <xf numFmtId="0" fontId="23" fillId="8" borderId="30" xfId="0" applyFont="1" applyFill="1" applyBorder="1" applyAlignment="1">
      <alignment horizontal="left" vertical="center" wrapText="1"/>
    </xf>
    <xf numFmtId="0" fontId="23" fillId="8" borderId="30" xfId="0" applyFont="1" applyFill="1" applyBorder="1" applyAlignment="1">
      <alignment horizontal="center" vertical="center"/>
    </xf>
    <xf numFmtId="43" fontId="23" fillId="8" borderId="30" xfId="2" applyFont="1" applyFill="1" applyBorder="1" applyAlignment="1">
      <alignment horizontal="right" vertical="center"/>
    </xf>
    <xf numFmtId="164" fontId="23" fillId="8" borderId="31" xfId="0" applyNumberFormat="1" applyFont="1" applyFill="1" applyBorder="1" applyAlignment="1">
      <alignment horizontal="right" vertical="center"/>
    </xf>
    <xf numFmtId="0" fontId="29" fillId="8" borderId="0" xfId="0" applyFont="1" applyFill="1" applyAlignment="1">
      <alignment horizontal="center"/>
    </xf>
    <xf numFmtId="0" fontId="25" fillId="0" borderId="0" xfId="0" applyFont="1" applyAlignment="1">
      <alignment vertical="top"/>
    </xf>
    <xf numFmtId="0" fontId="24" fillId="8" borderId="0" xfId="0" applyFont="1" applyFill="1" applyAlignment="1">
      <alignment horizontal="center" vertical="center"/>
    </xf>
    <xf numFmtId="0" fontId="25" fillId="0" borderId="0" xfId="0" applyFont="1" applyAlignment="1">
      <alignment vertical="center"/>
    </xf>
    <xf numFmtId="165" fontId="24" fillId="8" borderId="27" xfId="0" applyNumberFormat="1" applyFont="1" applyFill="1" applyBorder="1" applyAlignment="1">
      <alignment horizontal="center" vertical="center"/>
    </xf>
    <xf numFmtId="165" fontId="24" fillId="8" borderId="6" xfId="0" applyNumberFormat="1" applyFont="1" applyFill="1" applyBorder="1" applyAlignment="1">
      <alignment horizontal="left" vertical="center" wrapText="1"/>
    </xf>
    <xf numFmtId="165" fontId="24" fillId="8" borderId="6" xfId="0" applyNumberFormat="1" applyFont="1" applyFill="1" applyBorder="1" applyAlignment="1">
      <alignment horizontal="center" vertical="center"/>
    </xf>
    <xf numFmtId="170" fontId="24" fillId="8" borderId="28" xfId="2" applyNumberFormat="1" applyFont="1" applyFill="1" applyBorder="1" applyAlignment="1">
      <alignment horizontal="right" vertical="center"/>
    </xf>
    <xf numFmtId="170" fontId="25" fillId="0" borderId="0" xfId="0" applyNumberFormat="1" applyFont="1" applyAlignment="1">
      <alignment vertical="center"/>
    </xf>
    <xf numFmtId="165" fontId="23" fillId="8" borderId="27" xfId="0" applyNumberFormat="1" applyFont="1" applyFill="1" applyBorder="1" applyAlignment="1">
      <alignment horizontal="center" vertical="center"/>
    </xf>
    <xf numFmtId="165" fontId="23" fillId="8" borderId="6" xfId="0" applyNumberFormat="1" applyFont="1" applyFill="1" applyBorder="1" applyAlignment="1">
      <alignment horizontal="left" vertical="center" wrapText="1"/>
    </xf>
    <xf numFmtId="165" fontId="23" fillId="8" borderId="6" xfId="0" applyNumberFormat="1" applyFont="1" applyFill="1" applyBorder="1" applyAlignment="1">
      <alignment horizontal="center" vertical="center"/>
    </xf>
    <xf numFmtId="170" fontId="23" fillId="8" borderId="28" xfId="2" applyNumberFormat="1" applyFont="1" applyFill="1" applyBorder="1" applyAlignment="1">
      <alignment horizontal="right" vertical="center"/>
    </xf>
    <xf numFmtId="165" fontId="29" fillId="8" borderId="27" xfId="0" applyNumberFormat="1" applyFont="1" applyFill="1" applyBorder="1" applyAlignment="1">
      <alignment horizontal="center" vertical="center"/>
    </xf>
    <xf numFmtId="165" fontId="29" fillId="8" borderId="6" xfId="0" applyNumberFormat="1" applyFont="1" applyFill="1" applyBorder="1" applyAlignment="1">
      <alignment horizontal="left" vertical="center" wrapText="1"/>
    </xf>
    <xf numFmtId="165" fontId="29" fillId="8" borderId="6" xfId="0" applyNumberFormat="1" applyFont="1" applyFill="1" applyBorder="1" applyAlignment="1">
      <alignment horizontal="center" vertical="center"/>
    </xf>
    <xf numFmtId="170" fontId="29" fillId="8" borderId="28" xfId="2" applyNumberFormat="1" applyFont="1" applyFill="1" applyBorder="1" applyAlignment="1">
      <alignment horizontal="right" vertical="center"/>
    </xf>
    <xf numFmtId="165" fontId="23" fillId="8" borderId="29" xfId="0" applyNumberFormat="1" applyFont="1" applyFill="1" applyBorder="1" applyAlignment="1">
      <alignment horizontal="center" vertical="center"/>
    </xf>
    <xf numFmtId="165" fontId="23" fillId="8" borderId="30" xfId="0" applyNumberFormat="1" applyFont="1" applyFill="1" applyBorder="1" applyAlignment="1">
      <alignment horizontal="left" vertical="center" wrapText="1"/>
    </xf>
    <xf numFmtId="165" fontId="23" fillId="8" borderId="30" xfId="0" applyNumberFormat="1" applyFont="1" applyFill="1" applyBorder="1" applyAlignment="1">
      <alignment horizontal="center" vertical="center"/>
    </xf>
    <xf numFmtId="170" fontId="23" fillId="8" borderId="30" xfId="2" applyNumberFormat="1" applyFont="1" applyFill="1" applyBorder="1" applyAlignment="1">
      <alignment horizontal="right" vertical="center"/>
    </xf>
    <xf numFmtId="0" fontId="23" fillId="8" borderId="0" xfId="0" applyFont="1" applyFill="1" applyAlignment="1">
      <alignment horizontal="left" vertical="center"/>
    </xf>
    <xf numFmtId="0" fontId="24" fillId="8" borderId="0" xfId="0" applyFont="1" applyFill="1" applyAlignment="1">
      <alignment horizontal="left" vertical="center"/>
    </xf>
    <xf numFmtId="0" fontId="29" fillId="8" borderId="0" xfId="0" applyFont="1" applyFill="1" applyAlignment="1">
      <alignment horizontal="right" vertical="center"/>
    </xf>
    <xf numFmtId="0" fontId="23" fillId="8" borderId="23" xfId="0" applyFont="1" applyFill="1" applyBorder="1" applyAlignment="1">
      <alignment horizontal="left" vertical="center"/>
    </xf>
    <xf numFmtId="0" fontId="23" fillId="8" borderId="23" xfId="0" applyFont="1" applyFill="1" applyBorder="1" applyAlignment="1">
      <alignment horizontal="right" vertical="center"/>
    </xf>
    <xf numFmtId="4" fontId="23" fillId="8" borderId="6" xfId="0" applyNumberFormat="1" applyFont="1" applyFill="1" applyBorder="1" applyAlignment="1">
      <alignment horizontal="right" vertical="center"/>
    </xf>
    <xf numFmtId="165" fontId="23" fillId="8" borderId="6" xfId="0" applyNumberFormat="1" applyFont="1" applyFill="1" applyBorder="1" applyAlignment="1">
      <alignment horizontal="right" vertical="center"/>
    </xf>
    <xf numFmtId="165" fontId="25" fillId="0" borderId="0" xfId="0" applyNumberFormat="1" applyFont="1" applyAlignment="1">
      <alignment vertical="center"/>
    </xf>
    <xf numFmtId="0" fontId="24" fillId="3" borderId="32" xfId="0" applyFont="1" applyFill="1" applyBorder="1" applyAlignment="1">
      <alignment horizontal="center" vertical="center" wrapText="1"/>
    </xf>
    <xf numFmtId="0" fontId="24" fillId="3" borderId="33" xfId="0" applyFont="1" applyFill="1" applyBorder="1" applyAlignment="1">
      <alignment horizontal="center" vertical="center" wrapText="1"/>
    </xf>
    <xf numFmtId="0" fontId="24" fillId="3" borderId="34" xfId="0" applyFont="1" applyFill="1" applyBorder="1" applyAlignment="1">
      <alignment horizontal="center" vertical="center" wrapText="1"/>
    </xf>
    <xf numFmtId="0" fontId="25" fillId="7" borderId="0" xfId="8" applyFont="1" applyFill="1"/>
    <xf numFmtId="0" fontId="9" fillId="7" borderId="0" xfId="8" applyFont="1" applyFill="1" applyAlignment="1">
      <alignment wrapText="1"/>
    </xf>
    <xf numFmtId="0" fontId="8" fillId="7" borderId="0" xfId="8" applyFont="1" applyFill="1" applyAlignment="1">
      <alignment horizontal="center"/>
    </xf>
    <xf numFmtId="0" fontId="4" fillId="7" borderId="0" xfId="8" applyFont="1" applyFill="1" applyAlignment="1">
      <alignment horizontal="center"/>
    </xf>
    <xf numFmtId="170" fontId="4" fillId="7" borderId="0" xfId="9" applyNumberFormat="1" applyFont="1" applyFill="1" applyAlignment="1">
      <alignment horizontal="center"/>
    </xf>
    <xf numFmtId="0" fontId="4" fillId="7" borderId="0" xfId="8" applyFont="1" applyFill="1" applyAlignment="1">
      <alignment horizontal="center" vertical="center" wrapText="1"/>
    </xf>
    <xf numFmtId="0" fontId="4" fillId="7" borderId="0" xfId="8" applyFont="1" applyFill="1" applyAlignment="1">
      <alignment horizontal="left" vertical="center"/>
    </xf>
    <xf numFmtId="0" fontId="7" fillId="7" borderId="0" xfId="8" applyFont="1" applyFill="1" applyAlignment="1">
      <alignment horizontal="left" vertical="center"/>
    </xf>
    <xf numFmtId="170" fontId="7" fillId="7" borderId="0" xfId="9" applyNumberFormat="1" applyFont="1" applyFill="1" applyAlignment="1">
      <alignment horizontal="center"/>
    </xf>
    <xf numFmtId="0" fontId="7" fillId="7" borderId="0" xfId="8" applyFont="1" applyFill="1" applyAlignment="1">
      <alignment horizontal="center"/>
    </xf>
    <xf numFmtId="0" fontId="4" fillId="7" borderId="0" xfId="8" applyFont="1" applyFill="1" applyAlignment="1">
      <alignment horizontal="center" vertical="center"/>
    </xf>
    <xf numFmtId="0" fontId="4" fillId="7" borderId="0" xfId="8" applyFont="1" applyFill="1" applyAlignment="1">
      <alignment horizontal="left" wrapText="1"/>
    </xf>
    <xf numFmtId="0" fontId="4" fillId="7" borderId="0" xfId="8" applyFont="1" applyFill="1" applyAlignment="1">
      <alignment vertical="center"/>
    </xf>
    <xf numFmtId="48" fontId="7" fillId="7" borderId="0" xfId="8" applyNumberFormat="1" applyFont="1" applyFill="1" applyAlignment="1" applyProtection="1">
      <alignment horizontal="left" vertical="center" wrapText="1"/>
      <protection locked="0"/>
    </xf>
    <xf numFmtId="0" fontId="7" fillId="7" borderId="0" xfId="8" applyFont="1" applyFill="1" applyAlignment="1">
      <alignment horizontal="left" wrapText="1"/>
    </xf>
    <xf numFmtId="0" fontId="23" fillId="8" borderId="0" xfId="10" applyNumberFormat="1" applyFont="1" applyFill="1" applyBorder="1" applyAlignment="1" applyProtection="1">
      <alignment vertical="top"/>
    </xf>
    <xf numFmtId="0" fontId="7" fillId="7" borderId="0" xfId="8" applyFont="1" applyFill="1" applyAlignment="1">
      <alignment vertical="center"/>
    </xf>
    <xf numFmtId="3" fontId="7" fillId="7" borderId="0" xfId="8" applyNumberFormat="1" applyFont="1" applyFill="1" applyAlignment="1">
      <alignment horizontal="left" vertical="center" wrapText="1"/>
    </xf>
    <xf numFmtId="48" fontId="4" fillId="7" borderId="0" xfId="8" applyNumberFormat="1" applyFont="1" applyFill="1" applyAlignment="1" applyProtection="1">
      <alignment horizontal="left" vertical="center" wrapText="1"/>
      <protection locked="0"/>
    </xf>
    <xf numFmtId="48" fontId="7" fillId="7" borderId="0" xfId="8" applyNumberFormat="1" applyFont="1" applyFill="1" applyAlignment="1" applyProtection="1">
      <alignment vertical="center" wrapText="1"/>
      <protection locked="0"/>
    </xf>
    <xf numFmtId="0" fontId="28" fillId="7" borderId="0" xfId="0" applyFont="1" applyFill="1" applyAlignment="1">
      <alignment vertical="center"/>
    </xf>
    <xf numFmtId="172" fontId="7" fillId="7" borderId="0" xfId="8" applyNumberFormat="1" applyFont="1" applyFill="1" applyAlignment="1">
      <alignment horizontal="left" vertical="center" wrapText="1"/>
    </xf>
    <xf numFmtId="0" fontId="7" fillId="7" borderId="0" xfId="8" applyFont="1" applyFill="1" applyAlignment="1">
      <alignment horizontal="left" vertical="center" wrapText="1"/>
    </xf>
    <xf numFmtId="0" fontId="25" fillId="7" borderId="0" xfId="8" applyFont="1" applyFill="1" applyAlignment="1">
      <alignment horizontal="left"/>
    </xf>
    <xf numFmtId="3" fontId="7" fillId="7" borderId="0" xfId="8" applyNumberFormat="1" applyFont="1" applyFill="1" applyAlignment="1">
      <alignment wrapText="1"/>
    </xf>
    <xf numFmtId="3" fontId="4" fillId="7" borderId="0" xfId="8" applyNumberFormat="1" applyFont="1" applyFill="1" applyAlignment="1">
      <alignment wrapText="1"/>
    </xf>
    <xf numFmtId="0" fontId="31" fillId="7" borderId="0" xfId="8" applyFont="1" applyFill="1"/>
    <xf numFmtId="0" fontId="28" fillId="9" borderId="22" xfId="8" applyFont="1" applyFill="1" applyBorder="1" applyAlignment="1">
      <alignment horizontal="center" vertical="center" wrapText="1"/>
    </xf>
    <xf numFmtId="0" fontId="25" fillId="0" borderId="22" xfId="8" applyFont="1" applyFill="1" applyBorder="1" applyAlignment="1">
      <alignment horizontal="center" vertical="center"/>
    </xf>
    <xf numFmtId="49" fontId="25" fillId="0" borderId="22" xfId="8" applyNumberFormat="1" applyFont="1" applyFill="1" applyBorder="1" applyAlignment="1" applyProtection="1">
      <alignment horizontal="left" vertical="center" wrapText="1"/>
    </xf>
    <xf numFmtId="49" fontId="33" fillId="0" borderId="22" xfId="8" applyNumberFormat="1" applyFont="1" applyFill="1" applyBorder="1" applyAlignment="1" applyProtection="1">
      <alignment horizontal="center" vertical="center" wrapText="1"/>
    </xf>
    <xf numFmtId="49" fontId="31" fillId="0" borderId="22" xfId="8" applyNumberFormat="1" applyFont="1" applyFill="1" applyBorder="1" applyAlignment="1" applyProtection="1">
      <alignment horizontal="left" vertical="center" wrapText="1"/>
    </xf>
    <xf numFmtId="49" fontId="25" fillId="0" borderId="22" xfId="8" applyNumberFormat="1" applyFont="1" applyFill="1" applyBorder="1" applyAlignment="1" applyProtection="1">
      <alignment horizontal="center" vertical="center" wrapText="1"/>
    </xf>
    <xf numFmtId="0" fontId="8" fillId="7" borderId="0" xfId="8" applyFont="1" applyFill="1"/>
    <xf numFmtId="173" fontId="32" fillId="7" borderId="0" xfId="11" applyNumberFormat="1" applyFont="1" applyFill="1" applyAlignment="1">
      <alignment vertical="center" wrapText="1"/>
    </xf>
    <xf numFmtId="0" fontId="31" fillId="7" borderId="0" xfId="11" applyFont="1" applyFill="1" applyBorder="1" applyAlignment="1">
      <alignment vertical="center"/>
    </xf>
    <xf numFmtId="170" fontId="32" fillId="7" borderId="0" xfId="9" applyNumberFormat="1" applyFont="1" applyFill="1" applyBorder="1" applyAlignment="1">
      <alignment vertical="center" wrapText="1"/>
    </xf>
    <xf numFmtId="0" fontId="32" fillId="7" borderId="0" xfId="11" applyFont="1" applyFill="1" applyBorder="1" applyAlignment="1">
      <alignment vertical="center"/>
    </xf>
    <xf numFmtId="0" fontId="32" fillId="7" borderId="0" xfId="11" applyFont="1" applyFill="1" applyBorder="1" applyAlignment="1">
      <alignment vertical="center" wrapText="1"/>
    </xf>
    <xf numFmtId="170" fontId="32" fillId="7" borderId="0" xfId="9" applyNumberFormat="1" applyFont="1" applyFill="1" applyBorder="1" applyAlignment="1">
      <alignment horizontal="right" vertical="center" wrapText="1"/>
    </xf>
    <xf numFmtId="170" fontId="32" fillId="7" borderId="0" xfId="9" applyNumberFormat="1" applyFont="1" applyFill="1" applyBorder="1" applyAlignment="1">
      <alignment horizontal="left" vertical="center"/>
    </xf>
    <xf numFmtId="2" fontId="31" fillId="7" borderId="0" xfId="11" applyNumberFormat="1" applyFont="1" applyFill="1" applyAlignment="1">
      <alignment vertical="center"/>
    </xf>
    <xf numFmtId="170" fontId="32" fillId="7" borderId="0" xfId="9" applyNumberFormat="1" applyFont="1" applyFill="1" applyBorder="1" applyAlignment="1">
      <alignment horizontal="right" vertical="center"/>
    </xf>
    <xf numFmtId="170" fontId="32" fillId="7" borderId="0" xfId="9" applyNumberFormat="1" applyFont="1" applyFill="1" applyAlignment="1">
      <alignment horizontal="right" vertical="center"/>
    </xf>
    <xf numFmtId="2" fontId="31" fillId="7" borderId="0" xfId="11" applyNumberFormat="1" applyFont="1" applyFill="1" applyAlignment="1">
      <alignment horizontal="right" vertical="center"/>
    </xf>
    <xf numFmtId="170" fontId="31" fillId="7" borderId="0" xfId="9" applyNumberFormat="1" applyFont="1" applyFill="1" applyAlignment="1">
      <alignment horizontal="right" vertical="center"/>
    </xf>
    <xf numFmtId="2" fontId="32" fillId="7" borderId="0" xfId="11" applyNumberFormat="1" applyFont="1" applyFill="1" applyAlignment="1">
      <alignment vertical="center"/>
    </xf>
    <xf numFmtId="2" fontId="31" fillId="7" borderId="18" xfId="11" applyNumberFormat="1" applyFont="1" applyFill="1" applyBorder="1" applyAlignment="1">
      <alignment vertical="center"/>
    </xf>
    <xf numFmtId="170" fontId="31" fillId="7" borderId="18" xfId="9" applyNumberFormat="1" applyFont="1" applyFill="1" applyBorder="1" applyAlignment="1">
      <alignment horizontal="right" vertical="center"/>
    </xf>
    <xf numFmtId="2" fontId="31" fillId="7" borderId="0" xfId="11" applyNumberFormat="1" applyFont="1" applyFill="1" applyBorder="1" applyAlignment="1">
      <alignment horizontal="right" vertical="center"/>
    </xf>
    <xf numFmtId="0" fontId="25" fillId="7" borderId="0" xfId="8" applyFont="1" applyFill="1" applyBorder="1"/>
    <xf numFmtId="2" fontId="31" fillId="7" borderId="0" xfId="11" applyNumberFormat="1" applyFont="1" applyFill="1" applyBorder="1" applyAlignment="1">
      <alignment vertical="center"/>
    </xf>
    <xf numFmtId="0" fontId="25" fillId="7" borderId="0" xfId="8" applyFont="1" applyFill="1" applyAlignment="1">
      <alignment vertical="center"/>
    </xf>
    <xf numFmtId="2" fontId="25" fillId="7" borderId="0" xfId="11" applyNumberFormat="1" applyFont="1" applyFill="1" applyAlignment="1">
      <alignment vertical="center"/>
    </xf>
    <xf numFmtId="0" fontId="32" fillId="0" borderId="0" xfId="8" applyFont="1" applyFill="1" applyAlignment="1">
      <alignment vertical="center"/>
    </xf>
    <xf numFmtId="0" fontId="32" fillId="7" borderId="0" xfId="8" applyFont="1" applyFill="1" applyAlignment="1">
      <alignment vertical="center"/>
    </xf>
    <xf numFmtId="0" fontId="29" fillId="8" borderId="23" xfId="0" applyFont="1" applyFill="1" applyBorder="1" applyAlignment="1">
      <alignment horizontal="right" vertical="center"/>
    </xf>
    <xf numFmtId="3" fontId="24" fillId="8" borderId="6" xfId="0" applyNumberFormat="1" applyFont="1" applyFill="1" applyBorder="1" applyAlignment="1">
      <alignment horizontal="right" vertical="center"/>
    </xf>
    <xf numFmtId="3" fontId="24" fillId="8" borderId="28" xfId="0" applyNumberFormat="1" applyFont="1" applyFill="1" applyBorder="1" applyAlignment="1">
      <alignment horizontal="right" vertical="center"/>
    </xf>
    <xf numFmtId="164" fontId="23" fillId="8" borderId="6" xfId="0" applyNumberFormat="1" applyFont="1" applyFill="1" applyBorder="1" applyAlignment="1">
      <alignment horizontal="right" vertical="center"/>
    </xf>
    <xf numFmtId="10" fontId="25" fillId="0" borderId="0" xfId="0" applyNumberFormat="1" applyFont="1" applyAlignment="1">
      <alignment vertical="center"/>
    </xf>
    <xf numFmtId="170" fontId="23" fillId="8" borderId="6" xfId="2" applyNumberFormat="1" applyFont="1" applyFill="1" applyBorder="1" applyAlignment="1" applyProtection="1">
      <alignment horizontal="right" vertical="center"/>
    </xf>
    <xf numFmtId="170" fontId="23" fillId="8" borderId="28" xfId="2" applyNumberFormat="1" applyFont="1" applyFill="1" applyBorder="1" applyAlignment="1" applyProtection="1">
      <alignment horizontal="right" vertical="center"/>
    </xf>
    <xf numFmtId="4" fontId="23" fillId="0" borderId="6" xfId="0" applyNumberFormat="1" applyFont="1" applyFill="1" applyBorder="1" applyAlignment="1">
      <alignment horizontal="right" vertical="center"/>
    </xf>
    <xf numFmtId="4" fontId="23" fillId="0" borderId="28" xfId="0" applyNumberFormat="1" applyFont="1" applyFill="1" applyBorder="1" applyAlignment="1">
      <alignment horizontal="right" vertical="center"/>
    </xf>
    <xf numFmtId="3" fontId="23" fillId="0" borderId="6" xfId="0" applyNumberFormat="1" applyFont="1" applyFill="1" applyBorder="1" applyAlignment="1">
      <alignment horizontal="right" vertical="center"/>
    </xf>
    <xf numFmtId="3" fontId="23" fillId="0" borderId="28" xfId="0" applyNumberFormat="1" applyFont="1" applyFill="1" applyBorder="1" applyAlignment="1">
      <alignment horizontal="right" vertical="center"/>
    </xf>
    <xf numFmtId="3" fontId="23" fillId="0" borderId="31" xfId="0" applyNumberFormat="1" applyFont="1" applyFill="1" applyBorder="1" applyAlignment="1">
      <alignment horizontal="right" vertical="center"/>
    </xf>
    <xf numFmtId="0" fontId="23" fillId="0" borderId="0" xfId="0" applyFont="1" applyAlignment="1">
      <alignment horizontal="left" vertical="center"/>
    </xf>
    <xf numFmtId="0" fontId="29" fillId="8" borderId="0" xfId="0" applyFont="1" applyFill="1" applyAlignment="1">
      <alignment horizontal="center" vertical="center"/>
    </xf>
    <xf numFmtId="0" fontId="7" fillId="0" borderId="0" xfId="4" applyFont="1">
      <alignment vertical="center"/>
    </xf>
    <xf numFmtId="0" fontId="7" fillId="2" borderId="1" xfId="4" applyNumberFormat="1" applyFont="1" applyFill="1" applyBorder="1" applyAlignment="1" applyProtection="1">
      <alignment horizontal="left" vertical="top"/>
    </xf>
    <xf numFmtId="0" fontId="7" fillId="4" borderId="11" xfId="4" applyNumberFormat="1" applyFont="1" applyFill="1" applyBorder="1" applyAlignment="1" applyProtection="1">
      <alignment horizontal="center" vertical="center" wrapText="1"/>
    </xf>
    <xf numFmtId="0" fontId="7" fillId="4" borderId="12" xfId="4" applyNumberFormat="1" applyFont="1" applyFill="1" applyBorder="1" applyAlignment="1" applyProtection="1">
      <alignment horizontal="center" vertical="center" wrapText="1"/>
    </xf>
    <xf numFmtId="0" fontId="7" fillId="4" borderId="13" xfId="4" applyNumberFormat="1" applyFont="1" applyFill="1" applyBorder="1" applyAlignment="1" applyProtection="1">
      <alignment horizontal="center" vertical="center" wrapText="1"/>
    </xf>
    <xf numFmtId="166" fontId="7" fillId="2" borderId="6" xfId="4" applyNumberFormat="1" applyFont="1" applyFill="1" applyBorder="1" applyAlignment="1" applyProtection="1">
      <alignment horizontal="right" vertical="top"/>
    </xf>
    <xf numFmtId="3" fontId="4" fillId="5" borderId="9" xfId="4" applyNumberFormat="1" applyFont="1" applyFill="1" applyBorder="1" applyAlignment="1" applyProtection="1">
      <alignment horizontal="right" vertical="top"/>
    </xf>
    <xf numFmtId="164" fontId="4" fillId="5" borderId="9" xfId="4" applyNumberFormat="1" applyFont="1" applyFill="1" applyBorder="1" applyAlignment="1" applyProtection="1">
      <alignment horizontal="right" vertical="top"/>
    </xf>
    <xf numFmtId="166" fontId="4" fillId="5" borderId="9" xfId="4" applyNumberFormat="1" applyFont="1" applyFill="1" applyBorder="1" applyAlignment="1" applyProtection="1">
      <alignment horizontal="right" vertical="top"/>
    </xf>
    <xf numFmtId="164" fontId="4" fillId="5" borderId="10" xfId="4" applyNumberFormat="1" applyFont="1" applyFill="1" applyBorder="1" applyAlignment="1" applyProtection="1">
      <alignment horizontal="right" vertical="top"/>
    </xf>
    <xf numFmtId="0" fontId="4" fillId="2" borderId="0" xfId="4" applyNumberFormat="1" applyFont="1" applyFill="1" applyBorder="1" applyAlignment="1" applyProtection="1">
      <alignment vertical="center"/>
    </xf>
    <xf numFmtId="43" fontId="25" fillId="0" borderId="0" xfId="2" applyFont="1" applyAlignment="1">
      <alignment vertical="center"/>
    </xf>
    <xf numFmtId="170" fontId="24" fillId="0" borderId="6" xfId="2" applyNumberFormat="1" applyFont="1" applyFill="1" applyBorder="1" applyAlignment="1">
      <alignment horizontal="right" vertical="center"/>
    </xf>
    <xf numFmtId="170" fontId="24" fillId="0" borderId="28" xfId="2" applyNumberFormat="1" applyFont="1" applyFill="1" applyBorder="1" applyAlignment="1">
      <alignment horizontal="right" vertical="center"/>
    </xf>
    <xf numFmtId="9" fontId="23" fillId="0" borderId="30" xfId="3" applyFont="1" applyFill="1" applyBorder="1" applyAlignment="1">
      <alignment horizontal="right" vertical="center"/>
    </xf>
    <xf numFmtId="9" fontId="23" fillId="0" borderId="31" xfId="3" applyFont="1" applyFill="1" applyBorder="1" applyAlignment="1">
      <alignment horizontal="right" vertical="center"/>
    </xf>
    <xf numFmtId="0" fontId="8" fillId="2" borderId="0" xfId="0" applyNumberFormat="1" applyFont="1" applyFill="1" applyBorder="1" applyAlignment="1" applyProtection="1">
      <alignment horizontal="left"/>
    </xf>
    <xf numFmtId="170" fontId="8" fillId="2" borderId="0" xfId="2" applyNumberFormat="1" applyFont="1" applyFill="1" applyBorder="1" applyAlignment="1" applyProtection="1">
      <alignment horizontal="left" vertical="top"/>
    </xf>
    <xf numFmtId="164" fontId="31" fillId="0" borderId="6" xfId="0" applyNumberFormat="1" applyFont="1" applyFill="1" applyBorder="1" applyAlignment="1">
      <alignment horizontal="right" vertical="center"/>
    </xf>
    <xf numFmtId="3" fontId="23" fillId="0" borderId="30" xfId="0" applyNumberFormat="1" applyFont="1" applyFill="1" applyBorder="1" applyAlignment="1">
      <alignment horizontal="right" vertical="center"/>
    </xf>
    <xf numFmtId="0" fontId="23" fillId="8" borderId="6" xfId="0" applyFont="1" applyFill="1" applyBorder="1" applyAlignment="1">
      <alignment horizontal="left" vertical="center" wrapText="1"/>
    </xf>
    <xf numFmtId="0" fontId="23" fillId="8" borderId="0" xfId="0" applyFont="1" applyFill="1" applyAlignment="1">
      <alignment horizontal="left" vertical="center"/>
    </xf>
    <xf numFmtId="0" fontId="4" fillId="2" borderId="0" xfId="4" applyNumberFormat="1" applyFont="1" applyFill="1" applyBorder="1" applyAlignment="1" applyProtection="1">
      <alignment horizontal="center" vertical="center"/>
    </xf>
    <xf numFmtId="0" fontId="7" fillId="2" borderId="0" xfId="4" applyNumberFormat="1" applyFont="1" applyFill="1" applyBorder="1" applyAlignment="1" applyProtection="1">
      <alignment horizontal="left" vertical="top"/>
    </xf>
    <xf numFmtId="0" fontId="4" fillId="2" borderId="0" xfId="4" applyNumberFormat="1" applyFont="1" applyFill="1" applyBorder="1" applyAlignment="1" applyProtection="1">
      <alignment horizontal="center" vertical="top"/>
    </xf>
    <xf numFmtId="10" fontId="23" fillId="8" borderId="28" xfId="3" applyNumberFormat="1" applyFont="1" applyFill="1" applyBorder="1" applyAlignment="1">
      <alignment horizontal="right" vertical="center"/>
    </xf>
    <xf numFmtId="0" fontId="8" fillId="2" borderId="0" xfId="0" applyNumberFormat="1" applyFont="1" applyFill="1" applyBorder="1" applyAlignment="1" applyProtection="1">
      <alignment horizontal="left" vertical="top"/>
    </xf>
    <xf numFmtId="170" fontId="8" fillId="2" borderId="0" xfId="0" applyNumberFormat="1" applyFont="1" applyFill="1" applyBorder="1" applyAlignment="1" applyProtection="1">
      <alignment horizontal="left" vertical="top"/>
    </xf>
    <xf numFmtId="0" fontId="8" fillId="0" borderId="0" xfId="0" applyFont="1" applyAlignment="1">
      <alignment vertical="center"/>
    </xf>
    <xf numFmtId="0" fontId="4" fillId="2" borderId="0" xfId="4" applyNumberFormat="1" applyFont="1" applyFill="1" applyBorder="1" applyAlignment="1" applyProtection="1">
      <alignment vertical="center" wrapText="1"/>
    </xf>
    <xf numFmtId="0" fontId="10" fillId="6" borderId="22" xfId="0" applyFont="1" applyFill="1" applyBorder="1" applyAlignment="1">
      <alignment horizontal="left" wrapText="1"/>
    </xf>
    <xf numFmtId="0" fontId="11" fillId="6" borderId="22" xfId="0" applyFont="1" applyFill="1" applyBorder="1" applyAlignment="1">
      <alignment horizontal="left" vertical="center"/>
    </xf>
    <xf numFmtId="0" fontId="17" fillId="7" borderId="20" xfId="6" applyFont="1" applyFill="1" applyBorder="1" applyAlignment="1">
      <alignment horizontal="center" vertical="center"/>
    </xf>
    <xf numFmtId="0" fontId="17" fillId="7" borderId="0" xfId="6" applyFont="1" applyFill="1" applyBorder="1" applyAlignment="1">
      <alignment horizontal="center" vertical="center"/>
    </xf>
    <xf numFmtId="0" fontId="17" fillId="7" borderId="21" xfId="6" applyFont="1" applyFill="1" applyBorder="1" applyAlignment="1">
      <alignment horizontal="center" vertical="center"/>
    </xf>
    <xf numFmtId="0" fontId="18" fillId="7" borderId="20" xfId="6" applyFont="1" applyFill="1" applyBorder="1" applyAlignment="1">
      <alignment horizontal="center" vertical="center"/>
    </xf>
    <xf numFmtId="0" fontId="18" fillId="7" borderId="0" xfId="6" applyFont="1" applyFill="1" applyBorder="1" applyAlignment="1">
      <alignment horizontal="center" vertical="center"/>
    </xf>
    <xf numFmtId="0" fontId="18" fillId="7" borderId="21" xfId="6" applyFont="1" applyFill="1" applyBorder="1" applyAlignment="1">
      <alignment horizontal="center" vertical="center"/>
    </xf>
    <xf numFmtId="0" fontId="19" fillId="7" borderId="20" xfId="6" applyFont="1" applyFill="1" applyBorder="1" applyAlignment="1">
      <alignment horizontal="center" vertical="center"/>
    </xf>
    <xf numFmtId="0" fontId="19" fillId="7" borderId="0" xfId="6" applyFont="1" applyFill="1" applyBorder="1" applyAlignment="1">
      <alignment horizontal="center" vertical="center"/>
    </xf>
    <xf numFmtId="0" fontId="19" fillId="7" borderId="21" xfId="6" applyFont="1" applyFill="1" applyBorder="1" applyAlignment="1">
      <alignment horizontal="center" vertical="center"/>
    </xf>
    <xf numFmtId="0" fontId="19" fillId="7" borderId="17" xfId="6" applyFont="1" applyFill="1" applyBorder="1" applyAlignment="1">
      <alignment horizontal="center" vertical="center"/>
    </xf>
    <xf numFmtId="0" fontId="19" fillId="7" borderId="18" xfId="6" applyFont="1" applyFill="1" applyBorder="1" applyAlignment="1">
      <alignment horizontal="center" vertical="center"/>
    </xf>
    <xf numFmtId="0" fontId="19" fillId="7" borderId="19" xfId="6" applyFont="1" applyFill="1" applyBorder="1" applyAlignment="1">
      <alignment horizontal="center" vertical="center"/>
    </xf>
    <xf numFmtId="0" fontId="10" fillId="6" borderId="22" xfId="0" applyFont="1" applyFill="1" applyBorder="1" applyAlignment="1">
      <alignment horizontal="left" vertical="center"/>
    </xf>
    <xf numFmtId="168" fontId="14" fillId="2" borderId="18" xfId="5" applyNumberFormat="1" applyFont="1" applyFill="1" applyBorder="1" applyAlignment="1" applyProtection="1">
      <alignment horizontal="left" vertical="top"/>
    </xf>
    <xf numFmtId="0" fontId="10" fillId="6" borderId="0" xfId="0" applyFont="1" applyFill="1" applyAlignment="1">
      <alignment horizontal="left"/>
    </xf>
    <xf numFmtId="0" fontId="6" fillId="7" borderId="14" xfId="0" applyFont="1" applyFill="1" applyBorder="1" applyAlignment="1">
      <alignment horizontal="center" vertical="center"/>
    </xf>
    <xf numFmtId="0" fontId="6" fillId="7" borderId="15" xfId="0" applyFont="1" applyFill="1" applyBorder="1" applyAlignment="1">
      <alignment horizontal="center" vertical="center"/>
    </xf>
    <xf numFmtId="0" fontId="6" fillId="7" borderId="16" xfId="0" applyFont="1" applyFill="1" applyBorder="1" applyAlignment="1">
      <alignment horizontal="center" vertical="center"/>
    </xf>
    <xf numFmtId="0" fontId="11" fillId="7" borderId="17" xfId="0" applyFont="1" applyFill="1" applyBorder="1" applyAlignment="1">
      <alignment horizontal="left"/>
    </xf>
    <xf numFmtId="0" fontId="11" fillId="7" borderId="18" xfId="0" applyFont="1" applyFill="1" applyBorder="1" applyAlignment="1">
      <alignment horizontal="left"/>
    </xf>
    <xf numFmtId="0" fontId="10" fillId="7" borderId="20" xfId="0" applyFont="1" applyFill="1" applyBorder="1" applyAlignment="1">
      <alignment horizontal="left" vertical="center" wrapText="1"/>
    </xf>
    <xf numFmtId="0" fontId="10" fillId="7" borderId="0" xfId="0" applyFont="1" applyFill="1" applyBorder="1" applyAlignment="1">
      <alignment horizontal="left" vertical="center" wrapText="1"/>
    </xf>
    <xf numFmtId="0" fontId="11" fillId="7" borderId="20" xfId="0" applyFont="1" applyFill="1" applyBorder="1" applyAlignment="1">
      <alignment horizontal="left" vertical="center" wrapText="1"/>
    </xf>
    <xf numFmtId="0" fontId="11" fillId="7" borderId="0" xfId="0" applyFont="1" applyFill="1" applyBorder="1" applyAlignment="1">
      <alignment horizontal="left" vertical="center" wrapText="1"/>
    </xf>
    <xf numFmtId="0" fontId="10" fillId="6" borderId="0" xfId="0" applyFont="1" applyFill="1" applyBorder="1" applyAlignment="1">
      <alignment horizontal="left"/>
    </xf>
    <xf numFmtId="0" fontId="11" fillId="7" borderId="14" xfId="0" applyFont="1" applyFill="1" applyBorder="1" applyAlignment="1">
      <alignment horizontal="left" wrapText="1"/>
    </xf>
    <xf numFmtId="0" fontId="11" fillId="7" borderId="15" xfId="0" applyFont="1" applyFill="1" applyBorder="1" applyAlignment="1">
      <alignment horizontal="left" wrapText="1"/>
    </xf>
    <xf numFmtId="0" fontId="11" fillId="7" borderId="16" xfId="0" applyFont="1" applyFill="1" applyBorder="1" applyAlignment="1">
      <alignment horizontal="left" wrapText="1"/>
    </xf>
    <xf numFmtId="0" fontId="11" fillId="7" borderId="17" xfId="0" applyFont="1" applyFill="1" applyBorder="1" applyAlignment="1">
      <alignment horizontal="left" wrapText="1"/>
    </xf>
    <xf numFmtId="0" fontId="11" fillId="7" borderId="18" xfId="0" applyFont="1" applyFill="1" applyBorder="1" applyAlignment="1">
      <alignment horizontal="left" wrapText="1"/>
    </xf>
    <xf numFmtId="0" fontId="11" fillId="7" borderId="19" xfId="0" applyFont="1" applyFill="1" applyBorder="1" applyAlignment="1">
      <alignment horizontal="left" wrapText="1"/>
    </xf>
    <xf numFmtId="0" fontId="10" fillId="7" borderId="14"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24" fillId="8" borderId="0" xfId="0" applyFont="1" applyFill="1" applyAlignment="1">
      <alignment horizontal="center" vertical="top"/>
    </xf>
    <xf numFmtId="0" fontId="23" fillId="8" borderId="0" xfId="0" applyFont="1" applyFill="1" applyAlignment="1">
      <alignment horizontal="center" vertical="top"/>
    </xf>
    <xf numFmtId="0" fontId="23" fillId="8" borderId="0" xfId="0" applyFont="1" applyFill="1" applyAlignment="1">
      <alignment horizontal="center" vertical="center"/>
    </xf>
    <xf numFmtId="0" fontId="24" fillId="8" borderId="0" xfId="0" applyFont="1" applyFill="1" applyAlignment="1">
      <alignment horizontal="center" vertical="center" wrapText="1"/>
    </xf>
    <xf numFmtId="0" fontId="23" fillId="8" borderId="0" xfId="0" applyFont="1" applyFill="1" applyAlignment="1">
      <alignment horizontal="left" vertical="top"/>
    </xf>
    <xf numFmtId="0" fontId="24" fillId="8" borderId="0" xfId="0" applyFont="1" applyFill="1" applyAlignment="1">
      <alignment horizontal="left" vertical="top"/>
    </xf>
    <xf numFmtId="167" fontId="28" fillId="7" borderId="0" xfId="0" applyNumberFormat="1" applyFont="1" applyFill="1" applyBorder="1" applyAlignment="1">
      <alignment horizontal="left" vertical="center"/>
    </xf>
    <xf numFmtId="168" fontId="7" fillId="2" borderId="0" xfId="5" applyNumberFormat="1" applyFont="1" applyFill="1" applyBorder="1" applyAlignment="1" applyProtection="1">
      <alignment horizontal="left" vertical="top"/>
    </xf>
    <xf numFmtId="0" fontId="24" fillId="8" borderId="0" xfId="0" applyFont="1" applyFill="1" applyAlignment="1">
      <alignment horizontal="left" vertical="top" wrapText="1"/>
    </xf>
    <xf numFmtId="0" fontId="23" fillId="8" borderId="23" xfId="0" applyFont="1" applyFill="1" applyBorder="1" applyAlignment="1">
      <alignment horizontal="right" vertical="top"/>
    </xf>
    <xf numFmtId="0" fontId="23" fillId="8" borderId="0" xfId="0" applyFont="1" applyFill="1" applyAlignment="1">
      <alignment horizontal="left" vertical="center" wrapText="1"/>
    </xf>
    <xf numFmtId="0" fontId="26" fillId="8" borderId="0" xfId="0" applyFont="1" applyFill="1" applyAlignment="1">
      <alignment horizontal="center" vertical="center" wrapText="1"/>
    </xf>
    <xf numFmtId="0" fontId="27" fillId="8" borderId="0" xfId="0" applyFont="1" applyFill="1" applyAlignment="1">
      <alignment horizontal="center" vertical="center" wrapText="1"/>
    </xf>
    <xf numFmtId="0" fontId="23" fillId="0" borderId="0" xfId="0" applyFont="1" applyFill="1" applyAlignment="1">
      <alignment horizontal="center" vertical="top"/>
    </xf>
    <xf numFmtId="0" fontId="24" fillId="8" borderId="0" xfId="0" applyFont="1" applyFill="1" applyAlignment="1">
      <alignment horizontal="center" vertical="center"/>
    </xf>
    <xf numFmtId="0" fontId="24" fillId="8" borderId="0" xfId="0" applyFont="1" applyFill="1" applyAlignment="1">
      <alignment horizontal="left" vertical="center"/>
    </xf>
    <xf numFmtId="0" fontId="23" fillId="8" borderId="0" xfId="0" applyFont="1" applyFill="1" applyAlignment="1">
      <alignment horizontal="left" vertical="center"/>
    </xf>
    <xf numFmtId="0" fontId="24" fillId="8" borderId="0" xfId="0" applyFont="1" applyFill="1" applyAlignment="1">
      <alignment horizontal="left" vertical="center" wrapText="1"/>
    </xf>
    <xf numFmtId="0" fontId="23" fillId="8" borderId="23" xfId="0" applyFont="1" applyFill="1" applyBorder="1" applyAlignment="1">
      <alignment horizontal="right" vertical="center"/>
    </xf>
    <xf numFmtId="0" fontId="29" fillId="8" borderId="0" xfId="0" applyFont="1" applyFill="1" applyAlignment="1">
      <alignment horizontal="left" vertical="center"/>
    </xf>
    <xf numFmtId="0" fontId="29" fillId="8" borderId="0" xfId="0" applyFont="1" applyFill="1" applyAlignment="1">
      <alignment horizontal="left" vertical="center" wrapText="1"/>
    </xf>
    <xf numFmtId="0" fontId="32" fillId="7" borderId="0" xfId="11" applyFont="1" applyFill="1" applyBorder="1" applyAlignment="1">
      <alignment horizontal="center" vertical="center"/>
    </xf>
    <xf numFmtId="0" fontId="4" fillId="2" borderId="0" xfId="4" applyNumberFormat="1" applyFont="1" applyFill="1" applyBorder="1" applyAlignment="1" applyProtection="1">
      <alignment horizontal="center" vertical="center"/>
    </xf>
    <xf numFmtId="170" fontId="32" fillId="7" borderId="0" xfId="9" applyNumberFormat="1" applyFont="1" applyFill="1" applyBorder="1" applyAlignment="1">
      <alignment horizontal="center" vertical="center"/>
    </xf>
    <xf numFmtId="0" fontId="32" fillId="7" borderId="15" xfId="11" applyFont="1" applyFill="1" applyBorder="1" applyAlignment="1">
      <alignment horizontal="center" vertical="center"/>
    </xf>
    <xf numFmtId="0" fontId="28" fillId="9" borderId="35" xfId="8" applyFont="1" applyFill="1" applyBorder="1" applyAlignment="1">
      <alignment horizontal="center" vertical="center" wrapText="1"/>
    </xf>
    <xf numFmtId="0" fontId="28" fillId="9" borderId="38" xfId="8" applyFont="1" applyFill="1" applyBorder="1" applyAlignment="1">
      <alignment horizontal="center" vertical="center" wrapText="1"/>
    </xf>
    <xf numFmtId="0" fontId="28" fillId="9" borderId="36" xfId="8" applyFont="1" applyFill="1" applyBorder="1" applyAlignment="1">
      <alignment horizontal="center" vertical="center" wrapText="1"/>
    </xf>
    <xf numFmtId="0" fontId="28" fillId="9" borderId="37" xfId="8" applyFont="1" applyFill="1" applyBorder="1" applyAlignment="1">
      <alignment horizontal="center" vertical="center" wrapText="1"/>
    </xf>
    <xf numFmtId="0" fontId="25" fillId="0" borderId="14" xfId="8" applyFont="1" applyBorder="1" applyAlignment="1">
      <alignment horizontal="center" vertical="center" wrapText="1"/>
    </xf>
    <xf numFmtId="0" fontId="25" fillId="0" borderId="15" xfId="8" applyFont="1" applyBorder="1" applyAlignment="1">
      <alignment horizontal="center" vertical="center" wrapText="1"/>
    </xf>
    <xf numFmtId="0" fontId="25" fillId="0" borderId="16" xfId="8" applyFont="1" applyBorder="1" applyAlignment="1">
      <alignment horizontal="center" vertical="center" wrapText="1"/>
    </xf>
    <xf numFmtId="0" fontId="25" fillId="0" borderId="20" xfId="8" applyFont="1" applyBorder="1" applyAlignment="1">
      <alignment horizontal="center" vertical="center" wrapText="1"/>
    </xf>
    <xf numFmtId="0" fontId="25" fillId="0" borderId="0" xfId="8" applyFont="1" applyBorder="1" applyAlignment="1">
      <alignment horizontal="center" vertical="center" wrapText="1"/>
    </xf>
    <xf numFmtId="0" fontId="25" fillId="0" borderId="21" xfId="8" applyFont="1" applyBorder="1" applyAlignment="1">
      <alignment horizontal="center" vertical="center" wrapText="1"/>
    </xf>
    <xf numFmtId="0" fontId="25" fillId="0" borderId="17" xfId="8" applyFont="1" applyBorder="1" applyAlignment="1">
      <alignment horizontal="center" vertical="center" wrapText="1"/>
    </xf>
    <xf numFmtId="0" fontId="25" fillId="0" borderId="18" xfId="8" applyFont="1" applyBorder="1" applyAlignment="1">
      <alignment horizontal="center" vertical="center" wrapText="1"/>
    </xf>
    <xf numFmtId="0" fontId="25" fillId="0" borderId="19" xfId="8" applyFont="1" applyBorder="1" applyAlignment="1">
      <alignment horizontal="center" vertical="center" wrapText="1"/>
    </xf>
    <xf numFmtId="0" fontId="32" fillId="7" borderId="0" xfId="11" applyFont="1" applyFill="1" applyAlignment="1">
      <alignment horizontal="center" vertical="center"/>
    </xf>
    <xf numFmtId="173" fontId="32" fillId="7" borderId="0" xfId="11" applyNumberFormat="1" applyFont="1" applyFill="1" applyAlignment="1">
      <alignment horizontal="center" vertical="center"/>
    </xf>
    <xf numFmtId="0" fontId="32" fillId="9" borderId="35" xfId="8" applyFont="1" applyFill="1" applyBorder="1" applyAlignment="1" applyProtection="1">
      <alignment horizontal="center" vertical="center" wrapText="1"/>
    </xf>
    <xf numFmtId="0" fontId="32" fillId="9" borderId="38" xfId="8" applyFont="1" applyFill="1" applyBorder="1" applyAlignment="1" applyProtection="1">
      <alignment horizontal="center" vertical="center" wrapText="1"/>
    </xf>
    <xf numFmtId="0" fontId="25" fillId="7" borderId="0" xfId="8" applyFont="1" applyFill="1" applyAlignment="1">
      <alignment horizontal="left"/>
    </xf>
    <xf numFmtId="0" fontId="9" fillId="7" borderId="0" xfId="8" applyFont="1" applyFill="1" applyAlignment="1">
      <alignment horizontal="center" vertical="center" wrapText="1"/>
    </xf>
    <xf numFmtId="0" fontId="5" fillId="7" borderId="0" xfId="8" applyFont="1" applyFill="1" applyAlignment="1">
      <alignment horizontal="center" vertical="center" wrapText="1"/>
    </xf>
    <xf numFmtId="0" fontId="4" fillId="7" borderId="0" xfId="8" applyFont="1" applyFill="1" applyAlignment="1">
      <alignment horizontal="center" vertical="center" wrapText="1"/>
    </xf>
    <xf numFmtId="3" fontId="9" fillId="7" borderId="0" xfId="8" applyNumberFormat="1" applyFont="1" applyFill="1" applyAlignment="1">
      <alignment horizontal="center" vertical="center" wrapText="1"/>
    </xf>
    <xf numFmtId="0" fontId="9" fillId="7" borderId="0" xfId="8" applyFont="1" applyFill="1" applyAlignment="1">
      <alignment horizontal="center" vertical="center"/>
    </xf>
    <xf numFmtId="0" fontId="23" fillId="8" borderId="6" xfId="0" applyFont="1" applyFill="1" applyBorder="1" applyAlignment="1">
      <alignment horizontal="left" vertical="center" wrapText="1"/>
    </xf>
    <xf numFmtId="0" fontId="23" fillId="8" borderId="39" xfId="0" applyFont="1" applyFill="1" applyBorder="1" applyAlignment="1">
      <alignment horizontal="left" vertical="center" wrapText="1"/>
    </xf>
    <xf numFmtId="0" fontId="23" fillId="8" borderId="40" xfId="0" applyFont="1" applyFill="1" applyBorder="1" applyAlignment="1">
      <alignment horizontal="left" vertical="center" wrapText="1"/>
    </xf>
    <xf numFmtId="0" fontId="23" fillId="8" borderId="41" xfId="0" applyFont="1" applyFill="1" applyBorder="1" applyAlignment="1">
      <alignment horizontal="left" vertical="center" wrapText="1"/>
    </xf>
    <xf numFmtId="0" fontId="23" fillId="8" borderId="30" xfId="0" applyFont="1" applyFill="1" applyBorder="1" applyAlignment="1">
      <alignment horizontal="left" vertical="center" wrapText="1"/>
    </xf>
    <xf numFmtId="0" fontId="24" fillId="3" borderId="25" xfId="0" applyFont="1" applyFill="1" applyBorder="1" applyAlignment="1">
      <alignment horizontal="center" vertical="center" wrapText="1"/>
    </xf>
    <xf numFmtId="0" fontId="29" fillId="8" borderId="0" xfId="0" applyFont="1" applyFill="1" applyAlignment="1">
      <alignment horizontal="right" vertical="center"/>
    </xf>
    <xf numFmtId="0" fontId="4" fillId="5" borderId="8" xfId="4" applyNumberFormat="1" applyFont="1" applyFill="1" applyBorder="1" applyAlignment="1" applyProtection="1">
      <alignment horizontal="center" vertical="top"/>
    </xf>
    <xf numFmtId="0" fontId="4" fillId="5" borderId="9" xfId="4" applyNumberFormat="1" applyFont="1" applyFill="1" applyBorder="1" applyAlignment="1" applyProtection="1">
      <alignment horizontal="center" vertical="top"/>
    </xf>
    <xf numFmtId="0" fontId="4" fillId="2" borderId="0" xfId="4" applyNumberFormat="1" applyFont="1" applyFill="1" applyBorder="1" applyAlignment="1" applyProtection="1">
      <alignment horizontal="center" vertical="top"/>
    </xf>
    <xf numFmtId="0" fontId="7" fillId="2" borderId="0" xfId="4" applyNumberFormat="1" applyFont="1" applyFill="1" applyBorder="1" applyAlignment="1" applyProtection="1">
      <alignment horizontal="center" vertical="top"/>
    </xf>
    <xf numFmtId="15" fontId="7" fillId="2" borderId="0" xfId="4" applyNumberFormat="1" applyFont="1" applyFill="1" applyBorder="1" applyAlignment="1" applyProtection="1">
      <alignment horizontal="left" vertical="top"/>
    </xf>
    <xf numFmtId="0" fontId="7" fillId="2" borderId="0" xfId="4" applyNumberFormat="1" applyFont="1" applyFill="1" applyBorder="1" applyAlignment="1" applyProtection="1">
      <alignment horizontal="left" vertical="top"/>
    </xf>
    <xf numFmtId="0" fontId="7" fillId="2" borderId="1" xfId="4" applyNumberFormat="1" applyFont="1" applyFill="1" applyBorder="1" applyAlignment="1" applyProtection="1">
      <alignment horizontal="right" vertical="top"/>
    </xf>
    <xf numFmtId="0" fontId="4" fillId="3" borderId="2" xfId="4" applyNumberFormat="1" applyFont="1" applyFill="1" applyBorder="1" applyAlignment="1" applyProtection="1">
      <alignment horizontal="center" vertical="center" wrapText="1"/>
    </xf>
    <xf numFmtId="0" fontId="4" fillId="3" borderId="11" xfId="4" applyNumberFormat="1" applyFont="1" applyFill="1" applyBorder="1" applyAlignment="1" applyProtection="1">
      <alignment horizontal="center" vertical="center" wrapText="1"/>
    </xf>
    <xf numFmtId="0" fontId="4" fillId="3" borderId="3" xfId="4" applyNumberFormat="1" applyFont="1" applyFill="1" applyBorder="1" applyAlignment="1" applyProtection="1">
      <alignment horizontal="center" vertical="center" wrapText="1"/>
    </xf>
    <xf numFmtId="0" fontId="4" fillId="3" borderId="12" xfId="4" applyNumberFormat="1" applyFont="1" applyFill="1" applyBorder="1" applyAlignment="1" applyProtection="1">
      <alignment horizontal="center" vertical="center" wrapText="1"/>
    </xf>
    <xf numFmtId="0" fontId="4" fillId="3" borderId="4" xfId="4" applyNumberFormat="1" applyFont="1" applyFill="1" applyBorder="1" applyAlignment="1" applyProtection="1">
      <alignment horizontal="center" vertical="center" wrapText="1"/>
    </xf>
    <xf numFmtId="0" fontId="4" fillId="3" borderId="13" xfId="4" applyNumberFormat="1" applyFont="1" applyFill="1" applyBorder="1" applyAlignment="1" applyProtection="1">
      <alignment horizontal="center" vertical="center" wrapText="1"/>
    </xf>
    <xf numFmtId="0" fontId="4" fillId="2" borderId="0" xfId="4" applyNumberFormat="1" applyFont="1" applyFill="1" applyBorder="1" applyAlignment="1" applyProtection="1">
      <alignment horizontal="left" vertical="top"/>
    </xf>
    <xf numFmtId="0" fontId="4" fillId="2" borderId="0" xfId="4" applyNumberFormat="1" applyFont="1" applyFill="1" applyBorder="1" applyAlignment="1" applyProtection="1">
      <alignment horizontal="left" vertical="top" wrapText="1"/>
    </xf>
    <xf numFmtId="14" fontId="4" fillId="2" borderId="0" xfId="4" applyNumberFormat="1" applyFont="1" applyFill="1" applyBorder="1" applyAlignment="1" applyProtection="1">
      <alignment horizontal="left" vertical="top" wrapText="1"/>
    </xf>
    <xf numFmtId="0" fontId="8" fillId="2" borderId="0" xfId="4" applyNumberFormat="1" applyFont="1" applyFill="1" applyBorder="1" applyAlignment="1" applyProtection="1">
      <alignment horizontal="center" vertical="top" wrapText="1"/>
    </xf>
    <xf numFmtId="0" fontId="6" fillId="2" borderId="0" xfId="4" applyNumberFormat="1" applyFont="1" applyFill="1" applyBorder="1" applyAlignment="1" applyProtection="1">
      <alignment horizontal="center" vertical="center" wrapText="1"/>
    </xf>
    <xf numFmtId="0" fontId="8" fillId="2" borderId="0" xfId="4" applyNumberFormat="1" applyFont="1" applyFill="1" applyBorder="1" applyAlignment="1" applyProtection="1">
      <alignment horizontal="center" vertical="top"/>
    </xf>
    <xf numFmtId="0" fontId="4" fillId="2" borderId="0" xfId="4" applyNumberFormat="1" applyFont="1" applyFill="1" applyBorder="1" applyAlignment="1" applyProtection="1">
      <alignment horizontal="center" vertical="center" wrapText="1"/>
    </xf>
    <xf numFmtId="175" fontId="7" fillId="0" borderId="0" xfId="3" applyNumberFormat="1" applyFont="1" applyAlignment="1">
      <alignment vertical="center"/>
    </xf>
  </cellXfs>
  <cellStyles count="12">
    <cellStyle name="Comma" xfId="2" builtinId="3"/>
    <cellStyle name="Comma 4" xfId="9"/>
    <cellStyle name="Hyperlink" xfId="7" builtinId="8"/>
    <cellStyle name="Normal" xfId="0" builtinId="0"/>
    <cellStyle name="Normal 2" xfId="1"/>
    <cellStyle name="Normal 3" xfId="4"/>
    <cellStyle name="Normal 3 2 3" xfId="8"/>
    <cellStyle name="Normal 5" xfId="10"/>
    <cellStyle name="Normal 6" xfId="5"/>
    <cellStyle name="Normal_Bao cao tai chinh 280405" xfId="6"/>
    <cellStyle name="Normal_Bao cao tai chinh 280405 2" xfId="11"/>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47626</xdr:rowOff>
    </xdr:from>
    <xdr:to>
      <xdr:col>1</xdr:col>
      <xdr:colOff>1762125</xdr:colOff>
      <xdr:row>0</xdr:row>
      <xdr:rowOff>320508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47626"/>
          <a:ext cx="2143125" cy="27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1873250</xdr:colOff>
      <xdr:row>0</xdr:row>
      <xdr:rowOff>272882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43125" cy="27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1800225</xdr:colOff>
      <xdr:row>0</xdr:row>
      <xdr:rowOff>272882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43125" cy="27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1019175</xdr:colOff>
      <xdr:row>0</xdr:row>
      <xdr:rowOff>272882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43125" cy="27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1438275</xdr:colOff>
      <xdr:row>1</xdr:row>
      <xdr:rowOff>6182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2143125" cy="27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D5" sqref="D5"/>
    </sheetView>
  </sheetViews>
  <sheetFormatPr defaultRowHeight="12.75"/>
  <cols>
    <col min="1" max="1" width="11.85546875" style="12" customWidth="1"/>
    <col min="2" max="2" width="6.140625" style="12" customWidth="1"/>
    <col min="3" max="3" width="11.42578125" style="12" customWidth="1"/>
    <col min="4" max="4" width="24.28515625" style="12" customWidth="1"/>
    <col min="5" max="5" width="23.140625" style="12" customWidth="1"/>
    <col min="6" max="6" width="5.28515625" style="12" customWidth="1"/>
    <col min="7" max="7" width="24.5703125" style="12" customWidth="1"/>
    <col min="8" max="8" width="21.42578125" style="12" customWidth="1"/>
    <col min="9" max="9" width="12.85546875" style="12" customWidth="1"/>
    <col min="10" max="256" width="9.140625" style="12"/>
    <col min="257" max="257" width="11.85546875" style="12" customWidth="1"/>
    <col min="258" max="258" width="6.140625" style="12" customWidth="1"/>
    <col min="259" max="259" width="11.42578125" style="12" customWidth="1"/>
    <col min="260" max="260" width="24.28515625" style="12" customWidth="1"/>
    <col min="261" max="261" width="23.140625" style="12" customWidth="1"/>
    <col min="262" max="262" width="5.28515625" style="12" customWidth="1"/>
    <col min="263" max="263" width="24.5703125" style="12" customWidth="1"/>
    <col min="264" max="264" width="21.42578125" style="12" customWidth="1"/>
    <col min="265" max="265" width="12.85546875" style="12" customWidth="1"/>
    <col min="266" max="512" width="9.140625" style="12"/>
    <col min="513" max="513" width="11.85546875" style="12" customWidth="1"/>
    <col min="514" max="514" width="6.140625" style="12" customWidth="1"/>
    <col min="515" max="515" width="11.42578125" style="12" customWidth="1"/>
    <col min="516" max="516" width="24.28515625" style="12" customWidth="1"/>
    <col min="517" max="517" width="23.140625" style="12" customWidth="1"/>
    <col min="518" max="518" width="5.28515625" style="12" customWidth="1"/>
    <col min="519" max="519" width="24.5703125" style="12" customWidth="1"/>
    <col min="520" max="520" width="21.42578125" style="12" customWidth="1"/>
    <col min="521" max="521" width="12.85546875" style="12" customWidth="1"/>
    <col min="522" max="768" width="9.140625" style="12"/>
    <col min="769" max="769" width="11.85546875" style="12" customWidth="1"/>
    <col min="770" max="770" width="6.140625" style="12" customWidth="1"/>
    <col min="771" max="771" width="11.42578125" style="12" customWidth="1"/>
    <col min="772" max="772" width="24.28515625" style="12" customWidth="1"/>
    <col min="773" max="773" width="23.140625" style="12" customWidth="1"/>
    <col min="774" max="774" width="5.28515625" style="12" customWidth="1"/>
    <col min="775" max="775" width="24.5703125" style="12" customWidth="1"/>
    <col min="776" max="776" width="21.42578125" style="12" customWidth="1"/>
    <col min="777" max="777" width="12.85546875" style="12" customWidth="1"/>
    <col min="778" max="1024" width="9.140625" style="12"/>
    <col min="1025" max="1025" width="11.85546875" style="12" customWidth="1"/>
    <col min="1026" max="1026" width="6.140625" style="12" customWidth="1"/>
    <col min="1027" max="1027" width="11.42578125" style="12" customWidth="1"/>
    <col min="1028" max="1028" width="24.28515625" style="12" customWidth="1"/>
    <col min="1029" max="1029" width="23.140625" style="12" customWidth="1"/>
    <col min="1030" max="1030" width="5.28515625" style="12" customWidth="1"/>
    <col min="1031" max="1031" width="24.5703125" style="12" customWidth="1"/>
    <col min="1032" max="1032" width="21.42578125" style="12" customWidth="1"/>
    <col min="1033" max="1033" width="12.85546875" style="12" customWidth="1"/>
    <col min="1034" max="1280" width="9.140625" style="12"/>
    <col min="1281" max="1281" width="11.85546875" style="12" customWidth="1"/>
    <col min="1282" max="1282" width="6.140625" style="12" customWidth="1"/>
    <col min="1283" max="1283" width="11.42578125" style="12" customWidth="1"/>
    <col min="1284" max="1284" width="24.28515625" style="12" customWidth="1"/>
    <col min="1285" max="1285" width="23.140625" style="12" customWidth="1"/>
    <col min="1286" max="1286" width="5.28515625" style="12" customWidth="1"/>
    <col min="1287" max="1287" width="24.5703125" style="12" customWidth="1"/>
    <col min="1288" max="1288" width="21.42578125" style="12" customWidth="1"/>
    <col min="1289" max="1289" width="12.85546875" style="12" customWidth="1"/>
    <col min="1290" max="1536" width="9.140625" style="12"/>
    <col min="1537" max="1537" width="11.85546875" style="12" customWidth="1"/>
    <col min="1538" max="1538" width="6.140625" style="12" customWidth="1"/>
    <col min="1539" max="1539" width="11.42578125" style="12" customWidth="1"/>
    <col min="1540" max="1540" width="24.28515625" style="12" customWidth="1"/>
    <col min="1541" max="1541" width="23.140625" style="12" customWidth="1"/>
    <col min="1542" max="1542" width="5.28515625" style="12" customWidth="1"/>
    <col min="1543" max="1543" width="24.5703125" style="12" customWidth="1"/>
    <col min="1544" max="1544" width="21.42578125" style="12" customWidth="1"/>
    <col min="1545" max="1545" width="12.85546875" style="12" customWidth="1"/>
    <col min="1546" max="1792" width="9.140625" style="12"/>
    <col min="1793" max="1793" width="11.85546875" style="12" customWidth="1"/>
    <col min="1794" max="1794" width="6.140625" style="12" customWidth="1"/>
    <col min="1795" max="1795" width="11.42578125" style="12" customWidth="1"/>
    <col min="1796" max="1796" width="24.28515625" style="12" customWidth="1"/>
    <col min="1797" max="1797" width="23.140625" style="12" customWidth="1"/>
    <col min="1798" max="1798" width="5.28515625" style="12" customWidth="1"/>
    <col min="1799" max="1799" width="24.5703125" style="12" customWidth="1"/>
    <col min="1800" max="1800" width="21.42578125" style="12" customWidth="1"/>
    <col min="1801" max="1801" width="12.85546875" style="12" customWidth="1"/>
    <col min="1802" max="2048" width="9.140625" style="12"/>
    <col min="2049" max="2049" width="11.85546875" style="12" customWidth="1"/>
    <col min="2050" max="2050" width="6.140625" style="12" customWidth="1"/>
    <col min="2051" max="2051" width="11.42578125" style="12" customWidth="1"/>
    <col min="2052" max="2052" width="24.28515625" style="12" customWidth="1"/>
    <col min="2053" max="2053" width="23.140625" style="12" customWidth="1"/>
    <col min="2054" max="2054" width="5.28515625" style="12" customWidth="1"/>
    <col min="2055" max="2055" width="24.5703125" style="12" customWidth="1"/>
    <col min="2056" max="2056" width="21.42578125" style="12" customWidth="1"/>
    <col min="2057" max="2057" width="12.85546875" style="12" customWidth="1"/>
    <col min="2058" max="2304" width="9.140625" style="12"/>
    <col min="2305" max="2305" width="11.85546875" style="12" customWidth="1"/>
    <col min="2306" max="2306" width="6.140625" style="12" customWidth="1"/>
    <col min="2307" max="2307" width="11.42578125" style="12" customWidth="1"/>
    <col min="2308" max="2308" width="24.28515625" style="12" customWidth="1"/>
    <col min="2309" max="2309" width="23.140625" style="12" customWidth="1"/>
    <col min="2310" max="2310" width="5.28515625" style="12" customWidth="1"/>
    <col min="2311" max="2311" width="24.5703125" style="12" customWidth="1"/>
    <col min="2312" max="2312" width="21.42578125" style="12" customWidth="1"/>
    <col min="2313" max="2313" width="12.85546875" style="12" customWidth="1"/>
    <col min="2314" max="2560" width="9.140625" style="12"/>
    <col min="2561" max="2561" width="11.85546875" style="12" customWidth="1"/>
    <col min="2562" max="2562" width="6.140625" style="12" customWidth="1"/>
    <col min="2563" max="2563" width="11.42578125" style="12" customWidth="1"/>
    <col min="2564" max="2564" width="24.28515625" style="12" customWidth="1"/>
    <col min="2565" max="2565" width="23.140625" style="12" customWidth="1"/>
    <col min="2566" max="2566" width="5.28515625" style="12" customWidth="1"/>
    <col min="2567" max="2567" width="24.5703125" style="12" customWidth="1"/>
    <col min="2568" max="2568" width="21.42578125" style="12" customWidth="1"/>
    <col min="2569" max="2569" width="12.85546875" style="12" customWidth="1"/>
    <col min="2570" max="2816" width="9.140625" style="12"/>
    <col min="2817" max="2817" width="11.85546875" style="12" customWidth="1"/>
    <col min="2818" max="2818" width="6.140625" style="12" customWidth="1"/>
    <col min="2819" max="2819" width="11.42578125" style="12" customWidth="1"/>
    <col min="2820" max="2820" width="24.28515625" style="12" customWidth="1"/>
    <col min="2821" max="2821" width="23.140625" style="12" customWidth="1"/>
    <col min="2822" max="2822" width="5.28515625" style="12" customWidth="1"/>
    <col min="2823" max="2823" width="24.5703125" style="12" customWidth="1"/>
    <col min="2824" max="2824" width="21.42578125" style="12" customWidth="1"/>
    <col min="2825" max="2825" width="12.85546875" style="12" customWidth="1"/>
    <col min="2826" max="3072" width="9.140625" style="12"/>
    <col min="3073" max="3073" width="11.85546875" style="12" customWidth="1"/>
    <col min="3074" max="3074" width="6.140625" style="12" customWidth="1"/>
    <col min="3075" max="3075" width="11.42578125" style="12" customWidth="1"/>
    <col min="3076" max="3076" width="24.28515625" style="12" customWidth="1"/>
    <col min="3077" max="3077" width="23.140625" style="12" customWidth="1"/>
    <col min="3078" max="3078" width="5.28515625" style="12" customWidth="1"/>
    <col min="3079" max="3079" width="24.5703125" style="12" customWidth="1"/>
    <col min="3080" max="3080" width="21.42578125" style="12" customWidth="1"/>
    <col min="3081" max="3081" width="12.85546875" style="12" customWidth="1"/>
    <col min="3082" max="3328" width="9.140625" style="12"/>
    <col min="3329" max="3329" width="11.85546875" style="12" customWidth="1"/>
    <col min="3330" max="3330" width="6.140625" style="12" customWidth="1"/>
    <col min="3331" max="3331" width="11.42578125" style="12" customWidth="1"/>
    <col min="3332" max="3332" width="24.28515625" style="12" customWidth="1"/>
    <col min="3333" max="3333" width="23.140625" style="12" customWidth="1"/>
    <col min="3334" max="3334" width="5.28515625" style="12" customWidth="1"/>
    <col min="3335" max="3335" width="24.5703125" style="12" customWidth="1"/>
    <col min="3336" max="3336" width="21.42578125" style="12" customWidth="1"/>
    <col min="3337" max="3337" width="12.85546875" style="12" customWidth="1"/>
    <col min="3338" max="3584" width="9.140625" style="12"/>
    <col min="3585" max="3585" width="11.85546875" style="12" customWidth="1"/>
    <col min="3586" max="3586" width="6.140625" style="12" customWidth="1"/>
    <col min="3587" max="3587" width="11.42578125" style="12" customWidth="1"/>
    <col min="3588" max="3588" width="24.28515625" style="12" customWidth="1"/>
    <col min="3589" max="3589" width="23.140625" style="12" customWidth="1"/>
    <col min="3590" max="3590" width="5.28515625" style="12" customWidth="1"/>
    <col min="3591" max="3591" width="24.5703125" style="12" customWidth="1"/>
    <col min="3592" max="3592" width="21.42578125" style="12" customWidth="1"/>
    <col min="3593" max="3593" width="12.85546875" style="12" customWidth="1"/>
    <col min="3594" max="3840" width="9.140625" style="12"/>
    <col min="3841" max="3841" width="11.85546875" style="12" customWidth="1"/>
    <col min="3842" max="3842" width="6.140625" style="12" customWidth="1"/>
    <col min="3843" max="3843" width="11.42578125" style="12" customWidth="1"/>
    <col min="3844" max="3844" width="24.28515625" style="12" customWidth="1"/>
    <col min="3845" max="3845" width="23.140625" style="12" customWidth="1"/>
    <col min="3846" max="3846" width="5.28515625" style="12" customWidth="1"/>
    <col min="3847" max="3847" width="24.5703125" style="12" customWidth="1"/>
    <col min="3848" max="3848" width="21.42578125" style="12" customWidth="1"/>
    <col min="3849" max="3849" width="12.85546875" style="12" customWidth="1"/>
    <col min="3850" max="4096" width="9.140625" style="12"/>
    <col min="4097" max="4097" width="11.85546875" style="12" customWidth="1"/>
    <col min="4098" max="4098" width="6.140625" style="12" customWidth="1"/>
    <col min="4099" max="4099" width="11.42578125" style="12" customWidth="1"/>
    <col min="4100" max="4100" width="24.28515625" style="12" customWidth="1"/>
    <col min="4101" max="4101" width="23.140625" style="12" customWidth="1"/>
    <col min="4102" max="4102" width="5.28515625" style="12" customWidth="1"/>
    <col min="4103" max="4103" width="24.5703125" style="12" customWidth="1"/>
    <col min="4104" max="4104" width="21.42578125" style="12" customWidth="1"/>
    <col min="4105" max="4105" width="12.85546875" style="12" customWidth="1"/>
    <col min="4106" max="4352" width="9.140625" style="12"/>
    <col min="4353" max="4353" width="11.85546875" style="12" customWidth="1"/>
    <col min="4354" max="4354" width="6.140625" style="12" customWidth="1"/>
    <col min="4355" max="4355" width="11.42578125" style="12" customWidth="1"/>
    <col min="4356" max="4356" width="24.28515625" style="12" customWidth="1"/>
    <col min="4357" max="4357" width="23.140625" style="12" customWidth="1"/>
    <col min="4358" max="4358" width="5.28515625" style="12" customWidth="1"/>
    <col min="4359" max="4359" width="24.5703125" style="12" customWidth="1"/>
    <col min="4360" max="4360" width="21.42578125" style="12" customWidth="1"/>
    <col min="4361" max="4361" width="12.85546875" style="12" customWidth="1"/>
    <col min="4362" max="4608" width="9.140625" style="12"/>
    <col min="4609" max="4609" width="11.85546875" style="12" customWidth="1"/>
    <col min="4610" max="4610" width="6.140625" style="12" customWidth="1"/>
    <col min="4611" max="4611" width="11.42578125" style="12" customWidth="1"/>
    <col min="4612" max="4612" width="24.28515625" style="12" customWidth="1"/>
    <col min="4613" max="4613" width="23.140625" style="12" customWidth="1"/>
    <col min="4614" max="4614" width="5.28515625" style="12" customWidth="1"/>
    <col min="4615" max="4615" width="24.5703125" style="12" customWidth="1"/>
    <col min="4616" max="4616" width="21.42578125" style="12" customWidth="1"/>
    <col min="4617" max="4617" width="12.85546875" style="12" customWidth="1"/>
    <col min="4618" max="4864" width="9.140625" style="12"/>
    <col min="4865" max="4865" width="11.85546875" style="12" customWidth="1"/>
    <col min="4866" max="4866" width="6.140625" style="12" customWidth="1"/>
    <col min="4867" max="4867" width="11.42578125" style="12" customWidth="1"/>
    <col min="4868" max="4868" width="24.28515625" style="12" customWidth="1"/>
    <col min="4869" max="4869" width="23.140625" style="12" customWidth="1"/>
    <col min="4870" max="4870" width="5.28515625" style="12" customWidth="1"/>
    <col min="4871" max="4871" width="24.5703125" style="12" customWidth="1"/>
    <col min="4872" max="4872" width="21.42578125" style="12" customWidth="1"/>
    <col min="4873" max="4873" width="12.85546875" style="12" customWidth="1"/>
    <col min="4874" max="5120" width="9.140625" style="12"/>
    <col min="5121" max="5121" width="11.85546875" style="12" customWidth="1"/>
    <col min="5122" max="5122" width="6.140625" style="12" customWidth="1"/>
    <col min="5123" max="5123" width="11.42578125" style="12" customWidth="1"/>
    <col min="5124" max="5124" width="24.28515625" style="12" customWidth="1"/>
    <col min="5125" max="5125" width="23.140625" style="12" customWidth="1"/>
    <col min="5126" max="5126" width="5.28515625" style="12" customWidth="1"/>
    <col min="5127" max="5127" width="24.5703125" style="12" customWidth="1"/>
    <col min="5128" max="5128" width="21.42578125" style="12" customWidth="1"/>
    <col min="5129" max="5129" width="12.85546875" style="12" customWidth="1"/>
    <col min="5130" max="5376" width="9.140625" style="12"/>
    <col min="5377" max="5377" width="11.85546875" style="12" customWidth="1"/>
    <col min="5378" max="5378" width="6.140625" style="12" customWidth="1"/>
    <col min="5379" max="5379" width="11.42578125" style="12" customWidth="1"/>
    <col min="5380" max="5380" width="24.28515625" style="12" customWidth="1"/>
    <col min="5381" max="5381" width="23.140625" style="12" customWidth="1"/>
    <col min="5382" max="5382" width="5.28515625" style="12" customWidth="1"/>
    <col min="5383" max="5383" width="24.5703125" style="12" customWidth="1"/>
    <col min="5384" max="5384" width="21.42578125" style="12" customWidth="1"/>
    <col min="5385" max="5385" width="12.85546875" style="12" customWidth="1"/>
    <col min="5386" max="5632" width="9.140625" style="12"/>
    <col min="5633" max="5633" width="11.85546875" style="12" customWidth="1"/>
    <col min="5634" max="5634" width="6.140625" style="12" customWidth="1"/>
    <col min="5635" max="5635" width="11.42578125" style="12" customWidth="1"/>
    <col min="5636" max="5636" width="24.28515625" style="12" customWidth="1"/>
    <col min="5637" max="5637" width="23.140625" style="12" customWidth="1"/>
    <col min="5638" max="5638" width="5.28515625" style="12" customWidth="1"/>
    <col min="5639" max="5639" width="24.5703125" style="12" customWidth="1"/>
    <col min="5640" max="5640" width="21.42578125" style="12" customWidth="1"/>
    <col min="5641" max="5641" width="12.85546875" style="12" customWidth="1"/>
    <col min="5642" max="5888" width="9.140625" style="12"/>
    <col min="5889" max="5889" width="11.85546875" style="12" customWidth="1"/>
    <col min="5890" max="5890" width="6.140625" style="12" customWidth="1"/>
    <col min="5891" max="5891" width="11.42578125" style="12" customWidth="1"/>
    <col min="5892" max="5892" width="24.28515625" style="12" customWidth="1"/>
    <col min="5893" max="5893" width="23.140625" style="12" customWidth="1"/>
    <col min="5894" max="5894" width="5.28515625" style="12" customWidth="1"/>
    <col min="5895" max="5895" width="24.5703125" style="12" customWidth="1"/>
    <col min="5896" max="5896" width="21.42578125" style="12" customWidth="1"/>
    <col min="5897" max="5897" width="12.85546875" style="12" customWidth="1"/>
    <col min="5898" max="6144" width="9.140625" style="12"/>
    <col min="6145" max="6145" width="11.85546875" style="12" customWidth="1"/>
    <col min="6146" max="6146" width="6.140625" style="12" customWidth="1"/>
    <col min="6147" max="6147" width="11.42578125" style="12" customWidth="1"/>
    <col min="6148" max="6148" width="24.28515625" style="12" customWidth="1"/>
    <col min="6149" max="6149" width="23.140625" style="12" customWidth="1"/>
    <col min="6150" max="6150" width="5.28515625" style="12" customWidth="1"/>
    <col min="6151" max="6151" width="24.5703125" style="12" customWidth="1"/>
    <col min="6152" max="6152" width="21.42578125" style="12" customWidth="1"/>
    <col min="6153" max="6153" width="12.85546875" style="12" customWidth="1"/>
    <col min="6154" max="6400" width="9.140625" style="12"/>
    <col min="6401" max="6401" width="11.85546875" style="12" customWidth="1"/>
    <col min="6402" max="6402" width="6.140625" style="12" customWidth="1"/>
    <col min="6403" max="6403" width="11.42578125" style="12" customWidth="1"/>
    <col min="6404" max="6404" width="24.28515625" style="12" customWidth="1"/>
    <col min="6405" max="6405" width="23.140625" style="12" customWidth="1"/>
    <col min="6406" max="6406" width="5.28515625" style="12" customWidth="1"/>
    <col min="6407" max="6407" width="24.5703125" style="12" customWidth="1"/>
    <col min="6408" max="6408" width="21.42578125" style="12" customWidth="1"/>
    <col min="6409" max="6409" width="12.85546875" style="12" customWidth="1"/>
    <col min="6410" max="6656" width="9.140625" style="12"/>
    <col min="6657" max="6657" width="11.85546875" style="12" customWidth="1"/>
    <col min="6658" max="6658" width="6.140625" style="12" customWidth="1"/>
    <col min="6659" max="6659" width="11.42578125" style="12" customWidth="1"/>
    <col min="6660" max="6660" width="24.28515625" style="12" customWidth="1"/>
    <col min="6661" max="6661" width="23.140625" style="12" customWidth="1"/>
    <col min="6662" max="6662" width="5.28515625" style="12" customWidth="1"/>
    <col min="6663" max="6663" width="24.5703125" style="12" customWidth="1"/>
    <col min="6664" max="6664" width="21.42578125" style="12" customWidth="1"/>
    <col min="6665" max="6665" width="12.85546875" style="12" customWidth="1"/>
    <col min="6666" max="6912" width="9.140625" style="12"/>
    <col min="6913" max="6913" width="11.85546875" style="12" customWidth="1"/>
    <col min="6914" max="6914" width="6.140625" style="12" customWidth="1"/>
    <col min="6915" max="6915" width="11.42578125" style="12" customWidth="1"/>
    <col min="6916" max="6916" width="24.28515625" style="12" customWidth="1"/>
    <col min="6917" max="6917" width="23.140625" style="12" customWidth="1"/>
    <col min="6918" max="6918" width="5.28515625" style="12" customWidth="1"/>
    <col min="6919" max="6919" width="24.5703125" style="12" customWidth="1"/>
    <col min="6920" max="6920" width="21.42578125" style="12" customWidth="1"/>
    <col min="6921" max="6921" width="12.85546875" style="12" customWidth="1"/>
    <col min="6922" max="7168" width="9.140625" style="12"/>
    <col min="7169" max="7169" width="11.85546875" style="12" customWidth="1"/>
    <col min="7170" max="7170" width="6.140625" style="12" customWidth="1"/>
    <col min="7171" max="7171" width="11.42578125" style="12" customWidth="1"/>
    <col min="7172" max="7172" width="24.28515625" style="12" customWidth="1"/>
    <col min="7173" max="7173" width="23.140625" style="12" customWidth="1"/>
    <col min="7174" max="7174" width="5.28515625" style="12" customWidth="1"/>
    <col min="7175" max="7175" width="24.5703125" style="12" customWidth="1"/>
    <col min="7176" max="7176" width="21.42578125" style="12" customWidth="1"/>
    <col min="7177" max="7177" width="12.85546875" style="12" customWidth="1"/>
    <col min="7178" max="7424" width="9.140625" style="12"/>
    <col min="7425" max="7425" width="11.85546875" style="12" customWidth="1"/>
    <col min="7426" max="7426" width="6.140625" style="12" customWidth="1"/>
    <col min="7427" max="7427" width="11.42578125" style="12" customWidth="1"/>
    <col min="7428" max="7428" width="24.28515625" style="12" customWidth="1"/>
    <col min="7429" max="7429" width="23.140625" style="12" customWidth="1"/>
    <col min="7430" max="7430" width="5.28515625" style="12" customWidth="1"/>
    <col min="7431" max="7431" width="24.5703125" style="12" customWidth="1"/>
    <col min="7432" max="7432" width="21.42578125" style="12" customWidth="1"/>
    <col min="7433" max="7433" width="12.85546875" style="12" customWidth="1"/>
    <col min="7434" max="7680" width="9.140625" style="12"/>
    <col min="7681" max="7681" width="11.85546875" style="12" customWidth="1"/>
    <col min="7682" max="7682" width="6.140625" style="12" customWidth="1"/>
    <col min="7683" max="7683" width="11.42578125" style="12" customWidth="1"/>
    <col min="7684" max="7684" width="24.28515625" style="12" customWidth="1"/>
    <col min="7685" max="7685" width="23.140625" style="12" customWidth="1"/>
    <col min="7686" max="7686" width="5.28515625" style="12" customWidth="1"/>
    <col min="7687" max="7687" width="24.5703125" style="12" customWidth="1"/>
    <col min="7688" max="7688" width="21.42578125" style="12" customWidth="1"/>
    <col min="7689" max="7689" width="12.85546875" style="12" customWidth="1"/>
    <col min="7690" max="7936" width="9.140625" style="12"/>
    <col min="7937" max="7937" width="11.85546875" style="12" customWidth="1"/>
    <col min="7938" max="7938" width="6.140625" style="12" customWidth="1"/>
    <col min="7939" max="7939" width="11.42578125" style="12" customWidth="1"/>
    <col min="7940" max="7940" width="24.28515625" style="12" customWidth="1"/>
    <col min="7941" max="7941" width="23.140625" style="12" customWidth="1"/>
    <col min="7942" max="7942" width="5.28515625" style="12" customWidth="1"/>
    <col min="7943" max="7943" width="24.5703125" style="12" customWidth="1"/>
    <col min="7944" max="7944" width="21.42578125" style="12" customWidth="1"/>
    <col min="7945" max="7945" width="12.85546875" style="12" customWidth="1"/>
    <col min="7946" max="8192" width="9.140625" style="12"/>
    <col min="8193" max="8193" width="11.85546875" style="12" customWidth="1"/>
    <col min="8194" max="8194" width="6.140625" style="12" customWidth="1"/>
    <col min="8195" max="8195" width="11.42578125" style="12" customWidth="1"/>
    <col min="8196" max="8196" width="24.28515625" style="12" customWidth="1"/>
    <col min="8197" max="8197" width="23.140625" style="12" customWidth="1"/>
    <col min="8198" max="8198" width="5.28515625" style="12" customWidth="1"/>
    <col min="8199" max="8199" width="24.5703125" style="12" customWidth="1"/>
    <col min="8200" max="8200" width="21.42578125" style="12" customWidth="1"/>
    <col min="8201" max="8201" width="12.85546875" style="12" customWidth="1"/>
    <col min="8202" max="8448" width="9.140625" style="12"/>
    <col min="8449" max="8449" width="11.85546875" style="12" customWidth="1"/>
    <col min="8450" max="8450" width="6.140625" style="12" customWidth="1"/>
    <col min="8451" max="8451" width="11.42578125" style="12" customWidth="1"/>
    <col min="8452" max="8452" width="24.28515625" style="12" customWidth="1"/>
    <col min="8453" max="8453" width="23.140625" style="12" customWidth="1"/>
    <col min="8454" max="8454" width="5.28515625" style="12" customWidth="1"/>
    <col min="8455" max="8455" width="24.5703125" style="12" customWidth="1"/>
    <col min="8456" max="8456" width="21.42578125" style="12" customWidth="1"/>
    <col min="8457" max="8457" width="12.85546875" style="12" customWidth="1"/>
    <col min="8458" max="8704" width="9.140625" style="12"/>
    <col min="8705" max="8705" width="11.85546875" style="12" customWidth="1"/>
    <col min="8706" max="8706" width="6.140625" style="12" customWidth="1"/>
    <col min="8707" max="8707" width="11.42578125" style="12" customWidth="1"/>
    <col min="8708" max="8708" width="24.28515625" style="12" customWidth="1"/>
    <col min="8709" max="8709" width="23.140625" style="12" customWidth="1"/>
    <col min="8710" max="8710" width="5.28515625" style="12" customWidth="1"/>
    <col min="8711" max="8711" width="24.5703125" style="12" customWidth="1"/>
    <col min="8712" max="8712" width="21.42578125" style="12" customWidth="1"/>
    <col min="8713" max="8713" width="12.85546875" style="12" customWidth="1"/>
    <col min="8714" max="8960" width="9.140625" style="12"/>
    <col min="8961" max="8961" width="11.85546875" style="12" customWidth="1"/>
    <col min="8962" max="8962" width="6.140625" style="12" customWidth="1"/>
    <col min="8963" max="8963" width="11.42578125" style="12" customWidth="1"/>
    <col min="8964" max="8964" width="24.28515625" style="12" customWidth="1"/>
    <col min="8965" max="8965" width="23.140625" style="12" customWidth="1"/>
    <col min="8966" max="8966" width="5.28515625" style="12" customWidth="1"/>
    <col min="8967" max="8967" width="24.5703125" style="12" customWidth="1"/>
    <col min="8968" max="8968" width="21.42578125" style="12" customWidth="1"/>
    <col min="8969" max="8969" width="12.85546875" style="12" customWidth="1"/>
    <col min="8970" max="9216" width="9.140625" style="12"/>
    <col min="9217" max="9217" width="11.85546875" style="12" customWidth="1"/>
    <col min="9218" max="9218" width="6.140625" style="12" customWidth="1"/>
    <col min="9219" max="9219" width="11.42578125" style="12" customWidth="1"/>
    <col min="9220" max="9220" width="24.28515625" style="12" customWidth="1"/>
    <col min="9221" max="9221" width="23.140625" style="12" customWidth="1"/>
    <col min="9222" max="9222" width="5.28515625" style="12" customWidth="1"/>
    <col min="9223" max="9223" width="24.5703125" style="12" customWidth="1"/>
    <col min="9224" max="9224" width="21.42578125" style="12" customWidth="1"/>
    <col min="9225" max="9225" width="12.85546875" style="12" customWidth="1"/>
    <col min="9226" max="9472" width="9.140625" style="12"/>
    <col min="9473" max="9473" width="11.85546875" style="12" customWidth="1"/>
    <col min="9474" max="9474" width="6.140625" style="12" customWidth="1"/>
    <col min="9475" max="9475" width="11.42578125" style="12" customWidth="1"/>
    <col min="9476" max="9476" width="24.28515625" style="12" customWidth="1"/>
    <col min="9477" max="9477" width="23.140625" style="12" customWidth="1"/>
    <col min="9478" max="9478" width="5.28515625" style="12" customWidth="1"/>
    <col min="9479" max="9479" width="24.5703125" style="12" customWidth="1"/>
    <col min="9480" max="9480" width="21.42578125" style="12" customWidth="1"/>
    <col min="9481" max="9481" width="12.85546875" style="12" customWidth="1"/>
    <col min="9482" max="9728" width="9.140625" style="12"/>
    <col min="9729" max="9729" width="11.85546875" style="12" customWidth="1"/>
    <col min="9730" max="9730" width="6.140625" style="12" customWidth="1"/>
    <col min="9731" max="9731" width="11.42578125" style="12" customWidth="1"/>
    <col min="9732" max="9732" width="24.28515625" style="12" customWidth="1"/>
    <col min="9733" max="9733" width="23.140625" style="12" customWidth="1"/>
    <col min="9734" max="9734" width="5.28515625" style="12" customWidth="1"/>
    <col min="9735" max="9735" width="24.5703125" style="12" customWidth="1"/>
    <col min="9736" max="9736" width="21.42578125" style="12" customWidth="1"/>
    <col min="9737" max="9737" width="12.85546875" style="12" customWidth="1"/>
    <col min="9738" max="9984" width="9.140625" style="12"/>
    <col min="9985" max="9985" width="11.85546875" style="12" customWidth="1"/>
    <col min="9986" max="9986" width="6.140625" style="12" customWidth="1"/>
    <col min="9987" max="9987" width="11.42578125" style="12" customWidth="1"/>
    <col min="9988" max="9988" width="24.28515625" style="12" customWidth="1"/>
    <col min="9989" max="9989" width="23.140625" style="12" customWidth="1"/>
    <col min="9990" max="9990" width="5.28515625" style="12" customWidth="1"/>
    <col min="9991" max="9991" width="24.5703125" style="12" customWidth="1"/>
    <col min="9992" max="9992" width="21.42578125" style="12" customWidth="1"/>
    <col min="9993" max="9993" width="12.85546875" style="12" customWidth="1"/>
    <col min="9994" max="10240" width="9.140625" style="12"/>
    <col min="10241" max="10241" width="11.85546875" style="12" customWidth="1"/>
    <col min="10242" max="10242" width="6.140625" style="12" customWidth="1"/>
    <col min="10243" max="10243" width="11.42578125" style="12" customWidth="1"/>
    <col min="10244" max="10244" width="24.28515625" style="12" customWidth="1"/>
    <col min="10245" max="10245" width="23.140625" style="12" customWidth="1"/>
    <col min="10246" max="10246" width="5.28515625" style="12" customWidth="1"/>
    <col min="10247" max="10247" width="24.5703125" style="12" customWidth="1"/>
    <col min="10248" max="10248" width="21.42578125" style="12" customWidth="1"/>
    <col min="10249" max="10249" width="12.85546875" style="12" customWidth="1"/>
    <col min="10250" max="10496" width="9.140625" style="12"/>
    <col min="10497" max="10497" width="11.85546875" style="12" customWidth="1"/>
    <col min="10498" max="10498" width="6.140625" style="12" customWidth="1"/>
    <col min="10499" max="10499" width="11.42578125" style="12" customWidth="1"/>
    <col min="10500" max="10500" width="24.28515625" style="12" customWidth="1"/>
    <col min="10501" max="10501" width="23.140625" style="12" customWidth="1"/>
    <col min="10502" max="10502" width="5.28515625" style="12" customWidth="1"/>
    <col min="10503" max="10503" width="24.5703125" style="12" customWidth="1"/>
    <col min="10504" max="10504" width="21.42578125" style="12" customWidth="1"/>
    <col min="10505" max="10505" width="12.85546875" style="12" customWidth="1"/>
    <col min="10506" max="10752" width="9.140625" style="12"/>
    <col min="10753" max="10753" width="11.85546875" style="12" customWidth="1"/>
    <col min="10754" max="10754" width="6.140625" style="12" customWidth="1"/>
    <col min="10755" max="10755" width="11.42578125" style="12" customWidth="1"/>
    <col min="10756" max="10756" width="24.28515625" style="12" customWidth="1"/>
    <col min="10757" max="10757" width="23.140625" style="12" customWidth="1"/>
    <col min="10758" max="10758" width="5.28515625" style="12" customWidth="1"/>
    <col min="10759" max="10759" width="24.5703125" style="12" customWidth="1"/>
    <col min="10760" max="10760" width="21.42578125" style="12" customWidth="1"/>
    <col min="10761" max="10761" width="12.85546875" style="12" customWidth="1"/>
    <col min="10762" max="11008" width="9.140625" style="12"/>
    <col min="11009" max="11009" width="11.85546875" style="12" customWidth="1"/>
    <col min="11010" max="11010" width="6.140625" style="12" customWidth="1"/>
    <col min="11011" max="11011" width="11.42578125" style="12" customWidth="1"/>
    <col min="11012" max="11012" width="24.28515625" style="12" customWidth="1"/>
    <col min="11013" max="11013" width="23.140625" style="12" customWidth="1"/>
    <col min="11014" max="11014" width="5.28515625" style="12" customWidth="1"/>
    <col min="11015" max="11015" width="24.5703125" style="12" customWidth="1"/>
    <col min="11016" max="11016" width="21.42578125" style="12" customWidth="1"/>
    <col min="11017" max="11017" width="12.85546875" style="12" customWidth="1"/>
    <col min="11018" max="11264" width="9.140625" style="12"/>
    <col min="11265" max="11265" width="11.85546875" style="12" customWidth="1"/>
    <col min="11266" max="11266" width="6.140625" style="12" customWidth="1"/>
    <col min="11267" max="11267" width="11.42578125" style="12" customWidth="1"/>
    <col min="11268" max="11268" width="24.28515625" style="12" customWidth="1"/>
    <col min="11269" max="11269" width="23.140625" style="12" customWidth="1"/>
    <col min="11270" max="11270" width="5.28515625" style="12" customWidth="1"/>
    <col min="11271" max="11271" width="24.5703125" style="12" customWidth="1"/>
    <col min="11272" max="11272" width="21.42578125" style="12" customWidth="1"/>
    <col min="11273" max="11273" width="12.85546875" style="12" customWidth="1"/>
    <col min="11274" max="11520" width="9.140625" style="12"/>
    <col min="11521" max="11521" width="11.85546875" style="12" customWidth="1"/>
    <col min="11522" max="11522" width="6.140625" style="12" customWidth="1"/>
    <col min="11523" max="11523" width="11.42578125" style="12" customWidth="1"/>
    <col min="11524" max="11524" width="24.28515625" style="12" customWidth="1"/>
    <col min="11525" max="11525" width="23.140625" style="12" customWidth="1"/>
    <col min="11526" max="11526" width="5.28515625" style="12" customWidth="1"/>
    <col min="11527" max="11527" width="24.5703125" style="12" customWidth="1"/>
    <col min="11528" max="11528" width="21.42578125" style="12" customWidth="1"/>
    <col min="11529" max="11529" width="12.85546875" style="12" customWidth="1"/>
    <col min="11530" max="11776" width="9.140625" style="12"/>
    <col min="11777" max="11777" width="11.85546875" style="12" customWidth="1"/>
    <col min="11778" max="11778" width="6.140625" style="12" customWidth="1"/>
    <col min="11779" max="11779" width="11.42578125" style="12" customWidth="1"/>
    <col min="11780" max="11780" width="24.28515625" style="12" customWidth="1"/>
    <col min="11781" max="11781" width="23.140625" style="12" customWidth="1"/>
    <col min="11782" max="11782" width="5.28515625" style="12" customWidth="1"/>
    <col min="11783" max="11783" width="24.5703125" style="12" customWidth="1"/>
    <col min="11784" max="11784" width="21.42578125" style="12" customWidth="1"/>
    <col min="11785" max="11785" width="12.85546875" style="12" customWidth="1"/>
    <col min="11786" max="12032" width="9.140625" style="12"/>
    <col min="12033" max="12033" width="11.85546875" style="12" customWidth="1"/>
    <col min="12034" max="12034" width="6.140625" style="12" customWidth="1"/>
    <col min="12035" max="12035" width="11.42578125" style="12" customWidth="1"/>
    <col min="12036" max="12036" width="24.28515625" style="12" customWidth="1"/>
    <col min="12037" max="12037" width="23.140625" style="12" customWidth="1"/>
    <col min="12038" max="12038" width="5.28515625" style="12" customWidth="1"/>
    <col min="12039" max="12039" width="24.5703125" style="12" customWidth="1"/>
    <col min="12040" max="12040" width="21.42578125" style="12" customWidth="1"/>
    <col min="12041" max="12041" width="12.85546875" style="12" customWidth="1"/>
    <col min="12042" max="12288" width="9.140625" style="12"/>
    <col min="12289" max="12289" width="11.85546875" style="12" customWidth="1"/>
    <col min="12290" max="12290" width="6.140625" style="12" customWidth="1"/>
    <col min="12291" max="12291" width="11.42578125" style="12" customWidth="1"/>
    <col min="12292" max="12292" width="24.28515625" style="12" customWidth="1"/>
    <col min="12293" max="12293" width="23.140625" style="12" customWidth="1"/>
    <col min="12294" max="12294" width="5.28515625" style="12" customWidth="1"/>
    <col min="12295" max="12295" width="24.5703125" style="12" customWidth="1"/>
    <col min="12296" max="12296" width="21.42578125" style="12" customWidth="1"/>
    <col min="12297" max="12297" width="12.85546875" style="12" customWidth="1"/>
    <col min="12298" max="12544" width="9.140625" style="12"/>
    <col min="12545" max="12545" width="11.85546875" style="12" customWidth="1"/>
    <col min="12546" max="12546" width="6.140625" style="12" customWidth="1"/>
    <col min="12547" max="12547" width="11.42578125" style="12" customWidth="1"/>
    <col min="12548" max="12548" width="24.28515625" style="12" customWidth="1"/>
    <col min="12549" max="12549" width="23.140625" style="12" customWidth="1"/>
    <col min="12550" max="12550" width="5.28515625" style="12" customWidth="1"/>
    <col min="12551" max="12551" width="24.5703125" style="12" customWidth="1"/>
    <col min="12552" max="12552" width="21.42578125" style="12" customWidth="1"/>
    <col min="12553" max="12553" width="12.85546875" style="12" customWidth="1"/>
    <col min="12554" max="12800" width="9.140625" style="12"/>
    <col min="12801" max="12801" width="11.85546875" style="12" customWidth="1"/>
    <col min="12802" max="12802" width="6.140625" style="12" customWidth="1"/>
    <col min="12803" max="12803" width="11.42578125" style="12" customWidth="1"/>
    <col min="12804" max="12804" width="24.28515625" style="12" customWidth="1"/>
    <col min="12805" max="12805" width="23.140625" style="12" customWidth="1"/>
    <col min="12806" max="12806" width="5.28515625" style="12" customWidth="1"/>
    <col min="12807" max="12807" width="24.5703125" style="12" customWidth="1"/>
    <col min="12808" max="12808" width="21.42578125" style="12" customWidth="1"/>
    <col min="12809" max="12809" width="12.85546875" style="12" customWidth="1"/>
    <col min="12810" max="13056" width="9.140625" style="12"/>
    <col min="13057" max="13057" width="11.85546875" style="12" customWidth="1"/>
    <col min="13058" max="13058" width="6.140625" style="12" customWidth="1"/>
    <col min="13059" max="13059" width="11.42578125" style="12" customWidth="1"/>
    <col min="13060" max="13060" width="24.28515625" style="12" customWidth="1"/>
    <col min="13061" max="13061" width="23.140625" style="12" customWidth="1"/>
    <col min="13062" max="13062" width="5.28515625" style="12" customWidth="1"/>
    <col min="13063" max="13063" width="24.5703125" style="12" customWidth="1"/>
    <col min="13064" max="13064" width="21.42578125" style="12" customWidth="1"/>
    <col min="13065" max="13065" width="12.85546875" style="12" customWidth="1"/>
    <col min="13066" max="13312" width="9.140625" style="12"/>
    <col min="13313" max="13313" width="11.85546875" style="12" customWidth="1"/>
    <col min="13314" max="13314" width="6.140625" style="12" customWidth="1"/>
    <col min="13315" max="13315" width="11.42578125" style="12" customWidth="1"/>
    <col min="13316" max="13316" width="24.28515625" style="12" customWidth="1"/>
    <col min="13317" max="13317" width="23.140625" style="12" customWidth="1"/>
    <col min="13318" max="13318" width="5.28515625" style="12" customWidth="1"/>
    <col min="13319" max="13319" width="24.5703125" style="12" customWidth="1"/>
    <col min="13320" max="13320" width="21.42578125" style="12" customWidth="1"/>
    <col min="13321" max="13321" width="12.85546875" style="12" customWidth="1"/>
    <col min="13322" max="13568" width="9.140625" style="12"/>
    <col min="13569" max="13569" width="11.85546875" style="12" customWidth="1"/>
    <col min="13570" max="13570" width="6.140625" style="12" customWidth="1"/>
    <col min="13571" max="13571" width="11.42578125" style="12" customWidth="1"/>
    <col min="13572" max="13572" width="24.28515625" style="12" customWidth="1"/>
    <col min="13573" max="13573" width="23.140625" style="12" customWidth="1"/>
    <col min="13574" max="13574" width="5.28515625" style="12" customWidth="1"/>
    <col min="13575" max="13575" width="24.5703125" style="12" customWidth="1"/>
    <col min="13576" max="13576" width="21.42578125" style="12" customWidth="1"/>
    <col min="13577" max="13577" width="12.85546875" style="12" customWidth="1"/>
    <col min="13578" max="13824" width="9.140625" style="12"/>
    <col min="13825" max="13825" width="11.85546875" style="12" customWidth="1"/>
    <col min="13826" max="13826" width="6.140625" style="12" customWidth="1"/>
    <col min="13827" max="13827" width="11.42578125" style="12" customWidth="1"/>
    <col min="13828" max="13828" width="24.28515625" style="12" customWidth="1"/>
    <col min="13829" max="13829" width="23.140625" style="12" customWidth="1"/>
    <col min="13830" max="13830" width="5.28515625" style="12" customWidth="1"/>
    <col min="13831" max="13831" width="24.5703125" style="12" customWidth="1"/>
    <col min="13832" max="13832" width="21.42578125" style="12" customWidth="1"/>
    <col min="13833" max="13833" width="12.85546875" style="12" customWidth="1"/>
    <col min="13834" max="14080" width="9.140625" style="12"/>
    <col min="14081" max="14081" width="11.85546875" style="12" customWidth="1"/>
    <col min="14082" max="14082" width="6.140625" style="12" customWidth="1"/>
    <col min="14083" max="14083" width="11.42578125" style="12" customWidth="1"/>
    <col min="14084" max="14084" width="24.28515625" style="12" customWidth="1"/>
    <col min="14085" max="14085" width="23.140625" style="12" customWidth="1"/>
    <col min="14086" max="14086" width="5.28515625" style="12" customWidth="1"/>
    <col min="14087" max="14087" width="24.5703125" style="12" customWidth="1"/>
    <col min="14088" max="14088" width="21.42578125" style="12" customWidth="1"/>
    <col min="14089" max="14089" width="12.85546875" style="12" customWidth="1"/>
    <col min="14090" max="14336" width="9.140625" style="12"/>
    <col min="14337" max="14337" width="11.85546875" style="12" customWidth="1"/>
    <col min="14338" max="14338" width="6.140625" style="12" customWidth="1"/>
    <col min="14339" max="14339" width="11.42578125" style="12" customWidth="1"/>
    <col min="14340" max="14340" width="24.28515625" style="12" customWidth="1"/>
    <col min="14341" max="14341" width="23.140625" style="12" customWidth="1"/>
    <col min="14342" max="14342" width="5.28515625" style="12" customWidth="1"/>
    <col min="14343" max="14343" width="24.5703125" style="12" customWidth="1"/>
    <col min="14344" max="14344" width="21.42578125" style="12" customWidth="1"/>
    <col min="14345" max="14345" width="12.85546875" style="12" customWidth="1"/>
    <col min="14346" max="14592" width="9.140625" style="12"/>
    <col min="14593" max="14593" width="11.85546875" style="12" customWidth="1"/>
    <col min="14594" max="14594" width="6.140625" style="12" customWidth="1"/>
    <col min="14595" max="14595" width="11.42578125" style="12" customWidth="1"/>
    <col min="14596" max="14596" width="24.28515625" style="12" customWidth="1"/>
    <col min="14597" max="14597" width="23.140625" style="12" customWidth="1"/>
    <col min="14598" max="14598" width="5.28515625" style="12" customWidth="1"/>
    <col min="14599" max="14599" width="24.5703125" style="12" customWidth="1"/>
    <col min="14600" max="14600" width="21.42578125" style="12" customWidth="1"/>
    <col min="14601" max="14601" width="12.85546875" style="12" customWidth="1"/>
    <col min="14602" max="14848" width="9.140625" style="12"/>
    <col min="14849" max="14849" width="11.85546875" style="12" customWidth="1"/>
    <col min="14850" max="14850" width="6.140625" style="12" customWidth="1"/>
    <col min="14851" max="14851" width="11.42578125" style="12" customWidth="1"/>
    <col min="14852" max="14852" width="24.28515625" style="12" customWidth="1"/>
    <col min="14853" max="14853" width="23.140625" style="12" customWidth="1"/>
    <col min="14854" max="14854" width="5.28515625" style="12" customWidth="1"/>
    <col min="14855" max="14855" width="24.5703125" style="12" customWidth="1"/>
    <col min="14856" max="14856" width="21.42578125" style="12" customWidth="1"/>
    <col min="14857" max="14857" width="12.85546875" style="12" customWidth="1"/>
    <col min="14858" max="15104" width="9.140625" style="12"/>
    <col min="15105" max="15105" width="11.85546875" style="12" customWidth="1"/>
    <col min="15106" max="15106" width="6.140625" style="12" customWidth="1"/>
    <col min="15107" max="15107" width="11.42578125" style="12" customWidth="1"/>
    <col min="15108" max="15108" width="24.28515625" style="12" customWidth="1"/>
    <col min="15109" max="15109" width="23.140625" style="12" customWidth="1"/>
    <col min="15110" max="15110" width="5.28515625" style="12" customWidth="1"/>
    <col min="15111" max="15111" width="24.5703125" style="12" customWidth="1"/>
    <col min="15112" max="15112" width="21.42578125" style="12" customWidth="1"/>
    <col min="15113" max="15113" width="12.85546875" style="12" customWidth="1"/>
    <col min="15114" max="15360" width="9.140625" style="12"/>
    <col min="15361" max="15361" width="11.85546875" style="12" customWidth="1"/>
    <col min="15362" max="15362" width="6.140625" style="12" customWidth="1"/>
    <col min="15363" max="15363" width="11.42578125" style="12" customWidth="1"/>
    <col min="15364" max="15364" width="24.28515625" style="12" customWidth="1"/>
    <col min="15365" max="15365" width="23.140625" style="12" customWidth="1"/>
    <col min="15366" max="15366" width="5.28515625" style="12" customWidth="1"/>
    <col min="15367" max="15367" width="24.5703125" style="12" customWidth="1"/>
    <col min="15368" max="15368" width="21.42578125" style="12" customWidth="1"/>
    <col min="15369" max="15369" width="12.85546875" style="12" customWidth="1"/>
    <col min="15370" max="15616" width="9.140625" style="12"/>
    <col min="15617" max="15617" width="11.85546875" style="12" customWidth="1"/>
    <col min="15618" max="15618" width="6.140625" style="12" customWidth="1"/>
    <col min="15619" max="15619" width="11.42578125" style="12" customWidth="1"/>
    <col min="15620" max="15620" width="24.28515625" style="12" customWidth="1"/>
    <col min="15621" max="15621" width="23.140625" style="12" customWidth="1"/>
    <col min="15622" max="15622" width="5.28515625" style="12" customWidth="1"/>
    <col min="15623" max="15623" width="24.5703125" style="12" customWidth="1"/>
    <col min="15624" max="15624" width="21.42578125" style="12" customWidth="1"/>
    <col min="15625" max="15625" width="12.85546875" style="12" customWidth="1"/>
    <col min="15626" max="15872" width="9.140625" style="12"/>
    <col min="15873" max="15873" width="11.85546875" style="12" customWidth="1"/>
    <col min="15874" max="15874" width="6.140625" style="12" customWidth="1"/>
    <col min="15875" max="15875" width="11.42578125" style="12" customWidth="1"/>
    <col min="15876" max="15876" width="24.28515625" style="12" customWidth="1"/>
    <col min="15877" max="15877" width="23.140625" style="12" customWidth="1"/>
    <col min="15878" max="15878" width="5.28515625" style="12" customWidth="1"/>
    <col min="15879" max="15879" width="24.5703125" style="12" customWidth="1"/>
    <col min="15880" max="15880" width="21.42578125" style="12" customWidth="1"/>
    <col min="15881" max="15881" width="12.85546875" style="12" customWidth="1"/>
    <col min="15882" max="16128" width="9.140625" style="12"/>
    <col min="16129" max="16129" width="11.85546875" style="12" customWidth="1"/>
    <col min="16130" max="16130" width="6.140625" style="12" customWidth="1"/>
    <col min="16131" max="16131" width="11.42578125" style="12" customWidth="1"/>
    <col min="16132" max="16132" width="24.28515625" style="12" customWidth="1"/>
    <col min="16133" max="16133" width="23.140625" style="12" customWidth="1"/>
    <col min="16134" max="16134" width="5.28515625" style="12" customWidth="1"/>
    <col min="16135" max="16135" width="24.5703125" style="12" customWidth="1"/>
    <col min="16136" max="16136" width="21.42578125" style="12" customWidth="1"/>
    <col min="16137" max="16137" width="12.85546875" style="12" customWidth="1"/>
    <col min="16138" max="16384" width="9.140625" style="12"/>
  </cols>
  <sheetData>
    <row r="1" spans="1:10">
      <c r="A1" s="228" t="s">
        <v>603</v>
      </c>
      <c r="B1" s="228"/>
    </row>
    <row r="2" spans="1:10" ht="15.75" customHeight="1">
      <c r="C2" s="229" t="s">
        <v>604</v>
      </c>
      <c r="D2" s="230"/>
      <c r="E2" s="231"/>
    </row>
    <row r="3" spans="1:10" ht="15.75" customHeight="1">
      <c r="A3" s="13"/>
      <c r="B3" s="13"/>
      <c r="C3" s="232" t="s">
        <v>695</v>
      </c>
      <c r="D3" s="233"/>
      <c r="E3" s="234"/>
    </row>
    <row r="4" spans="1:10">
      <c r="A4" s="13"/>
      <c r="B4" s="13"/>
    </row>
    <row r="5" spans="1:10">
      <c r="A5" s="218" t="s">
        <v>605</v>
      </c>
      <c r="B5" s="218"/>
    </row>
    <row r="6" spans="1:10">
      <c r="A6" s="13"/>
      <c r="B6" s="13"/>
      <c r="C6" s="235" t="s">
        <v>10</v>
      </c>
      <c r="D6" s="236"/>
      <c r="E6" s="14" t="s">
        <v>606</v>
      </c>
      <c r="F6" s="15"/>
      <c r="G6" s="15"/>
      <c r="H6" s="15"/>
      <c r="I6" s="16"/>
    </row>
    <row r="7" spans="1:10">
      <c r="A7" s="13"/>
      <c r="B7" s="13"/>
      <c r="C7" s="226" t="s">
        <v>12</v>
      </c>
      <c r="D7" s="227"/>
      <c r="E7" s="17" t="s">
        <v>13</v>
      </c>
      <c r="F7" s="18"/>
      <c r="G7" s="18"/>
      <c r="H7" s="18"/>
      <c r="I7" s="19"/>
      <c r="J7" s="20"/>
    </row>
    <row r="8" spans="1:10">
      <c r="A8" s="13"/>
      <c r="B8" s="13"/>
      <c r="C8" s="224" t="s">
        <v>385</v>
      </c>
      <c r="D8" s="225"/>
      <c r="E8" s="21" t="s">
        <v>607</v>
      </c>
      <c r="F8" s="22"/>
      <c r="G8" s="22"/>
      <c r="H8" s="22"/>
      <c r="I8" s="23"/>
      <c r="J8" s="20"/>
    </row>
    <row r="9" spans="1:10">
      <c r="A9" s="13"/>
      <c r="B9" s="13"/>
      <c r="C9" s="226" t="s">
        <v>608</v>
      </c>
      <c r="D9" s="227"/>
      <c r="E9" s="17" t="s">
        <v>602</v>
      </c>
      <c r="F9" s="18"/>
      <c r="G9" s="18"/>
      <c r="H9" s="18"/>
      <c r="I9" s="19"/>
      <c r="J9" s="20"/>
    </row>
    <row r="10" spans="1:10">
      <c r="A10" s="13"/>
      <c r="B10" s="13"/>
      <c r="C10" s="224" t="s">
        <v>5</v>
      </c>
      <c r="D10" s="225"/>
      <c r="E10" s="21" t="s">
        <v>609</v>
      </c>
      <c r="F10" s="22"/>
      <c r="G10" s="22"/>
      <c r="H10" s="22"/>
      <c r="I10" s="23"/>
      <c r="J10" s="20"/>
    </row>
    <row r="11" spans="1:10">
      <c r="A11" s="13"/>
      <c r="B11" s="13"/>
      <c r="C11" s="226" t="s">
        <v>610</v>
      </c>
      <c r="D11" s="227"/>
      <c r="E11" s="17" t="s">
        <v>611</v>
      </c>
      <c r="F11" s="18"/>
      <c r="G11" s="18"/>
      <c r="H11" s="18"/>
      <c r="I11" s="19"/>
      <c r="J11" s="20"/>
    </row>
    <row r="12" spans="1:10">
      <c r="A12" s="13"/>
      <c r="B12" s="13"/>
      <c r="C12" s="224" t="s">
        <v>20</v>
      </c>
      <c r="D12" s="225"/>
      <c r="E12" s="24">
        <v>45359</v>
      </c>
      <c r="F12" s="22"/>
      <c r="G12" s="22"/>
      <c r="H12" s="22"/>
      <c r="I12" s="23"/>
      <c r="J12" s="20"/>
    </row>
    <row r="13" spans="1:10">
      <c r="A13" s="13"/>
      <c r="B13" s="13"/>
      <c r="C13" s="222" t="s">
        <v>21</v>
      </c>
      <c r="D13" s="223"/>
      <c r="E13" s="217">
        <f>+E12</f>
        <v>45359</v>
      </c>
      <c r="F13" s="217"/>
      <c r="G13" s="217"/>
      <c r="H13" s="217"/>
      <c r="I13" s="25"/>
      <c r="J13" s="20"/>
    </row>
    <row r="14" spans="1:10">
      <c r="D14" s="26"/>
    </row>
    <row r="15" spans="1:10">
      <c r="A15" s="218" t="s">
        <v>612</v>
      </c>
      <c r="B15" s="218"/>
    </row>
    <row r="16" spans="1:10">
      <c r="C16" s="219" t="s">
        <v>221</v>
      </c>
      <c r="D16" s="220"/>
      <c r="E16" s="221"/>
      <c r="G16" s="219" t="s">
        <v>613</v>
      </c>
      <c r="H16" s="220"/>
      <c r="I16" s="221"/>
    </row>
    <row r="17" spans="3:9">
      <c r="C17" s="204" t="s">
        <v>223</v>
      </c>
      <c r="D17" s="205"/>
      <c r="E17" s="206"/>
      <c r="G17" s="204" t="s">
        <v>224</v>
      </c>
      <c r="H17" s="205"/>
      <c r="I17" s="206"/>
    </row>
    <row r="18" spans="3:9">
      <c r="C18" s="204"/>
      <c r="D18" s="205"/>
      <c r="E18" s="206"/>
      <c r="G18" s="207"/>
      <c r="H18" s="208"/>
      <c r="I18" s="209"/>
    </row>
    <row r="19" spans="3:9" ht="27" customHeight="1">
      <c r="C19" s="204"/>
      <c r="D19" s="205"/>
      <c r="E19" s="206"/>
      <c r="G19" s="207"/>
      <c r="H19" s="208"/>
      <c r="I19" s="209"/>
    </row>
    <row r="20" spans="3:9">
      <c r="C20" s="204"/>
      <c r="D20" s="205"/>
      <c r="E20" s="206"/>
      <c r="G20" s="207"/>
      <c r="H20" s="208"/>
      <c r="I20" s="209"/>
    </row>
    <row r="21" spans="3:9">
      <c r="C21" s="204"/>
      <c r="D21" s="205"/>
      <c r="E21" s="206"/>
      <c r="G21" s="207"/>
      <c r="H21" s="208"/>
      <c r="I21" s="209"/>
    </row>
    <row r="22" spans="3:9">
      <c r="C22" s="204"/>
      <c r="D22" s="205"/>
      <c r="E22" s="206"/>
      <c r="G22" s="207"/>
      <c r="H22" s="208"/>
      <c r="I22" s="209"/>
    </row>
    <row r="23" spans="3:9">
      <c r="C23" s="204"/>
      <c r="D23" s="205"/>
      <c r="E23" s="206"/>
      <c r="G23" s="207"/>
      <c r="H23" s="208"/>
      <c r="I23" s="209"/>
    </row>
    <row r="24" spans="3:9">
      <c r="C24" s="210" t="s">
        <v>607</v>
      </c>
      <c r="D24" s="211"/>
      <c r="E24" s="212"/>
      <c r="G24" s="210" t="s">
        <v>606</v>
      </c>
      <c r="H24" s="211"/>
      <c r="I24" s="212"/>
    </row>
    <row r="25" spans="3:9">
      <c r="C25" s="210" t="s">
        <v>227</v>
      </c>
      <c r="D25" s="211"/>
      <c r="E25" s="212"/>
      <c r="G25" s="210" t="s">
        <v>614</v>
      </c>
      <c r="H25" s="211"/>
      <c r="I25" s="212"/>
    </row>
    <row r="26" spans="3:9">
      <c r="C26" s="213" t="s">
        <v>615</v>
      </c>
      <c r="D26" s="214"/>
      <c r="E26" s="215"/>
      <c r="G26" s="213" t="s">
        <v>616</v>
      </c>
      <c r="H26" s="214"/>
      <c r="I26" s="215"/>
    </row>
    <row r="27" spans="3:9">
      <c r="C27" s="27"/>
      <c r="D27" s="27"/>
      <c r="E27" s="27"/>
      <c r="G27" s="28"/>
      <c r="H27" s="28"/>
      <c r="I27" s="28"/>
    </row>
    <row r="28" spans="3:9">
      <c r="C28" s="27"/>
      <c r="D28" s="27"/>
      <c r="E28" s="27"/>
      <c r="G28" s="28"/>
      <c r="H28" s="28"/>
      <c r="I28" s="28"/>
    </row>
    <row r="29" spans="3:9">
      <c r="C29" s="29" t="s">
        <v>504</v>
      </c>
      <c r="D29" s="216" t="s">
        <v>617</v>
      </c>
      <c r="E29" s="216"/>
      <c r="F29" s="216"/>
      <c r="G29" s="216"/>
      <c r="H29" s="30" t="s">
        <v>618</v>
      </c>
      <c r="I29" s="28"/>
    </row>
    <row r="30" spans="3:9">
      <c r="C30" s="29" t="s">
        <v>619</v>
      </c>
      <c r="D30" s="216" t="s">
        <v>620</v>
      </c>
      <c r="E30" s="216"/>
      <c r="F30" s="216"/>
      <c r="G30" s="216"/>
      <c r="H30" s="30"/>
      <c r="I30" s="28"/>
    </row>
    <row r="31" spans="3:9">
      <c r="C31" s="31" t="s">
        <v>621</v>
      </c>
      <c r="D31" s="203" t="s">
        <v>622</v>
      </c>
      <c r="E31" s="203"/>
      <c r="F31" s="203"/>
      <c r="G31" s="203"/>
      <c r="H31" s="32" t="s">
        <v>623</v>
      </c>
      <c r="I31" s="28"/>
    </row>
    <row r="32" spans="3:9">
      <c r="C32" s="31" t="s">
        <v>624</v>
      </c>
      <c r="D32" s="203" t="s">
        <v>625</v>
      </c>
      <c r="E32" s="203"/>
      <c r="F32" s="203"/>
      <c r="G32" s="203"/>
      <c r="H32" s="32" t="s">
        <v>626</v>
      </c>
      <c r="I32" s="28"/>
    </row>
    <row r="33" spans="3:9">
      <c r="C33" s="31" t="s">
        <v>627</v>
      </c>
      <c r="D33" s="203" t="s">
        <v>628</v>
      </c>
      <c r="E33" s="203"/>
      <c r="F33" s="203"/>
      <c r="G33" s="203"/>
      <c r="H33" s="32" t="s">
        <v>629</v>
      </c>
      <c r="I33" s="28"/>
    </row>
    <row r="34" spans="3:9">
      <c r="C34" s="31" t="s">
        <v>630</v>
      </c>
      <c r="D34" s="203" t="s">
        <v>631</v>
      </c>
      <c r="E34" s="203"/>
      <c r="F34" s="203"/>
      <c r="G34" s="203"/>
      <c r="H34" s="32" t="s">
        <v>632</v>
      </c>
      <c r="I34" s="28"/>
    </row>
    <row r="35" spans="3:9">
      <c r="C35" s="31" t="s">
        <v>633</v>
      </c>
      <c r="D35" s="203" t="s">
        <v>634</v>
      </c>
      <c r="E35" s="203"/>
      <c r="F35" s="203"/>
      <c r="G35" s="203"/>
      <c r="H35" s="32" t="s">
        <v>635</v>
      </c>
      <c r="I35" s="28"/>
    </row>
    <row r="36" spans="3:9">
      <c r="C36" s="31" t="s">
        <v>636</v>
      </c>
      <c r="D36" s="203" t="s">
        <v>637</v>
      </c>
      <c r="E36" s="203"/>
      <c r="F36" s="203"/>
      <c r="G36" s="203"/>
      <c r="H36" s="33" t="s">
        <v>638</v>
      </c>
      <c r="I36" s="28"/>
    </row>
    <row r="37" spans="3:9">
      <c r="C37" s="31" t="s">
        <v>639</v>
      </c>
      <c r="D37" s="203" t="s">
        <v>640</v>
      </c>
      <c r="E37" s="203"/>
      <c r="F37" s="203"/>
      <c r="G37" s="203"/>
      <c r="H37" s="34" t="s">
        <v>641</v>
      </c>
      <c r="I37" s="28"/>
    </row>
    <row r="38" spans="3:9">
      <c r="C38" s="31" t="s">
        <v>642</v>
      </c>
      <c r="D38" s="203" t="s">
        <v>643</v>
      </c>
      <c r="E38" s="203"/>
      <c r="F38" s="203"/>
      <c r="G38" s="203"/>
      <c r="H38" s="34" t="s">
        <v>641</v>
      </c>
      <c r="I38" s="28"/>
    </row>
    <row r="39" spans="3:9">
      <c r="C39" s="29" t="s">
        <v>644</v>
      </c>
      <c r="D39" s="202" t="s">
        <v>645</v>
      </c>
      <c r="E39" s="202"/>
      <c r="F39" s="202"/>
      <c r="G39" s="202"/>
      <c r="H39" s="34" t="s">
        <v>641</v>
      </c>
      <c r="I39" s="28"/>
    </row>
    <row r="40" spans="3:9">
      <c r="C40" s="31">
        <v>6</v>
      </c>
      <c r="D40" s="203" t="s">
        <v>646</v>
      </c>
      <c r="E40" s="203"/>
      <c r="F40" s="203"/>
      <c r="G40" s="203"/>
      <c r="H40" s="32" t="s">
        <v>647</v>
      </c>
      <c r="I40" s="28"/>
    </row>
    <row r="41" spans="3:9">
      <c r="C41" s="31">
        <v>7</v>
      </c>
      <c r="D41" s="203" t="s">
        <v>648</v>
      </c>
      <c r="E41" s="203"/>
      <c r="F41" s="203"/>
      <c r="G41" s="203"/>
      <c r="H41" s="32" t="s">
        <v>649</v>
      </c>
      <c r="I41" s="28"/>
    </row>
    <row r="42" spans="3:9">
      <c r="C42" s="31">
        <v>8</v>
      </c>
      <c r="D42" s="203" t="s">
        <v>650</v>
      </c>
      <c r="E42" s="203"/>
      <c r="F42" s="203"/>
      <c r="G42" s="203"/>
      <c r="H42" s="32" t="s">
        <v>651</v>
      </c>
      <c r="I42" s="28"/>
    </row>
    <row r="43" spans="3:9">
      <c r="C43" s="27"/>
      <c r="D43" s="27"/>
      <c r="E43" s="27"/>
      <c r="G43" s="28"/>
      <c r="H43" s="28"/>
      <c r="I43" s="28"/>
    </row>
    <row r="44" spans="3:9">
      <c r="C44" s="27"/>
      <c r="D44" s="27"/>
      <c r="E44" s="27"/>
      <c r="G44" s="28"/>
      <c r="H44" s="28"/>
      <c r="I44" s="28"/>
    </row>
    <row r="45" spans="3:9">
      <c r="C45" s="27"/>
      <c r="D45" s="27"/>
      <c r="E45" s="27"/>
      <c r="G45" s="28"/>
      <c r="H45" s="28"/>
      <c r="I45" s="28"/>
    </row>
    <row r="46" spans="3:9">
      <c r="C46" s="27"/>
      <c r="D46" s="27"/>
      <c r="E46" s="27"/>
      <c r="G46" s="28"/>
      <c r="H46" s="28"/>
      <c r="I46" s="28"/>
    </row>
    <row r="47" spans="3:9">
      <c r="C47" s="27"/>
      <c r="D47" s="27"/>
      <c r="E47" s="27"/>
      <c r="G47" s="28"/>
      <c r="H47" s="28"/>
      <c r="I47" s="28"/>
    </row>
    <row r="48" spans="3:9">
      <c r="C48" s="27"/>
      <c r="D48" s="27"/>
      <c r="E48" s="27"/>
      <c r="G48" s="28"/>
      <c r="H48" s="28"/>
      <c r="I48" s="28"/>
    </row>
    <row r="49" spans="2:9">
      <c r="C49" s="27"/>
      <c r="D49" s="27"/>
      <c r="E49" s="27"/>
      <c r="G49" s="28"/>
      <c r="H49" s="28"/>
      <c r="I49" s="28"/>
    </row>
    <row r="50" spans="2:9">
      <c r="C50" s="27"/>
      <c r="D50" s="27"/>
      <c r="E50" s="27"/>
      <c r="G50" s="28"/>
      <c r="H50" s="28"/>
      <c r="I50" s="28"/>
    </row>
    <row r="51" spans="2:9">
      <c r="B51" s="35"/>
      <c r="C51" s="36"/>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98" zoomScaleNormal="100" zoomScaleSheetLayoutView="100" workbookViewId="0">
      <selection activeCell="D118" sqref="D118:F118"/>
    </sheetView>
  </sheetViews>
  <sheetFormatPr defaultColWidth="9.140625" defaultRowHeight="10.5"/>
  <cols>
    <col min="1" max="1" width="6" style="40" customWidth="1"/>
    <col min="2" max="2" width="39.42578125" style="40" customWidth="1"/>
    <col min="3" max="3" width="8.140625" style="40" bestFit="1" customWidth="1"/>
    <col min="4" max="5" width="19.140625" style="40" bestFit="1" customWidth="1"/>
    <col min="6" max="6" width="12" style="40" bestFit="1" customWidth="1"/>
    <col min="7" max="16384" width="9.140625" style="40"/>
  </cols>
  <sheetData>
    <row r="1" spans="1:6" ht="36" customHeight="1">
      <c r="A1" s="241"/>
      <c r="B1" s="241"/>
      <c r="C1" s="39"/>
      <c r="D1" s="240" t="s">
        <v>0</v>
      </c>
      <c r="E1" s="240"/>
      <c r="F1" s="240"/>
    </row>
    <row r="2" spans="1:6" ht="27.75" customHeight="1">
      <c r="A2" s="248" t="s">
        <v>1</v>
      </c>
      <c r="B2" s="248"/>
      <c r="C2" s="248"/>
      <c r="D2" s="248"/>
      <c r="E2" s="248"/>
      <c r="F2" s="248"/>
    </row>
    <row r="3" spans="1:6" ht="7.5" customHeight="1">
      <c r="A3" s="41"/>
      <c r="B3" s="41"/>
      <c r="C3" s="41"/>
      <c r="D3" s="41"/>
      <c r="E3" s="41"/>
      <c r="F3" s="41"/>
    </row>
    <row r="4" spans="1:6" ht="27" customHeight="1">
      <c r="A4" s="249" t="s">
        <v>2</v>
      </c>
      <c r="B4" s="249"/>
      <c r="C4" s="249"/>
      <c r="D4" s="249"/>
      <c r="E4" s="249"/>
      <c r="F4" s="249"/>
    </row>
    <row r="5" spans="1:6" ht="18" customHeight="1">
      <c r="A5" s="250" t="s">
        <v>3</v>
      </c>
      <c r="B5" s="250"/>
      <c r="C5" s="250"/>
      <c r="D5" s="250"/>
      <c r="E5" s="250"/>
      <c r="F5" s="250"/>
    </row>
    <row r="6" spans="1:6" ht="12.75" customHeight="1">
      <c r="A6" s="42" t="s">
        <v>4</v>
      </c>
      <c r="B6" s="43" t="s">
        <v>5</v>
      </c>
      <c r="C6" s="242" t="s">
        <v>6</v>
      </c>
      <c r="D6" s="242"/>
      <c r="E6" s="242"/>
      <c r="F6" s="242"/>
    </row>
    <row r="7" spans="1:6" ht="12.75" customHeight="1">
      <c r="A7" s="41"/>
      <c r="B7" s="41" t="s">
        <v>7</v>
      </c>
      <c r="C7" s="241" t="s">
        <v>8</v>
      </c>
      <c r="D7" s="241"/>
      <c r="E7" s="241"/>
      <c r="F7" s="241"/>
    </row>
    <row r="8" spans="1:6" ht="12.75" customHeight="1">
      <c r="A8" s="42" t="s">
        <v>9</v>
      </c>
      <c r="B8" s="43" t="s">
        <v>10</v>
      </c>
      <c r="C8" s="242" t="s">
        <v>11</v>
      </c>
      <c r="D8" s="242"/>
      <c r="E8" s="242"/>
      <c r="F8" s="242"/>
    </row>
    <row r="9" spans="1:6" ht="12.75" customHeight="1">
      <c r="A9" s="41"/>
      <c r="B9" s="41" t="s">
        <v>12</v>
      </c>
      <c r="C9" s="241" t="s">
        <v>13</v>
      </c>
      <c r="D9" s="241"/>
      <c r="E9" s="241"/>
      <c r="F9" s="241"/>
    </row>
    <row r="10" spans="1:6" ht="12.75" customHeight="1">
      <c r="A10" s="42" t="s">
        <v>14</v>
      </c>
      <c r="B10" s="43" t="s">
        <v>15</v>
      </c>
      <c r="C10" s="242" t="s">
        <v>16</v>
      </c>
      <c r="D10" s="242"/>
      <c r="E10" s="242"/>
      <c r="F10" s="242"/>
    </row>
    <row r="11" spans="1:6" ht="12.75" customHeight="1">
      <c r="A11" s="41"/>
      <c r="B11" s="41" t="s">
        <v>17</v>
      </c>
      <c r="C11" s="241" t="s">
        <v>18</v>
      </c>
      <c r="D11" s="241"/>
      <c r="E11" s="241"/>
      <c r="F11" s="241"/>
    </row>
    <row r="12" spans="1:6" ht="12.75" customHeight="1">
      <c r="A12" s="42" t="s">
        <v>19</v>
      </c>
      <c r="B12" s="43" t="s">
        <v>20</v>
      </c>
      <c r="C12" s="243">
        <v>45359</v>
      </c>
      <c r="D12" s="243"/>
      <c r="E12" s="243"/>
      <c r="F12" s="243"/>
    </row>
    <row r="13" spans="1:6" ht="12.75" customHeight="1">
      <c r="A13" s="41"/>
      <c r="B13" s="41" t="s">
        <v>21</v>
      </c>
      <c r="C13" s="244">
        <v>45359</v>
      </c>
      <c r="D13" s="244"/>
      <c r="E13" s="244"/>
      <c r="F13" s="244"/>
    </row>
    <row r="14" spans="1:6" ht="12.75" customHeight="1">
      <c r="A14" s="41"/>
      <c r="B14" s="41"/>
      <c r="C14" s="41"/>
      <c r="D14" s="41"/>
      <c r="E14" s="41"/>
      <c r="F14" s="41"/>
    </row>
    <row r="15" spans="1:6" ht="12.75" customHeight="1">
      <c r="A15" s="245" t="s">
        <v>22</v>
      </c>
      <c r="B15" s="245"/>
      <c r="C15" s="245"/>
      <c r="D15" s="245"/>
      <c r="E15" s="245"/>
      <c r="F15" s="245"/>
    </row>
    <row r="16" spans="1:6" ht="12.75" customHeight="1">
      <c r="A16" s="242" t="s">
        <v>23</v>
      </c>
      <c r="B16" s="242"/>
      <c r="C16" s="242"/>
      <c r="D16" s="242"/>
      <c r="E16" s="242"/>
      <c r="F16" s="242"/>
    </row>
    <row r="17" spans="1:8" ht="12.75" customHeight="1">
      <c r="A17" s="44"/>
      <c r="B17" s="45"/>
      <c r="C17" s="44"/>
      <c r="D17" s="44"/>
      <c r="E17" s="246" t="s">
        <v>24</v>
      </c>
      <c r="F17" s="246"/>
    </row>
    <row r="18" spans="1:8" ht="42">
      <c r="A18" s="46" t="s">
        <v>25</v>
      </c>
      <c r="B18" s="47" t="s">
        <v>26</v>
      </c>
      <c r="C18" s="47" t="s">
        <v>27</v>
      </c>
      <c r="D18" s="47" t="s">
        <v>28</v>
      </c>
      <c r="E18" s="47" t="s">
        <v>29</v>
      </c>
      <c r="F18" s="48" t="s">
        <v>30</v>
      </c>
    </row>
    <row r="19" spans="1:8" ht="23.1" customHeight="1">
      <c r="A19" s="49" t="s">
        <v>31</v>
      </c>
      <c r="B19" s="50" t="s">
        <v>32</v>
      </c>
      <c r="C19" s="51" t="s">
        <v>33</v>
      </c>
      <c r="D19" s="52"/>
      <c r="E19" s="52"/>
      <c r="F19" s="53">
        <v>0</v>
      </c>
    </row>
    <row r="20" spans="1:8" ht="23.1" customHeight="1">
      <c r="A20" s="49" t="s">
        <v>34</v>
      </c>
      <c r="B20" s="50" t="s">
        <v>35</v>
      </c>
      <c r="C20" s="51" t="s">
        <v>36</v>
      </c>
      <c r="D20" s="54">
        <v>22225901806</v>
      </c>
      <c r="E20" s="54">
        <v>219740527959</v>
      </c>
      <c r="F20" s="53">
        <v>0.1011</v>
      </c>
      <c r="H20" s="55"/>
    </row>
    <row r="21" spans="1:8" ht="23.1" customHeight="1">
      <c r="A21" s="49"/>
      <c r="B21" s="50" t="s">
        <v>37</v>
      </c>
      <c r="C21" s="51" t="s">
        <v>38</v>
      </c>
      <c r="D21" s="54">
        <v>0</v>
      </c>
      <c r="E21" s="54">
        <v>0</v>
      </c>
      <c r="F21" s="53">
        <v>0</v>
      </c>
      <c r="H21" s="55"/>
    </row>
    <row r="22" spans="1:8" ht="23.1" customHeight="1">
      <c r="A22" s="49"/>
      <c r="B22" s="50" t="s">
        <v>39</v>
      </c>
      <c r="C22" s="51" t="s">
        <v>40</v>
      </c>
      <c r="D22" s="54">
        <v>22225901806</v>
      </c>
      <c r="E22" s="54">
        <v>219740527959</v>
      </c>
      <c r="F22" s="53">
        <v>0.1011</v>
      </c>
      <c r="H22" s="55"/>
    </row>
    <row r="23" spans="1:8" ht="33" customHeight="1">
      <c r="A23" s="49"/>
      <c r="B23" s="50" t="s">
        <v>41</v>
      </c>
      <c r="C23" s="51" t="s">
        <v>42</v>
      </c>
      <c r="D23" s="56">
        <v>0</v>
      </c>
      <c r="E23" s="56">
        <v>0</v>
      </c>
      <c r="F23" s="53">
        <v>0</v>
      </c>
      <c r="H23" s="55"/>
    </row>
    <row r="24" spans="1:8" ht="23.1" customHeight="1">
      <c r="A24" s="49"/>
      <c r="B24" s="50" t="s">
        <v>43</v>
      </c>
      <c r="C24" s="51" t="s">
        <v>44</v>
      </c>
      <c r="D24" s="56">
        <v>0</v>
      </c>
      <c r="E24" s="56">
        <v>0</v>
      </c>
      <c r="F24" s="53">
        <v>0</v>
      </c>
      <c r="H24" s="55"/>
    </row>
    <row r="25" spans="1:8" ht="23.1" customHeight="1">
      <c r="A25" s="49"/>
      <c r="B25" s="50" t="s">
        <v>45</v>
      </c>
      <c r="C25" s="51" t="s">
        <v>46</v>
      </c>
      <c r="D25" s="56">
        <v>22225901806</v>
      </c>
      <c r="E25" s="56">
        <v>219740527959</v>
      </c>
      <c r="F25" s="53">
        <v>0.1011</v>
      </c>
      <c r="H25" s="55"/>
    </row>
    <row r="26" spans="1:8" ht="33" customHeight="1">
      <c r="A26" s="49"/>
      <c r="B26" s="50" t="s">
        <v>47</v>
      </c>
      <c r="C26" s="51" t="s">
        <v>48</v>
      </c>
      <c r="D26" s="56">
        <v>0</v>
      </c>
      <c r="E26" s="56">
        <v>0</v>
      </c>
      <c r="F26" s="53">
        <v>0</v>
      </c>
      <c r="H26" s="55"/>
    </row>
    <row r="27" spans="1:8" ht="23.1" customHeight="1">
      <c r="A27" s="49"/>
      <c r="B27" s="50" t="s">
        <v>49</v>
      </c>
      <c r="C27" s="51" t="s">
        <v>50</v>
      </c>
      <c r="D27" s="56">
        <v>0</v>
      </c>
      <c r="E27" s="56">
        <v>0</v>
      </c>
      <c r="F27" s="53">
        <v>0</v>
      </c>
      <c r="H27" s="55"/>
    </row>
    <row r="28" spans="1:8" ht="23.1" customHeight="1">
      <c r="A28" s="49"/>
      <c r="B28" s="50" t="s">
        <v>51</v>
      </c>
      <c r="C28" s="51" t="s">
        <v>52</v>
      </c>
      <c r="D28" s="54">
        <v>0</v>
      </c>
      <c r="E28" s="54">
        <v>0</v>
      </c>
      <c r="F28" s="53">
        <v>0</v>
      </c>
      <c r="H28" s="55"/>
    </row>
    <row r="29" spans="1:8" ht="23.1" customHeight="1">
      <c r="A29" s="49" t="s">
        <v>53</v>
      </c>
      <c r="B29" s="50" t="s">
        <v>54</v>
      </c>
      <c r="C29" s="51" t="s">
        <v>55</v>
      </c>
      <c r="D29" s="54">
        <v>17263333319150</v>
      </c>
      <c r="E29" s="54">
        <v>17985183516500</v>
      </c>
      <c r="F29" s="53">
        <v>0.95989999999999998</v>
      </c>
      <c r="H29" s="55"/>
    </row>
    <row r="30" spans="1:8" ht="23.1" customHeight="1">
      <c r="A30" s="49"/>
      <c r="B30" s="50" t="s">
        <v>56</v>
      </c>
      <c r="C30" s="51" t="s">
        <v>57</v>
      </c>
      <c r="D30" s="54">
        <v>17263333319150</v>
      </c>
      <c r="E30" s="54">
        <v>17985183516500</v>
      </c>
      <c r="F30" s="53">
        <v>0.95989999999999998</v>
      </c>
      <c r="H30" s="55"/>
    </row>
    <row r="31" spans="1:8" ht="23.1" customHeight="1">
      <c r="A31" s="49"/>
      <c r="B31" s="50" t="s">
        <v>58</v>
      </c>
      <c r="C31" s="51" t="s">
        <v>59</v>
      </c>
      <c r="D31" s="54">
        <v>0</v>
      </c>
      <c r="E31" s="54">
        <v>0</v>
      </c>
      <c r="F31" s="53">
        <v>0</v>
      </c>
      <c r="H31" s="55"/>
    </row>
    <row r="32" spans="1:8" ht="23.1" customHeight="1">
      <c r="A32" s="49"/>
      <c r="B32" s="50" t="s">
        <v>60</v>
      </c>
      <c r="C32" s="51" t="s">
        <v>61</v>
      </c>
      <c r="D32" s="54">
        <v>0</v>
      </c>
      <c r="E32" s="54">
        <v>0</v>
      </c>
      <c r="F32" s="53">
        <v>0</v>
      </c>
      <c r="H32" s="55"/>
    </row>
    <row r="33" spans="1:8" ht="23.1" customHeight="1">
      <c r="A33" s="49"/>
      <c r="B33" s="50" t="s">
        <v>62</v>
      </c>
      <c r="C33" s="51" t="s">
        <v>63</v>
      </c>
      <c r="D33" s="54">
        <v>0</v>
      </c>
      <c r="E33" s="54">
        <v>0</v>
      </c>
      <c r="F33" s="53">
        <v>0</v>
      </c>
      <c r="H33" s="55"/>
    </row>
    <row r="34" spans="1:8" ht="23.1" customHeight="1">
      <c r="A34" s="49"/>
      <c r="B34" s="50" t="s">
        <v>64</v>
      </c>
      <c r="C34" s="51" t="s">
        <v>65</v>
      </c>
      <c r="D34" s="54">
        <v>0</v>
      </c>
      <c r="E34" s="54">
        <v>0</v>
      </c>
      <c r="F34" s="53">
        <v>0</v>
      </c>
      <c r="H34" s="55"/>
    </row>
    <row r="35" spans="1:8" ht="23.1" customHeight="1">
      <c r="A35" s="49"/>
      <c r="B35" s="50" t="s">
        <v>66</v>
      </c>
      <c r="C35" s="51" t="s">
        <v>67</v>
      </c>
      <c r="D35" s="54">
        <v>0</v>
      </c>
      <c r="E35" s="54">
        <v>0</v>
      </c>
      <c r="F35" s="53">
        <v>0</v>
      </c>
      <c r="H35" s="55"/>
    </row>
    <row r="36" spans="1:8" ht="23.1" customHeight="1">
      <c r="A36" s="49"/>
      <c r="B36" s="50" t="s">
        <v>68</v>
      </c>
      <c r="C36" s="51" t="s">
        <v>69</v>
      </c>
      <c r="D36" s="54">
        <v>0</v>
      </c>
      <c r="E36" s="54">
        <v>0</v>
      </c>
      <c r="F36" s="53">
        <v>0</v>
      </c>
      <c r="H36" s="55"/>
    </row>
    <row r="37" spans="1:8" ht="23.1" customHeight="1">
      <c r="A37" s="49"/>
      <c r="B37" s="50" t="s">
        <v>70</v>
      </c>
      <c r="C37" s="51" t="s">
        <v>71</v>
      </c>
      <c r="D37" s="54">
        <v>0</v>
      </c>
      <c r="E37" s="54">
        <v>0</v>
      </c>
      <c r="F37" s="53">
        <v>0</v>
      </c>
      <c r="H37" s="55"/>
    </row>
    <row r="38" spans="1:8" ht="34.5" customHeight="1">
      <c r="A38" s="49" t="s">
        <v>72</v>
      </c>
      <c r="B38" s="50" t="s">
        <v>73</v>
      </c>
      <c r="C38" s="51"/>
      <c r="D38" s="54">
        <v>0</v>
      </c>
      <c r="E38" s="54">
        <v>0</v>
      </c>
      <c r="F38" s="53">
        <v>0</v>
      </c>
      <c r="H38" s="55"/>
    </row>
    <row r="39" spans="1:8" ht="23.1" customHeight="1">
      <c r="A39" s="49" t="s">
        <v>74</v>
      </c>
      <c r="B39" s="50" t="s">
        <v>75</v>
      </c>
      <c r="C39" s="51" t="s">
        <v>76</v>
      </c>
      <c r="D39" s="54">
        <v>0</v>
      </c>
      <c r="E39" s="54">
        <v>0</v>
      </c>
      <c r="F39" s="53">
        <v>0</v>
      </c>
      <c r="H39" s="55"/>
    </row>
    <row r="40" spans="1:8" ht="23.1" customHeight="1">
      <c r="A40" s="49"/>
      <c r="B40" s="50" t="s">
        <v>77</v>
      </c>
      <c r="C40" s="51" t="s">
        <v>78</v>
      </c>
      <c r="D40" s="54">
        <v>0</v>
      </c>
      <c r="E40" s="54">
        <v>0</v>
      </c>
      <c r="F40" s="53">
        <v>0</v>
      </c>
      <c r="H40" s="55"/>
    </row>
    <row r="41" spans="1:8" ht="23.1" customHeight="1">
      <c r="A41" s="49"/>
      <c r="B41" s="50" t="s">
        <v>79</v>
      </c>
      <c r="C41" s="51" t="s">
        <v>80</v>
      </c>
      <c r="D41" s="54">
        <v>0</v>
      </c>
      <c r="E41" s="54">
        <v>0</v>
      </c>
      <c r="F41" s="53">
        <v>0</v>
      </c>
      <c r="H41" s="55"/>
    </row>
    <row r="42" spans="1:8" ht="23.1" customHeight="1">
      <c r="A42" s="49" t="s">
        <v>81</v>
      </c>
      <c r="B42" s="50" t="s">
        <v>82</v>
      </c>
      <c r="C42" s="51" t="s">
        <v>83</v>
      </c>
      <c r="D42" s="54">
        <v>0</v>
      </c>
      <c r="E42" s="54">
        <v>0</v>
      </c>
      <c r="F42" s="53">
        <v>0</v>
      </c>
      <c r="H42" s="55"/>
    </row>
    <row r="43" spans="1:8" ht="33" customHeight="1">
      <c r="A43" s="49"/>
      <c r="B43" s="50" t="s">
        <v>84</v>
      </c>
      <c r="C43" s="51" t="s">
        <v>85</v>
      </c>
      <c r="D43" s="54">
        <v>0</v>
      </c>
      <c r="E43" s="54">
        <v>0</v>
      </c>
      <c r="F43" s="53">
        <v>0</v>
      </c>
      <c r="H43" s="55"/>
    </row>
    <row r="44" spans="1:8" ht="33" customHeight="1">
      <c r="A44" s="49"/>
      <c r="B44" s="50" t="s">
        <v>86</v>
      </c>
      <c r="C44" s="51" t="s">
        <v>87</v>
      </c>
      <c r="D44" s="54">
        <v>0</v>
      </c>
      <c r="E44" s="54">
        <v>0</v>
      </c>
      <c r="F44" s="53">
        <v>0</v>
      </c>
      <c r="H44" s="55"/>
    </row>
    <row r="45" spans="1:8" ht="23.1" customHeight="1">
      <c r="A45" s="49"/>
      <c r="B45" s="50" t="s">
        <v>88</v>
      </c>
      <c r="C45" s="51" t="s">
        <v>89</v>
      </c>
      <c r="D45" s="54">
        <v>0</v>
      </c>
      <c r="E45" s="54">
        <v>0</v>
      </c>
      <c r="F45" s="53">
        <v>0</v>
      </c>
      <c r="H45" s="55"/>
    </row>
    <row r="46" spans="1:8" ht="23.1" customHeight="1">
      <c r="A46" s="49" t="s">
        <v>90</v>
      </c>
      <c r="B46" s="50" t="s">
        <v>91</v>
      </c>
      <c r="C46" s="51" t="s">
        <v>92</v>
      </c>
      <c r="D46" s="54">
        <v>0</v>
      </c>
      <c r="E46" s="54">
        <v>0</v>
      </c>
      <c r="F46" s="53">
        <v>0</v>
      </c>
      <c r="H46" s="55"/>
    </row>
    <row r="47" spans="1:8" ht="23.1" customHeight="1">
      <c r="A47" s="49" t="s">
        <v>93</v>
      </c>
      <c r="B47" s="50" t="s">
        <v>94</v>
      </c>
      <c r="C47" s="51" t="s">
        <v>95</v>
      </c>
      <c r="D47" s="54">
        <v>13837903250</v>
      </c>
      <c r="E47" s="54">
        <v>16502240200</v>
      </c>
      <c r="F47" s="53">
        <v>0.83850000000000002</v>
      </c>
      <c r="H47" s="55"/>
    </row>
    <row r="48" spans="1:8" ht="23.1" customHeight="1">
      <c r="A48" s="49" t="s">
        <v>96</v>
      </c>
      <c r="B48" s="50" t="s">
        <v>97</v>
      </c>
      <c r="C48" s="51" t="s">
        <v>98</v>
      </c>
      <c r="D48" s="54">
        <v>36799980</v>
      </c>
      <c r="E48" s="54">
        <v>0</v>
      </c>
      <c r="F48" s="53">
        <v>0</v>
      </c>
      <c r="H48" s="55"/>
    </row>
    <row r="49" spans="1:8" ht="23.1" customHeight="1">
      <c r="A49" s="49"/>
      <c r="B49" s="50" t="s">
        <v>99</v>
      </c>
      <c r="C49" s="51" t="s">
        <v>100</v>
      </c>
      <c r="D49" s="54">
        <v>0</v>
      </c>
      <c r="E49" s="54">
        <v>0</v>
      </c>
      <c r="F49" s="53">
        <v>0</v>
      </c>
      <c r="H49" s="55"/>
    </row>
    <row r="50" spans="1:8" ht="23.1" customHeight="1">
      <c r="A50" s="49"/>
      <c r="B50" s="50" t="s">
        <v>101</v>
      </c>
      <c r="C50" s="51" t="s">
        <v>102</v>
      </c>
      <c r="D50" s="54">
        <v>0</v>
      </c>
      <c r="E50" s="54">
        <v>0</v>
      </c>
      <c r="F50" s="53">
        <v>0</v>
      </c>
      <c r="H50" s="55"/>
    </row>
    <row r="51" spans="1:8" ht="23.1" customHeight="1">
      <c r="A51" s="49"/>
      <c r="B51" s="50" t="s">
        <v>103</v>
      </c>
      <c r="C51" s="51" t="s">
        <v>104</v>
      </c>
      <c r="D51" s="54">
        <v>36799980</v>
      </c>
      <c r="E51" s="54">
        <v>0</v>
      </c>
      <c r="F51" s="53">
        <v>0</v>
      </c>
      <c r="H51" s="55"/>
    </row>
    <row r="52" spans="1:8" ht="23.1" customHeight="1">
      <c r="A52" s="49" t="s">
        <v>105</v>
      </c>
      <c r="B52" s="50" t="s">
        <v>106</v>
      </c>
      <c r="C52" s="51" t="s">
        <v>107</v>
      </c>
      <c r="D52" s="54">
        <v>0</v>
      </c>
      <c r="E52" s="54">
        <v>0</v>
      </c>
      <c r="F52" s="53">
        <v>0</v>
      </c>
      <c r="H52" s="55"/>
    </row>
    <row r="53" spans="1:8" ht="23.1" customHeight="1">
      <c r="A53" s="49"/>
      <c r="B53" s="50" t="s">
        <v>108</v>
      </c>
      <c r="C53" s="51" t="s">
        <v>109</v>
      </c>
      <c r="D53" s="54">
        <v>0</v>
      </c>
      <c r="E53" s="54">
        <v>0</v>
      </c>
      <c r="F53" s="53">
        <v>0</v>
      </c>
      <c r="H53" s="55"/>
    </row>
    <row r="54" spans="1:8" ht="23.1" customHeight="1">
      <c r="A54" s="49"/>
      <c r="B54" s="50" t="s">
        <v>110</v>
      </c>
      <c r="C54" s="51" t="s">
        <v>111</v>
      </c>
      <c r="D54" s="54">
        <v>0</v>
      </c>
      <c r="E54" s="54">
        <v>0</v>
      </c>
      <c r="F54" s="53">
        <v>0</v>
      </c>
      <c r="H54" s="55"/>
    </row>
    <row r="55" spans="1:8" ht="23.1" customHeight="1">
      <c r="A55" s="49"/>
      <c r="B55" s="50" t="s">
        <v>112</v>
      </c>
      <c r="C55" s="51" t="s">
        <v>113</v>
      </c>
      <c r="D55" s="54">
        <v>0</v>
      </c>
      <c r="E55" s="54">
        <v>0</v>
      </c>
      <c r="F55" s="53">
        <v>0</v>
      </c>
      <c r="H55" s="55"/>
    </row>
    <row r="56" spans="1:8" ht="23.1" customHeight="1">
      <c r="A56" s="49"/>
      <c r="B56" s="50" t="s">
        <v>114</v>
      </c>
      <c r="C56" s="51" t="s">
        <v>115</v>
      </c>
      <c r="D56" s="54">
        <v>0</v>
      </c>
      <c r="E56" s="54">
        <v>0</v>
      </c>
      <c r="F56" s="53">
        <v>0</v>
      </c>
      <c r="H56" s="55"/>
    </row>
    <row r="57" spans="1:8" ht="44.1" customHeight="1">
      <c r="A57" s="49"/>
      <c r="B57" s="50" t="s">
        <v>116</v>
      </c>
      <c r="C57" s="51" t="s">
        <v>117</v>
      </c>
      <c r="D57" s="54">
        <v>0</v>
      </c>
      <c r="E57" s="54">
        <v>0</v>
      </c>
      <c r="F57" s="53">
        <v>0</v>
      </c>
      <c r="H57" s="55"/>
    </row>
    <row r="58" spans="1:8" s="61" customFormat="1" ht="23.1" customHeight="1">
      <c r="A58" s="57" t="s">
        <v>118</v>
      </c>
      <c r="B58" s="58" t="s">
        <v>119</v>
      </c>
      <c r="C58" s="59" t="s">
        <v>120</v>
      </c>
      <c r="D58" s="52">
        <v>17299433924186</v>
      </c>
      <c r="E58" s="52">
        <v>18221426284659</v>
      </c>
      <c r="F58" s="60">
        <v>0.94940000000000002</v>
      </c>
      <c r="H58" s="55"/>
    </row>
    <row r="59" spans="1:8" ht="23.1" customHeight="1">
      <c r="A59" s="49" t="s">
        <v>121</v>
      </c>
      <c r="B59" s="50" t="s">
        <v>122</v>
      </c>
      <c r="C59" s="51" t="s">
        <v>123</v>
      </c>
      <c r="D59" s="52">
        <v>0</v>
      </c>
      <c r="E59" s="52">
        <v>0</v>
      </c>
      <c r="F59" s="53">
        <v>0</v>
      </c>
      <c r="H59" s="55"/>
    </row>
    <row r="60" spans="1:8" ht="33" customHeight="1">
      <c r="A60" s="49" t="s">
        <v>124</v>
      </c>
      <c r="B60" s="50" t="s">
        <v>125</v>
      </c>
      <c r="C60" s="51"/>
      <c r="D60" s="54">
        <v>0</v>
      </c>
      <c r="E60" s="54">
        <v>0</v>
      </c>
      <c r="F60" s="53">
        <v>0</v>
      </c>
      <c r="H60" s="55"/>
    </row>
    <row r="61" spans="1:8" ht="23.1" customHeight="1">
      <c r="A61" s="49" t="s">
        <v>126</v>
      </c>
      <c r="B61" s="50" t="s">
        <v>127</v>
      </c>
      <c r="C61" s="51" t="s">
        <v>128</v>
      </c>
      <c r="D61" s="54">
        <v>0</v>
      </c>
      <c r="E61" s="54">
        <v>105397620000</v>
      </c>
      <c r="F61" s="53">
        <v>0</v>
      </c>
      <c r="H61" s="55"/>
    </row>
    <row r="62" spans="1:8" ht="23.1" customHeight="1">
      <c r="A62" s="49" t="s">
        <v>129</v>
      </c>
      <c r="B62" s="50" t="s">
        <v>130</v>
      </c>
      <c r="C62" s="51" t="s">
        <v>131</v>
      </c>
      <c r="D62" s="54">
        <v>38039111049</v>
      </c>
      <c r="E62" s="54">
        <v>32447791566</v>
      </c>
      <c r="F62" s="53">
        <v>1.1722999999999999</v>
      </c>
      <c r="H62" s="55"/>
    </row>
    <row r="63" spans="1:8" ht="23.1" customHeight="1">
      <c r="A63" s="49"/>
      <c r="B63" s="50" t="s">
        <v>132</v>
      </c>
      <c r="C63" s="51" t="s">
        <v>133</v>
      </c>
      <c r="D63" s="54">
        <v>13836703250</v>
      </c>
      <c r="E63" s="54">
        <v>8988489100</v>
      </c>
      <c r="F63" s="53">
        <v>1.5394000000000001</v>
      </c>
      <c r="H63" s="55"/>
    </row>
    <row r="64" spans="1:8" ht="23.1" customHeight="1">
      <c r="A64" s="49"/>
      <c r="B64" s="50" t="s">
        <v>134</v>
      </c>
      <c r="C64" s="51" t="s">
        <v>135</v>
      </c>
      <c r="D64" s="56">
        <v>0</v>
      </c>
      <c r="E64" s="56">
        <v>8988489100</v>
      </c>
      <c r="F64" s="53">
        <v>0</v>
      </c>
      <c r="H64" s="55"/>
    </row>
    <row r="65" spans="1:8" ht="23.1" customHeight="1">
      <c r="A65" s="49"/>
      <c r="B65" s="50" t="s">
        <v>136</v>
      </c>
      <c r="C65" s="51" t="s">
        <v>137</v>
      </c>
      <c r="D65" s="56">
        <v>0</v>
      </c>
      <c r="E65" s="56">
        <v>0</v>
      </c>
      <c r="F65" s="53">
        <v>0</v>
      </c>
      <c r="H65" s="55"/>
    </row>
    <row r="66" spans="1:8" ht="23.1" customHeight="1">
      <c r="A66" s="49"/>
      <c r="B66" s="50" t="s">
        <v>138</v>
      </c>
      <c r="C66" s="51" t="s">
        <v>139</v>
      </c>
      <c r="D66" s="56">
        <v>13836703250</v>
      </c>
      <c r="E66" s="56">
        <v>0</v>
      </c>
      <c r="F66" s="53">
        <v>0</v>
      </c>
      <c r="H66" s="55"/>
    </row>
    <row r="67" spans="1:8" ht="23.1" customHeight="1">
      <c r="A67" s="49"/>
      <c r="B67" s="50" t="s">
        <v>140</v>
      </c>
      <c r="C67" s="51" t="s">
        <v>141</v>
      </c>
      <c r="D67" s="54">
        <v>0</v>
      </c>
      <c r="E67" s="54">
        <v>0</v>
      </c>
      <c r="F67" s="53">
        <v>0</v>
      </c>
      <c r="H67" s="55"/>
    </row>
    <row r="68" spans="1:8" ht="44.1" customHeight="1">
      <c r="A68" s="49"/>
      <c r="B68" s="50" t="s">
        <v>142</v>
      </c>
      <c r="C68" s="51" t="s">
        <v>143</v>
      </c>
      <c r="D68" s="54">
        <v>0</v>
      </c>
      <c r="E68" s="54">
        <v>0</v>
      </c>
      <c r="F68" s="53">
        <v>0</v>
      </c>
      <c r="H68" s="55"/>
    </row>
    <row r="69" spans="1:8" ht="33" customHeight="1">
      <c r="A69" s="49"/>
      <c r="B69" s="50" t="s">
        <v>144</v>
      </c>
      <c r="C69" s="51" t="s">
        <v>145</v>
      </c>
      <c r="D69" s="54">
        <v>0</v>
      </c>
      <c r="E69" s="54">
        <v>0</v>
      </c>
      <c r="F69" s="53">
        <v>0</v>
      </c>
      <c r="H69" s="55"/>
    </row>
    <row r="70" spans="1:8" ht="44.1" customHeight="1">
      <c r="A70" s="49"/>
      <c r="B70" s="50" t="s">
        <v>146</v>
      </c>
      <c r="C70" s="51" t="s">
        <v>147</v>
      </c>
      <c r="D70" s="56">
        <v>0</v>
      </c>
      <c r="E70" s="56">
        <v>0</v>
      </c>
      <c r="F70" s="53">
        <v>0</v>
      </c>
      <c r="H70" s="55"/>
    </row>
    <row r="71" spans="1:8" ht="23.1" customHeight="1">
      <c r="A71" s="49"/>
      <c r="B71" s="50" t="s">
        <v>148</v>
      </c>
      <c r="C71" s="51" t="s">
        <v>149</v>
      </c>
      <c r="D71" s="54">
        <v>0</v>
      </c>
      <c r="E71" s="54">
        <v>0</v>
      </c>
      <c r="F71" s="53">
        <v>0</v>
      </c>
      <c r="H71" s="55"/>
    </row>
    <row r="72" spans="1:8" ht="33" customHeight="1">
      <c r="A72" s="49"/>
      <c r="B72" s="50" t="s">
        <v>150</v>
      </c>
      <c r="C72" s="51" t="s">
        <v>151</v>
      </c>
      <c r="D72" s="54">
        <v>18000000</v>
      </c>
      <c r="E72" s="54">
        <v>17000000</v>
      </c>
      <c r="F72" s="53">
        <v>1.0588</v>
      </c>
      <c r="H72" s="55"/>
    </row>
    <row r="73" spans="1:8" ht="23.1" customHeight="1">
      <c r="A73" s="49"/>
      <c r="B73" s="50" t="s">
        <v>152</v>
      </c>
      <c r="C73" s="51" t="s">
        <v>153</v>
      </c>
      <c r="D73" s="54">
        <v>11808763923</v>
      </c>
      <c r="E73" s="54">
        <v>12317376977</v>
      </c>
      <c r="F73" s="53">
        <v>0.9587</v>
      </c>
      <c r="H73" s="55"/>
    </row>
    <row r="74" spans="1:8" ht="23.1" customHeight="1">
      <c r="A74" s="49"/>
      <c r="B74" s="50" t="s">
        <v>154</v>
      </c>
      <c r="C74" s="51" t="s">
        <v>155</v>
      </c>
      <c r="D74" s="54">
        <v>324741010</v>
      </c>
      <c r="E74" s="54">
        <v>338727868</v>
      </c>
      <c r="F74" s="53">
        <v>0.9587</v>
      </c>
      <c r="H74" s="55"/>
    </row>
    <row r="75" spans="1:8" ht="23.1" customHeight="1">
      <c r="A75" s="49"/>
      <c r="B75" s="50" t="s">
        <v>156</v>
      </c>
      <c r="C75" s="51" t="s">
        <v>157</v>
      </c>
      <c r="D75" s="54">
        <v>649482016</v>
      </c>
      <c r="E75" s="54">
        <v>677455735</v>
      </c>
      <c r="F75" s="53">
        <v>0.9587</v>
      </c>
      <c r="H75" s="55"/>
    </row>
    <row r="76" spans="1:8" ht="23.1" customHeight="1">
      <c r="A76" s="49"/>
      <c r="B76" s="50" t="s">
        <v>158</v>
      </c>
      <c r="C76" s="51" t="s">
        <v>159</v>
      </c>
      <c r="D76" s="62">
        <v>0</v>
      </c>
      <c r="E76" s="62">
        <v>80113260</v>
      </c>
      <c r="F76" s="63">
        <v>0</v>
      </c>
      <c r="H76" s="55"/>
    </row>
    <row r="77" spans="1:8" ht="23.1" customHeight="1">
      <c r="A77" s="49"/>
      <c r="B77" s="50" t="s">
        <v>160</v>
      </c>
      <c r="C77" s="51" t="s">
        <v>161</v>
      </c>
      <c r="D77" s="56">
        <v>0</v>
      </c>
      <c r="E77" s="56">
        <v>80113260</v>
      </c>
      <c r="F77" s="53">
        <v>0</v>
      </c>
      <c r="H77" s="55"/>
    </row>
    <row r="78" spans="1:8" ht="23.1" customHeight="1">
      <c r="A78" s="49"/>
      <c r="B78" s="50" t="s">
        <v>162</v>
      </c>
      <c r="C78" s="51" t="s">
        <v>163</v>
      </c>
      <c r="D78" s="64">
        <v>0</v>
      </c>
      <c r="E78" s="56">
        <v>0</v>
      </c>
      <c r="F78" s="53">
        <v>0</v>
      </c>
      <c r="H78" s="55"/>
    </row>
    <row r="79" spans="1:8" ht="23.1" customHeight="1">
      <c r="A79" s="49"/>
      <c r="B79" s="50" t="s">
        <v>164</v>
      </c>
      <c r="C79" s="51" t="s">
        <v>165</v>
      </c>
      <c r="D79" s="54">
        <v>309319100</v>
      </c>
      <c r="E79" s="54">
        <v>320834425</v>
      </c>
      <c r="F79" s="53">
        <v>0.96409999999999996</v>
      </c>
      <c r="H79" s="55"/>
    </row>
    <row r="80" spans="1:8" ht="23.1" customHeight="1">
      <c r="A80" s="49"/>
      <c r="B80" s="50" t="s">
        <v>166</v>
      </c>
      <c r="C80" s="51" t="s">
        <v>167</v>
      </c>
      <c r="D80" s="56">
        <v>295219100</v>
      </c>
      <c r="E80" s="56">
        <v>307934425</v>
      </c>
      <c r="F80" s="53">
        <v>0.9587</v>
      </c>
      <c r="H80" s="55"/>
    </row>
    <row r="81" spans="1:8" ht="23.1" customHeight="1">
      <c r="A81" s="49"/>
      <c r="B81" s="50" t="s">
        <v>168</v>
      </c>
      <c r="C81" s="51" t="s">
        <v>169</v>
      </c>
      <c r="D81" s="56">
        <v>14100000</v>
      </c>
      <c r="E81" s="56">
        <v>12900000</v>
      </c>
      <c r="F81" s="53">
        <v>1.093</v>
      </c>
      <c r="H81" s="55"/>
    </row>
    <row r="82" spans="1:8" ht="23.1" customHeight="1">
      <c r="A82" s="49"/>
      <c r="B82" s="50" t="s">
        <v>170</v>
      </c>
      <c r="C82" s="51" t="s">
        <v>171</v>
      </c>
      <c r="D82" s="56">
        <v>0</v>
      </c>
      <c r="E82" s="56">
        <v>0</v>
      </c>
      <c r="F82" s="53">
        <v>0</v>
      </c>
      <c r="H82" s="55"/>
    </row>
    <row r="83" spans="1:8" ht="44.1" customHeight="1">
      <c r="A83" s="49"/>
      <c r="B83" s="50" t="s">
        <v>172</v>
      </c>
      <c r="C83" s="51" t="s">
        <v>173</v>
      </c>
      <c r="D83" s="56">
        <v>0</v>
      </c>
      <c r="E83" s="56">
        <v>0</v>
      </c>
      <c r="F83" s="53">
        <v>0</v>
      </c>
      <c r="H83" s="55"/>
    </row>
    <row r="84" spans="1:8" ht="23.1" customHeight="1">
      <c r="A84" s="49"/>
      <c r="B84" s="50" t="s">
        <v>174</v>
      </c>
      <c r="C84" s="51" t="s">
        <v>175</v>
      </c>
      <c r="D84" s="54">
        <v>181500000</v>
      </c>
      <c r="E84" s="54">
        <v>165000000</v>
      </c>
      <c r="F84" s="53">
        <v>1.1000000000000001</v>
      </c>
      <c r="H84" s="55"/>
    </row>
    <row r="85" spans="1:8" ht="23.1" customHeight="1">
      <c r="A85" s="49"/>
      <c r="B85" s="50" t="s">
        <v>176</v>
      </c>
      <c r="C85" s="51" t="s">
        <v>177</v>
      </c>
      <c r="D85" s="54">
        <v>0</v>
      </c>
      <c r="E85" s="54">
        <v>0</v>
      </c>
      <c r="F85" s="53">
        <v>0</v>
      </c>
      <c r="H85" s="55"/>
    </row>
    <row r="86" spans="1:8" ht="23.1" customHeight="1">
      <c r="A86" s="49"/>
      <c r="B86" s="50" t="s">
        <v>178</v>
      </c>
      <c r="C86" s="51" t="s">
        <v>179</v>
      </c>
      <c r="D86" s="54">
        <v>0</v>
      </c>
      <c r="E86" s="54">
        <v>0</v>
      </c>
      <c r="F86" s="53">
        <v>0</v>
      </c>
      <c r="H86" s="55"/>
    </row>
    <row r="87" spans="1:8" ht="23.1" customHeight="1">
      <c r="A87" s="49"/>
      <c r="B87" s="50" t="s">
        <v>180</v>
      </c>
      <c r="C87" s="51" t="s">
        <v>181</v>
      </c>
      <c r="D87" s="54">
        <v>16500000</v>
      </c>
      <c r="E87" s="54">
        <v>16500000</v>
      </c>
      <c r="F87" s="53">
        <v>1</v>
      </c>
      <c r="H87" s="55"/>
    </row>
    <row r="88" spans="1:8" ht="44.1" customHeight="1">
      <c r="A88" s="49"/>
      <c r="B88" s="50" t="s">
        <v>182</v>
      </c>
      <c r="C88" s="51" t="s">
        <v>183</v>
      </c>
      <c r="D88" s="54">
        <v>4784723002</v>
      </c>
      <c r="E88" s="54">
        <v>4172317034</v>
      </c>
      <c r="F88" s="53">
        <v>1.1468</v>
      </c>
      <c r="H88" s="55"/>
    </row>
    <row r="89" spans="1:8" ht="23.1" customHeight="1">
      <c r="A89" s="49"/>
      <c r="B89" s="50" t="s">
        <v>184</v>
      </c>
      <c r="C89" s="51" t="s">
        <v>185</v>
      </c>
      <c r="D89" s="54">
        <v>3827778402</v>
      </c>
      <c r="E89" s="54">
        <v>3337853627</v>
      </c>
      <c r="F89" s="53">
        <v>1.1468</v>
      </c>
      <c r="H89" s="55"/>
    </row>
    <row r="90" spans="1:8" ht="23.1" customHeight="1">
      <c r="A90" s="49"/>
      <c r="B90" s="50" t="s">
        <v>186</v>
      </c>
      <c r="C90" s="51" t="s">
        <v>187</v>
      </c>
      <c r="D90" s="54">
        <v>2281600346</v>
      </c>
      <c r="E90" s="54">
        <v>2010749535</v>
      </c>
      <c r="F90" s="53">
        <v>1.1347</v>
      </c>
      <c r="H90" s="55"/>
    </row>
    <row r="91" spans="1:8" ht="23.1" customHeight="1">
      <c r="A91" s="49"/>
      <c r="B91" s="50" t="s">
        <v>188</v>
      </c>
      <c r="C91" s="51" t="s">
        <v>189</v>
      </c>
      <c r="D91" s="54">
        <v>0</v>
      </c>
      <c r="E91" s="54">
        <v>5374005</v>
      </c>
      <c r="F91" s="53">
        <v>0</v>
      </c>
      <c r="H91" s="55"/>
    </row>
    <row r="92" spans="1:8" ht="23.1" customHeight="1">
      <c r="A92" s="49"/>
      <c r="B92" s="50" t="s">
        <v>190</v>
      </c>
      <c r="C92" s="51" t="s">
        <v>191</v>
      </c>
      <c r="D92" s="56">
        <v>0</v>
      </c>
      <c r="E92" s="56">
        <v>0</v>
      </c>
      <c r="F92" s="53">
        <v>0</v>
      </c>
      <c r="H92" s="55"/>
    </row>
    <row r="93" spans="1:8" ht="33" customHeight="1">
      <c r="A93" s="49"/>
      <c r="B93" s="50" t="s">
        <v>192</v>
      </c>
      <c r="C93" s="51" t="s">
        <v>193</v>
      </c>
      <c r="D93" s="56">
        <v>0</v>
      </c>
      <c r="E93" s="56">
        <v>0</v>
      </c>
      <c r="F93" s="53">
        <v>0</v>
      </c>
      <c r="H93" s="55"/>
    </row>
    <row r="94" spans="1:8" ht="23.1" customHeight="1">
      <c r="A94" s="49"/>
      <c r="B94" s="50" t="s">
        <v>194</v>
      </c>
      <c r="C94" s="51" t="s">
        <v>195</v>
      </c>
      <c r="D94" s="56">
        <v>0</v>
      </c>
      <c r="E94" s="56">
        <v>5374005</v>
      </c>
      <c r="F94" s="53">
        <v>0</v>
      </c>
      <c r="H94" s="55"/>
    </row>
    <row r="95" spans="1:8" ht="23.1" customHeight="1">
      <c r="A95" s="49"/>
      <c r="B95" s="50" t="s">
        <v>196</v>
      </c>
      <c r="C95" s="51" t="s">
        <v>197</v>
      </c>
      <c r="D95" s="56">
        <v>0</v>
      </c>
      <c r="E95" s="56">
        <v>0</v>
      </c>
      <c r="F95" s="53">
        <v>0</v>
      </c>
      <c r="H95" s="55"/>
    </row>
    <row r="96" spans="1:8" ht="33" customHeight="1">
      <c r="A96" s="49"/>
      <c r="B96" s="50" t="s">
        <v>198</v>
      </c>
      <c r="C96" s="51" t="s">
        <v>199</v>
      </c>
      <c r="D96" s="56">
        <v>0</v>
      </c>
      <c r="E96" s="56">
        <v>0</v>
      </c>
      <c r="F96" s="53">
        <v>0</v>
      </c>
      <c r="H96" s="55"/>
    </row>
    <row r="97" spans="1:8" ht="23.1" customHeight="1">
      <c r="A97" s="49"/>
      <c r="B97" s="50" t="s">
        <v>200</v>
      </c>
      <c r="C97" s="51" t="s">
        <v>201</v>
      </c>
      <c r="D97" s="56">
        <v>0</v>
      </c>
      <c r="E97" s="56">
        <v>0</v>
      </c>
      <c r="F97" s="53">
        <v>0</v>
      </c>
      <c r="H97" s="55"/>
    </row>
    <row r="98" spans="1:8" ht="23.1" customHeight="1">
      <c r="A98" s="49"/>
      <c r="B98" s="50" t="s">
        <v>202</v>
      </c>
      <c r="C98" s="51" t="s">
        <v>203</v>
      </c>
      <c r="D98" s="56">
        <v>0</v>
      </c>
      <c r="E98" s="56">
        <v>0</v>
      </c>
      <c r="F98" s="53">
        <v>0</v>
      </c>
      <c r="H98" s="55"/>
    </row>
    <row r="99" spans="1:8" ht="23.1" customHeight="1">
      <c r="A99" s="49"/>
      <c r="B99" s="50" t="s">
        <v>204</v>
      </c>
      <c r="C99" s="51" t="s">
        <v>205</v>
      </c>
      <c r="D99" s="56">
        <v>0</v>
      </c>
      <c r="E99" s="56">
        <v>0</v>
      </c>
      <c r="F99" s="53">
        <v>0</v>
      </c>
      <c r="H99" s="55"/>
    </row>
    <row r="100" spans="1:8" ht="23.1" customHeight="1">
      <c r="A100" s="49"/>
      <c r="B100" s="50" t="s">
        <v>206</v>
      </c>
      <c r="C100" s="51" t="s">
        <v>207</v>
      </c>
      <c r="D100" s="54">
        <v>0</v>
      </c>
      <c r="E100" s="54">
        <v>0</v>
      </c>
      <c r="F100" s="53">
        <v>0</v>
      </c>
      <c r="H100" s="55"/>
    </row>
    <row r="101" spans="1:8" ht="23.1" customHeight="1">
      <c r="A101" s="49"/>
      <c r="B101" s="50" t="s">
        <v>208</v>
      </c>
      <c r="C101" s="51" t="s">
        <v>209</v>
      </c>
      <c r="D101" s="56">
        <v>0</v>
      </c>
      <c r="E101" s="56">
        <v>0</v>
      </c>
      <c r="F101" s="53">
        <v>0</v>
      </c>
      <c r="H101" s="55"/>
    </row>
    <row r="102" spans="1:8" ht="23.1" customHeight="1">
      <c r="A102" s="49"/>
      <c r="B102" s="50" t="s">
        <v>210</v>
      </c>
      <c r="C102" s="51" t="s">
        <v>211</v>
      </c>
      <c r="D102" s="56">
        <v>0</v>
      </c>
      <c r="E102" s="56">
        <v>0</v>
      </c>
      <c r="F102" s="53">
        <v>0</v>
      </c>
      <c r="H102" s="55"/>
    </row>
    <row r="103" spans="1:8" s="61" customFormat="1" ht="23.1" customHeight="1">
      <c r="A103" s="57" t="s">
        <v>212</v>
      </c>
      <c r="B103" s="58" t="s">
        <v>213</v>
      </c>
      <c r="C103" s="59" t="s">
        <v>214</v>
      </c>
      <c r="D103" s="52">
        <v>38039111049</v>
      </c>
      <c r="E103" s="52">
        <v>137845411566</v>
      </c>
      <c r="F103" s="60">
        <v>0.27600000000000002</v>
      </c>
      <c r="H103" s="55"/>
    </row>
    <row r="104" spans="1:8" s="61" customFormat="1" ht="23.1" customHeight="1">
      <c r="A104" s="57"/>
      <c r="B104" s="58" t="s">
        <v>215</v>
      </c>
      <c r="C104" s="59" t="s">
        <v>216</v>
      </c>
      <c r="D104" s="52">
        <v>17261394813137</v>
      </c>
      <c r="E104" s="52">
        <v>18083580873093</v>
      </c>
      <c r="F104" s="60">
        <v>0.95450000000000002</v>
      </c>
      <c r="H104" s="55"/>
    </row>
    <row r="105" spans="1:8" ht="23.1" customHeight="1">
      <c r="A105" s="49"/>
      <c r="B105" s="50" t="s">
        <v>217</v>
      </c>
      <c r="C105" s="51" t="s">
        <v>218</v>
      </c>
      <c r="D105" s="54">
        <v>665100000</v>
      </c>
      <c r="E105" s="54">
        <v>809700000</v>
      </c>
      <c r="F105" s="53">
        <v>0.82140000000000002</v>
      </c>
      <c r="H105" s="55"/>
    </row>
    <row r="106" spans="1:8" ht="23.1" customHeight="1">
      <c r="A106" s="65"/>
      <c r="B106" s="66" t="s">
        <v>219</v>
      </c>
      <c r="C106" s="67" t="s">
        <v>220</v>
      </c>
      <c r="D106" s="68">
        <v>25953.08</v>
      </c>
      <c r="E106" s="68">
        <v>22333.68</v>
      </c>
      <c r="F106" s="69">
        <v>1.1620999999999999</v>
      </c>
      <c r="H106" s="55"/>
    </row>
    <row r="107" spans="1:8" ht="2.25" customHeight="1">
      <c r="A107" s="247"/>
      <c r="B107" s="247"/>
      <c r="C107" s="247"/>
      <c r="D107" s="247"/>
      <c r="E107" s="247"/>
      <c r="F107" s="247"/>
    </row>
    <row r="108" spans="1:8" ht="2.25" customHeight="1">
      <c r="A108" s="41"/>
      <c r="B108" s="41"/>
      <c r="C108" s="70"/>
      <c r="D108" s="41"/>
      <c r="E108" s="41"/>
      <c r="F108" s="41"/>
    </row>
    <row r="109" spans="1:8" ht="12.75" customHeight="1">
      <c r="A109" s="240" t="s">
        <v>221</v>
      </c>
      <c r="B109" s="240"/>
      <c r="C109" s="240"/>
      <c r="D109" s="240" t="s">
        <v>222</v>
      </c>
      <c r="E109" s="240"/>
      <c r="F109" s="240"/>
    </row>
    <row r="110" spans="1:8" ht="12.75" customHeight="1">
      <c r="A110" s="238" t="s">
        <v>223</v>
      </c>
      <c r="B110" s="238"/>
      <c r="C110" s="238"/>
      <c r="D110" s="239" t="s">
        <v>224</v>
      </c>
      <c r="E110" s="239"/>
      <c r="F110" s="239"/>
    </row>
    <row r="111" spans="1:8" ht="18" customHeight="1">
      <c r="A111" s="41"/>
      <c r="B111" s="41"/>
      <c r="C111" s="41"/>
      <c r="D111" s="41"/>
      <c r="E111" s="41"/>
      <c r="F111" s="41"/>
    </row>
    <row r="112" spans="1:8" ht="18" customHeight="1">
      <c r="A112" s="41"/>
      <c r="B112" s="41"/>
      <c r="C112" s="41"/>
      <c r="D112" s="41"/>
      <c r="E112" s="41"/>
      <c r="F112" s="41"/>
    </row>
    <row r="113" spans="1:6" ht="18" customHeight="1">
      <c r="A113" s="41"/>
      <c r="B113" s="41"/>
      <c r="C113" s="41"/>
      <c r="D113" s="41"/>
      <c r="E113" s="41"/>
      <c r="F113" s="41"/>
    </row>
    <row r="114" spans="1:6" ht="18" customHeight="1">
      <c r="A114" s="41"/>
      <c r="B114" s="41"/>
      <c r="C114" s="41"/>
      <c r="D114" s="41"/>
      <c r="E114" s="41"/>
      <c r="F114" s="41"/>
    </row>
    <row r="115" spans="1:6" ht="18" customHeight="1">
      <c r="A115" s="41"/>
      <c r="B115" s="41"/>
      <c r="C115" s="41"/>
      <c r="D115" s="41"/>
      <c r="E115" s="41"/>
      <c r="F115" s="41"/>
    </row>
    <row r="116" spans="1:6" ht="12.75" customHeight="1">
      <c r="A116" s="240" t="s">
        <v>225</v>
      </c>
      <c r="B116" s="240"/>
      <c r="C116" s="240"/>
      <c r="D116" s="240" t="s">
        <v>226</v>
      </c>
      <c r="E116" s="240"/>
      <c r="F116" s="240"/>
    </row>
    <row r="117" spans="1:6" ht="12.75" customHeight="1">
      <c r="A117" s="237" t="s">
        <v>227</v>
      </c>
      <c r="B117" s="237"/>
      <c r="C117" s="237"/>
      <c r="D117" s="237" t="s">
        <v>228</v>
      </c>
      <c r="E117" s="237"/>
      <c r="F117" s="237"/>
    </row>
    <row r="118" spans="1:6" ht="12.75" customHeight="1">
      <c r="A118" s="237" t="s">
        <v>229</v>
      </c>
      <c r="B118" s="237"/>
      <c r="C118" s="237"/>
      <c r="D118" s="237" t="s">
        <v>230</v>
      </c>
      <c r="E118" s="237"/>
      <c r="F118" s="237"/>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33" right="0" top="0.5899999737739563" bottom="0.48" header="0.5" footer="0.5"/>
  <pageSetup paperSize="9" scale="9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topLeftCell="A49" zoomScaleNormal="100" zoomScaleSheetLayoutView="100" workbookViewId="0">
      <selection activeCell="D59" sqref="D59"/>
    </sheetView>
  </sheetViews>
  <sheetFormatPr defaultColWidth="9.140625" defaultRowHeight="10.5"/>
  <cols>
    <col min="1" max="1" width="4.140625" style="40" customWidth="1"/>
    <col min="2" max="2" width="40.7109375" style="40" customWidth="1"/>
    <col min="3" max="3" width="6.5703125" style="40" bestFit="1" customWidth="1"/>
    <col min="4" max="6" width="18.42578125" style="40" bestFit="1" customWidth="1"/>
    <col min="7" max="16384" width="9.140625" style="40"/>
  </cols>
  <sheetData>
    <row r="1" spans="1:6" ht="36.75" customHeight="1">
      <c r="A1" s="241"/>
      <c r="B1" s="241"/>
      <c r="C1" s="39"/>
      <c r="D1" s="240" t="s">
        <v>0</v>
      </c>
      <c r="E1" s="240"/>
      <c r="F1" s="240"/>
    </row>
    <row r="2" spans="1:6" ht="27.75" customHeight="1">
      <c r="A2" s="248" t="s">
        <v>1</v>
      </c>
      <c r="B2" s="248"/>
      <c r="C2" s="248"/>
      <c r="D2" s="248"/>
      <c r="E2" s="248"/>
      <c r="F2" s="248"/>
    </row>
    <row r="3" spans="1:6" ht="4.5" customHeight="1">
      <c r="A3" s="41"/>
      <c r="B3" s="41"/>
      <c r="C3" s="41"/>
      <c r="D3" s="41"/>
      <c r="E3" s="41"/>
      <c r="F3" s="41"/>
    </row>
    <row r="4" spans="1:6" ht="28.5" customHeight="1">
      <c r="A4" s="249" t="s">
        <v>231</v>
      </c>
      <c r="B4" s="249"/>
      <c r="C4" s="249"/>
      <c r="D4" s="249"/>
      <c r="E4" s="249"/>
      <c r="F4" s="249"/>
    </row>
    <row r="5" spans="1:6" s="71" customFormat="1" ht="16.5" customHeight="1">
      <c r="A5" s="250" t="s">
        <v>3</v>
      </c>
      <c r="B5" s="250"/>
      <c r="C5" s="250"/>
      <c r="D5" s="250"/>
      <c r="E5" s="250"/>
      <c r="F5" s="250"/>
    </row>
    <row r="6" spans="1:6" ht="12" customHeight="1">
      <c r="A6" s="72" t="s">
        <v>4</v>
      </c>
      <c r="B6" s="43" t="s">
        <v>232</v>
      </c>
      <c r="C6" s="242" t="s">
        <v>6</v>
      </c>
      <c r="D6" s="242"/>
      <c r="E6" s="242"/>
      <c r="F6" s="242"/>
    </row>
    <row r="7" spans="1:6" ht="12" customHeight="1">
      <c r="A7" s="41"/>
      <c r="B7" s="41" t="s">
        <v>7</v>
      </c>
      <c r="C7" s="241" t="s">
        <v>8</v>
      </c>
      <c r="D7" s="241"/>
      <c r="E7" s="241"/>
      <c r="F7" s="241"/>
    </row>
    <row r="8" spans="1:6" ht="12" customHeight="1">
      <c r="A8" s="42" t="s">
        <v>9</v>
      </c>
      <c r="B8" s="43" t="s">
        <v>10</v>
      </c>
      <c r="C8" s="242" t="s">
        <v>11</v>
      </c>
      <c r="D8" s="242"/>
      <c r="E8" s="242"/>
      <c r="F8" s="242"/>
    </row>
    <row r="9" spans="1:6" ht="12" customHeight="1">
      <c r="A9" s="41"/>
      <c r="B9" s="41" t="s">
        <v>12</v>
      </c>
      <c r="C9" s="241" t="s">
        <v>13</v>
      </c>
      <c r="D9" s="241"/>
      <c r="E9" s="241"/>
      <c r="F9" s="241"/>
    </row>
    <row r="10" spans="1:6" ht="12" customHeight="1">
      <c r="A10" s="42" t="s">
        <v>14</v>
      </c>
      <c r="B10" s="43" t="s">
        <v>15</v>
      </c>
      <c r="C10" s="242" t="s">
        <v>16</v>
      </c>
      <c r="D10" s="242"/>
      <c r="E10" s="242"/>
      <c r="F10" s="242"/>
    </row>
    <row r="11" spans="1:6" ht="12" customHeight="1">
      <c r="A11" s="41"/>
      <c r="B11" s="41" t="s">
        <v>17</v>
      </c>
      <c r="C11" s="241" t="s">
        <v>18</v>
      </c>
      <c r="D11" s="241"/>
      <c r="E11" s="241"/>
      <c r="F11" s="241"/>
    </row>
    <row r="12" spans="1:6" ht="12" customHeight="1">
      <c r="A12" s="42" t="s">
        <v>19</v>
      </c>
      <c r="B12" s="43" t="s">
        <v>20</v>
      </c>
      <c r="C12" s="243">
        <v>45359</v>
      </c>
      <c r="D12" s="243"/>
      <c r="E12" s="243"/>
      <c r="F12" s="243"/>
    </row>
    <row r="13" spans="1:6" ht="12" customHeight="1">
      <c r="A13" s="41"/>
      <c r="B13" s="41" t="s">
        <v>21</v>
      </c>
      <c r="C13" s="244">
        <v>45359</v>
      </c>
      <c r="D13" s="244"/>
      <c r="E13" s="244"/>
      <c r="F13" s="244"/>
    </row>
    <row r="14" spans="1:6">
      <c r="A14" s="41"/>
      <c r="B14" s="41"/>
      <c r="C14" s="41"/>
      <c r="D14" s="41"/>
      <c r="E14" s="41"/>
      <c r="F14" s="41"/>
    </row>
    <row r="15" spans="1:6" ht="12" customHeight="1">
      <c r="A15" s="245" t="s">
        <v>22</v>
      </c>
      <c r="B15" s="245"/>
      <c r="C15" s="245"/>
      <c r="D15" s="245"/>
      <c r="E15" s="245"/>
      <c r="F15" s="245"/>
    </row>
    <row r="16" spans="1:6" ht="12" customHeight="1">
      <c r="A16" s="242" t="s">
        <v>233</v>
      </c>
      <c r="B16" s="242"/>
      <c r="C16" s="242"/>
      <c r="D16" s="242"/>
      <c r="E16" s="242"/>
      <c r="F16" s="242"/>
    </row>
    <row r="17" spans="1:8">
      <c r="A17" s="44"/>
      <c r="B17" s="45"/>
      <c r="C17" s="44"/>
      <c r="D17" s="44"/>
      <c r="E17" s="246" t="s">
        <v>24</v>
      </c>
      <c r="F17" s="246"/>
    </row>
    <row r="18" spans="1:8" s="73" customFormat="1" ht="48" customHeight="1">
      <c r="A18" s="46" t="s">
        <v>25</v>
      </c>
      <c r="B18" s="47" t="s">
        <v>26</v>
      </c>
      <c r="C18" s="47" t="s">
        <v>27</v>
      </c>
      <c r="D18" s="47" t="s">
        <v>234</v>
      </c>
      <c r="E18" s="47" t="s">
        <v>235</v>
      </c>
      <c r="F18" s="48" t="s">
        <v>236</v>
      </c>
    </row>
    <row r="19" spans="1:8" s="73" customFormat="1" ht="21">
      <c r="A19" s="74" t="s">
        <v>31</v>
      </c>
      <c r="B19" s="75" t="s">
        <v>237</v>
      </c>
      <c r="C19" s="76" t="s">
        <v>238</v>
      </c>
      <c r="D19" s="52">
        <v>447705752157</v>
      </c>
      <c r="E19" s="52">
        <v>154531881648</v>
      </c>
      <c r="F19" s="77">
        <v>447705752157</v>
      </c>
      <c r="H19" s="78"/>
    </row>
    <row r="20" spans="1:8" s="73" customFormat="1" ht="21">
      <c r="A20" s="79" t="s">
        <v>4</v>
      </c>
      <c r="B20" s="80" t="s">
        <v>239</v>
      </c>
      <c r="C20" s="81"/>
      <c r="D20" s="54">
        <v>0</v>
      </c>
      <c r="E20" s="54">
        <v>0</v>
      </c>
      <c r="F20" s="82">
        <v>0</v>
      </c>
      <c r="H20" s="78"/>
    </row>
    <row r="21" spans="1:8" s="73" customFormat="1" ht="21">
      <c r="A21" s="79" t="s">
        <v>9</v>
      </c>
      <c r="B21" s="80" t="s">
        <v>240</v>
      </c>
      <c r="C21" s="81" t="s">
        <v>241</v>
      </c>
      <c r="D21" s="54">
        <v>447349855000</v>
      </c>
      <c r="E21" s="54">
        <v>154228431956</v>
      </c>
      <c r="F21" s="82">
        <v>447349855000</v>
      </c>
      <c r="H21" s="78"/>
    </row>
    <row r="22" spans="1:8" s="73" customFormat="1" ht="21">
      <c r="A22" s="83"/>
      <c r="B22" s="84" t="s">
        <v>242</v>
      </c>
      <c r="C22" s="85" t="s">
        <v>243</v>
      </c>
      <c r="D22" s="56">
        <v>447349855000</v>
      </c>
      <c r="E22" s="56">
        <v>154228431956</v>
      </c>
      <c r="F22" s="86">
        <v>447349855000</v>
      </c>
      <c r="H22" s="78"/>
    </row>
    <row r="23" spans="1:8" s="73" customFormat="1" ht="21">
      <c r="A23" s="83"/>
      <c r="B23" s="84" t="s">
        <v>244</v>
      </c>
      <c r="C23" s="85" t="s">
        <v>245</v>
      </c>
      <c r="D23" s="56">
        <v>0</v>
      </c>
      <c r="E23" s="56">
        <v>0</v>
      </c>
      <c r="F23" s="86">
        <v>0</v>
      </c>
      <c r="H23" s="78"/>
    </row>
    <row r="24" spans="1:8" s="73" customFormat="1" ht="21">
      <c r="A24" s="79" t="s">
        <v>14</v>
      </c>
      <c r="B24" s="80" t="s">
        <v>246</v>
      </c>
      <c r="C24" s="81" t="s">
        <v>247</v>
      </c>
      <c r="D24" s="54">
        <v>355897157</v>
      </c>
      <c r="E24" s="54">
        <v>303449692</v>
      </c>
      <c r="F24" s="82">
        <v>355897157</v>
      </c>
      <c r="H24" s="78"/>
    </row>
    <row r="25" spans="1:8" s="73" customFormat="1" ht="21">
      <c r="A25" s="83"/>
      <c r="B25" s="84" t="s">
        <v>248</v>
      </c>
      <c r="C25" s="85" t="s">
        <v>249</v>
      </c>
      <c r="D25" s="56">
        <v>355897157</v>
      </c>
      <c r="E25" s="56">
        <v>303449692</v>
      </c>
      <c r="F25" s="86">
        <v>355897157</v>
      </c>
      <c r="H25" s="78"/>
    </row>
    <row r="26" spans="1:8" s="73" customFormat="1" ht="21">
      <c r="A26" s="83"/>
      <c r="B26" s="84" t="s">
        <v>250</v>
      </c>
      <c r="C26" s="85" t="s">
        <v>251</v>
      </c>
      <c r="D26" s="56">
        <v>0</v>
      </c>
      <c r="E26" s="56">
        <v>0</v>
      </c>
      <c r="F26" s="86">
        <v>0</v>
      </c>
      <c r="H26" s="78"/>
    </row>
    <row r="27" spans="1:8" s="73" customFormat="1" ht="21">
      <c r="A27" s="79" t="s">
        <v>19</v>
      </c>
      <c r="B27" s="80" t="s">
        <v>252</v>
      </c>
      <c r="C27" s="81" t="s">
        <v>253</v>
      </c>
      <c r="D27" s="54">
        <v>0</v>
      </c>
      <c r="E27" s="54">
        <v>0</v>
      </c>
      <c r="F27" s="82">
        <v>0</v>
      </c>
      <c r="H27" s="78"/>
    </row>
    <row r="28" spans="1:8" s="73" customFormat="1" ht="21">
      <c r="A28" s="83"/>
      <c r="B28" s="84" t="s">
        <v>254</v>
      </c>
      <c r="C28" s="85" t="s">
        <v>255</v>
      </c>
      <c r="D28" s="56">
        <v>0</v>
      </c>
      <c r="E28" s="56">
        <v>0</v>
      </c>
      <c r="F28" s="86">
        <v>0</v>
      </c>
      <c r="H28" s="78"/>
    </row>
    <row r="29" spans="1:8" s="73" customFormat="1" ht="21">
      <c r="A29" s="83"/>
      <c r="B29" s="84" t="s">
        <v>256</v>
      </c>
      <c r="C29" s="85" t="s">
        <v>257</v>
      </c>
      <c r="D29" s="56">
        <v>0</v>
      </c>
      <c r="E29" s="56">
        <v>0</v>
      </c>
      <c r="F29" s="86">
        <v>0</v>
      </c>
      <c r="H29" s="78"/>
    </row>
    <row r="30" spans="1:8" s="73" customFormat="1" ht="53.25" customHeight="1">
      <c r="A30" s="83"/>
      <c r="B30" s="84" t="s">
        <v>258</v>
      </c>
      <c r="C30" s="85" t="s">
        <v>259</v>
      </c>
      <c r="D30" s="56">
        <v>0</v>
      </c>
      <c r="E30" s="56">
        <v>0</v>
      </c>
      <c r="F30" s="86">
        <v>0</v>
      </c>
      <c r="H30" s="78"/>
    </row>
    <row r="31" spans="1:8" s="73" customFormat="1" ht="21">
      <c r="A31" s="74" t="s">
        <v>121</v>
      </c>
      <c r="B31" s="75" t="s">
        <v>260</v>
      </c>
      <c r="C31" s="76" t="s">
        <v>261</v>
      </c>
      <c r="D31" s="52">
        <v>210323336084</v>
      </c>
      <c r="E31" s="52">
        <v>174782818798</v>
      </c>
      <c r="F31" s="77">
        <v>210323336084</v>
      </c>
      <c r="H31" s="78"/>
    </row>
    <row r="32" spans="1:8" s="73" customFormat="1" ht="21">
      <c r="A32" s="79" t="s">
        <v>4</v>
      </c>
      <c r="B32" s="80" t="s">
        <v>262</v>
      </c>
      <c r="C32" s="81" t="s">
        <v>263</v>
      </c>
      <c r="D32" s="54">
        <v>150577829773</v>
      </c>
      <c r="E32" s="54">
        <v>128024481216</v>
      </c>
      <c r="F32" s="82">
        <v>150577829773</v>
      </c>
      <c r="H32" s="78"/>
    </row>
    <row r="33" spans="1:8" s="73" customFormat="1" ht="21">
      <c r="A33" s="79" t="s">
        <v>9</v>
      </c>
      <c r="B33" s="80" t="s">
        <v>264</v>
      </c>
      <c r="C33" s="81" t="s">
        <v>265</v>
      </c>
      <c r="D33" s="54">
        <v>13874951400</v>
      </c>
      <c r="E33" s="54">
        <v>11357979325</v>
      </c>
      <c r="F33" s="82">
        <v>13874951400</v>
      </c>
      <c r="H33" s="78"/>
    </row>
    <row r="34" spans="1:8" s="73" customFormat="1" ht="21">
      <c r="A34" s="83"/>
      <c r="B34" s="84" t="s">
        <v>266</v>
      </c>
      <c r="C34" s="85" t="s">
        <v>267</v>
      </c>
      <c r="D34" s="56">
        <v>3764445747</v>
      </c>
      <c r="E34" s="56">
        <v>3200612035</v>
      </c>
      <c r="F34" s="86">
        <v>3764445747</v>
      </c>
      <c r="H34" s="78"/>
    </row>
    <row r="35" spans="1:8" s="73" customFormat="1" ht="21">
      <c r="A35" s="83"/>
      <c r="B35" s="84" t="s">
        <v>268</v>
      </c>
      <c r="C35" s="85" t="s">
        <v>269</v>
      </c>
      <c r="D35" s="56">
        <v>60400000</v>
      </c>
      <c r="E35" s="56">
        <v>42000000</v>
      </c>
      <c r="F35" s="86">
        <v>60400000</v>
      </c>
      <c r="H35" s="78"/>
    </row>
    <row r="36" spans="1:8" s="73" customFormat="1" ht="21">
      <c r="A36" s="83"/>
      <c r="B36" s="84" t="s">
        <v>170</v>
      </c>
      <c r="C36" s="85" t="s">
        <v>270</v>
      </c>
      <c r="D36" s="56">
        <v>1768325021</v>
      </c>
      <c r="E36" s="56">
        <v>1074020829</v>
      </c>
      <c r="F36" s="86">
        <v>1768325021</v>
      </c>
      <c r="H36" s="78"/>
    </row>
    <row r="37" spans="1:8" s="73" customFormat="1" ht="21">
      <c r="A37" s="83"/>
      <c r="B37" s="84" t="s">
        <v>271</v>
      </c>
      <c r="C37" s="85" t="s">
        <v>272</v>
      </c>
      <c r="D37" s="56">
        <v>8281780632</v>
      </c>
      <c r="E37" s="56">
        <v>7041346461</v>
      </c>
      <c r="F37" s="86">
        <v>8281780632</v>
      </c>
      <c r="H37" s="78"/>
    </row>
    <row r="38" spans="1:8" s="73" customFormat="1" ht="42">
      <c r="A38" s="83"/>
      <c r="B38" s="84" t="s">
        <v>172</v>
      </c>
      <c r="C38" s="85" t="s">
        <v>273</v>
      </c>
      <c r="D38" s="56">
        <v>0</v>
      </c>
      <c r="E38" s="56">
        <v>0</v>
      </c>
      <c r="F38" s="86">
        <v>0</v>
      </c>
      <c r="H38" s="78"/>
    </row>
    <row r="39" spans="1:8" s="73" customFormat="1" ht="52.5">
      <c r="A39" s="79" t="s">
        <v>14</v>
      </c>
      <c r="B39" s="80" t="s">
        <v>274</v>
      </c>
      <c r="C39" s="81" t="s">
        <v>275</v>
      </c>
      <c r="D39" s="54">
        <v>30583055039</v>
      </c>
      <c r="E39" s="54">
        <v>26385015856</v>
      </c>
      <c r="F39" s="82">
        <v>30583055039</v>
      </c>
      <c r="H39" s="78"/>
    </row>
    <row r="40" spans="1:8" s="73" customFormat="1" ht="21">
      <c r="A40" s="83"/>
      <c r="B40" s="84" t="s">
        <v>276</v>
      </c>
      <c r="C40" s="85" t="s">
        <v>277</v>
      </c>
      <c r="D40" s="56">
        <v>4140890323</v>
      </c>
      <c r="E40" s="56">
        <v>3520673237</v>
      </c>
      <c r="F40" s="86">
        <v>4140890323</v>
      </c>
      <c r="H40" s="78"/>
    </row>
    <row r="41" spans="1:8" s="73" customFormat="1" ht="21">
      <c r="A41" s="83"/>
      <c r="B41" s="84" t="s">
        <v>278</v>
      </c>
      <c r="C41" s="85" t="s">
        <v>279</v>
      </c>
      <c r="D41" s="56">
        <v>66000000</v>
      </c>
      <c r="E41" s="56">
        <v>66000000</v>
      </c>
      <c r="F41" s="86">
        <v>66000000</v>
      </c>
      <c r="H41" s="78"/>
    </row>
    <row r="42" spans="1:8" s="73" customFormat="1" ht="31.5">
      <c r="A42" s="83"/>
      <c r="B42" s="84" t="s">
        <v>280</v>
      </c>
      <c r="C42" s="85" t="s">
        <v>281</v>
      </c>
      <c r="D42" s="56">
        <v>9411114358</v>
      </c>
      <c r="E42" s="56">
        <v>8001530073</v>
      </c>
      <c r="F42" s="86">
        <v>9411114358</v>
      </c>
      <c r="H42" s="78"/>
    </row>
    <row r="43" spans="1:8" s="73" customFormat="1" ht="21">
      <c r="A43" s="83"/>
      <c r="B43" s="84" t="s">
        <v>282</v>
      </c>
      <c r="C43" s="85" t="s">
        <v>283</v>
      </c>
      <c r="D43" s="56">
        <v>7528891482</v>
      </c>
      <c r="E43" s="56">
        <v>6401224055</v>
      </c>
      <c r="F43" s="86">
        <v>7528891482</v>
      </c>
      <c r="H43" s="78"/>
    </row>
    <row r="44" spans="1:8" s="73" customFormat="1" ht="21">
      <c r="A44" s="83"/>
      <c r="B44" s="84" t="s">
        <v>284</v>
      </c>
      <c r="C44" s="85" t="s">
        <v>285</v>
      </c>
      <c r="D44" s="56">
        <v>9436158876</v>
      </c>
      <c r="E44" s="56">
        <v>8395588491</v>
      </c>
      <c r="F44" s="86">
        <v>9436158876</v>
      </c>
      <c r="H44" s="78"/>
    </row>
    <row r="45" spans="1:8" s="73" customFormat="1" ht="21">
      <c r="A45" s="79" t="s">
        <v>19</v>
      </c>
      <c r="B45" s="80" t="s">
        <v>286</v>
      </c>
      <c r="C45" s="81"/>
      <c r="D45" s="54">
        <v>0</v>
      </c>
      <c r="E45" s="54">
        <v>0</v>
      </c>
      <c r="F45" s="82">
        <v>0</v>
      </c>
      <c r="H45" s="78"/>
    </row>
    <row r="46" spans="1:8" s="73" customFormat="1" ht="21">
      <c r="A46" s="79" t="s">
        <v>287</v>
      </c>
      <c r="B46" s="80" t="s">
        <v>288</v>
      </c>
      <c r="C46" s="81"/>
      <c r="D46" s="54">
        <v>0</v>
      </c>
      <c r="E46" s="54">
        <v>0</v>
      </c>
      <c r="F46" s="82">
        <v>0</v>
      </c>
      <c r="H46" s="78"/>
    </row>
    <row r="47" spans="1:8" s="73" customFormat="1" ht="21">
      <c r="A47" s="79" t="s">
        <v>289</v>
      </c>
      <c r="B47" s="80" t="s">
        <v>290</v>
      </c>
      <c r="C47" s="81" t="s">
        <v>291</v>
      </c>
      <c r="D47" s="54">
        <v>306540960</v>
      </c>
      <c r="E47" s="54">
        <v>272800000</v>
      </c>
      <c r="F47" s="82">
        <v>306540960</v>
      </c>
      <c r="H47" s="78"/>
    </row>
    <row r="48" spans="1:8" s="73" customFormat="1" ht="52.5">
      <c r="A48" s="79" t="s">
        <v>292</v>
      </c>
      <c r="B48" s="80" t="s">
        <v>293</v>
      </c>
      <c r="C48" s="81" t="s">
        <v>294</v>
      </c>
      <c r="D48" s="54">
        <v>117000000</v>
      </c>
      <c r="E48" s="54">
        <v>116000000</v>
      </c>
      <c r="F48" s="82">
        <v>117000000</v>
      </c>
      <c r="H48" s="78"/>
    </row>
    <row r="49" spans="1:8" s="73" customFormat="1" ht="21">
      <c r="A49" s="83"/>
      <c r="B49" s="84" t="s">
        <v>295</v>
      </c>
      <c r="C49" s="85" t="s">
        <v>296</v>
      </c>
      <c r="D49" s="56">
        <v>117000000</v>
      </c>
      <c r="E49" s="56">
        <v>116000000</v>
      </c>
      <c r="F49" s="86">
        <v>117000000</v>
      </c>
      <c r="H49" s="78"/>
    </row>
    <row r="50" spans="1:8" s="73" customFormat="1" ht="21">
      <c r="A50" s="83"/>
      <c r="B50" s="84" t="s">
        <v>297</v>
      </c>
      <c r="C50" s="85" t="s">
        <v>298</v>
      </c>
      <c r="D50" s="56">
        <v>0</v>
      </c>
      <c r="E50" s="56">
        <v>0</v>
      </c>
      <c r="F50" s="86">
        <v>0</v>
      </c>
      <c r="H50" s="78"/>
    </row>
    <row r="51" spans="1:8" s="73" customFormat="1" ht="21">
      <c r="A51" s="83"/>
      <c r="B51" s="84" t="s">
        <v>299</v>
      </c>
      <c r="C51" s="85" t="s">
        <v>300</v>
      </c>
      <c r="D51" s="56">
        <v>0</v>
      </c>
      <c r="E51" s="56">
        <v>0</v>
      </c>
      <c r="F51" s="86">
        <v>0</v>
      </c>
      <c r="H51" s="78"/>
    </row>
    <row r="52" spans="1:8" s="73" customFormat="1" ht="115.5">
      <c r="A52" s="79" t="s">
        <v>301</v>
      </c>
      <c r="B52" s="80" t="s">
        <v>302</v>
      </c>
      <c r="C52" s="81" t="s">
        <v>303</v>
      </c>
      <c r="D52" s="54">
        <v>87789716</v>
      </c>
      <c r="E52" s="54">
        <v>60743990</v>
      </c>
      <c r="F52" s="82">
        <v>87789716</v>
      </c>
      <c r="H52" s="78"/>
    </row>
    <row r="53" spans="1:8" s="73" customFormat="1" ht="21">
      <c r="A53" s="83"/>
      <c r="B53" s="84" t="s">
        <v>304</v>
      </c>
      <c r="C53" s="85" t="s">
        <v>305</v>
      </c>
      <c r="D53" s="56">
        <v>42258500</v>
      </c>
      <c r="E53" s="56">
        <v>26000000</v>
      </c>
      <c r="F53" s="86">
        <v>42258500</v>
      </c>
      <c r="H53" s="78"/>
    </row>
    <row r="54" spans="1:8" s="73" customFormat="1" ht="21">
      <c r="A54" s="83"/>
      <c r="B54" s="84" t="s">
        <v>306</v>
      </c>
      <c r="C54" s="85" t="s">
        <v>307</v>
      </c>
      <c r="D54" s="56">
        <v>0</v>
      </c>
      <c r="E54" s="56">
        <v>0</v>
      </c>
      <c r="F54" s="86">
        <v>0</v>
      </c>
      <c r="H54" s="78"/>
    </row>
    <row r="55" spans="1:8" s="73" customFormat="1" ht="31.5">
      <c r="A55" s="83"/>
      <c r="B55" s="84" t="s">
        <v>308</v>
      </c>
      <c r="C55" s="85" t="s">
        <v>309</v>
      </c>
      <c r="D55" s="56">
        <v>0</v>
      </c>
      <c r="E55" s="56">
        <v>0</v>
      </c>
      <c r="F55" s="86">
        <v>0</v>
      </c>
      <c r="H55" s="78"/>
    </row>
    <row r="56" spans="1:8" s="73" customFormat="1" ht="21">
      <c r="A56" s="83"/>
      <c r="B56" s="84" t="s">
        <v>310</v>
      </c>
      <c r="C56" s="85" t="s">
        <v>311</v>
      </c>
      <c r="D56" s="56">
        <v>0</v>
      </c>
      <c r="E56" s="56">
        <v>0</v>
      </c>
      <c r="F56" s="86">
        <v>0</v>
      </c>
      <c r="H56" s="78"/>
    </row>
    <row r="57" spans="1:8" s="73" customFormat="1" ht="21">
      <c r="A57" s="83"/>
      <c r="B57" s="84" t="s">
        <v>312</v>
      </c>
      <c r="C57" s="85" t="s">
        <v>313</v>
      </c>
      <c r="D57" s="56">
        <v>45531216</v>
      </c>
      <c r="E57" s="56">
        <v>34743990</v>
      </c>
      <c r="F57" s="86">
        <v>45531216</v>
      </c>
      <c r="H57" s="78"/>
    </row>
    <row r="58" spans="1:8" s="73" customFormat="1" ht="42">
      <c r="A58" s="79" t="s">
        <v>314</v>
      </c>
      <c r="B58" s="80" t="s">
        <v>315</v>
      </c>
      <c r="C58" s="81" t="s">
        <v>316</v>
      </c>
      <c r="D58" s="54">
        <v>14620374419</v>
      </c>
      <c r="E58" s="54">
        <v>8391814240</v>
      </c>
      <c r="F58" s="82">
        <v>14620374419</v>
      </c>
      <c r="H58" s="78"/>
    </row>
    <row r="59" spans="1:8" s="73" customFormat="1" ht="21">
      <c r="A59" s="83"/>
      <c r="B59" s="84" t="s">
        <v>317</v>
      </c>
      <c r="C59" s="85" t="s">
        <v>318</v>
      </c>
      <c r="D59" s="56">
        <v>14584539661</v>
      </c>
      <c r="E59" s="56">
        <v>8391814240</v>
      </c>
      <c r="F59" s="86">
        <v>14584539661</v>
      </c>
      <c r="H59" s="78"/>
    </row>
    <row r="60" spans="1:8" s="73" customFormat="1" ht="21">
      <c r="A60" s="83"/>
      <c r="B60" s="84" t="s">
        <v>319</v>
      </c>
      <c r="C60" s="85" t="s">
        <v>320</v>
      </c>
      <c r="D60" s="56">
        <v>35834758</v>
      </c>
      <c r="E60" s="56">
        <v>0</v>
      </c>
      <c r="F60" s="86">
        <v>35834758</v>
      </c>
      <c r="H60" s="78"/>
    </row>
    <row r="61" spans="1:8" s="73" customFormat="1" ht="21">
      <c r="A61" s="79" t="s">
        <v>321</v>
      </c>
      <c r="B61" s="80" t="s">
        <v>322</v>
      </c>
      <c r="C61" s="81" t="s">
        <v>323</v>
      </c>
      <c r="D61" s="54">
        <v>155794777</v>
      </c>
      <c r="E61" s="54">
        <v>173984171</v>
      </c>
      <c r="F61" s="82">
        <v>155794777</v>
      </c>
      <c r="H61" s="78"/>
    </row>
    <row r="62" spans="1:8" s="73" customFormat="1" ht="21">
      <c r="A62" s="83"/>
      <c r="B62" s="84" t="s">
        <v>324</v>
      </c>
      <c r="C62" s="85" t="s">
        <v>325</v>
      </c>
      <c r="D62" s="56">
        <v>0</v>
      </c>
      <c r="E62" s="56">
        <v>0</v>
      </c>
      <c r="F62" s="86">
        <v>0</v>
      </c>
      <c r="H62" s="78"/>
    </row>
    <row r="63" spans="1:8" s="73" customFormat="1" ht="21">
      <c r="A63" s="83"/>
      <c r="B63" s="84" t="s">
        <v>326</v>
      </c>
      <c r="C63" s="85" t="s">
        <v>327</v>
      </c>
      <c r="D63" s="56">
        <v>30000000</v>
      </c>
      <c r="E63" s="56">
        <v>30000000</v>
      </c>
      <c r="F63" s="86">
        <v>30000000</v>
      </c>
      <c r="H63" s="78"/>
    </row>
    <row r="64" spans="1:8" s="73" customFormat="1" ht="21">
      <c r="A64" s="83"/>
      <c r="B64" s="84" t="s">
        <v>328</v>
      </c>
      <c r="C64" s="85" t="s">
        <v>329</v>
      </c>
      <c r="D64" s="56">
        <v>17125995</v>
      </c>
      <c r="E64" s="56">
        <v>0</v>
      </c>
      <c r="F64" s="86">
        <v>17125995</v>
      </c>
      <c r="H64" s="78"/>
    </row>
    <row r="65" spans="1:8" s="73" customFormat="1" ht="21">
      <c r="A65" s="83"/>
      <c r="B65" s="84" t="s">
        <v>330</v>
      </c>
      <c r="C65" s="85" t="s">
        <v>331</v>
      </c>
      <c r="D65" s="56">
        <v>10668782</v>
      </c>
      <c r="E65" s="56">
        <v>38984171</v>
      </c>
      <c r="F65" s="86">
        <v>10668782</v>
      </c>
      <c r="H65" s="78"/>
    </row>
    <row r="66" spans="1:8" s="73" customFormat="1" ht="21">
      <c r="A66" s="83"/>
      <c r="B66" s="84" t="s">
        <v>332</v>
      </c>
      <c r="C66" s="85" t="s">
        <v>333</v>
      </c>
      <c r="D66" s="56">
        <v>0</v>
      </c>
      <c r="E66" s="56">
        <v>0</v>
      </c>
      <c r="F66" s="86">
        <v>0</v>
      </c>
      <c r="H66" s="78"/>
    </row>
    <row r="67" spans="1:8" s="73" customFormat="1" ht="21">
      <c r="A67" s="83"/>
      <c r="B67" s="84" t="s">
        <v>334</v>
      </c>
      <c r="C67" s="85" t="s">
        <v>335</v>
      </c>
      <c r="D67" s="56">
        <v>0</v>
      </c>
      <c r="E67" s="56">
        <v>0</v>
      </c>
      <c r="F67" s="86">
        <v>0</v>
      </c>
      <c r="H67" s="78"/>
    </row>
    <row r="68" spans="1:8" s="73" customFormat="1" ht="21">
      <c r="A68" s="83"/>
      <c r="B68" s="84" t="s">
        <v>336</v>
      </c>
      <c r="C68" s="85" t="s">
        <v>337</v>
      </c>
      <c r="D68" s="56">
        <v>14000000</v>
      </c>
      <c r="E68" s="56">
        <v>10500000</v>
      </c>
      <c r="F68" s="86">
        <v>14000000</v>
      </c>
      <c r="H68" s="78"/>
    </row>
    <row r="69" spans="1:8" s="73" customFormat="1" ht="21">
      <c r="A69" s="83"/>
      <c r="B69" s="84" t="s">
        <v>338</v>
      </c>
      <c r="C69" s="85" t="s">
        <v>339</v>
      </c>
      <c r="D69" s="56">
        <v>84000000</v>
      </c>
      <c r="E69" s="56">
        <v>94500000</v>
      </c>
      <c r="F69" s="86">
        <v>84000000</v>
      </c>
      <c r="H69" s="78"/>
    </row>
    <row r="70" spans="1:8" s="73" customFormat="1" ht="31.5">
      <c r="A70" s="74" t="s">
        <v>340</v>
      </c>
      <c r="B70" s="75" t="s">
        <v>341</v>
      </c>
      <c r="C70" s="76" t="s">
        <v>342</v>
      </c>
      <c r="D70" s="52">
        <v>237382416073</v>
      </c>
      <c r="E70" s="52">
        <v>-20250937150</v>
      </c>
      <c r="F70" s="77">
        <v>237382416073</v>
      </c>
      <c r="H70" s="78"/>
    </row>
    <row r="71" spans="1:8" s="73" customFormat="1" ht="21">
      <c r="A71" s="74" t="s">
        <v>343</v>
      </c>
      <c r="B71" s="75" t="s">
        <v>344</v>
      </c>
      <c r="C71" s="76" t="s">
        <v>345</v>
      </c>
      <c r="D71" s="52">
        <v>2602727620526</v>
      </c>
      <c r="E71" s="52">
        <v>-3559123375362</v>
      </c>
      <c r="F71" s="77">
        <v>2602727620526</v>
      </c>
      <c r="H71" s="78"/>
    </row>
    <row r="72" spans="1:8" s="73" customFormat="1" ht="42">
      <c r="A72" s="79" t="s">
        <v>4</v>
      </c>
      <c r="B72" s="80" t="s">
        <v>346</v>
      </c>
      <c r="C72" s="81" t="s">
        <v>347</v>
      </c>
      <c r="D72" s="54">
        <v>593948317281</v>
      </c>
      <c r="E72" s="54">
        <v>898223454690</v>
      </c>
      <c r="F72" s="82">
        <v>593948317281</v>
      </c>
      <c r="H72" s="78"/>
    </row>
    <row r="73" spans="1:8" s="73" customFormat="1" ht="21">
      <c r="A73" s="83"/>
      <c r="B73" s="84" t="s">
        <v>348</v>
      </c>
      <c r="C73" s="85" t="s">
        <v>349</v>
      </c>
      <c r="D73" s="56">
        <v>214939749139</v>
      </c>
      <c r="E73" s="56">
        <v>296541804723</v>
      </c>
      <c r="F73" s="86">
        <v>214939749139</v>
      </c>
      <c r="H73" s="78"/>
    </row>
    <row r="74" spans="1:8" s="73" customFormat="1" ht="31.5">
      <c r="A74" s="83"/>
      <c r="B74" s="84" t="s">
        <v>350</v>
      </c>
      <c r="C74" s="85" t="s">
        <v>351</v>
      </c>
      <c r="D74" s="56">
        <v>375561248542</v>
      </c>
      <c r="E74" s="56">
        <v>594215398422</v>
      </c>
      <c r="F74" s="86">
        <v>375561248542</v>
      </c>
      <c r="H74" s="78"/>
    </row>
    <row r="75" spans="1:8" s="73" customFormat="1" ht="42">
      <c r="A75" s="83"/>
      <c r="B75" s="84" t="s">
        <v>352</v>
      </c>
      <c r="C75" s="85" t="s">
        <v>353</v>
      </c>
      <c r="D75" s="56">
        <v>3447319600</v>
      </c>
      <c r="E75" s="56">
        <v>7466251545</v>
      </c>
      <c r="F75" s="86">
        <v>3447319600</v>
      </c>
      <c r="H75" s="78"/>
    </row>
    <row r="76" spans="1:8" s="73" customFormat="1" ht="21">
      <c r="A76" s="79" t="s">
        <v>9</v>
      </c>
      <c r="B76" s="80" t="s">
        <v>354</v>
      </c>
      <c r="C76" s="81" t="s">
        <v>355</v>
      </c>
      <c r="D76" s="54">
        <v>2008779303245</v>
      </c>
      <c r="E76" s="54">
        <v>-4457346830052</v>
      </c>
      <c r="F76" s="82">
        <v>2008779303245</v>
      </c>
      <c r="H76" s="78"/>
    </row>
    <row r="77" spans="1:8" s="73" customFormat="1" ht="47.25" customHeight="1">
      <c r="A77" s="74" t="s">
        <v>356</v>
      </c>
      <c r="B77" s="75" t="s">
        <v>357</v>
      </c>
      <c r="C77" s="76" t="s">
        <v>358</v>
      </c>
      <c r="D77" s="52">
        <v>2840110036599</v>
      </c>
      <c r="E77" s="52">
        <v>-3579374312512</v>
      </c>
      <c r="F77" s="77">
        <v>2840110036599</v>
      </c>
      <c r="H77" s="78"/>
    </row>
    <row r="78" spans="1:8" s="73" customFormat="1" ht="21">
      <c r="A78" s="74" t="s">
        <v>359</v>
      </c>
      <c r="B78" s="75" t="s">
        <v>360</v>
      </c>
      <c r="C78" s="76" t="s">
        <v>361</v>
      </c>
      <c r="D78" s="52">
        <v>18083580873093</v>
      </c>
      <c r="E78" s="52">
        <v>13791745107213</v>
      </c>
      <c r="F78" s="77">
        <v>18083580873093</v>
      </c>
      <c r="H78" s="78"/>
    </row>
    <row r="79" spans="1:8" s="73" customFormat="1" ht="31.5">
      <c r="A79" s="74" t="s">
        <v>362</v>
      </c>
      <c r="B79" s="75" t="s">
        <v>363</v>
      </c>
      <c r="C79" s="76" t="s">
        <v>364</v>
      </c>
      <c r="D79" s="52">
        <v>-822186059956</v>
      </c>
      <c r="E79" s="52">
        <v>4291835765880</v>
      </c>
      <c r="F79" s="77">
        <v>-822186059956</v>
      </c>
      <c r="H79" s="78"/>
    </row>
    <row r="80" spans="1:8" s="73" customFormat="1" ht="21">
      <c r="A80" s="79"/>
      <c r="B80" s="80" t="s">
        <v>365</v>
      </c>
      <c r="C80" s="81" t="s">
        <v>366</v>
      </c>
      <c r="D80" s="54">
        <v>0</v>
      </c>
      <c r="E80" s="54">
        <v>0</v>
      </c>
      <c r="F80" s="82">
        <v>0</v>
      </c>
      <c r="H80" s="78"/>
    </row>
    <row r="81" spans="1:8" s="73" customFormat="1" ht="42">
      <c r="A81" s="79" t="s">
        <v>4</v>
      </c>
      <c r="B81" s="80" t="s">
        <v>367</v>
      </c>
      <c r="C81" s="81" t="s">
        <v>368</v>
      </c>
      <c r="D81" s="54">
        <v>2840110036599</v>
      </c>
      <c r="E81" s="54">
        <v>-3579374312512</v>
      </c>
      <c r="F81" s="82">
        <v>2840110036599</v>
      </c>
      <c r="H81" s="78"/>
    </row>
    <row r="82" spans="1:8" s="73" customFormat="1" ht="42">
      <c r="A82" s="79" t="s">
        <v>9</v>
      </c>
      <c r="B82" s="80" t="s">
        <v>369</v>
      </c>
      <c r="C82" s="81"/>
      <c r="D82" s="54">
        <v>0</v>
      </c>
      <c r="E82" s="54">
        <v>0</v>
      </c>
      <c r="F82" s="82">
        <v>0</v>
      </c>
      <c r="H82" s="78"/>
    </row>
    <row r="83" spans="1:8" s="73" customFormat="1" ht="42">
      <c r="A83" s="79" t="s">
        <v>14</v>
      </c>
      <c r="B83" s="80" t="s">
        <v>370</v>
      </c>
      <c r="C83" s="81" t="s">
        <v>371</v>
      </c>
      <c r="D83" s="54">
        <v>-3662296096555</v>
      </c>
      <c r="E83" s="54">
        <v>7871210078392</v>
      </c>
      <c r="F83" s="82">
        <v>-3662296096555</v>
      </c>
      <c r="H83" s="78"/>
    </row>
    <row r="84" spans="1:8" s="73" customFormat="1" ht="42">
      <c r="A84" s="83"/>
      <c r="B84" s="84" t="s">
        <v>372</v>
      </c>
      <c r="C84" s="85" t="s">
        <v>373</v>
      </c>
      <c r="D84" s="56">
        <v>2143254396794</v>
      </c>
      <c r="E84" s="56">
        <v>11717003994387</v>
      </c>
      <c r="F84" s="86">
        <v>2143254396794</v>
      </c>
      <c r="H84" s="78"/>
    </row>
    <row r="85" spans="1:8" s="73" customFormat="1" ht="31.5">
      <c r="A85" s="83"/>
      <c r="B85" s="84" t="s">
        <v>374</v>
      </c>
      <c r="C85" s="85" t="s">
        <v>375</v>
      </c>
      <c r="D85" s="56">
        <v>-5805550493349</v>
      </c>
      <c r="E85" s="56">
        <v>-3845793915995</v>
      </c>
      <c r="F85" s="86">
        <v>-5805550493349</v>
      </c>
      <c r="H85" s="78"/>
    </row>
    <row r="86" spans="1:8" s="73" customFormat="1" ht="21">
      <c r="A86" s="74" t="s">
        <v>376</v>
      </c>
      <c r="B86" s="75" t="s">
        <v>377</v>
      </c>
      <c r="C86" s="76" t="s">
        <v>378</v>
      </c>
      <c r="D86" s="52">
        <v>17261394813137</v>
      </c>
      <c r="E86" s="52">
        <v>18083580873093</v>
      </c>
      <c r="F86" s="77">
        <v>17261394813137</v>
      </c>
      <c r="H86" s="78"/>
    </row>
    <row r="87" spans="1:8" s="73" customFormat="1" ht="42">
      <c r="A87" s="74" t="s">
        <v>379</v>
      </c>
      <c r="B87" s="75" t="s">
        <v>380</v>
      </c>
      <c r="C87" s="76" t="s">
        <v>381</v>
      </c>
      <c r="D87" s="184">
        <v>2840110036599</v>
      </c>
      <c r="E87" s="184">
        <v>-3579374312512</v>
      </c>
      <c r="F87" s="185">
        <v>2840110036599</v>
      </c>
      <c r="H87" s="78"/>
    </row>
    <row r="88" spans="1:8" s="73" customFormat="1" ht="42">
      <c r="A88" s="87"/>
      <c r="B88" s="88" t="s">
        <v>382</v>
      </c>
      <c r="C88" s="89" t="s">
        <v>383</v>
      </c>
      <c r="D88" s="186">
        <v>0.15090000000000001</v>
      </c>
      <c r="E88" s="186">
        <v>-0.22367999999999999</v>
      </c>
      <c r="F88" s="187">
        <v>0.15090000000000001</v>
      </c>
      <c r="H88" s="78"/>
    </row>
    <row r="89" spans="1:8" ht="9" customHeight="1">
      <c r="A89" s="41"/>
      <c r="B89" s="41"/>
      <c r="C89" s="70"/>
      <c r="D89" s="41"/>
      <c r="E89" s="41"/>
      <c r="F89" s="41"/>
    </row>
    <row r="90" spans="1:8" ht="12.75" customHeight="1">
      <c r="A90" s="240" t="s">
        <v>221</v>
      </c>
      <c r="B90" s="240"/>
      <c r="C90" s="240"/>
      <c r="D90" s="240" t="s">
        <v>222</v>
      </c>
      <c r="E90" s="240"/>
      <c r="F90" s="240"/>
    </row>
    <row r="91" spans="1:8" ht="12.75" customHeight="1">
      <c r="A91" s="238" t="s">
        <v>223</v>
      </c>
      <c r="B91" s="238"/>
      <c r="C91" s="238"/>
      <c r="D91" s="239" t="s">
        <v>224</v>
      </c>
      <c r="E91" s="239"/>
      <c r="F91" s="239"/>
    </row>
    <row r="92" spans="1:8" ht="12.75" customHeight="1">
      <c r="A92" s="41"/>
      <c r="B92" s="41"/>
      <c r="C92" s="41"/>
      <c r="D92" s="41"/>
      <c r="E92" s="41"/>
      <c r="F92" s="41"/>
    </row>
    <row r="93" spans="1:8" ht="12.75" customHeight="1">
      <c r="A93" s="41"/>
      <c r="B93" s="41"/>
      <c r="C93" s="41"/>
      <c r="D93" s="41"/>
      <c r="E93" s="41"/>
      <c r="F93" s="41"/>
    </row>
    <row r="94" spans="1:8" ht="12.75" customHeight="1">
      <c r="A94" s="41"/>
      <c r="B94" s="41"/>
      <c r="C94" s="41"/>
      <c r="D94" s="41"/>
      <c r="E94" s="41"/>
      <c r="F94" s="41"/>
    </row>
    <row r="95" spans="1:8" ht="12.75" customHeight="1">
      <c r="A95" s="41"/>
      <c r="B95" s="41"/>
      <c r="C95" s="41"/>
      <c r="D95" s="41"/>
      <c r="E95" s="41"/>
      <c r="F95" s="41"/>
    </row>
    <row r="96" spans="1:8" ht="12.75" customHeight="1">
      <c r="A96" s="41"/>
      <c r="B96" s="41"/>
      <c r="C96" s="41"/>
      <c r="D96" s="41"/>
      <c r="E96" s="41"/>
      <c r="F96" s="41"/>
    </row>
    <row r="97" spans="1:6" ht="12.75" customHeight="1">
      <c r="A97" s="240" t="s">
        <v>225</v>
      </c>
      <c r="B97" s="240"/>
      <c r="C97" s="240"/>
      <c r="D97" s="240" t="s">
        <v>226</v>
      </c>
      <c r="E97" s="240"/>
      <c r="F97" s="240"/>
    </row>
    <row r="98" spans="1:6" ht="12.75" customHeight="1">
      <c r="A98" s="237" t="s">
        <v>227</v>
      </c>
      <c r="B98" s="237"/>
      <c r="C98" s="237"/>
      <c r="D98" s="237" t="s">
        <v>228</v>
      </c>
      <c r="E98" s="237"/>
      <c r="F98" s="237"/>
    </row>
    <row r="99" spans="1:6" ht="12.75" customHeight="1">
      <c r="A99" s="237" t="s">
        <v>229</v>
      </c>
      <c r="B99" s="237"/>
      <c r="C99" s="237"/>
      <c r="D99" s="237" t="s">
        <v>230</v>
      </c>
      <c r="E99" s="237"/>
      <c r="F99" s="23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3" right="0" top="0.38" bottom="0.3" header="0.25" footer="0.31"/>
  <pageSetup paperSize="9" scale="94"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26" zoomScaleNormal="100" zoomScaleSheetLayoutView="100" workbookViewId="0">
      <selection activeCell="H48" sqref="H48"/>
    </sheetView>
  </sheetViews>
  <sheetFormatPr defaultColWidth="9.140625" defaultRowHeight="10.5"/>
  <cols>
    <col min="1" max="1" width="5.140625" style="73" customWidth="1"/>
    <col min="2" max="2" width="42" style="73" customWidth="1"/>
    <col min="3" max="3" width="9.140625" style="73"/>
    <col min="4" max="4" width="12.42578125" style="73" bestFit="1" customWidth="1"/>
    <col min="5" max="5" width="11.42578125" style="73" bestFit="1" customWidth="1"/>
    <col min="6" max="6" width="19" style="73" bestFit="1" customWidth="1"/>
    <col min="7" max="7" width="8.85546875" style="73" customWidth="1"/>
    <col min="8" max="8" width="9.140625" style="73"/>
    <col min="9" max="9" width="16.5703125" style="73" bestFit="1" customWidth="1"/>
    <col min="10" max="16384" width="9.140625" style="73"/>
  </cols>
  <sheetData>
    <row r="1" spans="1:7" ht="30.75" customHeight="1">
      <c r="A1" s="91"/>
      <c r="B1" s="91"/>
      <c r="C1" s="39"/>
      <c r="D1" s="240" t="s">
        <v>0</v>
      </c>
      <c r="E1" s="240"/>
      <c r="F1" s="240"/>
      <c r="G1" s="240"/>
    </row>
    <row r="2" spans="1:7" ht="27.75" customHeight="1">
      <c r="A2" s="248" t="s">
        <v>1</v>
      </c>
      <c r="B2" s="248"/>
      <c r="C2" s="248"/>
      <c r="D2" s="248"/>
      <c r="E2" s="248"/>
      <c r="F2" s="248"/>
      <c r="G2" s="248"/>
    </row>
    <row r="3" spans="1:7" ht="6" customHeight="1">
      <c r="A3" s="91"/>
      <c r="B3" s="91"/>
      <c r="C3" s="91"/>
      <c r="D3" s="91"/>
      <c r="E3" s="91"/>
      <c r="F3" s="91"/>
      <c r="G3" s="91"/>
    </row>
    <row r="4" spans="1:7" ht="30" customHeight="1">
      <c r="A4" s="249" t="s">
        <v>231</v>
      </c>
      <c r="B4" s="249"/>
      <c r="C4" s="249"/>
      <c r="D4" s="249"/>
      <c r="E4" s="249"/>
      <c r="F4" s="249"/>
      <c r="G4" s="249"/>
    </row>
    <row r="5" spans="1:7" ht="12.75" customHeight="1">
      <c r="A5" s="239" t="s">
        <v>384</v>
      </c>
      <c r="B5" s="239"/>
      <c r="C5" s="239"/>
      <c r="D5" s="239"/>
      <c r="E5" s="239"/>
      <c r="F5" s="239"/>
      <c r="G5" s="239"/>
    </row>
    <row r="6" spans="1:7" ht="12.75" customHeight="1">
      <c r="A6" s="72" t="s">
        <v>4</v>
      </c>
      <c r="B6" s="92" t="s">
        <v>232</v>
      </c>
      <c r="C6" s="252" t="s">
        <v>6</v>
      </c>
      <c r="D6" s="252"/>
      <c r="E6" s="252"/>
      <c r="F6" s="252"/>
      <c r="G6" s="252"/>
    </row>
    <row r="7" spans="1:7" ht="12.75" customHeight="1">
      <c r="A7" s="91"/>
      <c r="B7" s="91" t="s">
        <v>7</v>
      </c>
      <c r="C7" s="253" t="s">
        <v>8</v>
      </c>
      <c r="D7" s="253"/>
      <c r="E7" s="253"/>
      <c r="F7" s="253"/>
      <c r="G7" s="253"/>
    </row>
    <row r="8" spans="1:7" ht="12.75" customHeight="1">
      <c r="A8" s="72" t="s">
        <v>9</v>
      </c>
      <c r="B8" s="92" t="s">
        <v>10</v>
      </c>
      <c r="C8" s="252" t="s">
        <v>11</v>
      </c>
      <c r="D8" s="252"/>
      <c r="E8" s="252"/>
      <c r="F8" s="252"/>
      <c r="G8" s="252"/>
    </row>
    <row r="9" spans="1:7" ht="12.75" customHeight="1">
      <c r="A9" s="91"/>
      <c r="B9" s="91" t="s">
        <v>12</v>
      </c>
      <c r="C9" s="253" t="s">
        <v>13</v>
      </c>
      <c r="D9" s="253"/>
      <c r="E9" s="253"/>
      <c r="F9" s="253"/>
      <c r="G9" s="253"/>
    </row>
    <row r="10" spans="1:7" ht="12.75" customHeight="1">
      <c r="A10" s="72" t="s">
        <v>14</v>
      </c>
      <c r="B10" s="92" t="s">
        <v>385</v>
      </c>
      <c r="C10" s="252" t="s">
        <v>16</v>
      </c>
      <c r="D10" s="252"/>
      <c r="E10" s="252"/>
      <c r="F10" s="252"/>
      <c r="G10" s="252"/>
    </row>
    <row r="11" spans="1:7" ht="12.75" customHeight="1">
      <c r="A11" s="91"/>
      <c r="B11" s="91" t="s">
        <v>17</v>
      </c>
      <c r="C11" s="253" t="s">
        <v>18</v>
      </c>
      <c r="D11" s="253"/>
      <c r="E11" s="253"/>
      <c r="F11" s="253"/>
      <c r="G11" s="253"/>
    </row>
    <row r="12" spans="1:7" ht="12.75" customHeight="1">
      <c r="A12" s="72" t="s">
        <v>19</v>
      </c>
      <c r="B12" s="92" t="s">
        <v>20</v>
      </c>
      <c r="C12" s="243">
        <v>45359</v>
      </c>
      <c r="D12" s="243"/>
      <c r="E12" s="243"/>
      <c r="F12" s="243"/>
      <c r="G12" s="243"/>
    </row>
    <row r="13" spans="1:7" ht="12.75" customHeight="1">
      <c r="A13" s="91"/>
      <c r="B13" s="91" t="s">
        <v>21</v>
      </c>
      <c r="C13" s="244">
        <v>45359</v>
      </c>
      <c r="D13" s="244"/>
      <c r="E13" s="244"/>
      <c r="F13" s="244"/>
      <c r="G13" s="244"/>
    </row>
    <row r="14" spans="1:7" ht="9" customHeight="1">
      <c r="A14" s="91"/>
      <c r="B14" s="91"/>
      <c r="C14" s="93"/>
      <c r="D14" s="91"/>
      <c r="E14" s="91"/>
      <c r="F14" s="91"/>
      <c r="G14" s="91"/>
    </row>
    <row r="15" spans="1:7" ht="12.75" customHeight="1">
      <c r="A15" s="254" t="s">
        <v>386</v>
      </c>
      <c r="B15" s="254"/>
      <c r="C15" s="254"/>
      <c r="D15" s="254"/>
      <c r="E15" s="254"/>
      <c r="F15" s="254"/>
      <c r="G15" s="254"/>
    </row>
    <row r="16" spans="1:7" ht="12.75" customHeight="1">
      <c r="A16" s="252" t="s">
        <v>387</v>
      </c>
      <c r="B16" s="252"/>
      <c r="C16" s="252"/>
      <c r="D16" s="252"/>
      <c r="E16" s="252"/>
      <c r="F16" s="252"/>
      <c r="G16" s="252"/>
    </row>
    <row r="17" spans="1:7" ht="12.75" customHeight="1">
      <c r="A17" s="94"/>
      <c r="B17" s="94"/>
      <c r="C17" s="95"/>
      <c r="D17" s="94"/>
      <c r="E17" s="94"/>
      <c r="F17" s="255" t="s">
        <v>24</v>
      </c>
      <c r="G17" s="255"/>
    </row>
    <row r="18" spans="1:7" ht="104.25" customHeight="1">
      <c r="A18" s="46" t="s">
        <v>388</v>
      </c>
      <c r="B18" s="47" t="s">
        <v>389</v>
      </c>
      <c r="C18" s="47" t="s">
        <v>27</v>
      </c>
      <c r="D18" s="47" t="s">
        <v>390</v>
      </c>
      <c r="E18" s="47" t="s">
        <v>391</v>
      </c>
      <c r="F18" s="47" t="s">
        <v>392</v>
      </c>
      <c r="G18" s="48" t="s">
        <v>393</v>
      </c>
    </row>
    <row r="19" spans="1:7" ht="21">
      <c r="A19" s="49" t="s">
        <v>31</v>
      </c>
      <c r="B19" s="50" t="s">
        <v>394</v>
      </c>
      <c r="C19" s="51"/>
      <c r="D19" s="96">
        <v>0</v>
      </c>
      <c r="E19" s="97">
        <v>0</v>
      </c>
      <c r="F19" s="97">
        <v>0</v>
      </c>
      <c r="G19" s="53">
        <v>0</v>
      </c>
    </row>
    <row r="20" spans="1:7" ht="35.25" customHeight="1">
      <c r="A20" s="49" t="s">
        <v>121</v>
      </c>
      <c r="B20" s="50" t="s">
        <v>395</v>
      </c>
      <c r="C20" s="51" t="s">
        <v>396</v>
      </c>
      <c r="D20" s="96">
        <v>0</v>
      </c>
      <c r="E20" s="97">
        <v>0</v>
      </c>
      <c r="F20" s="97">
        <v>0</v>
      </c>
      <c r="G20" s="53">
        <v>0</v>
      </c>
    </row>
    <row r="21" spans="1:7" ht="15" customHeight="1">
      <c r="A21" s="49" t="s">
        <v>4</v>
      </c>
      <c r="B21" s="50" t="s">
        <v>397</v>
      </c>
      <c r="C21" s="51" t="s">
        <v>398</v>
      </c>
      <c r="D21" s="54">
        <v>37531968</v>
      </c>
      <c r="E21" s="54">
        <v>23900</v>
      </c>
      <c r="F21" s="54">
        <v>897014035200</v>
      </c>
      <c r="G21" s="53">
        <v>5.1799999999999999E-2</v>
      </c>
    </row>
    <row r="22" spans="1:7" ht="15" customHeight="1">
      <c r="A22" s="49" t="s">
        <v>9</v>
      </c>
      <c r="B22" s="50" t="s">
        <v>399</v>
      </c>
      <c r="C22" s="51" t="s">
        <v>400</v>
      </c>
      <c r="D22" s="54">
        <v>12964736</v>
      </c>
      <c r="E22" s="54">
        <v>27100</v>
      </c>
      <c r="F22" s="54">
        <v>351344345600</v>
      </c>
      <c r="G22" s="53">
        <v>2.0299999999999999E-2</v>
      </c>
    </row>
    <row r="23" spans="1:7" ht="15" customHeight="1">
      <c r="A23" s="49" t="s">
        <v>14</v>
      </c>
      <c r="B23" s="50" t="s">
        <v>401</v>
      </c>
      <c r="C23" s="51" t="s">
        <v>402</v>
      </c>
      <c r="D23" s="54">
        <v>27714134</v>
      </c>
      <c r="E23" s="54">
        <v>96100</v>
      </c>
      <c r="F23" s="54">
        <v>2663328277400</v>
      </c>
      <c r="G23" s="53">
        <v>0.15390000000000001</v>
      </c>
    </row>
    <row r="24" spans="1:7" ht="15" customHeight="1">
      <c r="A24" s="49" t="s">
        <v>19</v>
      </c>
      <c r="B24" s="50" t="s">
        <v>403</v>
      </c>
      <c r="C24" s="51" t="s">
        <v>404</v>
      </c>
      <c r="D24" s="54">
        <v>22853950</v>
      </c>
      <c r="E24" s="54">
        <v>70500</v>
      </c>
      <c r="F24" s="54">
        <v>1611203475000</v>
      </c>
      <c r="G24" s="53">
        <v>9.3100000000000002E-2</v>
      </c>
    </row>
    <row r="25" spans="1:7" ht="15" customHeight="1">
      <c r="A25" s="49" t="s">
        <v>287</v>
      </c>
      <c r="B25" s="50" t="s">
        <v>405</v>
      </c>
      <c r="C25" s="51" t="s">
        <v>406</v>
      </c>
      <c r="D25" s="54">
        <v>15571300</v>
      </c>
      <c r="E25" s="54">
        <v>20300</v>
      </c>
      <c r="F25" s="54">
        <v>316097390000</v>
      </c>
      <c r="G25" s="53">
        <v>1.83E-2</v>
      </c>
    </row>
    <row r="26" spans="1:7" ht="15" customHeight="1">
      <c r="A26" s="49" t="s">
        <v>289</v>
      </c>
      <c r="B26" s="50" t="s">
        <v>407</v>
      </c>
      <c r="C26" s="51" t="s">
        <v>408</v>
      </c>
      <c r="D26" s="54">
        <v>12208192</v>
      </c>
      <c r="E26" s="54">
        <v>31400</v>
      </c>
      <c r="F26" s="54">
        <v>383337228800</v>
      </c>
      <c r="G26" s="53">
        <v>2.2200000000000001E-2</v>
      </c>
    </row>
    <row r="27" spans="1:7" ht="15" customHeight="1">
      <c r="A27" s="49" t="s">
        <v>292</v>
      </c>
      <c r="B27" s="50" t="s">
        <v>409</v>
      </c>
      <c r="C27" s="51" t="s">
        <v>410</v>
      </c>
      <c r="D27" s="54">
        <v>61533783</v>
      </c>
      <c r="E27" s="54">
        <v>18650</v>
      </c>
      <c r="F27" s="54">
        <v>1147605052950</v>
      </c>
      <c r="G27" s="53">
        <v>6.6299999999999998E-2</v>
      </c>
    </row>
    <row r="28" spans="1:7" ht="15" customHeight="1">
      <c r="A28" s="49" t="s">
        <v>301</v>
      </c>
      <c r="B28" s="50" t="s">
        <v>411</v>
      </c>
      <c r="C28" s="51" t="s">
        <v>412</v>
      </c>
      <c r="D28" s="54">
        <v>36272987</v>
      </c>
      <c r="E28" s="54">
        <v>13000</v>
      </c>
      <c r="F28" s="54">
        <v>471548831000</v>
      </c>
      <c r="G28" s="53">
        <v>2.7300000000000001E-2</v>
      </c>
    </row>
    <row r="29" spans="1:7" ht="15" customHeight="1">
      <c r="A29" s="49" t="s">
        <v>314</v>
      </c>
      <c r="B29" s="50" t="s">
        <v>413</v>
      </c>
      <c r="C29" s="51" t="s">
        <v>414</v>
      </c>
      <c r="D29" s="54">
        <v>53657440</v>
      </c>
      <c r="E29" s="54">
        <v>42800</v>
      </c>
      <c r="F29" s="54">
        <v>2296538432000</v>
      </c>
      <c r="G29" s="53">
        <v>0.1328</v>
      </c>
    </row>
    <row r="30" spans="1:7" ht="15" customHeight="1">
      <c r="A30" s="49" t="s">
        <v>321</v>
      </c>
      <c r="B30" s="50" t="s">
        <v>415</v>
      </c>
      <c r="C30" s="51" t="s">
        <v>416</v>
      </c>
      <c r="D30" s="54">
        <v>11688988</v>
      </c>
      <c r="E30" s="54">
        <v>36650</v>
      </c>
      <c r="F30" s="54">
        <v>428401410200</v>
      </c>
      <c r="G30" s="53">
        <v>2.4799999999999999E-2</v>
      </c>
    </row>
    <row r="31" spans="1:7" ht="15" customHeight="1">
      <c r="A31" s="49" t="s">
        <v>417</v>
      </c>
      <c r="B31" s="50" t="s">
        <v>418</v>
      </c>
      <c r="C31" s="51" t="s">
        <v>419</v>
      </c>
      <c r="D31" s="54">
        <v>17579850</v>
      </c>
      <c r="E31" s="54">
        <v>13300</v>
      </c>
      <c r="F31" s="54">
        <v>233812005000</v>
      </c>
      <c r="G31" s="53">
        <v>1.35E-2</v>
      </c>
    </row>
    <row r="32" spans="1:7" ht="15" customHeight="1">
      <c r="A32" s="49" t="s">
        <v>420</v>
      </c>
      <c r="B32" s="50" t="s">
        <v>421</v>
      </c>
      <c r="C32" s="51" t="s">
        <v>422</v>
      </c>
      <c r="D32" s="54">
        <v>20321304</v>
      </c>
      <c r="E32" s="54">
        <v>86000</v>
      </c>
      <c r="F32" s="54">
        <v>1747632144000</v>
      </c>
      <c r="G32" s="53">
        <v>0.10100000000000001</v>
      </c>
    </row>
    <row r="33" spans="1:7" ht="15" customHeight="1">
      <c r="A33" s="49" t="s">
        <v>423</v>
      </c>
      <c r="B33" s="50" t="s">
        <v>424</v>
      </c>
      <c r="C33" s="51" t="s">
        <v>425</v>
      </c>
      <c r="D33" s="54">
        <v>15240181</v>
      </c>
      <c r="E33" s="54">
        <v>56800</v>
      </c>
      <c r="F33" s="54">
        <v>865642280800</v>
      </c>
      <c r="G33" s="53">
        <v>0.05</v>
      </c>
    </row>
    <row r="34" spans="1:7" ht="15" customHeight="1">
      <c r="A34" s="49" t="s">
        <v>426</v>
      </c>
      <c r="B34" s="50" t="s">
        <v>427</v>
      </c>
      <c r="C34" s="51" t="s">
        <v>428</v>
      </c>
      <c r="D34" s="54">
        <v>48784400</v>
      </c>
      <c r="E34" s="54">
        <v>31800</v>
      </c>
      <c r="F34" s="54">
        <v>1551343920000</v>
      </c>
      <c r="G34" s="53">
        <v>8.9700000000000002E-2</v>
      </c>
    </row>
    <row r="35" spans="1:7" ht="15" customHeight="1">
      <c r="A35" s="49" t="s">
        <v>429</v>
      </c>
      <c r="B35" s="50" t="s">
        <v>430</v>
      </c>
      <c r="C35" s="51" t="s">
        <v>431</v>
      </c>
      <c r="D35" s="54">
        <v>28339174</v>
      </c>
      <c r="E35" s="54">
        <v>17400</v>
      </c>
      <c r="F35" s="54">
        <v>493101627600</v>
      </c>
      <c r="G35" s="53">
        <v>2.8500000000000001E-2</v>
      </c>
    </row>
    <row r="36" spans="1:7" ht="15" customHeight="1">
      <c r="A36" s="49" t="s">
        <v>432</v>
      </c>
      <c r="B36" s="50" t="s">
        <v>433</v>
      </c>
      <c r="C36" s="51" t="s">
        <v>434</v>
      </c>
      <c r="D36" s="54">
        <v>29923484</v>
      </c>
      <c r="E36" s="54">
        <v>19600</v>
      </c>
      <c r="F36" s="54">
        <v>586500286400</v>
      </c>
      <c r="G36" s="53">
        <v>3.39E-2</v>
      </c>
    </row>
    <row r="37" spans="1:7" ht="15" customHeight="1">
      <c r="A37" s="49" t="s">
        <v>435</v>
      </c>
      <c r="B37" s="50" t="s">
        <v>436</v>
      </c>
      <c r="C37" s="51" t="s">
        <v>437</v>
      </c>
      <c r="D37" s="54">
        <v>50601116</v>
      </c>
      <c r="E37" s="54">
        <v>19200</v>
      </c>
      <c r="F37" s="54">
        <v>971541427200</v>
      </c>
      <c r="G37" s="53">
        <v>5.62E-2</v>
      </c>
    </row>
    <row r="38" spans="1:7">
      <c r="A38" s="49" t="s">
        <v>438</v>
      </c>
      <c r="B38" s="50" t="s">
        <v>439</v>
      </c>
      <c r="C38" s="51" t="s">
        <v>440</v>
      </c>
      <c r="D38" s="54">
        <v>10615500</v>
      </c>
      <c r="E38" s="54">
        <v>23300</v>
      </c>
      <c r="F38" s="54">
        <v>247341150000</v>
      </c>
      <c r="G38" s="53">
        <v>1.43E-2</v>
      </c>
    </row>
    <row r="39" spans="1:7" ht="21">
      <c r="A39" s="49"/>
      <c r="B39" s="192" t="s">
        <v>445</v>
      </c>
      <c r="C39" s="51" t="s">
        <v>442</v>
      </c>
      <c r="D39" s="54"/>
      <c r="E39" s="54"/>
      <c r="F39" s="54">
        <v>17263333319150</v>
      </c>
      <c r="G39" s="53">
        <v>0.99790000000000001</v>
      </c>
    </row>
    <row r="40" spans="1:7" ht="42">
      <c r="A40" s="49" t="s">
        <v>340</v>
      </c>
      <c r="B40" s="50" t="s">
        <v>443</v>
      </c>
      <c r="C40" s="51" t="s">
        <v>444</v>
      </c>
      <c r="D40" s="54"/>
      <c r="E40" s="54"/>
      <c r="F40" s="54">
        <v>0</v>
      </c>
      <c r="G40" s="53">
        <v>0</v>
      </c>
    </row>
    <row r="41" spans="1:7" ht="21">
      <c r="A41" s="49"/>
      <c r="B41" s="50" t="s">
        <v>445</v>
      </c>
      <c r="C41" s="51" t="s">
        <v>446</v>
      </c>
      <c r="D41" s="54"/>
      <c r="E41" s="54"/>
      <c r="F41" s="54">
        <v>0</v>
      </c>
      <c r="G41" s="53">
        <v>0</v>
      </c>
    </row>
    <row r="42" spans="1:7" ht="21">
      <c r="A42" s="49"/>
      <c r="B42" s="50" t="s">
        <v>447</v>
      </c>
      <c r="C42" s="51" t="s">
        <v>448</v>
      </c>
      <c r="D42" s="54"/>
      <c r="E42" s="54"/>
      <c r="F42" s="54">
        <v>17263333319150</v>
      </c>
      <c r="G42" s="53">
        <v>0.99790000000000001</v>
      </c>
    </row>
    <row r="43" spans="1:7" ht="21">
      <c r="A43" s="49" t="s">
        <v>343</v>
      </c>
      <c r="B43" s="50" t="s">
        <v>449</v>
      </c>
      <c r="C43" s="51" t="s">
        <v>450</v>
      </c>
      <c r="D43" s="54"/>
      <c r="E43" s="54"/>
      <c r="F43" s="54">
        <v>0</v>
      </c>
      <c r="G43" s="53">
        <v>0</v>
      </c>
    </row>
    <row r="44" spans="1:7">
      <c r="A44" s="49"/>
      <c r="B44" s="50" t="s">
        <v>441</v>
      </c>
      <c r="C44" s="51" t="s">
        <v>451</v>
      </c>
      <c r="D44" s="54"/>
      <c r="E44" s="54"/>
      <c r="F44" s="54">
        <v>0</v>
      </c>
      <c r="G44" s="53">
        <v>0</v>
      </c>
    </row>
    <row r="45" spans="1:7" ht="21">
      <c r="A45" s="49" t="s">
        <v>356</v>
      </c>
      <c r="B45" s="50" t="s">
        <v>452</v>
      </c>
      <c r="C45" s="51" t="s">
        <v>453</v>
      </c>
      <c r="D45" s="54"/>
      <c r="E45" s="54"/>
      <c r="F45" s="54">
        <v>0</v>
      </c>
      <c r="G45" s="53">
        <v>0</v>
      </c>
    </row>
    <row r="46" spans="1:7" ht="21">
      <c r="A46" s="49" t="s">
        <v>4</v>
      </c>
      <c r="B46" s="50" t="s">
        <v>454</v>
      </c>
      <c r="C46" s="51" t="s">
        <v>455</v>
      </c>
      <c r="D46" s="54"/>
      <c r="E46" s="54"/>
      <c r="F46" s="54">
        <v>0</v>
      </c>
      <c r="G46" s="53">
        <v>0</v>
      </c>
    </row>
    <row r="47" spans="1:7" ht="21">
      <c r="A47" s="49" t="s">
        <v>9</v>
      </c>
      <c r="B47" s="50" t="s">
        <v>456</v>
      </c>
      <c r="C47" s="51" t="s">
        <v>457</v>
      </c>
      <c r="D47" s="54"/>
      <c r="E47" s="54"/>
      <c r="F47" s="54">
        <v>0</v>
      </c>
      <c r="G47" s="53">
        <v>0</v>
      </c>
    </row>
    <row r="48" spans="1:7" ht="21">
      <c r="A48" s="49"/>
      <c r="B48" s="50" t="s">
        <v>445</v>
      </c>
      <c r="C48" s="51" t="s">
        <v>458</v>
      </c>
      <c r="D48" s="54"/>
      <c r="E48" s="54"/>
      <c r="F48" s="54">
        <v>0</v>
      </c>
      <c r="G48" s="53">
        <v>0</v>
      </c>
    </row>
    <row r="49" spans="1:7" ht="21">
      <c r="A49" s="49"/>
      <c r="B49" s="50" t="s">
        <v>459</v>
      </c>
      <c r="C49" s="51" t="s">
        <v>460</v>
      </c>
      <c r="D49" s="54"/>
      <c r="E49" s="54"/>
      <c r="F49" s="54">
        <v>17263333319150</v>
      </c>
      <c r="G49" s="53">
        <v>0.99790000000000001</v>
      </c>
    </row>
    <row r="50" spans="1:7" ht="21">
      <c r="A50" s="49" t="s">
        <v>359</v>
      </c>
      <c r="B50" s="50" t="s">
        <v>461</v>
      </c>
      <c r="C50" s="51" t="s">
        <v>462</v>
      </c>
      <c r="D50" s="54"/>
      <c r="E50" s="54"/>
      <c r="F50" s="54">
        <v>0</v>
      </c>
      <c r="G50" s="53">
        <v>0</v>
      </c>
    </row>
    <row r="51" spans="1:7" ht="21">
      <c r="A51" s="49" t="s">
        <v>4</v>
      </c>
      <c r="B51" s="50" t="s">
        <v>463</v>
      </c>
      <c r="C51" s="51" t="s">
        <v>464</v>
      </c>
      <c r="D51" s="54"/>
      <c r="E51" s="54"/>
      <c r="F51" s="54">
        <v>0</v>
      </c>
      <c r="G51" s="53">
        <v>0</v>
      </c>
    </row>
    <row r="52" spans="1:7" ht="21">
      <c r="A52" s="49" t="s">
        <v>9</v>
      </c>
      <c r="B52" s="50" t="s">
        <v>465</v>
      </c>
      <c r="C52" s="51" t="s">
        <v>466</v>
      </c>
      <c r="D52" s="54"/>
      <c r="E52" s="54"/>
      <c r="F52" s="54">
        <v>0</v>
      </c>
      <c r="G52" s="53">
        <v>0</v>
      </c>
    </row>
    <row r="53" spans="1:7" ht="21">
      <c r="A53" s="49" t="s">
        <v>14</v>
      </c>
      <c r="B53" s="50" t="s">
        <v>467</v>
      </c>
      <c r="C53" s="51" t="s">
        <v>468</v>
      </c>
      <c r="D53" s="54"/>
      <c r="E53" s="54"/>
      <c r="F53" s="54">
        <v>0</v>
      </c>
      <c r="G53" s="53">
        <v>0</v>
      </c>
    </row>
    <row r="54" spans="1:7" ht="33" customHeight="1">
      <c r="A54" s="49" t="s">
        <v>19</v>
      </c>
      <c r="B54" s="50" t="s">
        <v>469</v>
      </c>
      <c r="C54" s="51" t="s">
        <v>470</v>
      </c>
      <c r="D54" s="54"/>
      <c r="E54" s="54"/>
      <c r="F54" s="54">
        <v>13837903250</v>
      </c>
      <c r="G54" s="53">
        <v>8.0000000000000004E-4</v>
      </c>
    </row>
    <row r="55" spans="1:7" ht="21">
      <c r="A55" s="49" t="s">
        <v>287</v>
      </c>
      <c r="B55" s="50" t="s">
        <v>471</v>
      </c>
      <c r="C55" s="51" t="s">
        <v>472</v>
      </c>
      <c r="D55" s="54"/>
      <c r="E55" s="54"/>
      <c r="F55" s="54">
        <v>0</v>
      </c>
      <c r="G55" s="53">
        <v>0</v>
      </c>
    </row>
    <row r="56" spans="1:7" ht="21">
      <c r="A56" s="49" t="s">
        <v>289</v>
      </c>
      <c r="B56" s="50" t="s">
        <v>473</v>
      </c>
      <c r="C56" s="51" t="s">
        <v>474</v>
      </c>
      <c r="D56" s="54"/>
      <c r="E56" s="54"/>
      <c r="F56" s="54">
        <v>36799980</v>
      </c>
      <c r="G56" s="197">
        <v>2.1272360795893251E-6</v>
      </c>
    </row>
    <row r="57" spans="1:7" ht="21">
      <c r="A57" s="49" t="s">
        <v>292</v>
      </c>
      <c r="B57" s="50" t="s">
        <v>475</v>
      </c>
      <c r="C57" s="51" t="s">
        <v>476</v>
      </c>
      <c r="D57" s="54"/>
      <c r="E57" s="54"/>
      <c r="F57" s="54">
        <v>0</v>
      </c>
      <c r="G57" s="53">
        <v>0</v>
      </c>
    </row>
    <row r="58" spans="1:7" ht="21">
      <c r="A58" s="49" t="s">
        <v>301</v>
      </c>
      <c r="B58" s="50" t="s">
        <v>477</v>
      </c>
      <c r="C58" s="51" t="s">
        <v>478</v>
      </c>
      <c r="D58" s="54"/>
      <c r="E58" s="54"/>
      <c r="F58" s="54">
        <v>0</v>
      </c>
      <c r="G58" s="53">
        <v>0</v>
      </c>
    </row>
    <row r="59" spans="1:7" ht="21">
      <c r="A59" s="49" t="s">
        <v>314</v>
      </c>
      <c r="B59" s="50" t="s">
        <v>479</v>
      </c>
      <c r="C59" s="51" t="s">
        <v>480</v>
      </c>
      <c r="D59" s="54"/>
      <c r="E59" s="54"/>
      <c r="F59" s="54">
        <v>0</v>
      </c>
      <c r="G59" s="53">
        <v>0</v>
      </c>
    </row>
    <row r="60" spans="1:7" ht="21" customHeight="1">
      <c r="A60" s="49" t="s">
        <v>321</v>
      </c>
      <c r="B60" s="50" t="s">
        <v>481</v>
      </c>
      <c r="C60" s="51" t="s">
        <v>482</v>
      </c>
      <c r="D60" s="54"/>
      <c r="E60" s="54"/>
      <c r="F60" s="54">
        <v>0</v>
      </c>
      <c r="G60" s="53">
        <v>0</v>
      </c>
    </row>
    <row r="61" spans="1:7" ht="21">
      <c r="A61" s="49"/>
      <c r="B61" s="50" t="s">
        <v>445</v>
      </c>
      <c r="C61" s="51" t="s">
        <v>483</v>
      </c>
      <c r="D61" s="54"/>
      <c r="E61" s="54"/>
      <c r="F61" s="54">
        <v>13874703230</v>
      </c>
      <c r="G61" s="53">
        <v>8.0000000000000004E-4</v>
      </c>
    </row>
    <row r="62" spans="1:7" ht="21">
      <c r="A62" s="49" t="s">
        <v>362</v>
      </c>
      <c r="B62" s="50" t="s">
        <v>37</v>
      </c>
      <c r="C62" s="51" t="s">
        <v>484</v>
      </c>
      <c r="D62" s="54"/>
      <c r="E62" s="54"/>
      <c r="F62" s="54">
        <v>0</v>
      </c>
      <c r="G62" s="53">
        <v>0</v>
      </c>
    </row>
    <row r="63" spans="1:7" ht="21">
      <c r="A63" s="49" t="s">
        <v>4</v>
      </c>
      <c r="B63" s="50" t="s">
        <v>485</v>
      </c>
      <c r="C63" s="51" t="s">
        <v>486</v>
      </c>
      <c r="D63" s="54"/>
      <c r="E63" s="54"/>
      <c r="F63" s="54">
        <v>22225901806</v>
      </c>
      <c r="G63" s="53">
        <v>1.2999999999999999E-3</v>
      </c>
    </row>
    <row r="64" spans="1:7" ht="21">
      <c r="A64" s="49"/>
      <c r="B64" s="50" t="s">
        <v>487</v>
      </c>
      <c r="C64" s="51" t="s">
        <v>488</v>
      </c>
      <c r="D64" s="54"/>
      <c r="E64" s="54"/>
      <c r="F64" s="54">
        <v>0</v>
      </c>
      <c r="G64" s="53">
        <v>0</v>
      </c>
    </row>
    <row r="65" spans="1:9" ht="21">
      <c r="A65" s="49"/>
      <c r="B65" s="50" t="s">
        <v>489</v>
      </c>
      <c r="C65" s="51" t="s">
        <v>490</v>
      </c>
      <c r="D65" s="54"/>
      <c r="E65" s="54"/>
      <c r="F65" s="54">
        <v>22225901806</v>
      </c>
      <c r="G65" s="53">
        <v>1.2999999999999999E-3</v>
      </c>
    </row>
    <row r="66" spans="1:9" ht="21">
      <c r="A66" s="49"/>
      <c r="B66" s="50" t="s">
        <v>491</v>
      </c>
      <c r="C66" s="51" t="s">
        <v>492</v>
      </c>
      <c r="D66" s="54"/>
      <c r="E66" s="54"/>
      <c r="F66" s="54">
        <v>0</v>
      </c>
      <c r="G66" s="53">
        <v>0</v>
      </c>
    </row>
    <row r="67" spans="1:9" ht="21">
      <c r="A67" s="49" t="s">
        <v>9</v>
      </c>
      <c r="B67" s="50" t="s">
        <v>493</v>
      </c>
      <c r="C67" s="51" t="s">
        <v>494</v>
      </c>
      <c r="D67" s="54"/>
      <c r="E67" s="54"/>
      <c r="F67" s="54">
        <v>0</v>
      </c>
      <c r="G67" s="53">
        <v>0</v>
      </c>
    </row>
    <row r="68" spans="1:9" ht="21">
      <c r="A68" s="49" t="s">
        <v>14</v>
      </c>
      <c r="B68" s="50" t="s">
        <v>495</v>
      </c>
      <c r="C68" s="51" t="s">
        <v>496</v>
      </c>
      <c r="D68" s="54"/>
      <c r="E68" s="54"/>
      <c r="F68" s="54">
        <v>0</v>
      </c>
      <c r="G68" s="53">
        <v>0</v>
      </c>
    </row>
    <row r="69" spans="1:9" ht="21">
      <c r="A69" s="49" t="s">
        <v>19</v>
      </c>
      <c r="B69" s="50" t="s">
        <v>497</v>
      </c>
      <c r="C69" s="51" t="s">
        <v>498</v>
      </c>
      <c r="D69" s="54"/>
      <c r="E69" s="54"/>
      <c r="F69" s="54">
        <v>0</v>
      </c>
      <c r="G69" s="53">
        <v>0</v>
      </c>
    </row>
    <row r="70" spans="1:9" ht="21">
      <c r="A70" s="49"/>
      <c r="B70" s="50" t="s">
        <v>445</v>
      </c>
      <c r="C70" s="51" t="s">
        <v>499</v>
      </c>
      <c r="D70" s="54"/>
      <c r="E70" s="54"/>
      <c r="F70" s="54">
        <v>22225901806</v>
      </c>
      <c r="G70" s="53">
        <v>1.2999999999999999E-3</v>
      </c>
    </row>
    <row r="71" spans="1:9" ht="21">
      <c r="A71" s="65" t="s">
        <v>376</v>
      </c>
      <c r="B71" s="66" t="s">
        <v>500</v>
      </c>
      <c r="C71" s="67" t="s">
        <v>501</v>
      </c>
      <c r="D71" s="90"/>
      <c r="E71" s="90"/>
      <c r="F71" s="90">
        <v>17299433924186</v>
      </c>
      <c r="G71" s="69">
        <v>1</v>
      </c>
    </row>
    <row r="72" spans="1:9">
      <c r="A72" s="91"/>
      <c r="B72" s="91"/>
      <c r="C72" s="91"/>
      <c r="D72" s="91"/>
      <c r="E72" s="91"/>
      <c r="F72" s="91"/>
      <c r="G72" s="91"/>
      <c r="I72" s="98"/>
    </row>
    <row r="73" spans="1:9">
      <c r="A73" s="256" t="s">
        <v>502</v>
      </c>
      <c r="B73" s="256"/>
      <c r="C73" s="91"/>
      <c r="D73" s="91"/>
      <c r="E73" s="91"/>
      <c r="F73" s="91"/>
      <c r="G73" s="91"/>
    </row>
    <row r="74" spans="1:9" ht="28.5" customHeight="1">
      <c r="A74" s="257" t="s">
        <v>503</v>
      </c>
      <c r="B74" s="257"/>
      <c r="C74" s="257"/>
      <c r="D74" s="257"/>
      <c r="E74" s="257"/>
      <c r="F74" s="257"/>
      <c r="G74" s="257"/>
    </row>
    <row r="75" spans="1:9" ht="12.75" customHeight="1">
      <c r="A75" s="94"/>
      <c r="B75" s="94"/>
      <c r="C75" s="94"/>
      <c r="D75" s="94"/>
      <c r="E75" s="94"/>
      <c r="F75" s="94"/>
      <c r="G75" s="94"/>
    </row>
    <row r="76" spans="1:9" ht="51" customHeight="1">
      <c r="A76" s="99" t="s">
        <v>504</v>
      </c>
      <c r="B76" s="100" t="s">
        <v>505</v>
      </c>
      <c r="C76" s="100" t="s">
        <v>506</v>
      </c>
      <c r="D76" s="100" t="s">
        <v>507</v>
      </c>
      <c r="E76" s="100" t="s">
        <v>508</v>
      </c>
      <c r="F76" s="100" t="s">
        <v>509</v>
      </c>
      <c r="G76" s="101" t="s">
        <v>510</v>
      </c>
    </row>
    <row r="77" spans="1:9">
      <c r="A77" s="91"/>
      <c r="B77" s="91"/>
      <c r="C77" s="91"/>
      <c r="D77" s="91"/>
      <c r="E77" s="91"/>
      <c r="F77" s="91"/>
      <c r="G77" s="91"/>
    </row>
    <row r="78" spans="1:9" ht="15" customHeight="1">
      <c r="A78" s="251" t="s">
        <v>221</v>
      </c>
      <c r="B78" s="251"/>
      <c r="C78" s="251"/>
      <c r="D78" s="251" t="s">
        <v>222</v>
      </c>
      <c r="E78" s="251"/>
      <c r="F78" s="251"/>
      <c r="G78" s="251"/>
    </row>
    <row r="79" spans="1:9" ht="15" customHeight="1">
      <c r="A79" s="239" t="s">
        <v>223</v>
      </c>
      <c r="B79" s="239"/>
      <c r="C79" s="239"/>
      <c r="D79" s="239" t="s">
        <v>224</v>
      </c>
      <c r="E79" s="239"/>
      <c r="F79" s="239"/>
      <c r="G79" s="239"/>
    </row>
    <row r="80" spans="1:9" ht="15" customHeight="1">
      <c r="A80" s="91"/>
      <c r="B80" s="91"/>
      <c r="C80" s="91"/>
      <c r="D80" s="91"/>
      <c r="E80" s="91"/>
      <c r="F80" s="91"/>
      <c r="G80" s="91"/>
    </row>
    <row r="81" spans="1:7" ht="15" customHeight="1">
      <c r="A81" s="91"/>
      <c r="B81" s="91"/>
      <c r="C81" s="91"/>
      <c r="D81" s="91"/>
      <c r="E81" s="91"/>
      <c r="F81" s="91"/>
      <c r="G81" s="91"/>
    </row>
    <row r="82" spans="1:7" ht="15" customHeight="1">
      <c r="A82" s="91"/>
      <c r="B82" s="91"/>
      <c r="C82" s="91"/>
      <c r="D82" s="91"/>
      <c r="E82" s="91"/>
      <c r="F82" s="91"/>
      <c r="G82" s="91"/>
    </row>
    <row r="83" spans="1:7" ht="15.75" customHeight="1">
      <c r="A83" s="91"/>
      <c r="B83" s="91"/>
      <c r="C83" s="91"/>
      <c r="D83" s="91"/>
      <c r="E83" s="91"/>
      <c r="F83" s="91"/>
      <c r="G83" s="91"/>
    </row>
    <row r="84" spans="1:7" ht="15.75" customHeight="1">
      <c r="A84" s="91"/>
      <c r="B84" s="91"/>
      <c r="C84" s="91"/>
      <c r="D84" s="91"/>
      <c r="E84" s="91"/>
      <c r="F84" s="91"/>
      <c r="G84" s="91"/>
    </row>
    <row r="85" spans="1:7" ht="15.75" customHeight="1">
      <c r="A85" s="251" t="s">
        <v>225</v>
      </c>
      <c r="B85" s="251"/>
      <c r="C85" s="251"/>
      <c r="D85" s="251" t="s">
        <v>226</v>
      </c>
      <c r="E85" s="251"/>
      <c r="F85" s="251"/>
      <c r="G85" s="251"/>
    </row>
    <row r="86" spans="1:7" ht="15" customHeight="1">
      <c r="A86" s="251" t="s">
        <v>227</v>
      </c>
      <c r="B86" s="251"/>
      <c r="C86" s="251"/>
      <c r="D86" s="251" t="s">
        <v>228</v>
      </c>
      <c r="E86" s="251"/>
      <c r="F86" s="251"/>
      <c r="G86" s="251"/>
    </row>
    <row r="87" spans="1:7" ht="15" customHeight="1">
      <c r="A87" s="251" t="s">
        <v>229</v>
      </c>
      <c r="B87" s="251"/>
      <c r="C87" s="251"/>
      <c r="D87" s="251" t="s">
        <v>230</v>
      </c>
      <c r="E87" s="251"/>
      <c r="F87" s="251"/>
      <c r="G87" s="251"/>
    </row>
    <row r="88" spans="1:7">
      <c r="A88" s="193"/>
      <c r="B88" s="193"/>
      <c r="C88" s="193"/>
      <c r="D88" s="193"/>
      <c r="E88" s="193"/>
      <c r="F88" s="193"/>
      <c r="G88" s="193"/>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28999999999999998" right="0" top="0.42" bottom="0.28999999999999998" header="0.35" footer="0.28999999999999998"/>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B16" sqref="B16:B17"/>
    </sheetView>
  </sheetViews>
  <sheetFormatPr defaultColWidth="9.28515625" defaultRowHeight="10.5"/>
  <cols>
    <col min="1" max="1" width="5.42578125" style="102" customWidth="1"/>
    <col min="2" max="2" width="42.85546875" style="102" customWidth="1"/>
    <col min="3" max="3" width="7.28515625" style="102" customWidth="1"/>
    <col min="4" max="4" width="20.28515625" style="102" customWidth="1"/>
    <col min="5" max="5" width="14.5703125" style="102" customWidth="1"/>
    <col min="6" max="6" width="11.7109375" style="102" customWidth="1"/>
    <col min="7" max="7" width="17.5703125" style="102" customWidth="1"/>
    <col min="8" max="8" width="8.28515625" style="102" customWidth="1"/>
    <col min="9" max="9" width="16.28515625" style="102" customWidth="1"/>
    <col min="10" max="10" width="8.5703125" style="102" customWidth="1"/>
    <col min="11" max="11" width="18.5703125" style="102" customWidth="1"/>
    <col min="12" max="256" width="9.28515625" style="102"/>
    <col min="257" max="257" width="5.42578125" style="102" customWidth="1"/>
    <col min="258" max="258" width="42.85546875" style="102" customWidth="1"/>
    <col min="259" max="259" width="7.28515625" style="102" customWidth="1"/>
    <col min="260" max="260" width="20.28515625" style="102" customWidth="1"/>
    <col min="261" max="261" width="14.5703125" style="102" customWidth="1"/>
    <col min="262" max="262" width="11.7109375" style="102" customWidth="1"/>
    <col min="263" max="263" width="17.5703125" style="102" customWidth="1"/>
    <col min="264" max="264" width="8.28515625" style="102" customWidth="1"/>
    <col min="265" max="265" width="16.28515625" style="102" customWidth="1"/>
    <col min="266" max="266" width="8.5703125" style="102" customWidth="1"/>
    <col min="267" max="267" width="18.5703125" style="102" customWidth="1"/>
    <col min="268" max="512" width="9.28515625" style="102"/>
    <col min="513" max="513" width="5.42578125" style="102" customWidth="1"/>
    <col min="514" max="514" width="42.85546875" style="102" customWidth="1"/>
    <col min="515" max="515" width="7.28515625" style="102" customWidth="1"/>
    <col min="516" max="516" width="20.28515625" style="102" customWidth="1"/>
    <col min="517" max="517" width="14.5703125" style="102" customWidth="1"/>
    <col min="518" max="518" width="11.7109375" style="102" customWidth="1"/>
    <col min="519" max="519" width="17.5703125" style="102" customWidth="1"/>
    <col min="520" max="520" width="8.28515625" style="102" customWidth="1"/>
    <col min="521" max="521" width="16.28515625" style="102" customWidth="1"/>
    <col min="522" max="522" width="8.5703125" style="102" customWidth="1"/>
    <col min="523" max="523" width="18.5703125" style="102" customWidth="1"/>
    <col min="524" max="768" width="9.28515625" style="102"/>
    <col min="769" max="769" width="5.42578125" style="102" customWidth="1"/>
    <col min="770" max="770" width="42.85546875" style="102" customWidth="1"/>
    <col min="771" max="771" width="7.28515625" style="102" customWidth="1"/>
    <col min="772" max="772" width="20.28515625" style="102" customWidth="1"/>
    <col min="773" max="773" width="14.5703125" style="102" customWidth="1"/>
    <col min="774" max="774" width="11.7109375" style="102" customWidth="1"/>
    <col min="775" max="775" width="17.5703125" style="102" customWidth="1"/>
    <col min="776" max="776" width="8.28515625" style="102" customWidth="1"/>
    <col min="777" max="777" width="16.28515625" style="102" customWidth="1"/>
    <col min="778" max="778" width="8.5703125" style="102" customWidth="1"/>
    <col min="779" max="779" width="18.5703125" style="102" customWidth="1"/>
    <col min="780" max="1024" width="9.28515625" style="102"/>
    <col min="1025" max="1025" width="5.42578125" style="102" customWidth="1"/>
    <col min="1026" max="1026" width="42.85546875" style="102" customWidth="1"/>
    <col min="1027" max="1027" width="7.28515625" style="102" customWidth="1"/>
    <col min="1028" max="1028" width="20.28515625" style="102" customWidth="1"/>
    <col min="1029" max="1029" width="14.5703125" style="102" customWidth="1"/>
    <col min="1030" max="1030" width="11.7109375" style="102" customWidth="1"/>
    <col min="1031" max="1031" width="17.5703125" style="102" customWidth="1"/>
    <col min="1032" max="1032" width="8.28515625" style="102" customWidth="1"/>
    <col min="1033" max="1033" width="16.28515625" style="102" customWidth="1"/>
    <col min="1034" max="1034" width="8.5703125" style="102" customWidth="1"/>
    <col min="1035" max="1035" width="18.5703125" style="102" customWidth="1"/>
    <col min="1036" max="1280" width="9.28515625" style="102"/>
    <col min="1281" max="1281" width="5.42578125" style="102" customWidth="1"/>
    <col min="1282" max="1282" width="42.85546875" style="102" customWidth="1"/>
    <col min="1283" max="1283" width="7.28515625" style="102" customWidth="1"/>
    <col min="1284" max="1284" width="20.28515625" style="102" customWidth="1"/>
    <col min="1285" max="1285" width="14.5703125" style="102" customWidth="1"/>
    <col min="1286" max="1286" width="11.7109375" style="102" customWidth="1"/>
    <col min="1287" max="1287" width="17.5703125" style="102" customWidth="1"/>
    <col min="1288" max="1288" width="8.28515625" style="102" customWidth="1"/>
    <col min="1289" max="1289" width="16.28515625" style="102" customWidth="1"/>
    <col min="1290" max="1290" width="8.5703125" style="102" customWidth="1"/>
    <col min="1291" max="1291" width="18.5703125" style="102" customWidth="1"/>
    <col min="1292" max="1536" width="9.28515625" style="102"/>
    <col min="1537" max="1537" width="5.42578125" style="102" customWidth="1"/>
    <col min="1538" max="1538" width="42.85546875" style="102" customWidth="1"/>
    <col min="1539" max="1539" width="7.28515625" style="102" customWidth="1"/>
    <col min="1540" max="1540" width="20.28515625" style="102" customWidth="1"/>
    <col min="1541" max="1541" width="14.5703125" style="102" customWidth="1"/>
    <col min="1542" max="1542" width="11.7109375" style="102" customWidth="1"/>
    <col min="1543" max="1543" width="17.5703125" style="102" customWidth="1"/>
    <col min="1544" max="1544" width="8.28515625" style="102" customWidth="1"/>
    <col min="1545" max="1545" width="16.28515625" style="102" customWidth="1"/>
    <col min="1546" max="1546" width="8.5703125" style="102" customWidth="1"/>
    <col min="1547" max="1547" width="18.5703125" style="102" customWidth="1"/>
    <col min="1548" max="1792" width="9.28515625" style="102"/>
    <col min="1793" max="1793" width="5.42578125" style="102" customWidth="1"/>
    <col min="1794" max="1794" width="42.85546875" style="102" customWidth="1"/>
    <col min="1795" max="1795" width="7.28515625" style="102" customWidth="1"/>
    <col min="1796" max="1796" width="20.28515625" style="102" customWidth="1"/>
    <col min="1797" max="1797" width="14.5703125" style="102" customWidth="1"/>
    <col min="1798" max="1798" width="11.7109375" style="102" customWidth="1"/>
    <col min="1799" max="1799" width="17.5703125" style="102" customWidth="1"/>
    <col min="1800" max="1800" width="8.28515625" style="102" customWidth="1"/>
    <col min="1801" max="1801" width="16.28515625" style="102" customWidth="1"/>
    <col min="1802" max="1802" width="8.5703125" style="102" customWidth="1"/>
    <col min="1803" max="1803" width="18.5703125" style="102" customWidth="1"/>
    <col min="1804" max="2048" width="9.28515625" style="102"/>
    <col min="2049" max="2049" width="5.42578125" style="102" customWidth="1"/>
    <col min="2050" max="2050" width="42.85546875" style="102" customWidth="1"/>
    <col min="2051" max="2051" width="7.28515625" style="102" customWidth="1"/>
    <col min="2052" max="2052" width="20.28515625" style="102" customWidth="1"/>
    <col min="2053" max="2053" width="14.5703125" style="102" customWidth="1"/>
    <col min="2054" max="2054" width="11.7109375" style="102" customWidth="1"/>
    <col min="2055" max="2055" width="17.5703125" style="102" customWidth="1"/>
    <col min="2056" max="2056" width="8.28515625" style="102" customWidth="1"/>
    <col min="2057" max="2057" width="16.28515625" style="102" customWidth="1"/>
    <col min="2058" max="2058" width="8.5703125" style="102" customWidth="1"/>
    <col min="2059" max="2059" width="18.5703125" style="102" customWidth="1"/>
    <col min="2060" max="2304" width="9.28515625" style="102"/>
    <col min="2305" max="2305" width="5.42578125" style="102" customWidth="1"/>
    <col min="2306" max="2306" width="42.85546875" style="102" customWidth="1"/>
    <col min="2307" max="2307" width="7.28515625" style="102" customWidth="1"/>
    <col min="2308" max="2308" width="20.28515625" style="102" customWidth="1"/>
    <col min="2309" max="2309" width="14.5703125" style="102" customWidth="1"/>
    <col min="2310" max="2310" width="11.7109375" style="102" customWidth="1"/>
    <col min="2311" max="2311" width="17.5703125" style="102" customWidth="1"/>
    <col min="2312" max="2312" width="8.28515625" style="102" customWidth="1"/>
    <col min="2313" max="2313" width="16.28515625" style="102" customWidth="1"/>
    <col min="2314" max="2314" width="8.5703125" style="102" customWidth="1"/>
    <col min="2315" max="2315" width="18.5703125" style="102" customWidth="1"/>
    <col min="2316" max="2560" width="9.28515625" style="102"/>
    <col min="2561" max="2561" width="5.42578125" style="102" customWidth="1"/>
    <col min="2562" max="2562" width="42.85546875" style="102" customWidth="1"/>
    <col min="2563" max="2563" width="7.28515625" style="102" customWidth="1"/>
    <col min="2564" max="2564" width="20.28515625" style="102" customWidth="1"/>
    <col min="2565" max="2565" width="14.5703125" style="102" customWidth="1"/>
    <col min="2566" max="2566" width="11.7109375" style="102" customWidth="1"/>
    <col min="2567" max="2567" width="17.5703125" style="102" customWidth="1"/>
    <col min="2568" max="2568" width="8.28515625" style="102" customWidth="1"/>
    <col min="2569" max="2569" width="16.28515625" style="102" customWidth="1"/>
    <col min="2570" max="2570" width="8.5703125" style="102" customWidth="1"/>
    <col min="2571" max="2571" width="18.5703125" style="102" customWidth="1"/>
    <col min="2572" max="2816" width="9.28515625" style="102"/>
    <col min="2817" max="2817" width="5.42578125" style="102" customWidth="1"/>
    <col min="2818" max="2818" width="42.85546875" style="102" customWidth="1"/>
    <col min="2819" max="2819" width="7.28515625" style="102" customWidth="1"/>
    <col min="2820" max="2820" width="20.28515625" style="102" customWidth="1"/>
    <col min="2821" max="2821" width="14.5703125" style="102" customWidth="1"/>
    <col min="2822" max="2822" width="11.7109375" style="102" customWidth="1"/>
    <col min="2823" max="2823" width="17.5703125" style="102" customWidth="1"/>
    <col min="2824" max="2824" width="8.28515625" style="102" customWidth="1"/>
    <col min="2825" max="2825" width="16.28515625" style="102" customWidth="1"/>
    <col min="2826" max="2826" width="8.5703125" style="102" customWidth="1"/>
    <col min="2827" max="2827" width="18.5703125" style="102" customWidth="1"/>
    <col min="2828" max="3072" width="9.28515625" style="102"/>
    <col min="3073" max="3073" width="5.42578125" style="102" customWidth="1"/>
    <col min="3074" max="3074" width="42.85546875" style="102" customWidth="1"/>
    <col min="3075" max="3075" width="7.28515625" style="102" customWidth="1"/>
    <col min="3076" max="3076" width="20.28515625" style="102" customWidth="1"/>
    <col min="3077" max="3077" width="14.5703125" style="102" customWidth="1"/>
    <col min="3078" max="3078" width="11.7109375" style="102" customWidth="1"/>
    <col min="3079" max="3079" width="17.5703125" style="102" customWidth="1"/>
    <col min="3080" max="3080" width="8.28515625" style="102" customWidth="1"/>
    <col min="3081" max="3081" width="16.28515625" style="102" customWidth="1"/>
    <col min="3082" max="3082" width="8.5703125" style="102" customWidth="1"/>
    <col min="3083" max="3083" width="18.5703125" style="102" customWidth="1"/>
    <col min="3084" max="3328" width="9.28515625" style="102"/>
    <col min="3329" max="3329" width="5.42578125" style="102" customWidth="1"/>
    <col min="3330" max="3330" width="42.85546875" style="102" customWidth="1"/>
    <col min="3331" max="3331" width="7.28515625" style="102" customWidth="1"/>
    <col min="3332" max="3332" width="20.28515625" style="102" customWidth="1"/>
    <col min="3333" max="3333" width="14.5703125" style="102" customWidth="1"/>
    <col min="3334" max="3334" width="11.7109375" style="102" customWidth="1"/>
    <col min="3335" max="3335" width="17.5703125" style="102" customWidth="1"/>
    <col min="3336" max="3336" width="8.28515625" style="102" customWidth="1"/>
    <col min="3337" max="3337" width="16.28515625" style="102" customWidth="1"/>
    <col min="3338" max="3338" width="8.5703125" style="102" customWidth="1"/>
    <col min="3339" max="3339" width="18.5703125" style="102" customWidth="1"/>
    <col min="3340" max="3584" width="9.28515625" style="102"/>
    <col min="3585" max="3585" width="5.42578125" style="102" customWidth="1"/>
    <col min="3586" max="3586" width="42.85546875" style="102" customWidth="1"/>
    <col min="3587" max="3587" width="7.28515625" style="102" customWidth="1"/>
    <col min="3588" max="3588" width="20.28515625" style="102" customWidth="1"/>
    <col min="3589" max="3589" width="14.5703125" style="102" customWidth="1"/>
    <col min="3590" max="3590" width="11.7109375" style="102" customWidth="1"/>
    <col min="3591" max="3591" width="17.5703125" style="102" customWidth="1"/>
    <col min="3592" max="3592" width="8.28515625" style="102" customWidth="1"/>
    <col min="3593" max="3593" width="16.28515625" style="102" customWidth="1"/>
    <col min="3594" max="3594" width="8.5703125" style="102" customWidth="1"/>
    <col min="3595" max="3595" width="18.5703125" style="102" customWidth="1"/>
    <col min="3596" max="3840" width="9.28515625" style="102"/>
    <col min="3841" max="3841" width="5.42578125" style="102" customWidth="1"/>
    <col min="3842" max="3842" width="42.85546875" style="102" customWidth="1"/>
    <col min="3843" max="3843" width="7.28515625" style="102" customWidth="1"/>
    <col min="3844" max="3844" width="20.28515625" style="102" customWidth="1"/>
    <col min="3845" max="3845" width="14.5703125" style="102" customWidth="1"/>
    <col min="3846" max="3846" width="11.7109375" style="102" customWidth="1"/>
    <col min="3847" max="3847" width="17.5703125" style="102" customWidth="1"/>
    <col min="3848" max="3848" width="8.28515625" style="102" customWidth="1"/>
    <col min="3849" max="3849" width="16.28515625" style="102" customWidth="1"/>
    <col min="3850" max="3850" width="8.5703125" style="102" customWidth="1"/>
    <col min="3851" max="3851" width="18.5703125" style="102" customWidth="1"/>
    <col min="3852" max="4096" width="9.28515625" style="102"/>
    <col min="4097" max="4097" width="5.42578125" style="102" customWidth="1"/>
    <col min="4098" max="4098" width="42.85546875" style="102" customWidth="1"/>
    <col min="4099" max="4099" width="7.28515625" style="102" customWidth="1"/>
    <col min="4100" max="4100" width="20.28515625" style="102" customWidth="1"/>
    <col min="4101" max="4101" width="14.5703125" style="102" customWidth="1"/>
    <col min="4102" max="4102" width="11.7109375" style="102" customWidth="1"/>
    <col min="4103" max="4103" width="17.5703125" style="102" customWidth="1"/>
    <col min="4104" max="4104" width="8.28515625" style="102" customWidth="1"/>
    <col min="4105" max="4105" width="16.28515625" style="102" customWidth="1"/>
    <col min="4106" max="4106" width="8.5703125" style="102" customWidth="1"/>
    <col min="4107" max="4107" width="18.5703125" style="102" customWidth="1"/>
    <col min="4108" max="4352" width="9.28515625" style="102"/>
    <col min="4353" max="4353" width="5.42578125" style="102" customWidth="1"/>
    <col min="4354" max="4354" width="42.85546875" style="102" customWidth="1"/>
    <col min="4355" max="4355" width="7.28515625" style="102" customWidth="1"/>
    <col min="4356" max="4356" width="20.28515625" style="102" customWidth="1"/>
    <col min="4357" max="4357" width="14.5703125" style="102" customWidth="1"/>
    <col min="4358" max="4358" width="11.7109375" style="102" customWidth="1"/>
    <col min="4359" max="4359" width="17.5703125" style="102" customWidth="1"/>
    <col min="4360" max="4360" width="8.28515625" style="102" customWidth="1"/>
    <col min="4361" max="4361" width="16.28515625" style="102" customWidth="1"/>
    <col min="4362" max="4362" width="8.5703125" style="102" customWidth="1"/>
    <col min="4363" max="4363" width="18.5703125" style="102" customWidth="1"/>
    <col min="4364" max="4608" width="9.28515625" style="102"/>
    <col min="4609" max="4609" width="5.42578125" style="102" customWidth="1"/>
    <col min="4610" max="4610" width="42.85546875" style="102" customWidth="1"/>
    <col min="4611" max="4611" width="7.28515625" style="102" customWidth="1"/>
    <col min="4612" max="4612" width="20.28515625" style="102" customWidth="1"/>
    <col min="4613" max="4613" width="14.5703125" style="102" customWidth="1"/>
    <col min="4614" max="4614" width="11.7109375" style="102" customWidth="1"/>
    <col min="4615" max="4615" width="17.5703125" style="102" customWidth="1"/>
    <col min="4616" max="4616" width="8.28515625" style="102" customWidth="1"/>
    <col min="4617" max="4617" width="16.28515625" style="102" customWidth="1"/>
    <col min="4618" max="4618" width="8.5703125" style="102" customWidth="1"/>
    <col min="4619" max="4619" width="18.5703125" style="102" customWidth="1"/>
    <col min="4620" max="4864" width="9.28515625" style="102"/>
    <col min="4865" max="4865" width="5.42578125" style="102" customWidth="1"/>
    <col min="4866" max="4866" width="42.85546875" style="102" customWidth="1"/>
    <col min="4867" max="4867" width="7.28515625" style="102" customWidth="1"/>
    <col min="4868" max="4868" width="20.28515625" style="102" customWidth="1"/>
    <col min="4869" max="4869" width="14.5703125" style="102" customWidth="1"/>
    <col min="4870" max="4870" width="11.7109375" style="102" customWidth="1"/>
    <col min="4871" max="4871" width="17.5703125" style="102" customWidth="1"/>
    <col min="4872" max="4872" width="8.28515625" style="102" customWidth="1"/>
    <col min="4873" max="4873" width="16.28515625" style="102" customWidth="1"/>
    <col min="4874" max="4874" width="8.5703125" style="102" customWidth="1"/>
    <col min="4875" max="4875" width="18.5703125" style="102" customWidth="1"/>
    <col min="4876" max="5120" width="9.28515625" style="102"/>
    <col min="5121" max="5121" width="5.42578125" style="102" customWidth="1"/>
    <col min="5122" max="5122" width="42.85546875" style="102" customWidth="1"/>
    <col min="5123" max="5123" width="7.28515625" style="102" customWidth="1"/>
    <col min="5124" max="5124" width="20.28515625" style="102" customWidth="1"/>
    <col min="5125" max="5125" width="14.5703125" style="102" customWidth="1"/>
    <col min="5126" max="5126" width="11.7109375" style="102" customWidth="1"/>
    <col min="5127" max="5127" width="17.5703125" style="102" customWidth="1"/>
    <col min="5128" max="5128" width="8.28515625" style="102" customWidth="1"/>
    <col min="5129" max="5129" width="16.28515625" style="102" customWidth="1"/>
    <col min="5130" max="5130" width="8.5703125" style="102" customWidth="1"/>
    <col min="5131" max="5131" width="18.5703125" style="102" customWidth="1"/>
    <col min="5132" max="5376" width="9.28515625" style="102"/>
    <col min="5377" max="5377" width="5.42578125" style="102" customWidth="1"/>
    <col min="5378" max="5378" width="42.85546875" style="102" customWidth="1"/>
    <col min="5379" max="5379" width="7.28515625" style="102" customWidth="1"/>
    <col min="5380" max="5380" width="20.28515625" style="102" customWidth="1"/>
    <col min="5381" max="5381" width="14.5703125" style="102" customWidth="1"/>
    <col min="5382" max="5382" width="11.7109375" style="102" customWidth="1"/>
    <col min="5383" max="5383" width="17.5703125" style="102" customWidth="1"/>
    <col min="5384" max="5384" width="8.28515625" style="102" customWidth="1"/>
    <col min="5385" max="5385" width="16.28515625" style="102" customWidth="1"/>
    <col min="5386" max="5386" width="8.5703125" style="102" customWidth="1"/>
    <col min="5387" max="5387" width="18.5703125" style="102" customWidth="1"/>
    <col min="5388" max="5632" width="9.28515625" style="102"/>
    <col min="5633" max="5633" width="5.42578125" style="102" customWidth="1"/>
    <col min="5634" max="5634" width="42.85546875" style="102" customWidth="1"/>
    <col min="5635" max="5635" width="7.28515625" style="102" customWidth="1"/>
    <col min="5636" max="5636" width="20.28515625" style="102" customWidth="1"/>
    <col min="5637" max="5637" width="14.5703125" style="102" customWidth="1"/>
    <col min="5638" max="5638" width="11.7109375" style="102" customWidth="1"/>
    <col min="5639" max="5639" width="17.5703125" style="102" customWidth="1"/>
    <col min="5640" max="5640" width="8.28515625" style="102" customWidth="1"/>
    <col min="5641" max="5641" width="16.28515625" style="102" customWidth="1"/>
    <col min="5642" max="5642" width="8.5703125" style="102" customWidth="1"/>
    <col min="5643" max="5643" width="18.5703125" style="102" customWidth="1"/>
    <col min="5644" max="5888" width="9.28515625" style="102"/>
    <col min="5889" max="5889" width="5.42578125" style="102" customWidth="1"/>
    <col min="5890" max="5890" width="42.85546875" style="102" customWidth="1"/>
    <col min="5891" max="5891" width="7.28515625" style="102" customWidth="1"/>
    <col min="5892" max="5892" width="20.28515625" style="102" customWidth="1"/>
    <col min="5893" max="5893" width="14.5703125" style="102" customWidth="1"/>
    <col min="5894" max="5894" width="11.7109375" style="102" customWidth="1"/>
    <col min="5895" max="5895" width="17.5703125" style="102" customWidth="1"/>
    <col min="5896" max="5896" width="8.28515625" style="102" customWidth="1"/>
    <col min="5897" max="5897" width="16.28515625" style="102" customWidth="1"/>
    <col min="5898" max="5898" width="8.5703125" style="102" customWidth="1"/>
    <col min="5899" max="5899" width="18.5703125" style="102" customWidth="1"/>
    <col min="5900" max="6144" width="9.28515625" style="102"/>
    <col min="6145" max="6145" width="5.42578125" style="102" customWidth="1"/>
    <col min="6146" max="6146" width="42.85546875" style="102" customWidth="1"/>
    <col min="6147" max="6147" width="7.28515625" style="102" customWidth="1"/>
    <col min="6148" max="6148" width="20.28515625" style="102" customWidth="1"/>
    <col min="6149" max="6149" width="14.5703125" style="102" customWidth="1"/>
    <col min="6150" max="6150" width="11.7109375" style="102" customWidth="1"/>
    <col min="6151" max="6151" width="17.5703125" style="102" customWidth="1"/>
    <col min="6152" max="6152" width="8.28515625" style="102" customWidth="1"/>
    <col min="6153" max="6153" width="16.28515625" style="102" customWidth="1"/>
    <col min="6154" max="6154" width="8.5703125" style="102" customWidth="1"/>
    <col min="6155" max="6155" width="18.5703125" style="102" customWidth="1"/>
    <col min="6156" max="6400" width="9.28515625" style="102"/>
    <col min="6401" max="6401" width="5.42578125" style="102" customWidth="1"/>
    <col min="6402" max="6402" width="42.85546875" style="102" customWidth="1"/>
    <col min="6403" max="6403" width="7.28515625" style="102" customWidth="1"/>
    <col min="6404" max="6404" width="20.28515625" style="102" customWidth="1"/>
    <col min="6405" max="6405" width="14.5703125" style="102" customWidth="1"/>
    <col min="6406" max="6406" width="11.7109375" style="102" customWidth="1"/>
    <col min="6407" max="6407" width="17.5703125" style="102" customWidth="1"/>
    <col min="6408" max="6408" width="8.28515625" style="102" customWidth="1"/>
    <col min="6409" max="6409" width="16.28515625" style="102" customWidth="1"/>
    <col min="6410" max="6410" width="8.5703125" style="102" customWidth="1"/>
    <col min="6411" max="6411" width="18.5703125" style="102" customWidth="1"/>
    <col min="6412" max="6656" width="9.28515625" style="102"/>
    <col min="6657" max="6657" width="5.42578125" style="102" customWidth="1"/>
    <col min="6658" max="6658" width="42.85546875" style="102" customWidth="1"/>
    <col min="6659" max="6659" width="7.28515625" style="102" customWidth="1"/>
    <col min="6660" max="6660" width="20.28515625" style="102" customWidth="1"/>
    <col min="6661" max="6661" width="14.5703125" style="102" customWidth="1"/>
    <col min="6662" max="6662" width="11.7109375" style="102" customWidth="1"/>
    <col min="6663" max="6663" width="17.5703125" style="102" customWidth="1"/>
    <col min="6664" max="6664" width="8.28515625" style="102" customWidth="1"/>
    <col min="6665" max="6665" width="16.28515625" style="102" customWidth="1"/>
    <col min="6666" max="6666" width="8.5703125" style="102" customWidth="1"/>
    <col min="6667" max="6667" width="18.5703125" style="102" customWidth="1"/>
    <col min="6668" max="6912" width="9.28515625" style="102"/>
    <col min="6913" max="6913" width="5.42578125" style="102" customWidth="1"/>
    <col min="6914" max="6914" width="42.85546875" style="102" customWidth="1"/>
    <col min="6915" max="6915" width="7.28515625" style="102" customWidth="1"/>
    <col min="6916" max="6916" width="20.28515625" style="102" customWidth="1"/>
    <col min="6917" max="6917" width="14.5703125" style="102" customWidth="1"/>
    <col min="6918" max="6918" width="11.7109375" style="102" customWidth="1"/>
    <col min="6919" max="6919" width="17.5703125" style="102" customWidth="1"/>
    <col min="6920" max="6920" width="8.28515625" style="102" customWidth="1"/>
    <col min="6921" max="6921" width="16.28515625" style="102" customWidth="1"/>
    <col min="6922" max="6922" width="8.5703125" style="102" customWidth="1"/>
    <col min="6923" max="6923" width="18.5703125" style="102" customWidth="1"/>
    <col min="6924" max="7168" width="9.28515625" style="102"/>
    <col min="7169" max="7169" width="5.42578125" style="102" customWidth="1"/>
    <col min="7170" max="7170" width="42.85546875" style="102" customWidth="1"/>
    <col min="7171" max="7171" width="7.28515625" style="102" customWidth="1"/>
    <col min="7172" max="7172" width="20.28515625" style="102" customWidth="1"/>
    <col min="7173" max="7173" width="14.5703125" style="102" customWidth="1"/>
    <col min="7174" max="7174" width="11.7109375" style="102" customWidth="1"/>
    <col min="7175" max="7175" width="17.5703125" style="102" customWidth="1"/>
    <col min="7176" max="7176" width="8.28515625" style="102" customWidth="1"/>
    <col min="7177" max="7177" width="16.28515625" style="102" customWidth="1"/>
    <col min="7178" max="7178" width="8.5703125" style="102" customWidth="1"/>
    <col min="7179" max="7179" width="18.5703125" style="102" customWidth="1"/>
    <col min="7180" max="7424" width="9.28515625" style="102"/>
    <col min="7425" max="7425" width="5.42578125" style="102" customWidth="1"/>
    <col min="7426" max="7426" width="42.85546875" style="102" customWidth="1"/>
    <col min="7427" max="7427" width="7.28515625" style="102" customWidth="1"/>
    <col min="7428" max="7428" width="20.28515625" style="102" customWidth="1"/>
    <col min="7429" max="7429" width="14.5703125" style="102" customWidth="1"/>
    <col min="7430" max="7430" width="11.7109375" style="102" customWidth="1"/>
    <col min="7431" max="7431" width="17.5703125" style="102" customWidth="1"/>
    <col min="7432" max="7432" width="8.28515625" style="102" customWidth="1"/>
    <col min="7433" max="7433" width="16.28515625" style="102" customWidth="1"/>
    <col min="7434" max="7434" width="8.5703125" style="102" customWidth="1"/>
    <col min="7435" max="7435" width="18.5703125" style="102" customWidth="1"/>
    <col min="7436" max="7680" width="9.28515625" style="102"/>
    <col min="7681" max="7681" width="5.42578125" style="102" customWidth="1"/>
    <col min="7682" max="7682" width="42.85546875" style="102" customWidth="1"/>
    <col min="7683" max="7683" width="7.28515625" style="102" customWidth="1"/>
    <col min="7684" max="7684" width="20.28515625" style="102" customWidth="1"/>
    <col min="7685" max="7685" width="14.5703125" style="102" customWidth="1"/>
    <col min="7686" max="7686" width="11.7109375" style="102" customWidth="1"/>
    <col min="7687" max="7687" width="17.5703125" style="102" customWidth="1"/>
    <col min="7688" max="7688" width="8.28515625" style="102" customWidth="1"/>
    <col min="7689" max="7689" width="16.28515625" style="102" customWidth="1"/>
    <col min="7690" max="7690" width="8.5703125" style="102" customWidth="1"/>
    <col min="7691" max="7691" width="18.5703125" style="102" customWidth="1"/>
    <col min="7692" max="7936" width="9.28515625" style="102"/>
    <col min="7937" max="7937" width="5.42578125" style="102" customWidth="1"/>
    <col min="7938" max="7938" width="42.85546875" style="102" customWidth="1"/>
    <col min="7939" max="7939" width="7.28515625" style="102" customWidth="1"/>
    <col min="7940" max="7940" width="20.28515625" style="102" customWidth="1"/>
    <col min="7941" max="7941" width="14.5703125" style="102" customWidth="1"/>
    <col min="7942" max="7942" width="11.7109375" style="102" customWidth="1"/>
    <col min="7943" max="7943" width="17.5703125" style="102" customWidth="1"/>
    <col min="7944" max="7944" width="8.28515625" style="102" customWidth="1"/>
    <col min="7945" max="7945" width="16.28515625" style="102" customWidth="1"/>
    <col min="7946" max="7946" width="8.5703125" style="102" customWidth="1"/>
    <col min="7947" max="7947" width="18.5703125" style="102" customWidth="1"/>
    <col min="7948" max="8192" width="9.28515625" style="102"/>
    <col min="8193" max="8193" width="5.42578125" style="102" customWidth="1"/>
    <col min="8194" max="8194" width="42.85546875" style="102" customWidth="1"/>
    <col min="8195" max="8195" width="7.28515625" style="102" customWidth="1"/>
    <col min="8196" max="8196" width="20.28515625" style="102" customWidth="1"/>
    <col min="8197" max="8197" width="14.5703125" style="102" customWidth="1"/>
    <col min="8198" max="8198" width="11.7109375" style="102" customWidth="1"/>
    <col min="8199" max="8199" width="17.5703125" style="102" customWidth="1"/>
    <col min="8200" max="8200" width="8.28515625" style="102" customWidth="1"/>
    <col min="8201" max="8201" width="16.28515625" style="102" customWidth="1"/>
    <col min="8202" max="8202" width="8.5703125" style="102" customWidth="1"/>
    <col min="8203" max="8203" width="18.5703125" style="102" customWidth="1"/>
    <col min="8204" max="8448" width="9.28515625" style="102"/>
    <col min="8449" max="8449" width="5.42578125" style="102" customWidth="1"/>
    <col min="8450" max="8450" width="42.85546875" style="102" customWidth="1"/>
    <col min="8451" max="8451" width="7.28515625" style="102" customWidth="1"/>
    <col min="8452" max="8452" width="20.28515625" style="102" customWidth="1"/>
    <col min="8453" max="8453" width="14.5703125" style="102" customWidth="1"/>
    <col min="8454" max="8454" width="11.7109375" style="102" customWidth="1"/>
    <col min="8455" max="8455" width="17.5703125" style="102" customWidth="1"/>
    <col min="8456" max="8456" width="8.28515625" style="102" customWidth="1"/>
    <col min="8457" max="8457" width="16.28515625" style="102" customWidth="1"/>
    <col min="8458" max="8458" width="8.5703125" style="102" customWidth="1"/>
    <col min="8459" max="8459" width="18.5703125" style="102" customWidth="1"/>
    <col min="8460" max="8704" width="9.28515625" style="102"/>
    <col min="8705" max="8705" width="5.42578125" style="102" customWidth="1"/>
    <col min="8706" max="8706" width="42.85546875" style="102" customWidth="1"/>
    <col min="8707" max="8707" width="7.28515625" style="102" customWidth="1"/>
    <col min="8708" max="8708" width="20.28515625" style="102" customWidth="1"/>
    <col min="8709" max="8709" width="14.5703125" style="102" customWidth="1"/>
    <col min="8710" max="8710" width="11.7109375" style="102" customWidth="1"/>
    <col min="8711" max="8711" width="17.5703125" style="102" customWidth="1"/>
    <col min="8712" max="8712" width="8.28515625" style="102" customWidth="1"/>
    <col min="8713" max="8713" width="16.28515625" style="102" customWidth="1"/>
    <col min="8714" max="8714" width="8.5703125" style="102" customWidth="1"/>
    <col min="8715" max="8715" width="18.5703125" style="102" customWidth="1"/>
    <col min="8716" max="8960" width="9.28515625" style="102"/>
    <col min="8961" max="8961" width="5.42578125" style="102" customWidth="1"/>
    <col min="8962" max="8962" width="42.85546875" style="102" customWidth="1"/>
    <col min="8963" max="8963" width="7.28515625" style="102" customWidth="1"/>
    <col min="8964" max="8964" width="20.28515625" style="102" customWidth="1"/>
    <col min="8965" max="8965" width="14.5703125" style="102" customWidth="1"/>
    <col min="8966" max="8966" width="11.7109375" style="102" customWidth="1"/>
    <col min="8967" max="8967" width="17.5703125" style="102" customWidth="1"/>
    <col min="8968" max="8968" width="8.28515625" style="102" customWidth="1"/>
    <col min="8969" max="8969" width="16.28515625" style="102" customWidth="1"/>
    <col min="8970" max="8970" width="8.5703125" style="102" customWidth="1"/>
    <col min="8971" max="8971" width="18.5703125" style="102" customWidth="1"/>
    <col min="8972" max="9216" width="9.28515625" style="102"/>
    <col min="9217" max="9217" width="5.42578125" style="102" customWidth="1"/>
    <col min="9218" max="9218" width="42.85546875" style="102" customWidth="1"/>
    <col min="9219" max="9219" width="7.28515625" style="102" customWidth="1"/>
    <col min="9220" max="9220" width="20.28515625" style="102" customWidth="1"/>
    <col min="9221" max="9221" width="14.5703125" style="102" customWidth="1"/>
    <col min="9222" max="9222" width="11.7109375" style="102" customWidth="1"/>
    <col min="9223" max="9223" width="17.5703125" style="102" customWidth="1"/>
    <col min="9224" max="9224" width="8.28515625" style="102" customWidth="1"/>
    <col min="9225" max="9225" width="16.28515625" style="102" customWidth="1"/>
    <col min="9226" max="9226" width="8.5703125" style="102" customWidth="1"/>
    <col min="9227" max="9227" width="18.5703125" style="102" customWidth="1"/>
    <col min="9228" max="9472" width="9.28515625" style="102"/>
    <col min="9473" max="9473" width="5.42578125" style="102" customWidth="1"/>
    <col min="9474" max="9474" width="42.85546875" style="102" customWidth="1"/>
    <col min="9475" max="9475" width="7.28515625" style="102" customWidth="1"/>
    <col min="9476" max="9476" width="20.28515625" style="102" customWidth="1"/>
    <col min="9477" max="9477" width="14.5703125" style="102" customWidth="1"/>
    <col min="9478" max="9478" width="11.7109375" style="102" customWidth="1"/>
    <col min="9479" max="9479" width="17.5703125" style="102" customWidth="1"/>
    <col min="9480" max="9480" width="8.28515625" style="102" customWidth="1"/>
    <col min="9481" max="9481" width="16.28515625" style="102" customWidth="1"/>
    <col min="9482" max="9482" width="8.5703125" style="102" customWidth="1"/>
    <col min="9483" max="9483" width="18.5703125" style="102" customWidth="1"/>
    <col min="9484" max="9728" width="9.28515625" style="102"/>
    <col min="9729" max="9729" width="5.42578125" style="102" customWidth="1"/>
    <col min="9730" max="9730" width="42.85546875" style="102" customWidth="1"/>
    <col min="9731" max="9731" width="7.28515625" style="102" customWidth="1"/>
    <col min="9732" max="9732" width="20.28515625" style="102" customWidth="1"/>
    <col min="9733" max="9733" width="14.5703125" style="102" customWidth="1"/>
    <col min="9734" max="9734" width="11.7109375" style="102" customWidth="1"/>
    <col min="9735" max="9735" width="17.5703125" style="102" customWidth="1"/>
    <col min="9736" max="9736" width="8.28515625" style="102" customWidth="1"/>
    <col min="9737" max="9737" width="16.28515625" style="102" customWidth="1"/>
    <col min="9738" max="9738" width="8.5703125" style="102" customWidth="1"/>
    <col min="9739" max="9739" width="18.5703125" style="102" customWidth="1"/>
    <col min="9740" max="9984" width="9.28515625" style="102"/>
    <col min="9985" max="9985" width="5.42578125" style="102" customWidth="1"/>
    <col min="9986" max="9986" width="42.85546875" style="102" customWidth="1"/>
    <col min="9987" max="9987" width="7.28515625" style="102" customWidth="1"/>
    <col min="9988" max="9988" width="20.28515625" style="102" customWidth="1"/>
    <col min="9989" max="9989" width="14.5703125" style="102" customWidth="1"/>
    <col min="9990" max="9990" width="11.7109375" style="102" customWidth="1"/>
    <col min="9991" max="9991" width="17.5703125" style="102" customWidth="1"/>
    <col min="9992" max="9992" width="8.28515625" style="102" customWidth="1"/>
    <col min="9993" max="9993" width="16.28515625" style="102" customWidth="1"/>
    <col min="9994" max="9994" width="8.5703125" style="102" customWidth="1"/>
    <col min="9995" max="9995" width="18.5703125" style="102" customWidth="1"/>
    <col min="9996" max="10240" width="9.28515625" style="102"/>
    <col min="10241" max="10241" width="5.42578125" style="102" customWidth="1"/>
    <col min="10242" max="10242" width="42.85546875" style="102" customWidth="1"/>
    <col min="10243" max="10243" width="7.28515625" style="102" customWidth="1"/>
    <col min="10244" max="10244" width="20.28515625" style="102" customWidth="1"/>
    <col min="10245" max="10245" width="14.5703125" style="102" customWidth="1"/>
    <col min="10246" max="10246" width="11.7109375" style="102" customWidth="1"/>
    <col min="10247" max="10247" width="17.5703125" style="102" customWidth="1"/>
    <col min="10248" max="10248" width="8.28515625" style="102" customWidth="1"/>
    <col min="10249" max="10249" width="16.28515625" style="102" customWidth="1"/>
    <col min="10250" max="10250" width="8.5703125" style="102" customWidth="1"/>
    <col min="10251" max="10251" width="18.5703125" style="102" customWidth="1"/>
    <col min="10252" max="10496" width="9.28515625" style="102"/>
    <col min="10497" max="10497" width="5.42578125" style="102" customWidth="1"/>
    <col min="10498" max="10498" width="42.85546875" style="102" customWidth="1"/>
    <col min="10499" max="10499" width="7.28515625" style="102" customWidth="1"/>
    <col min="10500" max="10500" width="20.28515625" style="102" customWidth="1"/>
    <col min="10501" max="10501" width="14.5703125" style="102" customWidth="1"/>
    <col min="10502" max="10502" width="11.7109375" style="102" customWidth="1"/>
    <col min="10503" max="10503" width="17.5703125" style="102" customWidth="1"/>
    <col min="10504" max="10504" width="8.28515625" style="102" customWidth="1"/>
    <col min="10505" max="10505" width="16.28515625" style="102" customWidth="1"/>
    <col min="10506" max="10506" width="8.5703125" style="102" customWidth="1"/>
    <col min="10507" max="10507" width="18.5703125" style="102" customWidth="1"/>
    <col min="10508" max="10752" width="9.28515625" style="102"/>
    <col min="10753" max="10753" width="5.42578125" style="102" customWidth="1"/>
    <col min="10754" max="10754" width="42.85546875" style="102" customWidth="1"/>
    <col min="10755" max="10755" width="7.28515625" style="102" customWidth="1"/>
    <col min="10756" max="10756" width="20.28515625" style="102" customWidth="1"/>
    <col min="10757" max="10757" width="14.5703125" style="102" customWidth="1"/>
    <col min="10758" max="10758" width="11.7109375" style="102" customWidth="1"/>
    <col min="10759" max="10759" width="17.5703125" style="102" customWidth="1"/>
    <col min="10760" max="10760" width="8.28515625" style="102" customWidth="1"/>
    <col min="10761" max="10761" width="16.28515625" style="102" customWidth="1"/>
    <col min="10762" max="10762" width="8.5703125" style="102" customWidth="1"/>
    <col min="10763" max="10763" width="18.5703125" style="102" customWidth="1"/>
    <col min="10764" max="11008" width="9.28515625" style="102"/>
    <col min="11009" max="11009" width="5.42578125" style="102" customWidth="1"/>
    <col min="11010" max="11010" width="42.85546875" style="102" customWidth="1"/>
    <col min="11011" max="11011" width="7.28515625" style="102" customWidth="1"/>
    <col min="11012" max="11012" width="20.28515625" style="102" customWidth="1"/>
    <col min="11013" max="11013" width="14.5703125" style="102" customWidth="1"/>
    <col min="11014" max="11014" width="11.7109375" style="102" customWidth="1"/>
    <col min="11015" max="11015" width="17.5703125" style="102" customWidth="1"/>
    <col min="11016" max="11016" width="8.28515625" style="102" customWidth="1"/>
    <col min="11017" max="11017" width="16.28515625" style="102" customWidth="1"/>
    <col min="11018" max="11018" width="8.5703125" style="102" customWidth="1"/>
    <col min="11019" max="11019" width="18.5703125" style="102" customWidth="1"/>
    <col min="11020" max="11264" width="9.28515625" style="102"/>
    <col min="11265" max="11265" width="5.42578125" style="102" customWidth="1"/>
    <col min="11266" max="11266" width="42.85546875" style="102" customWidth="1"/>
    <col min="11267" max="11267" width="7.28515625" style="102" customWidth="1"/>
    <col min="11268" max="11268" width="20.28515625" style="102" customWidth="1"/>
    <col min="11269" max="11269" width="14.5703125" style="102" customWidth="1"/>
    <col min="11270" max="11270" width="11.7109375" style="102" customWidth="1"/>
    <col min="11271" max="11271" width="17.5703125" style="102" customWidth="1"/>
    <col min="11272" max="11272" width="8.28515625" style="102" customWidth="1"/>
    <col min="11273" max="11273" width="16.28515625" style="102" customWidth="1"/>
    <col min="11274" max="11274" width="8.5703125" style="102" customWidth="1"/>
    <col min="11275" max="11275" width="18.5703125" style="102" customWidth="1"/>
    <col min="11276" max="11520" width="9.28515625" style="102"/>
    <col min="11521" max="11521" width="5.42578125" style="102" customWidth="1"/>
    <col min="11522" max="11522" width="42.85546875" style="102" customWidth="1"/>
    <col min="11523" max="11523" width="7.28515625" style="102" customWidth="1"/>
    <col min="11524" max="11524" width="20.28515625" style="102" customWidth="1"/>
    <col min="11525" max="11525" width="14.5703125" style="102" customWidth="1"/>
    <col min="11526" max="11526" width="11.7109375" style="102" customWidth="1"/>
    <col min="11527" max="11527" width="17.5703125" style="102" customWidth="1"/>
    <col min="11528" max="11528" width="8.28515625" style="102" customWidth="1"/>
    <col min="11529" max="11529" width="16.28515625" style="102" customWidth="1"/>
    <col min="11530" max="11530" width="8.5703125" style="102" customWidth="1"/>
    <col min="11531" max="11531" width="18.5703125" style="102" customWidth="1"/>
    <col min="11532" max="11776" width="9.28515625" style="102"/>
    <col min="11777" max="11777" width="5.42578125" style="102" customWidth="1"/>
    <col min="11778" max="11778" width="42.85546875" style="102" customWidth="1"/>
    <col min="11779" max="11779" width="7.28515625" style="102" customWidth="1"/>
    <col min="11780" max="11780" width="20.28515625" style="102" customWidth="1"/>
    <col min="11781" max="11781" width="14.5703125" style="102" customWidth="1"/>
    <col min="11782" max="11782" width="11.7109375" style="102" customWidth="1"/>
    <col min="11783" max="11783" width="17.5703125" style="102" customWidth="1"/>
    <col min="11784" max="11784" width="8.28515625" style="102" customWidth="1"/>
    <col min="11785" max="11785" width="16.28515625" style="102" customWidth="1"/>
    <col min="11786" max="11786" width="8.5703125" style="102" customWidth="1"/>
    <col min="11787" max="11787" width="18.5703125" style="102" customWidth="1"/>
    <col min="11788" max="12032" width="9.28515625" style="102"/>
    <col min="12033" max="12033" width="5.42578125" style="102" customWidth="1"/>
    <col min="12034" max="12034" width="42.85546875" style="102" customWidth="1"/>
    <col min="12035" max="12035" width="7.28515625" style="102" customWidth="1"/>
    <col min="12036" max="12036" width="20.28515625" style="102" customWidth="1"/>
    <col min="12037" max="12037" width="14.5703125" style="102" customWidth="1"/>
    <col min="12038" max="12038" width="11.7109375" style="102" customWidth="1"/>
    <col min="12039" max="12039" width="17.5703125" style="102" customWidth="1"/>
    <col min="12040" max="12040" width="8.28515625" style="102" customWidth="1"/>
    <col min="12041" max="12041" width="16.28515625" style="102" customWidth="1"/>
    <col min="12042" max="12042" width="8.5703125" style="102" customWidth="1"/>
    <col min="12043" max="12043" width="18.5703125" style="102" customWidth="1"/>
    <col min="12044" max="12288" width="9.28515625" style="102"/>
    <col min="12289" max="12289" width="5.42578125" style="102" customWidth="1"/>
    <col min="12290" max="12290" width="42.85546875" style="102" customWidth="1"/>
    <col min="12291" max="12291" width="7.28515625" style="102" customWidth="1"/>
    <col min="12292" max="12292" width="20.28515625" style="102" customWidth="1"/>
    <col min="12293" max="12293" width="14.5703125" style="102" customWidth="1"/>
    <col min="12294" max="12294" width="11.7109375" style="102" customWidth="1"/>
    <col min="12295" max="12295" width="17.5703125" style="102" customWidth="1"/>
    <col min="12296" max="12296" width="8.28515625" style="102" customWidth="1"/>
    <col min="12297" max="12297" width="16.28515625" style="102" customWidth="1"/>
    <col min="12298" max="12298" width="8.5703125" style="102" customWidth="1"/>
    <col min="12299" max="12299" width="18.5703125" style="102" customWidth="1"/>
    <col min="12300" max="12544" width="9.28515625" style="102"/>
    <col min="12545" max="12545" width="5.42578125" style="102" customWidth="1"/>
    <col min="12546" max="12546" width="42.85546875" style="102" customWidth="1"/>
    <col min="12547" max="12547" width="7.28515625" style="102" customWidth="1"/>
    <col min="12548" max="12548" width="20.28515625" style="102" customWidth="1"/>
    <col min="12549" max="12549" width="14.5703125" style="102" customWidth="1"/>
    <col min="12550" max="12550" width="11.7109375" style="102" customWidth="1"/>
    <col min="12551" max="12551" width="17.5703125" style="102" customWidth="1"/>
    <col min="12552" max="12552" width="8.28515625" style="102" customWidth="1"/>
    <col min="12553" max="12553" width="16.28515625" style="102" customWidth="1"/>
    <col min="12554" max="12554" width="8.5703125" style="102" customWidth="1"/>
    <col min="12555" max="12555" width="18.5703125" style="102" customWidth="1"/>
    <col min="12556" max="12800" width="9.28515625" style="102"/>
    <col min="12801" max="12801" width="5.42578125" style="102" customWidth="1"/>
    <col min="12802" max="12802" width="42.85546875" style="102" customWidth="1"/>
    <col min="12803" max="12803" width="7.28515625" style="102" customWidth="1"/>
    <col min="12804" max="12804" width="20.28515625" style="102" customWidth="1"/>
    <col min="12805" max="12805" width="14.5703125" style="102" customWidth="1"/>
    <col min="12806" max="12806" width="11.7109375" style="102" customWidth="1"/>
    <col min="12807" max="12807" width="17.5703125" style="102" customWidth="1"/>
    <col min="12808" max="12808" width="8.28515625" style="102" customWidth="1"/>
    <col min="12809" max="12809" width="16.28515625" style="102" customWidth="1"/>
    <col min="12810" max="12810" width="8.5703125" style="102" customWidth="1"/>
    <col min="12811" max="12811" width="18.5703125" style="102" customWidth="1"/>
    <col min="12812" max="13056" width="9.28515625" style="102"/>
    <col min="13057" max="13057" width="5.42578125" style="102" customWidth="1"/>
    <col min="13058" max="13058" width="42.85546875" style="102" customWidth="1"/>
    <col min="13059" max="13059" width="7.28515625" style="102" customWidth="1"/>
    <col min="13060" max="13060" width="20.28515625" style="102" customWidth="1"/>
    <col min="13061" max="13061" width="14.5703125" style="102" customWidth="1"/>
    <col min="13062" max="13062" width="11.7109375" style="102" customWidth="1"/>
    <col min="13063" max="13063" width="17.5703125" style="102" customWidth="1"/>
    <col min="13064" max="13064" width="8.28515625" style="102" customWidth="1"/>
    <col min="13065" max="13065" width="16.28515625" style="102" customWidth="1"/>
    <col min="13066" max="13066" width="8.5703125" style="102" customWidth="1"/>
    <col min="13067" max="13067" width="18.5703125" style="102" customWidth="1"/>
    <col min="13068" max="13312" width="9.28515625" style="102"/>
    <col min="13313" max="13313" width="5.42578125" style="102" customWidth="1"/>
    <col min="13314" max="13314" width="42.85546875" style="102" customWidth="1"/>
    <col min="13315" max="13315" width="7.28515625" style="102" customWidth="1"/>
    <col min="13316" max="13316" width="20.28515625" style="102" customWidth="1"/>
    <col min="13317" max="13317" width="14.5703125" style="102" customWidth="1"/>
    <col min="13318" max="13318" width="11.7109375" style="102" customWidth="1"/>
    <col min="13319" max="13319" width="17.5703125" style="102" customWidth="1"/>
    <col min="13320" max="13320" width="8.28515625" style="102" customWidth="1"/>
    <col min="13321" max="13321" width="16.28515625" style="102" customWidth="1"/>
    <col min="13322" max="13322" width="8.5703125" style="102" customWidth="1"/>
    <col min="13323" max="13323" width="18.5703125" style="102" customWidth="1"/>
    <col min="13324" max="13568" width="9.28515625" style="102"/>
    <col min="13569" max="13569" width="5.42578125" style="102" customWidth="1"/>
    <col min="13570" max="13570" width="42.85546875" style="102" customWidth="1"/>
    <col min="13571" max="13571" width="7.28515625" style="102" customWidth="1"/>
    <col min="13572" max="13572" width="20.28515625" style="102" customWidth="1"/>
    <col min="13573" max="13573" width="14.5703125" style="102" customWidth="1"/>
    <col min="13574" max="13574" width="11.7109375" style="102" customWidth="1"/>
    <col min="13575" max="13575" width="17.5703125" style="102" customWidth="1"/>
    <col min="13576" max="13576" width="8.28515625" style="102" customWidth="1"/>
    <col min="13577" max="13577" width="16.28515625" style="102" customWidth="1"/>
    <col min="13578" max="13578" width="8.5703125" style="102" customWidth="1"/>
    <col min="13579" max="13579" width="18.5703125" style="102" customWidth="1"/>
    <col min="13580" max="13824" width="9.28515625" style="102"/>
    <col min="13825" max="13825" width="5.42578125" style="102" customWidth="1"/>
    <col min="13826" max="13826" width="42.85546875" style="102" customWidth="1"/>
    <col min="13827" max="13827" width="7.28515625" style="102" customWidth="1"/>
    <col min="13828" max="13828" width="20.28515625" style="102" customWidth="1"/>
    <col min="13829" max="13829" width="14.5703125" style="102" customWidth="1"/>
    <col min="13830" max="13830" width="11.7109375" style="102" customWidth="1"/>
    <col min="13831" max="13831" width="17.5703125" style="102" customWidth="1"/>
    <col min="13832" max="13832" width="8.28515625" style="102" customWidth="1"/>
    <col min="13833" max="13833" width="16.28515625" style="102" customWidth="1"/>
    <col min="13834" max="13834" width="8.5703125" style="102" customWidth="1"/>
    <col min="13835" max="13835" width="18.5703125" style="102" customWidth="1"/>
    <col min="13836" max="14080" width="9.28515625" style="102"/>
    <col min="14081" max="14081" width="5.42578125" style="102" customWidth="1"/>
    <col min="14082" max="14082" width="42.85546875" style="102" customWidth="1"/>
    <col min="14083" max="14083" width="7.28515625" style="102" customWidth="1"/>
    <col min="14084" max="14084" width="20.28515625" style="102" customWidth="1"/>
    <col min="14085" max="14085" width="14.5703125" style="102" customWidth="1"/>
    <col min="14086" max="14086" width="11.7109375" style="102" customWidth="1"/>
    <col min="14087" max="14087" width="17.5703125" style="102" customWidth="1"/>
    <col min="14088" max="14088" width="8.28515625" style="102" customWidth="1"/>
    <col min="14089" max="14089" width="16.28515625" style="102" customWidth="1"/>
    <col min="14090" max="14090" width="8.5703125" style="102" customWidth="1"/>
    <col min="14091" max="14091" width="18.5703125" style="102" customWidth="1"/>
    <col min="14092" max="14336" width="9.28515625" style="102"/>
    <col min="14337" max="14337" width="5.42578125" style="102" customWidth="1"/>
    <col min="14338" max="14338" width="42.85546875" style="102" customWidth="1"/>
    <col min="14339" max="14339" width="7.28515625" style="102" customWidth="1"/>
    <col min="14340" max="14340" width="20.28515625" style="102" customWidth="1"/>
    <col min="14341" max="14341" width="14.5703125" style="102" customWidth="1"/>
    <col min="14342" max="14342" width="11.7109375" style="102" customWidth="1"/>
    <col min="14343" max="14343" width="17.5703125" style="102" customWidth="1"/>
    <col min="14344" max="14344" width="8.28515625" style="102" customWidth="1"/>
    <col min="14345" max="14345" width="16.28515625" style="102" customWidth="1"/>
    <col min="14346" max="14346" width="8.5703125" style="102" customWidth="1"/>
    <col min="14347" max="14347" width="18.5703125" style="102" customWidth="1"/>
    <col min="14348" max="14592" width="9.28515625" style="102"/>
    <col min="14593" max="14593" width="5.42578125" style="102" customWidth="1"/>
    <col min="14594" max="14594" width="42.85546875" style="102" customWidth="1"/>
    <col min="14595" max="14595" width="7.28515625" style="102" customWidth="1"/>
    <col min="14596" max="14596" width="20.28515625" style="102" customWidth="1"/>
    <col min="14597" max="14597" width="14.5703125" style="102" customWidth="1"/>
    <col min="14598" max="14598" width="11.7109375" style="102" customWidth="1"/>
    <col min="14599" max="14599" width="17.5703125" style="102" customWidth="1"/>
    <col min="14600" max="14600" width="8.28515625" style="102" customWidth="1"/>
    <col min="14601" max="14601" width="16.28515625" style="102" customWidth="1"/>
    <col min="14602" max="14602" width="8.5703125" style="102" customWidth="1"/>
    <col min="14603" max="14603" width="18.5703125" style="102" customWidth="1"/>
    <col min="14604" max="14848" width="9.28515625" style="102"/>
    <col min="14849" max="14849" width="5.42578125" style="102" customWidth="1"/>
    <col min="14850" max="14850" width="42.85546875" style="102" customWidth="1"/>
    <col min="14851" max="14851" width="7.28515625" style="102" customWidth="1"/>
    <col min="14852" max="14852" width="20.28515625" style="102" customWidth="1"/>
    <col min="14853" max="14853" width="14.5703125" style="102" customWidth="1"/>
    <col min="14854" max="14854" width="11.7109375" style="102" customWidth="1"/>
    <col min="14855" max="14855" width="17.5703125" style="102" customWidth="1"/>
    <col min="14856" max="14856" width="8.28515625" style="102" customWidth="1"/>
    <col min="14857" max="14857" width="16.28515625" style="102" customWidth="1"/>
    <col min="14858" max="14858" width="8.5703125" style="102" customWidth="1"/>
    <col min="14859" max="14859" width="18.5703125" style="102" customWidth="1"/>
    <col min="14860" max="15104" width="9.28515625" style="102"/>
    <col min="15105" max="15105" width="5.42578125" style="102" customWidth="1"/>
    <col min="15106" max="15106" width="42.85546875" style="102" customWidth="1"/>
    <col min="15107" max="15107" width="7.28515625" style="102" customWidth="1"/>
    <col min="15108" max="15108" width="20.28515625" style="102" customWidth="1"/>
    <col min="15109" max="15109" width="14.5703125" style="102" customWidth="1"/>
    <col min="15110" max="15110" width="11.7109375" style="102" customWidth="1"/>
    <col min="15111" max="15111" width="17.5703125" style="102" customWidth="1"/>
    <col min="15112" max="15112" width="8.28515625" style="102" customWidth="1"/>
    <col min="15113" max="15113" width="16.28515625" style="102" customWidth="1"/>
    <col min="15114" max="15114" width="8.5703125" style="102" customWidth="1"/>
    <col min="15115" max="15115" width="18.5703125" style="102" customWidth="1"/>
    <col min="15116" max="15360" width="9.28515625" style="102"/>
    <col min="15361" max="15361" width="5.42578125" style="102" customWidth="1"/>
    <col min="15362" max="15362" width="42.85546875" style="102" customWidth="1"/>
    <col min="15363" max="15363" width="7.28515625" style="102" customWidth="1"/>
    <col min="15364" max="15364" width="20.28515625" style="102" customWidth="1"/>
    <col min="15365" max="15365" width="14.5703125" style="102" customWidth="1"/>
    <col min="15366" max="15366" width="11.7109375" style="102" customWidth="1"/>
    <col min="15367" max="15367" width="17.5703125" style="102" customWidth="1"/>
    <col min="15368" max="15368" width="8.28515625" style="102" customWidth="1"/>
    <col min="15369" max="15369" width="16.28515625" style="102" customWidth="1"/>
    <col min="15370" max="15370" width="8.5703125" style="102" customWidth="1"/>
    <col min="15371" max="15371" width="18.5703125" style="102" customWidth="1"/>
    <col min="15372" max="15616" width="9.28515625" style="102"/>
    <col min="15617" max="15617" width="5.42578125" style="102" customWidth="1"/>
    <col min="15618" max="15618" width="42.85546875" style="102" customWidth="1"/>
    <col min="15619" max="15619" width="7.28515625" style="102" customWidth="1"/>
    <col min="15620" max="15620" width="20.28515625" style="102" customWidth="1"/>
    <col min="15621" max="15621" width="14.5703125" style="102" customWidth="1"/>
    <col min="15622" max="15622" width="11.7109375" style="102" customWidth="1"/>
    <col min="15623" max="15623" width="17.5703125" style="102" customWidth="1"/>
    <col min="15624" max="15624" width="8.28515625" style="102" customWidth="1"/>
    <col min="15625" max="15625" width="16.28515625" style="102" customWidth="1"/>
    <col min="15626" max="15626" width="8.5703125" style="102" customWidth="1"/>
    <col min="15627" max="15627" width="18.5703125" style="102" customWidth="1"/>
    <col min="15628" max="15872" width="9.28515625" style="102"/>
    <col min="15873" max="15873" width="5.42578125" style="102" customWidth="1"/>
    <col min="15874" max="15874" width="42.85546875" style="102" customWidth="1"/>
    <col min="15875" max="15875" width="7.28515625" style="102" customWidth="1"/>
    <col min="15876" max="15876" width="20.28515625" style="102" customWidth="1"/>
    <col min="15877" max="15877" width="14.5703125" style="102" customWidth="1"/>
    <col min="15878" max="15878" width="11.7109375" style="102" customWidth="1"/>
    <col min="15879" max="15879" width="17.5703125" style="102" customWidth="1"/>
    <col min="15880" max="15880" width="8.28515625" style="102" customWidth="1"/>
    <col min="15881" max="15881" width="16.28515625" style="102" customWidth="1"/>
    <col min="15882" max="15882" width="8.5703125" style="102" customWidth="1"/>
    <col min="15883" max="15883" width="18.5703125" style="102" customWidth="1"/>
    <col min="15884" max="16128" width="9.28515625" style="102"/>
    <col min="16129" max="16129" width="5.42578125" style="102" customWidth="1"/>
    <col min="16130" max="16130" width="42.85546875" style="102" customWidth="1"/>
    <col min="16131" max="16131" width="7.28515625" style="102" customWidth="1"/>
    <col min="16132" max="16132" width="20.28515625" style="102" customWidth="1"/>
    <col min="16133" max="16133" width="14.5703125" style="102" customWidth="1"/>
    <col min="16134" max="16134" width="11.7109375" style="102" customWidth="1"/>
    <col min="16135" max="16135" width="17.5703125" style="102" customWidth="1"/>
    <col min="16136" max="16136" width="8.28515625" style="102" customWidth="1"/>
    <col min="16137" max="16137" width="16.28515625" style="102" customWidth="1"/>
    <col min="16138" max="16138" width="8.5703125" style="102" customWidth="1"/>
    <col min="16139" max="16139" width="18.5703125" style="102" customWidth="1"/>
    <col min="16140" max="16384" width="9.28515625" style="102"/>
  </cols>
  <sheetData>
    <row r="1" spans="1:11" ht="24" customHeight="1">
      <c r="B1" s="103"/>
      <c r="C1" s="103"/>
      <c r="D1" s="103"/>
      <c r="E1" s="103"/>
      <c r="F1" s="103"/>
      <c r="G1" s="103"/>
      <c r="H1" s="280" t="s">
        <v>511</v>
      </c>
      <c r="I1" s="280"/>
      <c r="J1" s="280"/>
      <c r="K1" s="280"/>
    </row>
    <row r="2" spans="1:11" ht="26.25" customHeight="1">
      <c r="A2" s="281" t="s">
        <v>652</v>
      </c>
      <c r="B2" s="281"/>
      <c r="C2" s="281"/>
      <c r="D2" s="281"/>
      <c r="E2" s="281"/>
      <c r="F2" s="281"/>
      <c r="G2" s="281"/>
      <c r="H2" s="281"/>
      <c r="I2" s="281"/>
      <c r="J2" s="281"/>
      <c r="K2" s="281"/>
    </row>
    <row r="3" spans="1:11" ht="28.5" customHeight="1">
      <c r="A3" s="282" t="s">
        <v>653</v>
      </c>
      <c r="B3" s="282"/>
      <c r="C3" s="282"/>
      <c r="D3" s="282"/>
      <c r="E3" s="282"/>
      <c r="F3" s="282"/>
      <c r="G3" s="282"/>
      <c r="H3" s="282"/>
      <c r="I3" s="282"/>
      <c r="J3" s="282"/>
      <c r="K3" s="282"/>
    </row>
    <row r="4" spans="1:11" ht="18" customHeight="1">
      <c r="A4" s="283" t="s">
        <v>3</v>
      </c>
      <c r="B4" s="284"/>
      <c r="C4" s="284"/>
      <c r="D4" s="284"/>
      <c r="E4" s="284"/>
      <c r="F4" s="284"/>
      <c r="G4" s="284"/>
      <c r="H4" s="284"/>
      <c r="I4" s="284"/>
      <c r="J4" s="284"/>
      <c r="K4" s="284"/>
    </row>
    <row r="5" spans="1:11">
      <c r="A5" s="104"/>
      <c r="B5" s="105"/>
      <c r="C5" s="105"/>
      <c r="D5" s="106"/>
      <c r="E5" s="106"/>
      <c r="F5" s="105"/>
      <c r="G5" s="105"/>
      <c r="H5" s="105"/>
      <c r="I5" s="105"/>
      <c r="J5" s="105"/>
      <c r="K5" s="105"/>
    </row>
    <row r="6" spans="1:11">
      <c r="A6" s="107">
        <v>1</v>
      </c>
      <c r="B6" s="108" t="s">
        <v>10</v>
      </c>
      <c r="C6" s="108" t="s">
        <v>654</v>
      </c>
      <c r="D6" s="106"/>
      <c r="E6" s="106"/>
      <c r="F6" s="105"/>
      <c r="G6" s="105"/>
      <c r="H6" s="105"/>
      <c r="I6" s="105"/>
      <c r="J6" s="105"/>
      <c r="K6" s="105"/>
    </row>
    <row r="7" spans="1:11">
      <c r="A7" s="107"/>
      <c r="B7" s="109" t="s">
        <v>12</v>
      </c>
      <c r="C7" s="109" t="s">
        <v>13</v>
      </c>
      <c r="D7" s="110"/>
      <c r="E7" s="110"/>
      <c r="F7" s="111"/>
      <c r="G7" s="111"/>
      <c r="H7" s="111"/>
      <c r="I7" s="111"/>
      <c r="J7" s="111"/>
      <c r="K7" s="111"/>
    </row>
    <row r="8" spans="1:11" ht="12.75" customHeight="1">
      <c r="A8" s="112">
        <v>2</v>
      </c>
      <c r="B8" s="113" t="s">
        <v>385</v>
      </c>
      <c r="C8" s="114" t="s">
        <v>607</v>
      </c>
      <c r="D8" s="114"/>
      <c r="E8" s="114"/>
      <c r="F8" s="114"/>
      <c r="G8" s="114"/>
      <c r="H8" s="114"/>
      <c r="I8" s="115"/>
      <c r="J8" s="115"/>
      <c r="K8" s="115"/>
    </row>
    <row r="9" spans="1:11" ht="12.75" customHeight="1">
      <c r="A9" s="112"/>
      <c r="B9" s="116" t="s">
        <v>608</v>
      </c>
      <c r="C9" s="117" t="s">
        <v>602</v>
      </c>
      <c r="D9" s="118"/>
      <c r="E9" s="118"/>
      <c r="F9" s="118"/>
      <c r="G9" s="118"/>
      <c r="H9" s="118"/>
      <c r="I9" s="119"/>
      <c r="J9" s="119"/>
      <c r="K9" s="119"/>
    </row>
    <row r="10" spans="1:11" ht="12.75" customHeight="1">
      <c r="A10" s="112">
        <v>3</v>
      </c>
      <c r="B10" s="113" t="s">
        <v>5</v>
      </c>
      <c r="C10" s="114" t="s">
        <v>609</v>
      </c>
      <c r="D10" s="114"/>
      <c r="E10" s="114"/>
      <c r="F10" s="114"/>
      <c r="G10" s="114"/>
      <c r="H10" s="114"/>
      <c r="I10" s="115"/>
      <c r="J10" s="115"/>
      <c r="K10" s="115"/>
    </row>
    <row r="11" spans="1:11" ht="12.75" customHeight="1">
      <c r="A11" s="112"/>
      <c r="B11" s="116" t="s">
        <v>610</v>
      </c>
      <c r="C11" s="118" t="s">
        <v>611</v>
      </c>
      <c r="D11" s="118"/>
      <c r="E11" s="118"/>
      <c r="F11" s="118"/>
      <c r="G11" s="118"/>
      <c r="H11" s="118"/>
      <c r="I11" s="115"/>
      <c r="J11" s="115"/>
      <c r="K11" s="115"/>
    </row>
    <row r="12" spans="1:11" ht="13.5" customHeight="1">
      <c r="A12" s="112">
        <v>4</v>
      </c>
      <c r="B12" s="113" t="s">
        <v>20</v>
      </c>
      <c r="C12" s="243">
        <v>45359</v>
      </c>
      <c r="D12" s="243"/>
      <c r="E12" s="243"/>
      <c r="F12" s="243"/>
      <c r="G12" s="114"/>
      <c r="H12" s="114"/>
      <c r="I12" s="120"/>
      <c r="J12" s="120"/>
      <c r="K12" s="120"/>
    </row>
    <row r="13" spans="1:11" ht="13.5" customHeight="1">
      <c r="A13" s="118"/>
      <c r="B13" s="116" t="s">
        <v>21</v>
      </c>
      <c r="C13" s="244">
        <f>+C12</f>
        <v>45359</v>
      </c>
      <c r="D13" s="244"/>
      <c r="E13" s="244"/>
      <c r="F13" s="244"/>
      <c r="G13" s="279"/>
      <c r="H13" s="279"/>
      <c r="I13" s="121"/>
      <c r="J13" s="121"/>
      <c r="K13" s="121"/>
    </row>
    <row r="14" spans="1:11">
      <c r="A14" s="122" t="s">
        <v>619</v>
      </c>
      <c r="B14" s="122" t="s">
        <v>655</v>
      </c>
      <c r="C14" s="123"/>
      <c r="D14" s="124"/>
      <c r="E14" s="124"/>
      <c r="F14" s="124"/>
      <c r="G14" s="125"/>
      <c r="H14" s="125"/>
      <c r="I14" s="121"/>
      <c r="J14" s="121"/>
      <c r="K14" s="121"/>
    </row>
    <row r="15" spans="1:11">
      <c r="A15" s="108" t="s">
        <v>343</v>
      </c>
      <c r="B15" s="108" t="s">
        <v>656</v>
      </c>
      <c r="C15" s="126"/>
      <c r="D15" s="127"/>
      <c r="E15" s="127"/>
      <c r="F15" s="128"/>
      <c r="G15" s="128"/>
      <c r="H15" s="128"/>
      <c r="I15" s="128"/>
      <c r="J15" s="128"/>
      <c r="K15" s="128"/>
    </row>
    <row r="16" spans="1:11" ht="24.75" customHeight="1">
      <c r="A16" s="262" t="s">
        <v>388</v>
      </c>
      <c r="B16" s="262" t="s">
        <v>657</v>
      </c>
      <c r="C16" s="277" t="s">
        <v>27</v>
      </c>
      <c r="D16" s="262" t="s">
        <v>658</v>
      </c>
      <c r="E16" s="262" t="s">
        <v>659</v>
      </c>
      <c r="F16" s="262" t="s">
        <v>660</v>
      </c>
      <c r="G16" s="262" t="s">
        <v>661</v>
      </c>
      <c r="H16" s="264" t="s">
        <v>662</v>
      </c>
      <c r="I16" s="265"/>
      <c r="J16" s="264" t="s">
        <v>663</v>
      </c>
      <c r="K16" s="265"/>
    </row>
    <row r="17" spans="1:11" ht="58.5" customHeight="1">
      <c r="A17" s="263"/>
      <c r="B17" s="263"/>
      <c r="C17" s="278"/>
      <c r="D17" s="263"/>
      <c r="E17" s="263"/>
      <c r="F17" s="263"/>
      <c r="G17" s="263"/>
      <c r="H17" s="129" t="s">
        <v>664</v>
      </c>
      <c r="I17" s="129" t="s">
        <v>665</v>
      </c>
      <c r="J17" s="129" t="s">
        <v>666</v>
      </c>
      <c r="K17" s="129" t="s">
        <v>667</v>
      </c>
    </row>
    <row r="18" spans="1:11" ht="21">
      <c r="A18" s="130">
        <v>1</v>
      </c>
      <c r="B18" s="131" t="s">
        <v>668</v>
      </c>
      <c r="C18" s="132" t="s">
        <v>572</v>
      </c>
      <c r="D18" s="266"/>
      <c r="E18" s="267"/>
      <c r="F18" s="267"/>
      <c r="G18" s="267"/>
      <c r="H18" s="267"/>
      <c r="I18" s="267"/>
      <c r="J18" s="267"/>
      <c r="K18" s="268"/>
    </row>
    <row r="19" spans="1:11" ht="21">
      <c r="A19" s="130" t="s">
        <v>31</v>
      </c>
      <c r="B19" s="131" t="s">
        <v>669</v>
      </c>
      <c r="C19" s="132" t="s">
        <v>670</v>
      </c>
      <c r="D19" s="269"/>
      <c r="E19" s="270"/>
      <c r="F19" s="270"/>
      <c r="G19" s="270"/>
      <c r="H19" s="270"/>
      <c r="I19" s="270"/>
      <c r="J19" s="270"/>
      <c r="K19" s="271"/>
    </row>
    <row r="20" spans="1:11" ht="21">
      <c r="A20" s="130">
        <v>2</v>
      </c>
      <c r="B20" s="131" t="s">
        <v>671</v>
      </c>
      <c r="C20" s="132" t="s">
        <v>672</v>
      </c>
      <c r="D20" s="269"/>
      <c r="E20" s="270"/>
      <c r="F20" s="270"/>
      <c r="G20" s="270"/>
      <c r="H20" s="270"/>
      <c r="I20" s="270"/>
      <c r="J20" s="270"/>
      <c r="K20" s="271"/>
    </row>
    <row r="21" spans="1:11" ht="21">
      <c r="A21" s="130" t="s">
        <v>121</v>
      </c>
      <c r="B21" s="131" t="s">
        <v>673</v>
      </c>
      <c r="C21" s="132" t="s">
        <v>674</v>
      </c>
      <c r="D21" s="269"/>
      <c r="E21" s="270"/>
      <c r="F21" s="270"/>
      <c r="G21" s="270"/>
      <c r="H21" s="270"/>
      <c r="I21" s="270"/>
      <c r="J21" s="270"/>
      <c r="K21" s="271"/>
    </row>
    <row r="22" spans="1:11" ht="21">
      <c r="A22" s="130" t="s">
        <v>619</v>
      </c>
      <c r="B22" s="133" t="s">
        <v>675</v>
      </c>
      <c r="C22" s="132" t="s">
        <v>676</v>
      </c>
      <c r="D22" s="269"/>
      <c r="E22" s="270"/>
      <c r="F22" s="270"/>
      <c r="G22" s="270"/>
      <c r="H22" s="270"/>
      <c r="I22" s="270"/>
      <c r="J22" s="270"/>
      <c r="K22" s="271"/>
    </row>
    <row r="23" spans="1:11" ht="21">
      <c r="A23" s="134" t="s">
        <v>14</v>
      </c>
      <c r="B23" s="133" t="s">
        <v>677</v>
      </c>
      <c r="C23" s="132" t="s">
        <v>678</v>
      </c>
      <c r="D23" s="269"/>
      <c r="E23" s="270"/>
      <c r="F23" s="270"/>
      <c r="G23" s="270"/>
      <c r="H23" s="270"/>
      <c r="I23" s="270"/>
      <c r="J23" s="270"/>
      <c r="K23" s="271"/>
    </row>
    <row r="24" spans="1:11" ht="21">
      <c r="A24" s="134" t="s">
        <v>340</v>
      </c>
      <c r="B24" s="131" t="s">
        <v>679</v>
      </c>
      <c r="C24" s="132" t="s">
        <v>680</v>
      </c>
      <c r="D24" s="269"/>
      <c r="E24" s="270"/>
      <c r="F24" s="270"/>
      <c r="G24" s="270"/>
      <c r="H24" s="270"/>
      <c r="I24" s="270"/>
      <c r="J24" s="270"/>
      <c r="K24" s="271"/>
    </row>
    <row r="25" spans="1:11" ht="21">
      <c r="A25" s="134" t="s">
        <v>19</v>
      </c>
      <c r="B25" s="131" t="s">
        <v>681</v>
      </c>
      <c r="C25" s="132" t="s">
        <v>682</v>
      </c>
      <c r="D25" s="269"/>
      <c r="E25" s="270"/>
      <c r="F25" s="270"/>
      <c r="G25" s="270"/>
      <c r="H25" s="270"/>
      <c r="I25" s="270"/>
      <c r="J25" s="270"/>
      <c r="K25" s="271"/>
    </row>
    <row r="26" spans="1:11" ht="21">
      <c r="A26" s="134" t="s">
        <v>343</v>
      </c>
      <c r="B26" s="131" t="s">
        <v>679</v>
      </c>
      <c r="C26" s="132" t="s">
        <v>683</v>
      </c>
      <c r="D26" s="269"/>
      <c r="E26" s="270"/>
      <c r="F26" s="270"/>
      <c r="G26" s="270"/>
      <c r="H26" s="270"/>
      <c r="I26" s="270"/>
      <c r="J26" s="270"/>
      <c r="K26" s="271"/>
    </row>
    <row r="27" spans="1:11" ht="25.5" customHeight="1">
      <c r="A27" s="130" t="s">
        <v>644</v>
      </c>
      <c r="B27" s="133" t="s">
        <v>684</v>
      </c>
      <c r="C27" s="132" t="s">
        <v>685</v>
      </c>
      <c r="D27" s="272"/>
      <c r="E27" s="273"/>
      <c r="F27" s="273"/>
      <c r="G27" s="273"/>
      <c r="H27" s="273"/>
      <c r="I27" s="273"/>
      <c r="J27" s="273"/>
      <c r="K27" s="274"/>
    </row>
    <row r="28" spans="1:11" ht="9" customHeight="1">
      <c r="A28" s="128"/>
      <c r="B28" s="135"/>
      <c r="C28" s="135"/>
      <c r="D28" s="128"/>
      <c r="E28" s="128"/>
      <c r="F28" s="128"/>
      <c r="G28" s="128"/>
      <c r="H28" s="128"/>
      <c r="I28" s="128"/>
      <c r="J28" s="128"/>
      <c r="K28" s="128"/>
    </row>
    <row r="29" spans="1:11">
      <c r="A29" s="275" t="s">
        <v>221</v>
      </c>
      <c r="B29" s="275"/>
      <c r="C29" s="275"/>
      <c r="E29" s="136"/>
      <c r="F29" s="137"/>
      <c r="G29" s="137"/>
      <c r="H29" s="276" t="s">
        <v>222</v>
      </c>
      <c r="I29" s="276"/>
      <c r="J29" s="276"/>
      <c r="K29" s="276"/>
    </row>
    <row r="30" spans="1:11">
      <c r="A30" s="258" t="s">
        <v>223</v>
      </c>
      <c r="B30" s="258"/>
      <c r="C30" s="258"/>
      <c r="E30" s="138"/>
      <c r="F30" s="139"/>
      <c r="G30" s="139"/>
      <c r="H30" s="260" t="s">
        <v>224</v>
      </c>
      <c r="I30" s="260"/>
      <c r="J30" s="260"/>
      <c r="K30" s="260"/>
    </row>
    <row r="31" spans="1:11" ht="36.75" customHeight="1">
      <c r="A31" s="139"/>
      <c r="B31" s="140"/>
      <c r="C31" s="141"/>
      <c r="E31" s="138"/>
      <c r="F31" s="139"/>
      <c r="G31" s="139"/>
      <c r="H31" s="142"/>
      <c r="J31" s="143"/>
      <c r="K31" s="144"/>
    </row>
    <row r="32" spans="1:11" ht="36.75" customHeight="1">
      <c r="A32" s="140"/>
      <c r="B32" s="140"/>
      <c r="C32" s="145"/>
      <c r="D32" s="146"/>
      <c r="E32" s="147"/>
      <c r="F32" s="148"/>
      <c r="G32" s="143"/>
      <c r="H32" s="143"/>
      <c r="J32" s="143"/>
      <c r="K32" s="143"/>
    </row>
    <row r="33" spans="1:11">
      <c r="A33" s="149"/>
      <c r="B33" s="149"/>
      <c r="C33" s="150"/>
      <c r="D33" s="151"/>
      <c r="E33" s="152"/>
      <c r="F33" s="148"/>
      <c r="G33" s="153"/>
      <c r="H33" s="149"/>
      <c r="I33" s="149"/>
      <c r="J33" s="150"/>
      <c r="K33" s="143"/>
    </row>
    <row r="34" spans="1:11" s="154" customFormat="1" ht="12.75" customHeight="1">
      <c r="A34" s="258" t="s">
        <v>686</v>
      </c>
      <c r="B34" s="258"/>
      <c r="C34" s="258"/>
      <c r="E34" s="139"/>
      <c r="F34" s="139"/>
      <c r="G34" s="155"/>
      <c r="H34" s="261" t="s">
        <v>606</v>
      </c>
      <c r="I34" s="261"/>
      <c r="J34" s="261"/>
      <c r="K34" s="261"/>
    </row>
    <row r="35" spans="1:11" s="154" customFormat="1" ht="12.75" customHeight="1">
      <c r="A35" s="258" t="s">
        <v>227</v>
      </c>
      <c r="B35" s="258"/>
      <c r="C35" s="258"/>
      <c r="E35" s="156"/>
      <c r="F35" s="157"/>
      <c r="G35" s="155"/>
      <c r="H35" s="259" t="s">
        <v>228</v>
      </c>
      <c r="I35" s="259"/>
      <c r="J35" s="259"/>
      <c r="K35" s="259"/>
    </row>
    <row r="36" spans="1:11" s="154" customFormat="1" ht="12.75" customHeight="1">
      <c r="A36" s="258" t="s">
        <v>229</v>
      </c>
      <c r="B36" s="258"/>
      <c r="C36" s="258"/>
      <c r="H36" s="259" t="s">
        <v>230</v>
      </c>
      <c r="I36" s="259"/>
      <c r="J36" s="259"/>
      <c r="K36" s="259"/>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53" zoomScaleNormal="100" zoomScaleSheetLayoutView="100" workbookViewId="0">
      <selection activeCell="A52" sqref="A52:G52"/>
    </sheetView>
  </sheetViews>
  <sheetFormatPr defaultColWidth="9.140625" defaultRowHeight="10.5"/>
  <cols>
    <col min="1" max="1" width="4.28515625" style="73" customWidth="1"/>
    <col min="2" max="2" width="12.5703125" style="73" customWidth="1"/>
    <col min="3" max="3" width="16.28515625" style="73" customWidth="1"/>
    <col min="4" max="4" width="24.42578125" style="73" customWidth="1"/>
    <col min="5" max="5" width="9.140625" style="73"/>
    <col min="6" max="6" width="19.28515625" style="73" customWidth="1"/>
    <col min="7" max="7" width="20.5703125" style="73" customWidth="1"/>
    <col min="8" max="16384" width="9.140625" style="73"/>
  </cols>
  <sheetData>
    <row r="1" spans="1:7" ht="30.75" customHeight="1">
      <c r="A1" s="253"/>
      <c r="B1" s="253"/>
      <c r="C1" s="91"/>
      <c r="D1" s="91"/>
      <c r="E1" s="240" t="s">
        <v>511</v>
      </c>
      <c r="F1" s="240"/>
      <c r="G1" s="240"/>
    </row>
    <row r="2" spans="1:7" ht="27" customHeight="1">
      <c r="A2" s="248" t="s">
        <v>1</v>
      </c>
      <c r="B2" s="248"/>
      <c r="C2" s="248"/>
      <c r="D2" s="248"/>
      <c r="E2" s="248"/>
      <c r="F2" s="248"/>
      <c r="G2" s="248"/>
    </row>
    <row r="3" spans="1:7" ht="6.75" customHeight="1">
      <c r="A3" s="91"/>
      <c r="B3" s="91"/>
      <c r="C3" s="91"/>
      <c r="D3" s="91"/>
      <c r="E3" s="91"/>
      <c r="F3" s="91"/>
      <c r="G3" s="91"/>
    </row>
    <row r="4" spans="1:7" ht="24.75" customHeight="1">
      <c r="A4" s="249" t="s">
        <v>231</v>
      </c>
      <c r="B4" s="249"/>
      <c r="C4" s="249"/>
      <c r="D4" s="249"/>
      <c r="E4" s="249"/>
      <c r="F4" s="249"/>
      <c r="G4" s="249"/>
    </row>
    <row r="5" spans="1:7" ht="18.75" customHeight="1">
      <c r="A5" s="239" t="s">
        <v>3</v>
      </c>
      <c r="B5" s="239"/>
      <c r="C5" s="239"/>
      <c r="D5" s="239"/>
      <c r="E5" s="239"/>
      <c r="F5" s="239"/>
      <c r="G5" s="239"/>
    </row>
    <row r="6" spans="1:7" ht="12.75" customHeight="1">
      <c r="A6" s="72" t="s">
        <v>4</v>
      </c>
      <c r="B6" s="252" t="s">
        <v>232</v>
      </c>
      <c r="C6" s="252"/>
      <c r="D6" s="252" t="s">
        <v>6</v>
      </c>
      <c r="E6" s="252"/>
      <c r="F6" s="252"/>
      <c r="G6" s="252"/>
    </row>
    <row r="7" spans="1:7" ht="12.75" customHeight="1">
      <c r="A7" s="91"/>
      <c r="B7" s="253" t="s">
        <v>7</v>
      </c>
      <c r="C7" s="253"/>
      <c r="D7" s="253" t="s">
        <v>8</v>
      </c>
      <c r="E7" s="253"/>
      <c r="F7" s="253"/>
      <c r="G7" s="253"/>
    </row>
    <row r="8" spans="1:7" ht="12.75" customHeight="1">
      <c r="A8" s="72" t="s">
        <v>9</v>
      </c>
      <c r="B8" s="252" t="s">
        <v>10</v>
      </c>
      <c r="C8" s="252"/>
      <c r="D8" s="252" t="s">
        <v>11</v>
      </c>
      <c r="E8" s="252"/>
      <c r="F8" s="252"/>
      <c r="G8" s="252"/>
    </row>
    <row r="9" spans="1:7" ht="12.75" customHeight="1">
      <c r="A9" s="91"/>
      <c r="B9" s="253" t="s">
        <v>12</v>
      </c>
      <c r="C9" s="253"/>
      <c r="D9" s="253" t="s">
        <v>13</v>
      </c>
      <c r="E9" s="253"/>
      <c r="F9" s="253"/>
      <c r="G9" s="253"/>
    </row>
    <row r="10" spans="1:7" ht="12.75" customHeight="1">
      <c r="A10" s="72" t="s">
        <v>14</v>
      </c>
      <c r="B10" s="252" t="s">
        <v>15</v>
      </c>
      <c r="C10" s="252"/>
      <c r="D10" s="252" t="s">
        <v>16</v>
      </c>
      <c r="E10" s="252"/>
      <c r="F10" s="252"/>
      <c r="G10" s="252"/>
    </row>
    <row r="11" spans="1:7" ht="12.75" customHeight="1">
      <c r="A11" s="91"/>
      <c r="B11" s="253" t="s">
        <v>17</v>
      </c>
      <c r="C11" s="253"/>
      <c r="D11" s="253" t="s">
        <v>18</v>
      </c>
      <c r="E11" s="253"/>
      <c r="F11" s="253"/>
      <c r="G11" s="253"/>
    </row>
    <row r="12" spans="1:7" ht="12.75" customHeight="1">
      <c r="A12" s="72" t="s">
        <v>19</v>
      </c>
      <c r="B12" s="252" t="s">
        <v>20</v>
      </c>
      <c r="C12" s="252"/>
      <c r="D12" s="243">
        <v>45359</v>
      </c>
      <c r="E12" s="243"/>
      <c r="F12" s="243"/>
      <c r="G12" s="243"/>
    </row>
    <row r="13" spans="1:7" ht="12.75" customHeight="1">
      <c r="A13" s="91"/>
      <c r="B13" s="253" t="s">
        <v>21</v>
      </c>
      <c r="C13" s="253"/>
      <c r="D13" s="244">
        <v>45359</v>
      </c>
      <c r="E13" s="244"/>
      <c r="F13" s="244"/>
      <c r="G13" s="244"/>
    </row>
    <row r="14" spans="1:7" ht="9" customHeight="1">
      <c r="A14" s="91"/>
      <c r="B14" s="91"/>
      <c r="C14" s="91"/>
      <c r="D14" s="91"/>
      <c r="E14" s="291"/>
      <c r="F14" s="291"/>
      <c r="G14" s="291"/>
    </row>
    <row r="15" spans="1:7" ht="15.75" customHeight="1">
      <c r="A15" s="254" t="s">
        <v>22</v>
      </c>
      <c r="B15" s="254"/>
      <c r="C15" s="254"/>
      <c r="D15" s="254"/>
      <c r="E15" s="254"/>
      <c r="F15" s="254"/>
      <c r="G15" s="254"/>
    </row>
    <row r="16" spans="1:7" ht="15.75" customHeight="1">
      <c r="A16" s="252" t="s">
        <v>512</v>
      </c>
      <c r="B16" s="252"/>
      <c r="C16" s="252"/>
      <c r="D16" s="252"/>
      <c r="E16" s="252"/>
      <c r="F16" s="252"/>
      <c r="G16" s="252"/>
    </row>
    <row r="17" spans="1:9" ht="11.25" customHeight="1">
      <c r="A17" s="94"/>
      <c r="B17" s="158"/>
      <c r="C17" s="94"/>
      <c r="D17" s="255" t="s">
        <v>24</v>
      </c>
      <c r="E17" s="255"/>
      <c r="F17" s="255"/>
      <c r="G17" s="255"/>
    </row>
    <row r="18" spans="1:9" ht="32.25" customHeight="1">
      <c r="A18" s="46" t="s">
        <v>513</v>
      </c>
      <c r="B18" s="290" t="s">
        <v>26</v>
      </c>
      <c r="C18" s="290"/>
      <c r="D18" s="290"/>
      <c r="E18" s="47" t="s">
        <v>27</v>
      </c>
      <c r="F18" s="47" t="s">
        <v>234</v>
      </c>
      <c r="G18" s="48" t="s">
        <v>235</v>
      </c>
    </row>
    <row r="19" spans="1:9" ht="21.95" customHeight="1">
      <c r="A19" s="49" t="s">
        <v>31</v>
      </c>
      <c r="B19" s="285" t="s">
        <v>514</v>
      </c>
      <c r="C19" s="285"/>
      <c r="D19" s="285"/>
      <c r="E19" s="51" t="s">
        <v>515</v>
      </c>
      <c r="F19" s="159">
        <v>0</v>
      </c>
      <c r="G19" s="160">
        <v>0</v>
      </c>
    </row>
    <row r="20" spans="1:9" ht="33" customHeight="1">
      <c r="A20" s="49" t="s">
        <v>4</v>
      </c>
      <c r="B20" s="285" t="s">
        <v>516</v>
      </c>
      <c r="C20" s="285"/>
      <c r="D20" s="285"/>
      <c r="E20" s="51" t="s">
        <v>517</v>
      </c>
      <c r="F20" s="161">
        <v>8.0000000000000002E-3</v>
      </c>
      <c r="G20" s="53">
        <v>8.0000000000000002E-3</v>
      </c>
      <c r="H20" s="162"/>
      <c r="I20" s="183"/>
    </row>
    <row r="21" spans="1:9" ht="33" customHeight="1">
      <c r="A21" s="49" t="s">
        <v>9</v>
      </c>
      <c r="B21" s="285" t="s">
        <v>518</v>
      </c>
      <c r="C21" s="285"/>
      <c r="D21" s="285"/>
      <c r="E21" s="51" t="s">
        <v>519</v>
      </c>
      <c r="F21" s="161">
        <v>7.3700000000000002E-4</v>
      </c>
      <c r="G21" s="53">
        <v>7.1000000000000002E-4</v>
      </c>
      <c r="H21" s="162"/>
      <c r="I21" s="183"/>
    </row>
    <row r="22" spans="1:9" ht="41.25" customHeight="1">
      <c r="A22" s="49" t="s">
        <v>14</v>
      </c>
      <c r="B22" s="285" t="s">
        <v>520</v>
      </c>
      <c r="C22" s="285"/>
      <c r="D22" s="285"/>
      <c r="E22" s="51" t="s">
        <v>521</v>
      </c>
      <c r="F22" s="161">
        <v>1.6249999999999999E-3</v>
      </c>
      <c r="G22" s="53">
        <v>1.6490000000000001E-3</v>
      </c>
      <c r="H22" s="162"/>
      <c r="I22" s="183"/>
    </row>
    <row r="23" spans="1:9" ht="33" customHeight="1">
      <c r="A23" s="49" t="s">
        <v>19</v>
      </c>
      <c r="B23" s="285" t="s">
        <v>522</v>
      </c>
      <c r="C23" s="285"/>
      <c r="D23" s="285"/>
      <c r="E23" s="51" t="s">
        <v>523</v>
      </c>
      <c r="F23" s="161">
        <v>1.5999999999999999E-5</v>
      </c>
      <c r="G23" s="53">
        <v>1.7E-5</v>
      </c>
      <c r="H23" s="162"/>
      <c r="I23" s="183"/>
    </row>
    <row r="24" spans="1:9" ht="41.25" customHeight="1">
      <c r="A24" s="49" t="s">
        <v>287</v>
      </c>
      <c r="B24" s="285" t="s">
        <v>524</v>
      </c>
      <c r="C24" s="285"/>
      <c r="D24" s="285"/>
      <c r="E24" s="51"/>
      <c r="F24" s="161">
        <v>0</v>
      </c>
      <c r="G24" s="53">
        <v>0</v>
      </c>
      <c r="H24" s="162"/>
      <c r="I24" s="183"/>
    </row>
    <row r="25" spans="1:9" ht="42.75" customHeight="1">
      <c r="A25" s="49" t="s">
        <v>289</v>
      </c>
      <c r="B25" s="285" t="s">
        <v>525</v>
      </c>
      <c r="C25" s="285"/>
      <c r="D25" s="285"/>
      <c r="E25" s="51"/>
      <c r="F25" s="161">
        <v>0</v>
      </c>
      <c r="G25" s="53">
        <v>0</v>
      </c>
      <c r="H25" s="162"/>
      <c r="I25" s="183"/>
    </row>
    <row r="26" spans="1:9" ht="42.75" customHeight="1">
      <c r="A26" s="49" t="s">
        <v>292</v>
      </c>
      <c r="B26" s="285" t="s">
        <v>526</v>
      </c>
      <c r="C26" s="285"/>
      <c r="D26" s="285"/>
      <c r="E26" s="51" t="s">
        <v>527</v>
      </c>
      <c r="F26" s="161">
        <v>6.0000000000000002E-6</v>
      </c>
      <c r="G26" s="53">
        <v>6.9999999999999999E-6</v>
      </c>
      <c r="H26" s="162"/>
      <c r="I26" s="183"/>
    </row>
    <row r="27" spans="1:9" ht="21.95" customHeight="1">
      <c r="A27" s="49" t="s">
        <v>301</v>
      </c>
      <c r="B27" s="285" t="s">
        <v>528</v>
      </c>
      <c r="C27" s="285"/>
      <c r="D27" s="285"/>
      <c r="E27" s="51" t="s">
        <v>529</v>
      </c>
      <c r="F27" s="161">
        <v>1.0397999999999999E-2</v>
      </c>
      <c r="G27" s="53">
        <v>1.0921999999999999E-2</v>
      </c>
      <c r="H27" s="162"/>
      <c r="I27" s="183"/>
    </row>
    <row r="28" spans="1:9" ht="42.75" customHeight="1">
      <c r="A28" s="49" t="s">
        <v>314</v>
      </c>
      <c r="B28" s="285" t="s">
        <v>530</v>
      </c>
      <c r="C28" s="285"/>
      <c r="D28" s="285"/>
      <c r="E28" s="51" t="s">
        <v>531</v>
      </c>
      <c r="F28" s="161">
        <v>0.27555499999999999</v>
      </c>
      <c r="G28" s="53">
        <v>0.187473</v>
      </c>
      <c r="H28" s="162"/>
      <c r="I28" s="183"/>
    </row>
    <row r="29" spans="1:9" ht="42.75" customHeight="1">
      <c r="A29" s="49" t="s">
        <v>321</v>
      </c>
      <c r="B29" s="285" t="s">
        <v>532</v>
      </c>
      <c r="C29" s="285"/>
      <c r="D29" s="285"/>
      <c r="E29" s="51"/>
      <c r="F29" s="161">
        <v>0</v>
      </c>
      <c r="G29" s="53">
        <v>0</v>
      </c>
      <c r="H29" s="162"/>
      <c r="I29" s="183"/>
    </row>
    <row r="30" spans="1:9" ht="21.95" customHeight="1">
      <c r="A30" s="49" t="s">
        <v>121</v>
      </c>
      <c r="B30" s="285" t="s">
        <v>533</v>
      </c>
      <c r="C30" s="285"/>
      <c r="D30" s="285"/>
      <c r="E30" s="51" t="s">
        <v>534</v>
      </c>
      <c r="F30" s="159">
        <v>0</v>
      </c>
      <c r="G30" s="160">
        <v>0</v>
      </c>
      <c r="H30" s="162"/>
      <c r="I30" s="183"/>
    </row>
    <row r="31" spans="1:9" ht="21.95" customHeight="1">
      <c r="A31" s="49" t="s">
        <v>4</v>
      </c>
      <c r="B31" s="285" t="s">
        <v>535</v>
      </c>
      <c r="C31" s="285"/>
      <c r="D31" s="285"/>
      <c r="E31" s="51" t="s">
        <v>536</v>
      </c>
      <c r="F31" s="163">
        <v>8097000000000</v>
      </c>
      <c r="G31" s="164">
        <v>4898000000000</v>
      </c>
      <c r="H31" s="162"/>
      <c r="I31" s="183"/>
    </row>
    <row r="32" spans="1:9" ht="21.95" customHeight="1">
      <c r="A32" s="49"/>
      <c r="B32" s="285" t="s">
        <v>537</v>
      </c>
      <c r="C32" s="285"/>
      <c r="D32" s="285"/>
      <c r="E32" s="51" t="s">
        <v>538</v>
      </c>
      <c r="F32" s="163">
        <v>8097000000000</v>
      </c>
      <c r="G32" s="164">
        <v>4898000000000</v>
      </c>
      <c r="H32" s="162"/>
      <c r="I32" s="183"/>
    </row>
    <row r="33" spans="1:9" ht="21.95" customHeight="1">
      <c r="A33" s="49"/>
      <c r="B33" s="285" t="s">
        <v>539</v>
      </c>
      <c r="C33" s="285"/>
      <c r="D33" s="285"/>
      <c r="E33" s="51" t="s">
        <v>540</v>
      </c>
      <c r="F33" s="163">
        <v>809700000</v>
      </c>
      <c r="G33" s="164">
        <v>489800000</v>
      </c>
      <c r="H33" s="162"/>
      <c r="I33" s="183"/>
    </row>
    <row r="34" spans="1:9" ht="21.95" customHeight="1">
      <c r="A34" s="49" t="s">
        <v>9</v>
      </c>
      <c r="B34" s="285" t="s">
        <v>541</v>
      </c>
      <c r="C34" s="285"/>
      <c r="D34" s="285"/>
      <c r="E34" s="51" t="s">
        <v>542</v>
      </c>
      <c r="F34" s="163">
        <v>-1446000000000</v>
      </c>
      <c r="G34" s="164">
        <v>3199000000000</v>
      </c>
      <c r="H34" s="162"/>
      <c r="I34" s="183"/>
    </row>
    <row r="35" spans="1:9" ht="21.95" customHeight="1">
      <c r="A35" s="49"/>
      <c r="B35" s="285" t="s">
        <v>543</v>
      </c>
      <c r="C35" s="285"/>
      <c r="D35" s="285"/>
      <c r="E35" s="51" t="s">
        <v>544</v>
      </c>
      <c r="F35" s="163">
        <v>-144600000</v>
      </c>
      <c r="G35" s="164">
        <v>319900000</v>
      </c>
      <c r="H35" s="162"/>
      <c r="I35" s="183"/>
    </row>
    <row r="36" spans="1:9" ht="21.95" customHeight="1">
      <c r="A36" s="49"/>
      <c r="B36" s="285" t="s">
        <v>545</v>
      </c>
      <c r="C36" s="285"/>
      <c r="D36" s="285"/>
      <c r="E36" s="51" t="s">
        <v>546</v>
      </c>
      <c r="F36" s="163">
        <v>-1446000000000</v>
      </c>
      <c r="G36" s="164">
        <v>3199000000000</v>
      </c>
      <c r="H36" s="162"/>
      <c r="I36" s="183"/>
    </row>
    <row r="37" spans="1:9" ht="21.95" customHeight="1">
      <c r="A37" s="49"/>
      <c r="B37" s="285" t="s">
        <v>547</v>
      </c>
      <c r="C37" s="285"/>
      <c r="D37" s="285"/>
      <c r="E37" s="51" t="s">
        <v>548</v>
      </c>
      <c r="F37" s="163">
        <v>88900000</v>
      </c>
      <c r="G37" s="164">
        <v>463900000</v>
      </c>
      <c r="H37" s="162"/>
      <c r="I37" s="183"/>
    </row>
    <row r="38" spans="1:9" ht="21.95" customHeight="1">
      <c r="A38" s="49"/>
      <c r="B38" s="285" t="s">
        <v>549</v>
      </c>
      <c r="C38" s="285"/>
      <c r="D38" s="285"/>
      <c r="E38" s="51" t="s">
        <v>550</v>
      </c>
      <c r="F38" s="163">
        <v>889000000000</v>
      </c>
      <c r="G38" s="164">
        <v>4639000000000</v>
      </c>
      <c r="H38" s="162"/>
      <c r="I38" s="183"/>
    </row>
    <row r="39" spans="1:9" ht="21.95" customHeight="1">
      <c r="A39" s="49"/>
      <c r="B39" s="285" t="s">
        <v>551</v>
      </c>
      <c r="C39" s="285"/>
      <c r="D39" s="285"/>
      <c r="E39" s="51" t="s">
        <v>552</v>
      </c>
      <c r="F39" s="163">
        <v>-233500000</v>
      </c>
      <c r="G39" s="164">
        <v>-144000000</v>
      </c>
      <c r="H39" s="162"/>
      <c r="I39" s="183"/>
    </row>
    <row r="40" spans="1:9" ht="21.95" customHeight="1">
      <c r="A40" s="49"/>
      <c r="B40" s="285" t="s">
        <v>553</v>
      </c>
      <c r="C40" s="285"/>
      <c r="D40" s="285"/>
      <c r="E40" s="51" t="s">
        <v>554</v>
      </c>
      <c r="F40" s="163">
        <v>-2335000000000</v>
      </c>
      <c r="G40" s="164">
        <v>-1440000000000</v>
      </c>
      <c r="H40" s="162"/>
      <c r="I40" s="183"/>
    </row>
    <row r="41" spans="1:9" ht="21.95" customHeight="1">
      <c r="A41" s="49" t="s">
        <v>14</v>
      </c>
      <c r="B41" s="285" t="s">
        <v>555</v>
      </c>
      <c r="C41" s="285"/>
      <c r="D41" s="285"/>
      <c r="E41" s="51" t="s">
        <v>556</v>
      </c>
      <c r="F41" s="163">
        <v>6651000000000</v>
      </c>
      <c r="G41" s="164">
        <v>8097000000000</v>
      </c>
      <c r="H41" s="162"/>
      <c r="I41" s="183"/>
    </row>
    <row r="42" spans="1:9" ht="21.95" customHeight="1">
      <c r="A42" s="49"/>
      <c r="B42" s="285" t="s">
        <v>557</v>
      </c>
      <c r="C42" s="285"/>
      <c r="D42" s="285"/>
      <c r="E42" s="51" t="s">
        <v>558</v>
      </c>
      <c r="F42" s="163">
        <v>6651000000000</v>
      </c>
      <c r="G42" s="164">
        <v>8097000000000</v>
      </c>
      <c r="H42" s="162"/>
      <c r="I42" s="183"/>
    </row>
    <row r="43" spans="1:9" ht="21.95" customHeight="1">
      <c r="A43" s="49"/>
      <c r="B43" s="285" t="s">
        <v>559</v>
      </c>
      <c r="C43" s="285"/>
      <c r="D43" s="285"/>
      <c r="E43" s="51" t="s">
        <v>560</v>
      </c>
      <c r="F43" s="163">
        <v>665100000</v>
      </c>
      <c r="G43" s="164">
        <v>809700000</v>
      </c>
      <c r="H43" s="162"/>
      <c r="I43" s="183"/>
    </row>
    <row r="44" spans="1:9" ht="31.5" customHeight="1">
      <c r="A44" s="49" t="s">
        <v>19</v>
      </c>
      <c r="B44" s="285" t="s">
        <v>561</v>
      </c>
      <c r="C44" s="285"/>
      <c r="D44" s="285"/>
      <c r="E44" s="51" t="s">
        <v>562</v>
      </c>
      <c r="F44" s="190">
        <v>1.02E-4</v>
      </c>
      <c r="G44" s="63">
        <v>2.4000000000000001E-5</v>
      </c>
      <c r="H44" s="162"/>
      <c r="I44" s="183"/>
    </row>
    <row r="45" spans="1:9" ht="23.25" customHeight="1">
      <c r="A45" s="49" t="s">
        <v>287</v>
      </c>
      <c r="B45" s="286" t="s">
        <v>563</v>
      </c>
      <c r="C45" s="287"/>
      <c r="D45" s="288"/>
      <c r="E45" s="51" t="s">
        <v>564</v>
      </c>
      <c r="F45" s="190">
        <v>0.78249999999999997</v>
      </c>
      <c r="G45" s="63">
        <v>0.7137</v>
      </c>
      <c r="H45" s="162"/>
      <c r="I45" s="183"/>
    </row>
    <row r="46" spans="1:9" ht="23.25" customHeight="1">
      <c r="A46" s="49" t="s">
        <v>289</v>
      </c>
      <c r="B46" s="286" t="s">
        <v>565</v>
      </c>
      <c r="C46" s="287"/>
      <c r="D46" s="288"/>
      <c r="E46" s="51" t="s">
        <v>566</v>
      </c>
      <c r="F46" s="190">
        <v>0.95169999999999999</v>
      </c>
      <c r="G46" s="63">
        <v>0.96879999999999999</v>
      </c>
      <c r="H46" s="162"/>
      <c r="I46" s="183"/>
    </row>
    <row r="47" spans="1:9" ht="21.95" customHeight="1">
      <c r="A47" s="49" t="s">
        <v>292</v>
      </c>
      <c r="B47" s="285" t="s">
        <v>567</v>
      </c>
      <c r="C47" s="285"/>
      <c r="D47" s="285"/>
      <c r="E47" s="51" t="s">
        <v>568</v>
      </c>
      <c r="F47" s="165">
        <v>25953.08</v>
      </c>
      <c r="G47" s="166">
        <v>22333.68</v>
      </c>
      <c r="H47" s="162"/>
      <c r="I47" s="183"/>
    </row>
    <row r="48" spans="1:9" ht="21.95" customHeight="1">
      <c r="A48" s="49" t="s">
        <v>301</v>
      </c>
      <c r="B48" s="285" t="s">
        <v>569</v>
      </c>
      <c r="C48" s="285"/>
      <c r="D48" s="285"/>
      <c r="E48" s="51" t="s">
        <v>570</v>
      </c>
      <c r="F48" s="167">
        <v>26440</v>
      </c>
      <c r="G48" s="168">
        <v>22400</v>
      </c>
      <c r="H48" s="162"/>
      <c r="I48" s="183"/>
    </row>
    <row r="49" spans="1:9" ht="21.95" customHeight="1">
      <c r="A49" s="65" t="s">
        <v>314</v>
      </c>
      <c r="B49" s="289" t="s">
        <v>571</v>
      </c>
      <c r="C49" s="289"/>
      <c r="D49" s="289"/>
      <c r="E49" s="67" t="s">
        <v>572</v>
      </c>
      <c r="F49" s="191">
        <v>5246</v>
      </c>
      <c r="G49" s="169">
        <v>5571</v>
      </c>
      <c r="H49" s="162"/>
      <c r="I49" s="183"/>
    </row>
    <row r="50" spans="1:9" ht="7.5" customHeight="1">
      <c r="A50" s="91"/>
      <c r="B50" s="91"/>
      <c r="C50" s="91"/>
      <c r="D50" s="91"/>
      <c r="E50" s="91"/>
      <c r="F50" s="170"/>
      <c r="G50" s="170"/>
    </row>
    <row r="51" spans="1:9" ht="14.25" customHeight="1">
      <c r="A51" s="253" t="s">
        <v>573</v>
      </c>
      <c r="B51" s="253"/>
      <c r="C51" s="253"/>
      <c r="D51" s="253"/>
      <c r="E51" s="253"/>
      <c r="F51" s="253"/>
      <c r="G51" s="253"/>
    </row>
    <row r="52" spans="1:9" ht="282" customHeight="1">
      <c r="A52" s="247" t="s">
        <v>689</v>
      </c>
      <c r="B52" s="247"/>
      <c r="C52" s="247"/>
      <c r="D52" s="247"/>
      <c r="E52" s="247"/>
      <c r="F52" s="247"/>
      <c r="G52" s="247"/>
    </row>
    <row r="53" spans="1:9" ht="48.75" customHeight="1">
      <c r="A53" s="247" t="s">
        <v>687</v>
      </c>
      <c r="B53" s="247"/>
      <c r="C53" s="247"/>
      <c r="D53" s="247"/>
      <c r="E53" s="247"/>
      <c r="F53" s="247"/>
      <c r="G53" s="247"/>
    </row>
    <row r="54" spans="1:9" ht="7.5" customHeight="1">
      <c r="A54" s="91"/>
      <c r="B54" s="171"/>
      <c r="C54" s="91"/>
      <c r="D54" s="91"/>
      <c r="E54" s="91"/>
      <c r="F54" s="91"/>
      <c r="G54" s="91"/>
    </row>
    <row r="55" spans="1:9" ht="14.25" customHeight="1">
      <c r="A55" s="251" t="s">
        <v>574</v>
      </c>
      <c r="B55" s="251"/>
      <c r="C55" s="251"/>
      <c r="D55" s="251"/>
      <c r="E55" s="251" t="s">
        <v>222</v>
      </c>
      <c r="F55" s="251"/>
      <c r="G55" s="251"/>
    </row>
    <row r="56" spans="1:9" ht="12" customHeight="1">
      <c r="A56" s="239" t="s">
        <v>223</v>
      </c>
      <c r="B56" s="239"/>
      <c r="C56" s="239"/>
      <c r="D56" s="239"/>
      <c r="E56" s="239" t="s">
        <v>224</v>
      </c>
      <c r="F56" s="239"/>
      <c r="G56" s="239"/>
    </row>
    <row r="57" spans="1:9" ht="15" customHeight="1">
      <c r="A57" s="91"/>
      <c r="B57" s="91"/>
      <c r="C57" s="91"/>
      <c r="D57" s="91"/>
      <c r="E57" s="91"/>
      <c r="F57" s="91"/>
      <c r="G57" s="91"/>
    </row>
    <row r="58" spans="1:9" ht="15" customHeight="1">
      <c r="A58" s="91"/>
      <c r="B58" s="91"/>
      <c r="C58" s="91"/>
      <c r="D58" s="91"/>
      <c r="E58" s="91"/>
      <c r="F58" s="91"/>
      <c r="G58" s="91"/>
    </row>
    <row r="59" spans="1:9" ht="15.75" customHeight="1">
      <c r="A59" s="91"/>
      <c r="B59" s="91"/>
      <c r="C59" s="91"/>
      <c r="D59" s="91"/>
      <c r="E59" s="91"/>
      <c r="F59" s="91"/>
      <c r="G59" s="91"/>
    </row>
    <row r="60" spans="1:9" ht="15" customHeight="1">
      <c r="A60" s="91"/>
      <c r="B60" s="91"/>
      <c r="C60" s="91"/>
      <c r="D60" s="91"/>
      <c r="E60" s="91"/>
      <c r="F60" s="91"/>
      <c r="G60" s="91"/>
    </row>
    <row r="61" spans="1:9" ht="15.75" customHeight="1">
      <c r="A61" s="91"/>
      <c r="B61" s="91"/>
      <c r="C61" s="91"/>
      <c r="D61" s="91"/>
      <c r="E61" s="91"/>
      <c r="F61" s="91"/>
      <c r="G61" s="91"/>
    </row>
    <row r="62" spans="1:9" ht="15.75" customHeight="1">
      <c r="A62" s="91"/>
      <c r="B62" s="91"/>
      <c r="C62" s="91"/>
      <c r="D62" s="91"/>
      <c r="E62" s="91"/>
      <c r="F62" s="91"/>
      <c r="G62" s="91"/>
    </row>
    <row r="63" spans="1:9" ht="15.75" customHeight="1">
      <c r="A63" s="251" t="s">
        <v>225</v>
      </c>
      <c r="B63" s="251"/>
      <c r="C63" s="251"/>
      <c r="D63" s="251"/>
      <c r="E63" s="251" t="s">
        <v>226</v>
      </c>
      <c r="F63" s="251"/>
      <c r="G63" s="251"/>
    </row>
    <row r="64" spans="1:9" ht="15.75" customHeight="1">
      <c r="A64" s="251" t="s">
        <v>227</v>
      </c>
      <c r="B64" s="251"/>
      <c r="C64" s="251"/>
      <c r="D64" s="251"/>
      <c r="E64" s="251" t="s">
        <v>228</v>
      </c>
      <c r="F64" s="251"/>
      <c r="G64" s="251"/>
    </row>
    <row r="65" spans="1:7" ht="15.75" customHeight="1">
      <c r="A65" s="251" t="s">
        <v>229</v>
      </c>
      <c r="B65" s="251"/>
      <c r="C65" s="251"/>
      <c r="D65" s="251"/>
      <c r="E65" s="251" t="s">
        <v>230</v>
      </c>
      <c r="F65" s="251"/>
      <c r="G65" s="251"/>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28999999999999998" right="0" top="0.58999997377395597" bottom="0.36" header="0.5" footer="0.38"/>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39"/>
  <sheetViews>
    <sheetView showGridLines="0" showZeros="0" showOutlineSymbols="0" view="pageBreakPreview" topLeftCell="A8" zoomScaleNormal="100" zoomScaleSheetLayoutView="100" workbookViewId="0">
      <selection activeCell="C14" sqref="C14:H14"/>
    </sheetView>
  </sheetViews>
  <sheetFormatPr defaultRowHeight="10.5"/>
  <cols>
    <col min="1" max="1" width="10.7109375" style="172" customWidth="1"/>
    <col min="2" max="2" width="38.5703125" style="172" customWidth="1"/>
    <col min="3" max="3" width="23.5703125" style="172" customWidth="1"/>
    <col min="4" max="5" width="17.85546875" style="172" customWidth="1"/>
    <col min="6" max="6" width="16.42578125" style="172" customWidth="1"/>
    <col min="7" max="7" width="10.7109375" style="172" customWidth="1"/>
    <col min="8" max="8" width="11.7109375" style="172" customWidth="1"/>
    <col min="9" max="256" width="9.140625" style="172"/>
    <col min="257" max="257" width="10.7109375" style="172" customWidth="1"/>
    <col min="258" max="258" width="38.5703125" style="172" customWidth="1"/>
    <col min="259" max="259" width="23.5703125" style="172" customWidth="1"/>
    <col min="260" max="261" width="17.85546875" style="172" customWidth="1"/>
    <col min="262" max="262" width="16.42578125" style="172" customWidth="1"/>
    <col min="263" max="264" width="10.7109375" style="172" customWidth="1"/>
    <col min="265" max="512" width="9.140625" style="172"/>
    <col min="513" max="513" width="10.7109375" style="172" customWidth="1"/>
    <col min="514" max="514" width="38.5703125" style="172" customWidth="1"/>
    <col min="515" max="515" width="23.5703125" style="172" customWidth="1"/>
    <col min="516" max="517" width="17.85546875" style="172" customWidth="1"/>
    <col min="518" max="518" width="16.42578125" style="172" customWidth="1"/>
    <col min="519" max="520" width="10.7109375" style="172" customWidth="1"/>
    <col min="521" max="768" width="9.140625" style="172"/>
    <col min="769" max="769" width="10.7109375" style="172" customWidth="1"/>
    <col min="770" max="770" width="38.5703125" style="172" customWidth="1"/>
    <col min="771" max="771" width="23.5703125" style="172" customWidth="1"/>
    <col min="772" max="773" width="17.85546875" style="172" customWidth="1"/>
    <col min="774" max="774" width="16.42578125" style="172" customWidth="1"/>
    <col min="775" max="776" width="10.7109375" style="172" customWidth="1"/>
    <col min="777" max="1024" width="9.140625" style="172"/>
    <col min="1025" max="1025" width="10.7109375" style="172" customWidth="1"/>
    <col min="1026" max="1026" width="38.5703125" style="172" customWidth="1"/>
    <col min="1027" max="1027" width="23.5703125" style="172" customWidth="1"/>
    <col min="1028" max="1029" width="17.85546875" style="172" customWidth="1"/>
    <col min="1030" max="1030" width="16.42578125" style="172" customWidth="1"/>
    <col min="1031" max="1032" width="10.7109375" style="172" customWidth="1"/>
    <col min="1033" max="1280" width="9.140625" style="172"/>
    <col min="1281" max="1281" width="10.7109375" style="172" customWidth="1"/>
    <col min="1282" max="1282" width="38.5703125" style="172" customWidth="1"/>
    <col min="1283" max="1283" width="23.5703125" style="172" customWidth="1"/>
    <col min="1284" max="1285" width="17.85546875" style="172" customWidth="1"/>
    <col min="1286" max="1286" width="16.42578125" style="172" customWidth="1"/>
    <col min="1287" max="1288" width="10.7109375" style="172" customWidth="1"/>
    <col min="1289" max="1536" width="9.140625" style="172"/>
    <col min="1537" max="1537" width="10.7109375" style="172" customWidth="1"/>
    <col min="1538" max="1538" width="38.5703125" style="172" customWidth="1"/>
    <col min="1539" max="1539" width="23.5703125" style="172" customWidth="1"/>
    <col min="1540" max="1541" width="17.85546875" style="172" customWidth="1"/>
    <col min="1542" max="1542" width="16.42578125" style="172" customWidth="1"/>
    <col min="1543" max="1544" width="10.7109375" style="172" customWidth="1"/>
    <col min="1545" max="1792" width="9.140625" style="172"/>
    <col min="1793" max="1793" width="10.7109375" style="172" customWidth="1"/>
    <col min="1794" max="1794" width="38.5703125" style="172" customWidth="1"/>
    <col min="1795" max="1795" width="23.5703125" style="172" customWidth="1"/>
    <col min="1796" max="1797" width="17.85546875" style="172" customWidth="1"/>
    <col min="1798" max="1798" width="16.42578125" style="172" customWidth="1"/>
    <col min="1799" max="1800" width="10.7109375" style="172" customWidth="1"/>
    <col min="1801" max="2048" width="9.140625" style="172"/>
    <col min="2049" max="2049" width="10.7109375" style="172" customWidth="1"/>
    <col min="2050" max="2050" width="38.5703125" style="172" customWidth="1"/>
    <col min="2051" max="2051" width="23.5703125" style="172" customWidth="1"/>
    <col min="2052" max="2053" width="17.85546875" style="172" customWidth="1"/>
    <col min="2054" max="2054" width="16.42578125" style="172" customWidth="1"/>
    <col min="2055" max="2056" width="10.7109375" style="172" customWidth="1"/>
    <col min="2057" max="2304" width="9.140625" style="172"/>
    <col min="2305" max="2305" width="10.7109375" style="172" customWidth="1"/>
    <col min="2306" max="2306" width="38.5703125" style="172" customWidth="1"/>
    <col min="2307" max="2307" width="23.5703125" style="172" customWidth="1"/>
    <col min="2308" max="2309" width="17.85546875" style="172" customWidth="1"/>
    <col min="2310" max="2310" width="16.42578125" style="172" customWidth="1"/>
    <col min="2311" max="2312" width="10.7109375" style="172" customWidth="1"/>
    <col min="2313" max="2560" width="9.140625" style="172"/>
    <col min="2561" max="2561" width="10.7109375" style="172" customWidth="1"/>
    <col min="2562" max="2562" width="38.5703125" style="172" customWidth="1"/>
    <col min="2563" max="2563" width="23.5703125" style="172" customWidth="1"/>
    <col min="2564" max="2565" width="17.85546875" style="172" customWidth="1"/>
    <col min="2566" max="2566" width="16.42578125" style="172" customWidth="1"/>
    <col min="2567" max="2568" width="10.7109375" style="172" customWidth="1"/>
    <col min="2569" max="2816" width="9.140625" style="172"/>
    <col min="2817" max="2817" width="10.7109375" style="172" customWidth="1"/>
    <col min="2818" max="2818" width="38.5703125" style="172" customWidth="1"/>
    <col min="2819" max="2819" width="23.5703125" style="172" customWidth="1"/>
    <col min="2820" max="2821" width="17.85546875" style="172" customWidth="1"/>
    <col min="2822" max="2822" width="16.42578125" style="172" customWidth="1"/>
    <col min="2823" max="2824" width="10.7109375" style="172" customWidth="1"/>
    <col min="2825" max="3072" width="9.140625" style="172"/>
    <col min="3073" max="3073" width="10.7109375" style="172" customWidth="1"/>
    <col min="3074" max="3074" width="38.5703125" style="172" customWidth="1"/>
    <col min="3075" max="3075" width="23.5703125" style="172" customWidth="1"/>
    <col min="3076" max="3077" width="17.85546875" style="172" customWidth="1"/>
    <col min="3078" max="3078" width="16.42578125" style="172" customWidth="1"/>
    <col min="3079" max="3080" width="10.7109375" style="172" customWidth="1"/>
    <col min="3081" max="3328" width="9.140625" style="172"/>
    <col min="3329" max="3329" width="10.7109375" style="172" customWidth="1"/>
    <col min="3330" max="3330" width="38.5703125" style="172" customWidth="1"/>
    <col min="3331" max="3331" width="23.5703125" style="172" customWidth="1"/>
    <col min="3332" max="3333" width="17.85546875" style="172" customWidth="1"/>
    <col min="3334" max="3334" width="16.42578125" style="172" customWidth="1"/>
    <col min="3335" max="3336" width="10.7109375" style="172" customWidth="1"/>
    <col min="3337" max="3584" width="9.140625" style="172"/>
    <col min="3585" max="3585" width="10.7109375" style="172" customWidth="1"/>
    <col min="3586" max="3586" width="38.5703125" style="172" customWidth="1"/>
    <col min="3587" max="3587" width="23.5703125" style="172" customWidth="1"/>
    <col min="3588" max="3589" width="17.85546875" style="172" customWidth="1"/>
    <col min="3590" max="3590" width="16.42578125" style="172" customWidth="1"/>
    <col min="3591" max="3592" width="10.7109375" style="172" customWidth="1"/>
    <col min="3593" max="3840" width="9.140625" style="172"/>
    <col min="3841" max="3841" width="10.7109375" style="172" customWidth="1"/>
    <col min="3842" max="3842" width="38.5703125" style="172" customWidth="1"/>
    <col min="3843" max="3843" width="23.5703125" style="172" customWidth="1"/>
    <col min="3844" max="3845" width="17.85546875" style="172" customWidth="1"/>
    <col min="3846" max="3846" width="16.42578125" style="172" customWidth="1"/>
    <col min="3847" max="3848" width="10.7109375" style="172" customWidth="1"/>
    <col min="3849" max="4096" width="9.140625" style="172"/>
    <col min="4097" max="4097" width="10.7109375" style="172" customWidth="1"/>
    <col min="4098" max="4098" width="38.5703125" style="172" customWidth="1"/>
    <col min="4099" max="4099" width="23.5703125" style="172" customWidth="1"/>
    <col min="4100" max="4101" width="17.85546875" style="172" customWidth="1"/>
    <col min="4102" max="4102" width="16.42578125" style="172" customWidth="1"/>
    <col min="4103" max="4104" width="10.7109375" style="172" customWidth="1"/>
    <col min="4105" max="4352" width="9.140625" style="172"/>
    <col min="4353" max="4353" width="10.7109375" style="172" customWidth="1"/>
    <col min="4354" max="4354" width="38.5703125" style="172" customWidth="1"/>
    <col min="4355" max="4355" width="23.5703125" style="172" customWidth="1"/>
    <col min="4356" max="4357" width="17.85546875" style="172" customWidth="1"/>
    <col min="4358" max="4358" width="16.42578125" style="172" customWidth="1"/>
    <col min="4359" max="4360" width="10.7109375" style="172" customWidth="1"/>
    <col min="4361" max="4608" width="9.140625" style="172"/>
    <col min="4609" max="4609" width="10.7109375" style="172" customWidth="1"/>
    <col min="4610" max="4610" width="38.5703125" style="172" customWidth="1"/>
    <col min="4611" max="4611" width="23.5703125" style="172" customWidth="1"/>
    <col min="4612" max="4613" width="17.85546875" style="172" customWidth="1"/>
    <col min="4614" max="4614" width="16.42578125" style="172" customWidth="1"/>
    <col min="4615" max="4616" width="10.7109375" style="172" customWidth="1"/>
    <col min="4617" max="4864" width="9.140625" style="172"/>
    <col min="4865" max="4865" width="10.7109375" style="172" customWidth="1"/>
    <col min="4866" max="4866" width="38.5703125" style="172" customWidth="1"/>
    <col min="4867" max="4867" width="23.5703125" style="172" customWidth="1"/>
    <col min="4868" max="4869" width="17.85546875" style="172" customWidth="1"/>
    <col min="4870" max="4870" width="16.42578125" style="172" customWidth="1"/>
    <col min="4871" max="4872" width="10.7109375" style="172" customWidth="1"/>
    <col min="4873" max="5120" width="9.140625" style="172"/>
    <col min="5121" max="5121" width="10.7109375" style="172" customWidth="1"/>
    <col min="5122" max="5122" width="38.5703125" style="172" customWidth="1"/>
    <col min="5123" max="5123" width="23.5703125" style="172" customWidth="1"/>
    <col min="5124" max="5125" width="17.85546875" style="172" customWidth="1"/>
    <col min="5126" max="5126" width="16.42578125" style="172" customWidth="1"/>
    <col min="5127" max="5128" width="10.7109375" style="172" customWidth="1"/>
    <col min="5129" max="5376" width="9.140625" style="172"/>
    <col min="5377" max="5377" width="10.7109375" style="172" customWidth="1"/>
    <col min="5378" max="5378" width="38.5703125" style="172" customWidth="1"/>
    <col min="5379" max="5379" width="23.5703125" style="172" customWidth="1"/>
    <col min="5380" max="5381" width="17.85546875" style="172" customWidth="1"/>
    <col min="5382" max="5382" width="16.42578125" style="172" customWidth="1"/>
    <col min="5383" max="5384" width="10.7109375" style="172" customWidth="1"/>
    <col min="5385" max="5632" width="9.140625" style="172"/>
    <col min="5633" max="5633" width="10.7109375" style="172" customWidth="1"/>
    <col min="5634" max="5634" width="38.5703125" style="172" customWidth="1"/>
    <col min="5635" max="5635" width="23.5703125" style="172" customWidth="1"/>
    <col min="5636" max="5637" width="17.85546875" style="172" customWidth="1"/>
    <col min="5638" max="5638" width="16.42578125" style="172" customWidth="1"/>
    <col min="5639" max="5640" width="10.7109375" style="172" customWidth="1"/>
    <col min="5641" max="5888" width="9.140625" style="172"/>
    <col min="5889" max="5889" width="10.7109375" style="172" customWidth="1"/>
    <col min="5890" max="5890" width="38.5703125" style="172" customWidth="1"/>
    <col min="5891" max="5891" width="23.5703125" style="172" customWidth="1"/>
    <col min="5892" max="5893" width="17.85546875" style="172" customWidth="1"/>
    <col min="5894" max="5894" width="16.42578125" style="172" customWidth="1"/>
    <col min="5895" max="5896" width="10.7109375" style="172" customWidth="1"/>
    <col min="5897" max="6144" width="9.140625" style="172"/>
    <col min="6145" max="6145" width="10.7109375" style="172" customWidth="1"/>
    <col min="6146" max="6146" width="38.5703125" style="172" customWidth="1"/>
    <col min="6147" max="6147" width="23.5703125" style="172" customWidth="1"/>
    <col min="6148" max="6149" width="17.85546875" style="172" customWidth="1"/>
    <col min="6150" max="6150" width="16.42578125" style="172" customWidth="1"/>
    <col min="6151" max="6152" width="10.7109375" style="172" customWidth="1"/>
    <col min="6153" max="6400" width="9.140625" style="172"/>
    <col min="6401" max="6401" width="10.7109375" style="172" customWidth="1"/>
    <col min="6402" max="6402" width="38.5703125" style="172" customWidth="1"/>
    <col min="6403" max="6403" width="23.5703125" style="172" customWidth="1"/>
    <col min="6404" max="6405" width="17.85546875" style="172" customWidth="1"/>
    <col min="6406" max="6406" width="16.42578125" style="172" customWidth="1"/>
    <col min="6407" max="6408" width="10.7109375" style="172" customWidth="1"/>
    <col min="6409" max="6656" width="9.140625" style="172"/>
    <col min="6657" max="6657" width="10.7109375" style="172" customWidth="1"/>
    <col min="6658" max="6658" width="38.5703125" style="172" customWidth="1"/>
    <col min="6659" max="6659" width="23.5703125" style="172" customWidth="1"/>
    <col min="6660" max="6661" width="17.85546875" style="172" customWidth="1"/>
    <col min="6662" max="6662" width="16.42578125" style="172" customWidth="1"/>
    <col min="6663" max="6664" width="10.7109375" style="172" customWidth="1"/>
    <col min="6665" max="6912" width="9.140625" style="172"/>
    <col min="6913" max="6913" width="10.7109375" style="172" customWidth="1"/>
    <col min="6914" max="6914" width="38.5703125" style="172" customWidth="1"/>
    <col min="6915" max="6915" width="23.5703125" style="172" customWidth="1"/>
    <col min="6916" max="6917" width="17.85546875" style="172" customWidth="1"/>
    <col min="6918" max="6918" width="16.42578125" style="172" customWidth="1"/>
    <col min="6919" max="6920" width="10.7109375" style="172" customWidth="1"/>
    <col min="6921" max="7168" width="9.140625" style="172"/>
    <col min="7169" max="7169" width="10.7109375" style="172" customWidth="1"/>
    <col min="7170" max="7170" width="38.5703125" style="172" customWidth="1"/>
    <col min="7171" max="7171" width="23.5703125" style="172" customWidth="1"/>
    <col min="7172" max="7173" width="17.85546875" style="172" customWidth="1"/>
    <col min="7174" max="7174" width="16.42578125" style="172" customWidth="1"/>
    <col min="7175" max="7176" width="10.7109375" style="172" customWidth="1"/>
    <col min="7177" max="7424" width="9.140625" style="172"/>
    <col min="7425" max="7425" width="10.7109375" style="172" customWidth="1"/>
    <col min="7426" max="7426" width="38.5703125" style="172" customWidth="1"/>
    <col min="7427" max="7427" width="23.5703125" style="172" customWidth="1"/>
    <col min="7428" max="7429" width="17.85546875" style="172" customWidth="1"/>
    <col min="7430" max="7430" width="16.42578125" style="172" customWidth="1"/>
    <col min="7431" max="7432" width="10.7109375" style="172" customWidth="1"/>
    <col min="7433" max="7680" width="9.140625" style="172"/>
    <col min="7681" max="7681" width="10.7109375" style="172" customWidth="1"/>
    <col min="7682" max="7682" width="38.5703125" style="172" customWidth="1"/>
    <col min="7683" max="7683" width="23.5703125" style="172" customWidth="1"/>
    <col min="7684" max="7685" width="17.85546875" style="172" customWidth="1"/>
    <col min="7686" max="7686" width="16.42578125" style="172" customWidth="1"/>
    <col min="7687" max="7688" width="10.7109375" style="172" customWidth="1"/>
    <col min="7689" max="7936" width="9.140625" style="172"/>
    <col min="7937" max="7937" width="10.7109375" style="172" customWidth="1"/>
    <col min="7938" max="7938" width="38.5703125" style="172" customWidth="1"/>
    <col min="7939" max="7939" width="23.5703125" style="172" customWidth="1"/>
    <col min="7940" max="7941" width="17.85546875" style="172" customWidth="1"/>
    <col min="7942" max="7942" width="16.42578125" style="172" customWidth="1"/>
    <col min="7943" max="7944" width="10.7109375" style="172" customWidth="1"/>
    <col min="7945" max="8192" width="9.140625" style="172"/>
    <col min="8193" max="8193" width="10.7109375" style="172" customWidth="1"/>
    <col min="8194" max="8194" width="38.5703125" style="172" customWidth="1"/>
    <col min="8195" max="8195" width="23.5703125" style="172" customWidth="1"/>
    <col min="8196" max="8197" width="17.85546875" style="172" customWidth="1"/>
    <col min="8198" max="8198" width="16.42578125" style="172" customWidth="1"/>
    <col min="8199" max="8200" width="10.7109375" style="172" customWidth="1"/>
    <col min="8201" max="8448" width="9.140625" style="172"/>
    <col min="8449" max="8449" width="10.7109375" style="172" customWidth="1"/>
    <col min="8450" max="8450" width="38.5703125" style="172" customWidth="1"/>
    <col min="8451" max="8451" width="23.5703125" style="172" customWidth="1"/>
    <col min="8452" max="8453" width="17.85546875" style="172" customWidth="1"/>
    <col min="8454" max="8454" width="16.42578125" style="172" customWidth="1"/>
    <col min="8455" max="8456" width="10.7109375" style="172" customWidth="1"/>
    <col min="8457" max="8704" width="9.140625" style="172"/>
    <col min="8705" max="8705" width="10.7109375" style="172" customWidth="1"/>
    <col min="8706" max="8706" width="38.5703125" style="172" customWidth="1"/>
    <col min="8707" max="8707" width="23.5703125" style="172" customWidth="1"/>
    <col min="8708" max="8709" width="17.85546875" style="172" customWidth="1"/>
    <col min="8710" max="8710" width="16.42578125" style="172" customWidth="1"/>
    <col min="8711" max="8712" width="10.7109375" style="172" customWidth="1"/>
    <col min="8713" max="8960" width="9.140625" style="172"/>
    <col min="8961" max="8961" width="10.7109375" style="172" customWidth="1"/>
    <col min="8962" max="8962" width="38.5703125" style="172" customWidth="1"/>
    <col min="8963" max="8963" width="23.5703125" style="172" customWidth="1"/>
    <col min="8964" max="8965" width="17.85546875" style="172" customWidth="1"/>
    <col min="8966" max="8966" width="16.42578125" style="172" customWidth="1"/>
    <col min="8967" max="8968" width="10.7109375" style="172" customWidth="1"/>
    <col min="8969" max="9216" width="9.140625" style="172"/>
    <col min="9217" max="9217" width="10.7109375" style="172" customWidth="1"/>
    <col min="9218" max="9218" width="38.5703125" style="172" customWidth="1"/>
    <col min="9219" max="9219" width="23.5703125" style="172" customWidth="1"/>
    <col min="9220" max="9221" width="17.85546875" style="172" customWidth="1"/>
    <col min="9222" max="9222" width="16.42578125" style="172" customWidth="1"/>
    <col min="9223" max="9224" width="10.7109375" style="172" customWidth="1"/>
    <col min="9225" max="9472" width="9.140625" style="172"/>
    <col min="9473" max="9473" width="10.7109375" style="172" customWidth="1"/>
    <col min="9474" max="9474" width="38.5703125" style="172" customWidth="1"/>
    <col min="9475" max="9475" width="23.5703125" style="172" customWidth="1"/>
    <col min="9476" max="9477" width="17.85546875" style="172" customWidth="1"/>
    <col min="9478" max="9478" width="16.42578125" style="172" customWidth="1"/>
    <col min="9479" max="9480" width="10.7109375" style="172" customWidth="1"/>
    <col min="9481" max="9728" width="9.140625" style="172"/>
    <col min="9729" max="9729" width="10.7109375" style="172" customWidth="1"/>
    <col min="9730" max="9730" width="38.5703125" style="172" customWidth="1"/>
    <col min="9731" max="9731" width="23.5703125" style="172" customWidth="1"/>
    <col min="9732" max="9733" width="17.85546875" style="172" customWidth="1"/>
    <col min="9734" max="9734" width="16.42578125" style="172" customWidth="1"/>
    <col min="9735" max="9736" width="10.7109375" style="172" customWidth="1"/>
    <col min="9737" max="9984" width="9.140625" style="172"/>
    <col min="9985" max="9985" width="10.7109375" style="172" customWidth="1"/>
    <col min="9986" max="9986" width="38.5703125" style="172" customWidth="1"/>
    <col min="9987" max="9987" width="23.5703125" style="172" customWidth="1"/>
    <col min="9988" max="9989" width="17.85546875" style="172" customWidth="1"/>
    <col min="9990" max="9990" width="16.42578125" style="172" customWidth="1"/>
    <col min="9991" max="9992" width="10.7109375" style="172" customWidth="1"/>
    <col min="9993" max="10240" width="9.140625" style="172"/>
    <col min="10241" max="10241" width="10.7109375" style="172" customWidth="1"/>
    <col min="10242" max="10242" width="38.5703125" style="172" customWidth="1"/>
    <col min="10243" max="10243" width="23.5703125" style="172" customWidth="1"/>
    <col min="10244" max="10245" width="17.85546875" style="172" customWidth="1"/>
    <col min="10246" max="10246" width="16.42578125" style="172" customWidth="1"/>
    <col min="10247" max="10248" width="10.7109375" style="172" customWidth="1"/>
    <col min="10249" max="10496" width="9.140625" style="172"/>
    <col min="10497" max="10497" width="10.7109375" style="172" customWidth="1"/>
    <col min="10498" max="10498" width="38.5703125" style="172" customWidth="1"/>
    <col min="10499" max="10499" width="23.5703125" style="172" customWidth="1"/>
    <col min="10500" max="10501" width="17.85546875" style="172" customWidth="1"/>
    <col min="10502" max="10502" width="16.42578125" style="172" customWidth="1"/>
    <col min="10503" max="10504" width="10.7109375" style="172" customWidth="1"/>
    <col min="10505" max="10752" width="9.140625" style="172"/>
    <col min="10753" max="10753" width="10.7109375" style="172" customWidth="1"/>
    <col min="10754" max="10754" width="38.5703125" style="172" customWidth="1"/>
    <col min="10755" max="10755" width="23.5703125" style="172" customWidth="1"/>
    <col min="10756" max="10757" width="17.85546875" style="172" customWidth="1"/>
    <col min="10758" max="10758" width="16.42578125" style="172" customWidth="1"/>
    <col min="10759" max="10760" width="10.7109375" style="172" customWidth="1"/>
    <col min="10761" max="11008" width="9.140625" style="172"/>
    <col min="11009" max="11009" width="10.7109375" style="172" customWidth="1"/>
    <col min="11010" max="11010" width="38.5703125" style="172" customWidth="1"/>
    <col min="11011" max="11011" width="23.5703125" style="172" customWidth="1"/>
    <col min="11012" max="11013" width="17.85546875" style="172" customWidth="1"/>
    <col min="11014" max="11014" width="16.42578125" style="172" customWidth="1"/>
    <col min="11015" max="11016" width="10.7109375" style="172" customWidth="1"/>
    <col min="11017" max="11264" width="9.140625" style="172"/>
    <col min="11265" max="11265" width="10.7109375" style="172" customWidth="1"/>
    <col min="11266" max="11266" width="38.5703125" style="172" customWidth="1"/>
    <col min="11267" max="11267" width="23.5703125" style="172" customWidth="1"/>
    <col min="11268" max="11269" width="17.85546875" style="172" customWidth="1"/>
    <col min="11270" max="11270" width="16.42578125" style="172" customWidth="1"/>
    <col min="11271" max="11272" width="10.7109375" style="172" customWidth="1"/>
    <col min="11273" max="11520" width="9.140625" style="172"/>
    <col min="11521" max="11521" width="10.7109375" style="172" customWidth="1"/>
    <col min="11522" max="11522" width="38.5703125" style="172" customWidth="1"/>
    <col min="11523" max="11523" width="23.5703125" style="172" customWidth="1"/>
    <col min="11524" max="11525" width="17.85546875" style="172" customWidth="1"/>
    <col min="11526" max="11526" width="16.42578125" style="172" customWidth="1"/>
    <col min="11527" max="11528" width="10.7109375" style="172" customWidth="1"/>
    <col min="11529" max="11776" width="9.140625" style="172"/>
    <col min="11777" max="11777" width="10.7109375" style="172" customWidth="1"/>
    <col min="11778" max="11778" width="38.5703125" style="172" customWidth="1"/>
    <col min="11779" max="11779" width="23.5703125" style="172" customWidth="1"/>
    <col min="11780" max="11781" width="17.85546875" style="172" customWidth="1"/>
    <col min="11782" max="11782" width="16.42578125" style="172" customWidth="1"/>
    <col min="11783" max="11784" width="10.7109375" style="172" customWidth="1"/>
    <col min="11785" max="12032" width="9.140625" style="172"/>
    <col min="12033" max="12033" width="10.7109375" style="172" customWidth="1"/>
    <col min="12034" max="12034" width="38.5703125" style="172" customWidth="1"/>
    <col min="12035" max="12035" width="23.5703125" style="172" customWidth="1"/>
    <col min="12036" max="12037" width="17.85546875" style="172" customWidth="1"/>
    <col min="12038" max="12038" width="16.42578125" style="172" customWidth="1"/>
    <col min="12039" max="12040" width="10.7109375" style="172" customWidth="1"/>
    <col min="12041" max="12288" width="9.140625" style="172"/>
    <col min="12289" max="12289" width="10.7109375" style="172" customWidth="1"/>
    <col min="12290" max="12290" width="38.5703125" style="172" customWidth="1"/>
    <col min="12291" max="12291" width="23.5703125" style="172" customWidth="1"/>
    <col min="12292" max="12293" width="17.85546875" style="172" customWidth="1"/>
    <col min="12294" max="12294" width="16.42578125" style="172" customWidth="1"/>
    <col min="12295" max="12296" width="10.7109375" style="172" customWidth="1"/>
    <col min="12297" max="12544" width="9.140625" style="172"/>
    <col min="12545" max="12545" width="10.7109375" style="172" customWidth="1"/>
    <col min="12546" max="12546" width="38.5703125" style="172" customWidth="1"/>
    <col min="12547" max="12547" width="23.5703125" style="172" customWidth="1"/>
    <col min="12548" max="12549" width="17.85546875" style="172" customWidth="1"/>
    <col min="12550" max="12550" width="16.42578125" style="172" customWidth="1"/>
    <col min="12551" max="12552" width="10.7109375" style="172" customWidth="1"/>
    <col min="12553" max="12800" width="9.140625" style="172"/>
    <col min="12801" max="12801" width="10.7109375" style="172" customWidth="1"/>
    <col min="12802" max="12802" width="38.5703125" style="172" customWidth="1"/>
    <col min="12803" max="12803" width="23.5703125" style="172" customWidth="1"/>
    <col min="12804" max="12805" width="17.85546875" style="172" customWidth="1"/>
    <col min="12806" max="12806" width="16.42578125" style="172" customWidth="1"/>
    <col min="12807" max="12808" width="10.7109375" style="172" customWidth="1"/>
    <col min="12809" max="13056" width="9.140625" style="172"/>
    <col min="13057" max="13057" width="10.7109375" style="172" customWidth="1"/>
    <col min="13058" max="13058" width="38.5703125" style="172" customWidth="1"/>
    <col min="13059" max="13059" width="23.5703125" style="172" customWidth="1"/>
    <col min="13060" max="13061" width="17.85546875" style="172" customWidth="1"/>
    <col min="13062" max="13062" width="16.42578125" style="172" customWidth="1"/>
    <col min="13063" max="13064" width="10.7109375" style="172" customWidth="1"/>
    <col min="13065" max="13312" width="9.140625" style="172"/>
    <col min="13313" max="13313" width="10.7109375" style="172" customWidth="1"/>
    <col min="13314" max="13314" width="38.5703125" style="172" customWidth="1"/>
    <col min="13315" max="13315" width="23.5703125" style="172" customWidth="1"/>
    <col min="13316" max="13317" width="17.85546875" style="172" customWidth="1"/>
    <col min="13318" max="13318" width="16.42578125" style="172" customWidth="1"/>
    <col min="13319" max="13320" width="10.7109375" style="172" customWidth="1"/>
    <col min="13321" max="13568" width="9.140625" style="172"/>
    <col min="13569" max="13569" width="10.7109375" style="172" customWidth="1"/>
    <col min="13570" max="13570" width="38.5703125" style="172" customWidth="1"/>
    <col min="13571" max="13571" width="23.5703125" style="172" customWidth="1"/>
    <col min="13572" max="13573" width="17.85546875" style="172" customWidth="1"/>
    <col min="13574" max="13574" width="16.42578125" style="172" customWidth="1"/>
    <col min="13575" max="13576" width="10.7109375" style="172" customWidth="1"/>
    <col min="13577" max="13824" width="9.140625" style="172"/>
    <col min="13825" max="13825" width="10.7109375" style="172" customWidth="1"/>
    <col min="13826" max="13826" width="38.5703125" style="172" customWidth="1"/>
    <col min="13827" max="13827" width="23.5703125" style="172" customWidth="1"/>
    <col min="13828" max="13829" width="17.85546875" style="172" customWidth="1"/>
    <col min="13830" max="13830" width="16.42578125" style="172" customWidth="1"/>
    <col min="13831" max="13832" width="10.7109375" style="172" customWidth="1"/>
    <col min="13833" max="14080" width="9.140625" style="172"/>
    <col min="14081" max="14081" width="10.7109375" style="172" customWidth="1"/>
    <col min="14082" max="14082" width="38.5703125" style="172" customWidth="1"/>
    <col min="14083" max="14083" width="23.5703125" style="172" customWidth="1"/>
    <col min="14084" max="14085" width="17.85546875" style="172" customWidth="1"/>
    <col min="14086" max="14086" width="16.42578125" style="172" customWidth="1"/>
    <col min="14087" max="14088" width="10.7109375" style="172" customWidth="1"/>
    <col min="14089" max="14336" width="9.140625" style="172"/>
    <col min="14337" max="14337" width="10.7109375" style="172" customWidth="1"/>
    <col min="14338" max="14338" width="38.5703125" style="172" customWidth="1"/>
    <col min="14339" max="14339" width="23.5703125" style="172" customWidth="1"/>
    <col min="14340" max="14341" width="17.85546875" style="172" customWidth="1"/>
    <col min="14342" max="14342" width="16.42578125" style="172" customWidth="1"/>
    <col min="14343" max="14344" width="10.7109375" style="172" customWidth="1"/>
    <col min="14345" max="14592" width="9.140625" style="172"/>
    <col min="14593" max="14593" width="10.7109375" style="172" customWidth="1"/>
    <col min="14594" max="14594" width="38.5703125" style="172" customWidth="1"/>
    <col min="14595" max="14595" width="23.5703125" style="172" customWidth="1"/>
    <col min="14596" max="14597" width="17.85546875" style="172" customWidth="1"/>
    <col min="14598" max="14598" width="16.42578125" style="172" customWidth="1"/>
    <col min="14599" max="14600" width="10.7109375" style="172" customWidth="1"/>
    <col min="14601" max="14848" width="9.140625" style="172"/>
    <col min="14849" max="14849" width="10.7109375" style="172" customWidth="1"/>
    <col min="14850" max="14850" width="38.5703125" style="172" customWidth="1"/>
    <col min="14851" max="14851" width="23.5703125" style="172" customWidth="1"/>
    <col min="14852" max="14853" width="17.85546875" style="172" customWidth="1"/>
    <col min="14854" max="14854" width="16.42578125" style="172" customWidth="1"/>
    <col min="14855" max="14856" width="10.7109375" style="172" customWidth="1"/>
    <col min="14857" max="15104" width="9.140625" style="172"/>
    <col min="15105" max="15105" width="10.7109375" style="172" customWidth="1"/>
    <col min="15106" max="15106" width="38.5703125" style="172" customWidth="1"/>
    <col min="15107" max="15107" width="23.5703125" style="172" customWidth="1"/>
    <col min="15108" max="15109" width="17.85546875" style="172" customWidth="1"/>
    <col min="15110" max="15110" width="16.42578125" style="172" customWidth="1"/>
    <col min="15111" max="15112" width="10.7109375" style="172" customWidth="1"/>
    <col min="15113" max="15360" width="9.140625" style="172"/>
    <col min="15361" max="15361" width="10.7109375" style="172" customWidth="1"/>
    <col min="15362" max="15362" width="38.5703125" style="172" customWidth="1"/>
    <col min="15363" max="15363" width="23.5703125" style="172" customWidth="1"/>
    <col min="15364" max="15365" width="17.85546875" style="172" customWidth="1"/>
    <col min="15366" max="15366" width="16.42578125" style="172" customWidth="1"/>
    <col min="15367" max="15368" width="10.7109375" style="172" customWidth="1"/>
    <col min="15369" max="15616" width="9.140625" style="172"/>
    <col min="15617" max="15617" width="10.7109375" style="172" customWidth="1"/>
    <col min="15618" max="15618" width="38.5703125" style="172" customWidth="1"/>
    <col min="15619" max="15619" width="23.5703125" style="172" customWidth="1"/>
    <col min="15620" max="15621" width="17.85546875" style="172" customWidth="1"/>
    <col min="15622" max="15622" width="16.42578125" style="172" customWidth="1"/>
    <col min="15623" max="15624" width="10.7109375" style="172" customWidth="1"/>
    <col min="15625" max="15872" width="9.140625" style="172"/>
    <col min="15873" max="15873" width="10.7109375" style="172" customWidth="1"/>
    <col min="15874" max="15874" width="38.5703125" style="172" customWidth="1"/>
    <col min="15875" max="15875" width="23.5703125" style="172" customWidth="1"/>
    <col min="15876" max="15877" width="17.85546875" style="172" customWidth="1"/>
    <col min="15878" max="15878" width="16.42578125" style="172" customWidth="1"/>
    <col min="15879" max="15880" width="10.7109375" style="172" customWidth="1"/>
    <col min="15881" max="16128" width="9.140625" style="172"/>
    <col min="16129" max="16129" width="10.7109375" style="172" customWidth="1"/>
    <col min="16130" max="16130" width="38.5703125" style="172" customWidth="1"/>
    <col min="16131" max="16131" width="23.5703125" style="172" customWidth="1"/>
    <col min="16132" max="16133" width="17.85546875" style="172" customWidth="1"/>
    <col min="16134" max="16134" width="16.42578125" style="172" customWidth="1"/>
    <col min="16135" max="16136" width="10.7109375" style="172" customWidth="1"/>
    <col min="16137" max="16384" width="9.140625" style="172"/>
  </cols>
  <sheetData>
    <row r="1" spans="1:8" ht="23.25" customHeight="1">
      <c r="A1" s="297"/>
      <c r="B1" s="297"/>
      <c r="C1" s="201"/>
      <c r="D1" s="201"/>
      <c r="E1" s="311" t="s">
        <v>694</v>
      </c>
      <c r="F1" s="311"/>
      <c r="G1" s="311"/>
      <c r="H1" s="311"/>
    </row>
    <row r="2" spans="1:8" ht="22.5" customHeight="1">
      <c r="A2" s="308" t="s">
        <v>575</v>
      </c>
      <c r="B2" s="308"/>
      <c r="C2" s="308"/>
      <c r="D2" s="308"/>
      <c r="E2" s="308"/>
      <c r="F2" s="308"/>
      <c r="G2" s="308"/>
      <c r="H2" s="308"/>
    </row>
    <row r="3" spans="1:8" ht="2.25" customHeight="1">
      <c r="A3" s="2"/>
      <c r="B3" s="2"/>
      <c r="C3" s="2"/>
      <c r="D3" s="2"/>
      <c r="E3" s="2"/>
      <c r="F3" s="2"/>
      <c r="G3" s="2"/>
      <c r="H3" s="2"/>
    </row>
    <row r="4" spans="1:8" ht="25.5" customHeight="1">
      <c r="A4" s="309" t="s">
        <v>231</v>
      </c>
      <c r="B4" s="309"/>
      <c r="C4" s="309"/>
      <c r="D4" s="309"/>
      <c r="E4" s="309"/>
      <c r="F4" s="309"/>
      <c r="G4" s="309"/>
      <c r="H4" s="309"/>
    </row>
    <row r="5" spans="1:8" ht="12" customHeight="1">
      <c r="A5" s="310" t="s">
        <v>3</v>
      </c>
      <c r="B5" s="310"/>
      <c r="C5" s="310"/>
      <c r="D5" s="310"/>
      <c r="E5" s="310"/>
      <c r="F5" s="310"/>
      <c r="G5" s="310"/>
      <c r="H5" s="310"/>
    </row>
    <row r="6" spans="1:8" ht="11.25" customHeight="1">
      <c r="A6" s="2"/>
      <c r="B6" s="2"/>
      <c r="C6" s="2"/>
      <c r="D6" s="2"/>
      <c r="E6" s="2"/>
      <c r="F6" s="2"/>
      <c r="G6" s="2"/>
      <c r="H6" s="2"/>
    </row>
    <row r="7" spans="1:8" ht="12.75" customHeight="1">
      <c r="A7" s="5" t="s">
        <v>4</v>
      </c>
      <c r="B7" s="37" t="s">
        <v>5</v>
      </c>
      <c r="C7" s="37" t="s">
        <v>6</v>
      </c>
      <c r="D7" s="2"/>
      <c r="E7" s="2"/>
      <c r="F7" s="2"/>
      <c r="G7" s="2"/>
      <c r="H7" s="2"/>
    </row>
    <row r="8" spans="1:8" ht="12.75" customHeight="1">
      <c r="A8" s="2"/>
      <c r="B8" s="2" t="s">
        <v>7</v>
      </c>
      <c r="C8" s="2" t="s">
        <v>8</v>
      </c>
      <c r="D8" s="2"/>
      <c r="E8" s="2"/>
      <c r="F8" s="2"/>
      <c r="G8" s="2"/>
      <c r="H8" s="2"/>
    </row>
    <row r="9" spans="1:8" ht="12.75" customHeight="1">
      <c r="A9" s="196" t="s">
        <v>9</v>
      </c>
      <c r="B9" s="37" t="s">
        <v>578</v>
      </c>
      <c r="C9" s="306" t="s">
        <v>11</v>
      </c>
      <c r="D9" s="306"/>
      <c r="E9" s="306"/>
      <c r="F9" s="306"/>
      <c r="G9" s="306"/>
      <c r="H9" s="306"/>
    </row>
    <row r="10" spans="1:8" ht="12.75" customHeight="1">
      <c r="A10" s="195"/>
      <c r="B10" s="2" t="s">
        <v>12</v>
      </c>
      <c r="C10" s="297" t="s">
        <v>13</v>
      </c>
      <c r="D10" s="297"/>
      <c r="E10" s="297"/>
      <c r="F10" s="297"/>
      <c r="G10" s="297"/>
      <c r="H10" s="297"/>
    </row>
    <row r="11" spans="1:8" ht="12.75" customHeight="1">
      <c r="A11" s="194" t="s">
        <v>14</v>
      </c>
      <c r="B11" s="37" t="s">
        <v>579</v>
      </c>
      <c r="C11" s="306" t="s">
        <v>16</v>
      </c>
      <c r="D11" s="306"/>
      <c r="E11" s="306"/>
      <c r="F11" s="306"/>
      <c r="G11" s="306"/>
      <c r="H11" s="306"/>
    </row>
    <row r="12" spans="1:8" ht="12.75" customHeight="1">
      <c r="A12" s="194"/>
      <c r="B12" s="2" t="s">
        <v>17</v>
      </c>
      <c r="C12" s="297" t="s">
        <v>18</v>
      </c>
      <c r="D12" s="297"/>
      <c r="E12" s="297"/>
      <c r="F12" s="297"/>
      <c r="G12" s="297"/>
      <c r="H12" s="297"/>
    </row>
    <row r="13" spans="1:8" ht="12.75" customHeight="1">
      <c r="A13" s="194" t="s">
        <v>19</v>
      </c>
      <c r="B13" s="37" t="s">
        <v>20</v>
      </c>
      <c r="C13" s="307">
        <v>45359</v>
      </c>
      <c r="D13" s="306"/>
      <c r="E13" s="306"/>
      <c r="F13" s="306"/>
      <c r="G13" s="306"/>
      <c r="H13" s="306"/>
    </row>
    <row r="14" spans="1:8" ht="12.75" customHeight="1">
      <c r="A14" s="2"/>
      <c r="B14" s="2" t="s">
        <v>580</v>
      </c>
      <c r="C14" s="296">
        <v>45359</v>
      </c>
      <c r="D14" s="297"/>
      <c r="E14" s="297"/>
      <c r="F14" s="297"/>
      <c r="G14" s="297"/>
      <c r="H14" s="297"/>
    </row>
    <row r="15" spans="1:8" ht="6.75" customHeight="1">
      <c r="A15" s="2"/>
      <c r="B15" s="2"/>
      <c r="C15" s="2"/>
      <c r="D15" s="2"/>
      <c r="E15" s="2"/>
      <c r="F15" s="2"/>
      <c r="G15" s="2"/>
      <c r="H15" s="2"/>
    </row>
    <row r="16" spans="1:8" ht="12.75" customHeight="1">
      <c r="A16" s="305" t="s">
        <v>576</v>
      </c>
      <c r="B16" s="305"/>
      <c r="C16" s="305"/>
      <c r="D16" s="305"/>
      <c r="E16" s="305"/>
      <c r="F16" s="305"/>
      <c r="G16" s="305"/>
      <c r="H16" s="305"/>
    </row>
    <row r="17" spans="1:10" ht="12.75" customHeight="1">
      <c r="A17" s="305" t="s">
        <v>577</v>
      </c>
      <c r="B17" s="305"/>
      <c r="C17" s="305"/>
      <c r="D17" s="305"/>
      <c r="E17" s="305"/>
      <c r="F17" s="305"/>
      <c r="G17" s="305"/>
      <c r="H17" s="305"/>
    </row>
    <row r="18" spans="1:10" ht="12.75" customHeight="1">
      <c r="A18" s="173"/>
      <c r="B18" s="173"/>
      <c r="C18" s="173"/>
      <c r="D18" s="173"/>
      <c r="E18" s="173"/>
      <c r="F18" s="298" t="s">
        <v>24</v>
      </c>
      <c r="G18" s="298"/>
      <c r="H18" s="298"/>
    </row>
    <row r="19" spans="1:10" ht="18" customHeight="1">
      <c r="A19" s="299" t="s">
        <v>504</v>
      </c>
      <c r="B19" s="301" t="s">
        <v>581</v>
      </c>
      <c r="C19" s="301" t="s">
        <v>582</v>
      </c>
      <c r="D19" s="301" t="s">
        <v>583</v>
      </c>
      <c r="E19" s="301"/>
      <c r="F19" s="301"/>
      <c r="G19" s="301" t="s">
        <v>584</v>
      </c>
      <c r="H19" s="303" t="s">
        <v>585</v>
      </c>
    </row>
    <row r="20" spans="1:10" ht="43.5" customHeight="1">
      <c r="A20" s="300"/>
      <c r="B20" s="302"/>
      <c r="C20" s="302"/>
      <c r="D20" s="11" t="s">
        <v>690</v>
      </c>
      <c r="E20" s="11" t="s">
        <v>691</v>
      </c>
      <c r="F20" s="11" t="s">
        <v>586</v>
      </c>
      <c r="G20" s="302"/>
      <c r="H20" s="304"/>
    </row>
    <row r="21" spans="1:10" ht="16.5" customHeight="1">
      <c r="A21" s="174" t="s">
        <v>587</v>
      </c>
      <c r="B21" s="175" t="s">
        <v>588</v>
      </c>
      <c r="C21" s="175" t="s">
        <v>589</v>
      </c>
      <c r="D21" s="175" t="s">
        <v>590</v>
      </c>
      <c r="E21" s="175" t="s">
        <v>591</v>
      </c>
      <c r="F21" s="175" t="s">
        <v>592</v>
      </c>
      <c r="G21" s="175" t="s">
        <v>593</v>
      </c>
      <c r="H21" s="176" t="s">
        <v>594</v>
      </c>
    </row>
    <row r="22" spans="1:10" ht="16.5" customHeight="1">
      <c r="A22" s="6" t="s">
        <v>4</v>
      </c>
      <c r="B22" s="7" t="s">
        <v>595</v>
      </c>
      <c r="C22" s="7" t="s">
        <v>693</v>
      </c>
      <c r="D22" s="9">
        <v>2984788974276</v>
      </c>
      <c r="E22" s="9">
        <v>11581753758326</v>
      </c>
      <c r="F22" s="10">
        <f>+D22/E22</f>
        <v>0.25771476725882442</v>
      </c>
      <c r="G22" s="177">
        <v>1.5000000079020662E-3</v>
      </c>
      <c r="H22" s="8" t="s">
        <v>688</v>
      </c>
    </row>
    <row r="23" spans="1:10" ht="16.5" customHeight="1">
      <c r="A23" s="6" t="s">
        <v>9</v>
      </c>
      <c r="B23" s="7" t="s">
        <v>596</v>
      </c>
      <c r="C23" s="7" t="s">
        <v>693</v>
      </c>
      <c r="D23" s="9">
        <v>1950174373000</v>
      </c>
      <c r="E23" s="9">
        <v>11581753758326</v>
      </c>
      <c r="F23" s="10">
        <f t="shared" ref="F23:F26" si="0">+D23/E23</f>
        <v>0.16838333931923222</v>
      </c>
      <c r="G23" s="177">
        <v>1.5000000012819366E-3</v>
      </c>
      <c r="H23" s="8" t="s">
        <v>688</v>
      </c>
    </row>
    <row r="24" spans="1:10" ht="16.5" customHeight="1">
      <c r="A24" s="6" t="s">
        <v>14</v>
      </c>
      <c r="B24" s="7" t="s">
        <v>597</v>
      </c>
      <c r="C24" s="7" t="s">
        <v>693</v>
      </c>
      <c r="D24" s="9">
        <v>2142561570000</v>
      </c>
      <c r="E24" s="9">
        <v>11581753758326</v>
      </c>
      <c r="F24" s="10">
        <f t="shared" si="0"/>
        <v>0.18499457117707543</v>
      </c>
      <c r="G24" s="177">
        <v>1.5000000065342346E-3</v>
      </c>
      <c r="H24" s="8" t="s">
        <v>688</v>
      </c>
    </row>
    <row r="25" spans="1:10" ht="16.5" customHeight="1">
      <c r="A25" s="6" t="s">
        <v>19</v>
      </c>
      <c r="B25" s="7" t="s">
        <v>598</v>
      </c>
      <c r="C25" s="7" t="s">
        <v>693</v>
      </c>
      <c r="D25" s="9">
        <v>2427034526050</v>
      </c>
      <c r="E25" s="9">
        <v>11581753758326</v>
      </c>
      <c r="F25" s="10">
        <f t="shared" si="0"/>
        <v>0.20955673697562691</v>
      </c>
      <c r="G25" s="177">
        <v>3.5123544714766789E-4</v>
      </c>
      <c r="H25" s="8" t="s">
        <v>688</v>
      </c>
    </row>
    <row r="26" spans="1:10" ht="16.5" customHeight="1">
      <c r="A26" s="6" t="s">
        <v>287</v>
      </c>
      <c r="B26" s="7" t="s">
        <v>599</v>
      </c>
      <c r="C26" s="7" t="s">
        <v>693</v>
      </c>
      <c r="D26" s="9">
        <v>2077194315000</v>
      </c>
      <c r="E26" s="9">
        <v>11581753758326</v>
      </c>
      <c r="F26" s="10">
        <f t="shared" si="0"/>
        <v>0.17935058526924103</v>
      </c>
      <c r="G26" s="177">
        <v>1.5000001037457104E-3</v>
      </c>
      <c r="H26" s="8" t="s">
        <v>688</v>
      </c>
    </row>
    <row r="27" spans="1:10" ht="16.5" customHeight="1">
      <c r="A27" s="292" t="s">
        <v>600</v>
      </c>
      <c r="B27" s="293"/>
      <c r="C27" s="293"/>
      <c r="D27" s="178">
        <f>SUBTOTAL(9,D22:D26)</f>
        <v>11581753758326</v>
      </c>
      <c r="E27" s="178"/>
      <c r="F27" s="179">
        <f>SUBTOTAL(9,F22:F26)</f>
        <v>1</v>
      </c>
      <c r="G27" s="180"/>
      <c r="H27" s="181"/>
      <c r="I27" s="56"/>
      <c r="J27" s="312"/>
    </row>
    <row r="28" spans="1:10" ht="4.5" customHeight="1">
      <c r="A28" s="2"/>
      <c r="B28" s="2"/>
      <c r="C28" s="4"/>
      <c r="D28" s="2"/>
      <c r="E28" s="2"/>
      <c r="F28" s="2"/>
      <c r="G28" s="2"/>
      <c r="H28" s="2"/>
    </row>
    <row r="29" spans="1:10" s="200" customFormat="1" ht="12.75" customHeight="1">
      <c r="A29" s="198" t="s">
        <v>502</v>
      </c>
      <c r="B29" s="198" t="s">
        <v>692</v>
      </c>
      <c r="C29" s="188"/>
      <c r="D29" s="189"/>
      <c r="E29" s="199"/>
      <c r="F29" s="198"/>
      <c r="G29" s="198"/>
      <c r="H29" s="198"/>
    </row>
    <row r="30" spans="1:10" ht="6" customHeight="1">
      <c r="A30" s="3"/>
      <c r="B30" s="3"/>
      <c r="C30" s="4"/>
      <c r="D30" s="3"/>
      <c r="E30" s="3"/>
      <c r="F30" s="3"/>
      <c r="G30" s="3"/>
      <c r="H30" s="3"/>
    </row>
    <row r="31" spans="1:10" ht="14.25" customHeight="1">
      <c r="A31" s="1"/>
      <c r="B31" s="294" t="s">
        <v>221</v>
      </c>
      <c r="C31" s="294"/>
      <c r="D31" s="2"/>
      <c r="E31" s="294" t="s">
        <v>601</v>
      </c>
      <c r="F31" s="294"/>
      <c r="G31" s="294"/>
      <c r="H31" s="294"/>
    </row>
    <row r="32" spans="1:10" ht="12" customHeight="1">
      <c r="A32" s="38"/>
      <c r="B32" s="295" t="s">
        <v>223</v>
      </c>
      <c r="C32" s="295"/>
      <c r="D32" s="2"/>
      <c r="E32" s="295" t="s">
        <v>224</v>
      </c>
      <c r="F32" s="295"/>
      <c r="G32" s="295"/>
      <c r="H32" s="295"/>
    </row>
    <row r="33" spans="1:8" ht="15.75" customHeight="1">
      <c r="A33" s="2"/>
      <c r="B33" s="2"/>
      <c r="C33" s="2"/>
      <c r="D33" s="2"/>
      <c r="E33" s="2"/>
      <c r="F33" s="2"/>
      <c r="G33" s="2"/>
      <c r="H33" s="2"/>
    </row>
    <row r="34" spans="1:8" ht="15.75" customHeight="1">
      <c r="A34" s="2"/>
      <c r="B34" s="2"/>
      <c r="C34" s="2"/>
      <c r="D34" s="2"/>
      <c r="E34" s="2"/>
      <c r="F34" s="2"/>
      <c r="G34" s="2"/>
      <c r="H34" s="2"/>
    </row>
    <row r="35" spans="1:8" ht="15.75" customHeight="1">
      <c r="A35" s="2"/>
      <c r="B35" s="2"/>
      <c r="C35" s="2"/>
      <c r="D35" s="2"/>
      <c r="E35" s="2"/>
      <c r="F35" s="2"/>
      <c r="G35" s="2"/>
      <c r="H35" s="2"/>
    </row>
    <row r="36" spans="1:8" ht="15.75" customHeight="1">
      <c r="A36" s="2"/>
      <c r="B36" s="2"/>
      <c r="C36" s="2"/>
      <c r="D36" s="2"/>
      <c r="E36" s="2"/>
      <c r="F36" s="2"/>
      <c r="G36" s="2"/>
      <c r="H36" s="2"/>
    </row>
    <row r="37" spans="1:8" ht="12.75" customHeight="1">
      <c r="A37" s="2"/>
      <c r="B37" s="259" t="s">
        <v>225</v>
      </c>
      <c r="C37" s="259"/>
      <c r="D37" s="2"/>
      <c r="E37" s="259" t="s">
        <v>226</v>
      </c>
      <c r="F37" s="259"/>
      <c r="G37" s="259"/>
      <c r="H37" s="259"/>
    </row>
    <row r="38" spans="1:8" s="73" customFormat="1" ht="12.75" customHeight="1">
      <c r="A38" s="5"/>
      <c r="B38" s="259" t="s">
        <v>227</v>
      </c>
      <c r="C38" s="259"/>
      <c r="D38" s="5"/>
      <c r="E38" s="251" t="s">
        <v>228</v>
      </c>
      <c r="F38" s="251"/>
      <c r="G38" s="251"/>
      <c r="H38" s="251"/>
    </row>
    <row r="39" spans="1:8" s="73" customFormat="1" ht="12.75" customHeight="1">
      <c r="A39" s="182"/>
      <c r="B39" s="259" t="s">
        <v>229</v>
      </c>
      <c r="C39" s="259"/>
      <c r="D39" s="182"/>
      <c r="E39" s="251" t="s">
        <v>230</v>
      </c>
      <c r="F39" s="251"/>
      <c r="G39" s="251"/>
      <c r="H39" s="251"/>
    </row>
  </sheetData>
  <mergeCells count="31">
    <mergeCell ref="A1:B1"/>
    <mergeCell ref="A2:H2"/>
    <mergeCell ref="A4:H4"/>
    <mergeCell ref="A5:H5"/>
    <mergeCell ref="E1:H1"/>
    <mergeCell ref="C9:H9"/>
    <mergeCell ref="C10:H10"/>
    <mergeCell ref="C11:H11"/>
    <mergeCell ref="C12:H12"/>
    <mergeCell ref="C13:H13"/>
    <mergeCell ref="C14:H14"/>
    <mergeCell ref="F18:H18"/>
    <mergeCell ref="A19:A20"/>
    <mergeCell ref="B19:B20"/>
    <mergeCell ref="C19:C20"/>
    <mergeCell ref="D19:F19"/>
    <mergeCell ref="G19:G20"/>
    <mergeCell ref="H19:H20"/>
    <mergeCell ref="A17:H17"/>
    <mergeCell ref="A16:H16"/>
    <mergeCell ref="E38:H38"/>
    <mergeCell ref="E39:H39"/>
    <mergeCell ref="B38:C38"/>
    <mergeCell ref="B39:C39"/>
    <mergeCell ref="A27:C27"/>
    <mergeCell ref="B31:C31"/>
    <mergeCell ref="E31:H31"/>
    <mergeCell ref="B32:C32"/>
    <mergeCell ref="E32:H32"/>
    <mergeCell ref="B37:C37"/>
    <mergeCell ref="E37:H37"/>
  </mergeCells>
  <printOptions horizontalCentered="1"/>
  <pageMargins left="0" right="0" top="0.48" bottom="0.04" header="0.49" footer="7.0000000000000007E-2"/>
  <pageSetup paperSize="9" scale="95"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6YZQP2mx04HeiK4IIvLlY+WIi30=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UbFOg2+ftXb+Eqgp3sQqzLoTKLw=</DigestValue>
    </Reference>
  </SignedInfo>
  <SignatureValue>oe85SiQHrtzidnxRoMjmC6f9u8h/NmfXogLKBPLXJV0hpXV1j4BO9RNGjFzoQYvPDl7SLAnWw32C
5YYzP7Iy5USM1S9qfntmgOZIBpxhYFpd3+jDpquyYFVuF9F6aFtkFXJQNcgGXU4/MY3rAySic8tA
kj2Agn3aDkdCDgX5hx0LnIVO/TltX32bIdhvywD3jQB/QLEZtqY4Vmc+qR/Jww3JMYwxRVlPUt6q
92SbrzrMPXyzmmxvQspRag0Sq9o7MT+4EnZ8hdBWVAed6Li0S1i7e+nxcXo6TrHKkyLYSr0NADun
nedt6Tm5JPMM2z3X9SfqHmqPCB938/wfIDSG2g==</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calcChain.xml?ContentType=application/vnd.openxmlformats-officedocument.spreadsheetml.calcChain+xml">
        <DigestMethod Algorithm="http://www.w3.org/2000/09/xmldsig#sha1"/>
        <DigestValue>eLixbsfwRClZttOCpA7A4ERl498=</DigestValue>
      </Reference>
      <Reference URI="/xl/drawings/drawing1.xml?ContentType=application/vnd.openxmlformats-officedocument.drawing+xml">
        <DigestMethod Algorithm="http://www.w3.org/2000/09/xmldsig#sha1"/>
        <DigestValue>g0x7CqWZIuhIMdbOpSlwsgIHQ7Q=</DigestValue>
      </Reference>
      <Reference URI="/xl/drawings/drawing4.xml?ContentType=application/vnd.openxmlformats-officedocument.drawing+xml">
        <DigestMethod Algorithm="http://www.w3.org/2000/09/xmldsig#sha1"/>
        <DigestValue>oeTjpzlk6EKEj0cOlO9xecOazng=</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XiSPn/yWce/MwzSeX0CeATULbQg=</DigestValue>
      </Reference>
      <Reference URI="/xl/media/image2.jpeg?ContentType=image/jpeg">
        <DigestMethod Algorithm="http://www.w3.org/2000/09/xmldsig#sha1"/>
        <DigestValue>0B37CcCIdU8yAV2g9C1VZjPXQPs=</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drawings/drawing2.xml?ContentType=application/vnd.openxmlformats-officedocument.drawing+xml">
        <DigestMethod Algorithm="http://www.w3.org/2000/09/xmldsig#sha1"/>
        <DigestValue>LMUCyEQ09fDdHc3sDDd6/n5JQvs=</DigestValue>
      </Reference>
      <Reference URI="/xl/worksheets/sheet5.xml?ContentType=application/vnd.openxmlformats-officedocument.spreadsheetml.worksheet+xml">
        <DigestMethod Algorithm="http://www.w3.org/2000/09/xmldsig#sha1"/>
        <DigestValue>zHijZvu9qF2b+wEij9ksnufNr2M=</DigestValue>
      </Reference>
      <Reference URI="/xl/worksheets/sheet7.xml?ContentType=application/vnd.openxmlformats-officedocument.spreadsheetml.worksheet+xml">
        <DigestMethod Algorithm="http://www.w3.org/2000/09/xmldsig#sha1"/>
        <DigestValue>LYwTIquRaMudMPgSfQeOsc5SGEI=</DigestValue>
      </Reference>
      <Reference URI="/xl/worksheets/sheet6.xml?ContentType=application/vnd.openxmlformats-officedocument.spreadsheetml.worksheet+xml">
        <DigestMethod Algorithm="http://www.w3.org/2000/09/xmldsig#sha1"/>
        <DigestValue>/aA7uBUa6TQQbAurOHGqrn5SeJU=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7.bin?ContentType=application/vnd.openxmlformats-officedocument.spreadsheetml.printerSettings">
        <DigestMethod Algorithm="http://www.w3.org/2000/09/xmldsig#sha1"/>
        <DigestValue>gz+y1ho1BGB03Y9TM/RIWl3+B7s=</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sharedStrings.xml?ContentType=application/vnd.openxmlformats-officedocument.spreadsheetml.sharedStrings+xml">
        <DigestMethod Algorithm="http://www.w3.org/2000/09/xmldsig#sha1"/>
        <DigestValue>SEQdrMf4OWqErgspkAok/+sUvNo=</DigestValue>
      </Reference>
      <Reference URI="/xl/media/image3.jpeg?ContentType=image/jpeg">
        <DigestMethod Algorithm="http://www.w3.org/2000/09/xmldsig#sha1"/>
        <DigestValue>u6Y0gsycq9pFQWl/wORUQuesxDE=</DigestValue>
      </Reference>
      <Reference URI="/xl/drawings/drawing3.xml?ContentType=application/vnd.openxmlformats-officedocument.drawing+xml">
        <DigestMethod Algorithm="http://www.w3.org/2000/09/xmldsig#sha1"/>
        <DigestValue>KguoBDAbWCI/edbmUZjlAIWOHbU=</DigestValue>
      </Reference>
      <Reference URI="/xl/worksheets/sheet3.xml?ContentType=application/vnd.openxmlformats-officedocument.spreadsheetml.worksheet+xml">
        <DigestMethod Algorithm="http://www.w3.org/2000/09/xmldsig#sha1"/>
        <DigestValue>CRnyBgguoRmEIyQjZD8GeMasQIs=</DigestValue>
      </Reference>
      <Reference URI="/xl/worksheets/sheet2.xml?ContentType=application/vnd.openxmlformats-officedocument.spreadsheetml.worksheet+xml">
        <DigestMethod Algorithm="http://www.w3.org/2000/09/xmldsig#sha1"/>
        <DigestValue>CBGXkmv/HlIarh6z3l8vmKolXUY=</DigestValue>
      </Reference>
      <Reference URI="/xl/worksheets/sheet1.xml?ContentType=application/vnd.openxmlformats-officedocument.spreadsheetml.worksheet+xml">
        <DigestMethod Algorithm="http://www.w3.org/2000/09/xmldsig#sha1"/>
        <DigestValue>6YDMEhurV486o+5zciiDNLVqhes=</DigestValue>
      </Reference>
      <Reference URI="/xl/worksheets/sheet4.xml?ContentType=application/vnd.openxmlformats-officedocument.spreadsheetml.worksheet+xml">
        <DigestMethod Algorithm="http://www.w3.org/2000/09/xmldsig#sha1"/>
        <DigestValue>LrAZObwumc6vR9FhvMyo/EcMdSU=</DigestValue>
      </Reference>
      <Reference URI="/xl/drawings/drawing5.xml?ContentType=application/vnd.openxmlformats-officedocument.drawing+xml">
        <DigestMethod Algorithm="http://www.w3.org/2000/09/xmldsig#sha1"/>
        <DigestValue>dKpPBs2iG0QVrK+ZUOYp5g2ewj8=</DigestValue>
      </Reference>
      <Reference URI="/xl/workbook.xml?ContentType=application/vnd.openxmlformats-officedocument.spreadsheetml.sheet.main+xml">
        <DigestMethod Algorithm="http://www.w3.org/2000/09/xmldsig#sha1"/>
        <DigestValue>3KxvC5Cae40B4m9YxSBgDtsU3es=</DigestValue>
      </Reference>
      <Reference URI="/xl/media/image1.jpeg?ContentType=image/jpeg">
        <DigestMethod Algorithm="http://www.w3.org/2000/09/xmldsig#sha1"/>
        <DigestValue>sNqRvLCCxbbx7l5bxHt6rn7EbMQ=</DigestValue>
      </Reference>
      <Reference URI="/xl/drawings/drawing6.xml?ContentType=application/vnd.openxmlformats-officedocument.drawing+xml">
        <DigestMethod Algorithm="http://www.w3.org/2000/09/xmldsig#sha1"/>
        <DigestValue>+QJMiYhvTvOHXSgq/kbySqt88lA=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NTohLHQL2ccVV+HdMAiJ6RLRzuI=</DigestValue>
      </Reference>
    </Manifest>
    <SignatureProperties>
      <SignatureProperty Id="idSignatureTime" Target="#idPackageSignature">
        <mdssi:SignatureTime>
          <mdssi:Format>YYYY-MM-DDThh:mm:ssTZD</mdssi:Format>
          <mdssi:Value>2024-03-12T02:54:14Z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2024-03-12T02:54:14Z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TONGQUAN</vt:lpstr>
      <vt:lpstr>BCTaiSan_06134</vt:lpstr>
      <vt:lpstr>BCKetQuaHoatDong_06135</vt:lpstr>
      <vt:lpstr>BCDanhMucDauTu_06136</vt:lpstr>
      <vt:lpstr>BCHDVay_GDMuaBanLai</vt:lpstr>
      <vt:lpstr>Khac_06137</vt:lpstr>
      <vt:lpstr>ThongKePhiGiaoDich_06145</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2024-03-12T02:50:23Z</dcterms:modified>
</cp:coreProperties>
</file>