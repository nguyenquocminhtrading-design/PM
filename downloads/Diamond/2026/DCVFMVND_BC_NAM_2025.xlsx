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20" r:id="rId1"/>
    <sheet name="BCTaiSan_06134" sheetId="8" r:id="rId2"/>
    <sheet name="BCKetQuaHoatDong_06135" sheetId="9" r:id="rId3"/>
    <sheet name="BCDanhMucDauTu_06136" sheetId="10" r:id="rId4"/>
    <sheet name="BCHDVay_GDMuaBanLai" sheetId="18" r:id="rId5"/>
    <sheet name="Khac_06137" sheetId="11" r:id="rId6"/>
    <sheet name="TKGia_DichVuGiaoDich" sheetId="12" r:id="rId7"/>
  </sheets>
  <definedNames>
    <definedName name="_xlnm.Print_Area" localSheetId="4">BCHDVay_GDMuaBanLai!$A$1:$K$37</definedName>
    <definedName name="_xlnm.Print_Area" localSheetId="0">TONGQUAN!$A$1:$I$46</definedName>
  </definedNames>
  <calcPr calcId="162913"/>
</workbook>
</file>

<file path=xl/calcChain.xml><?xml version="1.0" encoding="utf-8"?>
<calcChain xmlns="http://schemas.openxmlformats.org/spreadsheetml/2006/main">
  <c r="C14" i="12" l="1"/>
  <c r="D13" i="11"/>
  <c r="C13" i="10"/>
  <c r="C13" i="9"/>
  <c r="C13" i="8"/>
  <c r="E13" i="20" l="1"/>
  <c r="D31" i="12" l="1"/>
  <c r="C13" i="18" l="1"/>
  <c r="F26" i="12" l="1"/>
  <c r="D26" i="12"/>
</calcChain>
</file>

<file path=xl/sharedStrings.xml><?xml version="1.0" encoding="utf-8"?>
<sst xmlns="http://schemas.openxmlformats.org/spreadsheetml/2006/main" count="957" uniqueCount="691">
  <si>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</si>
  <si>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</si>
  <si>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</si>
  <si>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Năm 2025 / Year 2025</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</si>
  <si>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</si>
  <si>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</si>
  <si>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</si>
  <si>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</si>
  <si>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</si>
  <si>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</si>
  <si>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</si>
  <si>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</si>
  <si>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</si>
  <si>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</si>
  <si>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</si>
  <si>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</si>
  <si>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</si>
  <si>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</si>
  <si>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</si>
  <si>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</si>
  <si>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</si>
  <si>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</si>
  <si>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</si>
  <si>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</si>
  <si>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</si>
  <si>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</si>
  <si>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</si>
  <si>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</si>
  <si>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năm2025 
As at 31 Dec 2025</t>
  </si>
  <si>
    <t>Tại ngày 31 tháng 12  năm 2024 
As at 31 Dec 2024</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</si>
  <si>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</si>
  <si>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</si>
  <si>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</si>
  <si>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</si>
  <si>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</si>
  <si>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</si>
  <si>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</si>
  <si>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</si>
  <si>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</si>
  <si>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</si>
  <si>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</si>
  <si>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</si>
  <si>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</si>
  <si>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</si>
  <si>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</si>
  <si>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</si>
  <si>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</si>
  <si>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</si>
  <si>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</si>
  <si>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</si>
  <si>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</si>
  <si>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</si>
  <si>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</si>
  <si>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</si>
  <si>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</si>
  <si>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</si>
  <si>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</si>
  <si>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</si>
  <si>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</si>
  <si>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</si>
  <si>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</si>
  <si>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</si>
  <si>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</si>
  <si>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</si>
  <si>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</si>
  <si>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</si>
  <si>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</si>
  <si>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</si>
  <si>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</si>
  <si>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</si>
  <si>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</si>
  <si>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</si>
  <si>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</si>
  <si>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</si>
  <si>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</si>
  <si>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</si>
  <si>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</si>
  <si>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</si>
  <si>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</si>
  <si>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</si>
  <si>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</si>
  <si>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</si>
  <si>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</si>
  <si>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</si>
  <si>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</si>
  <si>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</si>
  <si>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</si>
  <si>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</si>
  <si>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</si>
  <si>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</si>
  <si>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</si>
  <si>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</si>
  <si>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</si>
  <si>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</si>
  <si>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</si>
  <si>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</si>
  <si>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</si>
  <si>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</si>
  <si>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</si>
  <si>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</si>
  <si>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</si>
  <si>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</si>
  <si>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</si>
  <si>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</si>
  <si>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</si>
  <si>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</si>
  <si>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</si>
  <si>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</si>
  <si>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</si>
  <si>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</si>
  <si>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</si>
  <si>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</si>
  <si>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</si>
  <si>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</si>
  <si>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</si>
  <si>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</si>
  <si>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</si>
  <si>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</si>
  <si>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</si>
  <si>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</si>
  <si>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</si>
  <si>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</si>
  <si>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</si>
  <si>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</si>
  <si>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</si>
  <si>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</si>
  <si>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</si>
  <si>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</si>
  <si>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</si>
  <si>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</si>
  <si>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</si>
  <si>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</si>
  <si>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</si>
  <si>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</si>
  <si>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</si>
  <si>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</si>
  <si>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</si>
  <si>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</si>
  <si>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</si>
  <si>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</si>
  <si>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</si>
  <si>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</si>
  <si>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</si>
  <si>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</si>
  <si>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</si>
  <si>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</si>
  <si>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</si>
  <si>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</si>
  <si>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</si>
  <si>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</si>
  <si>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</si>
  <si>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</si>
  <si>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</si>
  <si>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</si>
  <si>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</si>
  <si>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</si>
  <si>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</si>
  <si>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</si>
  <si>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</si>
  <si>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</si>
  <si>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</si>
  <si>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</si>
  <si>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</si>
  <si>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</si>
  <si>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</si>
  <si>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</si>
  <si>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</si>
  <si>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</si>
  <si>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</si>
  <si>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</si>
  <si>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</si>
  <si>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</si>
  <si>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</si>
  <si>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</si>
  <si>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</si>
  <si>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</si>
  <si>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</si>
  <si>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</si>
  <si>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</si>
  <si>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</si>
  <si>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</si>
  <si>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</si>
  <si>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</si>
  <si>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</si>
  <si>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</si>
  <si>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</si>
  <si>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</si>
  <si>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</si>
  <si>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</si>
  <si>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</si>
  <si>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</si>
  <si>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</si>
  <si>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</si>
  <si>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</si>
  <si>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</si>
  <si>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</si>
  <si>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</si>
  <si>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</si>
  <si>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</si>
  <si>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</si>
  <si>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</si>
  <si>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</si>
  <si>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</si>
  <si>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</si>
  <si>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</si>
  <si>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</si>
  <si>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</si>
  <si>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</si>
  <si>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</si>
  <si>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</si>
  <si>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</si>
  <si>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</si>
  <si>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</si>
  <si>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</si>
  <si>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</si>
  <si>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</si>
  <si>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</si>
  <si>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</si>
  <si>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</si>
  <si>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</si>
  <si>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</si>
  <si>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</si>
  <si>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</si>
  <si>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</si>
  <si>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</si>
  <si>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</si>
  <si>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</si>
  <si>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</si>
  <si>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</si>
  <si>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</si>
  <si>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</si>
  <si>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</si>
  <si>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</si>
  <si>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</si>
  <si>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Năm 2025
Year 2025</t>
  </si>
  <si>
    <t>Năm 2024
Year 2024</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</si>
  <si>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</si>
  <si>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</si>
  <si>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</si>
  <si>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</si>
  <si>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</si>
  <si>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</si>
  <si>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</si>
  <si>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</si>
  <si>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</si>
  <si>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</si>
  <si>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</si>
  <si>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</si>
  <si>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</si>
  <si>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</si>
  <si>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</si>
  <si>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</si>
  <si>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</si>
  <si>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</si>
  <si>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</si>
  <si>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</si>
  <si>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</si>
  <si>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</si>
  <si>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</si>
  <si>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</si>
  <si>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</si>
  <si>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</si>
  <si>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</si>
  <si>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</si>
  <si>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</si>
  <si>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</si>
  <si>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</si>
  <si>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</si>
  <si>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</si>
  <si>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</si>
  <si>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</si>
  <si>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</si>
  <si>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</si>
  <si>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</si>
  <si>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</si>
  <si>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</si>
  <si>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</si>
  <si>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</si>
  <si>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</si>
  <si>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</si>
  <si>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</si>
  <si>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</si>
  <si>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</si>
  <si>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</si>
  <si>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</si>
  <si>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</si>
  <si>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</si>
  <si>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</si>
  <si>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</si>
  <si>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</si>
  <si>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</si>
  <si>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</si>
  <si>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</si>
  <si>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</si>
  <si>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</si>
  <si>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</si>
  <si>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</si>
  <si>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</si>
  <si>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</si>
  <si>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</si>
  <si>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</si>
  <si>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</si>
  <si>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</si>
  <si>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</si>
  <si>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</si>
  <si>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</si>
  <si>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</si>
  <si>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</si>
  <si>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</si>
  <si>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</si>
  <si>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</si>
  <si>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</si>
  <si>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</si>
  <si>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</si>
  <si>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</si>
  <si>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</si>
  <si>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</si>
  <si>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</si>
  <si>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</si>
  <si>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</si>
  <si>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</si>
  <si>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</si>
  <si>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</si>
  <si>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</si>
  <si>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</si>
  <si>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</si>
  <si>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</si>
  <si>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</si>
  <si>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</si>
  <si>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</si>
  <si>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</si>
  <si>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</si>
  <si>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</si>
  <si>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</si>
  <si>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</si>
  <si>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</si>
  <si>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</si>
  <si>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</si>
  <si>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</si>
  <si>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</si>
  <si>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</si>
  <si>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</si>
  <si>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</si>
  <si>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</si>
  <si>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</si>
  <si>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</si>
  <si>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</si>
  <si>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</si>
  <si>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</si>
  <si>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</si>
  <si>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</si>
  <si>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</si>
  <si>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</si>
  <si>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</si>
  <si>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</si>
  <si>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</si>
  <si>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</si>
  <si>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</si>
  <si>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</si>
  <si>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</si>
  <si>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</si>
  <si>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</si>
  <si>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</si>
  <si>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</si>
  <si>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</si>
  <si>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</si>
  <si>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</si>
  <si>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</si>
  <si>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</si>
  <si>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</si>
  <si>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</si>
  <si>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</si>
  <si>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</si>
  <si>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</si>
  <si>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</si>
  <si>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</si>
  <si>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</si>
  <si>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</si>
  <si>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</si>
  <si>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</si>
  <si>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</si>
  <si>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</si>
  <si>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</si>
  <si>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</si>
  <si>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2025 / As at 31 Dec 2025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</si>
  <si>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</si>
  <si>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</si>
  <si>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</si>
  <si>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</si>
  <si>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</si>
  <si>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</si>
  <si>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</si>
  <si>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</si>
  <si>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</si>
  <si>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</si>
  <si>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</si>
  <si>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</si>
  <si>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</si>
  <si>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</si>
  <si>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</si>
  <si>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</si>
  <si>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</si>
  <si>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</si>
  <si>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</si>
  <si>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</si>
  <si>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FPT</t>
  </si>
  <si>
    <t>2246.5</t>
  </si>
  <si>
    <t>GMD</t>
  </si>
  <si>
    <t>2246.6</t>
  </si>
  <si>
    <t>HDB</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</si>
  <si>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</si>
  <si>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</si>
  <si>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</si>
  <si>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</si>
  <si>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</si>
  <si>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</si>
  <si>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</si>
  <si>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</si>
  <si>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</si>
  <si>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</si>
  <si>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</si>
  <si>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</si>
  <si>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</si>
  <si>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</si>
  <si>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</si>
  <si>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</si>
  <si>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</si>
  <si>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</si>
  <si>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</si>
  <si>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</si>
  <si>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</si>
  <si>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</si>
  <si>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</si>
  <si>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</si>
  <si>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</si>
  <si>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</si>
  <si>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</si>
  <si>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</si>
  <si>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</si>
  <si>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</si>
  <si>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</si>
  <si>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</si>
  <si>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</si>
  <si>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</si>
  <si>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</si>
  <si>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</si>
  <si>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</si>
  <si>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</si>
  <si>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</si>
  <si>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</si>
  <si>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</si>
  <si>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</si>
  <si>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</si>
  <si>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</si>
  <si>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</si>
  <si>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</si>
  <si>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</si>
  <si>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</si>
  <si>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</si>
  <si>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</si>
  <si>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</si>
  <si>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</si>
  <si>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</si>
  <si>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</si>
  <si>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</si>
  <si>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</si>
  <si>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</si>
  <si>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</si>
  <si>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</si>
  <si>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</si>
  <si>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</si>
  <si>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</si>
  <si>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</si>
  <si>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</si>
  <si>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</si>
  <si>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</si>
  <si>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</si>
  <si>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</si>
  <si>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</si>
  <si>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</si>
  <si>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</si>
  <si>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</si>
  <si>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</si>
  <si>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</si>
  <si>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</si>
  <si>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</si>
  <si>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</si>
  <si>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</si>
  <si>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</si>
  <si>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</si>
  <si>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</si>
  <si>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</si>
  <si>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</si>
  <si>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</si>
  <si>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</si>
  <si>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</si>
  <si>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</si>
  <si>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</si>
  <si>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</si>
  <si>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</si>
  <si>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</si>
  <si>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</si>
  <si>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</si>
  <si>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</si>
  <si>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</si>
  <si>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</si>
  <si>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</si>
  <si>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</si>
  <si>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</si>
  <si>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</si>
  <si>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</si>
  <si>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</si>
  <si>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</si>
  <si>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</si>
  <si>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</si>
  <si>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</si>
  <si>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</si>
  <si>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</si>
  <si>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</si>
  <si>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</si>
  <si>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</si>
  <si>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</si>
  <si>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</si>
  <si>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</si>
  <si>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</si>
  <si>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</si>
  <si>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</si>
  <si>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</si>
  <si>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</si>
  <si>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</si>
  <si>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</si>
  <si>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</si>
  <si>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</si>
  <si>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</si>
  <si>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</si>
  <si>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</si>
  <si>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</si>
  <si>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</si>
  <si>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</si>
  <si>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</si>
  <si>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</si>
  <si>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</si>
  <si>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</si>
  <si>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</si>
  <si>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</si>
  <si>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</si>
  <si>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</si>
  <si>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</si>
  <si>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</si>
  <si>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</si>
  <si>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</si>
  <si>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</si>
  <si>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</si>
  <si>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</si>
  <si>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</si>
  <si>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</si>
  <si>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</si>
  <si>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</si>
  <si>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</si>
  <si>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</si>
  <si>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</si>
  <si>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</si>
  <si>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</si>
  <si>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</si>
  <si>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</si>
  <si>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</si>
  <si>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</si>
  <si>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</si>
  <si>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</si>
  <si>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</si>
  <si>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</si>
  <si>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</si>
  <si>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</si>
  <si>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</si>
  <si>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</si>
  <si>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</si>
  <si>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A. BÁO CÁO CHUNG VỀ HOẠT ĐỘNG ĐẦU TƯ CỦA QUỸ/GENERAL INFORMATION ON FUND'S INVESTMENT ACTIVITIES</t>
  </si>
  <si>
    <t>VI. THỐNG KÊ GIÁ DỊCH VỤ GIAO DỊCH/DETAILS OF TRANSACTION FEES</t>
  </si>
  <si>
    <t>Tên Quỹ:
Fund name:</t>
  </si>
  <si>
    <t>Tên Công ty Quản lý Quỹ:</t>
  </si>
  <si>
    <t>Ngân hàng Giám sát:</t>
  </si>
  <si>
    <t>Reporting date:</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</si>
  <si>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</si>
  <si>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</si>
  <si>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</si>
  <si>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</si>
  <si>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</si>
  <si>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</si>
  <si>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</si>
  <si>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</si>
  <si>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</si>
  <si>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</si>
  <si>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</si>
  <si>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</si>
  <si>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</si>
  <si>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</si>
  <si>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</si>
  <si>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</si>
  <si>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Công ty Cổ phần Chứng khoán Bảo Việt</t>
  </si>
  <si>
    <t>Công ty CP Chứng khoán Vietcap</t>
  </si>
  <si>
    <t>Công ty Cổ phần Chứng khoán Thành Phố Hồ Chí Minh</t>
  </si>
  <si>
    <t>Công ty Cổ phần Chứng khoán KIS Việt Nam</t>
  </si>
  <si>
    <t>Tổng cộng:</t>
  </si>
  <si>
    <t>Đại diện có thẩm quyền của Công ty Quản lý Quỹ</t>
  </si>
  <si>
    <t>Joint Stock Commercial Bank for Foreign Trade of Vietnam - HCMC Branch</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</si>
  <si>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</si>
  <si>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</si>
  <si>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</si>
  <si>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Ngân hàng TMCP Ngoại thương Việt Nam - CN TP.HCM</t>
  </si>
  <si>
    <t xml:space="preserve">Supervising bank: </t>
  </si>
  <si>
    <t>Quỹ ETF DCVFMVN Diamond (FUEVFVND)</t>
  </si>
  <si>
    <t xml:space="preserve">Fund name: </t>
  </si>
  <si>
    <t>DCVFMVN Diamond ETF (FUEVFVND)</t>
  </si>
  <si>
    <t>A</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</si>
  <si>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</si>
  <si>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</si>
  <si>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</si>
  <si>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</si>
  <si>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</si>
  <si>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</si>
  <si>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</si>
  <si>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</si>
  <si>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</si>
  <si>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</si>
  <si>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</si>
  <si>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</si>
  <si>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</si>
  <si>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</si>
  <si>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</si>
  <si>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</si>
  <si>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</si>
  <si>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</si>
  <si>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</si>
  <si>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</si>
  <si>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</si>
  <si>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</si>
  <si>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</si>
  <si>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</si>
  <si>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</si>
  <si>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</si>
  <si>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</si>
  <si>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</si>
  <si>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</si>
  <si>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B</t>
  </si>
  <si>
    <t>Tổng giá trị các khoản cho vay/giá trị tài sản ròng  (=III + IV)
Total Loans/NAV (=III+IV)</t>
  </si>
  <si>
    <t>2297</t>
  </si>
  <si>
    <t>NGÂN HÀNG TMCP NGOẠI THƯƠNG VIỆT NAM - CN TP.HCM</t>
  </si>
  <si>
    <t>CTCP Quản Lý Quỹ Đầu Tư Dragon Capital Việt Nam</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</si>
  <si>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</si>
  <si>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</si>
  <si>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</si>
  <si>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</si>
  <si>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Chi tiết giao dịch qua KIS:</t>
  </si>
  <si>
    <t>Giao dịch của Quỹ</t>
  </si>
  <si>
    <t>Mua hộ</t>
  </si>
  <si>
    <t>Bán hộ</t>
  </si>
  <si>
    <t>Tổng cộng</t>
  </si>
  <si>
    <t>Kỳ báo cáo:</t>
  </si>
  <si>
    <t>Tại ngày 31 tháng 12 năm 2025/ As at 31 December 2025</t>
  </si>
  <si>
    <t>Thông tin chung:</t>
  </si>
  <si>
    <t>Người ký báo cáo:</t>
  </si>
  <si>
    <t>Đại diện có thẩm quyền của Công ty quản lý Quỹ</t>
  </si>
  <si>
    <t>Quyền Giám đốc điều hành Nghiệp vụ hỗ trợ đầu tư</t>
  </si>
  <si>
    <t>Nội dung</t>
  </si>
  <si>
    <t>Tên sheet</t>
  </si>
  <si>
    <t>Báo cáo về tài sản</t>
  </si>
  <si>
    <t>Báo cáo kết quả hoạt động</t>
  </si>
  <si>
    <t>Báo cáo danh mục đầu tư</t>
  </si>
  <si>
    <t>Một số chỉ tiêu khác</t>
  </si>
  <si>
    <t>Báo cáo hoạt động vay, giao dịch mua bán lại</t>
  </si>
  <si>
    <t>Thống kê giá dịch vụ giao dịch</t>
  </si>
  <si>
    <t>Thống kê giao dịch của Quỹ đầu tư bất động sản/Công ty đầu tư chứng khoán bất động sản với người có liên quan</t>
  </si>
  <si>
    <t>Thống kê giao dịch bất động sản của Quỹ đầu tư bất động sản/Công ty đầu tư chứng khoán bất động sản</t>
  </si>
  <si>
    <t>Tình hình thực hiện hạn mức tự doanh đầu tư gián tiếp ra nước ngoài</t>
  </si>
  <si>
    <t>Báo cáo về tài sản đầu tư gián tiếp ra nước ngoài</t>
  </si>
  <si>
    <t>Báo cáo kết quả hoạt động đầu tư gián tiếp ra nước ngoài</t>
  </si>
  <si>
    <t>Báo cáo danh mục tài sản đầu tư gián tiếp ra nước ngoài</t>
  </si>
  <si>
    <t>Phản hồi của Ngân hàng giám sát</t>
  </si>
  <si>
    <t>BCTaiSan_06134</t>
  </si>
  <si>
    <t>BCKetQuaHoatDong_06135</t>
  </si>
  <si>
    <t>BCDanhMucDauTu_06136</t>
  </si>
  <si>
    <t>BCHDVay_GDMuaBanLai</t>
  </si>
  <si>
    <t>Khac_06137</t>
  </si>
  <si>
    <t>TKGia_DichVuGiaoDich</t>
  </si>
  <si>
    <t>TKGD_NguoiLienQuan</t>
  </si>
  <si>
    <t>TKGD_BDS</t>
  </si>
  <si>
    <t>HanMucTuDoanh_DTGTNN</t>
  </si>
  <si>
    <t>BCTaiSan_DTGTNN</t>
  </si>
  <si>
    <t>KetQuaHoatDong_DTGTNN</t>
  </si>
  <si>
    <t>DanhMucTaiSan_DTGTNN</t>
  </si>
  <si>
    <t>PhanHoiNHGS_06276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</si>
</sst>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0.00%"/>
    <numFmt numFmtId="165" formatCode="#,##0;\(#,##0\);"/>
    <numFmt numFmtId="166" formatCode="#,##0.000%"/>
    <numFmt numFmtId="167" formatCode="dd/mm/yyyy"/>
    <numFmt numFmtId="168" formatCode="[$-409]dd\ mmm\ yyyy;@"/>
    <numFmt numFmtId="169" formatCode="_(* #,##0_);_(* \(#,##0\);_(* &quot;-&quot;??_);_(@_)"/>
    <numFmt numFmtId="170" formatCode="_-* #,##0.00&quot; &quot;_₫_-;\-* #,##0.00&quot; &quot;_₫_-;_-* &quot;-&quot;??&quot; &quot;_₫_-;_-@_-"/>
    <numFmt numFmtId="171" formatCode="_-* #,##0.00\ _₫_-;\-* #,##0.00\ _₫_-;_-* &quot;-&quot;??\ _₫_-;_-@_-"/>
    <numFmt numFmtId="172" formatCode="[$-1010000]d/m/yyyy;@"/>
    <numFmt numFmtId="173" formatCode="0.000000000000000000%"/>
    <numFmt numFmtId="174" formatCode="dd/mm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i/>
      <sz val="8"/>
      <color indexed="8"/>
      <name val="Tahoma"/>
      <family val="2"/>
    </font>
    <font>
      <sz val="8"/>
      <color rgb="FF000000"/>
      <name val="Tahoma"/>
      <family val="2"/>
    </font>
    <font>
      <b/>
      <sz val="8"/>
      <color rgb="FF000000"/>
      <name val="Tahoma"/>
      <family val="2"/>
    </font>
    <font>
      <sz val="8"/>
      <color theme="1"/>
      <name val="Tahoma"/>
      <family val="2"/>
    </font>
    <font>
      <i/>
      <sz val="7"/>
      <color rgb="FF000000"/>
      <name val="Tahoma"/>
      <family val="2"/>
    </font>
    <font>
      <b/>
      <sz val="10"/>
      <color rgb="FF000000"/>
      <name val="Tahoma"/>
      <family val="2"/>
    </font>
    <font>
      <b/>
      <sz val="8"/>
      <color theme="1"/>
      <name val="Tahoma"/>
      <family val="2"/>
    </font>
    <font>
      <sz val="10"/>
      <color indexed="8"/>
      <name val="Calibri"/>
      <family val="2"/>
      <scheme val="minor"/>
    </font>
    <font>
      <i/>
      <sz val="8"/>
      <color rgb="FF000000"/>
      <name val="Tahoma"/>
      <family val="2"/>
    </font>
    <font>
      <sz val="11"/>
      <name val="Times New Roman"/>
      <family val="1"/>
    </font>
    <font>
      <sz val="8"/>
      <name val="Tahoma"/>
      <family val="2"/>
    </font>
    <font>
      <b/>
      <sz val="8"/>
      <name val="Tahoma"/>
      <family val="2"/>
    </font>
    <font>
      <sz val="8"/>
      <color theme="0"/>
      <name val="Tahoma"/>
      <family val="2"/>
    </font>
    <font>
      <sz val="12"/>
      <name val=".VnTime"/>
      <family val="2"/>
    </font>
    <font>
      <sz val="7"/>
      <color indexed="8"/>
      <name val="Tahoma"/>
      <family val="2"/>
    </font>
    <font>
      <b/>
      <sz val="7"/>
      <color indexed="8"/>
      <name val="Tahoma"/>
      <family val="2"/>
    </font>
    <font>
      <sz val="10"/>
      <color theme="1"/>
      <name val="Tahoma"/>
      <family val="2"/>
    </font>
    <font>
      <b/>
      <sz val="10"/>
      <color theme="1"/>
      <name val="Tahoma"/>
      <family val="2"/>
    </font>
    <font>
      <sz val="10"/>
      <color theme="0" tint="-4.9989318521683403E-2"/>
      <name val="Tahoma"/>
      <family val="2"/>
    </font>
    <font>
      <sz val="10"/>
      <color indexed="8"/>
      <name val="Tahoma"/>
      <family val="2"/>
    </font>
    <font>
      <i/>
      <sz val="10"/>
      <color theme="1"/>
      <name val="Tahoma"/>
      <family val="2"/>
    </font>
    <font>
      <i/>
      <sz val="10"/>
      <name val="Tahoma"/>
      <family val="2"/>
    </font>
    <font>
      <sz val="10"/>
      <name val="Tahoma"/>
      <family val="2"/>
    </font>
    <font>
      <b/>
      <sz val="10"/>
      <name val="Tahoma"/>
      <family val="2"/>
    </font>
    <font>
      <u/>
      <sz val="11"/>
      <color theme="10"/>
      <name val="Calibri"/>
      <family val="2"/>
      <scheme val="minor"/>
    </font>
    <font>
      <u/>
      <sz val="10"/>
      <color theme="1"/>
      <name val="Tahoma"/>
      <family val="2"/>
    </font>
  </fonts>
  <fills count="10">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rgb="FFFFFFF0"/>
        <bgColor indexed="64"/>
      </patternFill>
    </fill>
    <fill>
      <patternFill patternType="solid">
        <fgColor rgb="FFFAFAD2"/>
        <bgColor indexed="64"/>
      </patternFill>
    </fill>
    <fill>
      <patternFill patternType="solid">
        <fgColor rgb="FFFFFFFF"/>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s>
  <borders count="4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9" fontId="2" fillId="0" borderId="0" applyFont="0" applyFill="0" applyBorder="0" applyAlignment="0" applyProtection="0"/>
    <xf numFmtId="0" fontId="3" fillId="0" borderId="0">
      <alignment vertical="center"/>
    </xf>
    <xf numFmtId="0" fontId="16" fillId="0" borderId="0">
      <alignment vertical="center"/>
    </xf>
    <xf numFmtId="0" fontId="2" fillId="0" borderId="0"/>
    <xf numFmtId="170" fontId="18" fillId="0" borderId="0" applyFont="0" applyFill="0" applyBorder="0" applyAlignment="0" applyProtection="0"/>
    <xf numFmtId="0" fontId="1" fillId="0" borderId="0"/>
    <xf numFmtId="0" fontId="22" fillId="0" borderId="0"/>
    <xf numFmtId="0" fontId="33" fillId="0" borderId="0" applyNumberFormat="0" applyFill="0" applyBorder="0" applyAlignment="0" applyProtection="0"/>
  </cellStyleXfs>
  <cellXfs count="327">
    <xf numFmtId="0" fontId="0" fillId="0" borderId="0" xfId="0"/>
    <xf numFmtId="0" fontId="4" fillId="2" borderId="0" xfId="4" applyNumberFormat="1" applyFont="1" applyFill="1" applyBorder="1" applyAlignment="1" applyProtection="1">
      <alignment horizontal="center" vertical="top"/>
    </xf>
    <xf numFmtId="0" fontId="4" fillId="2" borderId="0" xfId="4" applyNumberFormat="1" applyFont="1" applyFill="1" applyBorder="1" applyAlignment="1" applyProtection="1">
      <alignment horizontal="left" vertical="top"/>
    </xf>
    <xf numFmtId="0" fontId="7" fillId="2" borderId="0" xfId="4" applyNumberFormat="1" applyFont="1" applyFill="1" applyBorder="1" applyAlignment="1" applyProtection="1">
      <alignment horizontal="left" vertical="top"/>
    </xf>
    <xf numFmtId="0" fontId="8" fillId="2" borderId="0" xfId="4" applyNumberFormat="1" applyFont="1" applyFill="1" applyBorder="1" applyAlignment="1" applyProtection="1">
      <alignment horizontal="center"/>
    </xf>
    <xf numFmtId="0" fontId="4" fillId="2" borderId="0" xfId="4" applyNumberFormat="1" applyFont="1" applyFill="1" applyBorder="1" applyAlignment="1" applyProtection="1">
      <alignment horizontal="center" vertical="center"/>
    </xf>
    <xf numFmtId="0" fontId="7" fillId="2" borderId="5" xfId="4" applyNumberFormat="1" applyFont="1" applyFill="1" applyBorder="1" applyAlignment="1" applyProtection="1">
      <alignment horizontal="center" vertical="top"/>
    </xf>
    <xf numFmtId="0" fontId="7" fillId="2" borderId="6" xfId="4" applyNumberFormat="1" applyFont="1" applyFill="1" applyBorder="1" applyAlignment="1" applyProtection="1">
      <alignment horizontal="left" vertical="top" wrapText="1"/>
    </xf>
    <xf numFmtId="164" fontId="7" fillId="2" borderId="7" xfId="4" applyNumberFormat="1" applyFont="1" applyFill="1" applyBorder="1" applyAlignment="1" applyProtection="1">
      <alignment horizontal="right" vertical="top"/>
    </xf>
    <xf numFmtId="3" fontId="7" fillId="2" borderId="6" xfId="4" applyNumberFormat="1" applyFont="1" applyFill="1" applyBorder="1" applyAlignment="1" applyProtection="1">
      <alignment horizontal="right" vertical="top"/>
    </xf>
    <xf numFmtId="164" fontId="7" fillId="2" borderId="6" xfId="4" applyNumberFormat="1" applyFont="1" applyFill="1" applyBorder="1" applyAlignment="1" applyProtection="1">
      <alignment horizontal="right" vertical="top"/>
    </xf>
    <xf numFmtId="0" fontId="4" fillId="2" borderId="0" xfId="4" applyNumberFormat="1" applyFont="1" applyFill="1" applyBorder="1" applyAlignment="1" applyProtection="1">
      <alignment horizontal="left" vertical="top" wrapText="1"/>
    </xf>
    <xf numFmtId="0" fontId="7" fillId="2" borderId="0" xfId="4" applyNumberFormat="1" applyFont="1" applyFill="1" applyBorder="1" applyAlignment="1" applyProtection="1">
      <alignment horizontal="center" vertical="center"/>
    </xf>
    <xf numFmtId="0" fontId="11" fillId="6" borderId="0" xfId="0" applyFont="1" applyFill="1" applyAlignment="1">
      <alignment horizontal="right" vertical="center"/>
    </xf>
    <xf numFmtId="0" fontId="12" fillId="0" borderId="0" xfId="0" applyFont="1"/>
    <xf numFmtId="0" fontId="10" fillId="6" borderId="0" xfId="0" applyFont="1" applyFill="1" applyAlignment="1">
      <alignment horizontal="left" vertical="top"/>
    </xf>
    <xf numFmtId="0" fontId="11" fillId="6" borderId="0" xfId="0" applyFont="1" applyFill="1" applyAlignment="1">
      <alignment horizontal="center" vertical="top"/>
    </xf>
    <xf numFmtId="0" fontId="11" fillId="6" borderId="0" xfId="0" applyFont="1" applyFill="1" applyAlignment="1">
      <alignment horizontal="left" vertical="top"/>
    </xf>
    <xf numFmtId="0" fontId="10" fillId="6" borderId="14" xfId="0" applyFont="1" applyFill="1" applyBorder="1" applyAlignment="1">
      <alignment horizontal="left" vertical="top"/>
    </xf>
    <xf numFmtId="0" fontId="10" fillId="6" borderId="14" xfId="0" applyFont="1" applyFill="1" applyBorder="1" applyAlignment="1">
      <alignment horizontal="right" vertical="top"/>
    </xf>
    <xf numFmtId="0" fontId="11" fillId="3" borderId="15"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10" fillId="6" borderId="18" xfId="0" applyFont="1" applyFill="1" applyBorder="1" applyAlignment="1">
      <alignment horizontal="center" vertical="center"/>
    </xf>
    <xf numFmtId="0" fontId="10" fillId="6" borderId="6" xfId="0" applyFont="1" applyFill="1" applyBorder="1" applyAlignment="1">
      <alignment horizontal="left" vertical="center" wrapText="1"/>
    </xf>
    <xf numFmtId="0" fontId="10" fillId="6" borderId="6" xfId="0" applyFont="1" applyFill="1" applyBorder="1" applyAlignment="1">
      <alignment horizontal="center" vertical="center"/>
    </xf>
    <xf numFmtId="169" fontId="11" fillId="6" borderId="6" xfId="2" applyNumberFormat="1" applyFont="1" applyFill="1" applyBorder="1" applyAlignment="1">
      <alignment horizontal="right" vertical="center"/>
    </xf>
    <xf numFmtId="164" fontId="10" fillId="6" borderId="19" xfId="0" applyNumberFormat="1" applyFont="1" applyFill="1" applyBorder="1" applyAlignment="1">
      <alignment horizontal="right" vertical="center"/>
    </xf>
    <xf numFmtId="169" fontId="10" fillId="6" borderId="6" xfId="2" applyNumberFormat="1" applyFont="1" applyFill="1" applyBorder="1" applyAlignment="1">
      <alignment horizontal="right" vertical="center"/>
    </xf>
    <xf numFmtId="169" fontId="12" fillId="0" borderId="0" xfId="0" applyNumberFormat="1" applyFont="1"/>
    <xf numFmtId="169" fontId="17" fillId="6" borderId="6" xfId="2" applyNumberFormat="1" applyFont="1" applyFill="1" applyBorder="1" applyAlignment="1">
      <alignment horizontal="right" vertical="center"/>
    </xf>
    <xf numFmtId="169" fontId="10" fillId="0" borderId="6" xfId="2" applyNumberFormat="1" applyFont="1" applyFill="1" applyBorder="1" applyAlignment="1">
      <alignment horizontal="right" vertical="center"/>
    </xf>
    <xf numFmtId="164" fontId="10" fillId="0" borderId="19" xfId="0" applyNumberFormat="1" applyFont="1" applyFill="1" applyBorder="1" applyAlignment="1">
      <alignment horizontal="right" vertical="center"/>
    </xf>
    <xf numFmtId="169" fontId="17" fillId="0" borderId="6" xfId="2" applyNumberFormat="1" applyFont="1" applyFill="1" applyBorder="1" applyAlignment="1">
      <alignment horizontal="right" vertical="center"/>
    </xf>
    <xf numFmtId="0" fontId="11" fillId="6" borderId="18" xfId="0" applyFont="1" applyFill="1" applyBorder="1" applyAlignment="1">
      <alignment horizontal="center" vertical="center"/>
    </xf>
    <xf numFmtId="0" fontId="11" fillId="6" borderId="6" xfId="0" applyFont="1" applyFill="1" applyBorder="1" applyAlignment="1">
      <alignment horizontal="left" vertical="center" wrapText="1"/>
    </xf>
    <xf numFmtId="0" fontId="11" fillId="6" borderId="6" xfId="0" applyFont="1" applyFill="1" applyBorder="1" applyAlignment="1">
      <alignment horizontal="center" vertical="center"/>
    </xf>
    <xf numFmtId="164" fontId="11" fillId="6" borderId="19" xfId="0" applyNumberFormat="1" applyFont="1" applyFill="1" applyBorder="1" applyAlignment="1">
      <alignment horizontal="right" vertical="center"/>
    </xf>
    <xf numFmtId="0" fontId="15" fillId="0" borderId="0" xfId="0" applyFont="1"/>
    <xf numFmtId="0" fontId="11" fillId="6" borderId="20" xfId="0" applyFont="1" applyFill="1" applyBorder="1" applyAlignment="1">
      <alignment horizontal="center" vertical="center"/>
    </xf>
    <xf numFmtId="0" fontId="11" fillId="6" borderId="21" xfId="0" applyFont="1" applyFill="1" applyBorder="1" applyAlignment="1">
      <alignment horizontal="left" vertical="center" wrapText="1"/>
    </xf>
    <xf numFmtId="0" fontId="11" fillId="6" borderId="21" xfId="0" applyFont="1" applyFill="1" applyBorder="1" applyAlignment="1">
      <alignment horizontal="center" vertical="center"/>
    </xf>
    <xf numFmtId="43" fontId="11" fillId="6" borderId="21" xfId="2" applyNumberFormat="1" applyFont="1" applyFill="1" applyBorder="1" applyAlignment="1">
      <alignment horizontal="right" vertical="center"/>
    </xf>
    <xf numFmtId="164" fontId="11" fillId="6" borderId="22" xfId="0" applyNumberFormat="1" applyFont="1" applyFill="1" applyBorder="1" applyAlignment="1">
      <alignment horizontal="right" vertical="center"/>
    </xf>
    <xf numFmtId="169" fontId="15" fillId="0" borderId="0" xfId="0" applyNumberFormat="1" applyFont="1"/>
    <xf numFmtId="0" fontId="11" fillId="6" borderId="0" xfId="0" applyFont="1" applyFill="1" applyBorder="1" applyAlignment="1">
      <alignment horizontal="center" vertical="center"/>
    </xf>
    <xf numFmtId="0" fontId="11" fillId="6" borderId="0" xfId="0" applyFont="1" applyFill="1" applyBorder="1" applyAlignment="1">
      <alignment horizontal="left" vertical="center" wrapText="1"/>
    </xf>
    <xf numFmtId="169" fontId="11" fillId="6" borderId="0" xfId="2" applyNumberFormat="1" applyFont="1" applyFill="1" applyBorder="1" applyAlignment="1">
      <alignment horizontal="right" vertical="center"/>
    </xf>
    <xf numFmtId="164" fontId="11" fillId="6" borderId="0" xfId="0" applyNumberFormat="1" applyFont="1" applyFill="1" applyBorder="1" applyAlignment="1">
      <alignment horizontal="right" vertical="center"/>
    </xf>
    <xf numFmtId="169" fontId="12" fillId="0" borderId="0" xfId="2" applyNumberFormat="1" applyFont="1"/>
    <xf numFmtId="169" fontId="12" fillId="0" borderId="0" xfId="2" applyNumberFormat="1" applyFont="1" applyAlignment="1">
      <alignment vertical="top"/>
    </xf>
    <xf numFmtId="0" fontId="12" fillId="0" borderId="0" xfId="0" applyFont="1" applyAlignment="1">
      <alignment vertical="top"/>
    </xf>
    <xf numFmtId="0" fontId="11" fillId="6" borderId="0" xfId="0" applyFont="1" applyFill="1" applyAlignment="1">
      <alignment horizontal="center" vertical="center"/>
    </xf>
    <xf numFmtId="169" fontId="12" fillId="0" borderId="0" xfId="2" applyNumberFormat="1" applyFont="1" applyAlignment="1">
      <alignment vertical="center"/>
    </xf>
    <xf numFmtId="0" fontId="12" fillId="0" borderId="0" xfId="0" applyFont="1" applyAlignment="1">
      <alignment vertical="center"/>
    </xf>
    <xf numFmtId="165" fontId="11" fillId="6" borderId="18" xfId="0" applyNumberFormat="1" applyFont="1" applyFill="1" applyBorder="1" applyAlignment="1">
      <alignment horizontal="center" vertical="center"/>
    </xf>
    <xf numFmtId="165" fontId="11" fillId="6" borderId="6" xfId="0" applyNumberFormat="1" applyFont="1" applyFill="1" applyBorder="1" applyAlignment="1">
      <alignment horizontal="left" vertical="center" wrapText="1"/>
    </xf>
    <xf numFmtId="165" fontId="11" fillId="6" borderId="6" xfId="0" applyNumberFormat="1" applyFont="1" applyFill="1" applyBorder="1" applyAlignment="1">
      <alignment horizontal="center" vertical="center"/>
    </xf>
    <xf numFmtId="169" fontId="11" fillId="6" borderId="19" xfId="2" applyNumberFormat="1" applyFont="1" applyFill="1" applyBorder="1" applyAlignment="1">
      <alignment horizontal="right" vertical="center"/>
    </xf>
    <xf numFmtId="169" fontId="12" fillId="0" borderId="0" xfId="0" applyNumberFormat="1" applyFont="1" applyAlignment="1">
      <alignment vertical="center"/>
    </xf>
    <xf numFmtId="165" fontId="10" fillId="6" borderId="18" xfId="0" applyNumberFormat="1" applyFont="1" applyFill="1" applyBorder="1" applyAlignment="1">
      <alignment horizontal="center" vertical="center"/>
    </xf>
    <xf numFmtId="165" fontId="10" fillId="6" borderId="6" xfId="0" applyNumberFormat="1" applyFont="1" applyFill="1" applyBorder="1" applyAlignment="1">
      <alignment horizontal="left" vertical="center" wrapText="1"/>
    </xf>
    <xf numFmtId="165" fontId="10" fillId="6" borderId="6" xfId="0" applyNumberFormat="1" applyFont="1" applyFill="1" applyBorder="1" applyAlignment="1">
      <alignment horizontal="center" vertical="center"/>
    </xf>
    <xf numFmtId="169" fontId="10" fillId="6" borderId="19" xfId="2" applyNumberFormat="1" applyFont="1" applyFill="1" applyBorder="1" applyAlignment="1">
      <alignment horizontal="right" vertical="center"/>
    </xf>
    <xf numFmtId="165" fontId="17" fillId="6" borderId="18" xfId="0" applyNumberFormat="1" applyFont="1" applyFill="1" applyBorder="1" applyAlignment="1">
      <alignment horizontal="center" vertical="center"/>
    </xf>
    <xf numFmtId="165" fontId="17" fillId="6" borderId="6" xfId="0" applyNumberFormat="1" applyFont="1" applyFill="1" applyBorder="1" applyAlignment="1">
      <alignment horizontal="left" vertical="center" wrapText="1"/>
    </xf>
    <xf numFmtId="165" fontId="17" fillId="6" borderId="6" xfId="0" applyNumberFormat="1" applyFont="1" applyFill="1" applyBorder="1" applyAlignment="1">
      <alignment horizontal="center" vertical="center"/>
    </xf>
    <xf numFmtId="169" fontId="17" fillId="6" borderId="19" xfId="2" applyNumberFormat="1" applyFont="1" applyFill="1" applyBorder="1" applyAlignment="1">
      <alignment horizontal="right" vertical="center"/>
    </xf>
    <xf numFmtId="165" fontId="10" fillId="6" borderId="20" xfId="0" applyNumberFormat="1" applyFont="1" applyFill="1" applyBorder="1" applyAlignment="1">
      <alignment horizontal="center" vertical="center"/>
    </xf>
    <xf numFmtId="165" fontId="10" fillId="6" borderId="21" xfId="0" applyNumberFormat="1" applyFont="1" applyFill="1" applyBorder="1" applyAlignment="1">
      <alignment horizontal="left" vertical="center" wrapText="1"/>
    </xf>
    <xf numFmtId="165" fontId="10" fillId="6" borderId="21" xfId="0" applyNumberFormat="1" applyFont="1" applyFill="1" applyBorder="1" applyAlignment="1">
      <alignment horizontal="center" vertical="center"/>
    </xf>
    <xf numFmtId="169" fontId="10" fillId="6" borderId="21" xfId="2" applyNumberFormat="1" applyFont="1" applyFill="1" applyBorder="1" applyAlignment="1">
      <alignment horizontal="right" vertical="center"/>
    </xf>
    <xf numFmtId="0" fontId="17" fillId="6" borderId="0" xfId="0" applyFont="1" applyFill="1" applyAlignment="1">
      <alignment horizontal="center"/>
    </xf>
    <xf numFmtId="0" fontId="10" fillId="6" borderId="0" xfId="0" applyFont="1" applyFill="1" applyAlignment="1">
      <alignment horizontal="left" vertical="center"/>
    </xf>
    <xf numFmtId="0" fontId="11" fillId="6" borderId="0" xfId="0" applyFont="1" applyFill="1" applyAlignment="1">
      <alignment horizontal="left" vertical="center"/>
    </xf>
    <xf numFmtId="0" fontId="17" fillId="6" borderId="0" xfId="0" applyFont="1" applyFill="1" applyAlignment="1">
      <alignment horizontal="right" vertical="center"/>
    </xf>
    <xf numFmtId="0" fontId="10" fillId="6" borderId="14" xfId="0" applyFont="1" applyFill="1" applyBorder="1" applyAlignment="1">
      <alignment horizontal="left" vertical="center"/>
    </xf>
    <xf numFmtId="0" fontId="10" fillId="6" borderId="14" xfId="0" applyFont="1" applyFill="1" applyBorder="1" applyAlignment="1">
      <alignment horizontal="right" vertical="center"/>
    </xf>
    <xf numFmtId="4" fontId="10" fillId="6" borderId="6" xfId="0" applyNumberFormat="1" applyFont="1" applyFill="1" applyBorder="1" applyAlignment="1">
      <alignment horizontal="right" vertical="center"/>
    </xf>
    <xf numFmtId="165" fontId="10" fillId="6" borderId="6" xfId="0" applyNumberFormat="1" applyFont="1" applyFill="1" applyBorder="1" applyAlignment="1">
      <alignment horizontal="right" vertical="center"/>
    </xf>
    <xf numFmtId="43" fontId="10" fillId="6" borderId="6" xfId="2" applyFont="1" applyFill="1" applyBorder="1" applyAlignment="1">
      <alignment horizontal="right" vertical="center"/>
    </xf>
    <xf numFmtId="10" fontId="10" fillId="6" borderId="19" xfId="3" applyNumberFormat="1" applyFont="1" applyFill="1" applyBorder="1" applyAlignment="1">
      <alignment horizontal="right" vertical="center"/>
    </xf>
    <xf numFmtId="0" fontId="10" fillId="6" borderId="20" xfId="0" applyFont="1" applyFill="1" applyBorder="1" applyAlignment="1">
      <alignment horizontal="center" vertical="center"/>
    </xf>
    <xf numFmtId="0" fontId="10" fillId="6" borderId="21" xfId="0" applyFont="1" applyFill="1" applyBorder="1" applyAlignment="1">
      <alignment horizontal="left" vertical="center" wrapText="1"/>
    </xf>
    <xf numFmtId="0" fontId="10" fillId="6" borderId="21" xfId="0" applyFont="1" applyFill="1" applyBorder="1" applyAlignment="1">
      <alignment horizontal="center" vertical="center"/>
    </xf>
    <xf numFmtId="165" fontId="12" fillId="0" borderId="0" xfId="0" applyNumberFormat="1" applyFont="1" applyAlignment="1">
      <alignment vertical="center"/>
    </xf>
    <xf numFmtId="0" fontId="11" fillId="3" borderId="23"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2" fillId="7" borderId="0" xfId="6" applyFont="1" applyFill="1"/>
    <xf numFmtId="0" fontId="9" fillId="7" borderId="0" xfId="6" applyFont="1" applyFill="1" applyAlignment="1">
      <alignment wrapText="1"/>
    </xf>
    <xf numFmtId="0" fontId="8" fillId="7" borderId="0" xfId="6" applyFont="1" applyFill="1" applyAlignment="1">
      <alignment horizontal="center"/>
    </xf>
    <xf numFmtId="0" fontId="4" fillId="7" borderId="0" xfId="6" applyFont="1" applyFill="1" applyAlignment="1">
      <alignment horizontal="center"/>
    </xf>
    <xf numFmtId="169" fontId="4" fillId="7" borderId="0" xfId="7" applyNumberFormat="1" applyFont="1" applyFill="1" applyAlignment="1">
      <alignment horizontal="center"/>
    </xf>
    <xf numFmtId="0" fontId="4" fillId="7" borderId="0" xfId="6" applyFont="1" applyFill="1" applyAlignment="1">
      <alignment horizontal="center" vertical="center" wrapText="1"/>
    </xf>
    <xf numFmtId="0" fontId="4" fillId="7" borderId="0" xfId="6" applyFont="1" applyFill="1" applyAlignment="1">
      <alignment horizontal="left" vertical="center"/>
    </xf>
    <xf numFmtId="0" fontId="7" fillId="7" borderId="0" xfId="6" applyFont="1" applyFill="1" applyAlignment="1">
      <alignment horizontal="left" vertical="center"/>
    </xf>
    <xf numFmtId="169" fontId="7" fillId="7" borderId="0" xfId="7" applyNumberFormat="1" applyFont="1" applyFill="1" applyAlignment="1">
      <alignment horizontal="center"/>
    </xf>
    <xf numFmtId="0" fontId="7" fillId="7" borderId="0" xfId="6" applyFont="1" applyFill="1" applyAlignment="1">
      <alignment horizontal="center"/>
    </xf>
    <xf numFmtId="0" fontId="4" fillId="7" borderId="0" xfId="6" applyFont="1" applyFill="1" applyAlignment="1">
      <alignment horizontal="center" vertical="center"/>
    </xf>
    <xf numFmtId="0" fontId="4" fillId="7" borderId="0" xfId="6" applyFont="1" applyFill="1" applyAlignment="1">
      <alignment horizontal="left" wrapText="1"/>
    </xf>
    <xf numFmtId="0" fontId="4" fillId="7" borderId="0" xfId="6" applyFont="1" applyFill="1" applyAlignment="1">
      <alignment vertical="center"/>
    </xf>
    <xf numFmtId="48" fontId="7" fillId="7" borderId="0" xfId="6" applyNumberFormat="1" applyFont="1" applyFill="1" applyAlignment="1" applyProtection="1">
      <alignment horizontal="left" vertical="center" wrapText="1"/>
      <protection locked="0"/>
    </xf>
    <xf numFmtId="0" fontId="7" fillId="7" borderId="0" xfId="6" applyFont="1" applyFill="1" applyAlignment="1">
      <alignment horizontal="left" wrapText="1"/>
    </xf>
    <xf numFmtId="0" fontId="10" fillId="6" borderId="0" xfId="8" applyNumberFormat="1" applyFont="1" applyFill="1" applyBorder="1" applyAlignment="1" applyProtection="1">
      <alignment vertical="top"/>
    </xf>
    <xf numFmtId="0" fontId="7" fillId="7" borderId="0" xfId="6" applyFont="1" applyFill="1" applyAlignment="1">
      <alignment vertical="center"/>
    </xf>
    <xf numFmtId="3" fontId="7" fillId="7" borderId="0" xfId="6" applyNumberFormat="1" applyFont="1" applyFill="1" applyAlignment="1">
      <alignment horizontal="left" vertical="center" wrapText="1"/>
    </xf>
    <xf numFmtId="48" fontId="4" fillId="7" borderId="0" xfId="6" applyNumberFormat="1" applyFont="1" applyFill="1" applyAlignment="1" applyProtection="1">
      <alignment horizontal="left" vertical="center" wrapText="1"/>
      <protection locked="0"/>
    </xf>
    <xf numFmtId="48" fontId="7" fillId="7" borderId="0" xfId="6" applyNumberFormat="1" applyFont="1" applyFill="1" applyAlignment="1" applyProtection="1">
      <alignment vertical="center" wrapText="1"/>
      <protection locked="0"/>
    </xf>
    <xf numFmtId="0" fontId="15" fillId="7" borderId="0" xfId="0" applyFont="1" applyFill="1" applyAlignment="1">
      <alignment vertical="center"/>
    </xf>
    <xf numFmtId="171" fontId="7" fillId="7" borderId="0" xfId="6" applyNumberFormat="1" applyFont="1" applyFill="1" applyAlignment="1">
      <alignment horizontal="left" vertical="center" wrapText="1"/>
    </xf>
    <xf numFmtId="0" fontId="7" fillId="7" borderId="0" xfId="6" applyFont="1" applyFill="1" applyAlignment="1">
      <alignment horizontal="left" vertical="center" wrapText="1"/>
    </xf>
    <xf numFmtId="0" fontId="12" fillId="7" borderId="0" xfId="6" applyFont="1" applyFill="1" applyAlignment="1">
      <alignment horizontal="left"/>
    </xf>
    <xf numFmtId="3" fontId="7" fillId="7" borderId="0" xfId="6" applyNumberFormat="1" applyFont="1" applyFill="1" applyAlignment="1">
      <alignment wrapText="1"/>
    </xf>
    <xf numFmtId="3" fontId="4" fillId="7" borderId="0" xfId="6" applyNumberFormat="1" applyFont="1" applyFill="1" applyAlignment="1">
      <alignment wrapText="1"/>
    </xf>
    <xf numFmtId="0" fontId="19" fillId="7" borderId="0" xfId="6" applyFont="1" applyFill="1"/>
    <xf numFmtId="0" fontId="15" fillId="8" borderId="30" xfId="6" applyFont="1" applyFill="1" applyBorder="1" applyAlignment="1">
      <alignment horizontal="center" vertical="center" wrapText="1"/>
    </xf>
    <xf numFmtId="0" fontId="12" fillId="0" borderId="30" xfId="6" applyFont="1" applyFill="1" applyBorder="1" applyAlignment="1">
      <alignment horizontal="center" vertical="center"/>
    </xf>
    <xf numFmtId="49" fontId="12" fillId="0" borderId="30" xfId="6" applyNumberFormat="1" applyFont="1" applyFill="1" applyBorder="1" applyAlignment="1" applyProtection="1">
      <alignment horizontal="left" vertical="center" wrapText="1"/>
    </xf>
    <xf numFmtId="49" fontId="21" fillId="0" borderId="30" xfId="6" applyNumberFormat="1" applyFont="1" applyFill="1" applyBorder="1" applyAlignment="1" applyProtection="1">
      <alignment horizontal="center" vertical="center" wrapText="1"/>
    </xf>
    <xf numFmtId="49" fontId="19" fillId="0" borderId="30" xfId="6" applyNumberFormat="1" applyFont="1" applyFill="1" applyBorder="1" applyAlignment="1" applyProtection="1">
      <alignment horizontal="left" vertical="center" wrapText="1"/>
    </xf>
    <xf numFmtId="49" fontId="12" fillId="0" borderId="30" xfId="6" applyNumberFormat="1" applyFont="1" applyFill="1" applyBorder="1" applyAlignment="1" applyProtection="1">
      <alignment horizontal="center" vertical="center" wrapText="1"/>
    </xf>
    <xf numFmtId="0" fontId="8" fillId="7" borderId="0" xfId="6" applyFont="1" applyFill="1"/>
    <xf numFmtId="172" fontId="20" fillId="7" borderId="0" xfId="9" applyNumberFormat="1" applyFont="1" applyFill="1" applyAlignment="1">
      <alignment vertical="center" wrapText="1"/>
    </xf>
    <xf numFmtId="0" fontId="19" fillId="7" borderId="0" xfId="9" applyFont="1" applyFill="1" applyBorder="1" applyAlignment="1">
      <alignment vertical="center"/>
    </xf>
    <xf numFmtId="169" fontId="20" fillId="7" borderId="0" xfId="7" applyNumberFormat="1" applyFont="1" applyFill="1" applyBorder="1" applyAlignment="1">
      <alignment vertical="center" wrapText="1"/>
    </xf>
    <xf numFmtId="0" fontId="20" fillId="7" borderId="0" xfId="9" applyFont="1" applyFill="1" applyBorder="1" applyAlignment="1">
      <alignment vertical="center"/>
    </xf>
    <xf numFmtId="0" fontId="20" fillId="7" borderId="0" xfId="9" applyFont="1" applyFill="1" applyBorder="1" applyAlignment="1">
      <alignment vertical="center" wrapText="1"/>
    </xf>
    <xf numFmtId="169" fontId="20" fillId="7" borderId="0" xfId="7" applyNumberFormat="1" applyFont="1" applyFill="1" applyBorder="1" applyAlignment="1">
      <alignment horizontal="right" vertical="center" wrapText="1"/>
    </xf>
    <xf numFmtId="169" fontId="20" fillId="7" borderId="0" xfId="7" applyNumberFormat="1" applyFont="1" applyFill="1" applyBorder="1" applyAlignment="1">
      <alignment horizontal="left" vertical="center"/>
    </xf>
    <xf numFmtId="2" fontId="19" fillId="7" borderId="0" xfId="9" applyNumberFormat="1" applyFont="1" applyFill="1" applyAlignment="1">
      <alignment vertical="center"/>
    </xf>
    <xf numFmtId="169" fontId="20" fillId="7" borderId="0" xfId="7" applyNumberFormat="1" applyFont="1" applyFill="1" applyBorder="1" applyAlignment="1">
      <alignment horizontal="right" vertical="center"/>
    </xf>
    <xf numFmtId="169" fontId="20" fillId="7" borderId="0" xfId="7" applyNumberFormat="1" applyFont="1" applyFill="1" applyAlignment="1">
      <alignment horizontal="right" vertical="center"/>
    </xf>
    <xf numFmtId="2" fontId="19" fillId="7" borderId="0" xfId="9" applyNumberFormat="1" applyFont="1" applyFill="1" applyAlignment="1">
      <alignment horizontal="right" vertical="center"/>
    </xf>
    <xf numFmtId="169" fontId="19" fillId="7" borderId="0" xfId="7" applyNumberFormat="1" applyFont="1" applyFill="1" applyAlignment="1">
      <alignment horizontal="right" vertical="center"/>
    </xf>
    <xf numFmtId="2" fontId="20" fillId="7" borderId="0" xfId="9" applyNumberFormat="1" applyFont="1" applyFill="1" applyAlignment="1">
      <alignment vertical="center"/>
    </xf>
    <xf numFmtId="2" fontId="19" fillId="7" borderId="37" xfId="9" applyNumberFormat="1" applyFont="1" applyFill="1" applyBorder="1" applyAlignment="1">
      <alignment vertical="center"/>
    </xf>
    <xf numFmtId="169" fontId="19" fillId="7" borderId="37" xfId="7" applyNumberFormat="1" applyFont="1" applyFill="1" applyBorder="1" applyAlignment="1">
      <alignment horizontal="right" vertical="center"/>
    </xf>
    <xf numFmtId="2" fontId="19" fillId="7" borderId="0" xfId="9" applyNumberFormat="1" applyFont="1" applyFill="1" applyBorder="1" applyAlignment="1">
      <alignment horizontal="right" vertical="center"/>
    </xf>
    <xf numFmtId="0" fontId="12" fillId="7" borderId="0" xfId="6" applyFont="1" applyFill="1" applyBorder="1"/>
    <xf numFmtId="2" fontId="19" fillId="7" borderId="0" xfId="9" applyNumberFormat="1" applyFont="1" applyFill="1" applyBorder="1" applyAlignment="1">
      <alignment vertical="center"/>
    </xf>
    <xf numFmtId="0" fontId="12" fillId="7" borderId="0" xfId="6" applyFont="1" applyFill="1" applyAlignment="1">
      <alignment vertical="center"/>
    </xf>
    <xf numFmtId="2" fontId="12" fillId="7" borderId="0" xfId="9" applyNumberFormat="1" applyFont="1" applyFill="1" applyAlignment="1">
      <alignment vertical="center"/>
    </xf>
    <xf numFmtId="0" fontId="20" fillId="0" borderId="0" xfId="6" applyFont="1" applyFill="1" applyAlignment="1">
      <alignment vertical="center"/>
    </xf>
    <xf numFmtId="0" fontId="20" fillId="7" borderId="0" xfId="6" applyFont="1" applyFill="1" applyAlignment="1">
      <alignment vertical="center"/>
    </xf>
    <xf numFmtId="0" fontId="17" fillId="6" borderId="14" xfId="0" applyFont="1" applyFill="1" applyBorder="1" applyAlignment="1">
      <alignment horizontal="right" vertical="center"/>
    </xf>
    <xf numFmtId="0" fontId="10" fillId="6" borderId="6" xfId="0" applyFont="1" applyFill="1" applyBorder="1" applyAlignment="1">
      <alignment horizontal="left" vertical="center" wrapText="1"/>
    </xf>
    <xf numFmtId="3" fontId="11" fillId="6" borderId="6" xfId="0" applyNumberFormat="1" applyFont="1" applyFill="1" applyBorder="1" applyAlignment="1">
      <alignment horizontal="right" vertical="center"/>
    </xf>
    <xf numFmtId="3" fontId="11" fillId="6" borderId="19" xfId="0" applyNumberFormat="1" applyFont="1" applyFill="1" applyBorder="1" applyAlignment="1">
      <alignment horizontal="right" vertical="center"/>
    </xf>
    <xf numFmtId="164" fontId="10" fillId="6" borderId="6" xfId="0" applyNumberFormat="1" applyFont="1" applyFill="1" applyBorder="1" applyAlignment="1">
      <alignment horizontal="right" vertical="center"/>
    </xf>
    <xf numFmtId="10" fontId="12" fillId="0" borderId="0" xfId="0" applyNumberFormat="1" applyFont="1" applyAlignment="1">
      <alignment vertical="center"/>
    </xf>
    <xf numFmtId="173" fontId="12" fillId="0" borderId="0" xfId="0" applyNumberFormat="1" applyFont="1" applyAlignment="1">
      <alignment vertical="center"/>
    </xf>
    <xf numFmtId="169" fontId="10" fillId="6" borderId="6" xfId="2" applyNumberFormat="1" applyFont="1" applyFill="1" applyBorder="1" applyAlignment="1" applyProtection="1">
      <alignment horizontal="right" vertical="center"/>
    </xf>
    <xf numFmtId="169" fontId="10" fillId="6" borderId="19" xfId="2" applyNumberFormat="1" applyFont="1" applyFill="1" applyBorder="1" applyAlignment="1" applyProtection="1">
      <alignment horizontal="right" vertical="center"/>
    </xf>
    <xf numFmtId="164" fontId="19" fillId="0" borderId="6" xfId="0" applyNumberFormat="1" applyFont="1" applyFill="1" applyBorder="1" applyAlignment="1">
      <alignment horizontal="right" vertical="center"/>
    </xf>
    <xf numFmtId="4" fontId="10" fillId="0" borderId="6" xfId="0" applyNumberFormat="1" applyFont="1" applyFill="1" applyBorder="1" applyAlignment="1">
      <alignment horizontal="right" vertical="center"/>
    </xf>
    <xf numFmtId="4" fontId="10" fillId="0" borderId="19" xfId="0" applyNumberFormat="1" applyFont="1" applyFill="1" applyBorder="1" applyAlignment="1">
      <alignment horizontal="right" vertical="center"/>
    </xf>
    <xf numFmtId="3" fontId="10" fillId="0" borderId="6" xfId="0" applyNumberFormat="1" applyFont="1" applyFill="1" applyBorder="1" applyAlignment="1">
      <alignment horizontal="right" vertical="center"/>
    </xf>
    <xf numFmtId="3" fontId="10" fillId="0" borderId="19" xfId="0" applyNumberFormat="1" applyFont="1" applyFill="1" applyBorder="1" applyAlignment="1">
      <alignment horizontal="right" vertical="center"/>
    </xf>
    <xf numFmtId="3" fontId="10" fillId="0" borderId="21" xfId="0" applyNumberFormat="1" applyFont="1" applyFill="1" applyBorder="1" applyAlignment="1">
      <alignment horizontal="right" vertical="center" wrapText="1"/>
    </xf>
    <xf numFmtId="3" fontId="10" fillId="0" borderId="22" xfId="0" applyNumberFormat="1" applyFont="1" applyFill="1" applyBorder="1" applyAlignment="1">
      <alignment horizontal="right" vertical="center"/>
    </xf>
    <xf numFmtId="0" fontId="10" fillId="0" borderId="0" xfId="0" applyFont="1" applyAlignment="1">
      <alignment horizontal="left" vertical="center"/>
    </xf>
    <xf numFmtId="0" fontId="17" fillId="6" borderId="0" xfId="0" applyFont="1" applyFill="1" applyAlignment="1">
      <alignment horizontal="center" vertical="center"/>
    </xf>
    <xf numFmtId="168" fontId="7" fillId="2" borderId="0" xfId="5" applyNumberFormat="1" applyFont="1" applyFill="1" applyBorder="1" applyAlignment="1" applyProtection="1">
      <alignment horizontal="left" vertical="top"/>
    </xf>
    <xf numFmtId="0" fontId="7" fillId="0" borderId="0" xfId="4" applyFont="1">
      <alignment vertical="center"/>
    </xf>
    <xf numFmtId="0" fontId="7" fillId="2" borderId="1" xfId="4" applyNumberFormat="1" applyFont="1" applyFill="1" applyBorder="1" applyAlignment="1" applyProtection="1">
      <alignment horizontal="left" vertical="top"/>
    </xf>
    <xf numFmtId="0" fontId="7" fillId="4" borderId="11" xfId="4" applyNumberFormat="1" applyFont="1" applyFill="1" applyBorder="1" applyAlignment="1" applyProtection="1">
      <alignment horizontal="center" vertical="center" wrapText="1"/>
    </xf>
    <xf numFmtId="0" fontId="7" fillId="4" borderId="12" xfId="4" applyNumberFormat="1" applyFont="1" applyFill="1" applyBorder="1" applyAlignment="1" applyProtection="1">
      <alignment horizontal="center" vertical="center" wrapText="1"/>
    </xf>
    <xf numFmtId="0" fontId="7" fillId="4" borderId="13" xfId="4" applyNumberFormat="1" applyFont="1" applyFill="1" applyBorder="1" applyAlignment="1" applyProtection="1">
      <alignment horizontal="center" vertical="center" wrapText="1"/>
    </xf>
    <xf numFmtId="166" fontId="7" fillId="2" borderId="6" xfId="4" applyNumberFormat="1" applyFont="1" applyFill="1" applyBorder="1" applyAlignment="1" applyProtection="1">
      <alignment horizontal="right" vertical="top"/>
    </xf>
    <xf numFmtId="3" fontId="4" fillId="5" borderId="9" xfId="4" applyNumberFormat="1" applyFont="1" applyFill="1" applyBorder="1" applyAlignment="1" applyProtection="1">
      <alignment horizontal="right" vertical="top"/>
    </xf>
    <xf numFmtId="164" fontId="4" fillId="5" borderId="9" xfId="4" applyNumberFormat="1" applyFont="1" applyFill="1" applyBorder="1" applyAlignment="1" applyProtection="1">
      <alignment horizontal="right" vertical="top"/>
    </xf>
    <xf numFmtId="166" fontId="4" fillId="5" borderId="9" xfId="4" applyNumberFormat="1" applyFont="1" applyFill="1" applyBorder="1" applyAlignment="1" applyProtection="1">
      <alignment horizontal="right" vertical="top"/>
    </xf>
    <xf numFmtId="164" fontId="4" fillId="5" borderId="10" xfId="4" applyNumberFormat="1" applyFont="1" applyFill="1" applyBorder="1" applyAlignment="1" applyProtection="1">
      <alignment horizontal="right" vertical="top"/>
    </xf>
    <xf numFmtId="0" fontId="23" fillId="0" borderId="0" xfId="4" applyFont="1">
      <alignment vertical="center"/>
    </xf>
    <xf numFmtId="0" fontId="7" fillId="0" borderId="0" xfId="4" applyFont="1" applyAlignment="1">
      <alignment vertical="top"/>
    </xf>
    <xf numFmtId="0" fontId="4" fillId="3" borderId="12" xfId="4" applyNumberFormat="1" applyFont="1" applyFill="1" applyBorder="1" applyAlignment="1" applyProtection="1">
      <alignment horizontal="center" vertical="top" wrapText="1"/>
    </xf>
    <xf numFmtId="169" fontId="11" fillId="0" borderId="6" xfId="2" applyNumberFormat="1" applyFont="1" applyFill="1" applyBorder="1" applyAlignment="1">
      <alignment horizontal="right" vertical="center"/>
    </xf>
    <xf numFmtId="169" fontId="11" fillId="0" borderId="19" xfId="2" applyNumberFormat="1" applyFont="1" applyFill="1" applyBorder="1" applyAlignment="1">
      <alignment horizontal="right" vertical="center"/>
    </xf>
    <xf numFmtId="10" fontId="10" fillId="0" borderId="21" xfId="3" applyNumberFormat="1" applyFont="1" applyFill="1" applyBorder="1" applyAlignment="1">
      <alignment horizontal="right" vertical="center"/>
    </xf>
    <xf numFmtId="10" fontId="10" fillId="0" borderId="22" xfId="3" applyNumberFormat="1" applyFont="1" applyFill="1" applyBorder="1" applyAlignment="1">
      <alignment horizontal="right" vertical="center"/>
    </xf>
    <xf numFmtId="0" fontId="7"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left"/>
    </xf>
    <xf numFmtId="169" fontId="8" fillId="2" borderId="0" xfId="2" applyNumberFormat="1" applyFont="1" applyFill="1" applyBorder="1" applyAlignment="1" applyProtection="1">
      <alignment horizontal="left" vertical="top"/>
    </xf>
    <xf numFmtId="0" fontId="25" fillId="9" borderId="0" xfId="0" applyFont="1" applyFill="1"/>
    <xf numFmtId="0" fontId="25" fillId="9" borderId="0" xfId="0" applyFont="1" applyFill="1" applyAlignment="1">
      <alignment horizontal="left"/>
    </xf>
    <xf numFmtId="0" fontId="26" fillId="7" borderId="32" xfId="0" applyFont="1" applyFill="1" applyBorder="1" applyAlignment="1">
      <alignment vertical="center"/>
    </xf>
    <xf numFmtId="0" fontId="26" fillId="7" borderId="32" xfId="0" applyFont="1" applyFill="1" applyBorder="1" applyAlignment="1">
      <alignment vertical="center" wrapText="1"/>
    </xf>
    <xf numFmtId="0" fontId="26" fillId="7" borderId="33" xfId="0" applyFont="1" applyFill="1" applyBorder="1" applyAlignment="1">
      <alignment vertical="center" wrapText="1"/>
    </xf>
    <xf numFmtId="0" fontId="25" fillId="7" borderId="0" xfId="0" applyFont="1" applyFill="1" applyBorder="1" applyAlignment="1">
      <alignment vertical="center"/>
    </xf>
    <xf numFmtId="0" fontId="25" fillId="7" borderId="0" xfId="0" applyFont="1" applyFill="1" applyBorder="1" applyAlignment="1">
      <alignment vertical="center" wrapText="1"/>
    </xf>
    <xf numFmtId="0" fontId="25" fillId="7" borderId="35" xfId="0" applyFont="1" applyFill="1" applyBorder="1" applyAlignment="1">
      <alignment vertical="center" wrapText="1"/>
    </xf>
    <xf numFmtId="0" fontId="27" fillId="9" borderId="0" xfId="0" applyFont="1" applyFill="1" applyBorder="1"/>
    <xf numFmtId="0" fontId="26" fillId="7" borderId="0" xfId="0" applyFont="1" applyFill="1" applyBorder="1" applyAlignment="1">
      <alignment vertical="center"/>
    </xf>
    <xf numFmtId="0" fontId="26" fillId="7" borderId="0" xfId="0" applyFont="1" applyFill="1" applyBorder="1" applyAlignment="1">
      <alignment vertical="center" wrapText="1"/>
    </xf>
    <xf numFmtId="0" fontId="26" fillId="7" borderId="35" xfId="0" applyFont="1" applyFill="1" applyBorder="1" applyAlignment="1">
      <alignment vertical="center" wrapText="1"/>
    </xf>
    <xf numFmtId="167" fontId="26" fillId="7" borderId="0" xfId="0" applyNumberFormat="1" applyFont="1" applyFill="1" applyBorder="1" applyAlignment="1">
      <alignment horizontal="left" vertical="center"/>
    </xf>
    <xf numFmtId="174" fontId="25" fillId="7" borderId="38" xfId="0" applyNumberFormat="1" applyFont="1" applyFill="1" applyBorder="1" applyAlignment="1"/>
    <xf numFmtId="0" fontId="29" fillId="9" borderId="0" xfId="0" applyFont="1" applyFill="1"/>
    <xf numFmtId="0" fontId="25" fillId="9" borderId="37" xfId="0" applyFont="1" applyFill="1" applyBorder="1"/>
    <xf numFmtId="0" fontId="32" fillId="9" borderId="0" xfId="9" applyFont="1" applyFill="1" applyBorder="1" applyAlignment="1">
      <alignment horizontal="center" vertical="center"/>
    </xf>
    <xf numFmtId="0" fontId="31" fillId="9" borderId="0" xfId="9" applyFont="1" applyFill="1" applyBorder="1" applyAlignment="1">
      <alignment horizontal="center" vertical="center"/>
    </xf>
    <xf numFmtId="0" fontId="26" fillId="9" borderId="30" xfId="0" applyFont="1" applyFill="1" applyBorder="1" applyAlignment="1">
      <alignment horizontal="center" vertical="center"/>
    </xf>
    <xf numFmtId="0" fontId="26" fillId="9" borderId="30" xfId="0" applyFont="1" applyFill="1" applyBorder="1" applyAlignment="1">
      <alignment horizontal="left" vertical="center"/>
    </xf>
    <xf numFmtId="0" fontId="25" fillId="9" borderId="30" xfId="0" applyFont="1" applyFill="1" applyBorder="1" applyAlignment="1">
      <alignment horizontal="center" vertical="center"/>
    </xf>
    <xf numFmtId="0" fontId="34" fillId="9" borderId="0" xfId="0" applyFont="1" applyFill="1" applyBorder="1"/>
    <xf numFmtId="0" fontId="29" fillId="9" borderId="0" xfId="0" applyFont="1" applyFill="1" applyBorder="1" applyAlignment="1">
      <alignment vertical="center"/>
    </xf>
    <xf numFmtId="0" fontId="25" fillId="9" borderId="30" xfId="10" applyFont="1" applyFill="1" applyBorder="1" applyAlignment="1">
      <alignment vertical="center"/>
    </xf>
    <xf numFmtId="0" fontId="25" fillId="9" borderId="30" xfId="10" quotePrefix="1" applyFont="1" applyFill="1" applyBorder="1" applyAlignment="1">
      <alignment vertical="center"/>
    </xf>
    <xf numFmtId="0" fontId="25" fillId="9" borderId="30" xfId="9" applyFont="1" applyFill="1" applyBorder="1" applyAlignment="1">
      <alignment vertical="center"/>
    </xf>
    <xf numFmtId="43" fontId="12" fillId="0" borderId="0" xfId="2" applyFont="1" applyAlignment="1">
      <alignment vertical="center"/>
    </xf>
    <xf numFmtId="0" fontId="25" fillId="7" borderId="34" xfId="0" applyFont="1" applyFill="1" applyBorder="1" applyAlignment="1">
      <alignment horizontal="left" vertical="center" wrapText="1"/>
    </xf>
    <xf numFmtId="0" fontId="25" fillId="7" borderId="0" xfId="0" applyFont="1" applyFill="1" applyBorder="1" applyAlignment="1">
      <alignment horizontal="left" vertical="center" wrapText="1"/>
    </xf>
    <xf numFmtId="0" fontId="25" fillId="9" borderId="30" xfId="0" applyFont="1" applyFill="1" applyBorder="1" applyAlignment="1">
      <alignment vertical="center"/>
    </xf>
    <xf numFmtId="0" fontId="32" fillId="7" borderId="34" xfId="9" applyFont="1" applyFill="1" applyBorder="1" applyAlignment="1">
      <alignment horizontal="center" vertical="center"/>
    </xf>
    <xf numFmtId="0" fontId="32" fillId="7" borderId="0" xfId="9" applyFont="1" applyFill="1" applyBorder="1" applyAlignment="1">
      <alignment horizontal="center" vertical="center"/>
    </xf>
    <xf numFmtId="0" fontId="32" fillId="7" borderId="35" xfId="9" applyFont="1" applyFill="1" applyBorder="1" applyAlignment="1">
      <alignment horizontal="center" vertical="center"/>
    </xf>
    <xf numFmtId="0" fontId="26" fillId="9" borderId="0" xfId="0" applyFont="1" applyFill="1" applyBorder="1" applyAlignment="1">
      <alignment horizontal="left"/>
    </xf>
    <xf numFmtId="0" fontId="25" fillId="7" borderId="31" xfId="0" applyFont="1" applyFill="1" applyBorder="1" applyAlignment="1">
      <alignment horizontal="left" wrapText="1"/>
    </xf>
    <xf numFmtId="0" fontId="25" fillId="7" borderId="32" xfId="0" applyFont="1" applyFill="1" applyBorder="1" applyAlignment="1">
      <alignment horizontal="left" wrapText="1"/>
    </xf>
    <xf numFmtId="0" fontId="25" fillId="7" borderId="33" xfId="0" applyFont="1" applyFill="1" applyBorder="1" applyAlignment="1">
      <alignment horizontal="left" wrapText="1"/>
    </xf>
    <xf numFmtId="0" fontId="25" fillId="7" borderId="36" xfId="0" applyFont="1" applyFill="1" applyBorder="1" applyAlignment="1">
      <alignment horizontal="left" wrapText="1"/>
    </xf>
    <xf numFmtId="0" fontId="25" fillId="7" borderId="37" xfId="0" applyFont="1" applyFill="1" applyBorder="1" applyAlignment="1">
      <alignment horizontal="left" wrapText="1"/>
    </xf>
    <xf numFmtId="0" fontId="25" fillId="7" borderId="38" xfId="0" applyFont="1" applyFill="1" applyBorder="1" applyAlignment="1">
      <alignment horizontal="left" wrapText="1"/>
    </xf>
    <xf numFmtId="0" fontId="26" fillId="9" borderId="0" xfId="0" applyFont="1" applyFill="1" applyAlignment="1">
      <alignment horizontal="left"/>
    </xf>
    <xf numFmtId="0" fontId="26" fillId="7" borderId="31" xfId="0" applyFont="1" applyFill="1" applyBorder="1" applyAlignment="1">
      <alignment horizontal="left" vertical="center" wrapText="1"/>
    </xf>
    <xf numFmtId="0" fontId="26" fillId="7" borderId="32" xfId="0" applyFont="1" applyFill="1" applyBorder="1" applyAlignment="1">
      <alignment horizontal="left" vertical="center" wrapText="1"/>
    </xf>
    <xf numFmtId="0" fontId="26" fillId="7" borderId="34" xfId="0" applyFont="1" applyFill="1" applyBorder="1" applyAlignment="1">
      <alignment horizontal="left" vertical="center" wrapText="1"/>
    </xf>
    <xf numFmtId="0" fontId="26" fillId="7" borderId="0" xfId="0" applyFont="1" applyFill="1" applyBorder="1" applyAlignment="1">
      <alignment horizontal="left" vertical="center" wrapText="1"/>
    </xf>
    <xf numFmtId="168" fontId="28" fillId="2" borderId="37" xfId="5" applyNumberFormat="1" applyFont="1" applyFill="1" applyBorder="1" applyAlignment="1" applyProtection="1">
      <alignment horizontal="left" vertical="top"/>
    </xf>
    <xf numFmtId="0" fontId="6" fillId="7" borderId="31"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3" xfId="0" applyFont="1" applyFill="1" applyBorder="1" applyAlignment="1">
      <alignment horizontal="center" vertical="center"/>
    </xf>
    <xf numFmtId="0" fontId="30" fillId="7" borderId="34" xfId="9" applyFont="1" applyFill="1" applyBorder="1" applyAlignment="1">
      <alignment horizontal="center" vertical="center"/>
    </xf>
    <xf numFmtId="0" fontId="30" fillId="7" borderId="0" xfId="9" applyFont="1" applyFill="1" applyBorder="1" applyAlignment="1">
      <alignment horizontal="center" vertical="center"/>
    </xf>
    <xf numFmtId="0" fontId="30" fillId="7" borderId="35" xfId="9" applyFont="1" applyFill="1" applyBorder="1" applyAlignment="1">
      <alignment horizontal="center" vertical="center"/>
    </xf>
    <xf numFmtId="0" fontId="25" fillId="7" borderId="36" xfId="0" applyFont="1" applyFill="1" applyBorder="1" applyAlignment="1">
      <alignment horizontal="left"/>
    </xf>
    <xf numFmtId="0" fontId="25" fillId="7" borderId="37" xfId="0" applyFont="1" applyFill="1" applyBorder="1" applyAlignment="1">
      <alignment horizontal="left"/>
    </xf>
    <xf numFmtId="0" fontId="31" fillId="7" borderId="34" xfId="9" applyFont="1" applyFill="1" applyBorder="1" applyAlignment="1">
      <alignment horizontal="center" vertical="center"/>
    </xf>
    <xf numFmtId="0" fontId="31" fillId="7" borderId="0" xfId="9" applyFont="1" applyFill="1" applyBorder="1" applyAlignment="1">
      <alignment horizontal="center" vertical="center"/>
    </xf>
    <xf numFmtId="0" fontId="31" fillId="7" borderId="35" xfId="9" applyFont="1" applyFill="1" applyBorder="1" applyAlignment="1">
      <alignment horizontal="center" vertical="center"/>
    </xf>
    <xf numFmtId="0" fontId="32" fillId="7" borderId="36" xfId="9" applyFont="1" applyFill="1" applyBorder="1" applyAlignment="1">
      <alignment horizontal="center" vertical="center"/>
    </xf>
    <xf numFmtId="0" fontId="32" fillId="7" borderId="37" xfId="9" applyFont="1" applyFill="1" applyBorder="1" applyAlignment="1">
      <alignment horizontal="center" vertical="center"/>
    </xf>
    <xf numFmtId="0" fontId="32" fillId="7" borderId="38" xfId="9" applyFont="1" applyFill="1" applyBorder="1" applyAlignment="1">
      <alignment horizontal="center" vertical="center"/>
    </xf>
    <xf numFmtId="0" fontId="26" fillId="9" borderId="30" xfId="0" applyFont="1" applyFill="1" applyBorder="1" applyAlignment="1">
      <alignment horizontal="left" vertical="center"/>
    </xf>
    <xf numFmtId="0" fontId="25" fillId="9" borderId="30" xfId="0" applyFont="1" applyFill="1" applyBorder="1" applyAlignment="1">
      <alignment wrapText="1"/>
    </xf>
    <xf numFmtId="167" fontId="15" fillId="7" borderId="0" xfId="0" applyNumberFormat="1" applyFont="1" applyFill="1" applyBorder="1" applyAlignment="1">
      <alignment horizontal="left" vertical="center"/>
    </xf>
    <xf numFmtId="0" fontId="10" fillId="6" borderId="0" xfId="0" applyFont="1" applyFill="1" applyAlignment="1">
      <alignment horizontal="left" vertical="top"/>
    </xf>
    <xf numFmtId="0" fontId="11" fillId="6" borderId="0" xfId="0" applyFont="1" applyFill="1" applyAlignment="1">
      <alignment horizontal="center" vertical="center" wrapText="1"/>
    </xf>
    <xf numFmtId="0" fontId="13" fillId="6" borderId="0" xfId="0" applyFont="1" applyFill="1" applyAlignment="1">
      <alignment horizontal="center" vertical="center" wrapText="1"/>
    </xf>
    <xf numFmtId="0" fontId="14" fillId="6" borderId="0" xfId="0" applyFont="1" applyFill="1" applyAlignment="1">
      <alignment horizontal="center" vertical="center" wrapText="1"/>
    </xf>
    <xf numFmtId="0" fontId="10" fillId="0" borderId="0" xfId="0" applyFont="1" applyFill="1" applyAlignment="1">
      <alignment horizontal="center" vertical="top"/>
    </xf>
    <xf numFmtId="0" fontId="11" fillId="6" borderId="0" xfId="0" applyFont="1" applyFill="1" applyAlignment="1">
      <alignment horizontal="left" vertical="top"/>
    </xf>
    <xf numFmtId="168" fontId="7" fillId="2" borderId="0" xfId="5" applyNumberFormat="1" applyFont="1" applyFill="1" applyBorder="1" applyAlignment="1" applyProtection="1">
      <alignment horizontal="left" vertical="top"/>
    </xf>
    <xf numFmtId="0" fontId="11" fillId="6" borderId="0" xfId="0" applyFont="1" applyFill="1" applyAlignment="1">
      <alignment horizontal="left" vertical="top" wrapText="1"/>
    </xf>
    <xf numFmtId="0" fontId="10" fillId="6" borderId="14" xfId="0" applyFont="1" applyFill="1" applyBorder="1" applyAlignment="1">
      <alignment horizontal="right" vertical="top"/>
    </xf>
    <xf numFmtId="0" fontId="11" fillId="6" borderId="0" xfId="0" applyFont="1" applyFill="1" applyAlignment="1">
      <alignment horizontal="center" vertical="top"/>
    </xf>
    <xf numFmtId="0" fontId="10" fillId="6" borderId="0" xfId="0" applyFont="1" applyFill="1" applyAlignment="1">
      <alignment horizontal="center" vertical="top"/>
    </xf>
    <xf numFmtId="0" fontId="10" fillId="6" borderId="0" xfId="0" applyFont="1" applyFill="1" applyAlignment="1">
      <alignment horizontal="center" vertical="center"/>
    </xf>
    <xf numFmtId="0" fontId="10" fillId="6" borderId="0" xfId="0" applyFont="1" applyFill="1" applyAlignment="1">
      <alignment horizontal="left" vertical="center"/>
    </xf>
    <xf numFmtId="0" fontId="11" fillId="6" borderId="0" xfId="0" applyFont="1" applyFill="1" applyAlignment="1">
      <alignment horizontal="left" vertical="center"/>
    </xf>
    <xf numFmtId="0" fontId="11" fillId="6" borderId="0" xfId="0" applyFont="1" applyFill="1" applyAlignment="1">
      <alignment horizontal="center" vertical="center"/>
    </xf>
    <xf numFmtId="0" fontId="11" fillId="6" borderId="0" xfId="0" applyFont="1" applyFill="1" applyAlignment="1">
      <alignment horizontal="left" vertical="center" wrapText="1"/>
    </xf>
    <xf numFmtId="0" fontId="10" fillId="6" borderId="14" xfId="0" applyFont="1" applyFill="1" applyBorder="1" applyAlignment="1">
      <alignment horizontal="right" vertical="center"/>
    </xf>
    <xf numFmtId="0" fontId="17" fillId="6" borderId="0" xfId="0" applyFont="1" applyFill="1" applyAlignment="1">
      <alignment horizontal="left" vertical="center"/>
    </xf>
    <xf numFmtId="0" fontId="17" fillId="6" borderId="0" xfId="0" applyFont="1" applyFill="1" applyAlignment="1">
      <alignment horizontal="left" vertical="center" wrapText="1"/>
    </xf>
    <xf numFmtId="0" fontId="12" fillId="7" borderId="0" xfId="6" applyFont="1" applyFill="1" applyAlignment="1">
      <alignment horizontal="left"/>
    </xf>
    <xf numFmtId="0" fontId="9" fillId="7" borderId="0" xfId="6" applyFont="1" applyFill="1" applyAlignment="1">
      <alignment horizontal="center" vertical="center" wrapText="1"/>
    </xf>
    <xf numFmtId="0" fontId="5" fillId="7" borderId="0" xfId="6" applyFont="1" applyFill="1" applyAlignment="1">
      <alignment horizontal="center" vertical="center" wrapText="1"/>
    </xf>
    <xf numFmtId="0" fontId="4" fillId="7" borderId="0" xfId="6" applyFont="1" applyFill="1" applyAlignment="1">
      <alignment horizontal="center" vertical="center" wrapText="1"/>
    </xf>
    <xf numFmtId="3" fontId="9" fillId="7" borderId="0" xfId="6" applyNumberFormat="1" applyFont="1" applyFill="1" applyAlignment="1">
      <alignment horizontal="center" vertical="center" wrapText="1"/>
    </xf>
    <xf numFmtId="0" fontId="9" fillId="7" borderId="0" xfId="6" applyFont="1" applyFill="1" applyAlignment="1">
      <alignment horizontal="center" vertical="center"/>
    </xf>
    <xf numFmtId="0" fontId="20" fillId="7" borderId="0" xfId="9" applyFont="1" applyFill="1" applyBorder="1" applyAlignment="1">
      <alignment horizontal="center" vertical="center"/>
    </xf>
    <xf numFmtId="0" fontId="4" fillId="2" borderId="0" xfId="4" applyNumberFormat="1" applyFont="1" applyFill="1" applyBorder="1" applyAlignment="1" applyProtection="1">
      <alignment horizontal="center" vertical="center"/>
    </xf>
    <xf numFmtId="0" fontId="15" fillId="8" borderId="26" xfId="6" applyFont="1" applyFill="1" applyBorder="1" applyAlignment="1">
      <alignment horizontal="center" vertical="center" wrapText="1"/>
    </xf>
    <xf numFmtId="0" fontId="15" fillId="8" borderId="29" xfId="6" applyFont="1" applyFill="1" applyBorder="1" applyAlignment="1">
      <alignment horizontal="center" vertical="center" wrapText="1"/>
    </xf>
    <xf numFmtId="0" fontId="15" fillId="8" borderId="27" xfId="6" applyFont="1" applyFill="1" applyBorder="1" applyAlignment="1">
      <alignment horizontal="center" vertical="center" wrapText="1"/>
    </xf>
    <xf numFmtId="0" fontId="15" fillId="8" borderId="28" xfId="6" applyFont="1" applyFill="1" applyBorder="1" applyAlignment="1">
      <alignment horizontal="center" vertical="center" wrapText="1"/>
    </xf>
    <xf numFmtId="0" fontId="12" fillId="0" borderId="31" xfId="6" applyFont="1" applyBorder="1" applyAlignment="1">
      <alignment horizontal="center" vertical="center" wrapText="1"/>
    </xf>
    <xf numFmtId="0" fontId="12" fillId="0" borderId="32" xfId="6" applyFont="1" applyBorder="1" applyAlignment="1">
      <alignment horizontal="center" vertical="center" wrapText="1"/>
    </xf>
    <xf numFmtId="0" fontId="12" fillId="0" borderId="33" xfId="6" applyFont="1" applyBorder="1" applyAlignment="1">
      <alignment horizontal="center" vertical="center" wrapText="1"/>
    </xf>
    <xf numFmtId="0" fontId="12" fillId="0" borderId="34" xfId="6" applyFont="1" applyBorder="1" applyAlignment="1">
      <alignment horizontal="center" vertical="center" wrapText="1"/>
    </xf>
    <xf numFmtId="0" fontId="12" fillId="0" borderId="0" xfId="6" applyFont="1" applyBorder="1" applyAlignment="1">
      <alignment horizontal="center" vertical="center" wrapText="1"/>
    </xf>
    <xf numFmtId="0" fontId="12" fillId="0" borderId="35" xfId="6" applyFont="1" applyBorder="1" applyAlignment="1">
      <alignment horizontal="center" vertical="center" wrapText="1"/>
    </xf>
    <xf numFmtId="0" fontId="12" fillId="0" borderId="36" xfId="6" applyFont="1" applyBorder="1" applyAlignment="1">
      <alignment horizontal="center" vertical="center" wrapText="1"/>
    </xf>
    <xf numFmtId="0" fontId="12" fillId="0" borderId="37" xfId="6" applyFont="1" applyBorder="1" applyAlignment="1">
      <alignment horizontal="center" vertical="center" wrapText="1"/>
    </xf>
    <xf numFmtId="0" fontId="12" fillId="0" borderId="38" xfId="6" applyFont="1" applyBorder="1" applyAlignment="1">
      <alignment horizontal="center" vertical="center" wrapText="1"/>
    </xf>
    <xf numFmtId="0" fontId="20" fillId="7" borderId="0" xfId="9" applyFont="1" applyFill="1" applyAlignment="1">
      <alignment horizontal="center" vertical="center"/>
    </xf>
    <xf numFmtId="172" fontId="20" fillId="7" borderId="0" xfId="9" applyNumberFormat="1" applyFont="1" applyFill="1" applyAlignment="1">
      <alignment horizontal="center" vertical="center"/>
    </xf>
    <xf numFmtId="0" fontId="20" fillId="8" borderId="26" xfId="6" applyFont="1" applyFill="1" applyBorder="1" applyAlignment="1" applyProtection="1">
      <alignment horizontal="center" vertical="center" wrapText="1"/>
    </xf>
    <xf numFmtId="0" fontId="20" fillId="8" borderId="29" xfId="6" applyFont="1" applyFill="1" applyBorder="1" applyAlignment="1" applyProtection="1">
      <alignment horizontal="center" vertical="center" wrapText="1"/>
    </xf>
    <xf numFmtId="169" fontId="20" fillId="7" borderId="0" xfId="7" applyNumberFormat="1" applyFont="1" applyFill="1" applyBorder="1" applyAlignment="1">
      <alignment horizontal="center" vertical="center"/>
    </xf>
    <xf numFmtId="0" fontId="20" fillId="7" borderId="32" xfId="9" applyFont="1" applyFill="1" applyBorder="1" applyAlignment="1">
      <alignment horizontal="center" vertical="center"/>
    </xf>
    <xf numFmtId="0" fontId="11" fillId="3" borderId="16" xfId="0" applyFont="1" applyFill="1" applyBorder="1" applyAlignment="1">
      <alignment horizontal="center" vertical="center" wrapText="1"/>
    </xf>
    <xf numFmtId="0" fontId="10" fillId="6" borderId="6" xfId="0" applyFont="1" applyFill="1" applyBorder="1" applyAlignment="1">
      <alignment horizontal="left" vertical="center" wrapText="1"/>
    </xf>
    <xf numFmtId="0" fontId="17" fillId="6" borderId="0" xfId="0" applyFont="1" applyFill="1" applyAlignment="1">
      <alignment horizontal="right" vertical="center"/>
    </xf>
    <xf numFmtId="0" fontId="10" fillId="6" borderId="39" xfId="0" applyFont="1" applyFill="1" applyBorder="1" applyAlignment="1">
      <alignment horizontal="left" vertical="center" wrapText="1"/>
    </xf>
    <xf numFmtId="0" fontId="10" fillId="6" borderId="40" xfId="0" applyFont="1" applyFill="1" applyBorder="1" applyAlignment="1">
      <alignment horizontal="left" vertical="center" wrapText="1"/>
    </xf>
    <xf numFmtId="0" fontId="10" fillId="6" borderId="41"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10" fillId="6" borderId="0" xfId="0" applyFont="1" applyFill="1" applyAlignment="1">
      <alignment horizontal="left" vertical="center" wrapText="1"/>
    </xf>
    <xf numFmtId="0" fontId="7" fillId="2" borderId="0" xfId="4" applyNumberFormat="1" applyFont="1" applyFill="1" applyBorder="1" applyAlignment="1" applyProtection="1">
      <alignment horizontal="left" vertical="top"/>
    </xf>
    <xf numFmtId="0" fontId="24" fillId="2" borderId="0" xfId="4" applyNumberFormat="1" applyFont="1" applyFill="1" applyBorder="1" applyAlignment="1" applyProtection="1">
      <alignment horizontal="center" vertical="center" wrapText="1"/>
    </xf>
    <xf numFmtId="0" fontId="5" fillId="2" borderId="0" xfId="4" applyNumberFormat="1" applyFont="1" applyFill="1" applyBorder="1" applyAlignment="1" applyProtection="1">
      <alignment horizontal="center" vertical="center" wrapText="1"/>
    </xf>
    <xf numFmtId="0" fontId="4" fillId="2" borderId="0" xfId="4" applyNumberFormat="1" applyFont="1" applyFill="1" applyBorder="1" applyAlignment="1" applyProtection="1">
      <alignment horizontal="center" vertical="center" wrapText="1"/>
    </xf>
    <xf numFmtId="0" fontId="8" fillId="2" borderId="0" xfId="4" applyNumberFormat="1" applyFont="1" applyFill="1" applyBorder="1" applyAlignment="1" applyProtection="1">
      <alignment horizontal="center" vertical="top"/>
    </xf>
    <xf numFmtId="0" fontId="4" fillId="2" borderId="0" xfId="4" applyNumberFormat="1" applyFont="1" applyFill="1" applyBorder="1" applyAlignment="1" applyProtection="1">
      <alignment horizontal="left" vertical="top" wrapText="1"/>
    </xf>
    <xf numFmtId="14" fontId="4" fillId="2" borderId="0" xfId="4" applyNumberFormat="1" applyFont="1" applyFill="1" applyBorder="1" applyAlignment="1" applyProtection="1">
      <alignment horizontal="left" vertical="top" wrapText="1"/>
    </xf>
    <xf numFmtId="14" fontId="7" fillId="2" borderId="0" xfId="4" applyNumberFormat="1" applyFont="1" applyFill="1" applyBorder="1" applyAlignment="1" applyProtection="1">
      <alignment horizontal="left" vertical="top"/>
    </xf>
    <xf numFmtId="0" fontId="7" fillId="2" borderId="1" xfId="4" applyNumberFormat="1" applyFont="1" applyFill="1" applyBorder="1" applyAlignment="1" applyProtection="1">
      <alignment horizontal="right" vertical="top"/>
    </xf>
    <xf numFmtId="0" fontId="4" fillId="3" borderId="2" xfId="4" applyNumberFormat="1" applyFont="1" applyFill="1" applyBorder="1" applyAlignment="1" applyProtection="1">
      <alignment horizontal="center" vertical="top" wrapText="1"/>
    </xf>
    <xf numFmtId="0" fontId="4" fillId="3" borderId="11" xfId="4" applyNumberFormat="1" applyFont="1" applyFill="1" applyBorder="1" applyAlignment="1" applyProtection="1">
      <alignment horizontal="center" vertical="top" wrapText="1"/>
    </xf>
    <xf numFmtId="0" fontId="4" fillId="3" borderId="3" xfId="4" applyNumberFormat="1" applyFont="1" applyFill="1" applyBorder="1" applyAlignment="1" applyProtection="1">
      <alignment horizontal="center" vertical="top" wrapText="1"/>
    </xf>
    <xf numFmtId="0" fontId="4" fillId="3" borderId="12" xfId="4" applyNumberFormat="1" applyFont="1" applyFill="1" applyBorder="1" applyAlignment="1" applyProtection="1">
      <alignment horizontal="center" vertical="top" wrapText="1"/>
    </xf>
    <xf numFmtId="0" fontId="4" fillId="3" borderId="4" xfId="4" applyNumberFormat="1" applyFont="1" applyFill="1" applyBorder="1" applyAlignment="1" applyProtection="1">
      <alignment horizontal="center" vertical="top" wrapText="1"/>
    </xf>
    <xf numFmtId="0" fontId="4" fillId="3" borderId="13" xfId="4" applyNumberFormat="1" applyFont="1" applyFill="1" applyBorder="1" applyAlignment="1" applyProtection="1">
      <alignment horizontal="center" vertical="top" wrapText="1"/>
    </xf>
    <xf numFmtId="0" fontId="4" fillId="2" borderId="0" xfId="4" applyNumberFormat="1" applyFont="1" applyFill="1" applyBorder="1" applyAlignment="1" applyProtection="1">
      <alignment horizontal="left" vertical="top"/>
    </xf>
    <xf numFmtId="0" fontId="4" fillId="5" borderId="8" xfId="4" applyNumberFormat="1" applyFont="1" applyFill="1" applyBorder="1" applyAlignment="1" applyProtection="1">
      <alignment horizontal="center" vertical="top"/>
    </xf>
    <xf numFmtId="0" fontId="4" fillId="5" borderId="9" xfId="4" applyNumberFormat="1" applyFont="1" applyFill="1" applyBorder="1" applyAlignment="1" applyProtection="1">
      <alignment horizontal="center" vertical="top"/>
    </xf>
    <xf numFmtId="0" fontId="4" fillId="2" borderId="0" xfId="4" applyNumberFormat="1" applyFont="1" applyFill="1" applyBorder="1" applyAlignment="1" applyProtection="1">
      <alignment horizontal="center" vertical="top"/>
    </xf>
    <xf numFmtId="0" fontId="7" fillId="2" borderId="0" xfId="4" applyNumberFormat="1" applyFont="1" applyFill="1" applyBorder="1" applyAlignment="1" applyProtection="1">
      <alignment horizontal="center" vertical="top"/>
    </xf>
    <xf numFmtId="0" fontId="4" fillId="2" borderId="32" xfId="4" applyNumberFormat="1" applyFont="1" applyFill="1" applyBorder="1" applyAlignment="1" applyProtection="1">
      <alignment horizontal="center" vertical="center"/>
    </xf>
    <xf numFmtId="10" fontId="10" fillId="6" borderId="0" xfId="3" applyNumberFormat="1" applyFont="1" applyFill="1" applyAlignment="1">
      <alignment horizontal="left" vertical="center"/>
    </xf>
    <xf numFmtId="10" fontId="11" fillId="3" borderId="17" xfId="3" applyNumberFormat="1" applyFont="1" applyFill="1" applyBorder="1" applyAlignment="1">
      <alignment horizontal="center" vertical="center" wrapText="1"/>
    </xf>
    <xf numFmtId="10" fontId="10" fillId="6" borderId="22" xfId="3" applyNumberFormat="1" applyFont="1" applyFill="1" applyBorder="1" applyAlignment="1">
      <alignment horizontal="right" vertical="center"/>
    </xf>
    <xf numFmtId="10" fontId="10" fillId="6" borderId="14" xfId="3" applyNumberFormat="1" applyFont="1" applyFill="1" applyBorder="1" applyAlignment="1">
      <alignment horizontal="left" vertical="center"/>
    </xf>
    <xf numFmtId="10" fontId="11" fillId="3" borderId="25" xfId="3" applyNumberFormat="1" applyFont="1" applyFill="1" applyBorder="1" applyAlignment="1">
      <alignment horizontal="center" vertical="center" wrapText="1"/>
    </xf>
    <xf numFmtId="10" fontId="12" fillId="0" borderId="0" xfId="3" applyNumberFormat="1" applyFont="1" applyAlignment="1">
      <alignment vertical="center"/>
    </xf>
  </cellXfs>
  <cellStyles count="11">
    <cellStyle name="Comma" xfId="2" builtinId="3"/>
    <cellStyle name="Comma 4" xfId="7"/>
    <cellStyle name="Hyperlink" xfId="10" builtinId="8"/>
    <cellStyle name="Normal" xfId="0" builtinId="0"/>
    <cellStyle name="Normal 2" xfId="1"/>
    <cellStyle name="Normal 3" xfId="4"/>
    <cellStyle name="Normal 3 2 3" xfId="6"/>
    <cellStyle name="Normal 5" xfId="8"/>
    <cellStyle name="Normal 6" xfId="5"/>
    <cellStyle name="Normal_Bao cao tai chinh 280405 2" xfId="9"/>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28576</xdr:rowOff>
    </xdr:from>
    <xdr:to>
      <xdr:col>1</xdr:col>
      <xdr:colOff>1714500</xdr:colOff>
      <xdr:row>0</xdr:row>
      <xdr:rowOff>295394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6"/>
          <a:ext cx="2095500"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1787526</xdr:colOff>
      <xdr:row>0</xdr:row>
      <xdr:rowOff>336999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038350" cy="260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1</xdr:col>
      <xdr:colOff>1755775</xdr:colOff>
      <xdr:row>0</xdr:row>
      <xdr:rowOff>279849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50"/>
          <a:ext cx="2038350" cy="260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18</xdr:row>
      <xdr:rowOff>0</xdr:rowOff>
    </xdr:from>
    <xdr:to>
      <xdr:col>11</xdr:col>
      <xdr:colOff>23812</xdr:colOff>
      <xdr:row>27</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914400</xdr:colOff>
      <xdr:row>0</xdr:row>
      <xdr:rowOff>279849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38350" cy="260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1711037</xdr:colOff>
      <xdr:row>1</xdr:row>
      <xdr:rowOff>21508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085975" cy="269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7"/>
  <sheetViews>
    <sheetView tabSelected="1" view="pageBreakPreview" topLeftCell="A6" zoomScale="90" zoomScaleNormal="50" zoomScaleSheetLayoutView="90" workbookViewId="0">
      <selection activeCell="C18" sqref="C18:E23"/>
    </sheetView>
  </sheetViews>
  <sheetFormatPr defaultRowHeight="12.75"/>
  <cols>
    <col min="1" max="1" width="11.85546875" style="183" customWidth="1"/>
    <col min="2" max="2" width="6.140625" style="183" customWidth="1"/>
    <col min="3" max="3" width="7.28515625" style="183" customWidth="1"/>
    <col min="4" max="4" width="24.28515625" style="183" customWidth="1"/>
    <col min="5" max="5" width="23.140625" style="183" customWidth="1"/>
    <col min="6" max="6" width="5.28515625" style="183" customWidth="1"/>
    <col min="7" max="7" width="24.5703125" style="183" customWidth="1"/>
    <col min="8" max="8" width="26.140625" style="183" customWidth="1"/>
    <col min="9" max="9" width="12.85546875" style="183" customWidth="1"/>
    <col min="10" max="256" width="9.140625" style="183"/>
    <col min="257" max="257" width="11.85546875" style="183" customWidth="1"/>
    <col min="258" max="258" width="6.140625" style="183" customWidth="1"/>
    <col min="259" max="259" width="11.42578125" style="183" customWidth="1"/>
    <col min="260" max="260" width="24.28515625" style="183" customWidth="1"/>
    <col min="261" max="261" width="23.140625" style="183" customWidth="1"/>
    <col min="262" max="262" width="5.28515625" style="183" customWidth="1"/>
    <col min="263" max="263" width="24.5703125" style="183" customWidth="1"/>
    <col min="264" max="264" width="21.42578125" style="183" customWidth="1"/>
    <col min="265" max="265" width="12.85546875" style="183" customWidth="1"/>
    <col min="266" max="512" width="9.140625" style="183"/>
    <col min="513" max="513" width="11.85546875" style="183" customWidth="1"/>
    <col min="514" max="514" width="6.140625" style="183" customWidth="1"/>
    <col min="515" max="515" width="11.42578125" style="183" customWidth="1"/>
    <col min="516" max="516" width="24.28515625" style="183" customWidth="1"/>
    <col min="517" max="517" width="23.140625" style="183" customWidth="1"/>
    <col min="518" max="518" width="5.28515625" style="183" customWidth="1"/>
    <col min="519" max="519" width="24.5703125" style="183" customWidth="1"/>
    <col min="520" max="520" width="21.42578125" style="183" customWidth="1"/>
    <col min="521" max="521" width="12.85546875" style="183" customWidth="1"/>
    <col min="522" max="768" width="9.140625" style="183"/>
    <col min="769" max="769" width="11.85546875" style="183" customWidth="1"/>
    <col min="770" max="770" width="6.140625" style="183" customWidth="1"/>
    <col min="771" max="771" width="11.42578125" style="183" customWidth="1"/>
    <col min="772" max="772" width="24.28515625" style="183" customWidth="1"/>
    <col min="773" max="773" width="23.140625" style="183" customWidth="1"/>
    <col min="774" max="774" width="5.28515625" style="183" customWidth="1"/>
    <col min="775" max="775" width="24.5703125" style="183" customWidth="1"/>
    <col min="776" max="776" width="21.42578125" style="183" customWidth="1"/>
    <col min="777" max="777" width="12.85546875" style="183" customWidth="1"/>
    <col min="778" max="1024" width="9.140625" style="183"/>
    <col min="1025" max="1025" width="11.85546875" style="183" customWidth="1"/>
    <col min="1026" max="1026" width="6.140625" style="183" customWidth="1"/>
    <col min="1027" max="1027" width="11.42578125" style="183" customWidth="1"/>
    <col min="1028" max="1028" width="24.28515625" style="183" customWidth="1"/>
    <col min="1029" max="1029" width="23.140625" style="183" customWidth="1"/>
    <col min="1030" max="1030" width="5.28515625" style="183" customWidth="1"/>
    <col min="1031" max="1031" width="24.5703125" style="183" customWidth="1"/>
    <col min="1032" max="1032" width="21.42578125" style="183" customWidth="1"/>
    <col min="1033" max="1033" width="12.85546875" style="183" customWidth="1"/>
    <col min="1034" max="1280" width="9.140625" style="183"/>
    <col min="1281" max="1281" width="11.85546875" style="183" customWidth="1"/>
    <col min="1282" max="1282" width="6.140625" style="183" customWidth="1"/>
    <col min="1283" max="1283" width="11.42578125" style="183" customWidth="1"/>
    <col min="1284" max="1284" width="24.28515625" style="183" customWidth="1"/>
    <col min="1285" max="1285" width="23.140625" style="183" customWidth="1"/>
    <col min="1286" max="1286" width="5.28515625" style="183" customWidth="1"/>
    <col min="1287" max="1287" width="24.5703125" style="183" customWidth="1"/>
    <col min="1288" max="1288" width="21.42578125" style="183" customWidth="1"/>
    <col min="1289" max="1289" width="12.85546875" style="183" customWidth="1"/>
    <col min="1290" max="1536" width="9.140625" style="183"/>
    <col min="1537" max="1537" width="11.85546875" style="183" customWidth="1"/>
    <col min="1538" max="1538" width="6.140625" style="183" customWidth="1"/>
    <col min="1539" max="1539" width="11.42578125" style="183" customWidth="1"/>
    <col min="1540" max="1540" width="24.28515625" style="183" customWidth="1"/>
    <col min="1541" max="1541" width="23.140625" style="183" customWidth="1"/>
    <col min="1542" max="1542" width="5.28515625" style="183" customWidth="1"/>
    <col min="1543" max="1543" width="24.5703125" style="183" customWidth="1"/>
    <col min="1544" max="1544" width="21.42578125" style="183" customWidth="1"/>
    <col min="1545" max="1545" width="12.85546875" style="183" customWidth="1"/>
    <col min="1546" max="1792" width="9.140625" style="183"/>
    <col min="1793" max="1793" width="11.85546875" style="183" customWidth="1"/>
    <col min="1794" max="1794" width="6.140625" style="183" customWidth="1"/>
    <col min="1795" max="1795" width="11.42578125" style="183" customWidth="1"/>
    <col min="1796" max="1796" width="24.28515625" style="183" customWidth="1"/>
    <col min="1797" max="1797" width="23.140625" style="183" customWidth="1"/>
    <col min="1798" max="1798" width="5.28515625" style="183" customWidth="1"/>
    <col min="1799" max="1799" width="24.5703125" style="183" customWidth="1"/>
    <col min="1800" max="1800" width="21.42578125" style="183" customWidth="1"/>
    <col min="1801" max="1801" width="12.85546875" style="183" customWidth="1"/>
    <col min="1802" max="2048" width="9.140625" style="183"/>
    <col min="2049" max="2049" width="11.85546875" style="183" customWidth="1"/>
    <col min="2050" max="2050" width="6.140625" style="183" customWidth="1"/>
    <col min="2051" max="2051" width="11.42578125" style="183" customWidth="1"/>
    <col min="2052" max="2052" width="24.28515625" style="183" customWidth="1"/>
    <col min="2053" max="2053" width="23.140625" style="183" customWidth="1"/>
    <col min="2054" max="2054" width="5.28515625" style="183" customWidth="1"/>
    <col min="2055" max="2055" width="24.5703125" style="183" customWidth="1"/>
    <col min="2056" max="2056" width="21.42578125" style="183" customWidth="1"/>
    <col min="2057" max="2057" width="12.85546875" style="183" customWidth="1"/>
    <col min="2058" max="2304" width="9.140625" style="183"/>
    <col min="2305" max="2305" width="11.85546875" style="183" customWidth="1"/>
    <col min="2306" max="2306" width="6.140625" style="183" customWidth="1"/>
    <col min="2307" max="2307" width="11.42578125" style="183" customWidth="1"/>
    <col min="2308" max="2308" width="24.28515625" style="183" customWidth="1"/>
    <col min="2309" max="2309" width="23.140625" style="183" customWidth="1"/>
    <col min="2310" max="2310" width="5.28515625" style="183" customWidth="1"/>
    <col min="2311" max="2311" width="24.5703125" style="183" customWidth="1"/>
    <col min="2312" max="2312" width="21.42578125" style="183" customWidth="1"/>
    <col min="2313" max="2313" width="12.85546875" style="183" customWidth="1"/>
    <col min="2314" max="2560" width="9.140625" style="183"/>
    <col min="2561" max="2561" width="11.85546875" style="183" customWidth="1"/>
    <col min="2562" max="2562" width="6.140625" style="183" customWidth="1"/>
    <col min="2563" max="2563" width="11.42578125" style="183" customWidth="1"/>
    <col min="2564" max="2564" width="24.28515625" style="183" customWidth="1"/>
    <col min="2565" max="2565" width="23.140625" style="183" customWidth="1"/>
    <col min="2566" max="2566" width="5.28515625" style="183" customWidth="1"/>
    <col min="2567" max="2567" width="24.5703125" style="183" customWidth="1"/>
    <col min="2568" max="2568" width="21.42578125" style="183" customWidth="1"/>
    <col min="2569" max="2569" width="12.85546875" style="183" customWidth="1"/>
    <col min="2570" max="2816" width="9.140625" style="183"/>
    <col min="2817" max="2817" width="11.85546875" style="183" customWidth="1"/>
    <col min="2818" max="2818" width="6.140625" style="183" customWidth="1"/>
    <col min="2819" max="2819" width="11.42578125" style="183" customWidth="1"/>
    <col min="2820" max="2820" width="24.28515625" style="183" customWidth="1"/>
    <col min="2821" max="2821" width="23.140625" style="183" customWidth="1"/>
    <col min="2822" max="2822" width="5.28515625" style="183" customWidth="1"/>
    <col min="2823" max="2823" width="24.5703125" style="183" customWidth="1"/>
    <col min="2824" max="2824" width="21.42578125" style="183" customWidth="1"/>
    <col min="2825" max="2825" width="12.85546875" style="183" customWidth="1"/>
    <col min="2826" max="3072" width="9.140625" style="183"/>
    <col min="3073" max="3073" width="11.85546875" style="183" customWidth="1"/>
    <col min="3074" max="3074" width="6.140625" style="183" customWidth="1"/>
    <col min="3075" max="3075" width="11.42578125" style="183" customWidth="1"/>
    <col min="3076" max="3076" width="24.28515625" style="183" customWidth="1"/>
    <col min="3077" max="3077" width="23.140625" style="183" customWidth="1"/>
    <col min="3078" max="3078" width="5.28515625" style="183" customWidth="1"/>
    <col min="3079" max="3079" width="24.5703125" style="183" customWidth="1"/>
    <col min="3080" max="3080" width="21.42578125" style="183" customWidth="1"/>
    <col min="3081" max="3081" width="12.85546875" style="183" customWidth="1"/>
    <col min="3082" max="3328" width="9.140625" style="183"/>
    <col min="3329" max="3329" width="11.85546875" style="183" customWidth="1"/>
    <col min="3330" max="3330" width="6.140625" style="183" customWidth="1"/>
    <col min="3331" max="3331" width="11.42578125" style="183" customWidth="1"/>
    <col min="3332" max="3332" width="24.28515625" style="183" customWidth="1"/>
    <col min="3333" max="3333" width="23.140625" style="183" customWidth="1"/>
    <col min="3334" max="3334" width="5.28515625" style="183" customWidth="1"/>
    <col min="3335" max="3335" width="24.5703125" style="183" customWidth="1"/>
    <col min="3336" max="3336" width="21.42578125" style="183" customWidth="1"/>
    <col min="3337" max="3337" width="12.85546875" style="183" customWidth="1"/>
    <col min="3338" max="3584" width="9.140625" style="183"/>
    <col min="3585" max="3585" width="11.85546875" style="183" customWidth="1"/>
    <col min="3586" max="3586" width="6.140625" style="183" customWidth="1"/>
    <col min="3587" max="3587" width="11.42578125" style="183" customWidth="1"/>
    <col min="3588" max="3588" width="24.28515625" style="183" customWidth="1"/>
    <col min="3589" max="3589" width="23.140625" style="183" customWidth="1"/>
    <col min="3590" max="3590" width="5.28515625" style="183" customWidth="1"/>
    <col min="3591" max="3591" width="24.5703125" style="183" customWidth="1"/>
    <col min="3592" max="3592" width="21.42578125" style="183" customWidth="1"/>
    <col min="3593" max="3593" width="12.85546875" style="183" customWidth="1"/>
    <col min="3594" max="3840" width="9.140625" style="183"/>
    <col min="3841" max="3841" width="11.85546875" style="183" customWidth="1"/>
    <col min="3842" max="3842" width="6.140625" style="183" customWidth="1"/>
    <col min="3843" max="3843" width="11.42578125" style="183" customWidth="1"/>
    <col min="3844" max="3844" width="24.28515625" style="183" customWidth="1"/>
    <col min="3845" max="3845" width="23.140625" style="183" customWidth="1"/>
    <col min="3846" max="3846" width="5.28515625" style="183" customWidth="1"/>
    <col min="3847" max="3847" width="24.5703125" style="183" customWidth="1"/>
    <col min="3848" max="3848" width="21.42578125" style="183" customWidth="1"/>
    <col min="3849" max="3849" width="12.85546875" style="183" customWidth="1"/>
    <col min="3850" max="4096" width="9.140625" style="183"/>
    <col min="4097" max="4097" width="11.85546875" style="183" customWidth="1"/>
    <col min="4098" max="4098" width="6.140625" style="183" customWidth="1"/>
    <col min="4099" max="4099" width="11.42578125" style="183" customWidth="1"/>
    <col min="4100" max="4100" width="24.28515625" style="183" customWidth="1"/>
    <col min="4101" max="4101" width="23.140625" style="183" customWidth="1"/>
    <col min="4102" max="4102" width="5.28515625" style="183" customWidth="1"/>
    <col min="4103" max="4103" width="24.5703125" style="183" customWidth="1"/>
    <col min="4104" max="4104" width="21.42578125" style="183" customWidth="1"/>
    <col min="4105" max="4105" width="12.85546875" style="183" customWidth="1"/>
    <col min="4106" max="4352" width="9.140625" style="183"/>
    <col min="4353" max="4353" width="11.85546875" style="183" customWidth="1"/>
    <col min="4354" max="4354" width="6.140625" style="183" customWidth="1"/>
    <col min="4355" max="4355" width="11.42578125" style="183" customWidth="1"/>
    <col min="4356" max="4356" width="24.28515625" style="183" customWidth="1"/>
    <col min="4357" max="4357" width="23.140625" style="183" customWidth="1"/>
    <col min="4358" max="4358" width="5.28515625" style="183" customWidth="1"/>
    <col min="4359" max="4359" width="24.5703125" style="183" customWidth="1"/>
    <col min="4360" max="4360" width="21.42578125" style="183" customWidth="1"/>
    <col min="4361" max="4361" width="12.85546875" style="183" customWidth="1"/>
    <col min="4362" max="4608" width="9.140625" style="183"/>
    <col min="4609" max="4609" width="11.85546875" style="183" customWidth="1"/>
    <col min="4610" max="4610" width="6.140625" style="183" customWidth="1"/>
    <col min="4611" max="4611" width="11.42578125" style="183" customWidth="1"/>
    <col min="4612" max="4612" width="24.28515625" style="183" customWidth="1"/>
    <col min="4613" max="4613" width="23.140625" style="183" customWidth="1"/>
    <col min="4614" max="4614" width="5.28515625" style="183" customWidth="1"/>
    <col min="4615" max="4615" width="24.5703125" style="183" customWidth="1"/>
    <col min="4616" max="4616" width="21.42578125" style="183" customWidth="1"/>
    <col min="4617" max="4617" width="12.85546875" style="183" customWidth="1"/>
    <col min="4618" max="4864" width="9.140625" style="183"/>
    <col min="4865" max="4865" width="11.85546875" style="183" customWidth="1"/>
    <col min="4866" max="4866" width="6.140625" style="183" customWidth="1"/>
    <col min="4867" max="4867" width="11.42578125" style="183" customWidth="1"/>
    <col min="4868" max="4868" width="24.28515625" style="183" customWidth="1"/>
    <col min="4869" max="4869" width="23.140625" style="183" customWidth="1"/>
    <col min="4870" max="4870" width="5.28515625" style="183" customWidth="1"/>
    <col min="4871" max="4871" width="24.5703125" style="183" customWidth="1"/>
    <col min="4872" max="4872" width="21.42578125" style="183" customWidth="1"/>
    <col min="4873" max="4873" width="12.85546875" style="183" customWidth="1"/>
    <col min="4874" max="5120" width="9.140625" style="183"/>
    <col min="5121" max="5121" width="11.85546875" style="183" customWidth="1"/>
    <col min="5122" max="5122" width="6.140625" style="183" customWidth="1"/>
    <col min="5123" max="5123" width="11.42578125" style="183" customWidth="1"/>
    <col min="5124" max="5124" width="24.28515625" style="183" customWidth="1"/>
    <col min="5125" max="5125" width="23.140625" style="183" customWidth="1"/>
    <col min="5126" max="5126" width="5.28515625" style="183" customWidth="1"/>
    <col min="5127" max="5127" width="24.5703125" style="183" customWidth="1"/>
    <col min="5128" max="5128" width="21.42578125" style="183" customWidth="1"/>
    <col min="5129" max="5129" width="12.85546875" style="183" customWidth="1"/>
    <col min="5130" max="5376" width="9.140625" style="183"/>
    <col min="5377" max="5377" width="11.85546875" style="183" customWidth="1"/>
    <col min="5378" max="5378" width="6.140625" style="183" customWidth="1"/>
    <col min="5379" max="5379" width="11.42578125" style="183" customWidth="1"/>
    <col min="5380" max="5380" width="24.28515625" style="183" customWidth="1"/>
    <col min="5381" max="5381" width="23.140625" style="183" customWidth="1"/>
    <col min="5382" max="5382" width="5.28515625" style="183" customWidth="1"/>
    <col min="5383" max="5383" width="24.5703125" style="183" customWidth="1"/>
    <col min="5384" max="5384" width="21.42578125" style="183" customWidth="1"/>
    <col min="5385" max="5385" width="12.85546875" style="183" customWidth="1"/>
    <col min="5386" max="5632" width="9.140625" style="183"/>
    <col min="5633" max="5633" width="11.85546875" style="183" customWidth="1"/>
    <col min="5634" max="5634" width="6.140625" style="183" customWidth="1"/>
    <col min="5635" max="5635" width="11.42578125" style="183" customWidth="1"/>
    <col min="5636" max="5636" width="24.28515625" style="183" customWidth="1"/>
    <col min="5637" max="5637" width="23.140625" style="183" customWidth="1"/>
    <col min="5638" max="5638" width="5.28515625" style="183" customWidth="1"/>
    <col min="5639" max="5639" width="24.5703125" style="183" customWidth="1"/>
    <col min="5640" max="5640" width="21.42578125" style="183" customWidth="1"/>
    <col min="5641" max="5641" width="12.85546875" style="183" customWidth="1"/>
    <col min="5642" max="5888" width="9.140625" style="183"/>
    <col min="5889" max="5889" width="11.85546875" style="183" customWidth="1"/>
    <col min="5890" max="5890" width="6.140625" style="183" customWidth="1"/>
    <col min="5891" max="5891" width="11.42578125" style="183" customWidth="1"/>
    <col min="5892" max="5892" width="24.28515625" style="183" customWidth="1"/>
    <col min="5893" max="5893" width="23.140625" style="183" customWidth="1"/>
    <col min="5894" max="5894" width="5.28515625" style="183" customWidth="1"/>
    <col min="5895" max="5895" width="24.5703125" style="183" customWidth="1"/>
    <col min="5896" max="5896" width="21.42578125" style="183" customWidth="1"/>
    <col min="5897" max="5897" width="12.85546875" style="183" customWidth="1"/>
    <col min="5898" max="6144" width="9.140625" style="183"/>
    <col min="6145" max="6145" width="11.85546875" style="183" customWidth="1"/>
    <col min="6146" max="6146" width="6.140625" style="183" customWidth="1"/>
    <col min="6147" max="6147" width="11.42578125" style="183" customWidth="1"/>
    <col min="6148" max="6148" width="24.28515625" style="183" customWidth="1"/>
    <col min="6149" max="6149" width="23.140625" style="183" customWidth="1"/>
    <col min="6150" max="6150" width="5.28515625" style="183" customWidth="1"/>
    <col min="6151" max="6151" width="24.5703125" style="183" customWidth="1"/>
    <col min="6152" max="6152" width="21.42578125" style="183" customWidth="1"/>
    <col min="6153" max="6153" width="12.85546875" style="183" customWidth="1"/>
    <col min="6154" max="6400" width="9.140625" style="183"/>
    <col min="6401" max="6401" width="11.85546875" style="183" customWidth="1"/>
    <col min="6402" max="6402" width="6.140625" style="183" customWidth="1"/>
    <col min="6403" max="6403" width="11.42578125" style="183" customWidth="1"/>
    <col min="6404" max="6404" width="24.28515625" style="183" customWidth="1"/>
    <col min="6405" max="6405" width="23.140625" style="183" customWidth="1"/>
    <col min="6406" max="6406" width="5.28515625" style="183" customWidth="1"/>
    <col min="6407" max="6407" width="24.5703125" style="183" customWidth="1"/>
    <col min="6408" max="6408" width="21.42578125" style="183" customWidth="1"/>
    <col min="6409" max="6409" width="12.85546875" style="183" customWidth="1"/>
    <col min="6410" max="6656" width="9.140625" style="183"/>
    <col min="6657" max="6657" width="11.85546875" style="183" customWidth="1"/>
    <col min="6658" max="6658" width="6.140625" style="183" customWidth="1"/>
    <col min="6659" max="6659" width="11.42578125" style="183" customWidth="1"/>
    <col min="6660" max="6660" width="24.28515625" style="183" customWidth="1"/>
    <col min="6661" max="6661" width="23.140625" style="183" customWidth="1"/>
    <col min="6662" max="6662" width="5.28515625" style="183" customWidth="1"/>
    <col min="6663" max="6663" width="24.5703125" style="183" customWidth="1"/>
    <col min="6664" max="6664" width="21.42578125" style="183" customWidth="1"/>
    <col min="6665" max="6665" width="12.85546875" style="183" customWidth="1"/>
    <col min="6666" max="6912" width="9.140625" style="183"/>
    <col min="6913" max="6913" width="11.85546875" style="183" customWidth="1"/>
    <col min="6914" max="6914" width="6.140625" style="183" customWidth="1"/>
    <col min="6915" max="6915" width="11.42578125" style="183" customWidth="1"/>
    <col min="6916" max="6916" width="24.28515625" style="183" customWidth="1"/>
    <col min="6917" max="6917" width="23.140625" style="183" customWidth="1"/>
    <col min="6918" max="6918" width="5.28515625" style="183" customWidth="1"/>
    <col min="6919" max="6919" width="24.5703125" style="183" customWidth="1"/>
    <col min="6920" max="6920" width="21.42578125" style="183" customWidth="1"/>
    <col min="6921" max="6921" width="12.85546875" style="183" customWidth="1"/>
    <col min="6922" max="7168" width="9.140625" style="183"/>
    <col min="7169" max="7169" width="11.85546875" style="183" customWidth="1"/>
    <col min="7170" max="7170" width="6.140625" style="183" customWidth="1"/>
    <col min="7171" max="7171" width="11.42578125" style="183" customWidth="1"/>
    <col min="7172" max="7172" width="24.28515625" style="183" customWidth="1"/>
    <col min="7173" max="7173" width="23.140625" style="183" customWidth="1"/>
    <col min="7174" max="7174" width="5.28515625" style="183" customWidth="1"/>
    <col min="7175" max="7175" width="24.5703125" style="183" customWidth="1"/>
    <col min="7176" max="7176" width="21.42578125" style="183" customWidth="1"/>
    <col min="7177" max="7177" width="12.85546875" style="183" customWidth="1"/>
    <col min="7178" max="7424" width="9.140625" style="183"/>
    <col min="7425" max="7425" width="11.85546875" style="183" customWidth="1"/>
    <col min="7426" max="7426" width="6.140625" style="183" customWidth="1"/>
    <col min="7427" max="7427" width="11.42578125" style="183" customWidth="1"/>
    <col min="7428" max="7428" width="24.28515625" style="183" customWidth="1"/>
    <col min="7429" max="7429" width="23.140625" style="183" customWidth="1"/>
    <col min="7430" max="7430" width="5.28515625" style="183" customWidth="1"/>
    <col min="7431" max="7431" width="24.5703125" style="183" customWidth="1"/>
    <col min="7432" max="7432" width="21.42578125" style="183" customWidth="1"/>
    <col min="7433" max="7433" width="12.85546875" style="183" customWidth="1"/>
    <col min="7434" max="7680" width="9.140625" style="183"/>
    <col min="7681" max="7681" width="11.85546875" style="183" customWidth="1"/>
    <col min="7682" max="7682" width="6.140625" style="183" customWidth="1"/>
    <col min="7683" max="7683" width="11.42578125" style="183" customWidth="1"/>
    <col min="7684" max="7684" width="24.28515625" style="183" customWidth="1"/>
    <col min="7685" max="7685" width="23.140625" style="183" customWidth="1"/>
    <col min="7686" max="7686" width="5.28515625" style="183" customWidth="1"/>
    <col min="7687" max="7687" width="24.5703125" style="183" customWidth="1"/>
    <col min="7688" max="7688" width="21.42578125" style="183" customWidth="1"/>
    <col min="7689" max="7689" width="12.85546875" style="183" customWidth="1"/>
    <col min="7690" max="7936" width="9.140625" style="183"/>
    <col min="7937" max="7937" width="11.85546875" style="183" customWidth="1"/>
    <col min="7938" max="7938" width="6.140625" style="183" customWidth="1"/>
    <col min="7939" max="7939" width="11.42578125" style="183" customWidth="1"/>
    <col min="7940" max="7940" width="24.28515625" style="183" customWidth="1"/>
    <col min="7941" max="7941" width="23.140625" style="183" customWidth="1"/>
    <col min="7942" max="7942" width="5.28515625" style="183" customWidth="1"/>
    <col min="7943" max="7943" width="24.5703125" style="183" customWidth="1"/>
    <col min="7944" max="7944" width="21.42578125" style="183" customWidth="1"/>
    <col min="7945" max="7945" width="12.85546875" style="183" customWidth="1"/>
    <col min="7946" max="8192" width="9.140625" style="183"/>
    <col min="8193" max="8193" width="11.85546875" style="183" customWidth="1"/>
    <col min="8194" max="8194" width="6.140625" style="183" customWidth="1"/>
    <col min="8195" max="8195" width="11.42578125" style="183" customWidth="1"/>
    <col min="8196" max="8196" width="24.28515625" style="183" customWidth="1"/>
    <col min="8197" max="8197" width="23.140625" style="183" customWidth="1"/>
    <col min="8198" max="8198" width="5.28515625" style="183" customWidth="1"/>
    <col min="8199" max="8199" width="24.5703125" style="183" customWidth="1"/>
    <col min="8200" max="8200" width="21.42578125" style="183" customWidth="1"/>
    <col min="8201" max="8201" width="12.85546875" style="183" customWidth="1"/>
    <col min="8202" max="8448" width="9.140625" style="183"/>
    <col min="8449" max="8449" width="11.85546875" style="183" customWidth="1"/>
    <col min="8450" max="8450" width="6.140625" style="183" customWidth="1"/>
    <col min="8451" max="8451" width="11.42578125" style="183" customWidth="1"/>
    <col min="8452" max="8452" width="24.28515625" style="183" customWidth="1"/>
    <col min="8453" max="8453" width="23.140625" style="183" customWidth="1"/>
    <col min="8454" max="8454" width="5.28515625" style="183" customWidth="1"/>
    <col min="8455" max="8455" width="24.5703125" style="183" customWidth="1"/>
    <col min="8456" max="8456" width="21.42578125" style="183" customWidth="1"/>
    <col min="8457" max="8457" width="12.85546875" style="183" customWidth="1"/>
    <col min="8458" max="8704" width="9.140625" style="183"/>
    <col min="8705" max="8705" width="11.85546875" style="183" customWidth="1"/>
    <col min="8706" max="8706" width="6.140625" style="183" customWidth="1"/>
    <col min="8707" max="8707" width="11.42578125" style="183" customWidth="1"/>
    <col min="8708" max="8708" width="24.28515625" style="183" customWidth="1"/>
    <col min="8709" max="8709" width="23.140625" style="183" customWidth="1"/>
    <col min="8710" max="8710" width="5.28515625" style="183" customWidth="1"/>
    <col min="8711" max="8711" width="24.5703125" style="183" customWidth="1"/>
    <col min="8712" max="8712" width="21.42578125" style="183" customWidth="1"/>
    <col min="8713" max="8713" width="12.85546875" style="183" customWidth="1"/>
    <col min="8714" max="8960" width="9.140625" style="183"/>
    <col min="8961" max="8961" width="11.85546875" style="183" customWidth="1"/>
    <col min="8962" max="8962" width="6.140625" style="183" customWidth="1"/>
    <col min="8963" max="8963" width="11.42578125" style="183" customWidth="1"/>
    <col min="8964" max="8964" width="24.28515625" style="183" customWidth="1"/>
    <col min="8965" max="8965" width="23.140625" style="183" customWidth="1"/>
    <col min="8966" max="8966" width="5.28515625" style="183" customWidth="1"/>
    <col min="8967" max="8967" width="24.5703125" style="183" customWidth="1"/>
    <col min="8968" max="8968" width="21.42578125" style="183" customWidth="1"/>
    <col min="8969" max="8969" width="12.85546875" style="183" customWidth="1"/>
    <col min="8970" max="9216" width="9.140625" style="183"/>
    <col min="9217" max="9217" width="11.85546875" style="183" customWidth="1"/>
    <col min="9218" max="9218" width="6.140625" style="183" customWidth="1"/>
    <col min="9219" max="9219" width="11.42578125" style="183" customWidth="1"/>
    <col min="9220" max="9220" width="24.28515625" style="183" customWidth="1"/>
    <col min="9221" max="9221" width="23.140625" style="183" customWidth="1"/>
    <col min="9222" max="9222" width="5.28515625" style="183" customWidth="1"/>
    <col min="9223" max="9223" width="24.5703125" style="183" customWidth="1"/>
    <col min="9224" max="9224" width="21.42578125" style="183" customWidth="1"/>
    <col min="9225" max="9225" width="12.85546875" style="183" customWidth="1"/>
    <col min="9226" max="9472" width="9.140625" style="183"/>
    <col min="9473" max="9473" width="11.85546875" style="183" customWidth="1"/>
    <col min="9474" max="9474" width="6.140625" style="183" customWidth="1"/>
    <col min="9475" max="9475" width="11.42578125" style="183" customWidth="1"/>
    <col min="9476" max="9476" width="24.28515625" style="183" customWidth="1"/>
    <col min="9477" max="9477" width="23.140625" style="183" customWidth="1"/>
    <col min="9478" max="9478" width="5.28515625" style="183" customWidth="1"/>
    <col min="9479" max="9479" width="24.5703125" style="183" customWidth="1"/>
    <col min="9480" max="9480" width="21.42578125" style="183" customWidth="1"/>
    <col min="9481" max="9481" width="12.85546875" style="183" customWidth="1"/>
    <col min="9482" max="9728" width="9.140625" style="183"/>
    <col min="9729" max="9729" width="11.85546875" style="183" customWidth="1"/>
    <col min="9730" max="9730" width="6.140625" style="183" customWidth="1"/>
    <col min="9731" max="9731" width="11.42578125" style="183" customWidth="1"/>
    <col min="9732" max="9732" width="24.28515625" style="183" customWidth="1"/>
    <col min="9733" max="9733" width="23.140625" style="183" customWidth="1"/>
    <col min="9734" max="9734" width="5.28515625" style="183" customWidth="1"/>
    <col min="9735" max="9735" width="24.5703125" style="183" customWidth="1"/>
    <col min="9736" max="9736" width="21.42578125" style="183" customWidth="1"/>
    <col min="9737" max="9737" width="12.85546875" style="183" customWidth="1"/>
    <col min="9738" max="9984" width="9.140625" style="183"/>
    <col min="9985" max="9985" width="11.85546875" style="183" customWidth="1"/>
    <col min="9986" max="9986" width="6.140625" style="183" customWidth="1"/>
    <col min="9987" max="9987" width="11.42578125" style="183" customWidth="1"/>
    <col min="9988" max="9988" width="24.28515625" style="183" customWidth="1"/>
    <col min="9989" max="9989" width="23.140625" style="183" customWidth="1"/>
    <col min="9990" max="9990" width="5.28515625" style="183" customWidth="1"/>
    <col min="9991" max="9991" width="24.5703125" style="183" customWidth="1"/>
    <col min="9992" max="9992" width="21.42578125" style="183" customWidth="1"/>
    <col min="9993" max="9993" width="12.85546875" style="183" customWidth="1"/>
    <col min="9994" max="10240" width="9.140625" style="183"/>
    <col min="10241" max="10241" width="11.85546875" style="183" customWidth="1"/>
    <col min="10242" max="10242" width="6.140625" style="183" customWidth="1"/>
    <col min="10243" max="10243" width="11.42578125" style="183" customWidth="1"/>
    <col min="10244" max="10244" width="24.28515625" style="183" customWidth="1"/>
    <col min="10245" max="10245" width="23.140625" style="183" customWidth="1"/>
    <col min="10246" max="10246" width="5.28515625" style="183" customWidth="1"/>
    <col min="10247" max="10247" width="24.5703125" style="183" customWidth="1"/>
    <col min="10248" max="10248" width="21.42578125" style="183" customWidth="1"/>
    <col min="10249" max="10249" width="12.85546875" style="183" customWidth="1"/>
    <col min="10250" max="10496" width="9.140625" style="183"/>
    <col min="10497" max="10497" width="11.85546875" style="183" customWidth="1"/>
    <col min="10498" max="10498" width="6.140625" style="183" customWidth="1"/>
    <col min="10499" max="10499" width="11.42578125" style="183" customWidth="1"/>
    <col min="10500" max="10500" width="24.28515625" style="183" customWidth="1"/>
    <col min="10501" max="10501" width="23.140625" style="183" customWidth="1"/>
    <col min="10502" max="10502" width="5.28515625" style="183" customWidth="1"/>
    <col min="10503" max="10503" width="24.5703125" style="183" customWidth="1"/>
    <col min="10504" max="10504" width="21.42578125" style="183" customWidth="1"/>
    <col min="10505" max="10505" width="12.85546875" style="183" customWidth="1"/>
    <col min="10506" max="10752" width="9.140625" style="183"/>
    <col min="10753" max="10753" width="11.85546875" style="183" customWidth="1"/>
    <col min="10754" max="10754" width="6.140625" style="183" customWidth="1"/>
    <col min="10755" max="10755" width="11.42578125" style="183" customWidth="1"/>
    <col min="10756" max="10756" width="24.28515625" style="183" customWidth="1"/>
    <col min="10757" max="10757" width="23.140625" style="183" customWidth="1"/>
    <col min="10758" max="10758" width="5.28515625" style="183" customWidth="1"/>
    <col min="10759" max="10759" width="24.5703125" style="183" customWidth="1"/>
    <col min="10760" max="10760" width="21.42578125" style="183" customWidth="1"/>
    <col min="10761" max="10761" width="12.85546875" style="183" customWidth="1"/>
    <col min="10762" max="11008" width="9.140625" style="183"/>
    <col min="11009" max="11009" width="11.85546875" style="183" customWidth="1"/>
    <col min="11010" max="11010" width="6.140625" style="183" customWidth="1"/>
    <col min="11011" max="11011" width="11.42578125" style="183" customWidth="1"/>
    <col min="11012" max="11012" width="24.28515625" style="183" customWidth="1"/>
    <col min="11013" max="11013" width="23.140625" style="183" customWidth="1"/>
    <col min="11014" max="11014" width="5.28515625" style="183" customWidth="1"/>
    <col min="11015" max="11015" width="24.5703125" style="183" customWidth="1"/>
    <col min="11016" max="11016" width="21.42578125" style="183" customWidth="1"/>
    <col min="11017" max="11017" width="12.85546875" style="183" customWidth="1"/>
    <col min="11018" max="11264" width="9.140625" style="183"/>
    <col min="11265" max="11265" width="11.85546875" style="183" customWidth="1"/>
    <col min="11266" max="11266" width="6.140625" style="183" customWidth="1"/>
    <col min="11267" max="11267" width="11.42578125" style="183" customWidth="1"/>
    <col min="11268" max="11268" width="24.28515625" style="183" customWidth="1"/>
    <col min="11269" max="11269" width="23.140625" style="183" customWidth="1"/>
    <col min="11270" max="11270" width="5.28515625" style="183" customWidth="1"/>
    <col min="11271" max="11271" width="24.5703125" style="183" customWidth="1"/>
    <col min="11272" max="11272" width="21.42578125" style="183" customWidth="1"/>
    <col min="11273" max="11273" width="12.85546875" style="183" customWidth="1"/>
    <col min="11274" max="11520" width="9.140625" style="183"/>
    <col min="11521" max="11521" width="11.85546875" style="183" customWidth="1"/>
    <col min="11522" max="11522" width="6.140625" style="183" customWidth="1"/>
    <col min="11523" max="11523" width="11.42578125" style="183" customWidth="1"/>
    <col min="11524" max="11524" width="24.28515625" style="183" customWidth="1"/>
    <col min="11525" max="11525" width="23.140625" style="183" customWidth="1"/>
    <col min="11526" max="11526" width="5.28515625" style="183" customWidth="1"/>
    <col min="11527" max="11527" width="24.5703125" style="183" customWidth="1"/>
    <col min="11528" max="11528" width="21.42578125" style="183" customWidth="1"/>
    <col min="11529" max="11529" width="12.85546875" style="183" customWidth="1"/>
    <col min="11530" max="11776" width="9.140625" style="183"/>
    <col min="11777" max="11777" width="11.85546875" style="183" customWidth="1"/>
    <col min="11778" max="11778" width="6.140625" style="183" customWidth="1"/>
    <col min="11779" max="11779" width="11.42578125" style="183" customWidth="1"/>
    <col min="11780" max="11780" width="24.28515625" style="183" customWidth="1"/>
    <col min="11781" max="11781" width="23.140625" style="183" customWidth="1"/>
    <col min="11782" max="11782" width="5.28515625" style="183" customWidth="1"/>
    <col min="11783" max="11783" width="24.5703125" style="183" customWidth="1"/>
    <col min="11784" max="11784" width="21.42578125" style="183" customWidth="1"/>
    <col min="11785" max="11785" width="12.85546875" style="183" customWidth="1"/>
    <col min="11786" max="12032" width="9.140625" style="183"/>
    <col min="12033" max="12033" width="11.85546875" style="183" customWidth="1"/>
    <col min="12034" max="12034" width="6.140625" style="183" customWidth="1"/>
    <col min="12035" max="12035" width="11.42578125" style="183" customWidth="1"/>
    <col min="12036" max="12036" width="24.28515625" style="183" customWidth="1"/>
    <col min="12037" max="12037" width="23.140625" style="183" customWidth="1"/>
    <col min="12038" max="12038" width="5.28515625" style="183" customWidth="1"/>
    <col min="12039" max="12039" width="24.5703125" style="183" customWidth="1"/>
    <col min="12040" max="12040" width="21.42578125" style="183" customWidth="1"/>
    <col min="12041" max="12041" width="12.85546875" style="183" customWidth="1"/>
    <col min="12042" max="12288" width="9.140625" style="183"/>
    <col min="12289" max="12289" width="11.85546875" style="183" customWidth="1"/>
    <col min="12290" max="12290" width="6.140625" style="183" customWidth="1"/>
    <col min="12291" max="12291" width="11.42578125" style="183" customWidth="1"/>
    <col min="12292" max="12292" width="24.28515625" style="183" customWidth="1"/>
    <col min="12293" max="12293" width="23.140625" style="183" customWidth="1"/>
    <col min="12294" max="12294" width="5.28515625" style="183" customWidth="1"/>
    <col min="12295" max="12295" width="24.5703125" style="183" customWidth="1"/>
    <col min="12296" max="12296" width="21.42578125" style="183" customWidth="1"/>
    <col min="12297" max="12297" width="12.85546875" style="183" customWidth="1"/>
    <col min="12298" max="12544" width="9.140625" style="183"/>
    <col min="12545" max="12545" width="11.85546875" style="183" customWidth="1"/>
    <col min="12546" max="12546" width="6.140625" style="183" customWidth="1"/>
    <col min="12547" max="12547" width="11.42578125" style="183" customWidth="1"/>
    <col min="12548" max="12548" width="24.28515625" style="183" customWidth="1"/>
    <col min="12549" max="12549" width="23.140625" style="183" customWidth="1"/>
    <col min="12550" max="12550" width="5.28515625" style="183" customWidth="1"/>
    <col min="12551" max="12551" width="24.5703125" style="183" customWidth="1"/>
    <col min="12552" max="12552" width="21.42578125" style="183" customWidth="1"/>
    <col min="12553" max="12553" width="12.85546875" style="183" customWidth="1"/>
    <col min="12554" max="12800" width="9.140625" style="183"/>
    <col min="12801" max="12801" width="11.85546875" style="183" customWidth="1"/>
    <col min="12802" max="12802" width="6.140625" style="183" customWidth="1"/>
    <col min="12803" max="12803" width="11.42578125" style="183" customWidth="1"/>
    <col min="12804" max="12804" width="24.28515625" style="183" customWidth="1"/>
    <col min="12805" max="12805" width="23.140625" style="183" customWidth="1"/>
    <col min="12806" max="12806" width="5.28515625" style="183" customWidth="1"/>
    <col min="12807" max="12807" width="24.5703125" style="183" customWidth="1"/>
    <col min="12808" max="12808" width="21.42578125" style="183" customWidth="1"/>
    <col min="12809" max="12809" width="12.85546875" style="183" customWidth="1"/>
    <col min="12810" max="13056" width="9.140625" style="183"/>
    <col min="13057" max="13057" width="11.85546875" style="183" customWidth="1"/>
    <col min="13058" max="13058" width="6.140625" style="183" customWidth="1"/>
    <col min="13059" max="13059" width="11.42578125" style="183" customWidth="1"/>
    <col min="13060" max="13060" width="24.28515625" style="183" customWidth="1"/>
    <col min="13061" max="13061" width="23.140625" style="183" customWidth="1"/>
    <col min="13062" max="13062" width="5.28515625" style="183" customWidth="1"/>
    <col min="13063" max="13063" width="24.5703125" style="183" customWidth="1"/>
    <col min="13064" max="13064" width="21.42578125" style="183" customWidth="1"/>
    <col min="13065" max="13065" width="12.85546875" style="183" customWidth="1"/>
    <col min="13066" max="13312" width="9.140625" style="183"/>
    <col min="13313" max="13313" width="11.85546875" style="183" customWidth="1"/>
    <col min="13314" max="13314" width="6.140625" style="183" customWidth="1"/>
    <col min="13315" max="13315" width="11.42578125" style="183" customWidth="1"/>
    <col min="13316" max="13316" width="24.28515625" style="183" customWidth="1"/>
    <col min="13317" max="13317" width="23.140625" style="183" customWidth="1"/>
    <col min="13318" max="13318" width="5.28515625" style="183" customWidth="1"/>
    <col min="13319" max="13319" width="24.5703125" style="183" customWidth="1"/>
    <col min="13320" max="13320" width="21.42578125" style="183" customWidth="1"/>
    <col min="13321" max="13321" width="12.85546875" style="183" customWidth="1"/>
    <col min="13322" max="13568" width="9.140625" style="183"/>
    <col min="13569" max="13569" width="11.85546875" style="183" customWidth="1"/>
    <col min="13570" max="13570" width="6.140625" style="183" customWidth="1"/>
    <col min="13571" max="13571" width="11.42578125" style="183" customWidth="1"/>
    <col min="13572" max="13572" width="24.28515625" style="183" customWidth="1"/>
    <col min="13573" max="13573" width="23.140625" style="183" customWidth="1"/>
    <col min="13574" max="13574" width="5.28515625" style="183" customWidth="1"/>
    <col min="13575" max="13575" width="24.5703125" style="183" customWidth="1"/>
    <col min="13576" max="13576" width="21.42578125" style="183" customWidth="1"/>
    <col min="13577" max="13577" width="12.85546875" style="183" customWidth="1"/>
    <col min="13578" max="13824" width="9.140625" style="183"/>
    <col min="13825" max="13825" width="11.85546875" style="183" customWidth="1"/>
    <col min="13826" max="13826" width="6.140625" style="183" customWidth="1"/>
    <col min="13827" max="13827" width="11.42578125" style="183" customWidth="1"/>
    <col min="13828" max="13828" width="24.28515625" style="183" customWidth="1"/>
    <col min="13829" max="13829" width="23.140625" style="183" customWidth="1"/>
    <col min="13830" max="13830" width="5.28515625" style="183" customWidth="1"/>
    <col min="13831" max="13831" width="24.5703125" style="183" customWidth="1"/>
    <col min="13832" max="13832" width="21.42578125" style="183" customWidth="1"/>
    <col min="13833" max="13833" width="12.85546875" style="183" customWidth="1"/>
    <col min="13834" max="14080" width="9.140625" style="183"/>
    <col min="14081" max="14081" width="11.85546875" style="183" customWidth="1"/>
    <col min="14082" max="14082" width="6.140625" style="183" customWidth="1"/>
    <col min="14083" max="14083" width="11.42578125" style="183" customWidth="1"/>
    <col min="14084" max="14084" width="24.28515625" style="183" customWidth="1"/>
    <col min="14085" max="14085" width="23.140625" style="183" customWidth="1"/>
    <col min="14086" max="14086" width="5.28515625" style="183" customWidth="1"/>
    <col min="14087" max="14087" width="24.5703125" style="183" customWidth="1"/>
    <col min="14088" max="14088" width="21.42578125" style="183" customWidth="1"/>
    <col min="14089" max="14089" width="12.85546875" style="183" customWidth="1"/>
    <col min="14090" max="14336" width="9.140625" style="183"/>
    <col min="14337" max="14337" width="11.85546875" style="183" customWidth="1"/>
    <col min="14338" max="14338" width="6.140625" style="183" customWidth="1"/>
    <col min="14339" max="14339" width="11.42578125" style="183" customWidth="1"/>
    <col min="14340" max="14340" width="24.28515625" style="183" customWidth="1"/>
    <col min="14341" max="14341" width="23.140625" style="183" customWidth="1"/>
    <col min="14342" max="14342" width="5.28515625" style="183" customWidth="1"/>
    <col min="14343" max="14343" width="24.5703125" style="183" customWidth="1"/>
    <col min="14344" max="14344" width="21.42578125" style="183" customWidth="1"/>
    <col min="14345" max="14345" width="12.85546875" style="183" customWidth="1"/>
    <col min="14346" max="14592" width="9.140625" style="183"/>
    <col min="14593" max="14593" width="11.85546875" style="183" customWidth="1"/>
    <col min="14594" max="14594" width="6.140625" style="183" customWidth="1"/>
    <col min="14595" max="14595" width="11.42578125" style="183" customWidth="1"/>
    <col min="14596" max="14596" width="24.28515625" style="183" customWidth="1"/>
    <col min="14597" max="14597" width="23.140625" style="183" customWidth="1"/>
    <col min="14598" max="14598" width="5.28515625" style="183" customWidth="1"/>
    <col min="14599" max="14599" width="24.5703125" style="183" customWidth="1"/>
    <col min="14600" max="14600" width="21.42578125" style="183" customWidth="1"/>
    <col min="14601" max="14601" width="12.85546875" style="183" customWidth="1"/>
    <col min="14602" max="14848" width="9.140625" style="183"/>
    <col min="14849" max="14849" width="11.85546875" style="183" customWidth="1"/>
    <col min="14850" max="14850" width="6.140625" style="183" customWidth="1"/>
    <col min="14851" max="14851" width="11.42578125" style="183" customWidth="1"/>
    <col min="14852" max="14852" width="24.28515625" style="183" customWidth="1"/>
    <col min="14853" max="14853" width="23.140625" style="183" customWidth="1"/>
    <col min="14854" max="14854" width="5.28515625" style="183" customWidth="1"/>
    <col min="14855" max="14855" width="24.5703125" style="183" customWidth="1"/>
    <col min="14856" max="14856" width="21.42578125" style="183" customWidth="1"/>
    <col min="14857" max="14857" width="12.85546875" style="183" customWidth="1"/>
    <col min="14858" max="15104" width="9.140625" style="183"/>
    <col min="15105" max="15105" width="11.85546875" style="183" customWidth="1"/>
    <col min="15106" max="15106" width="6.140625" style="183" customWidth="1"/>
    <col min="15107" max="15107" width="11.42578125" style="183" customWidth="1"/>
    <col min="15108" max="15108" width="24.28515625" style="183" customWidth="1"/>
    <col min="15109" max="15109" width="23.140625" style="183" customWidth="1"/>
    <col min="15110" max="15110" width="5.28515625" style="183" customWidth="1"/>
    <col min="15111" max="15111" width="24.5703125" style="183" customWidth="1"/>
    <col min="15112" max="15112" width="21.42578125" style="183" customWidth="1"/>
    <col min="15113" max="15113" width="12.85546875" style="183" customWidth="1"/>
    <col min="15114" max="15360" width="9.140625" style="183"/>
    <col min="15361" max="15361" width="11.85546875" style="183" customWidth="1"/>
    <col min="15362" max="15362" width="6.140625" style="183" customWidth="1"/>
    <col min="15363" max="15363" width="11.42578125" style="183" customWidth="1"/>
    <col min="15364" max="15364" width="24.28515625" style="183" customWidth="1"/>
    <col min="15365" max="15365" width="23.140625" style="183" customWidth="1"/>
    <col min="15366" max="15366" width="5.28515625" style="183" customWidth="1"/>
    <col min="15367" max="15367" width="24.5703125" style="183" customWidth="1"/>
    <col min="15368" max="15368" width="21.42578125" style="183" customWidth="1"/>
    <col min="15369" max="15369" width="12.85546875" style="183" customWidth="1"/>
    <col min="15370" max="15616" width="9.140625" style="183"/>
    <col min="15617" max="15617" width="11.85546875" style="183" customWidth="1"/>
    <col min="15618" max="15618" width="6.140625" style="183" customWidth="1"/>
    <col min="15619" max="15619" width="11.42578125" style="183" customWidth="1"/>
    <col min="15620" max="15620" width="24.28515625" style="183" customWidth="1"/>
    <col min="15621" max="15621" width="23.140625" style="183" customWidth="1"/>
    <col min="15622" max="15622" width="5.28515625" style="183" customWidth="1"/>
    <col min="15623" max="15623" width="24.5703125" style="183" customWidth="1"/>
    <col min="15624" max="15624" width="21.42578125" style="183" customWidth="1"/>
    <col min="15625" max="15625" width="12.85546875" style="183" customWidth="1"/>
    <col min="15626" max="15872" width="9.140625" style="183"/>
    <col min="15873" max="15873" width="11.85546875" style="183" customWidth="1"/>
    <col min="15874" max="15874" width="6.140625" style="183" customWidth="1"/>
    <col min="15875" max="15875" width="11.42578125" style="183" customWidth="1"/>
    <col min="15876" max="15876" width="24.28515625" style="183" customWidth="1"/>
    <col min="15877" max="15877" width="23.140625" style="183" customWidth="1"/>
    <col min="15878" max="15878" width="5.28515625" style="183" customWidth="1"/>
    <col min="15879" max="15879" width="24.5703125" style="183" customWidth="1"/>
    <col min="15880" max="15880" width="21.42578125" style="183" customWidth="1"/>
    <col min="15881" max="15881" width="12.85546875" style="183" customWidth="1"/>
    <col min="15882" max="16128" width="9.140625" style="183"/>
    <col min="16129" max="16129" width="11.85546875" style="183" customWidth="1"/>
    <col min="16130" max="16130" width="6.140625" style="183" customWidth="1"/>
    <col min="16131" max="16131" width="11.42578125" style="183" customWidth="1"/>
    <col min="16132" max="16132" width="24.28515625" style="183" customWidth="1"/>
    <col min="16133" max="16133" width="23.140625" style="183" customWidth="1"/>
    <col min="16134" max="16134" width="5.28515625" style="183" customWidth="1"/>
    <col min="16135" max="16135" width="24.5703125" style="183" customWidth="1"/>
    <col min="16136" max="16136" width="21.42578125" style="183" customWidth="1"/>
    <col min="16137" max="16137" width="12.85546875" style="183" customWidth="1"/>
    <col min="16138" max="16384" width="9.140625" style="183"/>
  </cols>
  <sheetData>
    <row r="1" spans="1:10">
      <c r="A1" s="216" t="s">
        <v>657</v>
      </c>
      <c r="B1" s="216"/>
    </row>
    <row r="2" spans="1:10" ht="15.75" customHeight="1">
      <c r="C2" s="217" t="s">
        <v>658</v>
      </c>
      <c r="D2" s="218"/>
      <c r="E2" s="219"/>
    </row>
    <row r="3" spans="1:10" ht="15.75" customHeight="1">
      <c r="A3" s="184"/>
      <c r="B3" s="184"/>
      <c r="C3" s="220" t="s">
        <v>3</v>
      </c>
      <c r="D3" s="221"/>
      <c r="E3" s="222"/>
    </row>
    <row r="4" spans="1:10">
      <c r="A4" s="184"/>
      <c r="B4" s="184"/>
    </row>
    <row r="5" spans="1:10">
      <c r="A5" s="223" t="s">
        <v>659</v>
      </c>
      <c r="B5" s="223"/>
    </row>
    <row r="6" spans="1:10">
      <c r="A6" s="184"/>
      <c r="B6" s="184"/>
      <c r="C6" s="224" t="s">
        <v>10</v>
      </c>
      <c r="D6" s="225"/>
      <c r="E6" s="185" t="s">
        <v>647</v>
      </c>
      <c r="F6" s="186"/>
      <c r="G6" s="186"/>
      <c r="H6" s="186"/>
      <c r="I6" s="187"/>
    </row>
    <row r="7" spans="1:10">
      <c r="A7" s="184"/>
      <c r="B7" s="184"/>
      <c r="C7" s="210" t="s">
        <v>12</v>
      </c>
      <c r="D7" s="211"/>
      <c r="E7" s="188" t="s">
        <v>13</v>
      </c>
      <c r="F7" s="189"/>
      <c r="G7" s="189"/>
      <c r="H7" s="189"/>
      <c r="I7" s="190"/>
      <c r="J7" s="191"/>
    </row>
    <row r="8" spans="1:10">
      <c r="A8" s="184"/>
      <c r="B8" s="184"/>
      <c r="C8" s="226" t="s">
        <v>385</v>
      </c>
      <c r="D8" s="227"/>
      <c r="E8" s="192" t="s">
        <v>608</v>
      </c>
      <c r="F8" s="193"/>
      <c r="G8" s="193"/>
      <c r="H8" s="193"/>
      <c r="I8" s="194"/>
      <c r="J8" s="191"/>
    </row>
    <row r="9" spans="1:10">
      <c r="A9" s="184"/>
      <c r="B9" s="184"/>
      <c r="C9" s="210" t="s">
        <v>609</v>
      </c>
      <c r="D9" s="211"/>
      <c r="E9" s="188" t="s">
        <v>604</v>
      </c>
      <c r="F9" s="189"/>
      <c r="G9" s="189"/>
      <c r="H9" s="189"/>
      <c r="I9" s="190"/>
      <c r="J9" s="191"/>
    </row>
    <row r="10" spans="1:10">
      <c r="A10" s="184"/>
      <c r="B10" s="184"/>
      <c r="C10" s="226" t="s">
        <v>5</v>
      </c>
      <c r="D10" s="227"/>
      <c r="E10" s="192" t="s">
        <v>610</v>
      </c>
      <c r="F10" s="193"/>
      <c r="G10" s="193"/>
      <c r="H10" s="193"/>
      <c r="I10" s="194"/>
      <c r="J10" s="191"/>
    </row>
    <row r="11" spans="1:10">
      <c r="A11" s="184"/>
      <c r="B11" s="184"/>
      <c r="C11" s="210" t="s">
        <v>611</v>
      </c>
      <c r="D11" s="211"/>
      <c r="E11" s="188" t="s">
        <v>612</v>
      </c>
      <c r="F11" s="189"/>
      <c r="G11" s="189"/>
      <c r="H11" s="189"/>
      <c r="I11" s="190"/>
      <c r="J11" s="191"/>
    </row>
    <row r="12" spans="1:10">
      <c r="A12" s="184"/>
      <c r="B12" s="184"/>
      <c r="C12" s="226" t="s">
        <v>20</v>
      </c>
      <c r="D12" s="227"/>
      <c r="E12" s="195">
        <v>46091</v>
      </c>
      <c r="F12" s="193"/>
      <c r="G12" s="193"/>
      <c r="H12" s="193"/>
      <c r="I12" s="194"/>
      <c r="J12" s="191"/>
    </row>
    <row r="13" spans="1:10">
      <c r="A13" s="184"/>
      <c r="B13" s="184"/>
      <c r="C13" s="235" t="s">
        <v>21</v>
      </c>
      <c r="D13" s="236"/>
      <c r="E13" s="228">
        <f>+E12</f>
        <v>46091</v>
      </c>
      <c r="F13" s="228"/>
      <c r="G13" s="228"/>
      <c r="H13" s="228"/>
      <c r="I13" s="196"/>
      <c r="J13" s="191"/>
    </row>
    <row r="14" spans="1:10">
      <c r="D14" s="197"/>
    </row>
    <row r="15" spans="1:10">
      <c r="A15" s="223" t="s">
        <v>660</v>
      </c>
      <c r="B15" s="223"/>
    </row>
    <row r="16" spans="1:10">
      <c r="C16" s="229" t="s">
        <v>221</v>
      </c>
      <c r="D16" s="230"/>
      <c r="E16" s="231"/>
      <c r="G16" s="229" t="s">
        <v>661</v>
      </c>
      <c r="H16" s="230"/>
      <c r="I16" s="231"/>
    </row>
    <row r="17" spans="3:9">
      <c r="C17" s="232" t="s">
        <v>223</v>
      </c>
      <c r="D17" s="233"/>
      <c r="E17" s="234"/>
      <c r="G17" s="232" t="s">
        <v>224</v>
      </c>
      <c r="H17" s="233"/>
      <c r="I17" s="234"/>
    </row>
    <row r="18" spans="3:9">
      <c r="C18" s="232"/>
      <c r="D18" s="233"/>
      <c r="E18" s="234"/>
      <c r="G18" s="237"/>
      <c r="H18" s="238"/>
      <c r="I18" s="239"/>
    </row>
    <row r="19" spans="3:9" ht="27" customHeight="1">
      <c r="C19" s="232"/>
      <c r="D19" s="233"/>
      <c r="E19" s="234"/>
      <c r="G19" s="237"/>
      <c r="H19" s="238"/>
      <c r="I19" s="239"/>
    </row>
    <row r="20" spans="3:9">
      <c r="C20" s="232"/>
      <c r="D20" s="233"/>
      <c r="E20" s="234"/>
      <c r="G20" s="237"/>
      <c r="H20" s="238"/>
      <c r="I20" s="239"/>
    </row>
    <row r="21" spans="3:9">
      <c r="C21" s="232"/>
      <c r="D21" s="233"/>
      <c r="E21" s="234"/>
      <c r="G21" s="237"/>
      <c r="H21" s="238"/>
      <c r="I21" s="239"/>
    </row>
    <row r="22" spans="3:9">
      <c r="C22" s="232"/>
      <c r="D22" s="233"/>
      <c r="E22" s="234"/>
      <c r="G22" s="237"/>
      <c r="H22" s="238"/>
      <c r="I22" s="239"/>
    </row>
    <row r="23" spans="3:9">
      <c r="C23" s="232"/>
      <c r="D23" s="233"/>
      <c r="E23" s="234"/>
      <c r="G23" s="237"/>
      <c r="H23" s="238"/>
      <c r="I23" s="239"/>
    </row>
    <row r="24" spans="3:9">
      <c r="C24" s="213" t="s">
        <v>608</v>
      </c>
      <c r="D24" s="214"/>
      <c r="E24" s="215"/>
      <c r="G24" s="213" t="s">
        <v>647</v>
      </c>
      <c r="H24" s="214"/>
      <c r="I24" s="215"/>
    </row>
    <row r="25" spans="3:9">
      <c r="C25" s="213" t="s">
        <v>227</v>
      </c>
      <c r="D25" s="214"/>
      <c r="E25" s="215"/>
      <c r="G25" s="213" t="s">
        <v>662</v>
      </c>
      <c r="H25" s="214"/>
      <c r="I25" s="215"/>
    </row>
    <row r="26" spans="3:9">
      <c r="C26" s="240" t="s">
        <v>229</v>
      </c>
      <c r="D26" s="241"/>
      <c r="E26" s="242"/>
      <c r="F26" s="198"/>
      <c r="G26" s="240" t="s">
        <v>230</v>
      </c>
      <c r="H26" s="241"/>
      <c r="I26" s="242"/>
    </row>
    <row r="27" spans="3:9">
      <c r="C27" s="199"/>
      <c r="D27" s="199"/>
      <c r="E27" s="199"/>
      <c r="G27" s="200"/>
      <c r="H27" s="200"/>
      <c r="I27" s="200"/>
    </row>
    <row r="28" spans="3:9">
      <c r="C28" s="199"/>
      <c r="D28" s="199"/>
      <c r="E28" s="199"/>
      <c r="G28" s="200"/>
      <c r="H28" s="200"/>
      <c r="I28" s="200"/>
    </row>
    <row r="29" spans="3:9">
      <c r="C29" s="201" t="s">
        <v>505</v>
      </c>
      <c r="D29" s="243" t="s">
        <v>663</v>
      </c>
      <c r="E29" s="243"/>
      <c r="F29" s="243"/>
      <c r="G29" s="243"/>
      <c r="H29" s="202" t="s">
        <v>664</v>
      </c>
      <c r="I29" s="200"/>
    </row>
    <row r="30" spans="3:9">
      <c r="C30" s="203">
        <v>1</v>
      </c>
      <c r="D30" s="212" t="s">
        <v>665</v>
      </c>
      <c r="E30" s="212"/>
      <c r="F30" s="212"/>
      <c r="G30" s="212"/>
      <c r="H30" s="206" t="s">
        <v>678</v>
      </c>
      <c r="I30" s="200"/>
    </row>
    <row r="31" spans="3:9">
      <c r="C31" s="203">
        <v>2</v>
      </c>
      <c r="D31" s="212" t="s">
        <v>666</v>
      </c>
      <c r="E31" s="212"/>
      <c r="F31" s="212"/>
      <c r="G31" s="212"/>
      <c r="H31" s="206" t="s">
        <v>679</v>
      </c>
      <c r="I31" s="200"/>
    </row>
    <row r="32" spans="3:9">
      <c r="C32" s="203">
        <v>3</v>
      </c>
      <c r="D32" s="212" t="s">
        <v>667</v>
      </c>
      <c r="E32" s="212"/>
      <c r="F32" s="212"/>
      <c r="G32" s="212"/>
      <c r="H32" s="206" t="s">
        <v>680</v>
      </c>
      <c r="I32" s="200"/>
    </row>
    <row r="33" spans="3:9">
      <c r="C33" s="203">
        <v>4</v>
      </c>
      <c r="D33" s="212" t="s">
        <v>669</v>
      </c>
      <c r="E33" s="212"/>
      <c r="F33" s="212"/>
      <c r="G33" s="212"/>
      <c r="H33" s="206" t="s">
        <v>681</v>
      </c>
      <c r="I33" s="200"/>
    </row>
    <row r="34" spans="3:9">
      <c r="C34" s="203">
        <v>5</v>
      </c>
      <c r="D34" s="212" t="s">
        <v>668</v>
      </c>
      <c r="E34" s="212"/>
      <c r="F34" s="212"/>
      <c r="G34" s="212"/>
      <c r="H34" s="206" t="s">
        <v>682</v>
      </c>
      <c r="I34" s="200"/>
    </row>
    <row r="35" spans="3:9">
      <c r="C35" s="203">
        <v>6</v>
      </c>
      <c r="D35" s="212" t="s">
        <v>670</v>
      </c>
      <c r="E35" s="212"/>
      <c r="F35" s="212"/>
      <c r="G35" s="212"/>
      <c r="H35" s="207" t="s">
        <v>683</v>
      </c>
      <c r="I35" s="200"/>
    </row>
    <row r="36" spans="3:9">
      <c r="C36" s="203"/>
      <c r="D36" s="212" t="s">
        <v>671</v>
      </c>
      <c r="E36" s="212"/>
      <c r="F36" s="212"/>
      <c r="G36" s="212"/>
      <c r="H36" s="208" t="s">
        <v>684</v>
      </c>
      <c r="I36" s="200"/>
    </row>
    <row r="37" spans="3:9">
      <c r="C37" s="203"/>
      <c r="D37" s="212" t="s">
        <v>672</v>
      </c>
      <c r="E37" s="212"/>
      <c r="F37" s="212"/>
      <c r="G37" s="212"/>
      <c r="H37" s="208" t="s">
        <v>685</v>
      </c>
      <c r="I37" s="200"/>
    </row>
    <row r="38" spans="3:9">
      <c r="C38" s="201"/>
      <c r="D38" s="244" t="s">
        <v>673</v>
      </c>
      <c r="E38" s="244"/>
      <c r="F38" s="244"/>
      <c r="G38" s="244"/>
      <c r="H38" s="208" t="s">
        <v>686</v>
      </c>
      <c r="I38" s="200"/>
    </row>
    <row r="39" spans="3:9">
      <c r="C39" s="203"/>
      <c r="D39" s="212" t="s">
        <v>674</v>
      </c>
      <c r="E39" s="212"/>
      <c r="F39" s="212"/>
      <c r="G39" s="212"/>
      <c r="H39" s="206" t="s">
        <v>687</v>
      </c>
      <c r="I39" s="200"/>
    </row>
    <row r="40" spans="3:9">
      <c r="C40" s="203"/>
      <c r="D40" s="212" t="s">
        <v>675</v>
      </c>
      <c r="E40" s="212"/>
      <c r="F40" s="212"/>
      <c r="G40" s="212"/>
      <c r="H40" s="206" t="s">
        <v>688</v>
      </c>
      <c r="I40" s="200"/>
    </row>
    <row r="41" spans="3:9">
      <c r="C41" s="203"/>
      <c r="D41" s="212" t="s">
        <v>676</v>
      </c>
      <c r="E41" s="212"/>
      <c r="F41" s="212"/>
      <c r="G41" s="212"/>
      <c r="H41" s="206" t="s">
        <v>689</v>
      </c>
      <c r="I41" s="200"/>
    </row>
    <row r="42" spans="3:9">
      <c r="C42" s="203"/>
      <c r="D42" s="212" t="s">
        <v>677</v>
      </c>
      <c r="E42" s="212"/>
      <c r="F42" s="212"/>
      <c r="G42" s="212"/>
      <c r="H42" s="206" t="s">
        <v>690</v>
      </c>
      <c r="I42" s="200"/>
    </row>
    <row r="43" spans="3:9">
      <c r="C43" s="199"/>
      <c r="D43" s="199"/>
      <c r="E43" s="199"/>
      <c r="G43" s="200"/>
      <c r="H43" s="200"/>
      <c r="I43" s="200"/>
    </row>
    <row r="44" spans="3:9">
      <c r="C44" s="199"/>
      <c r="D44" s="199"/>
      <c r="E44" s="199"/>
      <c r="G44" s="200"/>
      <c r="H44" s="200"/>
      <c r="I44" s="200"/>
    </row>
    <row r="45" spans="3:9">
      <c r="C45" s="199"/>
      <c r="D45" s="199"/>
      <c r="E45" s="199"/>
      <c r="G45" s="200"/>
      <c r="H45" s="200"/>
      <c r="I45" s="200"/>
    </row>
    <row r="46" spans="3:9">
      <c r="C46" s="199"/>
      <c r="D46" s="199"/>
      <c r="E46" s="199"/>
      <c r="G46" s="200"/>
      <c r="H46" s="200"/>
      <c r="I46" s="200"/>
    </row>
    <row r="47" spans="3:9">
      <c r="C47" s="199"/>
      <c r="D47" s="199"/>
      <c r="E47" s="199"/>
      <c r="G47" s="200"/>
      <c r="H47" s="200"/>
      <c r="I47" s="200"/>
    </row>
    <row r="48" spans="3:9">
      <c r="C48" s="199"/>
      <c r="D48" s="199"/>
      <c r="E48" s="199"/>
      <c r="G48" s="200"/>
      <c r="H48" s="200"/>
      <c r="I48" s="200"/>
    </row>
    <row r="49" spans="2:9">
      <c r="C49" s="199"/>
      <c r="D49" s="199"/>
      <c r="E49" s="199"/>
      <c r="G49" s="200"/>
      <c r="H49" s="200"/>
      <c r="I49" s="200"/>
    </row>
    <row r="50" spans="2:9">
      <c r="B50" s="204"/>
      <c r="C50" s="205"/>
    </row>
    <row r="67" ht="78.75" customHeight="1"/>
  </sheetData>
  <mergeCells count="40">
    <mergeCell ref="D38:G38"/>
    <mergeCell ref="D39:G39"/>
    <mergeCell ref="D40:G40"/>
    <mergeCell ref="D41:G41"/>
    <mergeCell ref="D32:G32"/>
    <mergeCell ref="D33:G33"/>
    <mergeCell ref="D34:G34"/>
    <mergeCell ref="D35:G35"/>
    <mergeCell ref="D36:G36"/>
    <mergeCell ref="D37:G37"/>
    <mergeCell ref="D31:G31"/>
    <mergeCell ref="C18:E23"/>
    <mergeCell ref="G18:I23"/>
    <mergeCell ref="C24:E24"/>
    <mergeCell ref="G24:I24"/>
    <mergeCell ref="C26:E26"/>
    <mergeCell ref="G26:I26"/>
    <mergeCell ref="D29:G29"/>
    <mergeCell ref="D30:G30"/>
    <mergeCell ref="C16:E16"/>
    <mergeCell ref="G16:I16"/>
    <mergeCell ref="C17:E17"/>
    <mergeCell ref="G17:I17"/>
    <mergeCell ref="C13:D13"/>
    <mergeCell ref="C7:D7"/>
    <mergeCell ref="D42:G42"/>
    <mergeCell ref="C25:E25"/>
    <mergeCell ref="G25:I25"/>
    <mergeCell ref="A1:B1"/>
    <mergeCell ref="C2:E2"/>
    <mergeCell ref="C3:E3"/>
    <mergeCell ref="A5:B5"/>
    <mergeCell ref="C6:D6"/>
    <mergeCell ref="C8:D8"/>
    <mergeCell ref="C9:D9"/>
    <mergeCell ref="C10:D10"/>
    <mergeCell ref="C11:D11"/>
    <mergeCell ref="C12:D12"/>
    <mergeCell ref="E13:H13"/>
    <mergeCell ref="A15:B15"/>
  </mergeCell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118"/>
  <sheetViews>
    <sheetView showGridLines="0" showZeros="0" showOutlineSymbols="0" view="pageBreakPreview" zoomScaleNormal="100" zoomScaleSheetLayoutView="100" workbookViewId="0">
      <selection sqref="A1:B1"/>
    </sheetView>
  </sheetViews>
  <sheetFormatPr defaultColWidth="9.140625" defaultRowHeight="10.5"/>
  <cols>
    <col min="1" max="1" width="6" style="14" customWidth="1"/>
    <col min="2" max="2" width="45.140625" style="14" customWidth="1"/>
    <col min="3" max="3" width="8.140625" style="14" bestFit="1" customWidth="1"/>
    <col min="4" max="5" width="19.5703125" style="14" customWidth="1"/>
    <col min="6" max="6" width="12" style="14" bestFit="1" customWidth="1"/>
    <col min="7" max="16384" width="9.140625" style="14"/>
  </cols>
  <sheetData>
    <row r="1" spans="1:6" ht="36" customHeight="1">
      <c r="A1" s="246"/>
      <c r="B1" s="246"/>
      <c r="C1" s="13"/>
      <c r="D1" s="247" t="s">
        <v>0</v>
      </c>
      <c r="E1" s="247"/>
      <c r="F1" s="247"/>
    </row>
    <row r="2" spans="1:6" ht="27.75" customHeight="1">
      <c r="A2" s="248" t="s">
        <v>1</v>
      </c>
      <c r="B2" s="248"/>
      <c r="C2" s="248"/>
      <c r="D2" s="248"/>
      <c r="E2" s="248"/>
      <c r="F2" s="248"/>
    </row>
    <row r="3" spans="1:6" ht="7.5" customHeight="1">
      <c r="A3" s="15"/>
      <c r="B3" s="15"/>
      <c r="C3" s="15"/>
      <c r="D3" s="15"/>
      <c r="E3" s="15"/>
      <c r="F3" s="15"/>
    </row>
    <row r="4" spans="1:6" ht="27" customHeight="1">
      <c r="A4" s="249" t="s">
        <v>2</v>
      </c>
      <c r="B4" s="249"/>
      <c r="C4" s="249"/>
      <c r="D4" s="249"/>
      <c r="E4" s="249"/>
      <c r="F4" s="249"/>
    </row>
    <row r="5" spans="1:6" ht="18" customHeight="1">
      <c r="A5" s="250" t="s">
        <v>3</v>
      </c>
      <c r="B5" s="250"/>
      <c r="C5" s="250"/>
      <c r="D5" s="250"/>
      <c r="E5" s="250"/>
      <c r="F5" s="250"/>
    </row>
    <row r="6" spans="1:6" ht="12.75" customHeight="1">
      <c r="A6" s="16" t="s">
        <v>4</v>
      </c>
      <c r="B6" s="17" t="s">
        <v>5</v>
      </c>
      <c r="C6" s="251" t="s">
        <v>6</v>
      </c>
      <c r="D6" s="251"/>
      <c r="E6" s="251"/>
      <c r="F6" s="251"/>
    </row>
    <row r="7" spans="1:6" ht="12.75" customHeight="1">
      <c r="A7" s="15"/>
      <c r="B7" s="15" t="s">
        <v>7</v>
      </c>
      <c r="C7" s="246" t="s">
        <v>8</v>
      </c>
      <c r="D7" s="246"/>
      <c r="E7" s="246"/>
      <c r="F7" s="246"/>
    </row>
    <row r="8" spans="1:6" ht="12.75" customHeight="1">
      <c r="A8" s="16" t="s">
        <v>9</v>
      </c>
      <c r="B8" s="17" t="s">
        <v>10</v>
      </c>
      <c r="C8" s="251" t="s">
        <v>11</v>
      </c>
      <c r="D8" s="251"/>
      <c r="E8" s="251"/>
      <c r="F8" s="251"/>
    </row>
    <row r="9" spans="1:6" ht="12.75" customHeight="1">
      <c r="A9" s="15"/>
      <c r="B9" s="15" t="s">
        <v>12</v>
      </c>
      <c r="C9" s="246" t="s">
        <v>13</v>
      </c>
      <c r="D9" s="246"/>
      <c r="E9" s="246"/>
      <c r="F9" s="246"/>
    </row>
    <row r="10" spans="1:6" ht="12.75" customHeight="1">
      <c r="A10" s="16" t="s">
        <v>14</v>
      </c>
      <c r="B10" s="17" t="s">
        <v>15</v>
      </c>
      <c r="C10" s="251" t="s">
        <v>16</v>
      </c>
      <c r="D10" s="251"/>
      <c r="E10" s="251"/>
      <c r="F10" s="251"/>
    </row>
    <row r="11" spans="1:6" ht="12.75" customHeight="1">
      <c r="A11" s="15"/>
      <c r="B11" s="15" t="s">
        <v>17</v>
      </c>
      <c r="C11" s="246" t="s">
        <v>18</v>
      </c>
      <c r="D11" s="246"/>
      <c r="E11" s="246"/>
      <c r="F11" s="246"/>
    </row>
    <row r="12" spans="1:6" ht="12.75" customHeight="1">
      <c r="A12" s="16" t="s">
        <v>19</v>
      </c>
      <c r="B12" s="17" t="s">
        <v>20</v>
      </c>
      <c r="C12" s="245">
        <v>46091</v>
      </c>
      <c r="D12" s="245"/>
      <c r="E12" s="245"/>
      <c r="F12" s="245"/>
    </row>
    <row r="13" spans="1:6" ht="12.75" customHeight="1">
      <c r="A13" s="15"/>
      <c r="B13" s="15" t="s">
        <v>21</v>
      </c>
      <c r="C13" s="252">
        <f>+C12</f>
        <v>46091</v>
      </c>
      <c r="D13" s="252"/>
      <c r="E13" s="252"/>
      <c r="F13" s="252"/>
    </row>
    <row r="14" spans="1:6" ht="12.75" customHeight="1">
      <c r="A14" s="15"/>
      <c r="B14" s="15"/>
      <c r="C14" s="15"/>
      <c r="D14" s="15"/>
      <c r="E14" s="15"/>
      <c r="F14" s="15"/>
    </row>
    <row r="15" spans="1:6" ht="12.75" customHeight="1">
      <c r="A15" s="253" t="s">
        <v>22</v>
      </c>
      <c r="B15" s="253"/>
      <c r="C15" s="253"/>
      <c r="D15" s="253"/>
      <c r="E15" s="253"/>
      <c r="F15" s="253"/>
    </row>
    <row r="16" spans="1:6" ht="12.75" customHeight="1">
      <c r="A16" s="251" t="s">
        <v>23</v>
      </c>
      <c r="B16" s="251"/>
      <c r="C16" s="251"/>
      <c r="D16" s="251"/>
      <c r="E16" s="251"/>
      <c r="F16" s="251"/>
    </row>
    <row r="17" spans="1:11" ht="12.75" customHeight="1">
      <c r="A17" s="18"/>
      <c r="B17" s="19"/>
      <c r="C17" s="18"/>
      <c r="D17" s="18"/>
      <c r="E17" s="254" t="s">
        <v>24</v>
      </c>
      <c r="F17" s="254"/>
    </row>
    <row r="18" spans="1:11" ht="42">
      <c r="A18" s="20" t="s">
        <v>25</v>
      </c>
      <c r="B18" s="21" t="s">
        <v>26</v>
      </c>
      <c r="C18" s="21" t="s">
        <v>27</v>
      </c>
      <c r="D18" s="21" t="s">
        <v>28</v>
      </c>
      <c r="E18" s="21" t="s">
        <v>29</v>
      </c>
      <c r="F18" s="22" t="s">
        <v>30</v>
      </c>
    </row>
    <row r="19" spans="1:11" ht="23.1" customHeight="1">
      <c r="A19" s="23" t="s">
        <v>31</v>
      </c>
      <c r="B19" s="24" t="s">
        <v>32</v>
      </c>
      <c r="C19" s="25" t="s">
        <v>33</v>
      </c>
      <c r="D19" s="26"/>
      <c r="E19" s="26"/>
      <c r="F19" s="27"/>
    </row>
    <row r="20" spans="1:11" ht="23.1" customHeight="1">
      <c r="A20" s="23" t="s">
        <v>34</v>
      </c>
      <c r="B20" s="24" t="s">
        <v>35</v>
      </c>
      <c r="C20" s="25" t="s">
        <v>36</v>
      </c>
      <c r="D20" s="28">
        <v>239516907294</v>
      </c>
      <c r="E20" s="28">
        <v>786677459839</v>
      </c>
      <c r="F20" s="27">
        <v>0.30449999999999999</v>
      </c>
      <c r="H20" s="29"/>
      <c r="K20" s="29"/>
    </row>
    <row r="21" spans="1:11" ht="23.1" customHeight="1">
      <c r="A21" s="23"/>
      <c r="B21" s="24" t="s">
        <v>37</v>
      </c>
      <c r="C21" s="25" t="s">
        <v>38</v>
      </c>
      <c r="D21" s="28">
        <v>0</v>
      </c>
      <c r="E21" s="28">
        <v>0</v>
      </c>
      <c r="F21" s="27">
        <v>0</v>
      </c>
      <c r="H21" s="29"/>
      <c r="K21" s="29"/>
    </row>
    <row r="22" spans="1:11" ht="23.1" customHeight="1">
      <c r="A22" s="23"/>
      <c r="B22" s="24" t="s">
        <v>39</v>
      </c>
      <c r="C22" s="25" t="s">
        <v>40</v>
      </c>
      <c r="D22" s="28">
        <v>239516907294</v>
      </c>
      <c r="E22" s="28">
        <v>786677459839</v>
      </c>
      <c r="F22" s="27">
        <v>0.30449999999999999</v>
      </c>
      <c r="H22" s="29"/>
      <c r="K22" s="29"/>
    </row>
    <row r="23" spans="1:11" ht="23.1" customHeight="1">
      <c r="A23" s="23"/>
      <c r="B23" s="24" t="s">
        <v>41</v>
      </c>
      <c r="C23" s="25" t="s">
        <v>42</v>
      </c>
      <c r="D23" s="28">
        <v>0</v>
      </c>
      <c r="E23" s="28">
        <v>0</v>
      </c>
      <c r="F23" s="27">
        <v>0</v>
      </c>
      <c r="H23" s="29"/>
      <c r="K23" s="29"/>
    </row>
    <row r="24" spans="1:11" ht="23.1" customHeight="1">
      <c r="A24" s="23"/>
      <c r="B24" s="24" t="s">
        <v>43</v>
      </c>
      <c r="C24" s="25" t="s">
        <v>44</v>
      </c>
      <c r="D24" s="30">
        <v>0</v>
      </c>
      <c r="E24" s="30">
        <v>0</v>
      </c>
      <c r="F24" s="27">
        <v>0</v>
      </c>
      <c r="H24" s="29"/>
      <c r="K24" s="29"/>
    </row>
    <row r="25" spans="1:11" ht="23.1" customHeight="1">
      <c r="A25" s="23"/>
      <c r="B25" s="24" t="s">
        <v>45</v>
      </c>
      <c r="C25" s="25" t="s">
        <v>46</v>
      </c>
      <c r="D25" s="30">
        <v>239516907294</v>
      </c>
      <c r="E25" s="30">
        <v>786677459839</v>
      </c>
      <c r="F25" s="27">
        <v>0.30449999999999999</v>
      </c>
      <c r="H25" s="29"/>
      <c r="K25" s="29"/>
    </row>
    <row r="26" spans="1:11" ht="23.1" customHeight="1">
      <c r="A26" s="23"/>
      <c r="B26" s="24" t="s">
        <v>47</v>
      </c>
      <c r="C26" s="25" t="s">
        <v>48</v>
      </c>
      <c r="D26" s="28">
        <v>0</v>
      </c>
      <c r="E26" s="28">
        <v>0</v>
      </c>
      <c r="F26" s="27">
        <v>0</v>
      </c>
      <c r="H26" s="29"/>
      <c r="K26" s="29"/>
    </row>
    <row r="27" spans="1:11" ht="23.1" customHeight="1">
      <c r="A27" s="23"/>
      <c r="B27" s="24" t="s">
        <v>49</v>
      </c>
      <c r="C27" s="25" t="s">
        <v>50</v>
      </c>
      <c r="D27" s="30">
        <v>0</v>
      </c>
      <c r="E27" s="30">
        <v>0</v>
      </c>
      <c r="F27" s="27">
        <v>0</v>
      </c>
      <c r="H27" s="29"/>
      <c r="K27" s="29"/>
    </row>
    <row r="28" spans="1:11" ht="23.1" customHeight="1">
      <c r="A28" s="23"/>
      <c r="B28" s="24" t="s">
        <v>51</v>
      </c>
      <c r="C28" s="25" t="s">
        <v>52</v>
      </c>
      <c r="D28" s="28">
        <v>0</v>
      </c>
      <c r="E28" s="28">
        <v>0</v>
      </c>
      <c r="F28" s="27">
        <v>0</v>
      </c>
      <c r="H28" s="29"/>
      <c r="K28" s="29"/>
    </row>
    <row r="29" spans="1:11" ht="23.1" customHeight="1">
      <c r="A29" s="23" t="s">
        <v>53</v>
      </c>
      <c r="B29" s="24" t="s">
        <v>54</v>
      </c>
      <c r="C29" s="25" t="s">
        <v>55</v>
      </c>
      <c r="D29" s="28">
        <v>13454348644850</v>
      </c>
      <c r="E29" s="28">
        <v>12611966073450</v>
      </c>
      <c r="F29" s="27">
        <v>1.0668</v>
      </c>
      <c r="H29" s="29"/>
      <c r="K29" s="29"/>
    </row>
    <row r="30" spans="1:11" ht="23.1" customHeight="1">
      <c r="A30" s="23"/>
      <c r="B30" s="24" t="s">
        <v>56</v>
      </c>
      <c r="C30" s="25" t="s">
        <v>57</v>
      </c>
      <c r="D30" s="28">
        <v>13454348644850</v>
      </c>
      <c r="E30" s="28">
        <v>12611966073450</v>
      </c>
      <c r="F30" s="27">
        <v>1.0668</v>
      </c>
      <c r="H30" s="29"/>
      <c r="K30" s="29"/>
    </row>
    <row r="31" spans="1:11" ht="23.1" customHeight="1">
      <c r="A31" s="23"/>
      <c r="B31" s="24" t="s">
        <v>58</v>
      </c>
      <c r="C31" s="25" t="s">
        <v>59</v>
      </c>
      <c r="D31" s="28">
        <v>0</v>
      </c>
      <c r="E31" s="28">
        <v>0</v>
      </c>
      <c r="F31" s="27">
        <v>0</v>
      </c>
      <c r="H31" s="29"/>
      <c r="K31" s="29"/>
    </row>
    <row r="32" spans="1:11" ht="23.1" customHeight="1">
      <c r="A32" s="23"/>
      <c r="B32" s="24" t="s">
        <v>60</v>
      </c>
      <c r="C32" s="25" t="s">
        <v>61</v>
      </c>
      <c r="D32" s="28">
        <v>0</v>
      </c>
      <c r="E32" s="28">
        <v>0</v>
      </c>
      <c r="F32" s="27">
        <v>0</v>
      </c>
      <c r="H32" s="29"/>
      <c r="K32" s="29"/>
    </row>
    <row r="33" spans="1:11" ht="23.1" customHeight="1">
      <c r="A33" s="23"/>
      <c r="B33" s="24" t="s">
        <v>62</v>
      </c>
      <c r="C33" s="25" t="s">
        <v>63</v>
      </c>
      <c r="D33" s="28">
        <v>0</v>
      </c>
      <c r="E33" s="28">
        <v>0</v>
      </c>
      <c r="F33" s="27">
        <v>0</v>
      </c>
      <c r="H33" s="29"/>
      <c r="K33" s="29"/>
    </row>
    <row r="34" spans="1:11" ht="23.1" customHeight="1">
      <c r="A34" s="23"/>
      <c r="B34" s="24" t="s">
        <v>64</v>
      </c>
      <c r="C34" s="25" t="s">
        <v>65</v>
      </c>
      <c r="D34" s="28">
        <v>0</v>
      </c>
      <c r="E34" s="28">
        <v>0</v>
      </c>
      <c r="F34" s="27">
        <v>0</v>
      </c>
      <c r="H34" s="29"/>
      <c r="K34" s="29"/>
    </row>
    <row r="35" spans="1:11" ht="23.1" customHeight="1">
      <c r="A35" s="23"/>
      <c r="B35" s="24" t="s">
        <v>66</v>
      </c>
      <c r="C35" s="25" t="s">
        <v>67</v>
      </c>
      <c r="D35" s="28">
        <v>0</v>
      </c>
      <c r="E35" s="28">
        <v>0</v>
      </c>
      <c r="F35" s="27">
        <v>0</v>
      </c>
      <c r="H35" s="29"/>
      <c r="K35" s="29"/>
    </row>
    <row r="36" spans="1:11" ht="23.1" customHeight="1">
      <c r="A36" s="23"/>
      <c r="B36" s="24" t="s">
        <v>68</v>
      </c>
      <c r="C36" s="25" t="s">
        <v>69</v>
      </c>
      <c r="D36" s="28">
        <v>0</v>
      </c>
      <c r="E36" s="28">
        <v>0</v>
      </c>
      <c r="F36" s="27">
        <v>0</v>
      </c>
      <c r="H36" s="29"/>
      <c r="K36" s="29"/>
    </row>
    <row r="37" spans="1:11" ht="23.1" customHeight="1">
      <c r="A37" s="23"/>
      <c r="B37" s="24" t="s">
        <v>70</v>
      </c>
      <c r="C37" s="25" t="s">
        <v>71</v>
      </c>
      <c r="D37" s="28">
        <v>0</v>
      </c>
      <c r="E37" s="28">
        <v>0</v>
      </c>
      <c r="F37" s="27">
        <v>0</v>
      </c>
      <c r="H37" s="29"/>
      <c r="K37" s="29"/>
    </row>
    <row r="38" spans="1:11" ht="23.1" customHeight="1">
      <c r="A38" s="23" t="s">
        <v>72</v>
      </c>
      <c r="B38" s="24" t="s">
        <v>73</v>
      </c>
      <c r="C38" s="25"/>
      <c r="D38" s="28">
        <v>0</v>
      </c>
      <c r="E38" s="28">
        <v>0</v>
      </c>
      <c r="F38" s="27">
        <v>0</v>
      </c>
      <c r="H38" s="29"/>
      <c r="K38" s="29"/>
    </row>
    <row r="39" spans="1:11" ht="23.1" customHeight="1">
      <c r="A39" s="23" t="s">
        <v>74</v>
      </c>
      <c r="B39" s="24" t="s">
        <v>75</v>
      </c>
      <c r="C39" s="25" t="s">
        <v>76</v>
      </c>
      <c r="D39" s="28">
        <v>0</v>
      </c>
      <c r="E39" s="28">
        <v>0</v>
      </c>
      <c r="F39" s="27">
        <v>0</v>
      </c>
      <c r="H39" s="29"/>
      <c r="K39" s="29"/>
    </row>
    <row r="40" spans="1:11" ht="23.1" customHeight="1">
      <c r="A40" s="23"/>
      <c r="B40" s="24" t="s">
        <v>77</v>
      </c>
      <c r="C40" s="25" t="s">
        <v>78</v>
      </c>
      <c r="D40" s="28">
        <v>0</v>
      </c>
      <c r="E40" s="28">
        <v>0</v>
      </c>
      <c r="F40" s="27">
        <v>0</v>
      </c>
      <c r="H40" s="29"/>
      <c r="K40" s="29"/>
    </row>
    <row r="41" spans="1:11" ht="23.1" customHeight="1">
      <c r="A41" s="23"/>
      <c r="B41" s="24" t="s">
        <v>79</v>
      </c>
      <c r="C41" s="25" t="s">
        <v>80</v>
      </c>
      <c r="D41" s="28">
        <v>0</v>
      </c>
      <c r="E41" s="28">
        <v>0</v>
      </c>
      <c r="F41" s="27">
        <v>0</v>
      </c>
      <c r="H41" s="29"/>
      <c r="K41" s="29"/>
    </row>
    <row r="42" spans="1:11" ht="23.1" customHeight="1">
      <c r="A42" s="23" t="s">
        <v>81</v>
      </c>
      <c r="B42" s="24" t="s">
        <v>82</v>
      </c>
      <c r="C42" s="25" t="s">
        <v>83</v>
      </c>
      <c r="D42" s="28">
        <v>0</v>
      </c>
      <c r="E42" s="28">
        <v>0</v>
      </c>
      <c r="F42" s="27">
        <v>0</v>
      </c>
      <c r="H42" s="29"/>
      <c r="K42" s="29"/>
    </row>
    <row r="43" spans="1:11" ht="33" customHeight="1">
      <c r="A43" s="23"/>
      <c r="B43" s="24" t="s">
        <v>84</v>
      </c>
      <c r="C43" s="25" t="s">
        <v>85</v>
      </c>
      <c r="D43" s="28">
        <v>0</v>
      </c>
      <c r="E43" s="28">
        <v>0</v>
      </c>
      <c r="F43" s="27">
        <v>0</v>
      </c>
      <c r="H43" s="29"/>
      <c r="K43" s="29"/>
    </row>
    <row r="44" spans="1:11" ht="33" customHeight="1">
      <c r="A44" s="23"/>
      <c r="B44" s="24" t="s">
        <v>86</v>
      </c>
      <c r="C44" s="25" t="s">
        <v>87</v>
      </c>
      <c r="D44" s="28">
        <v>0</v>
      </c>
      <c r="E44" s="28">
        <v>0</v>
      </c>
      <c r="F44" s="27">
        <v>0</v>
      </c>
      <c r="H44" s="29"/>
      <c r="K44" s="29"/>
    </row>
    <row r="45" spans="1:11" ht="23.1" customHeight="1">
      <c r="A45" s="23"/>
      <c r="B45" s="24" t="s">
        <v>88</v>
      </c>
      <c r="C45" s="25" t="s">
        <v>89</v>
      </c>
      <c r="D45" s="28">
        <v>0</v>
      </c>
      <c r="E45" s="28">
        <v>0</v>
      </c>
      <c r="F45" s="27">
        <v>0</v>
      </c>
      <c r="H45" s="29"/>
      <c r="K45" s="29"/>
    </row>
    <row r="46" spans="1:11" ht="23.1" customHeight="1">
      <c r="A46" s="23" t="s">
        <v>90</v>
      </c>
      <c r="B46" s="24" t="s">
        <v>91</v>
      </c>
      <c r="C46" s="25" t="s">
        <v>92</v>
      </c>
      <c r="D46" s="28">
        <v>0</v>
      </c>
      <c r="E46" s="28">
        <v>0</v>
      </c>
      <c r="F46" s="27">
        <v>0</v>
      </c>
      <c r="H46" s="29"/>
      <c r="K46" s="29"/>
    </row>
    <row r="47" spans="1:11" ht="23.1" customHeight="1">
      <c r="A47" s="23" t="s">
        <v>93</v>
      </c>
      <c r="B47" s="24" t="s">
        <v>94</v>
      </c>
      <c r="C47" s="25" t="s">
        <v>95</v>
      </c>
      <c r="D47" s="28">
        <v>0</v>
      </c>
      <c r="E47" s="28">
        <v>0</v>
      </c>
      <c r="F47" s="27">
        <v>0</v>
      </c>
      <c r="H47" s="29"/>
      <c r="K47" s="29"/>
    </row>
    <row r="48" spans="1:11" ht="23.1" customHeight="1">
      <c r="A48" s="23" t="s">
        <v>96</v>
      </c>
      <c r="B48" s="24" t="s">
        <v>97</v>
      </c>
      <c r="C48" s="25" t="s">
        <v>98</v>
      </c>
      <c r="D48" s="28">
        <v>16746214</v>
      </c>
      <c r="E48" s="28">
        <v>82527397</v>
      </c>
      <c r="F48" s="27">
        <v>0.2029</v>
      </c>
      <c r="H48" s="29"/>
      <c r="K48" s="29"/>
    </row>
    <row r="49" spans="1:11" ht="23.1" customHeight="1">
      <c r="A49" s="23"/>
      <c r="B49" s="24" t="s">
        <v>99</v>
      </c>
      <c r="C49" s="25" t="s">
        <v>100</v>
      </c>
      <c r="D49" s="28">
        <v>0</v>
      </c>
      <c r="E49" s="28">
        <v>0</v>
      </c>
      <c r="F49" s="27">
        <v>0</v>
      </c>
      <c r="H49" s="29"/>
      <c r="K49" s="29"/>
    </row>
    <row r="50" spans="1:11" ht="23.1" customHeight="1">
      <c r="A50" s="23"/>
      <c r="B50" s="24" t="s">
        <v>101</v>
      </c>
      <c r="C50" s="25" t="s">
        <v>102</v>
      </c>
      <c r="D50" s="28">
        <v>0</v>
      </c>
      <c r="E50" s="28">
        <v>0</v>
      </c>
      <c r="F50" s="27">
        <v>0</v>
      </c>
      <c r="H50" s="29"/>
      <c r="K50" s="29"/>
    </row>
    <row r="51" spans="1:11" ht="23.1" customHeight="1">
      <c r="A51" s="23"/>
      <c r="B51" s="24" t="s">
        <v>103</v>
      </c>
      <c r="C51" s="25" t="s">
        <v>104</v>
      </c>
      <c r="D51" s="28">
        <v>16746214</v>
      </c>
      <c r="E51" s="28">
        <v>82527397</v>
      </c>
      <c r="F51" s="27">
        <v>0.2029</v>
      </c>
      <c r="H51" s="29"/>
      <c r="K51" s="29"/>
    </row>
    <row r="52" spans="1:11" ht="23.1" customHeight="1">
      <c r="A52" s="23" t="s">
        <v>105</v>
      </c>
      <c r="B52" s="24" t="s">
        <v>106</v>
      </c>
      <c r="C52" s="25" t="s">
        <v>107</v>
      </c>
      <c r="D52" s="28">
        <v>0</v>
      </c>
      <c r="E52" s="28">
        <v>0</v>
      </c>
      <c r="F52" s="27">
        <v>0</v>
      </c>
      <c r="H52" s="29"/>
      <c r="K52" s="29"/>
    </row>
    <row r="53" spans="1:11" ht="23.1" customHeight="1">
      <c r="A53" s="23"/>
      <c r="B53" s="24" t="s">
        <v>108</v>
      </c>
      <c r="C53" s="25" t="s">
        <v>109</v>
      </c>
      <c r="D53" s="28">
        <v>0</v>
      </c>
      <c r="E53" s="28">
        <v>0</v>
      </c>
      <c r="F53" s="27">
        <v>0</v>
      </c>
      <c r="H53" s="29"/>
      <c r="K53" s="29"/>
    </row>
    <row r="54" spans="1:11" ht="23.1" customHeight="1">
      <c r="A54" s="23"/>
      <c r="B54" s="24" t="s">
        <v>110</v>
      </c>
      <c r="C54" s="25" t="s">
        <v>111</v>
      </c>
      <c r="D54" s="28">
        <v>0</v>
      </c>
      <c r="E54" s="28">
        <v>0</v>
      </c>
      <c r="F54" s="27">
        <v>0</v>
      </c>
      <c r="H54" s="29"/>
      <c r="K54" s="29"/>
    </row>
    <row r="55" spans="1:11" ht="23.1" customHeight="1">
      <c r="A55" s="23"/>
      <c r="B55" s="24" t="s">
        <v>112</v>
      </c>
      <c r="C55" s="25" t="s">
        <v>113</v>
      </c>
      <c r="D55" s="28">
        <v>0</v>
      </c>
      <c r="E55" s="28">
        <v>0</v>
      </c>
      <c r="F55" s="27">
        <v>0</v>
      </c>
      <c r="H55" s="29"/>
      <c r="K55" s="29"/>
    </row>
    <row r="56" spans="1:11" ht="23.1" customHeight="1">
      <c r="A56" s="23"/>
      <c r="B56" s="24" t="s">
        <v>114</v>
      </c>
      <c r="C56" s="25" t="s">
        <v>115</v>
      </c>
      <c r="D56" s="28">
        <v>0</v>
      </c>
      <c r="E56" s="28">
        <v>0</v>
      </c>
      <c r="F56" s="27">
        <v>0</v>
      </c>
      <c r="H56" s="29"/>
      <c r="K56" s="29"/>
    </row>
    <row r="57" spans="1:11" ht="34.5" customHeight="1">
      <c r="A57" s="23"/>
      <c r="B57" s="24" t="s">
        <v>116</v>
      </c>
      <c r="C57" s="25" t="s">
        <v>117</v>
      </c>
      <c r="D57" s="28">
        <v>0</v>
      </c>
      <c r="E57" s="28">
        <v>0</v>
      </c>
      <c r="F57" s="27">
        <v>0</v>
      </c>
      <c r="H57" s="29"/>
      <c r="K57" s="29"/>
    </row>
    <row r="58" spans="1:11" s="38" customFormat="1" ht="23.1" customHeight="1">
      <c r="A58" s="34" t="s">
        <v>118</v>
      </c>
      <c r="B58" s="35" t="s">
        <v>119</v>
      </c>
      <c r="C58" s="36" t="s">
        <v>120</v>
      </c>
      <c r="D58" s="26">
        <v>13693882298358</v>
      </c>
      <c r="E58" s="26">
        <v>13398726060686</v>
      </c>
      <c r="F58" s="37">
        <v>1.022</v>
      </c>
      <c r="H58" s="44"/>
      <c r="K58" s="44"/>
    </row>
    <row r="59" spans="1:11" ht="23.1" customHeight="1">
      <c r="A59" s="23" t="s">
        <v>121</v>
      </c>
      <c r="B59" s="24" t="s">
        <v>122</v>
      </c>
      <c r="C59" s="25" t="s">
        <v>123</v>
      </c>
      <c r="D59" s="28"/>
      <c r="E59" s="28"/>
      <c r="F59" s="27">
        <v>0</v>
      </c>
      <c r="H59" s="29"/>
      <c r="K59" s="29"/>
    </row>
    <row r="60" spans="1:11" ht="23.1" customHeight="1">
      <c r="A60" s="23" t="s">
        <v>124</v>
      </c>
      <c r="B60" s="24" t="s">
        <v>125</v>
      </c>
      <c r="C60" s="25"/>
      <c r="D60" s="28">
        <v>0</v>
      </c>
      <c r="E60" s="28">
        <v>0</v>
      </c>
      <c r="F60" s="27">
        <v>0</v>
      </c>
      <c r="H60" s="29"/>
      <c r="K60" s="29"/>
    </row>
    <row r="61" spans="1:11" ht="23.1" customHeight="1">
      <c r="A61" s="23" t="s">
        <v>126</v>
      </c>
      <c r="B61" s="24" t="s">
        <v>127</v>
      </c>
      <c r="C61" s="25" t="s">
        <v>128</v>
      </c>
      <c r="D61" s="28">
        <v>96057965000</v>
      </c>
      <c r="E61" s="28">
        <v>715463990000</v>
      </c>
      <c r="F61" s="27">
        <v>0.1343</v>
      </c>
      <c r="H61" s="29"/>
      <c r="K61" s="29"/>
    </row>
    <row r="62" spans="1:11" ht="23.1" customHeight="1">
      <c r="A62" s="23" t="s">
        <v>129</v>
      </c>
      <c r="B62" s="24" t="s">
        <v>130</v>
      </c>
      <c r="C62" s="25" t="s">
        <v>131</v>
      </c>
      <c r="D62" s="28">
        <v>18607229521</v>
      </c>
      <c r="E62" s="28">
        <v>17338411282</v>
      </c>
      <c r="F62" s="27">
        <v>1.0731999999999999</v>
      </c>
      <c r="H62" s="29"/>
      <c r="K62" s="29"/>
    </row>
    <row r="63" spans="1:11" ht="23.1" customHeight="1">
      <c r="A63" s="23"/>
      <c r="B63" s="24" t="s">
        <v>132</v>
      </c>
      <c r="C63" s="25" t="s">
        <v>133</v>
      </c>
      <c r="D63" s="30">
        <v>136664640</v>
      </c>
      <c r="E63" s="30">
        <v>0</v>
      </c>
      <c r="F63" s="27">
        <v>0</v>
      </c>
      <c r="H63" s="29"/>
      <c r="K63" s="29"/>
    </row>
    <row r="64" spans="1:11" ht="23.1" customHeight="1">
      <c r="A64" s="23"/>
      <c r="B64" s="24" t="s">
        <v>134</v>
      </c>
      <c r="C64" s="25" t="s">
        <v>135</v>
      </c>
      <c r="D64" s="30">
        <v>136664640</v>
      </c>
      <c r="E64" s="30">
        <v>0</v>
      </c>
      <c r="F64" s="27">
        <v>0</v>
      </c>
      <c r="H64" s="29"/>
      <c r="K64" s="29"/>
    </row>
    <row r="65" spans="1:11" ht="23.1" customHeight="1">
      <c r="A65" s="23"/>
      <c r="B65" s="24" t="s">
        <v>136</v>
      </c>
      <c r="C65" s="25" t="s">
        <v>137</v>
      </c>
      <c r="D65" s="30">
        <v>0</v>
      </c>
      <c r="E65" s="30">
        <v>0</v>
      </c>
      <c r="F65" s="27">
        <v>0</v>
      </c>
      <c r="H65" s="29"/>
      <c r="K65" s="29"/>
    </row>
    <row r="66" spans="1:11" ht="23.1" customHeight="1">
      <c r="A66" s="23"/>
      <c r="B66" s="24" t="s">
        <v>138</v>
      </c>
      <c r="C66" s="25" t="s">
        <v>139</v>
      </c>
      <c r="D66" s="28">
        <v>0</v>
      </c>
      <c r="E66" s="28">
        <v>0</v>
      </c>
      <c r="F66" s="27">
        <v>0</v>
      </c>
      <c r="H66" s="29"/>
      <c r="K66" s="29"/>
    </row>
    <row r="67" spans="1:11" ht="23.1" customHeight="1">
      <c r="A67" s="23"/>
      <c r="B67" s="24" t="s">
        <v>140</v>
      </c>
      <c r="C67" s="25" t="s">
        <v>141</v>
      </c>
      <c r="D67" s="28">
        <v>0</v>
      </c>
      <c r="E67" s="28">
        <v>0</v>
      </c>
      <c r="F67" s="27">
        <v>0</v>
      </c>
      <c r="H67" s="29"/>
      <c r="K67" s="29"/>
    </row>
    <row r="68" spans="1:11" ht="44.25" customHeight="1">
      <c r="A68" s="23"/>
      <c r="B68" s="24" t="s">
        <v>142</v>
      </c>
      <c r="C68" s="25" t="s">
        <v>143</v>
      </c>
      <c r="D68" s="28">
        <v>0</v>
      </c>
      <c r="E68" s="28">
        <v>0</v>
      </c>
      <c r="F68" s="27">
        <v>0</v>
      </c>
      <c r="H68" s="29"/>
      <c r="K68" s="29"/>
    </row>
    <row r="69" spans="1:11" ht="23.1" customHeight="1">
      <c r="A69" s="23"/>
      <c r="B69" s="24" t="s">
        <v>144</v>
      </c>
      <c r="C69" s="25" t="s">
        <v>145</v>
      </c>
      <c r="D69" s="28">
        <v>0</v>
      </c>
      <c r="E69" s="28">
        <v>0</v>
      </c>
      <c r="F69" s="27">
        <v>0</v>
      </c>
      <c r="H69" s="29"/>
      <c r="K69" s="29"/>
    </row>
    <row r="70" spans="1:11" ht="33.75" customHeight="1">
      <c r="A70" s="23"/>
      <c r="B70" s="24" t="s">
        <v>146</v>
      </c>
      <c r="C70" s="25" t="s">
        <v>147</v>
      </c>
      <c r="D70" s="28">
        <v>0</v>
      </c>
      <c r="E70" s="28">
        <v>0</v>
      </c>
      <c r="F70" s="27">
        <v>0</v>
      </c>
      <c r="H70" s="29"/>
      <c r="K70" s="29"/>
    </row>
    <row r="71" spans="1:11" ht="23.1" customHeight="1">
      <c r="A71" s="23"/>
      <c r="B71" s="24" t="s">
        <v>148</v>
      </c>
      <c r="C71" s="25" t="s">
        <v>149</v>
      </c>
      <c r="D71" s="28">
        <v>0</v>
      </c>
      <c r="E71" s="28">
        <v>0</v>
      </c>
      <c r="F71" s="27">
        <v>0</v>
      </c>
      <c r="H71" s="29"/>
      <c r="K71" s="29"/>
    </row>
    <row r="72" spans="1:11" ht="23.1" customHeight="1">
      <c r="A72" s="23"/>
      <c r="B72" s="24" t="s">
        <v>150</v>
      </c>
      <c r="C72" s="25" t="s">
        <v>151</v>
      </c>
      <c r="D72" s="28">
        <v>18000000</v>
      </c>
      <c r="E72" s="28">
        <v>18000000</v>
      </c>
      <c r="F72" s="27">
        <v>1</v>
      </c>
      <c r="H72" s="29"/>
      <c r="K72" s="29"/>
    </row>
    <row r="73" spans="1:11" ht="23.1" customHeight="1">
      <c r="A73" s="23"/>
      <c r="B73" s="24" t="s">
        <v>152</v>
      </c>
      <c r="C73" s="25" t="s">
        <v>153</v>
      </c>
      <c r="D73" s="28">
        <v>8960536293</v>
      </c>
      <c r="E73" s="28">
        <v>8443362273</v>
      </c>
      <c r="F73" s="27">
        <v>1.0612999999999999</v>
      </c>
      <c r="H73" s="29"/>
      <c r="K73" s="29"/>
    </row>
    <row r="74" spans="1:11" ht="23.1" customHeight="1">
      <c r="A74" s="23"/>
      <c r="B74" s="24" t="s">
        <v>154</v>
      </c>
      <c r="C74" s="25" t="s">
        <v>155</v>
      </c>
      <c r="D74" s="28">
        <v>246414747</v>
      </c>
      <c r="E74" s="28">
        <v>232192462</v>
      </c>
      <c r="F74" s="27">
        <v>1.0612999999999999</v>
      </c>
      <c r="H74" s="29"/>
      <c r="K74" s="29"/>
    </row>
    <row r="75" spans="1:11" ht="23.1" customHeight="1">
      <c r="A75" s="23"/>
      <c r="B75" s="24" t="s">
        <v>156</v>
      </c>
      <c r="C75" s="25" t="s">
        <v>157</v>
      </c>
      <c r="D75" s="31">
        <v>492829497</v>
      </c>
      <c r="E75" s="31">
        <v>464384924</v>
      </c>
      <c r="F75" s="32">
        <v>1.0612999999999999</v>
      </c>
      <c r="H75" s="29"/>
      <c r="K75" s="29"/>
    </row>
    <row r="76" spans="1:11" ht="23.1" customHeight="1">
      <c r="A76" s="23"/>
      <c r="B76" s="24" t="s">
        <v>158</v>
      </c>
      <c r="C76" s="25" t="s">
        <v>159</v>
      </c>
      <c r="D76" s="30">
        <v>124875357</v>
      </c>
      <c r="E76" s="30">
        <v>587207335</v>
      </c>
      <c r="F76" s="27">
        <v>0.2127</v>
      </c>
      <c r="H76" s="29"/>
      <c r="K76" s="29"/>
    </row>
    <row r="77" spans="1:11" ht="23.1" customHeight="1">
      <c r="A77" s="23"/>
      <c r="B77" s="24" t="s">
        <v>160</v>
      </c>
      <c r="C77" s="25" t="s">
        <v>161</v>
      </c>
      <c r="D77" s="33">
        <v>124875357</v>
      </c>
      <c r="E77" s="30">
        <v>587207335</v>
      </c>
      <c r="F77" s="27">
        <v>0.2127</v>
      </c>
      <c r="H77" s="29"/>
      <c r="K77" s="29"/>
    </row>
    <row r="78" spans="1:11" ht="23.1" customHeight="1">
      <c r="A78" s="23"/>
      <c r="B78" s="24" t="s">
        <v>162</v>
      </c>
      <c r="C78" s="25" t="s">
        <v>163</v>
      </c>
      <c r="D78" s="28">
        <v>0</v>
      </c>
      <c r="E78" s="28">
        <v>0</v>
      </c>
      <c r="F78" s="27">
        <v>0</v>
      </c>
      <c r="H78" s="29"/>
      <c r="K78" s="29"/>
    </row>
    <row r="79" spans="1:11" ht="23.1" customHeight="1">
      <c r="A79" s="23"/>
      <c r="B79" s="24" t="s">
        <v>164</v>
      </c>
      <c r="C79" s="25" t="s">
        <v>165</v>
      </c>
      <c r="D79" s="30">
        <v>230413406</v>
      </c>
      <c r="E79" s="30">
        <v>224984056</v>
      </c>
      <c r="F79" s="27">
        <v>1.0241</v>
      </c>
      <c r="H79" s="29"/>
      <c r="K79" s="29"/>
    </row>
    <row r="80" spans="1:11" ht="23.1" customHeight="1">
      <c r="A80" s="23"/>
      <c r="B80" s="24" t="s">
        <v>166</v>
      </c>
      <c r="C80" s="25" t="s">
        <v>167</v>
      </c>
      <c r="D80" s="30">
        <v>224013406</v>
      </c>
      <c r="E80" s="30">
        <v>211084056</v>
      </c>
      <c r="F80" s="27">
        <v>1.0612999999999999</v>
      </c>
      <c r="H80" s="29"/>
      <c r="K80" s="29"/>
    </row>
    <row r="81" spans="1:11" ht="23.1" customHeight="1">
      <c r="A81" s="23"/>
      <c r="B81" s="24" t="s">
        <v>168</v>
      </c>
      <c r="C81" s="25" t="s">
        <v>169</v>
      </c>
      <c r="D81" s="30">
        <v>6400000</v>
      </c>
      <c r="E81" s="30">
        <v>13900000</v>
      </c>
      <c r="F81" s="27">
        <v>0.46039999999999998</v>
      </c>
      <c r="H81" s="29"/>
      <c r="K81" s="29"/>
    </row>
    <row r="82" spans="1:11" ht="23.1" customHeight="1">
      <c r="A82" s="23"/>
      <c r="B82" s="24" t="s">
        <v>170</v>
      </c>
      <c r="C82" s="25" t="s">
        <v>171</v>
      </c>
      <c r="D82" s="30">
        <v>0</v>
      </c>
      <c r="E82" s="30">
        <v>0</v>
      </c>
      <c r="F82" s="27">
        <v>0</v>
      </c>
      <c r="H82" s="29"/>
      <c r="K82" s="29"/>
    </row>
    <row r="83" spans="1:11" ht="45" customHeight="1">
      <c r="A83" s="23"/>
      <c r="B83" s="24" t="s">
        <v>172</v>
      </c>
      <c r="C83" s="25" t="s">
        <v>173</v>
      </c>
      <c r="D83" s="30">
        <v>0</v>
      </c>
      <c r="E83" s="30">
        <v>0</v>
      </c>
      <c r="F83" s="27">
        <v>0</v>
      </c>
      <c r="H83" s="29"/>
      <c r="K83" s="29"/>
    </row>
    <row r="84" spans="1:11" ht="23.1" customHeight="1">
      <c r="A84" s="23"/>
      <c r="B84" s="24" t="s">
        <v>174</v>
      </c>
      <c r="C84" s="25" t="s">
        <v>175</v>
      </c>
      <c r="D84" s="28">
        <v>192260000</v>
      </c>
      <c r="E84" s="28">
        <v>181500000</v>
      </c>
      <c r="F84" s="27">
        <v>1.0592999999999999</v>
      </c>
      <c r="H84" s="29"/>
      <c r="K84" s="29"/>
    </row>
    <row r="85" spans="1:11" ht="23.1" customHeight="1">
      <c r="A85" s="23"/>
      <c r="B85" s="24" t="s">
        <v>176</v>
      </c>
      <c r="C85" s="25" t="s">
        <v>177</v>
      </c>
      <c r="D85" s="28">
        <v>0</v>
      </c>
      <c r="E85" s="28">
        <v>0</v>
      </c>
      <c r="F85" s="27">
        <v>0</v>
      </c>
      <c r="H85" s="29"/>
      <c r="K85" s="29"/>
    </row>
    <row r="86" spans="1:11" ht="23.1" customHeight="1">
      <c r="A86" s="23"/>
      <c r="B86" s="24" t="s">
        <v>178</v>
      </c>
      <c r="C86" s="25" t="s">
        <v>179</v>
      </c>
      <c r="D86" s="28">
        <v>0</v>
      </c>
      <c r="E86" s="28">
        <v>0</v>
      </c>
      <c r="F86" s="27">
        <v>0</v>
      </c>
      <c r="H86" s="29"/>
      <c r="K86" s="29"/>
    </row>
    <row r="87" spans="1:11" ht="23.1" customHeight="1">
      <c r="A87" s="23"/>
      <c r="B87" s="24" t="s">
        <v>180</v>
      </c>
      <c r="C87" s="25" t="s">
        <v>181</v>
      </c>
      <c r="D87" s="28">
        <v>11000000</v>
      </c>
      <c r="E87" s="28">
        <v>16500000</v>
      </c>
      <c r="F87" s="27">
        <v>0.66669999999999996</v>
      </c>
      <c r="H87" s="29"/>
      <c r="K87" s="29"/>
    </row>
    <row r="88" spans="1:11" ht="33" customHeight="1">
      <c r="A88" s="23"/>
      <c r="B88" s="24" t="s">
        <v>182</v>
      </c>
      <c r="C88" s="25" t="s">
        <v>183</v>
      </c>
      <c r="D88" s="28">
        <v>3691549966</v>
      </c>
      <c r="E88" s="28">
        <v>3095757340</v>
      </c>
      <c r="F88" s="27">
        <v>1.1924999999999999</v>
      </c>
      <c r="H88" s="29"/>
      <c r="K88" s="29"/>
    </row>
    <row r="89" spans="1:11" ht="23.1" customHeight="1">
      <c r="A89" s="23"/>
      <c r="B89" s="24" t="s">
        <v>184</v>
      </c>
      <c r="C89" s="25" t="s">
        <v>185</v>
      </c>
      <c r="D89" s="28">
        <v>2953239970</v>
      </c>
      <c r="E89" s="28">
        <v>2476605872</v>
      </c>
      <c r="F89" s="27">
        <v>1.1924999999999999</v>
      </c>
      <c r="H89" s="29"/>
      <c r="K89" s="29"/>
    </row>
    <row r="90" spans="1:11" ht="23.1" customHeight="1">
      <c r="A90" s="23"/>
      <c r="B90" s="24" t="s">
        <v>186</v>
      </c>
      <c r="C90" s="25" t="s">
        <v>187</v>
      </c>
      <c r="D90" s="28">
        <v>1549445645</v>
      </c>
      <c r="E90" s="28">
        <v>1597917020</v>
      </c>
      <c r="F90" s="27">
        <v>0.96970000000000001</v>
      </c>
      <c r="H90" s="29"/>
      <c r="K90" s="29"/>
    </row>
    <row r="91" spans="1:11" ht="23.1" customHeight="1">
      <c r="A91" s="23"/>
      <c r="B91" s="24" t="s">
        <v>188</v>
      </c>
      <c r="C91" s="25" t="s">
        <v>189</v>
      </c>
      <c r="D91" s="30">
        <v>0</v>
      </c>
      <c r="E91" s="30">
        <v>0</v>
      </c>
      <c r="F91" s="27">
        <v>0</v>
      </c>
      <c r="H91" s="29"/>
      <c r="K91" s="29"/>
    </row>
    <row r="92" spans="1:11" ht="23.1" customHeight="1">
      <c r="A92" s="23"/>
      <c r="B92" s="24" t="s">
        <v>190</v>
      </c>
      <c r="C92" s="25" t="s">
        <v>191</v>
      </c>
      <c r="D92" s="30">
        <v>0</v>
      </c>
      <c r="E92" s="30">
        <v>0</v>
      </c>
      <c r="F92" s="27">
        <v>0</v>
      </c>
      <c r="H92" s="29"/>
      <c r="K92" s="29"/>
    </row>
    <row r="93" spans="1:11" ht="33" customHeight="1">
      <c r="A93" s="23"/>
      <c r="B93" s="24" t="s">
        <v>192</v>
      </c>
      <c r="C93" s="25" t="s">
        <v>193</v>
      </c>
      <c r="D93" s="28">
        <v>0</v>
      </c>
      <c r="E93" s="28">
        <v>0</v>
      </c>
      <c r="F93" s="27">
        <v>0</v>
      </c>
      <c r="H93" s="29"/>
      <c r="K93" s="29"/>
    </row>
    <row r="94" spans="1:11" ht="23.1" customHeight="1">
      <c r="A94" s="23"/>
      <c r="B94" s="24" t="s">
        <v>194</v>
      </c>
      <c r="C94" s="25" t="s">
        <v>195</v>
      </c>
      <c r="D94" s="30">
        <v>0</v>
      </c>
      <c r="E94" s="30">
        <v>0</v>
      </c>
      <c r="F94" s="27">
        <v>0</v>
      </c>
      <c r="H94" s="29"/>
      <c r="K94" s="29"/>
    </row>
    <row r="95" spans="1:11" ht="23.1" customHeight="1">
      <c r="A95" s="23"/>
      <c r="B95" s="24" t="s">
        <v>196</v>
      </c>
      <c r="C95" s="25" t="s">
        <v>197</v>
      </c>
      <c r="D95" s="30">
        <v>0</v>
      </c>
      <c r="E95" s="30">
        <v>0</v>
      </c>
      <c r="F95" s="27">
        <v>0</v>
      </c>
      <c r="H95" s="29"/>
      <c r="K95" s="29"/>
    </row>
    <row r="96" spans="1:11" ht="23.1" customHeight="1">
      <c r="A96" s="23"/>
      <c r="B96" s="24" t="s">
        <v>198</v>
      </c>
      <c r="C96" s="25" t="s">
        <v>199</v>
      </c>
      <c r="D96" s="30">
        <v>0</v>
      </c>
      <c r="E96" s="30">
        <v>0</v>
      </c>
      <c r="F96" s="27">
        <v>0</v>
      </c>
      <c r="H96" s="29"/>
      <c r="K96" s="29"/>
    </row>
    <row r="97" spans="1:11" ht="23.1" customHeight="1">
      <c r="A97" s="23"/>
      <c r="B97" s="24" t="s">
        <v>200</v>
      </c>
      <c r="C97" s="25" t="s">
        <v>201</v>
      </c>
      <c r="D97" s="30">
        <v>0</v>
      </c>
      <c r="E97" s="30">
        <v>0</v>
      </c>
      <c r="F97" s="27">
        <v>0</v>
      </c>
      <c r="H97" s="29"/>
      <c r="K97" s="29"/>
    </row>
    <row r="98" spans="1:11" ht="23.1" customHeight="1">
      <c r="A98" s="23"/>
      <c r="B98" s="24" t="s">
        <v>202</v>
      </c>
      <c r="C98" s="25" t="s">
        <v>203</v>
      </c>
      <c r="D98" s="30">
        <v>0</v>
      </c>
      <c r="E98" s="30">
        <v>0</v>
      </c>
      <c r="F98" s="27">
        <v>0</v>
      </c>
      <c r="H98" s="29"/>
      <c r="K98" s="29"/>
    </row>
    <row r="99" spans="1:11" ht="23.1" customHeight="1">
      <c r="A99" s="23"/>
      <c r="B99" s="24" t="s">
        <v>204</v>
      </c>
      <c r="C99" s="25" t="s">
        <v>205</v>
      </c>
      <c r="D99" s="28">
        <v>0</v>
      </c>
      <c r="E99" s="28">
        <v>0</v>
      </c>
      <c r="F99" s="27">
        <v>0</v>
      </c>
      <c r="H99" s="29"/>
      <c r="K99" s="29"/>
    </row>
    <row r="100" spans="1:11" ht="23.1" customHeight="1">
      <c r="A100" s="23"/>
      <c r="B100" s="24" t="s">
        <v>206</v>
      </c>
      <c r="C100" s="25" t="s">
        <v>207</v>
      </c>
      <c r="D100" s="30">
        <v>0</v>
      </c>
      <c r="E100" s="30">
        <v>0</v>
      </c>
      <c r="F100" s="27">
        <v>0</v>
      </c>
      <c r="H100" s="29"/>
      <c r="K100" s="29"/>
    </row>
    <row r="101" spans="1:11" ht="23.1" customHeight="1">
      <c r="A101" s="23"/>
      <c r="B101" s="24" t="s">
        <v>208</v>
      </c>
      <c r="C101" s="25" t="s">
        <v>209</v>
      </c>
      <c r="D101" s="28">
        <v>0</v>
      </c>
      <c r="E101" s="28">
        <v>0</v>
      </c>
      <c r="F101" s="27">
        <v>0</v>
      </c>
      <c r="H101" s="29"/>
      <c r="K101" s="29"/>
    </row>
    <row r="102" spans="1:11" ht="23.1" customHeight="1">
      <c r="A102" s="23"/>
      <c r="B102" s="24" t="s">
        <v>210</v>
      </c>
      <c r="C102" s="25" t="s">
        <v>211</v>
      </c>
      <c r="D102" s="28">
        <v>0</v>
      </c>
      <c r="E102" s="28">
        <v>0</v>
      </c>
      <c r="F102" s="27">
        <v>0</v>
      </c>
      <c r="H102" s="29"/>
      <c r="K102" s="29"/>
    </row>
    <row r="103" spans="1:11" s="38" customFormat="1" ht="23.1" customHeight="1">
      <c r="A103" s="34" t="s">
        <v>212</v>
      </c>
      <c r="B103" s="35" t="s">
        <v>213</v>
      </c>
      <c r="C103" s="36" t="s">
        <v>214</v>
      </c>
      <c r="D103" s="26">
        <v>114665194521</v>
      </c>
      <c r="E103" s="26">
        <v>732802401282</v>
      </c>
      <c r="F103" s="37">
        <v>0.1565</v>
      </c>
      <c r="H103" s="44"/>
      <c r="K103" s="44"/>
    </row>
    <row r="104" spans="1:11" s="38" customFormat="1" ht="23.1" customHeight="1">
      <c r="A104" s="34"/>
      <c r="B104" s="35" t="s">
        <v>215</v>
      </c>
      <c r="C104" s="36" t="s">
        <v>216</v>
      </c>
      <c r="D104" s="26">
        <v>13579217103837</v>
      </c>
      <c r="E104" s="26">
        <v>12665923659404</v>
      </c>
      <c r="F104" s="37">
        <v>1.0721000000000001</v>
      </c>
      <c r="H104" s="44"/>
      <c r="K104" s="44"/>
    </row>
    <row r="105" spans="1:11" s="38" customFormat="1" ht="23.1" customHeight="1">
      <c r="A105" s="34"/>
      <c r="B105" s="35" t="s">
        <v>217</v>
      </c>
      <c r="C105" s="36" t="s">
        <v>218</v>
      </c>
      <c r="D105" s="26">
        <v>352900000</v>
      </c>
      <c r="E105" s="26">
        <v>376500000</v>
      </c>
      <c r="F105" s="37">
        <v>0.93730000000000002</v>
      </c>
      <c r="H105" s="29"/>
      <c r="I105" s="14"/>
      <c r="J105" s="14"/>
      <c r="K105" s="29"/>
    </row>
    <row r="106" spans="1:11" s="38" customFormat="1" ht="21">
      <c r="A106" s="39"/>
      <c r="B106" s="40" t="s">
        <v>219</v>
      </c>
      <c r="C106" s="41" t="s">
        <v>220</v>
      </c>
      <c r="D106" s="42">
        <v>38478.93</v>
      </c>
      <c r="E106" s="42">
        <v>33641.230000000003</v>
      </c>
      <c r="F106" s="43">
        <v>1.1437999999999999</v>
      </c>
      <c r="H106" s="44"/>
      <c r="K106" s="29"/>
    </row>
    <row r="107" spans="1:11" s="38" customFormat="1" ht="3.75" customHeight="1">
      <c r="A107" s="45"/>
      <c r="B107" s="46"/>
      <c r="C107" s="45"/>
      <c r="D107" s="47"/>
      <c r="E107" s="47"/>
      <c r="F107" s="48"/>
      <c r="H107" s="44"/>
    </row>
    <row r="108" spans="1:11" s="38" customFormat="1" ht="3.75" customHeight="1">
      <c r="A108" s="45"/>
      <c r="B108" s="46"/>
      <c r="C108" s="45"/>
      <c r="D108" s="47"/>
      <c r="E108" s="47"/>
      <c r="F108" s="48"/>
      <c r="H108" s="44"/>
    </row>
    <row r="109" spans="1:11" ht="12.75" customHeight="1">
      <c r="A109" s="247" t="s">
        <v>221</v>
      </c>
      <c r="B109" s="247"/>
      <c r="C109" s="247"/>
      <c r="D109" s="247" t="s">
        <v>222</v>
      </c>
      <c r="E109" s="247"/>
      <c r="F109" s="247"/>
    </row>
    <row r="110" spans="1:11" ht="12.75" customHeight="1">
      <c r="A110" s="256" t="s">
        <v>223</v>
      </c>
      <c r="B110" s="256"/>
      <c r="C110" s="256"/>
      <c r="D110" s="257" t="s">
        <v>224</v>
      </c>
      <c r="E110" s="257"/>
      <c r="F110" s="257"/>
    </row>
    <row r="111" spans="1:11" ht="18" customHeight="1">
      <c r="A111" s="15"/>
      <c r="B111" s="15"/>
      <c r="C111" s="15"/>
      <c r="D111" s="15"/>
      <c r="E111" s="15"/>
      <c r="F111" s="15"/>
    </row>
    <row r="112" spans="1:11" ht="18" customHeight="1">
      <c r="A112" s="15"/>
      <c r="B112" s="15"/>
      <c r="C112" s="15"/>
      <c r="D112" s="15"/>
      <c r="E112" s="15"/>
      <c r="F112" s="15"/>
    </row>
    <row r="113" spans="1:6" ht="18" customHeight="1">
      <c r="A113" s="15"/>
      <c r="B113" s="15"/>
      <c r="C113" s="15"/>
      <c r="D113" s="15"/>
      <c r="E113" s="15"/>
      <c r="F113" s="15"/>
    </row>
    <row r="114" spans="1:6" ht="18" customHeight="1">
      <c r="A114" s="15"/>
      <c r="B114" s="15"/>
      <c r="C114" s="15"/>
      <c r="D114" s="15"/>
      <c r="E114" s="15"/>
      <c r="F114" s="15"/>
    </row>
    <row r="115" spans="1:6" ht="18" customHeight="1">
      <c r="A115" s="15"/>
      <c r="B115" s="15"/>
      <c r="C115" s="15"/>
      <c r="D115" s="15"/>
      <c r="E115" s="15"/>
      <c r="F115" s="15"/>
    </row>
    <row r="116" spans="1:6" ht="12.75" customHeight="1">
      <c r="A116" s="247" t="s">
        <v>225</v>
      </c>
      <c r="B116" s="247"/>
      <c r="C116" s="247"/>
      <c r="D116" s="247" t="s">
        <v>226</v>
      </c>
      <c r="E116" s="247"/>
      <c r="F116" s="247"/>
    </row>
    <row r="117" spans="1:6" ht="12.75" customHeight="1">
      <c r="A117" s="255" t="s">
        <v>227</v>
      </c>
      <c r="B117" s="255"/>
      <c r="C117" s="255"/>
      <c r="D117" s="255" t="s">
        <v>228</v>
      </c>
      <c r="E117" s="255"/>
      <c r="F117" s="255"/>
    </row>
    <row r="118" spans="1:6" ht="12.75" customHeight="1">
      <c r="A118" s="255" t="s">
        <v>229</v>
      </c>
      <c r="B118" s="255"/>
      <c r="C118" s="255"/>
      <c r="D118" s="255" t="s">
        <v>230</v>
      </c>
      <c r="E118" s="255"/>
      <c r="F118" s="255"/>
    </row>
  </sheetData>
  <mergeCells count="26">
    <mergeCell ref="A118:C118"/>
    <mergeCell ref="D118:F118"/>
    <mergeCell ref="A110:C110"/>
    <mergeCell ref="D110:F110"/>
    <mergeCell ref="A116:C116"/>
    <mergeCell ref="D116:F116"/>
    <mergeCell ref="A117:C117"/>
    <mergeCell ref="D117:F117"/>
    <mergeCell ref="C13:F13"/>
    <mergeCell ref="A15:F15"/>
    <mergeCell ref="A16:F16"/>
    <mergeCell ref="E17:F17"/>
    <mergeCell ref="A109:C109"/>
    <mergeCell ref="D109:F109"/>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59055118110236227" bottom="0" header="0.51181102362204722" footer="0"/>
  <pageSetup paperSize="9" scale="8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40625" defaultRowHeight="10.5"/>
  <cols>
    <col min="1" max="1" width="4.140625" style="14" customWidth="1"/>
    <col min="2" max="2" width="42.5703125" style="14" customWidth="1"/>
    <col min="3" max="3" width="6.5703125" style="14" bestFit="1" customWidth="1"/>
    <col min="4" max="6" width="18.42578125" style="14" bestFit="1" customWidth="1"/>
    <col min="7" max="7" width="19" style="49" bestFit="1" customWidth="1"/>
    <col min="8" max="8" width="9.85546875" style="14" bestFit="1" customWidth="1"/>
    <col min="9" max="16384" width="9.140625" style="14"/>
  </cols>
  <sheetData>
    <row r="1" spans="1:7" ht="36.75" customHeight="1">
      <c r="A1" s="246"/>
      <c r="B1" s="246"/>
      <c r="C1" s="13"/>
      <c r="D1" s="247" t="s">
        <v>0</v>
      </c>
      <c r="E1" s="247"/>
      <c r="F1" s="247"/>
    </row>
    <row r="2" spans="1:7" ht="27.75" customHeight="1">
      <c r="A2" s="248" t="s">
        <v>1</v>
      </c>
      <c r="B2" s="248"/>
      <c r="C2" s="248"/>
      <c r="D2" s="248"/>
      <c r="E2" s="248"/>
      <c r="F2" s="248"/>
    </row>
    <row r="3" spans="1:7" ht="4.5" customHeight="1">
      <c r="A3" s="15"/>
      <c r="B3" s="15"/>
      <c r="C3" s="15"/>
      <c r="D3" s="15"/>
      <c r="E3" s="15"/>
      <c r="F3" s="15"/>
    </row>
    <row r="4" spans="1:7" ht="28.5" customHeight="1">
      <c r="A4" s="249" t="s">
        <v>231</v>
      </c>
      <c r="B4" s="249"/>
      <c r="C4" s="249"/>
      <c r="D4" s="249"/>
      <c r="E4" s="249"/>
      <c r="F4" s="249"/>
    </row>
    <row r="5" spans="1:7" s="51" customFormat="1" ht="16.5" customHeight="1">
      <c r="A5" s="250" t="s">
        <v>3</v>
      </c>
      <c r="B5" s="250"/>
      <c r="C5" s="250"/>
      <c r="D5" s="250"/>
      <c r="E5" s="250"/>
      <c r="F5" s="250"/>
      <c r="G5" s="50"/>
    </row>
    <row r="6" spans="1:7" ht="12" customHeight="1">
      <c r="A6" s="52" t="s">
        <v>4</v>
      </c>
      <c r="B6" s="17" t="s">
        <v>232</v>
      </c>
      <c r="C6" s="251" t="s">
        <v>6</v>
      </c>
      <c r="D6" s="251"/>
      <c r="E6" s="251"/>
      <c r="F6" s="251"/>
    </row>
    <row r="7" spans="1:7" ht="12" customHeight="1">
      <c r="A7" s="15"/>
      <c r="B7" s="15" t="s">
        <v>7</v>
      </c>
      <c r="C7" s="246" t="s">
        <v>8</v>
      </c>
      <c r="D7" s="246"/>
      <c r="E7" s="246"/>
      <c r="F7" s="246"/>
    </row>
    <row r="8" spans="1:7" ht="12" customHeight="1">
      <c r="A8" s="16" t="s">
        <v>9</v>
      </c>
      <c r="B8" s="17" t="s">
        <v>10</v>
      </c>
      <c r="C8" s="251" t="s">
        <v>11</v>
      </c>
      <c r="D8" s="251"/>
      <c r="E8" s="251"/>
      <c r="F8" s="251"/>
    </row>
    <row r="9" spans="1:7" ht="12" customHeight="1">
      <c r="A9" s="15"/>
      <c r="B9" s="15" t="s">
        <v>12</v>
      </c>
      <c r="C9" s="246" t="s">
        <v>13</v>
      </c>
      <c r="D9" s="246"/>
      <c r="E9" s="246"/>
      <c r="F9" s="246"/>
    </row>
    <row r="10" spans="1:7" ht="12" customHeight="1">
      <c r="A10" s="16" t="s">
        <v>14</v>
      </c>
      <c r="B10" s="17" t="s">
        <v>15</v>
      </c>
      <c r="C10" s="251" t="s">
        <v>16</v>
      </c>
      <c r="D10" s="251"/>
      <c r="E10" s="251"/>
      <c r="F10" s="251"/>
    </row>
    <row r="11" spans="1:7" ht="12" customHeight="1">
      <c r="A11" s="15"/>
      <c r="B11" s="15" t="s">
        <v>17</v>
      </c>
      <c r="C11" s="246" t="s">
        <v>18</v>
      </c>
      <c r="D11" s="246"/>
      <c r="E11" s="246"/>
      <c r="F11" s="246"/>
    </row>
    <row r="12" spans="1:7" ht="12" customHeight="1">
      <c r="A12" s="16" t="s">
        <v>19</v>
      </c>
      <c r="B12" s="17" t="s">
        <v>20</v>
      </c>
      <c r="C12" s="245">
        <v>46091</v>
      </c>
      <c r="D12" s="245"/>
      <c r="E12" s="245"/>
      <c r="F12" s="245"/>
    </row>
    <row r="13" spans="1:7" ht="12" customHeight="1">
      <c r="A13" s="15"/>
      <c r="B13" s="15" t="s">
        <v>21</v>
      </c>
      <c r="C13" s="252">
        <f>+C12</f>
        <v>46091</v>
      </c>
      <c r="D13" s="252"/>
      <c r="E13" s="252"/>
      <c r="F13" s="252"/>
    </row>
    <row r="14" spans="1:7">
      <c r="A14" s="15"/>
      <c r="B14" s="15"/>
      <c r="C14" s="15"/>
      <c r="D14" s="15"/>
      <c r="E14" s="15"/>
      <c r="F14" s="15"/>
    </row>
    <row r="15" spans="1:7" ht="12" customHeight="1">
      <c r="A15" s="253" t="s">
        <v>22</v>
      </c>
      <c r="B15" s="253"/>
      <c r="C15" s="253"/>
      <c r="D15" s="253"/>
      <c r="E15" s="253"/>
      <c r="F15" s="253"/>
    </row>
    <row r="16" spans="1:7" ht="12" customHeight="1">
      <c r="A16" s="251" t="s">
        <v>233</v>
      </c>
      <c r="B16" s="251"/>
      <c r="C16" s="251"/>
      <c r="D16" s="251"/>
      <c r="E16" s="251"/>
      <c r="F16" s="251"/>
    </row>
    <row r="17" spans="1:8">
      <c r="A17" s="18"/>
      <c r="B17" s="19"/>
      <c r="C17" s="18"/>
      <c r="D17" s="18"/>
      <c r="E17" s="254" t="s">
        <v>24</v>
      </c>
      <c r="F17" s="254"/>
    </row>
    <row r="18" spans="1:8" s="54" customFormat="1" ht="48" customHeight="1">
      <c r="A18" s="20" t="s">
        <v>25</v>
      </c>
      <c r="B18" s="21" t="s">
        <v>26</v>
      </c>
      <c r="C18" s="21" t="s">
        <v>27</v>
      </c>
      <c r="D18" s="21" t="s">
        <v>234</v>
      </c>
      <c r="E18" s="21" t="s">
        <v>235</v>
      </c>
      <c r="F18" s="22" t="s">
        <v>236</v>
      </c>
      <c r="G18" s="53"/>
    </row>
    <row r="19" spans="1:8" s="54" customFormat="1" ht="21">
      <c r="A19" s="55" t="s">
        <v>31</v>
      </c>
      <c r="B19" s="56" t="s">
        <v>237</v>
      </c>
      <c r="C19" s="57" t="s">
        <v>238</v>
      </c>
      <c r="D19" s="26">
        <v>267034288653</v>
      </c>
      <c r="E19" s="26">
        <v>310973243743</v>
      </c>
      <c r="F19" s="58">
        <v>267034288653</v>
      </c>
      <c r="G19" s="53"/>
      <c r="H19" s="59"/>
    </row>
    <row r="20" spans="1:8" s="54" customFormat="1" ht="21">
      <c r="A20" s="60" t="s">
        <v>4</v>
      </c>
      <c r="B20" s="61" t="s">
        <v>239</v>
      </c>
      <c r="C20" s="62"/>
      <c r="D20" s="28">
        <v>0</v>
      </c>
      <c r="E20" s="28">
        <v>0</v>
      </c>
      <c r="F20" s="63">
        <v>0</v>
      </c>
      <c r="G20" s="53"/>
      <c r="H20" s="59"/>
    </row>
    <row r="21" spans="1:8" s="54" customFormat="1" ht="21">
      <c r="A21" s="60" t="s">
        <v>9</v>
      </c>
      <c r="B21" s="61" t="s">
        <v>240</v>
      </c>
      <c r="C21" s="62" t="s">
        <v>241</v>
      </c>
      <c r="D21" s="28">
        <v>266772347512</v>
      </c>
      <c r="E21" s="28">
        <v>310421701312</v>
      </c>
      <c r="F21" s="63">
        <v>266772347512</v>
      </c>
      <c r="G21" s="53"/>
      <c r="H21" s="59"/>
    </row>
    <row r="22" spans="1:8" s="54" customFormat="1" ht="21">
      <c r="A22" s="64"/>
      <c r="B22" s="65" t="s">
        <v>242</v>
      </c>
      <c r="C22" s="66" t="s">
        <v>243</v>
      </c>
      <c r="D22" s="30">
        <v>266772347512</v>
      </c>
      <c r="E22" s="30">
        <v>310421701312</v>
      </c>
      <c r="F22" s="67">
        <v>266772347512</v>
      </c>
      <c r="G22" s="53"/>
      <c r="H22" s="59"/>
    </row>
    <row r="23" spans="1:8" s="54" customFormat="1" ht="21">
      <c r="A23" s="64"/>
      <c r="B23" s="65" t="s">
        <v>244</v>
      </c>
      <c r="C23" s="66" t="s">
        <v>245</v>
      </c>
      <c r="D23" s="30">
        <v>0</v>
      </c>
      <c r="E23" s="30">
        <v>0</v>
      </c>
      <c r="F23" s="67">
        <v>0</v>
      </c>
      <c r="G23" s="53"/>
      <c r="H23" s="59"/>
    </row>
    <row r="24" spans="1:8" s="54" customFormat="1" ht="21">
      <c r="A24" s="60" t="s">
        <v>14</v>
      </c>
      <c r="B24" s="61" t="s">
        <v>246</v>
      </c>
      <c r="C24" s="62" t="s">
        <v>247</v>
      </c>
      <c r="D24" s="28">
        <v>261941141</v>
      </c>
      <c r="E24" s="28">
        <v>551542431</v>
      </c>
      <c r="F24" s="63">
        <v>261941141</v>
      </c>
      <c r="G24" s="53"/>
      <c r="H24" s="59"/>
    </row>
    <row r="25" spans="1:8" s="54" customFormat="1" ht="21">
      <c r="A25" s="64"/>
      <c r="B25" s="65" t="s">
        <v>248</v>
      </c>
      <c r="C25" s="66" t="s">
        <v>249</v>
      </c>
      <c r="D25" s="30">
        <v>261941141</v>
      </c>
      <c r="E25" s="30">
        <v>551542431</v>
      </c>
      <c r="F25" s="67">
        <v>261941141</v>
      </c>
      <c r="G25" s="53"/>
      <c r="H25" s="59"/>
    </row>
    <row r="26" spans="1:8" s="54" customFormat="1" ht="21">
      <c r="A26" s="64"/>
      <c r="B26" s="65" t="s">
        <v>250</v>
      </c>
      <c r="C26" s="66" t="s">
        <v>251</v>
      </c>
      <c r="D26" s="30">
        <v>0</v>
      </c>
      <c r="E26" s="30">
        <v>0</v>
      </c>
      <c r="F26" s="67">
        <v>0</v>
      </c>
      <c r="G26" s="53"/>
      <c r="H26" s="59"/>
    </row>
    <row r="27" spans="1:8" s="54" customFormat="1" ht="21">
      <c r="A27" s="60" t="s">
        <v>19</v>
      </c>
      <c r="B27" s="61" t="s">
        <v>252</v>
      </c>
      <c r="C27" s="62" t="s">
        <v>253</v>
      </c>
      <c r="D27" s="28">
        <v>0</v>
      </c>
      <c r="E27" s="28">
        <v>0</v>
      </c>
      <c r="F27" s="63">
        <v>0</v>
      </c>
      <c r="G27" s="53"/>
      <c r="H27" s="59"/>
    </row>
    <row r="28" spans="1:8" s="54" customFormat="1" ht="21">
      <c r="A28" s="64"/>
      <c r="B28" s="65" t="s">
        <v>254</v>
      </c>
      <c r="C28" s="66" t="s">
        <v>255</v>
      </c>
      <c r="D28" s="30">
        <v>0</v>
      </c>
      <c r="E28" s="30">
        <v>0</v>
      </c>
      <c r="F28" s="67">
        <v>0</v>
      </c>
      <c r="G28" s="53"/>
      <c r="H28" s="59"/>
    </row>
    <row r="29" spans="1:8" s="54" customFormat="1" ht="21">
      <c r="A29" s="64"/>
      <c r="B29" s="65" t="s">
        <v>256</v>
      </c>
      <c r="C29" s="66" t="s">
        <v>257</v>
      </c>
      <c r="D29" s="30">
        <v>0</v>
      </c>
      <c r="E29" s="30">
        <v>0</v>
      </c>
      <c r="F29" s="67">
        <v>0</v>
      </c>
      <c r="G29" s="53"/>
      <c r="H29" s="59"/>
    </row>
    <row r="30" spans="1:8" s="54" customFormat="1" ht="53.25" customHeight="1">
      <c r="A30" s="64"/>
      <c r="B30" s="65" t="s">
        <v>258</v>
      </c>
      <c r="C30" s="66" t="s">
        <v>259</v>
      </c>
      <c r="D30" s="30">
        <v>0</v>
      </c>
      <c r="E30" s="30">
        <v>0</v>
      </c>
      <c r="F30" s="67">
        <v>0</v>
      </c>
      <c r="G30" s="53"/>
      <c r="H30" s="59"/>
    </row>
    <row r="31" spans="1:8" s="54" customFormat="1" ht="21">
      <c r="A31" s="55" t="s">
        <v>121</v>
      </c>
      <c r="B31" s="56" t="s">
        <v>260</v>
      </c>
      <c r="C31" s="57" t="s">
        <v>261</v>
      </c>
      <c r="D31" s="26">
        <v>137172289290</v>
      </c>
      <c r="E31" s="26">
        <v>170092301807</v>
      </c>
      <c r="F31" s="58">
        <v>137172289290</v>
      </c>
      <c r="G31" s="53"/>
      <c r="H31" s="59"/>
    </row>
    <row r="32" spans="1:8" s="54" customFormat="1" ht="21">
      <c r="A32" s="60" t="s">
        <v>4</v>
      </c>
      <c r="B32" s="61" t="s">
        <v>262</v>
      </c>
      <c r="C32" s="62" t="s">
        <v>263</v>
      </c>
      <c r="D32" s="28">
        <v>99089727573</v>
      </c>
      <c r="E32" s="28">
        <v>112674809898</v>
      </c>
      <c r="F32" s="63">
        <v>99089727573</v>
      </c>
      <c r="G32" s="53"/>
      <c r="H32" s="59"/>
    </row>
    <row r="33" spans="1:8" s="54" customFormat="1" ht="21">
      <c r="A33" s="60" t="s">
        <v>9</v>
      </c>
      <c r="B33" s="61" t="s">
        <v>264</v>
      </c>
      <c r="C33" s="62" t="s">
        <v>265</v>
      </c>
      <c r="D33" s="28">
        <v>9025037672</v>
      </c>
      <c r="E33" s="28">
        <v>10362718815</v>
      </c>
      <c r="F33" s="63">
        <v>9025037672</v>
      </c>
      <c r="G33" s="53"/>
      <c r="H33" s="59"/>
    </row>
    <row r="34" spans="1:8" s="54" customFormat="1" ht="21">
      <c r="A34" s="64"/>
      <c r="B34" s="65" t="s">
        <v>266</v>
      </c>
      <c r="C34" s="66" t="s">
        <v>267</v>
      </c>
      <c r="D34" s="30">
        <v>2496881138</v>
      </c>
      <c r="E34" s="30">
        <v>2816870242</v>
      </c>
      <c r="F34" s="67">
        <v>2496881138</v>
      </c>
      <c r="G34" s="53"/>
      <c r="H34" s="59"/>
    </row>
    <row r="35" spans="1:8" s="54" customFormat="1" ht="21">
      <c r="A35" s="64"/>
      <c r="B35" s="65" t="s">
        <v>268</v>
      </c>
      <c r="C35" s="66" t="s">
        <v>269</v>
      </c>
      <c r="D35" s="30">
        <v>53210000</v>
      </c>
      <c r="E35" s="30">
        <v>103400000</v>
      </c>
      <c r="F35" s="67">
        <v>53210000</v>
      </c>
      <c r="G35" s="53"/>
      <c r="H35" s="59"/>
    </row>
    <row r="36" spans="1:8" s="54" customFormat="1" ht="21">
      <c r="A36" s="64"/>
      <c r="B36" s="65" t="s">
        <v>170</v>
      </c>
      <c r="C36" s="66" t="s">
        <v>270</v>
      </c>
      <c r="D36" s="30">
        <v>1025011511</v>
      </c>
      <c r="E36" s="30">
        <v>1245334027</v>
      </c>
      <c r="F36" s="67">
        <v>1025011511</v>
      </c>
      <c r="G36" s="53"/>
      <c r="H36" s="59"/>
    </row>
    <row r="37" spans="1:8" s="54" customFormat="1" ht="21">
      <c r="A37" s="64"/>
      <c r="B37" s="65" t="s">
        <v>271</v>
      </c>
      <c r="C37" s="66" t="s">
        <v>272</v>
      </c>
      <c r="D37" s="30">
        <v>5449935023</v>
      </c>
      <c r="E37" s="30">
        <v>6197114546</v>
      </c>
      <c r="F37" s="67">
        <v>5449935023</v>
      </c>
      <c r="G37" s="53"/>
      <c r="H37" s="59"/>
    </row>
    <row r="38" spans="1:8" s="54" customFormat="1" ht="42">
      <c r="A38" s="64"/>
      <c r="B38" s="65" t="s">
        <v>172</v>
      </c>
      <c r="C38" s="66" t="s">
        <v>273</v>
      </c>
      <c r="D38" s="30">
        <v>0</v>
      </c>
      <c r="E38" s="30">
        <v>0</v>
      </c>
      <c r="F38" s="67">
        <v>0</v>
      </c>
      <c r="G38" s="53"/>
      <c r="H38" s="59"/>
    </row>
    <row r="39" spans="1:8" s="54" customFormat="1" ht="42" customHeight="1">
      <c r="A39" s="60" t="s">
        <v>14</v>
      </c>
      <c r="B39" s="61" t="s">
        <v>274</v>
      </c>
      <c r="C39" s="62" t="s">
        <v>275</v>
      </c>
      <c r="D39" s="28">
        <v>20441338015</v>
      </c>
      <c r="E39" s="28">
        <v>23023018983</v>
      </c>
      <c r="F39" s="63">
        <v>20441338015</v>
      </c>
      <c r="G39" s="53"/>
      <c r="H39" s="59"/>
    </row>
    <row r="40" spans="1:8" s="54" customFormat="1" ht="21">
      <c r="A40" s="64"/>
      <c r="B40" s="65" t="s">
        <v>276</v>
      </c>
      <c r="C40" s="66" t="s">
        <v>277</v>
      </c>
      <c r="D40" s="30">
        <v>2724967505</v>
      </c>
      <c r="E40" s="30">
        <v>3098557267</v>
      </c>
      <c r="F40" s="67">
        <v>2724967505</v>
      </c>
      <c r="G40" s="53"/>
      <c r="H40" s="59"/>
    </row>
    <row r="41" spans="1:8" s="54" customFormat="1" ht="21">
      <c r="A41" s="64"/>
      <c r="B41" s="65" t="s">
        <v>278</v>
      </c>
      <c r="C41" s="66" t="s">
        <v>279</v>
      </c>
      <c r="D41" s="30">
        <v>82500000</v>
      </c>
      <c r="E41" s="30">
        <v>66000000</v>
      </c>
      <c r="F41" s="67">
        <v>82500000</v>
      </c>
      <c r="G41" s="53"/>
      <c r="H41" s="59"/>
    </row>
    <row r="42" spans="1:8" s="54" customFormat="1" ht="31.5">
      <c r="A42" s="64"/>
      <c r="B42" s="65" t="s">
        <v>280</v>
      </c>
      <c r="C42" s="66" t="s">
        <v>281</v>
      </c>
      <c r="D42" s="30">
        <v>6528703430</v>
      </c>
      <c r="E42" s="30">
        <v>7042175620</v>
      </c>
      <c r="F42" s="67">
        <v>6528703430</v>
      </c>
      <c r="G42" s="53"/>
      <c r="H42" s="59"/>
    </row>
    <row r="43" spans="1:8" s="54" customFormat="1" ht="21">
      <c r="A43" s="64"/>
      <c r="B43" s="65" t="s">
        <v>282</v>
      </c>
      <c r="C43" s="66" t="s">
        <v>283</v>
      </c>
      <c r="D43" s="30">
        <v>5222962746</v>
      </c>
      <c r="E43" s="30">
        <v>5633740495</v>
      </c>
      <c r="F43" s="67">
        <v>5222962746</v>
      </c>
      <c r="G43" s="53"/>
      <c r="H43" s="59"/>
    </row>
    <row r="44" spans="1:8" s="54" customFormat="1" ht="21">
      <c r="A44" s="64"/>
      <c r="B44" s="65" t="s">
        <v>284</v>
      </c>
      <c r="C44" s="66" t="s">
        <v>285</v>
      </c>
      <c r="D44" s="30">
        <v>5882204334</v>
      </c>
      <c r="E44" s="30">
        <v>7182545601</v>
      </c>
      <c r="F44" s="67">
        <v>5882204334</v>
      </c>
      <c r="G44" s="53"/>
      <c r="H44" s="59"/>
    </row>
    <row r="45" spans="1:8" s="54" customFormat="1" ht="21">
      <c r="A45" s="60" t="s">
        <v>19</v>
      </c>
      <c r="B45" s="61" t="s">
        <v>286</v>
      </c>
      <c r="C45" s="62"/>
      <c r="D45" s="28">
        <v>0</v>
      </c>
      <c r="E45" s="28">
        <v>0</v>
      </c>
      <c r="F45" s="63">
        <v>0</v>
      </c>
      <c r="G45" s="53"/>
      <c r="H45" s="59"/>
    </row>
    <row r="46" spans="1:8" s="54" customFormat="1" ht="21">
      <c r="A46" s="60" t="s">
        <v>287</v>
      </c>
      <c r="B46" s="61" t="s">
        <v>288</v>
      </c>
      <c r="C46" s="62"/>
      <c r="D46" s="28">
        <v>0</v>
      </c>
      <c r="E46" s="28">
        <v>0</v>
      </c>
      <c r="F46" s="63">
        <v>0</v>
      </c>
      <c r="G46" s="53"/>
      <c r="H46" s="59"/>
    </row>
    <row r="47" spans="1:8" s="54" customFormat="1" ht="21">
      <c r="A47" s="60" t="s">
        <v>289</v>
      </c>
      <c r="B47" s="61" t="s">
        <v>290</v>
      </c>
      <c r="C47" s="62" t="s">
        <v>291</v>
      </c>
      <c r="D47" s="28">
        <v>318560000</v>
      </c>
      <c r="E47" s="28">
        <v>302683500</v>
      </c>
      <c r="F47" s="63">
        <v>318560000</v>
      </c>
      <c r="G47" s="53"/>
      <c r="H47" s="59"/>
    </row>
    <row r="48" spans="1:8" s="54" customFormat="1" ht="52.5">
      <c r="A48" s="60" t="s">
        <v>292</v>
      </c>
      <c r="B48" s="61" t="s">
        <v>293</v>
      </c>
      <c r="C48" s="62" t="s">
        <v>294</v>
      </c>
      <c r="D48" s="28">
        <v>117000000</v>
      </c>
      <c r="E48" s="28">
        <v>170333332</v>
      </c>
      <c r="F48" s="63">
        <v>117000000</v>
      </c>
      <c r="G48" s="53"/>
      <c r="H48" s="59"/>
    </row>
    <row r="49" spans="1:8" s="54" customFormat="1" ht="21">
      <c r="A49" s="64"/>
      <c r="B49" s="65" t="s">
        <v>295</v>
      </c>
      <c r="C49" s="66" t="s">
        <v>296</v>
      </c>
      <c r="D49" s="30">
        <v>117000000</v>
      </c>
      <c r="E49" s="30">
        <v>117000000</v>
      </c>
      <c r="F49" s="67">
        <v>117000000</v>
      </c>
      <c r="G49" s="53"/>
      <c r="H49" s="59"/>
    </row>
    <row r="50" spans="1:8" s="54" customFormat="1" ht="21">
      <c r="A50" s="64"/>
      <c r="B50" s="65" t="s">
        <v>297</v>
      </c>
      <c r="C50" s="66" t="s">
        <v>298</v>
      </c>
      <c r="D50" s="30">
        <v>0</v>
      </c>
      <c r="E50" s="30">
        <v>0</v>
      </c>
      <c r="F50" s="67">
        <v>0</v>
      </c>
      <c r="G50" s="53"/>
      <c r="H50" s="59"/>
    </row>
    <row r="51" spans="1:8" s="54" customFormat="1" ht="21">
      <c r="A51" s="64"/>
      <c r="B51" s="65" t="s">
        <v>299</v>
      </c>
      <c r="C51" s="66" t="s">
        <v>300</v>
      </c>
      <c r="D51" s="30">
        <v>0</v>
      </c>
      <c r="E51" s="30">
        <v>53333332</v>
      </c>
      <c r="F51" s="67">
        <v>0</v>
      </c>
      <c r="G51" s="53"/>
      <c r="H51" s="59"/>
    </row>
    <row r="52" spans="1:8" s="54" customFormat="1" ht="105">
      <c r="A52" s="60" t="s">
        <v>301</v>
      </c>
      <c r="B52" s="61" t="s">
        <v>302</v>
      </c>
      <c r="C52" s="62" t="s">
        <v>303</v>
      </c>
      <c r="D52" s="28">
        <v>73080801</v>
      </c>
      <c r="E52" s="28">
        <v>140844452</v>
      </c>
      <c r="F52" s="63">
        <v>73080801</v>
      </c>
      <c r="G52" s="53"/>
      <c r="H52" s="59"/>
    </row>
    <row r="53" spans="1:8" s="54" customFormat="1" ht="21">
      <c r="A53" s="64"/>
      <c r="B53" s="65" t="s">
        <v>304</v>
      </c>
      <c r="C53" s="66" t="s">
        <v>305</v>
      </c>
      <c r="D53" s="30">
        <v>47682000</v>
      </c>
      <c r="E53" s="30">
        <v>98722834</v>
      </c>
      <c r="F53" s="67">
        <v>47682000</v>
      </c>
      <c r="G53" s="53"/>
      <c r="H53" s="59"/>
    </row>
    <row r="54" spans="1:8" s="54" customFormat="1" ht="21">
      <c r="A54" s="64"/>
      <c r="B54" s="65" t="s">
        <v>306</v>
      </c>
      <c r="C54" s="66" t="s">
        <v>307</v>
      </c>
      <c r="D54" s="30">
        <v>0</v>
      </c>
      <c r="E54" s="30">
        <v>0</v>
      </c>
      <c r="F54" s="67">
        <v>0</v>
      </c>
      <c r="G54" s="53"/>
      <c r="H54" s="59"/>
    </row>
    <row r="55" spans="1:8" s="54" customFormat="1" ht="31.5">
      <c r="A55" s="64"/>
      <c r="B55" s="65" t="s">
        <v>308</v>
      </c>
      <c r="C55" s="66" t="s">
        <v>309</v>
      </c>
      <c r="D55" s="30">
        <v>0</v>
      </c>
      <c r="E55" s="30">
        <v>0</v>
      </c>
      <c r="F55" s="67">
        <v>0</v>
      </c>
      <c r="G55" s="53"/>
      <c r="H55" s="59"/>
    </row>
    <row r="56" spans="1:8" s="54" customFormat="1" ht="21">
      <c r="A56" s="64"/>
      <c r="B56" s="65" t="s">
        <v>310</v>
      </c>
      <c r="C56" s="66" t="s">
        <v>311</v>
      </c>
      <c r="D56" s="30">
        <v>0</v>
      </c>
      <c r="E56" s="30">
        <v>0</v>
      </c>
      <c r="F56" s="67">
        <v>0</v>
      </c>
      <c r="G56" s="53"/>
      <c r="H56" s="59"/>
    </row>
    <row r="57" spans="1:8" s="54" customFormat="1" ht="21">
      <c r="A57" s="64"/>
      <c r="B57" s="65" t="s">
        <v>312</v>
      </c>
      <c r="C57" s="66" t="s">
        <v>313</v>
      </c>
      <c r="D57" s="30">
        <v>25398801</v>
      </c>
      <c r="E57" s="30">
        <v>42121618</v>
      </c>
      <c r="F57" s="67">
        <v>25398801</v>
      </c>
      <c r="G57" s="53"/>
      <c r="H57" s="59"/>
    </row>
    <row r="58" spans="1:8" s="54" customFormat="1" ht="31.5">
      <c r="A58" s="60" t="s">
        <v>314</v>
      </c>
      <c r="B58" s="61" t="s">
        <v>315</v>
      </c>
      <c r="C58" s="62" t="s">
        <v>316</v>
      </c>
      <c r="D58" s="28">
        <v>7934484112</v>
      </c>
      <c r="E58" s="28">
        <v>23265230554</v>
      </c>
      <c r="F58" s="63">
        <v>7934484112</v>
      </c>
      <c r="G58" s="53"/>
      <c r="H58" s="59"/>
    </row>
    <row r="59" spans="1:8" s="54" customFormat="1" ht="21">
      <c r="A59" s="64"/>
      <c r="B59" s="65" t="s">
        <v>317</v>
      </c>
      <c r="C59" s="66" t="s">
        <v>318</v>
      </c>
      <c r="D59" s="30">
        <v>7900875665</v>
      </c>
      <c r="E59" s="30">
        <v>23208501545</v>
      </c>
      <c r="F59" s="67">
        <v>7900875665</v>
      </c>
      <c r="G59" s="53"/>
      <c r="H59" s="59"/>
    </row>
    <row r="60" spans="1:8" s="54" customFormat="1" ht="21">
      <c r="A60" s="64"/>
      <c r="B60" s="65" t="s">
        <v>319</v>
      </c>
      <c r="C60" s="66" t="s">
        <v>320</v>
      </c>
      <c r="D60" s="30">
        <v>33608447</v>
      </c>
      <c r="E60" s="30">
        <v>56729009</v>
      </c>
      <c r="F60" s="67">
        <v>33608447</v>
      </c>
      <c r="G60" s="53"/>
      <c r="H60" s="59"/>
    </row>
    <row r="61" spans="1:8" s="54" customFormat="1" ht="21">
      <c r="A61" s="60" t="s">
        <v>321</v>
      </c>
      <c r="B61" s="61" t="s">
        <v>322</v>
      </c>
      <c r="C61" s="62" t="s">
        <v>323</v>
      </c>
      <c r="D61" s="28">
        <v>173061117</v>
      </c>
      <c r="E61" s="28">
        <v>152662273</v>
      </c>
      <c r="F61" s="63">
        <v>173061117</v>
      </c>
      <c r="G61" s="53"/>
      <c r="H61" s="59"/>
    </row>
    <row r="62" spans="1:8" s="54" customFormat="1" ht="21">
      <c r="A62" s="64"/>
      <c r="B62" s="65" t="s">
        <v>324</v>
      </c>
      <c r="C62" s="66" t="s">
        <v>325</v>
      </c>
      <c r="D62" s="30">
        <v>0</v>
      </c>
      <c r="E62" s="30">
        <v>0</v>
      </c>
      <c r="F62" s="67">
        <v>0</v>
      </c>
      <c r="G62" s="53"/>
      <c r="H62" s="59"/>
    </row>
    <row r="63" spans="1:8" s="54" customFormat="1" ht="21">
      <c r="A63" s="64"/>
      <c r="B63" s="65" t="s">
        <v>326</v>
      </c>
      <c r="C63" s="66" t="s">
        <v>327</v>
      </c>
      <c r="D63" s="30">
        <v>30000000</v>
      </c>
      <c r="E63" s="30">
        <v>30000000</v>
      </c>
      <c r="F63" s="67">
        <v>30000000</v>
      </c>
      <c r="G63" s="53"/>
      <c r="H63" s="59"/>
    </row>
    <row r="64" spans="1:8" s="54" customFormat="1" ht="21">
      <c r="A64" s="64"/>
      <c r="B64" s="65" t="s">
        <v>328</v>
      </c>
      <c r="C64" s="66" t="s">
        <v>329</v>
      </c>
      <c r="D64" s="30">
        <v>7500000</v>
      </c>
      <c r="E64" s="30">
        <v>15000000</v>
      </c>
      <c r="F64" s="67">
        <v>7500000</v>
      </c>
      <c r="G64" s="53"/>
      <c r="H64" s="59"/>
    </row>
    <row r="65" spans="1:8" s="54" customFormat="1" ht="21">
      <c r="A65" s="64"/>
      <c r="B65" s="65" t="s">
        <v>330</v>
      </c>
      <c r="C65" s="66" t="s">
        <v>331</v>
      </c>
      <c r="D65" s="30">
        <v>5011117</v>
      </c>
      <c r="E65" s="30">
        <v>9662273</v>
      </c>
      <c r="F65" s="67">
        <v>5011117</v>
      </c>
      <c r="G65" s="53"/>
      <c r="H65" s="59"/>
    </row>
    <row r="66" spans="1:8" s="54" customFormat="1" ht="21">
      <c r="A66" s="64"/>
      <c r="B66" s="65" t="s">
        <v>332</v>
      </c>
      <c r="C66" s="66" t="s">
        <v>333</v>
      </c>
      <c r="D66" s="30">
        <v>0</v>
      </c>
      <c r="E66" s="30">
        <v>0</v>
      </c>
      <c r="F66" s="67">
        <v>0</v>
      </c>
      <c r="G66" s="53"/>
      <c r="H66" s="59"/>
    </row>
    <row r="67" spans="1:8" s="54" customFormat="1" ht="21">
      <c r="A67" s="64"/>
      <c r="B67" s="65" t="s">
        <v>334</v>
      </c>
      <c r="C67" s="66" t="s">
        <v>335</v>
      </c>
      <c r="D67" s="30">
        <v>0</v>
      </c>
      <c r="E67" s="30">
        <v>0</v>
      </c>
      <c r="F67" s="67">
        <v>0</v>
      </c>
      <c r="G67" s="53"/>
      <c r="H67" s="59"/>
    </row>
    <row r="68" spans="1:8" s="54" customFormat="1" ht="21">
      <c r="A68" s="64"/>
      <c r="B68" s="65" t="s">
        <v>336</v>
      </c>
      <c r="C68" s="66" t="s">
        <v>337</v>
      </c>
      <c r="D68" s="30">
        <v>14000000</v>
      </c>
      <c r="E68" s="30">
        <v>10500000</v>
      </c>
      <c r="F68" s="67">
        <v>14000000</v>
      </c>
      <c r="G68" s="53"/>
      <c r="H68" s="59"/>
    </row>
    <row r="69" spans="1:8" s="54" customFormat="1" ht="42">
      <c r="A69" s="64"/>
      <c r="B69" s="65" t="s">
        <v>338</v>
      </c>
      <c r="C69" s="66" t="s">
        <v>339</v>
      </c>
      <c r="D69" s="30">
        <v>116550000</v>
      </c>
      <c r="E69" s="30">
        <v>87500000</v>
      </c>
      <c r="F69" s="67">
        <v>116550000</v>
      </c>
      <c r="G69" s="53"/>
      <c r="H69" s="59"/>
    </row>
    <row r="70" spans="1:8" s="54" customFormat="1" ht="21">
      <c r="A70" s="55" t="s">
        <v>340</v>
      </c>
      <c r="B70" s="56" t="s">
        <v>341</v>
      </c>
      <c r="C70" s="57" t="s">
        <v>342</v>
      </c>
      <c r="D70" s="26">
        <v>129861999363</v>
      </c>
      <c r="E70" s="26">
        <v>140880941936</v>
      </c>
      <c r="F70" s="58">
        <v>129861999363</v>
      </c>
      <c r="G70" s="53"/>
      <c r="H70" s="59"/>
    </row>
    <row r="71" spans="1:8" s="54" customFormat="1" ht="21">
      <c r="A71" s="55" t="s">
        <v>343</v>
      </c>
      <c r="B71" s="56" t="s">
        <v>344</v>
      </c>
      <c r="C71" s="57" t="s">
        <v>345</v>
      </c>
      <c r="D71" s="26">
        <v>1550014462400</v>
      </c>
      <c r="E71" s="26">
        <v>3839000396400</v>
      </c>
      <c r="F71" s="58">
        <v>1550014462400</v>
      </c>
      <c r="G71" s="53"/>
      <c r="H71" s="59"/>
    </row>
    <row r="72" spans="1:8" s="54" customFormat="1" ht="42">
      <c r="A72" s="60" t="s">
        <v>4</v>
      </c>
      <c r="B72" s="61" t="s">
        <v>346</v>
      </c>
      <c r="C72" s="62" t="s">
        <v>347</v>
      </c>
      <c r="D72" s="28">
        <v>1106237502496</v>
      </c>
      <c r="E72" s="28">
        <v>3351074229177</v>
      </c>
      <c r="F72" s="63">
        <v>1106237502496</v>
      </c>
      <c r="G72" s="53"/>
      <c r="H72" s="59"/>
    </row>
    <row r="73" spans="1:8" s="54" customFormat="1" ht="21">
      <c r="A73" s="64"/>
      <c r="B73" s="65" t="s">
        <v>348</v>
      </c>
      <c r="C73" s="66" t="s">
        <v>349</v>
      </c>
      <c r="D73" s="30">
        <v>582328979885</v>
      </c>
      <c r="E73" s="30">
        <v>1272919283342</v>
      </c>
      <c r="F73" s="67">
        <v>582328979885</v>
      </c>
      <c r="G73" s="53"/>
      <c r="H73" s="59"/>
    </row>
    <row r="74" spans="1:8" s="54" customFormat="1" ht="31.5">
      <c r="A74" s="64"/>
      <c r="B74" s="65" t="s">
        <v>350</v>
      </c>
      <c r="C74" s="66" t="s">
        <v>351</v>
      </c>
      <c r="D74" s="30">
        <v>523908522611</v>
      </c>
      <c r="E74" s="30">
        <v>2076166345835</v>
      </c>
      <c r="F74" s="67">
        <v>523908522611</v>
      </c>
      <c r="G74" s="53"/>
      <c r="H74" s="59"/>
    </row>
    <row r="75" spans="1:8" s="54" customFormat="1" ht="33" customHeight="1">
      <c r="A75" s="64"/>
      <c r="B75" s="65" t="s">
        <v>352</v>
      </c>
      <c r="C75" s="66" t="s">
        <v>353</v>
      </c>
      <c r="D75" s="30">
        <v>0</v>
      </c>
      <c r="E75" s="30">
        <v>1988600000</v>
      </c>
      <c r="F75" s="67">
        <v>0</v>
      </c>
      <c r="G75" s="53"/>
      <c r="H75" s="59"/>
    </row>
    <row r="76" spans="1:8" s="54" customFormat="1" ht="21">
      <c r="A76" s="60" t="s">
        <v>9</v>
      </c>
      <c r="B76" s="61" t="s">
        <v>354</v>
      </c>
      <c r="C76" s="62" t="s">
        <v>355</v>
      </c>
      <c r="D76" s="28">
        <v>443776959904</v>
      </c>
      <c r="E76" s="28">
        <v>487926167223</v>
      </c>
      <c r="F76" s="63">
        <v>443776959904</v>
      </c>
      <c r="G76" s="53"/>
      <c r="H76" s="59"/>
    </row>
    <row r="77" spans="1:8" s="54" customFormat="1" ht="47.25" customHeight="1">
      <c r="A77" s="55" t="s">
        <v>356</v>
      </c>
      <c r="B77" s="56" t="s">
        <v>357</v>
      </c>
      <c r="C77" s="57" t="s">
        <v>358</v>
      </c>
      <c r="D77" s="26">
        <v>1679876461763</v>
      </c>
      <c r="E77" s="26">
        <v>3979881338336</v>
      </c>
      <c r="F77" s="58">
        <v>1679876461763</v>
      </c>
      <c r="G77" s="53"/>
      <c r="H77" s="59"/>
    </row>
    <row r="78" spans="1:8" s="54" customFormat="1" ht="21">
      <c r="A78" s="55" t="s">
        <v>359</v>
      </c>
      <c r="B78" s="56" t="s">
        <v>360</v>
      </c>
      <c r="C78" s="57" t="s">
        <v>361</v>
      </c>
      <c r="D78" s="26">
        <v>12665923659404</v>
      </c>
      <c r="E78" s="26">
        <v>17261394813137</v>
      </c>
      <c r="F78" s="58">
        <v>12665923659404</v>
      </c>
      <c r="G78" s="53"/>
      <c r="H78" s="59"/>
    </row>
    <row r="79" spans="1:8" s="54" customFormat="1" ht="31.5">
      <c r="A79" s="55" t="s">
        <v>362</v>
      </c>
      <c r="B79" s="56" t="s">
        <v>363</v>
      </c>
      <c r="C79" s="57" t="s">
        <v>364</v>
      </c>
      <c r="D79" s="26">
        <v>913293444433</v>
      </c>
      <c r="E79" s="26">
        <v>-4595471153733</v>
      </c>
      <c r="F79" s="58">
        <v>913293444433</v>
      </c>
      <c r="G79" s="53"/>
      <c r="H79" s="59"/>
    </row>
    <row r="80" spans="1:8" s="54" customFormat="1" ht="21">
      <c r="A80" s="60"/>
      <c r="B80" s="61" t="s">
        <v>365</v>
      </c>
      <c r="C80" s="62" t="s">
        <v>366</v>
      </c>
      <c r="D80" s="28">
        <v>0</v>
      </c>
      <c r="E80" s="28"/>
      <c r="F80" s="63">
        <v>0</v>
      </c>
      <c r="G80" s="53"/>
      <c r="H80" s="59"/>
    </row>
    <row r="81" spans="1:8" s="54" customFormat="1" ht="42">
      <c r="A81" s="60" t="s">
        <v>4</v>
      </c>
      <c r="B81" s="61" t="s">
        <v>367</v>
      </c>
      <c r="C81" s="62" t="s">
        <v>368</v>
      </c>
      <c r="D81" s="28">
        <v>1679876461763</v>
      </c>
      <c r="E81" s="28">
        <v>3979881338336</v>
      </c>
      <c r="F81" s="63">
        <v>1679876461763</v>
      </c>
      <c r="G81" s="53"/>
      <c r="H81" s="59"/>
    </row>
    <row r="82" spans="1:8" s="54" customFormat="1" ht="42">
      <c r="A82" s="60" t="s">
        <v>9</v>
      </c>
      <c r="B82" s="61" t="s">
        <v>369</v>
      </c>
      <c r="C82" s="62"/>
      <c r="D82" s="28">
        <v>0</v>
      </c>
      <c r="E82" s="28">
        <v>0</v>
      </c>
      <c r="F82" s="63">
        <v>0</v>
      </c>
      <c r="G82" s="53"/>
      <c r="H82" s="59"/>
    </row>
    <row r="83" spans="1:8" s="54" customFormat="1" ht="42">
      <c r="A83" s="60" t="s">
        <v>14</v>
      </c>
      <c r="B83" s="61" t="s">
        <v>370</v>
      </c>
      <c r="C83" s="62" t="s">
        <v>371</v>
      </c>
      <c r="D83" s="28">
        <v>-766583017330</v>
      </c>
      <c r="E83" s="28">
        <v>-8575352492069</v>
      </c>
      <c r="F83" s="63">
        <v>-766583017330</v>
      </c>
      <c r="G83" s="53"/>
      <c r="H83" s="59"/>
    </row>
    <row r="84" spans="1:8" s="54" customFormat="1" ht="42">
      <c r="A84" s="64"/>
      <c r="B84" s="65" t="s">
        <v>372</v>
      </c>
      <c r="C84" s="66" t="s">
        <v>373</v>
      </c>
      <c r="D84" s="30">
        <v>2867591377169</v>
      </c>
      <c r="E84" s="30">
        <v>2637755156449</v>
      </c>
      <c r="F84" s="67">
        <v>2867591377169</v>
      </c>
      <c r="G84" s="53"/>
      <c r="H84" s="59"/>
    </row>
    <row r="85" spans="1:8" s="54" customFormat="1" ht="31.5">
      <c r="A85" s="64"/>
      <c r="B85" s="65" t="s">
        <v>374</v>
      </c>
      <c r="C85" s="66" t="s">
        <v>375</v>
      </c>
      <c r="D85" s="30">
        <v>-3634174394499</v>
      </c>
      <c r="E85" s="30">
        <v>-11213107648518</v>
      </c>
      <c r="F85" s="67">
        <v>-3634174394499</v>
      </c>
      <c r="G85" s="53"/>
      <c r="H85" s="59"/>
    </row>
    <row r="86" spans="1:8" s="54" customFormat="1" ht="21">
      <c r="A86" s="55" t="s">
        <v>376</v>
      </c>
      <c r="B86" s="56" t="s">
        <v>377</v>
      </c>
      <c r="C86" s="57" t="s">
        <v>378</v>
      </c>
      <c r="D86" s="26">
        <v>13579217103837</v>
      </c>
      <c r="E86" s="26">
        <v>12665923659404</v>
      </c>
      <c r="F86" s="58">
        <v>13579217103837</v>
      </c>
      <c r="G86" s="53"/>
      <c r="H86" s="59"/>
    </row>
    <row r="87" spans="1:8" s="54" customFormat="1" ht="42">
      <c r="A87" s="55" t="s">
        <v>379</v>
      </c>
      <c r="B87" s="56" t="s">
        <v>380</v>
      </c>
      <c r="C87" s="57" t="s">
        <v>381</v>
      </c>
      <c r="D87" s="176">
        <v>1679876461763</v>
      </c>
      <c r="E87" s="176">
        <v>3979881338336</v>
      </c>
      <c r="F87" s="177">
        <v>1679876461763</v>
      </c>
      <c r="G87" s="53"/>
      <c r="H87" s="59"/>
    </row>
    <row r="88" spans="1:8" s="54" customFormat="1" ht="42">
      <c r="A88" s="68"/>
      <c r="B88" s="69" t="s">
        <v>382</v>
      </c>
      <c r="C88" s="70" t="s">
        <v>383</v>
      </c>
      <c r="D88" s="178">
        <v>0.135632</v>
      </c>
      <c r="E88" s="178">
        <v>0.28259099999999998</v>
      </c>
      <c r="F88" s="179">
        <v>0.135632</v>
      </c>
      <c r="G88" s="53"/>
      <c r="H88" s="59"/>
    </row>
    <row r="89" spans="1:8" ht="9" customHeight="1">
      <c r="A89" s="15"/>
      <c r="B89" s="15"/>
      <c r="C89" s="72"/>
      <c r="D89" s="15"/>
      <c r="E89" s="15"/>
      <c r="F89" s="15"/>
    </row>
    <row r="90" spans="1:8" ht="12.75" customHeight="1">
      <c r="A90" s="247" t="s">
        <v>221</v>
      </c>
      <c r="B90" s="247"/>
      <c r="C90" s="247"/>
      <c r="D90" s="247" t="s">
        <v>222</v>
      </c>
      <c r="E90" s="247"/>
      <c r="F90" s="247"/>
    </row>
    <row r="91" spans="1:8" ht="12.75" customHeight="1">
      <c r="A91" s="256" t="s">
        <v>223</v>
      </c>
      <c r="B91" s="256"/>
      <c r="C91" s="256"/>
      <c r="D91" s="257" t="s">
        <v>224</v>
      </c>
      <c r="E91" s="257"/>
      <c r="F91" s="257"/>
    </row>
    <row r="92" spans="1:8" ht="12.75" customHeight="1">
      <c r="A92" s="15"/>
      <c r="B92" s="15"/>
      <c r="C92" s="15"/>
      <c r="D92" s="15"/>
      <c r="E92" s="15"/>
      <c r="F92" s="15"/>
    </row>
    <row r="93" spans="1:8" ht="12.75" customHeight="1">
      <c r="A93" s="15"/>
      <c r="B93" s="15"/>
      <c r="C93" s="15"/>
      <c r="D93" s="15"/>
      <c r="E93" s="15"/>
      <c r="F93" s="15"/>
    </row>
    <row r="94" spans="1:8" ht="12.75" customHeight="1">
      <c r="A94" s="15"/>
      <c r="B94" s="15"/>
      <c r="C94" s="15"/>
      <c r="D94" s="15"/>
      <c r="E94" s="15"/>
      <c r="F94" s="15"/>
    </row>
    <row r="95" spans="1:8" ht="12.75" customHeight="1">
      <c r="A95" s="15"/>
      <c r="B95" s="15"/>
      <c r="C95" s="15"/>
      <c r="D95" s="15"/>
      <c r="E95" s="15"/>
      <c r="F95" s="15"/>
    </row>
    <row r="96" spans="1:8" ht="12.75" customHeight="1">
      <c r="A96" s="15"/>
      <c r="B96" s="15"/>
      <c r="C96" s="15"/>
      <c r="D96" s="15"/>
      <c r="E96" s="15"/>
      <c r="F96" s="15"/>
    </row>
    <row r="97" spans="1:6" ht="12.75" customHeight="1">
      <c r="A97" s="247" t="s">
        <v>225</v>
      </c>
      <c r="B97" s="247"/>
      <c r="C97" s="247"/>
      <c r="D97" s="247" t="s">
        <v>226</v>
      </c>
      <c r="E97" s="247"/>
      <c r="F97" s="247"/>
    </row>
    <row r="98" spans="1:6" ht="12.75" customHeight="1">
      <c r="A98" s="255" t="s">
        <v>227</v>
      </c>
      <c r="B98" s="255"/>
      <c r="C98" s="255"/>
      <c r="D98" s="255" t="s">
        <v>228</v>
      </c>
      <c r="E98" s="255"/>
      <c r="F98" s="255"/>
    </row>
    <row r="99" spans="1:6" ht="12.75" customHeight="1">
      <c r="A99" s="255" t="s">
        <v>229</v>
      </c>
      <c r="B99" s="255"/>
      <c r="C99" s="255"/>
      <c r="D99" s="255" t="s">
        <v>230</v>
      </c>
      <c r="E99" s="255"/>
      <c r="F99" s="255"/>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59055118110236227" bottom="0" header="0.51181102362204722" footer="0"/>
  <pageSetup paperSize="9" scale="8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8"/>
  <sheetViews>
    <sheetView showGridLines="0" showZeros="0" showOutlineSymbols="0" view="pageBreakPreview" topLeftCell="A34" zoomScaleNormal="100" zoomScaleSheetLayoutView="100" workbookViewId="0">
      <selection activeCell="F41" sqref="F41"/>
    </sheetView>
  </sheetViews>
  <sheetFormatPr defaultColWidth="9.140625" defaultRowHeight="10.5"/>
  <cols>
    <col min="1" max="1" width="4.5703125" style="54" customWidth="1"/>
    <col min="2" max="2" width="43.5703125" style="54" customWidth="1"/>
    <col min="3" max="3" width="9.140625" style="54"/>
    <col min="4" max="4" width="12.42578125" style="54" bestFit="1" customWidth="1"/>
    <col min="5" max="5" width="12.28515625" style="54" customWidth="1"/>
    <col min="6" max="6" width="19" style="54" bestFit="1" customWidth="1"/>
    <col min="7" max="7" width="10.85546875" style="326" customWidth="1"/>
    <col min="8" max="8" width="9.140625" style="54"/>
    <col min="9" max="9" width="16.5703125" style="54" bestFit="1" customWidth="1"/>
    <col min="10" max="16384" width="9.140625" style="54"/>
  </cols>
  <sheetData>
    <row r="1" spans="1:7" ht="30.75" customHeight="1">
      <c r="A1" s="73"/>
      <c r="B1" s="73"/>
      <c r="C1" s="13"/>
      <c r="D1" s="247" t="s">
        <v>0</v>
      </c>
      <c r="E1" s="247"/>
      <c r="F1" s="247"/>
      <c r="G1" s="247"/>
    </row>
    <row r="2" spans="1:7" ht="27.75" customHeight="1">
      <c r="A2" s="248" t="s">
        <v>1</v>
      </c>
      <c r="B2" s="248"/>
      <c r="C2" s="248"/>
      <c r="D2" s="248"/>
      <c r="E2" s="248"/>
      <c r="F2" s="248"/>
      <c r="G2" s="248"/>
    </row>
    <row r="3" spans="1:7" ht="6" customHeight="1">
      <c r="A3" s="73"/>
      <c r="B3" s="73"/>
      <c r="C3" s="73"/>
      <c r="D3" s="73"/>
      <c r="E3" s="73"/>
      <c r="F3" s="73"/>
      <c r="G3" s="321"/>
    </row>
    <row r="4" spans="1:7" ht="30" customHeight="1">
      <c r="A4" s="249" t="s">
        <v>231</v>
      </c>
      <c r="B4" s="249"/>
      <c r="C4" s="249"/>
      <c r="D4" s="249"/>
      <c r="E4" s="249"/>
      <c r="F4" s="249"/>
      <c r="G4" s="249"/>
    </row>
    <row r="5" spans="1:7" ht="12.75" customHeight="1">
      <c r="A5" s="257" t="s">
        <v>384</v>
      </c>
      <c r="B5" s="257"/>
      <c r="C5" s="257"/>
      <c r="D5" s="257"/>
      <c r="E5" s="257"/>
      <c r="F5" s="257"/>
      <c r="G5" s="257"/>
    </row>
    <row r="6" spans="1:7" ht="12.75" customHeight="1">
      <c r="A6" s="52" t="s">
        <v>4</v>
      </c>
      <c r="B6" s="74" t="s">
        <v>232</v>
      </c>
      <c r="C6" s="259" t="s">
        <v>6</v>
      </c>
      <c r="D6" s="259"/>
      <c r="E6" s="259"/>
      <c r="F6" s="259"/>
      <c r="G6" s="259"/>
    </row>
    <row r="7" spans="1:7" ht="12.75" customHeight="1">
      <c r="A7" s="73"/>
      <c r="B7" s="73" t="s">
        <v>7</v>
      </c>
      <c r="C7" s="258" t="s">
        <v>8</v>
      </c>
      <c r="D7" s="258"/>
      <c r="E7" s="258"/>
      <c r="F7" s="258"/>
      <c r="G7" s="258"/>
    </row>
    <row r="8" spans="1:7" ht="12.75" customHeight="1">
      <c r="A8" s="52" t="s">
        <v>9</v>
      </c>
      <c r="B8" s="74" t="s">
        <v>10</v>
      </c>
      <c r="C8" s="259" t="s">
        <v>11</v>
      </c>
      <c r="D8" s="259"/>
      <c r="E8" s="259"/>
      <c r="F8" s="259"/>
      <c r="G8" s="259"/>
    </row>
    <row r="9" spans="1:7" ht="12.75" customHeight="1">
      <c r="A9" s="73"/>
      <c r="B9" s="73" t="s">
        <v>12</v>
      </c>
      <c r="C9" s="258" t="s">
        <v>13</v>
      </c>
      <c r="D9" s="258"/>
      <c r="E9" s="258"/>
      <c r="F9" s="258"/>
      <c r="G9" s="258"/>
    </row>
    <row r="10" spans="1:7" ht="12.75" customHeight="1">
      <c r="A10" s="52" t="s">
        <v>14</v>
      </c>
      <c r="B10" s="74" t="s">
        <v>385</v>
      </c>
      <c r="C10" s="259" t="s">
        <v>16</v>
      </c>
      <c r="D10" s="259"/>
      <c r="E10" s="259"/>
      <c r="F10" s="259"/>
      <c r="G10" s="259"/>
    </row>
    <row r="11" spans="1:7" ht="12.75" customHeight="1">
      <c r="A11" s="73"/>
      <c r="B11" s="73" t="s">
        <v>17</v>
      </c>
      <c r="C11" s="258" t="s">
        <v>18</v>
      </c>
      <c r="D11" s="258"/>
      <c r="E11" s="258"/>
      <c r="F11" s="258"/>
      <c r="G11" s="258"/>
    </row>
    <row r="12" spans="1:7" ht="12.75" customHeight="1">
      <c r="A12" s="52" t="s">
        <v>19</v>
      </c>
      <c r="B12" s="74" t="s">
        <v>20</v>
      </c>
      <c r="C12" s="245">
        <v>46091</v>
      </c>
      <c r="D12" s="245"/>
      <c r="E12" s="245"/>
      <c r="F12" s="245"/>
      <c r="G12" s="245"/>
    </row>
    <row r="13" spans="1:7" ht="12.75" customHeight="1">
      <c r="A13" s="73"/>
      <c r="B13" s="73" t="s">
        <v>21</v>
      </c>
      <c r="C13" s="252">
        <f>+C12</f>
        <v>46091</v>
      </c>
      <c r="D13" s="252"/>
      <c r="E13" s="252"/>
      <c r="F13" s="252"/>
      <c r="G13" s="252"/>
    </row>
    <row r="14" spans="1:7" ht="9" customHeight="1">
      <c r="A14" s="73"/>
      <c r="B14" s="73"/>
      <c r="C14" s="75"/>
      <c r="D14" s="73"/>
      <c r="E14" s="73"/>
      <c r="F14" s="73"/>
      <c r="G14" s="321"/>
    </row>
    <row r="15" spans="1:7" ht="12.75" customHeight="1">
      <c r="A15" s="261" t="s">
        <v>386</v>
      </c>
      <c r="B15" s="261"/>
      <c r="C15" s="261"/>
      <c r="D15" s="261"/>
      <c r="E15" s="261"/>
      <c r="F15" s="261"/>
      <c r="G15" s="261"/>
    </row>
    <row r="16" spans="1:7" ht="12.75" customHeight="1">
      <c r="A16" s="259" t="s">
        <v>387</v>
      </c>
      <c r="B16" s="259"/>
      <c r="C16" s="259"/>
      <c r="D16" s="259"/>
      <c r="E16" s="259"/>
      <c r="F16" s="259"/>
      <c r="G16" s="259"/>
    </row>
    <row r="17" spans="1:15" ht="12.75" customHeight="1">
      <c r="A17" s="76"/>
      <c r="B17" s="76"/>
      <c r="C17" s="77"/>
      <c r="D17" s="76"/>
      <c r="E17" s="76"/>
      <c r="F17" s="262" t="s">
        <v>24</v>
      </c>
      <c r="G17" s="262"/>
    </row>
    <row r="18" spans="1:15" ht="79.5" customHeight="1">
      <c r="A18" s="20" t="s">
        <v>388</v>
      </c>
      <c r="B18" s="21" t="s">
        <v>389</v>
      </c>
      <c r="C18" s="21" t="s">
        <v>27</v>
      </c>
      <c r="D18" s="21" t="s">
        <v>390</v>
      </c>
      <c r="E18" s="21" t="s">
        <v>391</v>
      </c>
      <c r="F18" s="21" t="s">
        <v>392</v>
      </c>
      <c r="G18" s="322" t="s">
        <v>393</v>
      </c>
    </row>
    <row r="19" spans="1:15" ht="21">
      <c r="A19" s="23" t="s">
        <v>31</v>
      </c>
      <c r="B19" s="24" t="s">
        <v>394</v>
      </c>
      <c r="C19" s="25"/>
      <c r="D19" s="78">
        <v>0</v>
      </c>
      <c r="E19" s="79">
        <v>0</v>
      </c>
      <c r="F19" s="79">
        <v>0</v>
      </c>
      <c r="G19" s="81">
        <v>0</v>
      </c>
    </row>
    <row r="20" spans="1:15" ht="35.25" customHeight="1">
      <c r="A20" s="23" t="s">
        <v>121</v>
      </c>
      <c r="B20" s="24" t="s">
        <v>395</v>
      </c>
      <c r="C20" s="25" t="s">
        <v>396</v>
      </c>
      <c r="D20" s="78">
        <v>0</v>
      </c>
      <c r="E20" s="79">
        <v>0</v>
      </c>
      <c r="F20" s="79">
        <v>0</v>
      </c>
      <c r="G20" s="81">
        <v>0</v>
      </c>
    </row>
    <row r="21" spans="1:15" ht="15" customHeight="1">
      <c r="A21" s="23" t="s">
        <v>4</v>
      </c>
      <c r="B21" s="24" t="s">
        <v>397</v>
      </c>
      <c r="C21" s="25" t="s">
        <v>398</v>
      </c>
      <c r="D21" s="28">
        <v>36695136</v>
      </c>
      <c r="E21" s="28">
        <v>24000</v>
      </c>
      <c r="F21" s="28">
        <v>880683264000</v>
      </c>
      <c r="G21" s="81">
        <v>6.4299999999999996E-2</v>
      </c>
      <c r="L21" s="59"/>
      <c r="M21" s="59"/>
      <c r="N21" s="59"/>
      <c r="O21" s="59"/>
    </row>
    <row r="22" spans="1:15" ht="15" customHeight="1">
      <c r="A22" s="23" t="s">
        <v>9</v>
      </c>
      <c r="B22" s="24" t="s">
        <v>399</v>
      </c>
      <c r="C22" s="25" t="s">
        <v>400</v>
      </c>
      <c r="D22" s="28">
        <v>1248000</v>
      </c>
      <c r="E22" s="28">
        <v>175000</v>
      </c>
      <c r="F22" s="28">
        <v>218400000000</v>
      </c>
      <c r="G22" s="81">
        <v>1.5900000000000001E-2</v>
      </c>
      <c r="L22" s="59"/>
      <c r="M22" s="59"/>
      <c r="N22" s="59"/>
      <c r="O22" s="59"/>
    </row>
    <row r="23" spans="1:15" ht="15" customHeight="1">
      <c r="A23" s="23" t="s">
        <v>14</v>
      </c>
      <c r="B23" s="24" t="s">
        <v>401</v>
      </c>
      <c r="C23" s="25" t="s">
        <v>402</v>
      </c>
      <c r="D23" s="28">
        <v>2642725</v>
      </c>
      <c r="E23" s="28">
        <v>76000</v>
      </c>
      <c r="F23" s="28">
        <v>200847100000</v>
      </c>
      <c r="G23" s="81">
        <v>1.47E-2</v>
      </c>
      <c r="L23" s="59"/>
      <c r="M23" s="59"/>
      <c r="N23" s="59"/>
      <c r="O23" s="59"/>
    </row>
    <row r="24" spans="1:15" ht="15" customHeight="1">
      <c r="A24" s="23" t="s">
        <v>19</v>
      </c>
      <c r="B24" s="24" t="s">
        <v>403</v>
      </c>
      <c r="C24" s="25" t="s">
        <v>404</v>
      </c>
      <c r="D24" s="28">
        <v>7340395</v>
      </c>
      <c r="E24" s="28">
        <v>35750</v>
      </c>
      <c r="F24" s="28">
        <v>262419121250</v>
      </c>
      <c r="G24" s="81">
        <v>1.9199999999999998E-2</v>
      </c>
      <c r="L24" s="59"/>
      <c r="M24" s="59"/>
      <c r="N24" s="59"/>
      <c r="O24" s="59"/>
    </row>
    <row r="25" spans="1:15" ht="15" customHeight="1">
      <c r="A25" s="23" t="s">
        <v>287</v>
      </c>
      <c r="B25" s="24" t="s">
        <v>405</v>
      </c>
      <c r="C25" s="25" t="s">
        <v>406</v>
      </c>
      <c r="D25" s="28">
        <v>23125161</v>
      </c>
      <c r="E25" s="28">
        <v>95800</v>
      </c>
      <c r="F25" s="28">
        <v>2215390423800</v>
      </c>
      <c r="G25" s="81">
        <v>0.1618</v>
      </c>
      <c r="L25" s="59"/>
      <c r="M25" s="59"/>
      <c r="N25" s="59"/>
      <c r="O25" s="59"/>
    </row>
    <row r="26" spans="1:15" ht="15" customHeight="1">
      <c r="A26" s="23" t="s">
        <v>289</v>
      </c>
      <c r="B26" s="24" t="s">
        <v>407</v>
      </c>
      <c r="C26" s="25" t="s">
        <v>408</v>
      </c>
      <c r="D26" s="28">
        <v>12268866</v>
      </c>
      <c r="E26" s="28">
        <v>61000</v>
      </c>
      <c r="F26" s="28">
        <v>748400826000</v>
      </c>
      <c r="G26" s="81">
        <v>5.4699999999999999E-2</v>
      </c>
      <c r="L26" s="59"/>
      <c r="M26" s="59"/>
      <c r="N26" s="59"/>
      <c r="O26" s="59"/>
    </row>
    <row r="27" spans="1:15" ht="15" customHeight="1">
      <c r="A27" s="23" t="s">
        <v>292</v>
      </c>
      <c r="B27" s="24" t="s">
        <v>409</v>
      </c>
      <c r="C27" s="25" t="s">
        <v>410</v>
      </c>
      <c r="D27" s="28">
        <v>23660935</v>
      </c>
      <c r="E27" s="28">
        <v>29700</v>
      </c>
      <c r="F27" s="28">
        <v>702729769500</v>
      </c>
      <c r="G27" s="81">
        <v>5.1299999999999998E-2</v>
      </c>
      <c r="L27" s="59"/>
      <c r="M27" s="59"/>
      <c r="N27" s="59"/>
      <c r="O27" s="59"/>
    </row>
    <row r="28" spans="1:15" ht="15" customHeight="1">
      <c r="A28" s="23" t="s">
        <v>301</v>
      </c>
      <c r="B28" s="24" t="s">
        <v>411</v>
      </c>
      <c r="C28" s="25" t="s">
        <v>412</v>
      </c>
      <c r="D28" s="28">
        <v>16449096</v>
      </c>
      <c r="E28" s="28">
        <v>31500</v>
      </c>
      <c r="F28" s="28">
        <v>518146524000</v>
      </c>
      <c r="G28" s="81">
        <v>3.78E-2</v>
      </c>
      <c r="L28" s="59"/>
      <c r="M28" s="59"/>
      <c r="N28" s="59"/>
      <c r="O28" s="59"/>
    </row>
    <row r="29" spans="1:15" ht="15" customHeight="1">
      <c r="A29" s="23" t="s">
        <v>314</v>
      </c>
      <c r="B29" s="24" t="s">
        <v>413</v>
      </c>
      <c r="C29" s="25" t="s">
        <v>414</v>
      </c>
      <c r="D29" s="28">
        <v>33848128</v>
      </c>
      <c r="E29" s="28">
        <v>25300</v>
      </c>
      <c r="F29" s="28">
        <v>856357638400</v>
      </c>
      <c r="G29" s="81">
        <v>6.25E-2</v>
      </c>
      <c r="L29" s="59"/>
      <c r="M29" s="59"/>
      <c r="N29" s="59"/>
      <c r="O29" s="59"/>
    </row>
    <row r="30" spans="1:15" ht="15" customHeight="1">
      <c r="A30" s="23" t="s">
        <v>321</v>
      </c>
      <c r="B30" s="24" t="s">
        <v>415</v>
      </c>
      <c r="C30" s="25" t="s">
        <v>416</v>
      </c>
      <c r="D30" s="28">
        <v>18338099</v>
      </c>
      <c r="E30" s="28">
        <v>12400</v>
      </c>
      <c r="F30" s="28">
        <v>227392427600</v>
      </c>
      <c r="G30" s="81">
        <v>1.66E-2</v>
      </c>
      <c r="L30" s="59"/>
      <c r="M30" s="59"/>
      <c r="N30" s="59"/>
      <c r="O30" s="59"/>
    </row>
    <row r="31" spans="1:15" ht="15" customHeight="1">
      <c r="A31" s="23" t="s">
        <v>417</v>
      </c>
      <c r="B31" s="24" t="s">
        <v>418</v>
      </c>
      <c r="C31" s="25" t="s">
        <v>419</v>
      </c>
      <c r="D31" s="28">
        <v>24104000</v>
      </c>
      <c r="E31" s="28">
        <v>88400</v>
      </c>
      <c r="F31" s="28">
        <v>2130793600000</v>
      </c>
      <c r="G31" s="81">
        <v>0.15559999999999999</v>
      </c>
      <c r="L31" s="59"/>
      <c r="M31" s="59"/>
      <c r="N31" s="59"/>
      <c r="O31" s="59"/>
    </row>
    <row r="32" spans="1:15" ht="15" customHeight="1">
      <c r="A32" s="23" t="s">
        <v>420</v>
      </c>
      <c r="B32" s="24" t="s">
        <v>421</v>
      </c>
      <c r="C32" s="25" t="s">
        <v>422</v>
      </c>
      <c r="D32" s="28">
        <v>13130530</v>
      </c>
      <c r="E32" s="28">
        <v>30450</v>
      </c>
      <c r="F32" s="28">
        <v>399824638500</v>
      </c>
      <c r="G32" s="81">
        <v>2.92E-2</v>
      </c>
      <c r="L32" s="59"/>
      <c r="M32" s="59"/>
      <c r="N32" s="59"/>
      <c r="O32" s="59"/>
    </row>
    <row r="33" spans="1:15" ht="15" customHeight="1">
      <c r="A33" s="23" t="s">
        <v>423</v>
      </c>
      <c r="B33" s="24" t="s">
        <v>424</v>
      </c>
      <c r="C33" s="25" t="s">
        <v>425</v>
      </c>
      <c r="D33" s="28">
        <v>5029802</v>
      </c>
      <c r="E33" s="28">
        <v>11950</v>
      </c>
      <c r="F33" s="28">
        <v>60106133900</v>
      </c>
      <c r="G33" s="81">
        <v>4.4000000000000003E-3</v>
      </c>
      <c r="L33" s="59"/>
      <c r="M33" s="59"/>
      <c r="N33" s="59"/>
      <c r="O33" s="59"/>
    </row>
    <row r="34" spans="1:15" ht="15" customHeight="1">
      <c r="A34" s="23" t="s">
        <v>426</v>
      </c>
      <c r="B34" s="24" t="s">
        <v>427</v>
      </c>
      <c r="C34" s="25" t="s">
        <v>428</v>
      </c>
      <c r="D34" s="28">
        <v>13853404</v>
      </c>
      <c r="E34" s="28">
        <v>97000</v>
      </c>
      <c r="F34" s="28">
        <v>1343780188000</v>
      </c>
      <c r="G34" s="81">
        <v>9.8100000000000007E-2</v>
      </c>
      <c r="L34" s="59"/>
      <c r="M34" s="59"/>
      <c r="N34" s="59"/>
      <c r="O34" s="59"/>
    </row>
    <row r="35" spans="1:15" ht="15" customHeight="1">
      <c r="A35" s="23" t="s">
        <v>429</v>
      </c>
      <c r="B35" s="24" t="s">
        <v>430</v>
      </c>
      <c r="C35" s="25" t="s">
        <v>431</v>
      </c>
      <c r="D35" s="28">
        <v>8551566</v>
      </c>
      <c r="E35" s="28">
        <v>61000</v>
      </c>
      <c r="F35" s="28">
        <v>521645526000</v>
      </c>
      <c r="G35" s="81">
        <v>3.8100000000000002E-2</v>
      </c>
      <c r="L35" s="59"/>
      <c r="M35" s="59"/>
      <c r="N35" s="59"/>
      <c r="O35" s="59"/>
    </row>
    <row r="36" spans="1:15" ht="15" customHeight="1">
      <c r="A36" s="23" t="s">
        <v>432</v>
      </c>
      <c r="B36" s="24" t="s">
        <v>433</v>
      </c>
      <c r="C36" s="25" t="s">
        <v>434</v>
      </c>
      <c r="D36" s="28">
        <v>32751400</v>
      </c>
      <c r="E36" s="28">
        <v>34900</v>
      </c>
      <c r="F36" s="28">
        <v>1143023860000</v>
      </c>
      <c r="G36" s="81">
        <v>8.3500000000000005E-2</v>
      </c>
      <c r="L36" s="59"/>
      <c r="M36" s="59"/>
      <c r="N36" s="59"/>
      <c r="O36" s="59"/>
    </row>
    <row r="37" spans="1:15" ht="15" customHeight="1">
      <c r="A37" s="23" t="s">
        <v>435</v>
      </c>
      <c r="B37" s="24" t="s">
        <v>436</v>
      </c>
      <c r="C37" s="25" t="s">
        <v>437</v>
      </c>
      <c r="D37" s="28">
        <v>9623755</v>
      </c>
      <c r="E37" s="28">
        <v>17100</v>
      </c>
      <c r="F37" s="28">
        <v>164566210500</v>
      </c>
      <c r="G37" s="81">
        <v>1.2E-2</v>
      </c>
      <c r="L37" s="59"/>
      <c r="M37" s="59"/>
      <c r="N37" s="59"/>
      <c r="O37" s="59"/>
    </row>
    <row r="38" spans="1:15" ht="15" customHeight="1">
      <c r="A38" s="23" t="s">
        <v>438</v>
      </c>
      <c r="B38" s="24" t="s">
        <v>439</v>
      </c>
      <c r="C38" s="25" t="s">
        <v>440</v>
      </c>
      <c r="D38" s="28">
        <v>30011916</v>
      </c>
      <c r="E38" s="28">
        <v>28650</v>
      </c>
      <c r="F38" s="28">
        <v>859841393400</v>
      </c>
      <c r="G38" s="81">
        <v>6.2799999999999995E-2</v>
      </c>
      <c r="L38" s="59"/>
      <c r="M38" s="59"/>
      <c r="N38" s="59"/>
      <c r="O38" s="59"/>
    </row>
    <row r="39" spans="1:15" ht="21">
      <c r="A39" s="23"/>
      <c r="B39" s="145" t="s">
        <v>444</v>
      </c>
      <c r="C39" s="25" t="s">
        <v>441</v>
      </c>
      <c r="D39" s="28"/>
      <c r="E39" s="28"/>
      <c r="F39" s="28">
        <v>13454348644850</v>
      </c>
      <c r="G39" s="81">
        <v>0.98250000000000004</v>
      </c>
      <c r="L39" s="59"/>
      <c r="M39" s="59"/>
      <c r="N39" s="59"/>
      <c r="O39" s="59"/>
    </row>
    <row r="40" spans="1:15" ht="35.25" customHeight="1">
      <c r="A40" s="23" t="s">
        <v>340</v>
      </c>
      <c r="B40" s="24" t="s">
        <v>442</v>
      </c>
      <c r="C40" s="25" t="s">
        <v>443</v>
      </c>
      <c r="D40" s="28"/>
      <c r="E40" s="28"/>
      <c r="F40" s="28">
        <v>0</v>
      </c>
      <c r="G40" s="81">
        <v>0</v>
      </c>
      <c r="L40" s="59"/>
      <c r="M40" s="59"/>
      <c r="N40" s="59"/>
      <c r="O40" s="59"/>
    </row>
    <row r="41" spans="1:15" ht="21">
      <c r="A41" s="23"/>
      <c r="B41" s="24" t="s">
        <v>444</v>
      </c>
      <c r="C41" s="25" t="s">
        <v>445</v>
      </c>
      <c r="D41" s="28"/>
      <c r="E41" s="28"/>
      <c r="F41" s="28">
        <v>0</v>
      </c>
      <c r="G41" s="81">
        <v>0</v>
      </c>
      <c r="L41" s="59"/>
      <c r="M41" s="59"/>
      <c r="N41" s="59"/>
      <c r="O41" s="59"/>
    </row>
    <row r="42" spans="1:15" ht="21">
      <c r="A42" s="23"/>
      <c r="B42" s="24" t="s">
        <v>446</v>
      </c>
      <c r="C42" s="25" t="s">
        <v>447</v>
      </c>
      <c r="D42" s="28"/>
      <c r="E42" s="28"/>
      <c r="F42" s="28">
        <v>13454348644850</v>
      </c>
      <c r="G42" s="81">
        <v>0.98250000000000004</v>
      </c>
      <c r="L42" s="59"/>
      <c r="M42" s="59"/>
      <c r="N42" s="59"/>
      <c r="O42" s="59"/>
    </row>
    <row r="43" spans="1:15" ht="21">
      <c r="A43" s="23" t="s">
        <v>343</v>
      </c>
      <c r="B43" s="24" t="s">
        <v>448</v>
      </c>
      <c r="C43" s="25" t="s">
        <v>449</v>
      </c>
      <c r="D43" s="28"/>
      <c r="E43" s="28"/>
      <c r="F43" s="28">
        <v>0</v>
      </c>
      <c r="G43" s="81">
        <v>0</v>
      </c>
      <c r="L43" s="59"/>
      <c r="M43" s="59"/>
      <c r="N43" s="59"/>
      <c r="O43" s="59"/>
    </row>
    <row r="44" spans="1:15" ht="21">
      <c r="A44" s="23"/>
      <c r="B44" s="145" t="s">
        <v>444</v>
      </c>
      <c r="C44" s="25" t="s">
        <v>450</v>
      </c>
      <c r="D44" s="28"/>
      <c r="E44" s="28"/>
      <c r="F44" s="28">
        <v>0</v>
      </c>
      <c r="G44" s="81">
        <v>0</v>
      </c>
      <c r="L44" s="59"/>
      <c r="M44" s="59"/>
      <c r="N44" s="59"/>
      <c r="O44" s="59"/>
    </row>
    <row r="45" spans="1:15" ht="21">
      <c r="A45" s="23" t="s">
        <v>356</v>
      </c>
      <c r="B45" s="24" t="s">
        <v>451</v>
      </c>
      <c r="C45" s="25" t="s">
        <v>452</v>
      </c>
      <c r="D45" s="28"/>
      <c r="E45" s="28"/>
      <c r="F45" s="80">
        <v>0</v>
      </c>
      <c r="G45" s="81">
        <v>0</v>
      </c>
      <c r="L45" s="59"/>
      <c r="M45" s="59"/>
      <c r="N45" s="59"/>
      <c r="O45" s="59"/>
    </row>
    <row r="46" spans="1:15" ht="21">
      <c r="A46" s="23" t="s">
        <v>4</v>
      </c>
      <c r="B46" s="24" t="s">
        <v>453</v>
      </c>
      <c r="C46" s="25" t="s">
        <v>454</v>
      </c>
      <c r="D46" s="28"/>
      <c r="E46" s="28"/>
      <c r="F46" s="80">
        <v>0</v>
      </c>
      <c r="G46" s="81">
        <v>0</v>
      </c>
      <c r="L46" s="59"/>
      <c r="M46" s="59"/>
      <c r="N46" s="59"/>
      <c r="O46" s="59"/>
    </row>
    <row r="47" spans="1:15" ht="21">
      <c r="A47" s="23" t="s">
        <v>9</v>
      </c>
      <c r="B47" s="24" t="s">
        <v>455</v>
      </c>
      <c r="C47" s="25" t="s">
        <v>456</v>
      </c>
      <c r="D47" s="28"/>
      <c r="E47" s="28"/>
      <c r="F47" s="80">
        <v>0</v>
      </c>
      <c r="G47" s="81">
        <v>0</v>
      </c>
      <c r="L47" s="59"/>
      <c r="M47" s="59"/>
      <c r="N47" s="59"/>
      <c r="O47" s="59"/>
    </row>
    <row r="48" spans="1:15" ht="21">
      <c r="A48" s="23"/>
      <c r="B48" s="24" t="s">
        <v>444</v>
      </c>
      <c r="C48" s="25" t="s">
        <v>457</v>
      </c>
      <c r="D48" s="28"/>
      <c r="E48" s="28"/>
      <c r="F48" s="80">
        <v>0</v>
      </c>
      <c r="G48" s="81">
        <v>0</v>
      </c>
      <c r="L48" s="59"/>
      <c r="M48" s="59"/>
      <c r="N48" s="59"/>
      <c r="O48" s="59"/>
    </row>
    <row r="49" spans="1:15" ht="21">
      <c r="A49" s="23"/>
      <c r="B49" s="24" t="s">
        <v>458</v>
      </c>
      <c r="C49" s="25" t="s">
        <v>459</v>
      </c>
      <c r="D49" s="28"/>
      <c r="E49" s="28"/>
      <c r="F49" s="80">
        <v>13454348644850</v>
      </c>
      <c r="G49" s="81">
        <v>0.98250000000000004</v>
      </c>
      <c r="L49" s="59"/>
      <c r="M49" s="59"/>
      <c r="N49" s="59"/>
      <c r="O49" s="59"/>
    </row>
    <row r="50" spans="1:15" ht="21">
      <c r="A50" s="23" t="s">
        <v>359</v>
      </c>
      <c r="B50" s="24" t="s">
        <v>460</v>
      </c>
      <c r="C50" s="25" t="s">
        <v>461</v>
      </c>
      <c r="D50" s="28"/>
      <c r="E50" s="28"/>
      <c r="F50" s="28">
        <v>0</v>
      </c>
      <c r="G50" s="81">
        <v>0</v>
      </c>
      <c r="L50" s="59"/>
      <c r="M50" s="59"/>
      <c r="N50" s="59"/>
      <c r="O50" s="59"/>
    </row>
    <row r="51" spans="1:15" ht="21">
      <c r="A51" s="23" t="s">
        <v>4</v>
      </c>
      <c r="B51" s="24" t="s">
        <v>462</v>
      </c>
      <c r="C51" s="25" t="s">
        <v>463</v>
      </c>
      <c r="D51" s="28"/>
      <c r="E51" s="28"/>
      <c r="F51" s="28">
        <v>0</v>
      </c>
      <c r="G51" s="81">
        <v>0</v>
      </c>
      <c r="L51" s="59"/>
      <c r="M51" s="59"/>
      <c r="N51" s="59"/>
      <c r="O51" s="59"/>
    </row>
    <row r="52" spans="1:15" ht="21">
      <c r="A52" s="23" t="s">
        <v>9</v>
      </c>
      <c r="B52" s="24" t="s">
        <v>464</v>
      </c>
      <c r="C52" s="25" t="s">
        <v>465</v>
      </c>
      <c r="D52" s="28"/>
      <c r="E52" s="28"/>
      <c r="F52" s="28">
        <v>0</v>
      </c>
      <c r="G52" s="81">
        <v>0</v>
      </c>
      <c r="L52" s="59"/>
      <c r="M52" s="59"/>
      <c r="N52" s="59"/>
      <c r="O52" s="59"/>
    </row>
    <row r="53" spans="1:15" ht="21">
      <c r="A53" s="23" t="s">
        <v>14</v>
      </c>
      <c r="B53" s="24" t="s">
        <v>466</v>
      </c>
      <c r="C53" s="25" t="s">
        <v>467</v>
      </c>
      <c r="D53" s="28"/>
      <c r="E53" s="28"/>
      <c r="F53" s="80">
        <v>0</v>
      </c>
      <c r="G53" s="81">
        <v>0</v>
      </c>
      <c r="L53" s="59"/>
      <c r="M53" s="59"/>
      <c r="N53" s="59"/>
      <c r="O53" s="59"/>
    </row>
    <row r="54" spans="1:15" ht="31.5">
      <c r="A54" s="23" t="s">
        <v>19</v>
      </c>
      <c r="B54" s="24" t="s">
        <v>468</v>
      </c>
      <c r="C54" s="25" t="s">
        <v>469</v>
      </c>
      <c r="D54" s="28"/>
      <c r="E54" s="28"/>
      <c r="F54" s="80">
        <v>0</v>
      </c>
      <c r="G54" s="81">
        <v>0</v>
      </c>
      <c r="L54" s="59"/>
      <c r="M54" s="59"/>
      <c r="N54" s="59"/>
      <c r="O54" s="59"/>
    </row>
    <row r="55" spans="1:15" ht="33" customHeight="1">
      <c r="A55" s="23" t="s">
        <v>287</v>
      </c>
      <c r="B55" s="24" t="s">
        <v>470</v>
      </c>
      <c r="C55" s="25" t="s">
        <v>471</v>
      </c>
      <c r="D55" s="28"/>
      <c r="E55" s="28"/>
      <c r="F55" s="28">
        <v>0</v>
      </c>
      <c r="G55" s="81">
        <v>0</v>
      </c>
      <c r="L55" s="59"/>
      <c r="M55" s="59"/>
      <c r="N55" s="59"/>
      <c r="O55" s="59"/>
    </row>
    <row r="56" spans="1:15" ht="21">
      <c r="A56" s="23" t="s">
        <v>289</v>
      </c>
      <c r="B56" s="24" t="s">
        <v>472</v>
      </c>
      <c r="C56" s="25" t="s">
        <v>473</v>
      </c>
      <c r="D56" s="28"/>
      <c r="E56" s="28"/>
      <c r="F56" s="80">
        <v>16746214</v>
      </c>
      <c r="G56" s="81">
        <v>0</v>
      </c>
      <c r="L56" s="59"/>
      <c r="M56" s="59"/>
      <c r="N56" s="59"/>
      <c r="O56" s="59"/>
    </row>
    <row r="57" spans="1:15" ht="21">
      <c r="A57" s="23" t="s">
        <v>292</v>
      </c>
      <c r="B57" s="24" t="s">
        <v>474</v>
      </c>
      <c r="C57" s="25" t="s">
        <v>475</v>
      </c>
      <c r="D57" s="28"/>
      <c r="E57" s="28"/>
      <c r="F57" s="80">
        <v>0</v>
      </c>
      <c r="G57" s="81">
        <v>0</v>
      </c>
      <c r="L57" s="59"/>
      <c r="M57" s="59"/>
      <c r="N57" s="59"/>
      <c r="O57" s="59"/>
    </row>
    <row r="58" spans="1:15" ht="21">
      <c r="A58" s="23" t="s">
        <v>301</v>
      </c>
      <c r="B58" s="24" t="s">
        <v>476</v>
      </c>
      <c r="C58" s="25" t="s">
        <v>477</v>
      </c>
      <c r="D58" s="28"/>
      <c r="E58" s="28"/>
      <c r="F58" s="80">
        <v>0</v>
      </c>
      <c r="G58" s="81">
        <v>0</v>
      </c>
      <c r="L58" s="59"/>
      <c r="M58" s="59"/>
      <c r="N58" s="59"/>
      <c r="O58" s="59"/>
    </row>
    <row r="59" spans="1:15" ht="21">
      <c r="A59" s="23" t="s">
        <v>314</v>
      </c>
      <c r="B59" s="24" t="s">
        <v>478</v>
      </c>
      <c r="C59" s="25" t="s">
        <v>479</v>
      </c>
      <c r="D59" s="28"/>
      <c r="E59" s="28"/>
      <c r="F59" s="80">
        <v>0</v>
      </c>
      <c r="G59" s="81">
        <v>0</v>
      </c>
      <c r="L59" s="59"/>
      <c r="M59" s="59"/>
      <c r="N59" s="59"/>
      <c r="O59" s="59"/>
    </row>
    <row r="60" spans="1:15" ht="31.5">
      <c r="A60" s="23" t="s">
        <v>321</v>
      </c>
      <c r="B60" s="24" t="s">
        <v>480</v>
      </c>
      <c r="C60" s="25" t="s">
        <v>481</v>
      </c>
      <c r="D60" s="28"/>
      <c r="E60" s="28"/>
      <c r="F60" s="80">
        <v>0</v>
      </c>
      <c r="G60" s="81">
        <v>0</v>
      </c>
      <c r="L60" s="59"/>
      <c r="M60" s="59"/>
      <c r="N60" s="59"/>
      <c r="O60" s="59"/>
    </row>
    <row r="61" spans="1:15" ht="21" customHeight="1">
      <c r="A61" s="23" t="s">
        <v>417</v>
      </c>
      <c r="B61" s="24" t="s">
        <v>482</v>
      </c>
      <c r="C61" s="25" t="s">
        <v>483</v>
      </c>
      <c r="D61" s="28"/>
      <c r="E61" s="28"/>
      <c r="F61" s="80">
        <v>0</v>
      </c>
      <c r="G61" s="81">
        <v>0</v>
      </c>
      <c r="L61" s="59"/>
      <c r="M61" s="59"/>
      <c r="N61" s="59"/>
      <c r="O61" s="59"/>
    </row>
    <row r="62" spans="1:15" ht="21">
      <c r="A62" s="23"/>
      <c r="B62" s="24" t="s">
        <v>444</v>
      </c>
      <c r="C62" s="25" t="s">
        <v>484</v>
      </c>
      <c r="D62" s="28"/>
      <c r="E62" s="28"/>
      <c r="F62" s="28">
        <v>16746214</v>
      </c>
      <c r="G62" s="81">
        <v>0</v>
      </c>
      <c r="L62" s="59"/>
      <c r="M62" s="59"/>
      <c r="N62" s="59"/>
      <c r="O62" s="59"/>
    </row>
    <row r="63" spans="1:15" ht="21">
      <c r="A63" s="23" t="s">
        <v>362</v>
      </c>
      <c r="B63" s="24" t="s">
        <v>37</v>
      </c>
      <c r="C63" s="25" t="s">
        <v>485</v>
      </c>
      <c r="D63" s="28"/>
      <c r="E63" s="28"/>
      <c r="F63" s="28">
        <v>0</v>
      </c>
      <c r="G63" s="81">
        <v>0</v>
      </c>
      <c r="L63" s="59"/>
      <c r="M63" s="59"/>
      <c r="N63" s="59"/>
      <c r="O63" s="59"/>
    </row>
    <row r="64" spans="1:15" ht="21">
      <c r="A64" s="23" t="s">
        <v>4</v>
      </c>
      <c r="B64" s="24" t="s">
        <v>486</v>
      </c>
      <c r="C64" s="25" t="s">
        <v>487</v>
      </c>
      <c r="D64" s="28"/>
      <c r="E64" s="28"/>
      <c r="F64" s="28">
        <v>239516907294</v>
      </c>
      <c r="G64" s="81">
        <v>1.7500000000000002E-2</v>
      </c>
      <c r="L64" s="59"/>
      <c r="M64" s="59"/>
      <c r="N64" s="59"/>
      <c r="O64" s="59"/>
    </row>
    <row r="65" spans="1:15" ht="21">
      <c r="A65" s="23"/>
      <c r="B65" s="24" t="s">
        <v>488</v>
      </c>
      <c r="C65" s="25" t="s">
        <v>489</v>
      </c>
      <c r="D65" s="28"/>
      <c r="E65" s="28"/>
      <c r="F65" s="28">
        <v>0</v>
      </c>
      <c r="G65" s="81">
        <v>0</v>
      </c>
      <c r="L65" s="59"/>
      <c r="M65" s="59"/>
      <c r="N65" s="59"/>
      <c r="O65" s="59"/>
    </row>
    <row r="66" spans="1:15" ht="21">
      <c r="A66" s="23"/>
      <c r="B66" s="24" t="s">
        <v>490</v>
      </c>
      <c r="C66" s="25" t="s">
        <v>491</v>
      </c>
      <c r="D66" s="28"/>
      <c r="E66" s="28"/>
      <c r="F66" s="28">
        <v>239516907294</v>
      </c>
      <c r="G66" s="81">
        <v>1.7500000000000002E-2</v>
      </c>
      <c r="L66" s="59"/>
      <c r="M66" s="59"/>
      <c r="N66" s="59"/>
      <c r="O66" s="59"/>
    </row>
    <row r="67" spans="1:15" ht="21">
      <c r="A67" s="23"/>
      <c r="B67" s="24" t="s">
        <v>492</v>
      </c>
      <c r="C67" s="25" t="s">
        <v>493</v>
      </c>
      <c r="D67" s="28"/>
      <c r="E67" s="28"/>
      <c r="F67" s="28">
        <v>0</v>
      </c>
      <c r="G67" s="81">
        <v>0</v>
      </c>
      <c r="L67" s="59"/>
      <c r="M67" s="59"/>
      <c r="N67" s="59"/>
      <c r="O67" s="59"/>
    </row>
    <row r="68" spans="1:15" ht="21">
      <c r="A68" s="23" t="s">
        <v>9</v>
      </c>
      <c r="B68" s="24" t="s">
        <v>494</v>
      </c>
      <c r="C68" s="25" t="s">
        <v>495</v>
      </c>
      <c r="D68" s="28"/>
      <c r="E68" s="28"/>
      <c r="F68" s="80">
        <v>0</v>
      </c>
      <c r="G68" s="81">
        <v>0</v>
      </c>
      <c r="L68" s="59"/>
      <c r="M68" s="59"/>
      <c r="N68" s="59"/>
      <c r="O68" s="59"/>
    </row>
    <row r="69" spans="1:15" ht="21">
      <c r="A69" s="23" t="s">
        <v>14</v>
      </c>
      <c r="B69" s="24" t="s">
        <v>496</v>
      </c>
      <c r="C69" s="25" t="s">
        <v>497</v>
      </c>
      <c r="D69" s="28"/>
      <c r="E69" s="28"/>
      <c r="F69" s="80">
        <v>0</v>
      </c>
      <c r="G69" s="81">
        <v>0</v>
      </c>
      <c r="L69" s="59"/>
      <c r="M69" s="59"/>
      <c r="N69" s="59"/>
      <c r="O69" s="59"/>
    </row>
    <row r="70" spans="1:15" ht="21">
      <c r="A70" s="23" t="s">
        <v>19</v>
      </c>
      <c r="B70" s="24" t="s">
        <v>498</v>
      </c>
      <c r="C70" s="25" t="s">
        <v>499</v>
      </c>
      <c r="D70" s="28"/>
      <c r="E70" s="28"/>
      <c r="F70" s="80">
        <v>0</v>
      </c>
      <c r="G70" s="81">
        <v>0</v>
      </c>
      <c r="L70" s="59"/>
      <c r="M70" s="59"/>
      <c r="N70" s="59"/>
      <c r="O70" s="59"/>
    </row>
    <row r="71" spans="1:15" ht="21">
      <c r="A71" s="23"/>
      <c r="B71" s="24" t="s">
        <v>444</v>
      </c>
      <c r="C71" s="25" t="s">
        <v>500</v>
      </c>
      <c r="D71" s="28"/>
      <c r="E71" s="28"/>
      <c r="F71" s="28">
        <v>239516907294</v>
      </c>
      <c r="G71" s="81">
        <v>1.7500000000000002E-2</v>
      </c>
      <c r="L71" s="59"/>
      <c r="M71" s="59"/>
      <c r="N71" s="59"/>
      <c r="O71" s="59"/>
    </row>
    <row r="72" spans="1:15" ht="21">
      <c r="A72" s="82" t="s">
        <v>376</v>
      </c>
      <c r="B72" s="83" t="s">
        <v>501</v>
      </c>
      <c r="C72" s="84" t="s">
        <v>502</v>
      </c>
      <c r="D72" s="71"/>
      <c r="E72" s="71"/>
      <c r="F72" s="71">
        <v>13693882298358</v>
      </c>
      <c r="G72" s="323">
        <v>1</v>
      </c>
      <c r="I72" s="85"/>
    </row>
    <row r="73" spans="1:15">
      <c r="A73" s="73"/>
      <c r="B73" s="73"/>
      <c r="C73" s="73"/>
      <c r="D73" s="73"/>
      <c r="E73" s="73"/>
      <c r="F73" s="73"/>
      <c r="G73" s="321"/>
    </row>
    <row r="74" spans="1:15">
      <c r="A74" s="263" t="s">
        <v>503</v>
      </c>
      <c r="B74" s="263"/>
      <c r="C74" s="73"/>
      <c r="D74" s="73"/>
      <c r="E74" s="73"/>
      <c r="F74" s="73"/>
      <c r="G74" s="321"/>
    </row>
    <row r="75" spans="1:15" ht="24" customHeight="1">
      <c r="A75" s="264" t="s">
        <v>504</v>
      </c>
      <c r="B75" s="264"/>
      <c r="C75" s="264"/>
      <c r="D75" s="264"/>
      <c r="E75" s="264"/>
      <c r="F75" s="264"/>
      <c r="G75" s="264"/>
    </row>
    <row r="76" spans="1:15" ht="7.5" customHeight="1">
      <c r="A76" s="76"/>
      <c r="B76" s="76"/>
      <c r="C76" s="76"/>
      <c r="D76" s="76"/>
      <c r="E76" s="76"/>
      <c r="F76" s="76"/>
      <c r="G76" s="324"/>
    </row>
    <row r="77" spans="1:15" ht="51" customHeight="1">
      <c r="A77" s="86" t="s">
        <v>505</v>
      </c>
      <c r="B77" s="87" t="s">
        <v>506</v>
      </c>
      <c r="C77" s="87" t="s">
        <v>507</v>
      </c>
      <c r="D77" s="87" t="s">
        <v>508</v>
      </c>
      <c r="E77" s="87" t="s">
        <v>509</v>
      </c>
      <c r="F77" s="87" t="s">
        <v>510</v>
      </c>
      <c r="G77" s="325" t="s">
        <v>511</v>
      </c>
    </row>
    <row r="78" spans="1:15" ht="15" customHeight="1">
      <c r="A78" s="73"/>
      <c r="B78" s="73"/>
      <c r="C78" s="73"/>
      <c r="D78" s="73"/>
      <c r="E78" s="73"/>
      <c r="F78" s="73"/>
      <c r="G78" s="321"/>
    </row>
    <row r="79" spans="1:15" ht="15" customHeight="1">
      <c r="A79" s="260" t="s">
        <v>221</v>
      </c>
      <c r="B79" s="260"/>
      <c r="C79" s="260"/>
      <c r="D79" s="260" t="s">
        <v>222</v>
      </c>
      <c r="E79" s="260"/>
      <c r="F79" s="260"/>
      <c r="G79" s="260"/>
    </row>
    <row r="80" spans="1:15" ht="15" customHeight="1">
      <c r="A80" s="257" t="s">
        <v>223</v>
      </c>
      <c r="B80" s="257"/>
      <c r="C80" s="257"/>
      <c r="D80" s="257" t="s">
        <v>224</v>
      </c>
      <c r="E80" s="257"/>
      <c r="F80" s="257"/>
      <c r="G80" s="257"/>
    </row>
    <row r="81" spans="1:7" ht="15" customHeight="1">
      <c r="A81" s="73"/>
      <c r="B81" s="73"/>
      <c r="C81" s="73"/>
      <c r="D81" s="73"/>
      <c r="E81" s="73"/>
      <c r="F81" s="73"/>
      <c r="G81" s="321"/>
    </row>
    <row r="82" spans="1:7" ht="15" customHeight="1">
      <c r="A82" s="73"/>
      <c r="B82" s="73"/>
      <c r="C82" s="73"/>
      <c r="D82" s="73"/>
      <c r="E82" s="73"/>
      <c r="F82" s="73"/>
      <c r="G82" s="321"/>
    </row>
    <row r="83" spans="1:7" ht="15.75" customHeight="1">
      <c r="A83" s="73"/>
      <c r="B83" s="73"/>
      <c r="C83" s="73"/>
      <c r="D83" s="73"/>
      <c r="E83" s="73"/>
      <c r="F83" s="73"/>
      <c r="G83" s="321"/>
    </row>
    <row r="84" spans="1:7" ht="15.75" customHeight="1">
      <c r="A84" s="73"/>
      <c r="B84" s="73"/>
      <c r="C84" s="73"/>
      <c r="D84" s="73"/>
      <c r="E84" s="73"/>
      <c r="F84" s="73"/>
      <c r="G84" s="321"/>
    </row>
    <row r="85" spans="1:7" ht="15.75" customHeight="1">
      <c r="A85" s="73"/>
      <c r="B85" s="73"/>
      <c r="C85" s="73"/>
      <c r="D85" s="73"/>
      <c r="E85" s="73"/>
      <c r="F85" s="73"/>
      <c r="G85" s="321"/>
    </row>
    <row r="86" spans="1:7" ht="15" customHeight="1">
      <c r="A86" s="260" t="s">
        <v>225</v>
      </c>
      <c r="B86" s="260"/>
      <c r="C86" s="260"/>
      <c r="D86" s="260" t="s">
        <v>226</v>
      </c>
      <c r="E86" s="260"/>
      <c r="F86" s="260"/>
      <c r="G86" s="260"/>
    </row>
    <row r="87" spans="1:7" ht="15.75" customHeight="1">
      <c r="A87" s="260" t="s">
        <v>227</v>
      </c>
      <c r="B87" s="260"/>
      <c r="C87" s="260"/>
      <c r="D87" s="260" t="s">
        <v>228</v>
      </c>
      <c r="E87" s="260"/>
      <c r="F87" s="260"/>
      <c r="G87" s="260"/>
    </row>
    <row r="88" spans="1:7" ht="15" customHeight="1">
      <c r="A88" s="260" t="s">
        <v>229</v>
      </c>
      <c r="B88" s="260"/>
      <c r="C88" s="260"/>
      <c r="D88" s="260" t="s">
        <v>230</v>
      </c>
      <c r="E88" s="260"/>
      <c r="F88" s="260"/>
      <c r="G88" s="260"/>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59055118110236227" bottom="0" header="0.51181102362204722" footer="0"/>
  <pageSetup paperSize="9" scale="85"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heetViews>
  <sheetFormatPr defaultColWidth="9.28515625" defaultRowHeight="10.5"/>
  <cols>
    <col min="1" max="1" width="5.42578125" style="88" customWidth="1"/>
    <col min="2" max="2" width="42.85546875" style="88" customWidth="1"/>
    <col min="3" max="3" width="7.28515625" style="88" customWidth="1"/>
    <col min="4" max="4" width="20.28515625" style="88" customWidth="1"/>
    <col min="5" max="5" width="14.5703125" style="88" customWidth="1"/>
    <col min="6" max="6" width="11.7109375" style="88" customWidth="1"/>
    <col min="7" max="7" width="17.5703125" style="88" customWidth="1"/>
    <col min="8" max="8" width="8.28515625" style="88" customWidth="1"/>
    <col min="9" max="9" width="16.28515625" style="88" customWidth="1"/>
    <col min="10" max="10" width="8.5703125" style="88" customWidth="1"/>
    <col min="11" max="11" width="18.5703125" style="88" customWidth="1"/>
    <col min="12" max="256" width="9.28515625" style="88"/>
    <col min="257" max="257" width="5.42578125" style="88" customWidth="1"/>
    <col min="258" max="258" width="42.85546875" style="88" customWidth="1"/>
    <col min="259" max="259" width="7.28515625" style="88" customWidth="1"/>
    <col min="260" max="260" width="20.28515625" style="88" customWidth="1"/>
    <col min="261" max="261" width="14.5703125" style="88" customWidth="1"/>
    <col min="262" max="262" width="11.7109375" style="88" customWidth="1"/>
    <col min="263" max="263" width="17.5703125" style="88" customWidth="1"/>
    <col min="264" max="264" width="8.28515625" style="88" customWidth="1"/>
    <col min="265" max="265" width="16.28515625" style="88" customWidth="1"/>
    <col min="266" max="266" width="8.5703125" style="88" customWidth="1"/>
    <col min="267" max="267" width="18.5703125" style="88" customWidth="1"/>
    <col min="268" max="512" width="9.28515625" style="88"/>
    <col min="513" max="513" width="5.42578125" style="88" customWidth="1"/>
    <col min="514" max="514" width="42.85546875" style="88" customWidth="1"/>
    <col min="515" max="515" width="7.28515625" style="88" customWidth="1"/>
    <col min="516" max="516" width="20.28515625" style="88" customWidth="1"/>
    <col min="517" max="517" width="14.5703125" style="88" customWidth="1"/>
    <col min="518" max="518" width="11.7109375" style="88" customWidth="1"/>
    <col min="519" max="519" width="17.5703125" style="88" customWidth="1"/>
    <col min="520" max="520" width="8.28515625" style="88" customWidth="1"/>
    <col min="521" max="521" width="16.28515625" style="88" customWidth="1"/>
    <col min="522" max="522" width="8.5703125" style="88" customWidth="1"/>
    <col min="523" max="523" width="18.5703125" style="88" customWidth="1"/>
    <col min="524" max="768" width="9.28515625" style="88"/>
    <col min="769" max="769" width="5.42578125" style="88" customWidth="1"/>
    <col min="770" max="770" width="42.85546875" style="88" customWidth="1"/>
    <col min="771" max="771" width="7.28515625" style="88" customWidth="1"/>
    <col min="772" max="772" width="20.28515625" style="88" customWidth="1"/>
    <col min="773" max="773" width="14.5703125" style="88" customWidth="1"/>
    <col min="774" max="774" width="11.7109375" style="88" customWidth="1"/>
    <col min="775" max="775" width="17.5703125" style="88" customWidth="1"/>
    <col min="776" max="776" width="8.28515625" style="88" customWidth="1"/>
    <col min="777" max="777" width="16.28515625" style="88" customWidth="1"/>
    <col min="778" max="778" width="8.5703125" style="88" customWidth="1"/>
    <col min="779" max="779" width="18.5703125" style="88" customWidth="1"/>
    <col min="780" max="1024" width="9.28515625" style="88"/>
    <col min="1025" max="1025" width="5.42578125" style="88" customWidth="1"/>
    <col min="1026" max="1026" width="42.85546875" style="88" customWidth="1"/>
    <col min="1027" max="1027" width="7.28515625" style="88" customWidth="1"/>
    <col min="1028" max="1028" width="20.28515625" style="88" customWidth="1"/>
    <col min="1029" max="1029" width="14.5703125" style="88" customWidth="1"/>
    <col min="1030" max="1030" width="11.7109375" style="88" customWidth="1"/>
    <col min="1031" max="1031" width="17.5703125" style="88" customWidth="1"/>
    <col min="1032" max="1032" width="8.28515625" style="88" customWidth="1"/>
    <col min="1033" max="1033" width="16.28515625" style="88" customWidth="1"/>
    <col min="1034" max="1034" width="8.5703125" style="88" customWidth="1"/>
    <col min="1035" max="1035" width="18.5703125" style="88" customWidth="1"/>
    <col min="1036" max="1280" width="9.28515625" style="88"/>
    <col min="1281" max="1281" width="5.42578125" style="88" customWidth="1"/>
    <col min="1282" max="1282" width="42.85546875" style="88" customWidth="1"/>
    <col min="1283" max="1283" width="7.28515625" style="88" customWidth="1"/>
    <col min="1284" max="1284" width="20.28515625" style="88" customWidth="1"/>
    <col min="1285" max="1285" width="14.5703125" style="88" customWidth="1"/>
    <col min="1286" max="1286" width="11.7109375" style="88" customWidth="1"/>
    <col min="1287" max="1287" width="17.5703125" style="88" customWidth="1"/>
    <col min="1288" max="1288" width="8.28515625" style="88" customWidth="1"/>
    <col min="1289" max="1289" width="16.28515625" style="88" customWidth="1"/>
    <col min="1290" max="1290" width="8.5703125" style="88" customWidth="1"/>
    <col min="1291" max="1291" width="18.5703125" style="88" customWidth="1"/>
    <col min="1292" max="1536" width="9.28515625" style="88"/>
    <col min="1537" max="1537" width="5.42578125" style="88" customWidth="1"/>
    <col min="1538" max="1538" width="42.85546875" style="88" customWidth="1"/>
    <col min="1539" max="1539" width="7.28515625" style="88" customWidth="1"/>
    <col min="1540" max="1540" width="20.28515625" style="88" customWidth="1"/>
    <col min="1541" max="1541" width="14.5703125" style="88" customWidth="1"/>
    <col min="1542" max="1542" width="11.7109375" style="88" customWidth="1"/>
    <col min="1543" max="1543" width="17.5703125" style="88" customWidth="1"/>
    <col min="1544" max="1544" width="8.28515625" style="88" customWidth="1"/>
    <col min="1545" max="1545" width="16.28515625" style="88" customWidth="1"/>
    <col min="1546" max="1546" width="8.5703125" style="88" customWidth="1"/>
    <col min="1547" max="1547" width="18.5703125" style="88" customWidth="1"/>
    <col min="1548" max="1792" width="9.28515625" style="88"/>
    <col min="1793" max="1793" width="5.42578125" style="88" customWidth="1"/>
    <col min="1794" max="1794" width="42.85546875" style="88" customWidth="1"/>
    <col min="1795" max="1795" width="7.28515625" style="88" customWidth="1"/>
    <col min="1796" max="1796" width="20.28515625" style="88" customWidth="1"/>
    <col min="1797" max="1797" width="14.5703125" style="88" customWidth="1"/>
    <col min="1798" max="1798" width="11.7109375" style="88" customWidth="1"/>
    <col min="1799" max="1799" width="17.5703125" style="88" customWidth="1"/>
    <col min="1800" max="1800" width="8.28515625" style="88" customWidth="1"/>
    <col min="1801" max="1801" width="16.28515625" style="88" customWidth="1"/>
    <col min="1802" max="1802" width="8.5703125" style="88" customWidth="1"/>
    <col min="1803" max="1803" width="18.5703125" style="88" customWidth="1"/>
    <col min="1804" max="2048" width="9.28515625" style="88"/>
    <col min="2049" max="2049" width="5.42578125" style="88" customWidth="1"/>
    <col min="2050" max="2050" width="42.85546875" style="88" customWidth="1"/>
    <col min="2051" max="2051" width="7.28515625" style="88" customWidth="1"/>
    <col min="2052" max="2052" width="20.28515625" style="88" customWidth="1"/>
    <col min="2053" max="2053" width="14.5703125" style="88" customWidth="1"/>
    <col min="2054" max="2054" width="11.7109375" style="88" customWidth="1"/>
    <col min="2055" max="2055" width="17.5703125" style="88" customWidth="1"/>
    <col min="2056" max="2056" width="8.28515625" style="88" customWidth="1"/>
    <col min="2057" max="2057" width="16.28515625" style="88" customWidth="1"/>
    <col min="2058" max="2058" width="8.5703125" style="88" customWidth="1"/>
    <col min="2059" max="2059" width="18.5703125" style="88" customWidth="1"/>
    <col min="2060" max="2304" width="9.28515625" style="88"/>
    <col min="2305" max="2305" width="5.42578125" style="88" customWidth="1"/>
    <col min="2306" max="2306" width="42.85546875" style="88" customWidth="1"/>
    <col min="2307" max="2307" width="7.28515625" style="88" customWidth="1"/>
    <col min="2308" max="2308" width="20.28515625" style="88" customWidth="1"/>
    <col min="2309" max="2309" width="14.5703125" style="88" customWidth="1"/>
    <col min="2310" max="2310" width="11.7109375" style="88" customWidth="1"/>
    <col min="2311" max="2311" width="17.5703125" style="88" customWidth="1"/>
    <col min="2312" max="2312" width="8.28515625" style="88" customWidth="1"/>
    <col min="2313" max="2313" width="16.28515625" style="88" customWidth="1"/>
    <col min="2314" max="2314" width="8.5703125" style="88" customWidth="1"/>
    <col min="2315" max="2315" width="18.5703125" style="88" customWidth="1"/>
    <col min="2316" max="2560" width="9.28515625" style="88"/>
    <col min="2561" max="2561" width="5.42578125" style="88" customWidth="1"/>
    <col min="2562" max="2562" width="42.85546875" style="88" customWidth="1"/>
    <col min="2563" max="2563" width="7.28515625" style="88" customWidth="1"/>
    <col min="2564" max="2564" width="20.28515625" style="88" customWidth="1"/>
    <col min="2565" max="2565" width="14.5703125" style="88" customWidth="1"/>
    <col min="2566" max="2566" width="11.7109375" style="88" customWidth="1"/>
    <col min="2567" max="2567" width="17.5703125" style="88" customWidth="1"/>
    <col min="2568" max="2568" width="8.28515625" style="88" customWidth="1"/>
    <col min="2569" max="2569" width="16.28515625" style="88" customWidth="1"/>
    <col min="2570" max="2570" width="8.5703125" style="88" customWidth="1"/>
    <col min="2571" max="2571" width="18.5703125" style="88" customWidth="1"/>
    <col min="2572" max="2816" width="9.28515625" style="88"/>
    <col min="2817" max="2817" width="5.42578125" style="88" customWidth="1"/>
    <col min="2818" max="2818" width="42.85546875" style="88" customWidth="1"/>
    <col min="2819" max="2819" width="7.28515625" style="88" customWidth="1"/>
    <col min="2820" max="2820" width="20.28515625" style="88" customWidth="1"/>
    <col min="2821" max="2821" width="14.5703125" style="88" customWidth="1"/>
    <col min="2822" max="2822" width="11.7109375" style="88" customWidth="1"/>
    <col min="2823" max="2823" width="17.5703125" style="88" customWidth="1"/>
    <col min="2824" max="2824" width="8.28515625" style="88" customWidth="1"/>
    <col min="2825" max="2825" width="16.28515625" style="88" customWidth="1"/>
    <col min="2826" max="2826" width="8.5703125" style="88" customWidth="1"/>
    <col min="2827" max="2827" width="18.5703125" style="88" customWidth="1"/>
    <col min="2828" max="3072" width="9.28515625" style="88"/>
    <col min="3073" max="3073" width="5.42578125" style="88" customWidth="1"/>
    <col min="3074" max="3074" width="42.85546875" style="88" customWidth="1"/>
    <col min="3075" max="3075" width="7.28515625" style="88" customWidth="1"/>
    <col min="3076" max="3076" width="20.28515625" style="88" customWidth="1"/>
    <col min="3077" max="3077" width="14.5703125" style="88" customWidth="1"/>
    <col min="3078" max="3078" width="11.7109375" style="88" customWidth="1"/>
    <col min="3079" max="3079" width="17.5703125" style="88" customWidth="1"/>
    <col min="3080" max="3080" width="8.28515625" style="88" customWidth="1"/>
    <col min="3081" max="3081" width="16.28515625" style="88" customWidth="1"/>
    <col min="3082" max="3082" width="8.5703125" style="88" customWidth="1"/>
    <col min="3083" max="3083" width="18.5703125" style="88" customWidth="1"/>
    <col min="3084" max="3328" width="9.28515625" style="88"/>
    <col min="3329" max="3329" width="5.42578125" style="88" customWidth="1"/>
    <col min="3330" max="3330" width="42.85546875" style="88" customWidth="1"/>
    <col min="3331" max="3331" width="7.28515625" style="88" customWidth="1"/>
    <col min="3332" max="3332" width="20.28515625" style="88" customWidth="1"/>
    <col min="3333" max="3333" width="14.5703125" style="88" customWidth="1"/>
    <col min="3334" max="3334" width="11.7109375" style="88" customWidth="1"/>
    <col min="3335" max="3335" width="17.5703125" style="88" customWidth="1"/>
    <col min="3336" max="3336" width="8.28515625" style="88" customWidth="1"/>
    <col min="3337" max="3337" width="16.28515625" style="88" customWidth="1"/>
    <col min="3338" max="3338" width="8.5703125" style="88" customWidth="1"/>
    <col min="3339" max="3339" width="18.5703125" style="88" customWidth="1"/>
    <col min="3340" max="3584" width="9.28515625" style="88"/>
    <col min="3585" max="3585" width="5.42578125" style="88" customWidth="1"/>
    <col min="3586" max="3586" width="42.85546875" style="88" customWidth="1"/>
    <col min="3587" max="3587" width="7.28515625" style="88" customWidth="1"/>
    <col min="3588" max="3588" width="20.28515625" style="88" customWidth="1"/>
    <col min="3589" max="3589" width="14.5703125" style="88" customWidth="1"/>
    <col min="3590" max="3590" width="11.7109375" style="88" customWidth="1"/>
    <col min="3591" max="3591" width="17.5703125" style="88" customWidth="1"/>
    <col min="3592" max="3592" width="8.28515625" style="88" customWidth="1"/>
    <col min="3593" max="3593" width="16.28515625" style="88" customWidth="1"/>
    <col min="3594" max="3594" width="8.5703125" style="88" customWidth="1"/>
    <col min="3595" max="3595" width="18.5703125" style="88" customWidth="1"/>
    <col min="3596" max="3840" width="9.28515625" style="88"/>
    <col min="3841" max="3841" width="5.42578125" style="88" customWidth="1"/>
    <col min="3842" max="3842" width="42.85546875" style="88" customWidth="1"/>
    <col min="3843" max="3843" width="7.28515625" style="88" customWidth="1"/>
    <col min="3844" max="3844" width="20.28515625" style="88" customWidth="1"/>
    <col min="3845" max="3845" width="14.5703125" style="88" customWidth="1"/>
    <col min="3846" max="3846" width="11.7109375" style="88" customWidth="1"/>
    <col min="3847" max="3847" width="17.5703125" style="88" customWidth="1"/>
    <col min="3848" max="3848" width="8.28515625" style="88" customWidth="1"/>
    <col min="3849" max="3849" width="16.28515625" style="88" customWidth="1"/>
    <col min="3850" max="3850" width="8.5703125" style="88" customWidth="1"/>
    <col min="3851" max="3851" width="18.5703125" style="88" customWidth="1"/>
    <col min="3852" max="4096" width="9.28515625" style="88"/>
    <col min="4097" max="4097" width="5.42578125" style="88" customWidth="1"/>
    <col min="4098" max="4098" width="42.85546875" style="88" customWidth="1"/>
    <col min="4099" max="4099" width="7.28515625" style="88" customWidth="1"/>
    <col min="4100" max="4100" width="20.28515625" style="88" customWidth="1"/>
    <col min="4101" max="4101" width="14.5703125" style="88" customWidth="1"/>
    <col min="4102" max="4102" width="11.7109375" style="88" customWidth="1"/>
    <col min="4103" max="4103" width="17.5703125" style="88" customWidth="1"/>
    <col min="4104" max="4104" width="8.28515625" style="88" customWidth="1"/>
    <col min="4105" max="4105" width="16.28515625" style="88" customWidth="1"/>
    <col min="4106" max="4106" width="8.5703125" style="88" customWidth="1"/>
    <col min="4107" max="4107" width="18.5703125" style="88" customWidth="1"/>
    <col min="4108" max="4352" width="9.28515625" style="88"/>
    <col min="4353" max="4353" width="5.42578125" style="88" customWidth="1"/>
    <col min="4354" max="4354" width="42.85546875" style="88" customWidth="1"/>
    <col min="4355" max="4355" width="7.28515625" style="88" customWidth="1"/>
    <col min="4356" max="4356" width="20.28515625" style="88" customWidth="1"/>
    <col min="4357" max="4357" width="14.5703125" style="88" customWidth="1"/>
    <col min="4358" max="4358" width="11.7109375" style="88" customWidth="1"/>
    <col min="4359" max="4359" width="17.5703125" style="88" customWidth="1"/>
    <col min="4360" max="4360" width="8.28515625" style="88" customWidth="1"/>
    <col min="4361" max="4361" width="16.28515625" style="88" customWidth="1"/>
    <col min="4362" max="4362" width="8.5703125" style="88" customWidth="1"/>
    <col min="4363" max="4363" width="18.5703125" style="88" customWidth="1"/>
    <col min="4364" max="4608" width="9.28515625" style="88"/>
    <col min="4609" max="4609" width="5.42578125" style="88" customWidth="1"/>
    <col min="4610" max="4610" width="42.85546875" style="88" customWidth="1"/>
    <col min="4611" max="4611" width="7.28515625" style="88" customWidth="1"/>
    <col min="4612" max="4612" width="20.28515625" style="88" customWidth="1"/>
    <col min="4613" max="4613" width="14.5703125" style="88" customWidth="1"/>
    <col min="4614" max="4614" width="11.7109375" style="88" customWidth="1"/>
    <col min="4615" max="4615" width="17.5703125" style="88" customWidth="1"/>
    <col min="4616" max="4616" width="8.28515625" style="88" customWidth="1"/>
    <col min="4617" max="4617" width="16.28515625" style="88" customWidth="1"/>
    <col min="4618" max="4618" width="8.5703125" style="88" customWidth="1"/>
    <col min="4619" max="4619" width="18.5703125" style="88" customWidth="1"/>
    <col min="4620" max="4864" width="9.28515625" style="88"/>
    <col min="4865" max="4865" width="5.42578125" style="88" customWidth="1"/>
    <col min="4866" max="4866" width="42.85546875" style="88" customWidth="1"/>
    <col min="4867" max="4867" width="7.28515625" style="88" customWidth="1"/>
    <col min="4868" max="4868" width="20.28515625" style="88" customWidth="1"/>
    <col min="4869" max="4869" width="14.5703125" style="88" customWidth="1"/>
    <col min="4870" max="4870" width="11.7109375" style="88" customWidth="1"/>
    <col min="4871" max="4871" width="17.5703125" style="88" customWidth="1"/>
    <col min="4872" max="4872" width="8.28515625" style="88" customWidth="1"/>
    <col min="4873" max="4873" width="16.28515625" style="88" customWidth="1"/>
    <col min="4874" max="4874" width="8.5703125" style="88" customWidth="1"/>
    <col min="4875" max="4875" width="18.5703125" style="88" customWidth="1"/>
    <col min="4876" max="5120" width="9.28515625" style="88"/>
    <col min="5121" max="5121" width="5.42578125" style="88" customWidth="1"/>
    <col min="5122" max="5122" width="42.85546875" style="88" customWidth="1"/>
    <col min="5123" max="5123" width="7.28515625" style="88" customWidth="1"/>
    <col min="5124" max="5124" width="20.28515625" style="88" customWidth="1"/>
    <col min="5125" max="5125" width="14.5703125" style="88" customWidth="1"/>
    <col min="5126" max="5126" width="11.7109375" style="88" customWidth="1"/>
    <col min="5127" max="5127" width="17.5703125" style="88" customWidth="1"/>
    <col min="5128" max="5128" width="8.28515625" style="88" customWidth="1"/>
    <col min="5129" max="5129" width="16.28515625" style="88" customWidth="1"/>
    <col min="5130" max="5130" width="8.5703125" style="88" customWidth="1"/>
    <col min="5131" max="5131" width="18.5703125" style="88" customWidth="1"/>
    <col min="5132" max="5376" width="9.28515625" style="88"/>
    <col min="5377" max="5377" width="5.42578125" style="88" customWidth="1"/>
    <col min="5378" max="5378" width="42.85546875" style="88" customWidth="1"/>
    <col min="5379" max="5379" width="7.28515625" style="88" customWidth="1"/>
    <col min="5380" max="5380" width="20.28515625" style="88" customWidth="1"/>
    <col min="5381" max="5381" width="14.5703125" style="88" customWidth="1"/>
    <col min="5382" max="5382" width="11.7109375" style="88" customWidth="1"/>
    <col min="5383" max="5383" width="17.5703125" style="88" customWidth="1"/>
    <col min="5384" max="5384" width="8.28515625" style="88" customWidth="1"/>
    <col min="5385" max="5385" width="16.28515625" style="88" customWidth="1"/>
    <col min="5386" max="5386" width="8.5703125" style="88" customWidth="1"/>
    <col min="5387" max="5387" width="18.5703125" style="88" customWidth="1"/>
    <col min="5388" max="5632" width="9.28515625" style="88"/>
    <col min="5633" max="5633" width="5.42578125" style="88" customWidth="1"/>
    <col min="5634" max="5634" width="42.85546875" style="88" customWidth="1"/>
    <col min="5635" max="5635" width="7.28515625" style="88" customWidth="1"/>
    <col min="5636" max="5636" width="20.28515625" style="88" customWidth="1"/>
    <col min="5637" max="5637" width="14.5703125" style="88" customWidth="1"/>
    <col min="5638" max="5638" width="11.7109375" style="88" customWidth="1"/>
    <col min="5639" max="5639" width="17.5703125" style="88" customWidth="1"/>
    <col min="5640" max="5640" width="8.28515625" style="88" customWidth="1"/>
    <col min="5641" max="5641" width="16.28515625" style="88" customWidth="1"/>
    <col min="5642" max="5642" width="8.5703125" style="88" customWidth="1"/>
    <col min="5643" max="5643" width="18.5703125" style="88" customWidth="1"/>
    <col min="5644" max="5888" width="9.28515625" style="88"/>
    <col min="5889" max="5889" width="5.42578125" style="88" customWidth="1"/>
    <col min="5890" max="5890" width="42.85546875" style="88" customWidth="1"/>
    <col min="5891" max="5891" width="7.28515625" style="88" customWidth="1"/>
    <col min="5892" max="5892" width="20.28515625" style="88" customWidth="1"/>
    <col min="5893" max="5893" width="14.5703125" style="88" customWidth="1"/>
    <col min="5894" max="5894" width="11.7109375" style="88" customWidth="1"/>
    <col min="5895" max="5895" width="17.5703125" style="88" customWidth="1"/>
    <col min="5896" max="5896" width="8.28515625" style="88" customWidth="1"/>
    <col min="5897" max="5897" width="16.28515625" style="88" customWidth="1"/>
    <col min="5898" max="5898" width="8.5703125" style="88" customWidth="1"/>
    <col min="5899" max="5899" width="18.5703125" style="88" customWidth="1"/>
    <col min="5900" max="6144" width="9.28515625" style="88"/>
    <col min="6145" max="6145" width="5.42578125" style="88" customWidth="1"/>
    <col min="6146" max="6146" width="42.85546875" style="88" customWidth="1"/>
    <col min="6147" max="6147" width="7.28515625" style="88" customWidth="1"/>
    <col min="6148" max="6148" width="20.28515625" style="88" customWidth="1"/>
    <col min="6149" max="6149" width="14.5703125" style="88" customWidth="1"/>
    <col min="6150" max="6150" width="11.7109375" style="88" customWidth="1"/>
    <col min="6151" max="6151" width="17.5703125" style="88" customWidth="1"/>
    <col min="6152" max="6152" width="8.28515625" style="88" customWidth="1"/>
    <col min="6153" max="6153" width="16.28515625" style="88" customWidth="1"/>
    <col min="6154" max="6154" width="8.5703125" style="88" customWidth="1"/>
    <col min="6155" max="6155" width="18.5703125" style="88" customWidth="1"/>
    <col min="6156" max="6400" width="9.28515625" style="88"/>
    <col min="6401" max="6401" width="5.42578125" style="88" customWidth="1"/>
    <col min="6402" max="6402" width="42.85546875" style="88" customWidth="1"/>
    <col min="6403" max="6403" width="7.28515625" style="88" customWidth="1"/>
    <col min="6404" max="6404" width="20.28515625" style="88" customWidth="1"/>
    <col min="6405" max="6405" width="14.5703125" style="88" customWidth="1"/>
    <col min="6406" max="6406" width="11.7109375" style="88" customWidth="1"/>
    <col min="6407" max="6407" width="17.5703125" style="88" customWidth="1"/>
    <col min="6408" max="6408" width="8.28515625" style="88" customWidth="1"/>
    <col min="6409" max="6409" width="16.28515625" style="88" customWidth="1"/>
    <col min="6410" max="6410" width="8.5703125" style="88" customWidth="1"/>
    <col min="6411" max="6411" width="18.5703125" style="88" customWidth="1"/>
    <col min="6412" max="6656" width="9.28515625" style="88"/>
    <col min="6657" max="6657" width="5.42578125" style="88" customWidth="1"/>
    <col min="6658" max="6658" width="42.85546875" style="88" customWidth="1"/>
    <col min="6659" max="6659" width="7.28515625" style="88" customWidth="1"/>
    <col min="6660" max="6660" width="20.28515625" style="88" customWidth="1"/>
    <col min="6661" max="6661" width="14.5703125" style="88" customWidth="1"/>
    <col min="6662" max="6662" width="11.7109375" style="88" customWidth="1"/>
    <col min="6663" max="6663" width="17.5703125" style="88" customWidth="1"/>
    <col min="6664" max="6664" width="8.28515625" style="88" customWidth="1"/>
    <col min="6665" max="6665" width="16.28515625" style="88" customWidth="1"/>
    <col min="6666" max="6666" width="8.5703125" style="88" customWidth="1"/>
    <col min="6667" max="6667" width="18.5703125" style="88" customWidth="1"/>
    <col min="6668" max="6912" width="9.28515625" style="88"/>
    <col min="6913" max="6913" width="5.42578125" style="88" customWidth="1"/>
    <col min="6914" max="6914" width="42.85546875" style="88" customWidth="1"/>
    <col min="6915" max="6915" width="7.28515625" style="88" customWidth="1"/>
    <col min="6916" max="6916" width="20.28515625" style="88" customWidth="1"/>
    <col min="6917" max="6917" width="14.5703125" style="88" customWidth="1"/>
    <col min="6918" max="6918" width="11.7109375" style="88" customWidth="1"/>
    <col min="6919" max="6919" width="17.5703125" style="88" customWidth="1"/>
    <col min="6920" max="6920" width="8.28515625" style="88" customWidth="1"/>
    <col min="6921" max="6921" width="16.28515625" style="88" customWidth="1"/>
    <col min="6922" max="6922" width="8.5703125" style="88" customWidth="1"/>
    <col min="6923" max="6923" width="18.5703125" style="88" customWidth="1"/>
    <col min="6924" max="7168" width="9.28515625" style="88"/>
    <col min="7169" max="7169" width="5.42578125" style="88" customWidth="1"/>
    <col min="7170" max="7170" width="42.85546875" style="88" customWidth="1"/>
    <col min="7171" max="7171" width="7.28515625" style="88" customWidth="1"/>
    <col min="7172" max="7172" width="20.28515625" style="88" customWidth="1"/>
    <col min="7173" max="7173" width="14.5703125" style="88" customWidth="1"/>
    <col min="7174" max="7174" width="11.7109375" style="88" customWidth="1"/>
    <col min="7175" max="7175" width="17.5703125" style="88" customWidth="1"/>
    <col min="7176" max="7176" width="8.28515625" style="88" customWidth="1"/>
    <col min="7177" max="7177" width="16.28515625" style="88" customWidth="1"/>
    <col min="7178" max="7178" width="8.5703125" style="88" customWidth="1"/>
    <col min="7179" max="7179" width="18.5703125" style="88" customWidth="1"/>
    <col min="7180" max="7424" width="9.28515625" style="88"/>
    <col min="7425" max="7425" width="5.42578125" style="88" customWidth="1"/>
    <col min="7426" max="7426" width="42.85546875" style="88" customWidth="1"/>
    <col min="7427" max="7427" width="7.28515625" style="88" customWidth="1"/>
    <col min="7428" max="7428" width="20.28515625" style="88" customWidth="1"/>
    <col min="7429" max="7429" width="14.5703125" style="88" customWidth="1"/>
    <col min="7430" max="7430" width="11.7109375" style="88" customWidth="1"/>
    <col min="7431" max="7431" width="17.5703125" style="88" customWidth="1"/>
    <col min="7432" max="7432" width="8.28515625" style="88" customWidth="1"/>
    <col min="7433" max="7433" width="16.28515625" style="88" customWidth="1"/>
    <col min="7434" max="7434" width="8.5703125" style="88" customWidth="1"/>
    <col min="7435" max="7435" width="18.5703125" style="88" customWidth="1"/>
    <col min="7436" max="7680" width="9.28515625" style="88"/>
    <col min="7681" max="7681" width="5.42578125" style="88" customWidth="1"/>
    <col min="7682" max="7682" width="42.85546875" style="88" customWidth="1"/>
    <col min="7683" max="7683" width="7.28515625" style="88" customWidth="1"/>
    <col min="7684" max="7684" width="20.28515625" style="88" customWidth="1"/>
    <col min="7685" max="7685" width="14.5703125" style="88" customWidth="1"/>
    <col min="7686" max="7686" width="11.7109375" style="88" customWidth="1"/>
    <col min="7687" max="7687" width="17.5703125" style="88" customWidth="1"/>
    <col min="7688" max="7688" width="8.28515625" style="88" customWidth="1"/>
    <col min="7689" max="7689" width="16.28515625" style="88" customWidth="1"/>
    <col min="7690" max="7690" width="8.5703125" style="88" customWidth="1"/>
    <col min="7691" max="7691" width="18.5703125" style="88" customWidth="1"/>
    <col min="7692" max="7936" width="9.28515625" style="88"/>
    <col min="7937" max="7937" width="5.42578125" style="88" customWidth="1"/>
    <col min="7938" max="7938" width="42.85546875" style="88" customWidth="1"/>
    <col min="7939" max="7939" width="7.28515625" style="88" customWidth="1"/>
    <col min="7940" max="7940" width="20.28515625" style="88" customWidth="1"/>
    <col min="7941" max="7941" width="14.5703125" style="88" customWidth="1"/>
    <col min="7942" max="7942" width="11.7109375" style="88" customWidth="1"/>
    <col min="7943" max="7943" width="17.5703125" style="88" customWidth="1"/>
    <col min="7944" max="7944" width="8.28515625" style="88" customWidth="1"/>
    <col min="7945" max="7945" width="16.28515625" style="88" customWidth="1"/>
    <col min="7946" max="7946" width="8.5703125" style="88" customWidth="1"/>
    <col min="7947" max="7947" width="18.5703125" style="88" customWidth="1"/>
    <col min="7948" max="8192" width="9.28515625" style="88"/>
    <col min="8193" max="8193" width="5.42578125" style="88" customWidth="1"/>
    <col min="8194" max="8194" width="42.85546875" style="88" customWidth="1"/>
    <col min="8195" max="8195" width="7.28515625" style="88" customWidth="1"/>
    <col min="8196" max="8196" width="20.28515625" style="88" customWidth="1"/>
    <col min="8197" max="8197" width="14.5703125" style="88" customWidth="1"/>
    <col min="8198" max="8198" width="11.7109375" style="88" customWidth="1"/>
    <col min="8199" max="8199" width="17.5703125" style="88" customWidth="1"/>
    <col min="8200" max="8200" width="8.28515625" style="88" customWidth="1"/>
    <col min="8201" max="8201" width="16.28515625" style="88" customWidth="1"/>
    <col min="8202" max="8202" width="8.5703125" style="88" customWidth="1"/>
    <col min="8203" max="8203" width="18.5703125" style="88" customWidth="1"/>
    <col min="8204" max="8448" width="9.28515625" style="88"/>
    <col min="8449" max="8449" width="5.42578125" style="88" customWidth="1"/>
    <col min="8450" max="8450" width="42.85546875" style="88" customWidth="1"/>
    <col min="8451" max="8451" width="7.28515625" style="88" customWidth="1"/>
    <col min="8452" max="8452" width="20.28515625" style="88" customWidth="1"/>
    <col min="8453" max="8453" width="14.5703125" style="88" customWidth="1"/>
    <col min="8454" max="8454" width="11.7109375" style="88" customWidth="1"/>
    <col min="8455" max="8455" width="17.5703125" style="88" customWidth="1"/>
    <col min="8456" max="8456" width="8.28515625" style="88" customWidth="1"/>
    <col min="8457" max="8457" width="16.28515625" style="88" customWidth="1"/>
    <col min="8458" max="8458" width="8.5703125" style="88" customWidth="1"/>
    <col min="8459" max="8459" width="18.5703125" style="88" customWidth="1"/>
    <col min="8460" max="8704" width="9.28515625" style="88"/>
    <col min="8705" max="8705" width="5.42578125" style="88" customWidth="1"/>
    <col min="8706" max="8706" width="42.85546875" style="88" customWidth="1"/>
    <col min="8707" max="8707" width="7.28515625" style="88" customWidth="1"/>
    <col min="8708" max="8708" width="20.28515625" style="88" customWidth="1"/>
    <col min="8709" max="8709" width="14.5703125" style="88" customWidth="1"/>
    <col min="8710" max="8710" width="11.7109375" style="88" customWidth="1"/>
    <col min="8711" max="8711" width="17.5703125" style="88" customWidth="1"/>
    <col min="8712" max="8712" width="8.28515625" style="88" customWidth="1"/>
    <col min="8713" max="8713" width="16.28515625" style="88" customWidth="1"/>
    <col min="8714" max="8714" width="8.5703125" style="88" customWidth="1"/>
    <col min="8715" max="8715" width="18.5703125" style="88" customWidth="1"/>
    <col min="8716" max="8960" width="9.28515625" style="88"/>
    <col min="8961" max="8961" width="5.42578125" style="88" customWidth="1"/>
    <col min="8962" max="8962" width="42.85546875" style="88" customWidth="1"/>
    <col min="8963" max="8963" width="7.28515625" style="88" customWidth="1"/>
    <col min="8964" max="8964" width="20.28515625" style="88" customWidth="1"/>
    <col min="8965" max="8965" width="14.5703125" style="88" customWidth="1"/>
    <col min="8966" max="8966" width="11.7109375" style="88" customWidth="1"/>
    <col min="8967" max="8967" width="17.5703125" style="88" customWidth="1"/>
    <col min="8968" max="8968" width="8.28515625" style="88" customWidth="1"/>
    <col min="8969" max="8969" width="16.28515625" style="88" customWidth="1"/>
    <col min="8970" max="8970" width="8.5703125" style="88" customWidth="1"/>
    <col min="8971" max="8971" width="18.5703125" style="88" customWidth="1"/>
    <col min="8972" max="9216" width="9.28515625" style="88"/>
    <col min="9217" max="9217" width="5.42578125" style="88" customWidth="1"/>
    <col min="9218" max="9218" width="42.85546875" style="88" customWidth="1"/>
    <col min="9219" max="9219" width="7.28515625" style="88" customWidth="1"/>
    <col min="9220" max="9220" width="20.28515625" style="88" customWidth="1"/>
    <col min="9221" max="9221" width="14.5703125" style="88" customWidth="1"/>
    <col min="9222" max="9222" width="11.7109375" style="88" customWidth="1"/>
    <col min="9223" max="9223" width="17.5703125" style="88" customWidth="1"/>
    <col min="9224" max="9224" width="8.28515625" style="88" customWidth="1"/>
    <col min="9225" max="9225" width="16.28515625" style="88" customWidth="1"/>
    <col min="9226" max="9226" width="8.5703125" style="88" customWidth="1"/>
    <col min="9227" max="9227" width="18.5703125" style="88" customWidth="1"/>
    <col min="9228" max="9472" width="9.28515625" style="88"/>
    <col min="9473" max="9473" width="5.42578125" style="88" customWidth="1"/>
    <col min="9474" max="9474" width="42.85546875" style="88" customWidth="1"/>
    <col min="9475" max="9475" width="7.28515625" style="88" customWidth="1"/>
    <col min="9476" max="9476" width="20.28515625" style="88" customWidth="1"/>
    <col min="9477" max="9477" width="14.5703125" style="88" customWidth="1"/>
    <col min="9478" max="9478" width="11.7109375" style="88" customWidth="1"/>
    <col min="9479" max="9479" width="17.5703125" style="88" customWidth="1"/>
    <col min="9480" max="9480" width="8.28515625" style="88" customWidth="1"/>
    <col min="9481" max="9481" width="16.28515625" style="88" customWidth="1"/>
    <col min="9482" max="9482" width="8.5703125" style="88" customWidth="1"/>
    <col min="9483" max="9483" width="18.5703125" style="88" customWidth="1"/>
    <col min="9484" max="9728" width="9.28515625" style="88"/>
    <col min="9729" max="9729" width="5.42578125" style="88" customWidth="1"/>
    <col min="9730" max="9730" width="42.85546875" style="88" customWidth="1"/>
    <col min="9731" max="9731" width="7.28515625" style="88" customWidth="1"/>
    <col min="9732" max="9732" width="20.28515625" style="88" customWidth="1"/>
    <col min="9733" max="9733" width="14.5703125" style="88" customWidth="1"/>
    <col min="9734" max="9734" width="11.7109375" style="88" customWidth="1"/>
    <col min="9735" max="9735" width="17.5703125" style="88" customWidth="1"/>
    <col min="9736" max="9736" width="8.28515625" style="88" customWidth="1"/>
    <col min="9737" max="9737" width="16.28515625" style="88" customWidth="1"/>
    <col min="9738" max="9738" width="8.5703125" style="88" customWidth="1"/>
    <col min="9739" max="9739" width="18.5703125" style="88" customWidth="1"/>
    <col min="9740" max="9984" width="9.28515625" style="88"/>
    <col min="9985" max="9985" width="5.42578125" style="88" customWidth="1"/>
    <col min="9986" max="9986" width="42.85546875" style="88" customWidth="1"/>
    <col min="9987" max="9987" width="7.28515625" style="88" customWidth="1"/>
    <col min="9988" max="9988" width="20.28515625" style="88" customWidth="1"/>
    <col min="9989" max="9989" width="14.5703125" style="88" customWidth="1"/>
    <col min="9990" max="9990" width="11.7109375" style="88" customWidth="1"/>
    <col min="9991" max="9991" width="17.5703125" style="88" customWidth="1"/>
    <col min="9992" max="9992" width="8.28515625" style="88" customWidth="1"/>
    <col min="9993" max="9993" width="16.28515625" style="88" customWidth="1"/>
    <col min="9994" max="9994" width="8.5703125" style="88" customWidth="1"/>
    <col min="9995" max="9995" width="18.5703125" style="88" customWidth="1"/>
    <col min="9996" max="10240" width="9.28515625" style="88"/>
    <col min="10241" max="10241" width="5.42578125" style="88" customWidth="1"/>
    <col min="10242" max="10242" width="42.85546875" style="88" customWidth="1"/>
    <col min="10243" max="10243" width="7.28515625" style="88" customWidth="1"/>
    <col min="10244" max="10244" width="20.28515625" style="88" customWidth="1"/>
    <col min="10245" max="10245" width="14.5703125" style="88" customWidth="1"/>
    <col min="10246" max="10246" width="11.7109375" style="88" customWidth="1"/>
    <col min="10247" max="10247" width="17.5703125" style="88" customWidth="1"/>
    <col min="10248" max="10248" width="8.28515625" style="88" customWidth="1"/>
    <col min="10249" max="10249" width="16.28515625" style="88" customWidth="1"/>
    <col min="10250" max="10250" width="8.5703125" style="88" customWidth="1"/>
    <col min="10251" max="10251" width="18.5703125" style="88" customWidth="1"/>
    <col min="10252" max="10496" width="9.28515625" style="88"/>
    <col min="10497" max="10497" width="5.42578125" style="88" customWidth="1"/>
    <col min="10498" max="10498" width="42.85546875" style="88" customWidth="1"/>
    <col min="10499" max="10499" width="7.28515625" style="88" customWidth="1"/>
    <col min="10500" max="10500" width="20.28515625" style="88" customWidth="1"/>
    <col min="10501" max="10501" width="14.5703125" style="88" customWidth="1"/>
    <col min="10502" max="10502" width="11.7109375" style="88" customWidth="1"/>
    <col min="10503" max="10503" width="17.5703125" style="88" customWidth="1"/>
    <col min="10504" max="10504" width="8.28515625" style="88" customWidth="1"/>
    <col min="10505" max="10505" width="16.28515625" style="88" customWidth="1"/>
    <col min="10506" max="10506" width="8.5703125" style="88" customWidth="1"/>
    <col min="10507" max="10507" width="18.5703125" style="88" customWidth="1"/>
    <col min="10508" max="10752" width="9.28515625" style="88"/>
    <col min="10753" max="10753" width="5.42578125" style="88" customWidth="1"/>
    <col min="10754" max="10754" width="42.85546875" style="88" customWidth="1"/>
    <col min="10755" max="10755" width="7.28515625" style="88" customWidth="1"/>
    <col min="10756" max="10756" width="20.28515625" style="88" customWidth="1"/>
    <col min="10757" max="10757" width="14.5703125" style="88" customWidth="1"/>
    <col min="10758" max="10758" width="11.7109375" style="88" customWidth="1"/>
    <col min="10759" max="10759" width="17.5703125" style="88" customWidth="1"/>
    <col min="10760" max="10760" width="8.28515625" style="88" customWidth="1"/>
    <col min="10761" max="10761" width="16.28515625" style="88" customWidth="1"/>
    <col min="10762" max="10762" width="8.5703125" style="88" customWidth="1"/>
    <col min="10763" max="10763" width="18.5703125" style="88" customWidth="1"/>
    <col min="10764" max="11008" width="9.28515625" style="88"/>
    <col min="11009" max="11009" width="5.42578125" style="88" customWidth="1"/>
    <col min="11010" max="11010" width="42.85546875" style="88" customWidth="1"/>
    <col min="11011" max="11011" width="7.28515625" style="88" customWidth="1"/>
    <col min="11012" max="11012" width="20.28515625" style="88" customWidth="1"/>
    <col min="11013" max="11013" width="14.5703125" style="88" customWidth="1"/>
    <col min="11014" max="11014" width="11.7109375" style="88" customWidth="1"/>
    <col min="11015" max="11015" width="17.5703125" style="88" customWidth="1"/>
    <col min="11016" max="11016" width="8.28515625" style="88" customWidth="1"/>
    <col min="11017" max="11017" width="16.28515625" style="88" customWidth="1"/>
    <col min="11018" max="11018" width="8.5703125" style="88" customWidth="1"/>
    <col min="11019" max="11019" width="18.5703125" style="88" customWidth="1"/>
    <col min="11020" max="11264" width="9.28515625" style="88"/>
    <col min="11265" max="11265" width="5.42578125" style="88" customWidth="1"/>
    <col min="11266" max="11266" width="42.85546875" style="88" customWidth="1"/>
    <col min="11267" max="11267" width="7.28515625" style="88" customWidth="1"/>
    <col min="11268" max="11268" width="20.28515625" style="88" customWidth="1"/>
    <col min="11269" max="11269" width="14.5703125" style="88" customWidth="1"/>
    <col min="11270" max="11270" width="11.7109375" style="88" customWidth="1"/>
    <col min="11271" max="11271" width="17.5703125" style="88" customWidth="1"/>
    <col min="11272" max="11272" width="8.28515625" style="88" customWidth="1"/>
    <col min="11273" max="11273" width="16.28515625" style="88" customWidth="1"/>
    <col min="11274" max="11274" width="8.5703125" style="88" customWidth="1"/>
    <col min="11275" max="11275" width="18.5703125" style="88" customWidth="1"/>
    <col min="11276" max="11520" width="9.28515625" style="88"/>
    <col min="11521" max="11521" width="5.42578125" style="88" customWidth="1"/>
    <col min="11522" max="11522" width="42.85546875" style="88" customWidth="1"/>
    <col min="11523" max="11523" width="7.28515625" style="88" customWidth="1"/>
    <col min="11524" max="11524" width="20.28515625" style="88" customWidth="1"/>
    <col min="11525" max="11525" width="14.5703125" style="88" customWidth="1"/>
    <col min="11526" max="11526" width="11.7109375" style="88" customWidth="1"/>
    <col min="11527" max="11527" width="17.5703125" style="88" customWidth="1"/>
    <col min="11528" max="11528" width="8.28515625" style="88" customWidth="1"/>
    <col min="11529" max="11529" width="16.28515625" style="88" customWidth="1"/>
    <col min="11530" max="11530" width="8.5703125" style="88" customWidth="1"/>
    <col min="11531" max="11531" width="18.5703125" style="88" customWidth="1"/>
    <col min="11532" max="11776" width="9.28515625" style="88"/>
    <col min="11777" max="11777" width="5.42578125" style="88" customWidth="1"/>
    <col min="11778" max="11778" width="42.85546875" style="88" customWidth="1"/>
    <col min="11779" max="11779" width="7.28515625" style="88" customWidth="1"/>
    <col min="11780" max="11780" width="20.28515625" style="88" customWidth="1"/>
    <col min="11781" max="11781" width="14.5703125" style="88" customWidth="1"/>
    <col min="11782" max="11782" width="11.7109375" style="88" customWidth="1"/>
    <col min="11783" max="11783" width="17.5703125" style="88" customWidth="1"/>
    <col min="11784" max="11784" width="8.28515625" style="88" customWidth="1"/>
    <col min="11785" max="11785" width="16.28515625" style="88" customWidth="1"/>
    <col min="11786" max="11786" width="8.5703125" style="88" customWidth="1"/>
    <col min="11787" max="11787" width="18.5703125" style="88" customWidth="1"/>
    <col min="11788" max="12032" width="9.28515625" style="88"/>
    <col min="12033" max="12033" width="5.42578125" style="88" customWidth="1"/>
    <col min="12034" max="12034" width="42.85546875" style="88" customWidth="1"/>
    <col min="12035" max="12035" width="7.28515625" style="88" customWidth="1"/>
    <col min="12036" max="12036" width="20.28515625" style="88" customWidth="1"/>
    <col min="12037" max="12037" width="14.5703125" style="88" customWidth="1"/>
    <col min="12038" max="12038" width="11.7109375" style="88" customWidth="1"/>
    <col min="12039" max="12039" width="17.5703125" style="88" customWidth="1"/>
    <col min="12040" max="12040" width="8.28515625" style="88" customWidth="1"/>
    <col min="12041" max="12041" width="16.28515625" style="88" customWidth="1"/>
    <col min="12042" max="12042" width="8.5703125" style="88" customWidth="1"/>
    <col min="12043" max="12043" width="18.5703125" style="88" customWidth="1"/>
    <col min="12044" max="12288" width="9.28515625" style="88"/>
    <col min="12289" max="12289" width="5.42578125" style="88" customWidth="1"/>
    <col min="12290" max="12290" width="42.85546875" style="88" customWidth="1"/>
    <col min="12291" max="12291" width="7.28515625" style="88" customWidth="1"/>
    <col min="12292" max="12292" width="20.28515625" style="88" customWidth="1"/>
    <col min="12293" max="12293" width="14.5703125" style="88" customWidth="1"/>
    <col min="12294" max="12294" width="11.7109375" style="88" customWidth="1"/>
    <col min="12295" max="12295" width="17.5703125" style="88" customWidth="1"/>
    <col min="12296" max="12296" width="8.28515625" style="88" customWidth="1"/>
    <col min="12297" max="12297" width="16.28515625" style="88" customWidth="1"/>
    <col min="12298" max="12298" width="8.5703125" style="88" customWidth="1"/>
    <col min="12299" max="12299" width="18.5703125" style="88" customWidth="1"/>
    <col min="12300" max="12544" width="9.28515625" style="88"/>
    <col min="12545" max="12545" width="5.42578125" style="88" customWidth="1"/>
    <col min="12546" max="12546" width="42.85546875" style="88" customWidth="1"/>
    <col min="12547" max="12547" width="7.28515625" style="88" customWidth="1"/>
    <col min="12548" max="12548" width="20.28515625" style="88" customWidth="1"/>
    <col min="12549" max="12549" width="14.5703125" style="88" customWidth="1"/>
    <col min="12550" max="12550" width="11.7109375" style="88" customWidth="1"/>
    <col min="12551" max="12551" width="17.5703125" style="88" customWidth="1"/>
    <col min="12552" max="12552" width="8.28515625" style="88" customWidth="1"/>
    <col min="12553" max="12553" width="16.28515625" style="88" customWidth="1"/>
    <col min="12554" max="12554" width="8.5703125" style="88" customWidth="1"/>
    <col min="12555" max="12555" width="18.5703125" style="88" customWidth="1"/>
    <col min="12556" max="12800" width="9.28515625" style="88"/>
    <col min="12801" max="12801" width="5.42578125" style="88" customWidth="1"/>
    <col min="12802" max="12802" width="42.85546875" style="88" customWidth="1"/>
    <col min="12803" max="12803" width="7.28515625" style="88" customWidth="1"/>
    <col min="12804" max="12804" width="20.28515625" style="88" customWidth="1"/>
    <col min="12805" max="12805" width="14.5703125" style="88" customWidth="1"/>
    <col min="12806" max="12806" width="11.7109375" style="88" customWidth="1"/>
    <col min="12807" max="12807" width="17.5703125" style="88" customWidth="1"/>
    <col min="12808" max="12808" width="8.28515625" style="88" customWidth="1"/>
    <col min="12809" max="12809" width="16.28515625" style="88" customWidth="1"/>
    <col min="12810" max="12810" width="8.5703125" style="88" customWidth="1"/>
    <col min="12811" max="12811" width="18.5703125" style="88" customWidth="1"/>
    <col min="12812" max="13056" width="9.28515625" style="88"/>
    <col min="13057" max="13057" width="5.42578125" style="88" customWidth="1"/>
    <col min="13058" max="13058" width="42.85546875" style="88" customWidth="1"/>
    <col min="13059" max="13059" width="7.28515625" style="88" customWidth="1"/>
    <col min="13060" max="13060" width="20.28515625" style="88" customWidth="1"/>
    <col min="13061" max="13061" width="14.5703125" style="88" customWidth="1"/>
    <col min="13062" max="13062" width="11.7109375" style="88" customWidth="1"/>
    <col min="13063" max="13063" width="17.5703125" style="88" customWidth="1"/>
    <col min="13064" max="13064" width="8.28515625" style="88" customWidth="1"/>
    <col min="13065" max="13065" width="16.28515625" style="88" customWidth="1"/>
    <col min="13066" max="13066" width="8.5703125" style="88" customWidth="1"/>
    <col min="13067" max="13067" width="18.5703125" style="88" customWidth="1"/>
    <col min="13068" max="13312" width="9.28515625" style="88"/>
    <col min="13313" max="13313" width="5.42578125" style="88" customWidth="1"/>
    <col min="13314" max="13314" width="42.85546875" style="88" customWidth="1"/>
    <col min="13315" max="13315" width="7.28515625" style="88" customWidth="1"/>
    <col min="13316" max="13316" width="20.28515625" style="88" customWidth="1"/>
    <col min="13317" max="13317" width="14.5703125" style="88" customWidth="1"/>
    <col min="13318" max="13318" width="11.7109375" style="88" customWidth="1"/>
    <col min="13319" max="13319" width="17.5703125" style="88" customWidth="1"/>
    <col min="13320" max="13320" width="8.28515625" style="88" customWidth="1"/>
    <col min="13321" max="13321" width="16.28515625" style="88" customWidth="1"/>
    <col min="13322" max="13322" width="8.5703125" style="88" customWidth="1"/>
    <col min="13323" max="13323" width="18.5703125" style="88" customWidth="1"/>
    <col min="13324" max="13568" width="9.28515625" style="88"/>
    <col min="13569" max="13569" width="5.42578125" style="88" customWidth="1"/>
    <col min="13570" max="13570" width="42.85546875" style="88" customWidth="1"/>
    <col min="13571" max="13571" width="7.28515625" style="88" customWidth="1"/>
    <col min="13572" max="13572" width="20.28515625" style="88" customWidth="1"/>
    <col min="13573" max="13573" width="14.5703125" style="88" customWidth="1"/>
    <col min="13574" max="13574" width="11.7109375" style="88" customWidth="1"/>
    <col min="13575" max="13575" width="17.5703125" style="88" customWidth="1"/>
    <col min="13576" max="13576" width="8.28515625" style="88" customWidth="1"/>
    <col min="13577" max="13577" width="16.28515625" style="88" customWidth="1"/>
    <col min="13578" max="13578" width="8.5703125" style="88" customWidth="1"/>
    <col min="13579" max="13579" width="18.5703125" style="88" customWidth="1"/>
    <col min="13580" max="13824" width="9.28515625" style="88"/>
    <col min="13825" max="13825" width="5.42578125" style="88" customWidth="1"/>
    <col min="13826" max="13826" width="42.85546875" style="88" customWidth="1"/>
    <col min="13827" max="13827" width="7.28515625" style="88" customWidth="1"/>
    <col min="13828" max="13828" width="20.28515625" style="88" customWidth="1"/>
    <col min="13829" max="13829" width="14.5703125" style="88" customWidth="1"/>
    <col min="13830" max="13830" width="11.7109375" style="88" customWidth="1"/>
    <col min="13831" max="13831" width="17.5703125" style="88" customWidth="1"/>
    <col min="13832" max="13832" width="8.28515625" style="88" customWidth="1"/>
    <col min="13833" max="13833" width="16.28515625" style="88" customWidth="1"/>
    <col min="13834" max="13834" width="8.5703125" style="88" customWidth="1"/>
    <col min="13835" max="13835" width="18.5703125" style="88" customWidth="1"/>
    <col min="13836" max="14080" width="9.28515625" style="88"/>
    <col min="14081" max="14081" width="5.42578125" style="88" customWidth="1"/>
    <col min="14082" max="14082" width="42.85546875" style="88" customWidth="1"/>
    <col min="14083" max="14083" width="7.28515625" style="88" customWidth="1"/>
    <col min="14084" max="14084" width="20.28515625" style="88" customWidth="1"/>
    <col min="14085" max="14085" width="14.5703125" style="88" customWidth="1"/>
    <col min="14086" max="14086" width="11.7109375" style="88" customWidth="1"/>
    <col min="14087" max="14087" width="17.5703125" style="88" customWidth="1"/>
    <col min="14088" max="14088" width="8.28515625" style="88" customWidth="1"/>
    <col min="14089" max="14089" width="16.28515625" style="88" customWidth="1"/>
    <col min="14090" max="14090" width="8.5703125" style="88" customWidth="1"/>
    <col min="14091" max="14091" width="18.5703125" style="88" customWidth="1"/>
    <col min="14092" max="14336" width="9.28515625" style="88"/>
    <col min="14337" max="14337" width="5.42578125" style="88" customWidth="1"/>
    <col min="14338" max="14338" width="42.85546875" style="88" customWidth="1"/>
    <col min="14339" max="14339" width="7.28515625" style="88" customWidth="1"/>
    <col min="14340" max="14340" width="20.28515625" style="88" customWidth="1"/>
    <col min="14341" max="14341" width="14.5703125" style="88" customWidth="1"/>
    <col min="14342" max="14342" width="11.7109375" style="88" customWidth="1"/>
    <col min="14343" max="14343" width="17.5703125" style="88" customWidth="1"/>
    <col min="14344" max="14344" width="8.28515625" style="88" customWidth="1"/>
    <col min="14345" max="14345" width="16.28515625" style="88" customWidth="1"/>
    <col min="14346" max="14346" width="8.5703125" style="88" customWidth="1"/>
    <col min="14347" max="14347" width="18.5703125" style="88" customWidth="1"/>
    <col min="14348" max="14592" width="9.28515625" style="88"/>
    <col min="14593" max="14593" width="5.42578125" style="88" customWidth="1"/>
    <col min="14594" max="14594" width="42.85546875" style="88" customWidth="1"/>
    <col min="14595" max="14595" width="7.28515625" style="88" customWidth="1"/>
    <col min="14596" max="14596" width="20.28515625" style="88" customWidth="1"/>
    <col min="14597" max="14597" width="14.5703125" style="88" customWidth="1"/>
    <col min="14598" max="14598" width="11.7109375" style="88" customWidth="1"/>
    <col min="14599" max="14599" width="17.5703125" style="88" customWidth="1"/>
    <col min="14600" max="14600" width="8.28515625" style="88" customWidth="1"/>
    <col min="14601" max="14601" width="16.28515625" style="88" customWidth="1"/>
    <col min="14602" max="14602" width="8.5703125" style="88" customWidth="1"/>
    <col min="14603" max="14603" width="18.5703125" style="88" customWidth="1"/>
    <col min="14604" max="14848" width="9.28515625" style="88"/>
    <col min="14849" max="14849" width="5.42578125" style="88" customWidth="1"/>
    <col min="14850" max="14850" width="42.85546875" style="88" customWidth="1"/>
    <col min="14851" max="14851" width="7.28515625" style="88" customWidth="1"/>
    <col min="14852" max="14852" width="20.28515625" style="88" customWidth="1"/>
    <col min="14853" max="14853" width="14.5703125" style="88" customWidth="1"/>
    <col min="14854" max="14854" width="11.7109375" style="88" customWidth="1"/>
    <col min="14855" max="14855" width="17.5703125" style="88" customWidth="1"/>
    <col min="14856" max="14856" width="8.28515625" style="88" customWidth="1"/>
    <col min="14857" max="14857" width="16.28515625" style="88" customWidth="1"/>
    <col min="14858" max="14858" width="8.5703125" style="88" customWidth="1"/>
    <col min="14859" max="14859" width="18.5703125" style="88" customWidth="1"/>
    <col min="14860" max="15104" width="9.28515625" style="88"/>
    <col min="15105" max="15105" width="5.42578125" style="88" customWidth="1"/>
    <col min="15106" max="15106" width="42.85546875" style="88" customWidth="1"/>
    <col min="15107" max="15107" width="7.28515625" style="88" customWidth="1"/>
    <col min="15108" max="15108" width="20.28515625" style="88" customWidth="1"/>
    <col min="15109" max="15109" width="14.5703125" style="88" customWidth="1"/>
    <col min="15110" max="15110" width="11.7109375" style="88" customWidth="1"/>
    <col min="15111" max="15111" width="17.5703125" style="88" customWidth="1"/>
    <col min="15112" max="15112" width="8.28515625" style="88" customWidth="1"/>
    <col min="15113" max="15113" width="16.28515625" style="88" customWidth="1"/>
    <col min="15114" max="15114" width="8.5703125" style="88" customWidth="1"/>
    <col min="15115" max="15115" width="18.5703125" style="88" customWidth="1"/>
    <col min="15116" max="15360" width="9.28515625" style="88"/>
    <col min="15361" max="15361" width="5.42578125" style="88" customWidth="1"/>
    <col min="15362" max="15362" width="42.85546875" style="88" customWidth="1"/>
    <col min="15363" max="15363" width="7.28515625" style="88" customWidth="1"/>
    <col min="15364" max="15364" width="20.28515625" style="88" customWidth="1"/>
    <col min="15365" max="15365" width="14.5703125" style="88" customWidth="1"/>
    <col min="15366" max="15366" width="11.7109375" style="88" customWidth="1"/>
    <col min="15367" max="15367" width="17.5703125" style="88" customWidth="1"/>
    <col min="15368" max="15368" width="8.28515625" style="88" customWidth="1"/>
    <col min="15369" max="15369" width="16.28515625" style="88" customWidth="1"/>
    <col min="15370" max="15370" width="8.5703125" style="88" customWidth="1"/>
    <col min="15371" max="15371" width="18.5703125" style="88" customWidth="1"/>
    <col min="15372" max="15616" width="9.28515625" style="88"/>
    <col min="15617" max="15617" width="5.42578125" style="88" customWidth="1"/>
    <col min="15618" max="15618" width="42.85546875" style="88" customWidth="1"/>
    <col min="15619" max="15619" width="7.28515625" style="88" customWidth="1"/>
    <col min="15620" max="15620" width="20.28515625" style="88" customWidth="1"/>
    <col min="15621" max="15621" width="14.5703125" style="88" customWidth="1"/>
    <col min="15622" max="15622" width="11.7109375" style="88" customWidth="1"/>
    <col min="15623" max="15623" width="17.5703125" style="88" customWidth="1"/>
    <col min="15624" max="15624" width="8.28515625" style="88" customWidth="1"/>
    <col min="15625" max="15625" width="16.28515625" style="88" customWidth="1"/>
    <col min="15626" max="15626" width="8.5703125" style="88" customWidth="1"/>
    <col min="15627" max="15627" width="18.5703125" style="88" customWidth="1"/>
    <col min="15628" max="15872" width="9.28515625" style="88"/>
    <col min="15873" max="15873" width="5.42578125" style="88" customWidth="1"/>
    <col min="15874" max="15874" width="42.85546875" style="88" customWidth="1"/>
    <col min="15875" max="15875" width="7.28515625" style="88" customWidth="1"/>
    <col min="15876" max="15876" width="20.28515625" style="88" customWidth="1"/>
    <col min="15877" max="15877" width="14.5703125" style="88" customWidth="1"/>
    <col min="15878" max="15878" width="11.7109375" style="88" customWidth="1"/>
    <col min="15879" max="15879" width="17.5703125" style="88" customWidth="1"/>
    <col min="15880" max="15880" width="8.28515625" style="88" customWidth="1"/>
    <col min="15881" max="15881" width="16.28515625" style="88" customWidth="1"/>
    <col min="15882" max="15882" width="8.5703125" style="88" customWidth="1"/>
    <col min="15883" max="15883" width="18.5703125" style="88" customWidth="1"/>
    <col min="15884" max="16128" width="9.28515625" style="88"/>
    <col min="16129" max="16129" width="5.42578125" style="88" customWidth="1"/>
    <col min="16130" max="16130" width="42.85546875" style="88" customWidth="1"/>
    <col min="16131" max="16131" width="7.28515625" style="88" customWidth="1"/>
    <col min="16132" max="16132" width="20.28515625" style="88" customWidth="1"/>
    <col min="16133" max="16133" width="14.5703125" style="88" customWidth="1"/>
    <col min="16134" max="16134" width="11.7109375" style="88" customWidth="1"/>
    <col min="16135" max="16135" width="17.5703125" style="88" customWidth="1"/>
    <col min="16136" max="16136" width="8.28515625" style="88" customWidth="1"/>
    <col min="16137" max="16137" width="16.28515625" style="88" customWidth="1"/>
    <col min="16138" max="16138" width="8.5703125" style="88" customWidth="1"/>
    <col min="16139" max="16139" width="18.5703125" style="88" customWidth="1"/>
    <col min="16140" max="16384" width="9.28515625" style="88"/>
  </cols>
  <sheetData>
    <row r="1" spans="1:11" ht="24" customHeight="1">
      <c r="B1" s="89"/>
      <c r="C1" s="89"/>
      <c r="D1" s="89"/>
      <c r="E1" s="89"/>
      <c r="F1" s="89"/>
      <c r="G1" s="89"/>
      <c r="H1" s="266" t="s">
        <v>512</v>
      </c>
      <c r="I1" s="266"/>
      <c r="J1" s="266"/>
      <c r="K1" s="266"/>
    </row>
    <row r="2" spans="1:11" ht="26.25" customHeight="1">
      <c r="A2" s="267" t="s">
        <v>605</v>
      </c>
      <c r="B2" s="267"/>
      <c r="C2" s="267"/>
      <c r="D2" s="267"/>
      <c r="E2" s="267"/>
      <c r="F2" s="267"/>
      <c r="G2" s="267"/>
      <c r="H2" s="267"/>
      <c r="I2" s="267"/>
      <c r="J2" s="267"/>
      <c r="K2" s="267"/>
    </row>
    <row r="3" spans="1:11" ht="28.5" customHeight="1">
      <c r="A3" s="268" t="s">
        <v>606</v>
      </c>
      <c r="B3" s="268"/>
      <c r="C3" s="268"/>
      <c r="D3" s="268"/>
      <c r="E3" s="268"/>
      <c r="F3" s="268"/>
      <c r="G3" s="268"/>
      <c r="H3" s="268"/>
      <c r="I3" s="268"/>
      <c r="J3" s="268"/>
      <c r="K3" s="268"/>
    </row>
    <row r="4" spans="1:11" ht="15" customHeight="1">
      <c r="A4" s="269" t="s">
        <v>3</v>
      </c>
      <c r="B4" s="270"/>
      <c r="C4" s="270"/>
      <c r="D4" s="270"/>
      <c r="E4" s="270"/>
      <c r="F4" s="270"/>
      <c r="G4" s="270"/>
      <c r="H4" s="270"/>
      <c r="I4" s="270"/>
      <c r="J4" s="270"/>
      <c r="K4" s="270"/>
    </row>
    <row r="5" spans="1:11">
      <c r="A5" s="90"/>
      <c r="B5" s="91"/>
      <c r="C5" s="91"/>
      <c r="D5" s="92"/>
      <c r="E5" s="92"/>
      <c r="F5" s="91"/>
      <c r="G5" s="91"/>
      <c r="H5" s="91"/>
      <c r="I5" s="91"/>
      <c r="J5" s="91"/>
      <c r="K5" s="91"/>
    </row>
    <row r="6" spans="1:11">
      <c r="A6" s="93">
        <v>1</v>
      </c>
      <c r="B6" s="94" t="s">
        <v>10</v>
      </c>
      <c r="C6" s="94" t="s">
        <v>607</v>
      </c>
      <c r="D6" s="92"/>
      <c r="E6" s="92"/>
      <c r="F6" s="91"/>
      <c r="G6" s="91"/>
      <c r="H6" s="91"/>
      <c r="I6" s="91"/>
      <c r="J6" s="91"/>
      <c r="K6" s="91"/>
    </row>
    <row r="7" spans="1:11">
      <c r="A7" s="93"/>
      <c r="B7" s="95" t="s">
        <v>12</v>
      </c>
      <c r="C7" s="95" t="s">
        <v>13</v>
      </c>
      <c r="D7" s="96"/>
      <c r="E7" s="96"/>
      <c r="F7" s="97"/>
      <c r="G7" s="97"/>
      <c r="H7" s="97"/>
      <c r="I7" s="97"/>
      <c r="J7" s="97"/>
      <c r="K7" s="97"/>
    </row>
    <row r="8" spans="1:11" ht="12.75" customHeight="1">
      <c r="A8" s="98">
        <v>2</v>
      </c>
      <c r="B8" s="99" t="s">
        <v>385</v>
      </c>
      <c r="C8" s="100" t="s">
        <v>608</v>
      </c>
      <c r="D8" s="100"/>
      <c r="E8" s="100"/>
      <c r="F8" s="100"/>
      <c r="G8" s="100"/>
      <c r="H8" s="100"/>
      <c r="I8" s="101"/>
      <c r="J8" s="101"/>
      <c r="K8" s="101"/>
    </row>
    <row r="9" spans="1:11" ht="12.75" customHeight="1">
      <c r="A9" s="98"/>
      <c r="B9" s="102" t="s">
        <v>609</v>
      </c>
      <c r="C9" s="103" t="s">
        <v>604</v>
      </c>
      <c r="D9" s="104"/>
      <c r="E9" s="104"/>
      <c r="F9" s="104"/>
      <c r="G9" s="104"/>
      <c r="H9" s="104"/>
      <c r="I9" s="105"/>
      <c r="J9" s="105"/>
      <c r="K9" s="105"/>
    </row>
    <row r="10" spans="1:11" ht="12.75" customHeight="1">
      <c r="A10" s="98">
        <v>3</v>
      </c>
      <c r="B10" s="99" t="s">
        <v>5</v>
      </c>
      <c r="C10" s="100" t="s">
        <v>610</v>
      </c>
      <c r="D10" s="100"/>
      <c r="E10" s="100"/>
      <c r="F10" s="100"/>
      <c r="G10" s="100"/>
      <c r="H10" s="100"/>
      <c r="I10" s="101"/>
      <c r="J10" s="101"/>
      <c r="K10" s="101"/>
    </row>
    <row r="11" spans="1:11" ht="12.75" customHeight="1">
      <c r="A11" s="98"/>
      <c r="B11" s="102" t="s">
        <v>611</v>
      </c>
      <c r="C11" s="104" t="s">
        <v>612</v>
      </c>
      <c r="D11" s="104"/>
      <c r="E11" s="104"/>
      <c r="F11" s="104"/>
      <c r="G11" s="104"/>
      <c r="H11" s="104"/>
      <c r="I11" s="101"/>
      <c r="J11" s="101"/>
      <c r="K11" s="101"/>
    </row>
    <row r="12" spans="1:11" ht="13.5" customHeight="1">
      <c r="A12" s="98">
        <v>4</v>
      </c>
      <c r="B12" s="99" t="s">
        <v>20</v>
      </c>
      <c r="C12" s="245">
        <v>46091</v>
      </c>
      <c r="D12" s="245"/>
      <c r="E12" s="245"/>
      <c r="F12" s="245"/>
      <c r="G12" s="100"/>
      <c r="H12" s="100"/>
      <c r="I12" s="106"/>
      <c r="J12" s="106"/>
      <c r="K12" s="106"/>
    </row>
    <row r="13" spans="1:11" ht="13.5" customHeight="1">
      <c r="A13" s="104"/>
      <c r="B13" s="102" t="s">
        <v>21</v>
      </c>
      <c r="C13" s="252">
        <f>+C12</f>
        <v>46091</v>
      </c>
      <c r="D13" s="252"/>
      <c r="E13" s="252"/>
      <c r="F13" s="252"/>
      <c r="G13" s="265"/>
      <c r="H13" s="265"/>
      <c r="I13" s="107"/>
      <c r="J13" s="107"/>
      <c r="K13" s="107"/>
    </row>
    <row r="14" spans="1:11" ht="13.5" customHeight="1">
      <c r="A14" s="104"/>
      <c r="B14" s="102"/>
      <c r="C14" s="162"/>
      <c r="D14" s="162"/>
      <c r="E14" s="162"/>
      <c r="F14" s="162"/>
      <c r="G14" s="111"/>
      <c r="H14" s="111"/>
      <c r="I14" s="107"/>
      <c r="J14" s="107"/>
      <c r="K14" s="107"/>
    </row>
    <row r="15" spans="1:11" ht="13.5" customHeight="1">
      <c r="A15" s="108" t="s">
        <v>613</v>
      </c>
      <c r="B15" s="108" t="s">
        <v>614</v>
      </c>
      <c r="C15" s="109"/>
      <c r="D15" s="110"/>
      <c r="E15" s="110"/>
      <c r="F15" s="110"/>
      <c r="G15" s="111"/>
      <c r="H15" s="111"/>
      <c r="I15" s="107"/>
      <c r="J15" s="107"/>
      <c r="K15" s="107"/>
    </row>
    <row r="16" spans="1:11" ht="13.5" customHeight="1">
      <c r="A16" s="94" t="s">
        <v>343</v>
      </c>
      <c r="B16" s="94" t="s">
        <v>615</v>
      </c>
      <c r="C16" s="112"/>
      <c r="D16" s="113"/>
      <c r="E16" s="113"/>
      <c r="F16" s="114"/>
      <c r="G16" s="114"/>
      <c r="H16" s="114"/>
      <c r="I16" s="114"/>
      <c r="J16" s="114"/>
      <c r="K16" s="114"/>
    </row>
    <row r="17" spans="1:11" ht="24.75" customHeight="1">
      <c r="A17" s="273" t="s">
        <v>388</v>
      </c>
      <c r="B17" s="273" t="s">
        <v>616</v>
      </c>
      <c r="C17" s="288" t="s">
        <v>27</v>
      </c>
      <c r="D17" s="273" t="s">
        <v>617</v>
      </c>
      <c r="E17" s="273" t="s">
        <v>618</v>
      </c>
      <c r="F17" s="273" t="s">
        <v>619</v>
      </c>
      <c r="G17" s="273" t="s">
        <v>620</v>
      </c>
      <c r="H17" s="275" t="s">
        <v>621</v>
      </c>
      <c r="I17" s="276"/>
      <c r="J17" s="275" t="s">
        <v>622</v>
      </c>
      <c r="K17" s="276"/>
    </row>
    <row r="18" spans="1:11" ht="56.25" customHeight="1">
      <c r="A18" s="274"/>
      <c r="B18" s="274"/>
      <c r="C18" s="289"/>
      <c r="D18" s="274"/>
      <c r="E18" s="274"/>
      <c r="F18" s="274"/>
      <c r="G18" s="274"/>
      <c r="H18" s="115" t="s">
        <v>623</v>
      </c>
      <c r="I18" s="115" t="s">
        <v>624</v>
      </c>
      <c r="J18" s="115" t="s">
        <v>625</v>
      </c>
      <c r="K18" s="115" t="s">
        <v>626</v>
      </c>
    </row>
    <row r="19" spans="1:11" ht="21">
      <c r="A19" s="116">
        <v>1</v>
      </c>
      <c r="B19" s="117" t="s">
        <v>627</v>
      </c>
      <c r="C19" s="118" t="s">
        <v>573</v>
      </c>
      <c r="D19" s="277"/>
      <c r="E19" s="278"/>
      <c r="F19" s="278"/>
      <c r="G19" s="278"/>
      <c r="H19" s="278"/>
      <c r="I19" s="278"/>
      <c r="J19" s="278"/>
      <c r="K19" s="279"/>
    </row>
    <row r="20" spans="1:11" ht="21">
      <c r="A20" s="116" t="s">
        <v>31</v>
      </c>
      <c r="B20" s="117" t="s">
        <v>628</v>
      </c>
      <c r="C20" s="118" t="s">
        <v>629</v>
      </c>
      <c r="D20" s="280"/>
      <c r="E20" s="281"/>
      <c r="F20" s="281"/>
      <c r="G20" s="281"/>
      <c r="H20" s="281"/>
      <c r="I20" s="281"/>
      <c r="J20" s="281"/>
      <c r="K20" s="282"/>
    </row>
    <row r="21" spans="1:11" ht="21">
      <c r="A21" s="116">
        <v>2</v>
      </c>
      <c r="B21" s="117" t="s">
        <v>630</v>
      </c>
      <c r="C21" s="118" t="s">
        <v>631</v>
      </c>
      <c r="D21" s="280"/>
      <c r="E21" s="281"/>
      <c r="F21" s="281"/>
      <c r="G21" s="281"/>
      <c r="H21" s="281"/>
      <c r="I21" s="281"/>
      <c r="J21" s="281"/>
      <c r="K21" s="282"/>
    </row>
    <row r="22" spans="1:11" ht="21">
      <c r="A22" s="116" t="s">
        <v>121</v>
      </c>
      <c r="B22" s="117" t="s">
        <v>632</v>
      </c>
      <c r="C22" s="118" t="s">
        <v>633</v>
      </c>
      <c r="D22" s="280"/>
      <c r="E22" s="281"/>
      <c r="F22" s="281"/>
      <c r="G22" s="281"/>
      <c r="H22" s="281"/>
      <c r="I22" s="281"/>
      <c r="J22" s="281"/>
      <c r="K22" s="282"/>
    </row>
    <row r="23" spans="1:11" ht="21">
      <c r="A23" s="116" t="s">
        <v>613</v>
      </c>
      <c r="B23" s="119" t="s">
        <v>634</v>
      </c>
      <c r="C23" s="118" t="s">
        <v>635</v>
      </c>
      <c r="D23" s="280"/>
      <c r="E23" s="281"/>
      <c r="F23" s="281"/>
      <c r="G23" s="281"/>
      <c r="H23" s="281"/>
      <c r="I23" s="281"/>
      <c r="J23" s="281"/>
      <c r="K23" s="282"/>
    </row>
    <row r="24" spans="1:11" ht="21">
      <c r="A24" s="120" t="s">
        <v>14</v>
      </c>
      <c r="B24" s="119" t="s">
        <v>636</v>
      </c>
      <c r="C24" s="118" t="s">
        <v>637</v>
      </c>
      <c r="D24" s="280"/>
      <c r="E24" s="281"/>
      <c r="F24" s="281"/>
      <c r="G24" s="281"/>
      <c r="H24" s="281"/>
      <c r="I24" s="281"/>
      <c r="J24" s="281"/>
      <c r="K24" s="282"/>
    </row>
    <row r="25" spans="1:11" ht="21">
      <c r="A25" s="120" t="s">
        <v>340</v>
      </c>
      <c r="B25" s="117" t="s">
        <v>638</v>
      </c>
      <c r="C25" s="118" t="s">
        <v>639</v>
      </c>
      <c r="D25" s="280"/>
      <c r="E25" s="281"/>
      <c r="F25" s="281"/>
      <c r="G25" s="281"/>
      <c r="H25" s="281"/>
      <c r="I25" s="281"/>
      <c r="J25" s="281"/>
      <c r="K25" s="282"/>
    </row>
    <row r="26" spans="1:11" ht="21">
      <c r="A26" s="120" t="s">
        <v>19</v>
      </c>
      <c r="B26" s="117" t="s">
        <v>640</v>
      </c>
      <c r="C26" s="118" t="s">
        <v>641</v>
      </c>
      <c r="D26" s="280"/>
      <c r="E26" s="281"/>
      <c r="F26" s="281"/>
      <c r="G26" s="281"/>
      <c r="H26" s="281"/>
      <c r="I26" s="281"/>
      <c r="J26" s="281"/>
      <c r="K26" s="282"/>
    </row>
    <row r="27" spans="1:11" ht="21">
      <c r="A27" s="120" t="s">
        <v>343</v>
      </c>
      <c r="B27" s="117" t="s">
        <v>638</v>
      </c>
      <c r="C27" s="118" t="s">
        <v>642</v>
      </c>
      <c r="D27" s="280"/>
      <c r="E27" s="281"/>
      <c r="F27" s="281"/>
      <c r="G27" s="281"/>
      <c r="H27" s="281"/>
      <c r="I27" s="281"/>
      <c r="J27" s="281"/>
      <c r="K27" s="282"/>
    </row>
    <row r="28" spans="1:11" ht="25.5" customHeight="1">
      <c r="A28" s="116" t="s">
        <v>643</v>
      </c>
      <c r="B28" s="119" t="s">
        <v>644</v>
      </c>
      <c r="C28" s="118" t="s">
        <v>645</v>
      </c>
      <c r="D28" s="283"/>
      <c r="E28" s="284"/>
      <c r="F28" s="284"/>
      <c r="G28" s="284"/>
      <c r="H28" s="284"/>
      <c r="I28" s="284"/>
      <c r="J28" s="284"/>
      <c r="K28" s="285"/>
    </row>
    <row r="29" spans="1:11" ht="9" customHeight="1">
      <c r="A29" s="114"/>
      <c r="B29" s="121"/>
      <c r="C29" s="121"/>
      <c r="D29" s="114"/>
      <c r="E29" s="114"/>
      <c r="F29" s="114"/>
      <c r="G29" s="114"/>
      <c r="H29" s="114"/>
      <c r="I29" s="114"/>
      <c r="J29" s="114"/>
      <c r="K29" s="114"/>
    </row>
    <row r="30" spans="1:11">
      <c r="A30" s="286" t="s">
        <v>221</v>
      </c>
      <c r="B30" s="286"/>
      <c r="C30" s="286"/>
      <c r="E30" s="122"/>
      <c r="F30" s="123"/>
      <c r="G30" s="123"/>
      <c r="H30" s="287" t="s">
        <v>222</v>
      </c>
      <c r="I30" s="287"/>
      <c r="J30" s="287"/>
      <c r="K30" s="287"/>
    </row>
    <row r="31" spans="1:11">
      <c r="A31" s="271" t="s">
        <v>223</v>
      </c>
      <c r="B31" s="271"/>
      <c r="C31" s="271"/>
      <c r="E31" s="124"/>
      <c r="F31" s="125"/>
      <c r="G31" s="125"/>
      <c r="H31" s="290" t="s">
        <v>224</v>
      </c>
      <c r="I31" s="290"/>
      <c r="J31" s="290"/>
      <c r="K31" s="290"/>
    </row>
    <row r="32" spans="1:11" ht="36.75" customHeight="1">
      <c r="A32" s="125"/>
      <c r="B32" s="126"/>
      <c r="C32" s="127"/>
      <c r="E32" s="124"/>
      <c r="F32" s="125"/>
      <c r="G32" s="125"/>
      <c r="H32" s="128"/>
      <c r="J32" s="129"/>
      <c r="K32" s="130"/>
    </row>
    <row r="33" spans="1:11" ht="36.75" customHeight="1">
      <c r="A33" s="126"/>
      <c r="B33" s="126"/>
      <c r="C33" s="131"/>
      <c r="D33" s="132"/>
      <c r="E33" s="133"/>
      <c r="F33" s="134"/>
      <c r="G33" s="129"/>
      <c r="H33" s="129"/>
      <c r="J33" s="129"/>
      <c r="K33" s="129"/>
    </row>
    <row r="34" spans="1:11">
      <c r="A34" s="135"/>
      <c r="B34" s="135"/>
      <c r="C34" s="136"/>
      <c r="D34" s="137"/>
      <c r="E34" s="138"/>
      <c r="F34" s="134"/>
      <c r="G34" s="139"/>
      <c r="H34" s="135"/>
      <c r="I34" s="135"/>
      <c r="J34" s="136"/>
      <c r="K34" s="129"/>
    </row>
    <row r="35" spans="1:11" s="140" customFormat="1" ht="12.75" customHeight="1">
      <c r="A35" s="271" t="s">
        <v>646</v>
      </c>
      <c r="B35" s="271"/>
      <c r="C35" s="271"/>
      <c r="E35" s="125"/>
      <c r="F35" s="125"/>
      <c r="G35" s="141"/>
      <c r="H35" s="291" t="s">
        <v>647</v>
      </c>
      <c r="I35" s="291"/>
      <c r="J35" s="291"/>
      <c r="K35" s="291"/>
    </row>
    <row r="36" spans="1:11" s="140" customFormat="1" ht="12.75" customHeight="1">
      <c r="A36" s="271" t="s">
        <v>227</v>
      </c>
      <c r="B36" s="271"/>
      <c r="C36" s="271"/>
      <c r="E36" s="142"/>
      <c r="F36" s="143"/>
      <c r="G36" s="141"/>
      <c r="H36" s="272" t="s">
        <v>228</v>
      </c>
      <c r="I36" s="272"/>
      <c r="J36" s="272"/>
      <c r="K36" s="272"/>
    </row>
    <row r="37" spans="1:11" s="140" customFormat="1" ht="12.75" customHeight="1">
      <c r="A37" s="271" t="s">
        <v>229</v>
      </c>
      <c r="B37" s="271"/>
      <c r="C37" s="271"/>
      <c r="H37" s="272" t="s">
        <v>230</v>
      </c>
      <c r="I37" s="272"/>
      <c r="J37" s="272"/>
      <c r="K37" s="272"/>
    </row>
  </sheetData>
  <mergeCells count="27">
    <mergeCell ref="A31:C31"/>
    <mergeCell ref="H31:K31"/>
    <mergeCell ref="A35:C35"/>
    <mergeCell ref="H35:K35"/>
    <mergeCell ref="A37:C37"/>
    <mergeCell ref="H37:K37"/>
    <mergeCell ref="G17:G18"/>
    <mergeCell ref="H17:I17"/>
    <mergeCell ref="J17:K17"/>
    <mergeCell ref="D19:K28"/>
    <mergeCell ref="A30:C30"/>
    <mergeCell ref="H30:K30"/>
    <mergeCell ref="A17:A18"/>
    <mergeCell ref="B17:B18"/>
    <mergeCell ref="C17:C18"/>
    <mergeCell ref="D17:D18"/>
    <mergeCell ref="E17:E18"/>
    <mergeCell ref="F17:F18"/>
    <mergeCell ref="A36:C36"/>
    <mergeCell ref="H36:K36"/>
    <mergeCell ref="C13:F13"/>
    <mergeCell ref="G13:H13"/>
    <mergeCell ref="H1:K1"/>
    <mergeCell ref="A2:K2"/>
    <mergeCell ref="A3:K3"/>
    <mergeCell ref="A4:K4"/>
    <mergeCell ref="C12:F12"/>
  </mergeCells>
  <pageMargins left="0.39370078740157483" right="0.39370078740157483" top="0.35433070866141736" bottom="0.23622047244094491" header="0.31496062992125984" footer="0.19685039370078741"/>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7"/>
  <sheetViews>
    <sheetView showGridLines="0" showZeros="0" showOutlineSymbols="0" view="pageBreakPreview" topLeftCell="A43" zoomScaleNormal="100" zoomScaleSheetLayoutView="100" workbookViewId="0">
      <selection activeCell="F22" sqref="F22"/>
    </sheetView>
  </sheetViews>
  <sheetFormatPr defaultColWidth="9.140625" defaultRowHeight="10.5"/>
  <cols>
    <col min="1" max="1" width="4.28515625" style="54" customWidth="1"/>
    <col min="2" max="2" width="12.5703125" style="54" customWidth="1"/>
    <col min="3" max="3" width="16.85546875" style="54" customWidth="1"/>
    <col min="4" max="4" width="24.42578125" style="54" customWidth="1"/>
    <col min="5" max="5" width="9.140625" style="54"/>
    <col min="6" max="6" width="19.28515625" style="54" customWidth="1"/>
    <col min="7" max="7" width="20.5703125" style="54" customWidth="1"/>
    <col min="8" max="8" width="9.140625" style="54"/>
    <col min="9" max="9" width="19.7109375" style="54" bestFit="1" customWidth="1"/>
    <col min="10" max="10" width="18.7109375" style="54" bestFit="1" customWidth="1"/>
    <col min="11" max="16384" width="9.140625" style="54"/>
  </cols>
  <sheetData>
    <row r="1" spans="1:7" ht="30.75" customHeight="1">
      <c r="A1" s="258"/>
      <c r="B1" s="258"/>
      <c r="C1" s="73"/>
      <c r="D1" s="73"/>
      <c r="E1" s="247" t="s">
        <v>512</v>
      </c>
      <c r="F1" s="247"/>
      <c r="G1" s="247"/>
    </row>
    <row r="2" spans="1:7" ht="27" customHeight="1">
      <c r="A2" s="248" t="s">
        <v>1</v>
      </c>
      <c r="B2" s="248"/>
      <c r="C2" s="248"/>
      <c r="D2" s="248"/>
      <c r="E2" s="248"/>
      <c r="F2" s="248"/>
      <c r="G2" s="248"/>
    </row>
    <row r="3" spans="1:7" ht="6.75" customHeight="1">
      <c r="A3" s="73"/>
      <c r="B3" s="73"/>
      <c r="C3" s="73"/>
      <c r="D3" s="73"/>
      <c r="E3" s="73"/>
      <c r="F3" s="73"/>
      <c r="G3" s="73"/>
    </row>
    <row r="4" spans="1:7" ht="24.75" customHeight="1">
      <c r="A4" s="249" t="s">
        <v>231</v>
      </c>
      <c r="B4" s="249"/>
      <c r="C4" s="249"/>
      <c r="D4" s="249"/>
      <c r="E4" s="249"/>
      <c r="F4" s="249"/>
      <c r="G4" s="249"/>
    </row>
    <row r="5" spans="1:7" ht="18.75" customHeight="1">
      <c r="A5" s="257" t="s">
        <v>3</v>
      </c>
      <c r="B5" s="257"/>
      <c r="C5" s="257"/>
      <c r="D5" s="257"/>
      <c r="E5" s="257"/>
      <c r="F5" s="257"/>
      <c r="G5" s="257"/>
    </row>
    <row r="6" spans="1:7" ht="12.75" customHeight="1">
      <c r="A6" s="52" t="s">
        <v>4</v>
      </c>
      <c r="B6" s="259" t="s">
        <v>232</v>
      </c>
      <c r="C6" s="259"/>
      <c r="D6" s="259" t="s">
        <v>6</v>
      </c>
      <c r="E6" s="259"/>
      <c r="F6" s="259"/>
      <c r="G6" s="259"/>
    </row>
    <row r="7" spans="1:7" ht="12.75" customHeight="1">
      <c r="A7" s="73"/>
      <c r="B7" s="258" t="s">
        <v>7</v>
      </c>
      <c r="C7" s="258"/>
      <c r="D7" s="258" t="s">
        <v>8</v>
      </c>
      <c r="E7" s="258"/>
      <c r="F7" s="258"/>
      <c r="G7" s="258"/>
    </row>
    <row r="8" spans="1:7" ht="12.75" customHeight="1">
      <c r="A8" s="52" t="s">
        <v>9</v>
      </c>
      <c r="B8" s="259" t="s">
        <v>10</v>
      </c>
      <c r="C8" s="259"/>
      <c r="D8" s="259" t="s">
        <v>11</v>
      </c>
      <c r="E8" s="259"/>
      <c r="F8" s="259"/>
      <c r="G8" s="259"/>
    </row>
    <row r="9" spans="1:7" ht="12.75" customHeight="1">
      <c r="A9" s="73"/>
      <c r="B9" s="258" t="s">
        <v>12</v>
      </c>
      <c r="C9" s="258"/>
      <c r="D9" s="258" t="s">
        <v>13</v>
      </c>
      <c r="E9" s="258"/>
      <c r="F9" s="258"/>
      <c r="G9" s="258"/>
    </row>
    <row r="10" spans="1:7" ht="12.75" customHeight="1">
      <c r="A10" s="52" t="s">
        <v>14</v>
      </c>
      <c r="B10" s="259" t="s">
        <v>15</v>
      </c>
      <c r="C10" s="259"/>
      <c r="D10" s="259" t="s">
        <v>16</v>
      </c>
      <c r="E10" s="259"/>
      <c r="F10" s="259"/>
      <c r="G10" s="259"/>
    </row>
    <row r="11" spans="1:7" ht="12.75" customHeight="1">
      <c r="A11" s="73"/>
      <c r="B11" s="258" t="s">
        <v>17</v>
      </c>
      <c r="C11" s="258"/>
      <c r="D11" s="258" t="s">
        <v>18</v>
      </c>
      <c r="E11" s="258"/>
      <c r="F11" s="258"/>
      <c r="G11" s="258"/>
    </row>
    <row r="12" spans="1:7" ht="12.75" customHeight="1">
      <c r="A12" s="52" t="s">
        <v>19</v>
      </c>
      <c r="B12" s="259" t="s">
        <v>20</v>
      </c>
      <c r="C12" s="259"/>
      <c r="D12" s="245">
        <v>46091</v>
      </c>
      <c r="E12" s="245"/>
      <c r="F12" s="245"/>
      <c r="G12" s="245"/>
    </row>
    <row r="13" spans="1:7" ht="12.75" customHeight="1">
      <c r="A13" s="73"/>
      <c r="B13" s="258" t="s">
        <v>21</v>
      </c>
      <c r="C13" s="258"/>
      <c r="D13" s="252">
        <f>+D12</f>
        <v>46091</v>
      </c>
      <c r="E13" s="252"/>
      <c r="F13" s="252"/>
      <c r="G13" s="252"/>
    </row>
    <row r="14" spans="1:7" ht="9" customHeight="1">
      <c r="A14" s="73"/>
      <c r="B14" s="73"/>
      <c r="C14" s="73"/>
      <c r="D14" s="73"/>
      <c r="E14" s="294"/>
      <c r="F14" s="294"/>
      <c r="G14" s="294"/>
    </row>
    <row r="15" spans="1:7" ht="15.75" customHeight="1">
      <c r="A15" s="261" t="s">
        <v>22</v>
      </c>
      <c r="B15" s="261"/>
      <c r="C15" s="261"/>
      <c r="D15" s="261"/>
      <c r="E15" s="261"/>
      <c r="F15" s="261"/>
      <c r="G15" s="261"/>
    </row>
    <row r="16" spans="1:7" ht="15.75" customHeight="1">
      <c r="A16" s="259" t="s">
        <v>513</v>
      </c>
      <c r="B16" s="259"/>
      <c r="C16" s="259"/>
      <c r="D16" s="259"/>
      <c r="E16" s="259"/>
      <c r="F16" s="259"/>
      <c r="G16" s="259"/>
    </row>
    <row r="17" spans="1:11" ht="11.25" customHeight="1">
      <c r="A17" s="76"/>
      <c r="B17" s="144"/>
      <c r="C17" s="76"/>
      <c r="D17" s="262" t="s">
        <v>24</v>
      </c>
      <c r="E17" s="262"/>
      <c r="F17" s="262"/>
      <c r="G17" s="262"/>
    </row>
    <row r="18" spans="1:11" ht="32.25" customHeight="1">
      <c r="A18" s="20" t="s">
        <v>514</v>
      </c>
      <c r="B18" s="292" t="s">
        <v>26</v>
      </c>
      <c r="C18" s="292"/>
      <c r="D18" s="292"/>
      <c r="E18" s="21" t="s">
        <v>27</v>
      </c>
      <c r="F18" s="21" t="s">
        <v>234</v>
      </c>
      <c r="G18" s="22" t="s">
        <v>235</v>
      </c>
    </row>
    <row r="19" spans="1:11" ht="21.95" customHeight="1">
      <c r="A19" s="23" t="s">
        <v>31</v>
      </c>
      <c r="B19" s="293" t="s">
        <v>515</v>
      </c>
      <c r="C19" s="293"/>
      <c r="D19" s="293"/>
      <c r="E19" s="25" t="s">
        <v>516</v>
      </c>
      <c r="F19" s="146">
        <v>0</v>
      </c>
      <c r="G19" s="147">
        <v>0</v>
      </c>
    </row>
    <row r="20" spans="1:11" ht="33" customHeight="1">
      <c r="A20" s="23" t="s">
        <v>4</v>
      </c>
      <c r="B20" s="293" t="s">
        <v>517</v>
      </c>
      <c r="C20" s="293"/>
      <c r="D20" s="293"/>
      <c r="E20" s="25" t="s">
        <v>518</v>
      </c>
      <c r="F20" s="148">
        <v>8.0000000000000002E-3</v>
      </c>
      <c r="G20" s="27">
        <v>8.0000000000000002E-3</v>
      </c>
      <c r="H20" s="149"/>
      <c r="I20" s="150"/>
      <c r="J20" s="209"/>
      <c r="K20" s="149"/>
    </row>
    <row r="21" spans="1:11" ht="33" customHeight="1">
      <c r="A21" s="23" t="s">
        <v>9</v>
      </c>
      <c r="B21" s="293" t="s">
        <v>519</v>
      </c>
      <c r="C21" s="293"/>
      <c r="D21" s="293"/>
      <c r="E21" s="25" t="s">
        <v>520</v>
      </c>
      <c r="F21" s="148">
        <v>7.2900000000000005E-4</v>
      </c>
      <c r="G21" s="27">
        <v>7.36E-4</v>
      </c>
      <c r="H21" s="149"/>
      <c r="I21" s="150"/>
      <c r="J21" s="209"/>
      <c r="K21" s="149"/>
    </row>
    <row r="22" spans="1:11" ht="41.25" customHeight="1">
      <c r="A22" s="23" t="s">
        <v>14</v>
      </c>
      <c r="B22" s="293" t="s">
        <v>521</v>
      </c>
      <c r="C22" s="293"/>
      <c r="D22" s="293"/>
      <c r="E22" s="25" t="s">
        <v>522</v>
      </c>
      <c r="F22" s="148">
        <v>1.65E-3</v>
      </c>
      <c r="G22" s="27">
        <v>1.635E-3</v>
      </c>
      <c r="H22" s="149"/>
      <c r="I22" s="150"/>
      <c r="J22" s="209"/>
      <c r="K22" s="149"/>
    </row>
    <row r="23" spans="1:11" ht="33" customHeight="1">
      <c r="A23" s="23" t="s">
        <v>19</v>
      </c>
      <c r="B23" s="293" t="s">
        <v>523</v>
      </c>
      <c r="C23" s="293"/>
      <c r="D23" s="293"/>
      <c r="E23" s="25" t="s">
        <v>524</v>
      </c>
      <c r="F23" s="148">
        <v>2.5999999999999998E-5</v>
      </c>
      <c r="G23" s="27">
        <v>2.0999999999999999E-5</v>
      </c>
      <c r="H23" s="149"/>
      <c r="I23" s="150"/>
      <c r="J23" s="209"/>
      <c r="K23" s="149"/>
    </row>
    <row r="24" spans="1:11" ht="41.25" customHeight="1">
      <c r="A24" s="23" t="s">
        <v>287</v>
      </c>
      <c r="B24" s="293" t="s">
        <v>525</v>
      </c>
      <c r="C24" s="293"/>
      <c r="D24" s="293"/>
      <c r="E24" s="25"/>
      <c r="F24" s="148">
        <v>0</v>
      </c>
      <c r="G24" s="27">
        <v>0</v>
      </c>
      <c r="H24" s="149"/>
      <c r="I24" s="150"/>
      <c r="J24" s="209"/>
      <c r="K24" s="149"/>
    </row>
    <row r="25" spans="1:11" ht="42.75" customHeight="1">
      <c r="A25" s="23" t="s">
        <v>289</v>
      </c>
      <c r="B25" s="293" t="s">
        <v>526</v>
      </c>
      <c r="C25" s="293"/>
      <c r="D25" s="293"/>
      <c r="E25" s="25"/>
      <c r="F25" s="148">
        <v>0</v>
      </c>
      <c r="G25" s="27">
        <v>0</v>
      </c>
      <c r="H25" s="149"/>
      <c r="I25" s="150"/>
      <c r="J25" s="209"/>
      <c r="K25" s="149"/>
    </row>
    <row r="26" spans="1:11" ht="42.75" customHeight="1">
      <c r="A26" s="23" t="s">
        <v>292</v>
      </c>
      <c r="B26" s="293" t="s">
        <v>527</v>
      </c>
      <c r="C26" s="293"/>
      <c r="D26" s="293"/>
      <c r="E26" s="25" t="s">
        <v>528</v>
      </c>
      <c r="F26" s="148">
        <v>9.0000000000000002E-6</v>
      </c>
      <c r="G26" s="27">
        <v>1.2E-5</v>
      </c>
      <c r="H26" s="149"/>
      <c r="I26" s="150"/>
      <c r="J26" s="209"/>
      <c r="K26" s="149"/>
    </row>
    <row r="27" spans="1:11" ht="21.95" customHeight="1">
      <c r="A27" s="23" t="s">
        <v>301</v>
      </c>
      <c r="B27" s="293" t="s">
        <v>529</v>
      </c>
      <c r="C27" s="293"/>
      <c r="D27" s="293"/>
      <c r="E27" s="25" t="s">
        <v>530</v>
      </c>
      <c r="F27" s="148">
        <v>1.0435E-2</v>
      </c>
      <c r="G27" s="27">
        <v>1.0425E-2</v>
      </c>
      <c r="H27" s="149"/>
      <c r="I27" s="150"/>
      <c r="J27" s="209"/>
      <c r="K27" s="149"/>
    </row>
    <row r="28" spans="1:11" ht="42.75" customHeight="1">
      <c r="A28" s="23" t="s">
        <v>314</v>
      </c>
      <c r="B28" s="293" t="s">
        <v>531</v>
      </c>
      <c r="C28" s="293"/>
      <c r="D28" s="293"/>
      <c r="E28" s="25" t="s">
        <v>532</v>
      </c>
      <c r="F28" s="148">
        <v>0.280366</v>
      </c>
      <c r="G28" s="27">
        <v>0.66026600000000002</v>
      </c>
      <c r="H28" s="149"/>
      <c r="I28" s="150"/>
      <c r="J28" s="209"/>
      <c r="K28" s="149"/>
    </row>
    <row r="29" spans="1:11" ht="42.75" customHeight="1">
      <c r="A29" s="23" t="s">
        <v>321</v>
      </c>
      <c r="B29" s="293" t="s">
        <v>533</v>
      </c>
      <c r="C29" s="293"/>
      <c r="D29" s="293"/>
      <c r="E29" s="25"/>
      <c r="F29" s="148">
        <v>0</v>
      </c>
      <c r="G29" s="27">
        <v>0</v>
      </c>
      <c r="H29" s="149"/>
      <c r="I29" s="150"/>
      <c r="J29" s="209"/>
      <c r="K29" s="149"/>
    </row>
    <row r="30" spans="1:11" ht="21.95" customHeight="1">
      <c r="A30" s="23" t="s">
        <v>121</v>
      </c>
      <c r="B30" s="293" t="s">
        <v>534</v>
      </c>
      <c r="C30" s="293"/>
      <c r="D30" s="293"/>
      <c r="E30" s="25" t="s">
        <v>535</v>
      </c>
      <c r="F30" s="146">
        <v>0</v>
      </c>
      <c r="G30" s="147">
        <v>0</v>
      </c>
      <c r="H30" s="149"/>
      <c r="I30" s="150"/>
      <c r="J30" s="209"/>
      <c r="K30" s="149"/>
    </row>
    <row r="31" spans="1:11" ht="21.95" customHeight="1">
      <c r="A31" s="23" t="s">
        <v>4</v>
      </c>
      <c r="B31" s="293" t="s">
        <v>536</v>
      </c>
      <c r="C31" s="293"/>
      <c r="D31" s="293"/>
      <c r="E31" s="25" t="s">
        <v>537</v>
      </c>
      <c r="F31" s="151">
        <v>3765000000000</v>
      </c>
      <c r="G31" s="152">
        <v>6651000000000</v>
      </c>
      <c r="H31" s="149"/>
      <c r="I31" s="150"/>
      <c r="J31" s="209"/>
      <c r="K31" s="149"/>
    </row>
    <row r="32" spans="1:11" ht="21.95" customHeight="1">
      <c r="A32" s="23"/>
      <c r="B32" s="293" t="s">
        <v>538</v>
      </c>
      <c r="C32" s="293"/>
      <c r="D32" s="293"/>
      <c r="E32" s="25" t="s">
        <v>539</v>
      </c>
      <c r="F32" s="151">
        <v>3765000000000</v>
      </c>
      <c r="G32" s="152">
        <v>6651000000000</v>
      </c>
      <c r="H32" s="149"/>
      <c r="I32" s="150"/>
      <c r="J32" s="209"/>
      <c r="K32" s="149"/>
    </row>
    <row r="33" spans="1:11" ht="21.95" customHeight="1">
      <c r="A33" s="23"/>
      <c r="B33" s="293" t="s">
        <v>540</v>
      </c>
      <c r="C33" s="293"/>
      <c r="D33" s="293"/>
      <c r="E33" s="25" t="s">
        <v>541</v>
      </c>
      <c r="F33" s="151">
        <v>376500000</v>
      </c>
      <c r="G33" s="152">
        <v>665100000</v>
      </c>
      <c r="H33" s="149"/>
      <c r="I33" s="150"/>
      <c r="J33" s="209"/>
      <c r="K33" s="149"/>
    </row>
    <row r="34" spans="1:11" ht="21.95" customHeight="1">
      <c r="A34" s="23" t="s">
        <v>9</v>
      </c>
      <c r="B34" s="293" t="s">
        <v>542</v>
      </c>
      <c r="C34" s="293"/>
      <c r="D34" s="293"/>
      <c r="E34" s="25" t="s">
        <v>543</v>
      </c>
      <c r="F34" s="151">
        <v>-236000000000</v>
      </c>
      <c r="G34" s="152">
        <v>-2886000000000</v>
      </c>
      <c r="H34" s="149"/>
      <c r="I34" s="150"/>
      <c r="J34" s="209"/>
      <c r="K34" s="149"/>
    </row>
    <row r="35" spans="1:11" ht="21.95" customHeight="1">
      <c r="A35" s="23"/>
      <c r="B35" s="293" t="s">
        <v>544</v>
      </c>
      <c r="C35" s="293"/>
      <c r="D35" s="293"/>
      <c r="E35" s="25" t="s">
        <v>545</v>
      </c>
      <c r="F35" s="151">
        <v>-23600000</v>
      </c>
      <c r="G35" s="152">
        <v>-288600000</v>
      </c>
      <c r="H35" s="149"/>
      <c r="I35" s="150"/>
      <c r="J35" s="209"/>
      <c r="K35" s="149"/>
    </row>
    <row r="36" spans="1:11" ht="21.95" customHeight="1">
      <c r="A36" s="23"/>
      <c r="B36" s="293" t="s">
        <v>546</v>
      </c>
      <c r="C36" s="293"/>
      <c r="D36" s="293"/>
      <c r="E36" s="25" t="s">
        <v>547</v>
      </c>
      <c r="F36" s="151">
        <v>-236000000000</v>
      </c>
      <c r="G36" s="152">
        <v>-2886000000000</v>
      </c>
      <c r="H36" s="149"/>
      <c r="I36" s="150"/>
      <c r="J36" s="209"/>
      <c r="K36" s="149"/>
    </row>
    <row r="37" spans="1:11" ht="21.95" customHeight="1">
      <c r="A37" s="23"/>
      <c r="B37" s="293" t="s">
        <v>548</v>
      </c>
      <c r="C37" s="293"/>
      <c r="D37" s="293"/>
      <c r="E37" s="25" t="s">
        <v>549</v>
      </c>
      <c r="F37" s="151">
        <v>82700000</v>
      </c>
      <c r="G37" s="152">
        <v>81600000</v>
      </c>
      <c r="H37" s="149"/>
      <c r="I37" s="150"/>
      <c r="J37" s="209"/>
      <c r="K37" s="149"/>
    </row>
    <row r="38" spans="1:11" ht="21.95" customHeight="1">
      <c r="A38" s="23"/>
      <c r="B38" s="293" t="s">
        <v>550</v>
      </c>
      <c r="C38" s="293"/>
      <c r="D38" s="293"/>
      <c r="E38" s="25" t="s">
        <v>551</v>
      </c>
      <c r="F38" s="151">
        <v>827000000000</v>
      </c>
      <c r="G38" s="152">
        <v>816000000000</v>
      </c>
      <c r="H38" s="149"/>
      <c r="I38" s="150"/>
      <c r="J38" s="209"/>
      <c r="K38" s="149"/>
    </row>
    <row r="39" spans="1:11" ht="21.95" customHeight="1">
      <c r="A39" s="23"/>
      <c r="B39" s="293" t="s">
        <v>552</v>
      </c>
      <c r="C39" s="293"/>
      <c r="D39" s="293"/>
      <c r="E39" s="25" t="s">
        <v>553</v>
      </c>
      <c r="F39" s="151">
        <v>-106300000</v>
      </c>
      <c r="G39" s="152">
        <v>-370200000</v>
      </c>
      <c r="H39" s="149"/>
      <c r="I39" s="150"/>
      <c r="J39" s="209"/>
      <c r="K39" s="149"/>
    </row>
    <row r="40" spans="1:11" ht="21.95" customHeight="1">
      <c r="A40" s="23"/>
      <c r="B40" s="293" t="s">
        <v>554</v>
      </c>
      <c r="C40" s="293"/>
      <c r="D40" s="293"/>
      <c r="E40" s="25" t="s">
        <v>555</v>
      </c>
      <c r="F40" s="151">
        <v>-1063000000000</v>
      </c>
      <c r="G40" s="152">
        <v>-3702000000000</v>
      </c>
      <c r="H40" s="149"/>
      <c r="I40" s="150"/>
      <c r="J40" s="209"/>
      <c r="K40" s="149"/>
    </row>
    <row r="41" spans="1:11" ht="21.95" customHeight="1">
      <c r="A41" s="23" t="s">
        <v>14</v>
      </c>
      <c r="B41" s="293" t="s">
        <v>556</v>
      </c>
      <c r="C41" s="293"/>
      <c r="D41" s="293"/>
      <c r="E41" s="25" t="s">
        <v>557</v>
      </c>
      <c r="F41" s="151">
        <v>3529000000000</v>
      </c>
      <c r="G41" s="152">
        <v>3765000000000</v>
      </c>
      <c r="H41" s="149"/>
      <c r="I41" s="150"/>
      <c r="J41" s="209"/>
      <c r="K41" s="149"/>
    </row>
    <row r="42" spans="1:11" ht="21.95" customHeight="1">
      <c r="A42" s="23"/>
      <c r="B42" s="293" t="s">
        <v>558</v>
      </c>
      <c r="C42" s="293"/>
      <c r="D42" s="293"/>
      <c r="E42" s="25" t="s">
        <v>559</v>
      </c>
      <c r="F42" s="151">
        <v>3529000000000</v>
      </c>
      <c r="G42" s="152">
        <v>3765000000000</v>
      </c>
      <c r="H42" s="149"/>
      <c r="I42" s="150"/>
      <c r="J42" s="209"/>
      <c r="K42" s="149"/>
    </row>
    <row r="43" spans="1:11" ht="21.95" customHeight="1">
      <c r="A43" s="23"/>
      <c r="B43" s="293" t="s">
        <v>560</v>
      </c>
      <c r="C43" s="293"/>
      <c r="D43" s="293"/>
      <c r="E43" s="25" t="s">
        <v>561</v>
      </c>
      <c r="F43" s="151">
        <v>352900000</v>
      </c>
      <c r="G43" s="152">
        <v>376500000</v>
      </c>
      <c r="H43" s="149"/>
      <c r="I43" s="150"/>
      <c r="J43" s="209"/>
      <c r="K43" s="149"/>
    </row>
    <row r="44" spans="1:11" ht="31.5" customHeight="1">
      <c r="A44" s="23" t="s">
        <v>19</v>
      </c>
      <c r="B44" s="293" t="s">
        <v>562</v>
      </c>
      <c r="C44" s="293"/>
      <c r="D44" s="293"/>
      <c r="E44" s="25" t="s">
        <v>563</v>
      </c>
      <c r="F44" s="153">
        <v>1.17E-2</v>
      </c>
      <c r="G44" s="32">
        <v>8.2810000000000002E-3</v>
      </c>
      <c r="H44" s="149"/>
      <c r="I44" s="150"/>
      <c r="J44" s="209"/>
      <c r="K44" s="149"/>
    </row>
    <row r="45" spans="1:11" ht="23.25" customHeight="1">
      <c r="A45" s="23" t="s">
        <v>287</v>
      </c>
      <c r="B45" s="295" t="s">
        <v>564</v>
      </c>
      <c r="C45" s="296"/>
      <c r="D45" s="297"/>
      <c r="E45" s="25" t="s">
        <v>565</v>
      </c>
      <c r="F45" s="153">
        <v>0.82030000000000003</v>
      </c>
      <c r="G45" s="32">
        <v>0.79379999999999995</v>
      </c>
      <c r="H45" s="149"/>
      <c r="I45" s="150"/>
      <c r="J45" s="209"/>
      <c r="K45" s="149"/>
    </row>
    <row r="46" spans="1:11" ht="23.25" customHeight="1">
      <c r="A46" s="23" t="s">
        <v>289</v>
      </c>
      <c r="B46" s="295" t="s">
        <v>566</v>
      </c>
      <c r="C46" s="296"/>
      <c r="D46" s="297"/>
      <c r="E46" s="25" t="s">
        <v>567</v>
      </c>
      <c r="F46" s="153">
        <v>0.94679999999999997</v>
      </c>
      <c r="G46" s="32">
        <v>0.92259999999999998</v>
      </c>
      <c r="H46" s="149"/>
      <c r="I46" s="150"/>
      <c r="J46" s="209"/>
      <c r="K46" s="149"/>
    </row>
    <row r="47" spans="1:11" ht="21.95" customHeight="1">
      <c r="A47" s="23" t="s">
        <v>292</v>
      </c>
      <c r="B47" s="293" t="s">
        <v>568</v>
      </c>
      <c r="C47" s="293"/>
      <c r="D47" s="293"/>
      <c r="E47" s="25" t="s">
        <v>569</v>
      </c>
      <c r="F47" s="154">
        <v>38478.93</v>
      </c>
      <c r="G47" s="155">
        <v>33641.230000000003</v>
      </c>
      <c r="H47" s="149"/>
      <c r="I47" s="150"/>
      <c r="J47" s="209"/>
      <c r="K47" s="149"/>
    </row>
    <row r="48" spans="1:11" ht="21.95" customHeight="1">
      <c r="A48" s="23" t="s">
        <v>301</v>
      </c>
      <c r="B48" s="293" t="s">
        <v>570</v>
      </c>
      <c r="C48" s="293"/>
      <c r="D48" s="293"/>
      <c r="E48" s="25" t="s">
        <v>571</v>
      </c>
      <c r="F48" s="156">
        <v>38300</v>
      </c>
      <c r="G48" s="157">
        <v>33520</v>
      </c>
      <c r="H48" s="149"/>
      <c r="I48" s="150"/>
      <c r="J48" s="209"/>
      <c r="K48" s="149"/>
    </row>
    <row r="49" spans="1:11" ht="25.5" customHeight="1">
      <c r="A49" s="82" t="s">
        <v>314</v>
      </c>
      <c r="B49" s="298" t="s">
        <v>572</v>
      </c>
      <c r="C49" s="298"/>
      <c r="D49" s="298"/>
      <c r="E49" s="84" t="s">
        <v>573</v>
      </c>
      <c r="F49" s="158">
        <v>6934</v>
      </c>
      <c r="G49" s="159">
        <v>5779</v>
      </c>
      <c r="H49" s="149"/>
      <c r="I49" s="150"/>
      <c r="J49" s="209"/>
      <c r="K49" s="149"/>
    </row>
    <row r="50" spans="1:11" ht="7.5" customHeight="1">
      <c r="A50" s="73"/>
      <c r="B50" s="73"/>
      <c r="C50" s="73"/>
      <c r="D50" s="73"/>
      <c r="E50" s="73"/>
      <c r="F50" s="160"/>
      <c r="G50" s="160"/>
    </row>
    <row r="51" spans="1:11" ht="14.25" customHeight="1">
      <c r="A51" s="258" t="s">
        <v>574</v>
      </c>
      <c r="B51" s="258"/>
      <c r="C51" s="258"/>
      <c r="D51" s="258"/>
      <c r="E51" s="258"/>
      <c r="F51" s="258"/>
      <c r="G51" s="258"/>
    </row>
    <row r="52" spans="1:11" ht="277.5" customHeight="1">
      <c r="A52" s="299" t="s">
        <v>648</v>
      </c>
      <c r="B52" s="299"/>
      <c r="C52" s="299"/>
      <c r="D52" s="299"/>
      <c r="E52" s="299"/>
      <c r="F52" s="299"/>
      <c r="G52" s="299"/>
    </row>
    <row r="53" spans="1:11" ht="134.25" customHeight="1">
      <c r="A53" s="299" t="s">
        <v>649</v>
      </c>
      <c r="B53" s="299"/>
      <c r="C53" s="299"/>
      <c r="D53" s="299"/>
      <c r="E53" s="299"/>
      <c r="F53" s="299"/>
      <c r="G53" s="299"/>
    </row>
    <row r="54" spans="1:11" ht="112.5" customHeight="1">
      <c r="A54" s="299" t="s">
        <v>650</v>
      </c>
      <c r="B54" s="299"/>
      <c r="C54" s="299"/>
      <c r="D54" s="299"/>
      <c r="E54" s="299"/>
      <c r="F54" s="299"/>
      <c r="G54" s="299"/>
    </row>
    <row r="55" spans="1:11" ht="48.75" customHeight="1">
      <c r="A55" s="299" t="s">
        <v>651</v>
      </c>
      <c r="B55" s="299"/>
      <c r="C55" s="299"/>
      <c r="D55" s="299"/>
      <c r="E55" s="299"/>
      <c r="F55" s="299"/>
      <c r="G55" s="299"/>
    </row>
    <row r="56" spans="1:11" ht="7.5" customHeight="1">
      <c r="A56" s="73"/>
      <c r="B56" s="161"/>
      <c r="C56" s="73"/>
      <c r="D56" s="73"/>
      <c r="E56" s="73"/>
      <c r="F56" s="73"/>
      <c r="G56" s="73"/>
    </row>
    <row r="57" spans="1:11" ht="14.25" customHeight="1">
      <c r="A57" s="260" t="s">
        <v>575</v>
      </c>
      <c r="B57" s="260"/>
      <c r="C57" s="260"/>
      <c r="D57" s="260"/>
      <c r="E57" s="260" t="s">
        <v>222</v>
      </c>
      <c r="F57" s="260"/>
      <c r="G57" s="260"/>
    </row>
    <row r="58" spans="1:11" ht="12" customHeight="1">
      <c r="A58" s="257" t="s">
        <v>223</v>
      </c>
      <c r="B58" s="257"/>
      <c r="C58" s="257"/>
      <c r="D58" s="257"/>
      <c r="E58" s="257" t="s">
        <v>224</v>
      </c>
      <c r="F58" s="257"/>
      <c r="G58" s="257"/>
    </row>
    <row r="59" spans="1:11" ht="15" customHeight="1">
      <c r="A59" s="73"/>
      <c r="B59" s="73"/>
      <c r="C59" s="73"/>
      <c r="D59" s="73"/>
      <c r="E59" s="73"/>
      <c r="F59" s="73"/>
      <c r="G59" s="73"/>
    </row>
    <row r="60" spans="1:11" ht="15" customHeight="1">
      <c r="A60" s="73"/>
      <c r="B60" s="73"/>
      <c r="C60" s="73"/>
      <c r="D60" s="73"/>
      <c r="E60" s="73"/>
      <c r="F60" s="73"/>
      <c r="G60" s="73"/>
    </row>
    <row r="61" spans="1:11" ht="15.75" customHeight="1">
      <c r="A61" s="73"/>
      <c r="B61" s="73"/>
      <c r="C61" s="73"/>
      <c r="D61" s="73"/>
      <c r="E61" s="73"/>
      <c r="F61" s="73"/>
      <c r="G61" s="73"/>
    </row>
    <row r="62" spans="1:11" ht="15" customHeight="1">
      <c r="A62" s="73"/>
      <c r="B62" s="73"/>
      <c r="C62" s="73"/>
      <c r="D62" s="73"/>
      <c r="E62" s="73"/>
      <c r="F62" s="73"/>
      <c r="G62" s="73"/>
    </row>
    <row r="63" spans="1:11" ht="15.75" customHeight="1">
      <c r="A63" s="73"/>
      <c r="B63" s="73"/>
      <c r="C63" s="73"/>
      <c r="D63" s="73"/>
      <c r="E63" s="73"/>
      <c r="F63" s="73"/>
      <c r="G63" s="73"/>
    </row>
    <row r="64" spans="1:11" ht="15.75" customHeight="1">
      <c r="A64" s="73"/>
      <c r="B64" s="73"/>
      <c r="C64" s="73"/>
      <c r="D64" s="73"/>
      <c r="E64" s="73"/>
      <c r="F64" s="73"/>
      <c r="G64" s="73"/>
    </row>
    <row r="65" spans="1:7" ht="15.75" customHeight="1">
      <c r="A65" s="260" t="s">
        <v>225</v>
      </c>
      <c r="B65" s="260"/>
      <c r="C65" s="260"/>
      <c r="D65" s="260"/>
      <c r="E65" s="260" t="s">
        <v>226</v>
      </c>
      <c r="F65" s="260"/>
      <c r="G65" s="260"/>
    </row>
    <row r="66" spans="1:7">
      <c r="A66" s="260" t="s">
        <v>227</v>
      </c>
      <c r="B66" s="260"/>
      <c r="C66" s="260"/>
      <c r="D66" s="260"/>
      <c r="E66" s="260" t="s">
        <v>228</v>
      </c>
      <c r="F66" s="260"/>
      <c r="G66" s="260"/>
    </row>
    <row r="67" spans="1:7">
      <c r="A67" s="260" t="s">
        <v>229</v>
      </c>
      <c r="B67" s="260"/>
      <c r="C67" s="260"/>
      <c r="D67" s="260"/>
      <c r="E67" s="260" t="s">
        <v>230</v>
      </c>
      <c r="F67" s="260"/>
      <c r="G67" s="260"/>
    </row>
  </sheetData>
  <mergeCells count="72">
    <mergeCell ref="A52:G52"/>
    <mergeCell ref="A53:G53"/>
    <mergeCell ref="A55:G55"/>
    <mergeCell ref="A65:D65"/>
    <mergeCell ref="E65:G65"/>
    <mergeCell ref="A66:D66"/>
    <mergeCell ref="E66:G66"/>
    <mergeCell ref="A67:D67"/>
    <mergeCell ref="E67:G67"/>
    <mergeCell ref="A54:G54"/>
    <mergeCell ref="A57:D57"/>
    <mergeCell ref="E57:G57"/>
    <mergeCell ref="A58:D58"/>
    <mergeCell ref="E58:G58"/>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5:D25"/>
    <mergeCell ref="B26:D26"/>
    <mergeCell ref="B27:D27"/>
    <mergeCell ref="B28:D28"/>
    <mergeCell ref="B22:D22"/>
    <mergeCell ref="B23:D23"/>
    <mergeCell ref="B24:D24"/>
    <mergeCell ref="B18:D18"/>
    <mergeCell ref="B19:D19"/>
    <mergeCell ref="B20:D20"/>
    <mergeCell ref="B21:D21"/>
    <mergeCell ref="B13:C13"/>
    <mergeCell ref="D13:G13"/>
    <mergeCell ref="E14:G14"/>
    <mergeCell ref="A15:G15"/>
    <mergeCell ref="A16:G16"/>
    <mergeCell ref="D17:G17"/>
    <mergeCell ref="B10:C10"/>
    <mergeCell ref="D10:G10"/>
    <mergeCell ref="B11:C11"/>
    <mergeCell ref="D11:G11"/>
    <mergeCell ref="B12:C12"/>
    <mergeCell ref="D12:G12"/>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39370078740157483" right="0.39370078740157483" top="0.59055118110236227" bottom="0" header="0.51181102362204722" footer="0"/>
  <pageSetup paperSize="9" scale="88"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41"/>
  <sheetViews>
    <sheetView showGridLines="0" showZeros="0" showOutlineSymbols="0" view="pageBreakPreview" topLeftCell="A22" zoomScaleNormal="100" zoomScaleSheetLayoutView="100" workbookViewId="0">
      <selection sqref="A1:B1"/>
    </sheetView>
  </sheetViews>
  <sheetFormatPr defaultRowHeight="10.5"/>
  <cols>
    <col min="1" max="1" width="6" style="163" customWidth="1"/>
    <col min="2" max="2" width="38.5703125" style="163" customWidth="1"/>
    <col min="3" max="3" width="15.28515625" style="163" customWidth="1"/>
    <col min="4" max="5" width="18.7109375" style="163" customWidth="1"/>
    <col min="6" max="6" width="16.7109375" style="163" customWidth="1"/>
    <col min="7" max="8" width="12" style="163" customWidth="1"/>
    <col min="9" max="256" width="9.140625" style="163"/>
    <col min="257" max="257" width="10.7109375" style="163" customWidth="1"/>
    <col min="258" max="258" width="38.5703125" style="163" customWidth="1"/>
    <col min="259" max="259" width="23.5703125" style="163" customWidth="1"/>
    <col min="260" max="261" width="17.85546875" style="163" customWidth="1"/>
    <col min="262" max="262" width="16.42578125" style="163" customWidth="1"/>
    <col min="263" max="264" width="10.7109375" style="163" customWidth="1"/>
    <col min="265" max="512" width="9.140625" style="163"/>
    <col min="513" max="513" width="10.7109375" style="163" customWidth="1"/>
    <col min="514" max="514" width="38.5703125" style="163" customWidth="1"/>
    <col min="515" max="515" width="23.5703125" style="163" customWidth="1"/>
    <col min="516" max="517" width="17.85546875" style="163" customWidth="1"/>
    <col min="518" max="518" width="16.42578125" style="163" customWidth="1"/>
    <col min="519" max="520" width="10.7109375" style="163" customWidth="1"/>
    <col min="521" max="768" width="9.140625" style="163"/>
    <col min="769" max="769" width="10.7109375" style="163" customWidth="1"/>
    <col min="770" max="770" width="38.5703125" style="163" customWidth="1"/>
    <col min="771" max="771" width="23.5703125" style="163" customWidth="1"/>
    <col min="772" max="773" width="17.85546875" style="163" customWidth="1"/>
    <col min="774" max="774" width="16.42578125" style="163" customWidth="1"/>
    <col min="775" max="776" width="10.7109375" style="163" customWidth="1"/>
    <col min="777" max="1024" width="9.140625" style="163"/>
    <col min="1025" max="1025" width="10.7109375" style="163" customWidth="1"/>
    <col min="1026" max="1026" width="38.5703125" style="163" customWidth="1"/>
    <col min="1027" max="1027" width="23.5703125" style="163" customWidth="1"/>
    <col min="1028" max="1029" width="17.85546875" style="163" customWidth="1"/>
    <col min="1030" max="1030" width="16.42578125" style="163" customWidth="1"/>
    <col min="1031" max="1032" width="10.7109375" style="163" customWidth="1"/>
    <col min="1033" max="1280" width="9.140625" style="163"/>
    <col min="1281" max="1281" width="10.7109375" style="163" customWidth="1"/>
    <col min="1282" max="1282" width="38.5703125" style="163" customWidth="1"/>
    <col min="1283" max="1283" width="23.5703125" style="163" customWidth="1"/>
    <col min="1284" max="1285" width="17.85546875" style="163" customWidth="1"/>
    <col min="1286" max="1286" width="16.42578125" style="163" customWidth="1"/>
    <col min="1287" max="1288" width="10.7109375" style="163" customWidth="1"/>
    <col min="1289" max="1536" width="9.140625" style="163"/>
    <col min="1537" max="1537" width="10.7109375" style="163" customWidth="1"/>
    <col min="1538" max="1538" width="38.5703125" style="163" customWidth="1"/>
    <col min="1539" max="1539" width="23.5703125" style="163" customWidth="1"/>
    <col min="1540" max="1541" width="17.85546875" style="163" customWidth="1"/>
    <col min="1542" max="1542" width="16.42578125" style="163" customWidth="1"/>
    <col min="1543" max="1544" width="10.7109375" style="163" customWidth="1"/>
    <col min="1545" max="1792" width="9.140625" style="163"/>
    <col min="1793" max="1793" width="10.7109375" style="163" customWidth="1"/>
    <col min="1794" max="1794" width="38.5703125" style="163" customWidth="1"/>
    <col min="1795" max="1795" width="23.5703125" style="163" customWidth="1"/>
    <col min="1796" max="1797" width="17.85546875" style="163" customWidth="1"/>
    <col min="1798" max="1798" width="16.42578125" style="163" customWidth="1"/>
    <col min="1799" max="1800" width="10.7109375" style="163" customWidth="1"/>
    <col min="1801" max="2048" width="9.140625" style="163"/>
    <col min="2049" max="2049" width="10.7109375" style="163" customWidth="1"/>
    <col min="2050" max="2050" width="38.5703125" style="163" customWidth="1"/>
    <col min="2051" max="2051" width="23.5703125" style="163" customWidth="1"/>
    <col min="2052" max="2053" width="17.85546875" style="163" customWidth="1"/>
    <col min="2054" max="2054" width="16.42578125" style="163" customWidth="1"/>
    <col min="2055" max="2056" width="10.7109375" style="163" customWidth="1"/>
    <col min="2057" max="2304" width="9.140625" style="163"/>
    <col min="2305" max="2305" width="10.7109375" style="163" customWidth="1"/>
    <col min="2306" max="2306" width="38.5703125" style="163" customWidth="1"/>
    <col min="2307" max="2307" width="23.5703125" style="163" customWidth="1"/>
    <col min="2308" max="2309" width="17.85546875" style="163" customWidth="1"/>
    <col min="2310" max="2310" width="16.42578125" style="163" customWidth="1"/>
    <col min="2311" max="2312" width="10.7109375" style="163" customWidth="1"/>
    <col min="2313" max="2560" width="9.140625" style="163"/>
    <col min="2561" max="2561" width="10.7109375" style="163" customWidth="1"/>
    <col min="2562" max="2562" width="38.5703125" style="163" customWidth="1"/>
    <col min="2563" max="2563" width="23.5703125" style="163" customWidth="1"/>
    <col min="2564" max="2565" width="17.85546875" style="163" customWidth="1"/>
    <col min="2566" max="2566" width="16.42578125" style="163" customWidth="1"/>
    <col min="2567" max="2568" width="10.7109375" style="163" customWidth="1"/>
    <col min="2569" max="2816" width="9.140625" style="163"/>
    <col min="2817" max="2817" width="10.7109375" style="163" customWidth="1"/>
    <col min="2818" max="2818" width="38.5703125" style="163" customWidth="1"/>
    <col min="2819" max="2819" width="23.5703125" style="163" customWidth="1"/>
    <col min="2820" max="2821" width="17.85546875" style="163" customWidth="1"/>
    <col min="2822" max="2822" width="16.42578125" style="163" customWidth="1"/>
    <col min="2823" max="2824" width="10.7109375" style="163" customWidth="1"/>
    <col min="2825" max="3072" width="9.140625" style="163"/>
    <col min="3073" max="3073" width="10.7109375" style="163" customWidth="1"/>
    <col min="3074" max="3074" width="38.5703125" style="163" customWidth="1"/>
    <col min="3075" max="3075" width="23.5703125" style="163" customWidth="1"/>
    <col min="3076" max="3077" width="17.85546875" style="163" customWidth="1"/>
    <col min="3078" max="3078" width="16.42578125" style="163" customWidth="1"/>
    <col min="3079" max="3080" width="10.7109375" style="163" customWidth="1"/>
    <col min="3081" max="3328" width="9.140625" style="163"/>
    <col min="3329" max="3329" width="10.7109375" style="163" customWidth="1"/>
    <col min="3330" max="3330" width="38.5703125" style="163" customWidth="1"/>
    <col min="3331" max="3331" width="23.5703125" style="163" customWidth="1"/>
    <col min="3332" max="3333" width="17.85546875" style="163" customWidth="1"/>
    <col min="3334" max="3334" width="16.42578125" style="163" customWidth="1"/>
    <col min="3335" max="3336" width="10.7109375" style="163" customWidth="1"/>
    <col min="3337" max="3584" width="9.140625" style="163"/>
    <col min="3585" max="3585" width="10.7109375" style="163" customWidth="1"/>
    <col min="3586" max="3586" width="38.5703125" style="163" customWidth="1"/>
    <col min="3587" max="3587" width="23.5703125" style="163" customWidth="1"/>
    <col min="3588" max="3589" width="17.85546875" style="163" customWidth="1"/>
    <col min="3590" max="3590" width="16.42578125" style="163" customWidth="1"/>
    <col min="3591" max="3592" width="10.7109375" style="163" customWidth="1"/>
    <col min="3593" max="3840" width="9.140625" style="163"/>
    <col min="3841" max="3841" width="10.7109375" style="163" customWidth="1"/>
    <col min="3842" max="3842" width="38.5703125" style="163" customWidth="1"/>
    <col min="3843" max="3843" width="23.5703125" style="163" customWidth="1"/>
    <col min="3844" max="3845" width="17.85546875" style="163" customWidth="1"/>
    <col min="3846" max="3846" width="16.42578125" style="163" customWidth="1"/>
    <col min="3847" max="3848" width="10.7109375" style="163" customWidth="1"/>
    <col min="3849" max="4096" width="9.140625" style="163"/>
    <col min="4097" max="4097" width="10.7109375" style="163" customWidth="1"/>
    <col min="4098" max="4098" width="38.5703125" style="163" customWidth="1"/>
    <col min="4099" max="4099" width="23.5703125" style="163" customWidth="1"/>
    <col min="4100" max="4101" width="17.85546875" style="163" customWidth="1"/>
    <col min="4102" max="4102" width="16.42578125" style="163" customWidth="1"/>
    <col min="4103" max="4104" width="10.7109375" style="163" customWidth="1"/>
    <col min="4105" max="4352" width="9.140625" style="163"/>
    <col min="4353" max="4353" width="10.7109375" style="163" customWidth="1"/>
    <col min="4354" max="4354" width="38.5703125" style="163" customWidth="1"/>
    <col min="4355" max="4355" width="23.5703125" style="163" customWidth="1"/>
    <col min="4356" max="4357" width="17.85546875" style="163" customWidth="1"/>
    <col min="4358" max="4358" width="16.42578125" style="163" customWidth="1"/>
    <col min="4359" max="4360" width="10.7109375" style="163" customWidth="1"/>
    <col min="4361" max="4608" width="9.140625" style="163"/>
    <col min="4609" max="4609" width="10.7109375" style="163" customWidth="1"/>
    <col min="4610" max="4610" width="38.5703125" style="163" customWidth="1"/>
    <col min="4611" max="4611" width="23.5703125" style="163" customWidth="1"/>
    <col min="4612" max="4613" width="17.85546875" style="163" customWidth="1"/>
    <col min="4614" max="4614" width="16.42578125" style="163" customWidth="1"/>
    <col min="4615" max="4616" width="10.7109375" style="163" customWidth="1"/>
    <col min="4617" max="4864" width="9.140625" style="163"/>
    <col min="4865" max="4865" width="10.7109375" style="163" customWidth="1"/>
    <col min="4866" max="4866" width="38.5703125" style="163" customWidth="1"/>
    <col min="4867" max="4867" width="23.5703125" style="163" customWidth="1"/>
    <col min="4868" max="4869" width="17.85546875" style="163" customWidth="1"/>
    <col min="4870" max="4870" width="16.42578125" style="163" customWidth="1"/>
    <col min="4871" max="4872" width="10.7109375" style="163" customWidth="1"/>
    <col min="4873" max="5120" width="9.140625" style="163"/>
    <col min="5121" max="5121" width="10.7109375" style="163" customWidth="1"/>
    <col min="5122" max="5122" width="38.5703125" style="163" customWidth="1"/>
    <col min="5123" max="5123" width="23.5703125" style="163" customWidth="1"/>
    <col min="5124" max="5125" width="17.85546875" style="163" customWidth="1"/>
    <col min="5126" max="5126" width="16.42578125" style="163" customWidth="1"/>
    <col min="5127" max="5128" width="10.7109375" style="163" customWidth="1"/>
    <col min="5129" max="5376" width="9.140625" style="163"/>
    <col min="5377" max="5377" width="10.7109375" style="163" customWidth="1"/>
    <col min="5378" max="5378" width="38.5703125" style="163" customWidth="1"/>
    <col min="5379" max="5379" width="23.5703125" style="163" customWidth="1"/>
    <col min="5380" max="5381" width="17.85546875" style="163" customWidth="1"/>
    <col min="5382" max="5382" width="16.42578125" style="163" customWidth="1"/>
    <col min="5383" max="5384" width="10.7109375" style="163" customWidth="1"/>
    <col min="5385" max="5632" width="9.140625" style="163"/>
    <col min="5633" max="5633" width="10.7109375" style="163" customWidth="1"/>
    <col min="5634" max="5634" width="38.5703125" style="163" customWidth="1"/>
    <col min="5635" max="5635" width="23.5703125" style="163" customWidth="1"/>
    <col min="5636" max="5637" width="17.85546875" style="163" customWidth="1"/>
    <col min="5638" max="5638" width="16.42578125" style="163" customWidth="1"/>
    <col min="5639" max="5640" width="10.7109375" style="163" customWidth="1"/>
    <col min="5641" max="5888" width="9.140625" style="163"/>
    <col min="5889" max="5889" width="10.7109375" style="163" customWidth="1"/>
    <col min="5890" max="5890" width="38.5703125" style="163" customWidth="1"/>
    <col min="5891" max="5891" width="23.5703125" style="163" customWidth="1"/>
    <col min="5892" max="5893" width="17.85546875" style="163" customWidth="1"/>
    <col min="5894" max="5894" width="16.42578125" style="163" customWidth="1"/>
    <col min="5895" max="5896" width="10.7109375" style="163" customWidth="1"/>
    <col min="5897" max="6144" width="9.140625" style="163"/>
    <col min="6145" max="6145" width="10.7109375" style="163" customWidth="1"/>
    <col min="6146" max="6146" width="38.5703125" style="163" customWidth="1"/>
    <col min="6147" max="6147" width="23.5703125" style="163" customWidth="1"/>
    <col min="6148" max="6149" width="17.85546875" style="163" customWidth="1"/>
    <col min="6150" max="6150" width="16.42578125" style="163" customWidth="1"/>
    <col min="6151" max="6152" width="10.7109375" style="163" customWidth="1"/>
    <col min="6153" max="6400" width="9.140625" style="163"/>
    <col min="6401" max="6401" width="10.7109375" style="163" customWidth="1"/>
    <col min="6402" max="6402" width="38.5703125" style="163" customWidth="1"/>
    <col min="6403" max="6403" width="23.5703125" style="163" customWidth="1"/>
    <col min="6404" max="6405" width="17.85546875" style="163" customWidth="1"/>
    <col min="6406" max="6406" width="16.42578125" style="163" customWidth="1"/>
    <col min="6407" max="6408" width="10.7109375" style="163" customWidth="1"/>
    <col min="6409" max="6656" width="9.140625" style="163"/>
    <col min="6657" max="6657" width="10.7109375" style="163" customWidth="1"/>
    <col min="6658" max="6658" width="38.5703125" style="163" customWidth="1"/>
    <col min="6659" max="6659" width="23.5703125" style="163" customWidth="1"/>
    <col min="6660" max="6661" width="17.85546875" style="163" customWidth="1"/>
    <col min="6662" max="6662" width="16.42578125" style="163" customWidth="1"/>
    <col min="6663" max="6664" width="10.7109375" style="163" customWidth="1"/>
    <col min="6665" max="6912" width="9.140625" style="163"/>
    <col min="6913" max="6913" width="10.7109375" style="163" customWidth="1"/>
    <col min="6914" max="6914" width="38.5703125" style="163" customWidth="1"/>
    <col min="6915" max="6915" width="23.5703125" style="163" customWidth="1"/>
    <col min="6916" max="6917" width="17.85546875" style="163" customWidth="1"/>
    <col min="6918" max="6918" width="16.42578125" style="163" customWidth="1"/>
    <col min="6919" max="6920" width="10.7109375" style="163" customWidth="1"/>
    <col min="6921" max="7168" width="9.140625" style="163"/>
    <col min="7169" max="7169" width="10.7109375" style="163" customWidth="1"/>
    <col min="7170" max="7170" width="38.5703125" style="163" customWidth="1"/>
    <col min="7171" max="7171" width="23.5703125" style="163" customWidth="1"/>
    <col min="7172" max="7173" width="17.85546875" style="163" customWidth="1"/>
    <col min="7174" max="7174" width="16.42578125" style="163" customWidth="1"/>
    <col min="7175" max="7176" width="10.7109375" style="163" customWidth="1"/>
    <col min="7177" max="7424" width="9.140625" style="163"/>
    <col min="7425" max="7425" width="10.7109375" style="163" customWidth="1"/>
    <col min="7426" max="7426" width="38.5703125" style="163" customWidth="1"/>
    <col min="7427" max="7427" width="23.5703125" style="163" customWidth="1"/>
    <col min="7428" max="7429" width="17.85546875" style="163" customWidth="1"/>
    <col min="7430" max="7430" width="16.42578125" style="163" customWidth="1"/>
    <col min="7431" max="7432" width="10.7109375" style="163" customWidth="1"/>
    <col min="7433" max="7680" width="9.140625" style="163"/>
    <col min="7681" max="7681" width="10.7109375" style="163" customWidth="1"/>
    <col min="7682" max="7682" width="38.5703125" style="163" customWidth="1"/>
    <col min="7683" max="7683" width="23.5703125" style="163" customWidth="1"/>
    <col min="7684" max="7685" width="17.85546875" style="163" customWidth="1"/>
    <col min="7686" max="7686" width="16.42578125" style="163" customWidth="1"/>
    <col min="7687" max="7688" width="10.7109375" style="163" customWidth="1"/>
    <col min="7689" max="7936" width="9.140625" style="163"/>
    <col min="7937" max="7937" width="10.7109375" style="163" customWidth="1"/>
    <col min="7938" max="7938" width="38.5703125" style="163" customWidth="1"/>
    <col min="7939" max="7939" width="23.5703125" style="163" customWidth="1"/>
    <col min="7940" max="7941" width="17.85546875" style="163" customWidth="1"/>
    <col min="7942" max="7942" width="16.42578125" style="163" customWidth="1"/>
    <col min="7943" max="7944" width="10.7109375" style="163" customWidth="1"/>
    <col min="7945" max="8192" width="9.140625" style="163"/>
    <col min="8193" max="8193" width="10.7109375" style="163" customWidth="1"/>
    <col min="8194" max="8194" width="38.5703125" style="163" customWidth="1"/>
    <col min="8195" max="8195" width="23.5703125" style="163" customWidth="1"/>
    <col min="8196" max="8197" width="17.85546875" style="163" customWidth="1"/>
    <col min="8198" max="8198" width="16.42578125" style="163" customWidth="1"/>
    <col min="8199" max="8200" width="10.7109375" style="163" customWidth="1"/>
    <col min="8201" max="8448" width="9.140625" style="163"/>
    <col min="8449" max="8449" width="10.7109375" style="163" customWidth="1"/>
    <col min="8450" max="8450" width="38.5703125" style="163" customWidth="1"/>
    <col min="8451" max="8451" width="23.5703125" style="163" customWidth="1"/>
    <col min="8452" max="8453" width="17.85546875" style="163" customWidth="1"/>
    <col min="8454" max="8454" width="16.42578125" style="163" customWidth="1"/>
    <col min="8455" max="8456" width="10.7109375" style="163" customWidth="1"/>
    <col min="8457" max="8704" width="9.140625" style="163"/>
    <col min="8705" max="8705" width="10.7109375" style="163" customWidth="1"/>
    <col min="8706" max="8706" width="38.5703125" style="163" customWidth="1"/>
    <col min="8707" max="8707" width="23.5703125" style="163" customWidth="1"/>
    <col min="8708" max="8709" width="17.85546875" style="163" customWidth="1"/>
    <col min="8710" max="8710" width="16.42578125" style="163" customWidth="1"/>
    <col min="8711" max="8712" width="10.7109375" style="163" customWidth="1"/>
    <col min="8713" max="8960" width="9.140625" style="163"/>
    <col min="8961" max="8961" width="10.7109375" style="163" customWidth="1"/>
    <col min="8962" max="8962" width="38.5703125" style="163" customWidth="1"/>
    <col min="8963" max="8963" width="23.5703125" style="163" customWidth="1"/>
    <col min="8964" max="8965" width="17.85546875" style="163" customWidth="1"/>
    <col min="8966" max="8966" width="16.42578125" style="163" customWidth="1"/>
    <col min="8967" max="8968" width="10.7109375" style="163" customWidth="1"/>
    <col min="8969" max="9216" width="9.140625" style="163"/>
    <col min="9217" max="9217" width="10.7109375" style="163" customWidth="1"/>
    <col min="9218" max="9218" width="38.5703125" style="163" customWidth="1"/>
    <col min="9219" max="9219" width="23.5703125" style="163" customWidth="1"/>
    <col min="9220" max="9221" width="17.85546875" style="163" customWidth="1"/>
    <col min="9222" max="9222" width="16.42578125" style="163" customWidth="1"/>
    <col min="9223" max="9224" width="10.7109375" style="163" customWidth="1"/>
    <col min="9225" max="9472" width="9.140625" style="163"/>
    <col min="9473" max="9473" width="10.7109375" style="163" customWidth="1"/>
    <col min="9474" max="9474" width="38.5703125" style="163" customWidth="1"/>
    <col min="9475" max="9475" width="23.5703125" style="163" customWidth="1"/>
    <col min="9476" max="9477" width="17.85546875" style="163" customWidth="1"/>
    <col min="9478" max="9478" width="16.42578125" style="163" customWidth="1"/>
    <col min="9479" max="9480" width="10.7109375" style="163" customWidth="1"/>
    <col min="9481" max="9728" width="9.140625" style="163"/>
    <col min="9729" max="9729" width="10.7109375" style="163" customWidth="1"/>
    <col min="9730" max="9730" width="38.5703125" style="163" customWidth="1"/>
    <col min="9731" max="9731" width="23.5703125" style="163" customWidth="1"/>
    <col min="9732" max="9733" width="17.85546875" style="163" customWidth="1"/>
    <col min="9734" max="9734" width="16.42578125" style="163" customWidth="1"/>
    <col min="9735" max="9736" width="10.7109375" style="163" customWidth="1"/>
    <col min="9737" max="9984" width="9.140625" style="163"/>
    <col min="9985" max="9985" width="10.7109375" style="163" customWidth="1"/>
    <col min="9986" max="9986" width="38.5703125" style="163" customWidth="1"/>
    <col min="9987" max="9987" width="23.5703125" style="163" customWidth="1"/>
    <col min="9988" max="9989" width="17.85546875" style="163" customWidth="1"/>
    <col min="9990" max="9990" width="16.42578125" style="163" customWidth="1"/>
    <col min="9991" max="9992" width="10.7109375" style="163" customWidth="1"/>
    <col min="9993" max="10240" width="9.140625" style="163"/>
    <col min="10241" max="10241" width="10.7109375" style="163" customWidth="1"/>
    <col min="10242" max="10242" width="38.5703125" style="163" customWidth="1"/>
    <col min="10243" max="10243" width="23.5703125" style="163" customWidth="1"/>
    <col min="10244" max="10245" width="17.85546875" style="163" customWidth="1"/>
    <col min="10246" max="10246" width="16.42578125" style="163" customWidth="1"/>
    <col min="10247" max="10248" width="10.7109375" style="163" customWidth="1"/>
    <col min="10249" max="10496" width="9.140625" style="163"/>
    <col min="10497" max="10497" width="10.7109375" style="163" customWidth="1"/>
    <col min="10498" max="10498" width="38.5703125" style="163" customWidth="1"/>
    <col min="10499" max="10499" width="23.5703125" style="163" customWidth="1"/>
    <col min="10500" max="10501" width="17.85546875" style="163" customWidth="1"/>
    <col min="10502" max="10502" width="16.42578125" style="163" customWidth="1"/>
    <col min="10503" max="10504" width="10.7109375" style="163" customWidth="1"/>
    <col min="10505" max="10752" width="9.140625" style="163"/>
    <col min="10753" max="10753" width="10.7109375" style="163" customWidth="1"/>
    <col min="10754" max="10754" width="38.5703125" style="163" customWidth="1"/>
    <col min="10755" max="10755" width="23.5703125" style="163" customWidth="1"/>
    <col min="10756" max="10757" width="17.85546875" style="163" customWidth="1"/>
    <col min="10758" max="10758" width="16.42578125" style="163" customWidth="1"/>
    <col min="10759" max="10760" width="10.7109375" style="163" customWidth="1"/>
    <col min="10761" max="11008" width="9.140625" style="163"/>
    <col min="11009" max="11009" width="10.7109375" style="163" customWidth="1"/>
    <col min="11010" max="11010" width="38.5703125" style="163" customWidth="1"/>
    <col min="11011" max="11011" width="23.5703125" style="163" customWidth="1"/>
    <col min="11012" max="11013" width="17.85546875" style="163" customWidth="1"/>
    <col min="11014" max="11014" width="16.42578125" style="163" customWidth="1"/>
    <col min="11015" max="11016" width="10.7109375" style="163" customWidth="1"/>
    <col min="11017" max="11264" width="9.140625" style="163"/>
    <col min="11265" max="11265" width="10.7109375" style="163" customWidth="1"/>
    <col min="11266" max="11266" width="38.5703125" style="163" customWidth="1"/>
    <col min="11267" max="11267" width="23.5703125" style="163" customWidth="1"/>
    <col min="11268" max="11269" width="17.85546875" style="163" customWidth="1"/>
    <col min="11270" max="11270" width="16.42578125" style="163" customWidth="1"/>
    <col min="11271" max="11272" width="10.7109375" style="163" customWidth="1"/>
    <col min="11273" max="11520" width="9.140625" style="163"/>
    <col min="11521" max="11521" width="10.7109375" style="163" customWidth="1"/>
    <col min="11522" max="11522" width="38.5703125" style="163" customWidth="1"/>
    <col min="11523" max="11523" width="23.5703125" style="163" customWidth="1"/>
    <col min="11524" max="11525" width="17.85546875" style="163" customWidth="1"/>
    <col min="11526" max="11526" width="16.42578125" style="163" customWidth="1"/>
    <col min="11527" max="11528" width="10.7109375" style="163" customWidth="1"/>
    <col min="11529" max="11776" width="9.140625" style="163"/>
    <col min="11777" max="11777" width="10.7109375" style="163" customWidth="1"/>
    <col min="11778" max="11778" width="38.5703125" style="163" customWidth="1"/>
    <col min="11779" max="11779" width="23.5703125" style="163" customWidth="1"/>
    <col min="11780" max="11781" width="17.85546875" style="163" customWidth="1"/>
    <col min="11782" max="11782" width="16.42578125" style="163" customWidth="1"/>
    <col min="11783" max="11784" width="10.7109375" style="163" customWidth="1"/>
    <col min="11785" max="12032" width="9.140625" style="163"/>
    <col min="12033" max="12033" width="10.7109375" style="163" customWidth="1"/>
    <col min="12034" max="12034" width="38.5703125" style="163" customWidth="1"/>
    <col min="12035" max="12035" width="23.5703125" style="163" customWidth="1"/>
    <col min="12036" max="12037" width="17.85546875" style="163" customWidth="1"/>
    <col min="12038" max="12038" width="16.42578125" style="163" customWidth="1"/>
    <col min="12039" max="12040" width="10.7109375" style="163" customWidth="1"/>
    <col min="12041" max="12288" width="9.140625" style="163"/>
    <col min="12289" max="12289" width="10.7109375" style="163" customWidth="1"/>
    <col min="12290" max="12290" width="38.5703125" style="163" customWidth="1"/>
    <col min="12291" max="12291" width="23.5703125" style="163" customWidth="1"/>
    <col min="12292" max="12293" width="17.85546875" style="163" customWidth="1"/>
    <col min="12294" max="12294" width="16.42578125" style="163" customWidth="1"/>
    <col min="12295" max="12296" width="10.7109375" style="163" customWidth="1"/>
    <col min="12297" max="12544" width="9.140625" style="163"/>
    <col min="12545" max="12545" width="10.7109375" style="163" customWidth="1"/>
    <col min="12546" max="12546" width="38.5703125" style="163" customWidth="1"/>
    <col min="12547" max="12547" width="23.5703125" style="163" customWidth="1"/>
    <col min="12548" max="12549" width="17.85546875" style="163" customWidth="1"/>
    <col min="12550" max="12550" width="16.42578125" style="163" customWidth="1"/>
    <col min="12551" max="12552" width="10.7109375" style="163" customWidth="1"/>
    <col min="12553" max="12800" width="9.140625" style="163"/>
    <col min="12801" max="12801" width="10.7109375" style="163" customWidth="1"/>
    <col min="12802" max="12802" width="38.5703125" style="163" customWidth="1"/>
    <col min="12803" max="12803" width="23.5703125" style="163" customWidth="1"/>
    <col min="12804" max="12805" width="17.85546875" style="163" customWidth="1"/>
    <col min="12806" max="12806" width="16.42578125" style="163" customWidth="1"/>
    <col min="12807" max="12808" width="10.7109375" style="163" customWidth="1"/>
    <col min="12809" max="13056" width="9.140625" style="163"/>
    <col min="13057" max="13057" width="10.7109375" style="163" customWidth="1"/>
    <col min="13058" max="13058" width="38.5703125" style="163" customWidth="1"/>
    <col min="13059" max="13059" width="23.5703125" style="163" customWidth="1"/>
    <col min="13060" max="13061" width="17.85546875" style="163" customWidth="1"/>
    <col min="13062" max="13062" width="16.42578125" style="163" customWidth="1"/>
    <col min="13063" max="13064" width="10.7109375" style="163" customWidth="1"/>
    <col min="13065" max="13312" width="9.140625" style="163"/>
    <col min="13313" max="13313" width="10.7109375" style="163" customWidth="1"/>
    <col min="13314" max="13314" width="38.5703125" style="163" customWidth="1"/>
    <col min="13315" max="13315" width="23.5703125" style="163" customWidth="1"/>
    <col min="13316" max="13317" width="17.85546875" style="163" customWidth="1"/>
    <col min="13318" max="13318" width="16.42578125" style="163" customWidth="1"/>
    <col min="13319" max="13320" width="10.7109375" style="163" customWidth="1"/>
    <col min="13321" max="13568" width="9.140625" style="163"/>
    <col min="13569" max="13569" width="10.7109375" style="163" customWidth="1"/>
    <col min="13570" max="13570" width="38.5703125" style="163" customWidth="1"/>
    <col min="13571" max="13571" width="23.5703125" style="163" customWidth="1"/>
    <col min="13572" max="13573" width="17.85546875" style="163" customWidth="1"/>
    <col min="13574" max="13574" width="16.42578125" style="163" customWidth="1"/>
    <col min="13575" max="13576" width="10.7109375" style="163" customWidth="1"/>
    <col min="13577" max="13824" width="9.140625" style="163"/>
    <col min="13825" max="13825" width="10.7109375" style="163" customWidth="1"/>
    <col min="13826" max="13826" width="38.5703125" style="163" customWidth="1"/>
    <col min="13827" max="13827" width="23.5703125" style="163" customWidth="1"/>
    <col min="13828" max="13829" width="17.85546875" style="163" customWidth="1"/>
    <col min="13830" max="13830" width="16.42578125" style="163" customWidth="1"/>
    <col min="13831" max="13832" width="10.7109375" style="163" customWidth="1"/>
    <col min="13833" max="14080" width="9.140625" style="163"/>
    <col min="14081" max="14081" width="10.7109375" style="163" customWidth="1"/>
    <col min="14082" max="14082" width="38.5703125" style="163" customWidth="1"/>
    <col min="14083" max="14083" width="23.5703125" style="163" customWidth="1"/>
    <col min="14084" max="14085" width="17.85546875" style="163" customWidth="1"/>
    <col min="14086" max="14086" width="16.42578125" style="163" customWidth="1"/>
    <col min="14087" max="14088" width="10.7109375" style="163" customWidth="1"/>
    <col min="14089" max="14336" width="9.140625" style="163"/>
    <col min="14337" max="14337" width="10.7109375" style="163" customWidth="1"/>
    <col min="14338" max="14338" width="38.5703125" style="163" customWidth="1"/>
    <col min="14339" max="14339" width="23.5703125" style="163" customWidth="1"/>
    <col min="14340" max="14341" width="17.85546875" style="163" customWidth="1"/>
    <col min="14342" max="14342" width="16.42578125" style="163" customWidth="1"/>
    <col min="14343" max="14344" width="10.7109375" style="163" customWidth="1"/>
    <col min="14345" max="14592" width="9.140625" style="163"/>
    <col min="14593" max="14593" width="10.7109375" style="163" customWidth="1"/>
    <col min="14594" max="14594" width="38.5703125" style="163" customWidth="1"/>
    <col min="14595" max="14595" width="23.5703125" style="163" customWidth="1"/>
    <col min="14596" max="14597" width="17.85546875" style="163" customWidth="1"/>
    <col min="14598" max="14598" width="16.42578125" style="163" customWidth="1"/>
    <col min="14599" max="14600" width="10.7109375" style="163" customWidth="1"/>
    <col min="14601" max="14848" width="9.140625" style="163"/>
    <col min="14849" max="14849" width="10.7109375" style="163" customWidth="1"/>
    <col min="14850" max="14850" width="38.5703125" style="163" customWidth="1"/>
    <col min="14851" max="14851" width="23.5703125" style="163" customWidth="1"/>
    <col min="14852" max="14853" width="17.85546875" style="163" customWidth="1"/>
    <col min="14854" max="14854" width="16.42578125" style="163" customWidth="1"/>
    <col min="14855" max="14856" width="10.7109375" style="163" customWidth="1"/>
    <col min="14857" max="15104" width="9.140625" style="163"/>
    <col min="15105" max="15105" width="10.7109375" style="163" customWidth="1"/>
    <col min="15106" max="15106" width="38.5703125" style="163" customWidth="1"/>
    <col min="15107" max="15107" width="23.5703125" style="163" customWidth="1"/>
    <col min="15108" max="15109" width="17.85546875" style="163" customWidth="1"/>
    <col min="15110" max="15110" width="16.42578125" style="163" customWidth="1"/>
    <col min="15111" max="15112" width="10.7109375" style="163" customWidth="1"/>
    <col min="15113" max="15360" width="9.140625" style="163"/>
    <col min="15361" max="15361" width="10.7109375" style="163" customWidth="1"/>
    <col min="15362" max="15362" width="38.5703125" style="163" customWidth="1"/>
    <col min="15363" max="15363" width="23.5703125" style="163" customWidth="1"/>
    <col min="15364" max="15365" width="17.85546875" style="163" customWidth="1"/>
    <col min="15366" max="15366" width="16.42578125" style="163" customWidth="1"/>
    <col min="15367" max="15368" width="10.7109375" style="163" customWidth="1"/>
    <col min="15369" max="15616" width="9.140625" style="163"/>
    <col min="15617" max="15617" width="10.7109375" style="163" customWidth="1"/>
    <col min="15618" max="15618" width="38.5703125" style="163" customWidth="1"/>
    <col min="15619" max="15619" width="23.5703125" style="163" customWidth="1"/>
    <col min="15620" max="15621" width="17.85546875" style="163" customWidth="1"/>
    <col min="15622" max="15622" width="16.42578125" style="163" customWidth="1"/>
    <col min="15623" max="15624" width="10.7109375" style="163" customWidth="1"/>
    <col min="15625" max="15872" width="9.140625" style="163"/>
    <col min="15873" max="15873" width="10.7109375" style="163" customWidth="1"/>
    <col min="15874" max="15874" width="38.5703125" style="163" customWidth="1"/>
    <col min="15875" max="15875" width="23.5703125" style="163" customWidth="1"/>
    <col min="15876" max="15877" width="17.85546875" style="163" customWidth="1"/>
    <col min="15878" max="15878" width="16.42578125" style="163" customWidth="1"/>
    <col min="15879" max="15880" width="10.7109375" style="163" customWidth="1"/>
    <col min="15881" max="16128" width="9.140625" style="163"/>
    <col min="16129" max="16129" width="10.7109375" style="163" customWidth="1"/>
    <col min="16130" max="16130" width="38.5703125" style="163" customWidth="1"/>
    <col min="16131" max="16131" width="23.5703125" style="163" customWidth="1"/>
    <col min="16132" max="16133" width="17.85546875" style="163" customWidth="1"/>
    <col min="16134" max="16134" width="16.42578125" style="163" customWidth="1"/>
    <col min="16135" max="16136" width="10.7109375" style="163" customWidth="1"/>
    <col min="16137" max="16384" width="9.140625" style="163"/>
  </cols>
  <sheetData>
    <row r="1" spans="1:8" ht="21.75" customHeight="1">
      <c r="A1" s="300"/>
      <c r="B1" s="300"/>
      <c r="C1" s="301" t="s">
        <v>512</v>
      </c>
      <c r="D1" s="301"/>
      <c r="E1" s="301"/>
      <c r="F1" s="301"/>
      <c r="G1" s="301"/>
      <c r="H1" s="301"/>
    </row>
    <row r="2" spans="1:8" s="173" customFormat="1" ht="18.75" customHeight="1">
      <c r="A2" s="302" t="s">
        <v>1</v>
      </c>
      <c r="B2" s="302"/>
      <c r="C2" s="302"/>
      <c r="D2" s="302"/>
      <c r="E2" s="302"/>
      <c r="F2" s="302"/>
      <c r="G2" s="302"/>
      <c r="H2" s="302"/>
    </row>
    <row r="3" spans="1:8" ht="4.5" customHeight="1">
      <c r="A3" s="3"/>
      <c r="B3" s="3"/>
      <c r="C3" s="3"/>
      <c r="D3" s="3"/>
      <c r="E3" s="3"/>
      <c r="F3" s="3"/>
      <c r="G3" s="3"/>
      <c r="H3" s="3"/>
    </row>
    <row r="4" spans="1:8" ht="23.25" customHeight="1">
      <c r="A4" s="303" t="s">
        <v>231</v>
      </c>
      <c r="B4" s="303"/>
      <c r="C4" s="303"/>
      <c r="D4" s="303"/>
      <c r="E4" s="303"/>
      <c r="F4" s="303"/>
      <c r="G4" s="303"/>
      <c r="H4" s="303"/>
    </row>
    <row r="5" spans="1:8" ht="10.5" customHeight="1">
      <c r="A5" s="304" t="s">
        <v>3</v>
      </c>
      <c r="B5" s="304"/>
      <c r="C5" s="304"/>
      <c r="D5" s="304"/>
      <c r="E5" s="304"/>
      <c r="F5" s="304"/>
      <c r="G5" s="304"/>
      <c r="H5" s="304"/>
    </row>
    <row r="6" spans="1:8" ht="5.25" customHeight="1">
      <c r="A6" s="3"/>
      <c r="B6" s="3"/>
      <c r="C6" s="3"/>
      <c r="D6" s="3"/>
      <c r="E6" s="3"/>
      <c r="F6" s="3"/>
      <c r="G6" s="3"/>
      <c r="H6" s="3"/>
    </row>
    <row r="7" spans="1:8" ht="12" customHeight="1">
      <c r="A7" s="5" t="s">
        <v>4</v>
      </c>
      <c r="B7" s="11" t="s">
        <v>578</v>
      </c>
      <c r="C7" s="2" t="s">
        <v>6</v>
      </c>
      <c r="D7" s="3"/>
      <c r="E7" s="3"/>
      <c r="F7" s="3"/>
      <c r="G7" s="3"/>
      <c r="H7" s="3"/>
    </row>
    <row r="8" spans="1:8" ht="12" customHeight="1">
      <c r="A8" s="3"/>
      <c r="B8" s="3" t="s">
        <v>7</v>
      </c>
      <c r="C8" s="3" t="s">
        <v>8</v>
      </c>
      <c r="D8" s="3"/>
      <c r="E8" s="3"/>
      <c r="F8" s="3"/>
      <c r="G8" s="3"/>
      <c r="H8" s="3"/>
    </row>
    <row r="9" spans="1:8" ht="12" customHeight="1">
      <c r="A9" s="5">
        <v>2</v>
      </c>
      <c r="B9" s="11" t="s">
        <v>579</v>
      </c>
      <c r="C9" s="305" t="s">
        <v>11</v>
      </c>
      <c r="D9" s="305"/>
      <c r="E9" s="305"/>
      <c r="F9" s="305"/>
      <c r="G9" s="305"/>
      <c r="H9" s="305"/>
    </row>
    <row r="10" spans="1:8" ht="12" customHeight="1">
      <c r="A10" s="5"/>
      <c r="B10" s="3" t="s">
        <v>12</v>
      </c>
      <c r="C10" s="300" t="s">
        <v>13</v>
      </c>
      <c r="D10" s="300"/>
      <c r="E10" s="300"/>
      <c r="F10" s="300"/>
      <c r="G10" s="300"/>
      <c r="H10" s="300"/>
    </row>
    <row r="11" spans="1:8" ht="12" customHeight="1">
      <c r="A11" s="5">
        <v>3</v>
      </c>
      <c r="B11" s="11" t="s">
        <v>580</v>
      </c>
      <c r="C11" s="305" t="s">
        <v>16</v>
      </c>
      <c r="D11" s="305"/>
      <c r="E11" s="305"/>
      <c r="F11" s="305"/>
      <c r="G11" s="305"/>
      <c r="H11" s="305"/>
    </row>
    <row r="12" spans="1:8" ht="12" customHeight="1">
      <c r="A12" s="5"/>
      <c r="B12" s="3" t="s">
        <v>17</v>
      </c>
      <c r="C12" s="300" t="s">
        <v>18</v>
      </c>
      <c r="D12" s="300"/>
      <c r="E12" s="300"/>
      <c r="F12" s="300"/>
      <c r="G12" s="300"/>
      <c r="H12" s="300"/>
    </row>
    <row r="13" spans="1:8" ht="12" customHeight="1">
      <c r="A13" s="5">
        <v>4</v>
      </c>
      <c r="B13" s="11" t="s">
        <v>20</v>
      </c>
      <c r="C13" s="306">
        <v>46091</v>
      </c>
      <c r="D13" s="305"/>
      <c r="E13" s="305"/>
      <c r="F13" s="305"/>
      <c r="G13" s="305"/>
      <c r="H13" s="305"/>
    </row>
    <row r="14" spans="1:8" ht="12" customHeight="1">
      <c r="A14" s="3"/>
      <c r="B14" s="3" t="s">
        <v>581</v>
      </c>
      <c r="C14" s="307">
        <f>+C13</f>
        <v>46091</v>
      </c>
      <c r="D14" s="300"/>
      <c r="E14" s="300"/>
      <c r="F14" s="300"/>
      <c r="G14" s="300"/>
      <c r="H14" s="300"/>
    </row>
    <row r="15" spans="1:8" ht="6" customHeight="1">
      <c r="A15" s="3"/>
      <c r="B15" s="3"/>
      <c r="C15" s="3"/>
      <c r="D15" s="3"/>
      <c r="E15" s="3"/>
      <c r="F15" s="3"/>
      <c r="G15" s="3"/>
      <c r="H15" s="3"/>
    </row>
    <row r="16" spans="1:8" ht="12.75" customHeight="1">
      <c r="A16" s="315" t="s">
        <v>576</v>
      </c>
      <c r="B16" s="315"/>
      <c r="C16" s="315"/>
      <c r="D16" s="315"/>
      <c r="E16" s="315"/>
      <c r="F16" s="315"/>
      <c r="G16" s="315"/>
      <c r="H16" s="315"/>
    </row>
    <row r="17" spans="1:8" ht="12.75" customHeight="1">
      <c r="A17" s="315" t="s">
        <v>577</v>
      </c>
      <c r="B17" s="315"/>
      <c r="C17" s="315"/>
      <c r="D17" s="315"/>
      <c r="E17" s="315"/>
      <c r="F17" s="315"/>
      <c r="G17" s="315"/>
      <c r="H17" s="315"/>
    </row>
    <row r="18" spans="1:8" ht="12.75" customHeight="1">
      <c r="A18" s="164"/>
      <c r="B18" s="164"/>
      <c r="C18" s="164"/>
      <c r="D18" s="164"/>
      <c r="E18" s="164"/>
      <c r="F18" s="308" t="s">
        <v>24</v>
      </c>
      <c r="G18" s="308"/>
      <c r="H18" s="308"/>
    </row>
    <row r="19" spans="1:8" s="174" customFormat="1" ht="15" customHeight="1">
      <c r="A19" s="309" t="s">
        <v>505</v>
      </c>
      <c r="B19" s="311" t="s">
        <v>582</v>
      </c>
      <c r="C19" s="311" t="s">
        <v>583</v>
      </c>
      <c r="D19" s="311" t="s">
        <v>584</v>
      </c>
      <c r="E19" s="311"/>
      <c r="F19" s="311"/>
      <c r="G19" s="311" t="s">
        <v>585</v>
      </c>
      <c r="H19" s="313" t="s">
        <v>586</v>
      </c>
    </row>
    <row r="20" spans="1:8" s="174" customFormat="1" ht="43.5" customHeight="1">
      <c r="A20" s="310"/>
      <c r="B20" s="312"/>
      <c r="C20" s="312"/>
      <c r="D20" s="175" t="s">
        <v>587</v>
      </c>
      <c r="E20" s="175" t="s">
        <v>588</v>
      </c>
      <c r="F20" s="175" t="s">
        <v>589</v>
      </c>
      <c r="G20" s="312"/>
      <c r="H20" s="314"/>
    </row>
    <row r="21" spans="1:8" ht="14.25" customHeight="1">
      <c r="A21" s="165" t="s">
        <v>590</v>
      </c>
      <c r="B21" s="166" t="s">
        <v>591</v>
      </c>
      <c r="C21" s="166" t="s">
        <v>592</v>
      </c>
      <c r="D21" s="166" t="s">
        <v>593</v>
      </c>
      <c r="E21" s="166" t="s">
        <v>594</v>
      </c>
      <c r="F21" s="166" t="s">
        <v>595</v>
      </c>
      <c r="G21" s="166" t="s">
        <v>596</v>
      </c>
      <c r="H21" s="167" t="s">
        <v>597</v>
      </c>
    </row>
    <row r="22" spans="1:8" ht="14.25" customHeight="1">
      <c r="A22" s="6" t="s">
        <v>4</v>
      </c>
      <c r="B22" s="7" t="s">
        <v>598</v>
      </c>
      <c r="C22" s="7"/>
      <c r="D22" s="9">
        <v>1777032395000</v>
      </c>
      <c r="E22" s="9">
        <v>7024432093150</v>
      </c>
      <c r="F22" s="10">
        <v>0.25297879905948623</v>
      </c>
      <c r="G22" s="168">
        <v>1.3000000070341993E-3</v>
      </c>
      <c r="H22" s="8">
        <v>0</v>
      </c>
    </row>
    <row r="23" spans="1:8" ht="14.25" customHeight="1">
      <c r="A23" s="6" t="s">
        <v>9</v>
      </c>
      <c r="B23" s="7" t="s">
        <v>599</v>
      </c>
      <c r="C23" s="7"/>
      <c r="D23" s="9">
        <v>1718091785000</v>
      </c>
      <c r="E23" s="9">
        <v>7024432093150</v>
      </c>
      <c r="F23" s="10">
        <v>0.24458799832023828</v>
      </c>
      <c r="G23" s="168">
        <v>1.3000000032012259E-3</v>
      </c>
      <c r="H23" s="8">
        <v>0</v>
      </c>
    </row>
    <row r="24" spans="1:8" ht="14.25" customHeight="1">
      <c r="A24" s="6" t="s">
        <v>14</v>
      </c>
      <c r="B24" s="7" t="s">
        <v>600</v>
      </c>
      <c r="C24" s="7"/>
      <c r="D24" s="9">
        <v>1646431702000</v>
      </c>
      <c r="E24" s="9">
        <v>7024432093150</v>
      </c>
      <c r="F24" s="10">
        <v>0.23438645005986281</v>
      </c>
      <c r="G24" s="168">
        <v>1.3000000142125543E-3</v>
      </c>
      <c r="H24" s="8">
        <v>0</v>
      </c>
    </row>
    <row r="25" spans="1:8" ht="14.25" customHeight="1">
      <c r="A25" s="6" t="s">
        <v>19</v>
      </c>
      <c r="B25" s="7" t="s">
        <v>601</v>
      </c>
      <c r="C25" s="7"/>
      <c r="D25" s="9">
        <v>1882876211150</v>
      </c>
      <c r="E25" s="9">
        <v>7024432093150</v>
      </c>
      <c r="F25" s="10">
        <v>0.26804675256041272</v>
      </c>
      <c r="G25" s="168">
        <v>6.4627348829097238E-4</v>
      </c>
      <c r="H25" s="8">
        <v>0</v>
      </c>
    </row>
    <row r="26" spans="1:8" ht="14.25" customHeight="1">
      <c r="A26" s="316" t="s">
        <v>602</v>
      </c>
      <c r="B26" s="317"/>
      <c r="C26" s="317"/>
      <c r="D26" s="169">
        <f>SUBTOTAL(9,D22:D25)</f>
        <v>7024432093150</v>
      </c>
      <c r="E26" s="169"/>
      <c r="F26" s="170">
        <f>SUBTOTAL(9,F22:F25)</f>
        <v>1</v>
      </c>
      <c r="G26" s="171"/>
      <c r="H26" s="172"/>
    </row>
    <row r="27" spans="1:8" ht="6" customHeight="1">
      <c r="A27" s="3"/>
      <c r="B27" s="3"/>
      <c r="C27" s="4"/>
      <c r="D27" s="3"/>
      <c r="E27" s="3"/>
      <c r="F27" s="3"/>
      <c r="G27" s="3"/>
      <c r="H27" s="3"/>
    </row>
    <row r="28" spans="1:8">
      <c r="A28" s="180" t="s">
        <v>503</v>
      </c>
      <c r="B28" s="180" t="s">
        <v>652</v>
      </c>
      <c r="C28" s="181" t="s">
        <v>653</v>
      </c>
      <c r="D28" s="182">
        <v>1738361365000</v>
      </c>
      <c r="E28" s="3"/>
      <c r="F28" s="3"/>
      <c r="G28" s="3"/>
      <c r="H28" s="3"/>
    </row>
    <row r="29" spans="1:8">
      <c r="A29" s="180"/>
      <c r="B29" s="180"/>
      <c r="C29" s="181" t="s">
        <v>654</v>
      </c>
      <c r="D29" s="182">
        <v>0</v>
      </c>
      <c r="E29" s="3"/>
      <c r="F29" s="3"/>
      <c r="G29" s="3"/>
      <c r="H29" s="3"/>
    </row>
    <row r="30" spans="1:8">
      <c r="A30" s="180"/>
      <c r="B30" s="180"/>
      <c r="C30" s="181" t="s">
        <v>655</v>
      </c>
      <c r="D30" s="182">
        <v>144514846150</v>
      </c>
      <c r="E30" s="3"/>
      <c r="F30" s="3"/>
      <c r="G30" s="3"/>
      <c r="H30" s="3"/>
    </row>
    <row r="31" spans="1:8">
      <c r="A31" s="180"/>
      <c r="B31" s="180"/>
      <c r="C31" s="181" t="s">
        <v>656</v>
      </c>
      <c r="D31" s="182">
        <f>SUM(D28:D30)</f>
        <v>1882876211150</v>
      </c>
      <c r="E31" s="3"/>
      <c r="F31" s="3"/>
      <c r="G31" s="3"/>
      <c r="H31" s="3"/>
    </row>
    <row r="32" spans="1:8" ht="6" customHeight="1">
      <c r="A32" s="3"/>
      <c r="B32" s="3"/>
      <c r="C32" s="4"/>
      <c r="D32" s="3"/>
      <c r="E32" s="3"/>
      <c r="F32" s="3"/>
      <c r="G32" s="3"/>
      <c r="H32" s="3"/>
    </row>
    <row r="33" spans="1:8" ht="14.25" customHeight="1">
      <c r="A33" s="1"/>
      <c r="B33" s="318" t="s">
        <v>221</v>
      </c>
      <c r="C33" s="318"/>
      <c r="D33" s="3"/>
      <c r="E33" s="318" t="s">
        <v>603</v>
      </c>
      <c r="F33" s="318"/>
      <c r="G33" s="318"/>
      <c r="H33" s="318"/>
    </row>
    <row r="34" spans="1:8" ht="12" customHeight="1">
      <c r="A34" s="12"/>
      <c r="B34" s="319" t="s">
        <v>223</v>
      </c>
      <c r="C34" s="319"/>
      <c r="D34" s="3"/>
      <c r="E34" s="319" t="s">
        <v>224</v>
      </c>
      <c r="F34" s="319"/>
      <c r="G34" s="319"/>
      <c r="H34" s="319"/>
    </row>
    <row r="35" spans="1:8" ht="15.75" customHeight="1">
      <c r="A35" s="3"/>
      <c r="B35" s="3"/>
      <c r="C35" s="3"/>
      <c r="D35" s="3"/>
      <c r="E35" s="3"/>
      <c r="F35" s="3"/>
      <c r="G35" s="3"/>
      <c r="H35" s="3"/>
    </row>
    <row r="36" spans="1:8" ht="15.75" customHeight="1">
      <c r="A36" s="3"/>
      <c r="B36" s="3"/>
      <c r="C36" s="3"/>
      <c r="D36" s="3"/>
      <c r="E36" s="3"/>
      <c r="F36" s="3"/>
      <c r="G36" s="3"/>
      <c r="H36" s="3"/>
    </row>
    <row r="37" spans="1:8" ht="15.75" customHeight="1">
      <c r="A37" s="3"/>
      <c r="B37" s="3"/>
      <c r="C37" s="3"/>
      <c r="D37" s="3"/>
      <c r="E37" s="3"/>
      <c r="F37" s="3"/>
      <c r="G37" s="3"/>
      <c r="H37" s="3"/>
    </row>
    <row r="38" spans="1:8" ht="19.5" customHeight="1">
      <c r="A38" s="3"/>
      <c r="B38" s="3"/>
      <c r="C38" s="3"/>
      <c r="D38" s="3"/>
      <c r="E38" s="3"/>
      <c r="F38" s="3"/>
      <c r="G38" s="3"/>
      <c r="H38" s="3"/>
    </row>
    <row r="39" spans="1:8" ht="12.75" customHeight="1">
      <c r="A39" s="3"/>
      <c r="B39" s="320" t="s">
        <v>225</v>
      </c>
      <c r="C39" s="320"/>
      <c r="D39" s="3"/>
      <c r="E39" s="320" t="s">
        <v>226</v>
      </c>
      <c r="F39" s="320"/>
      <c r="G39" s="320"/>
      <c r="H39" s="320"/>
    </row>
    <row r="40" spans="1:8" ht="12.75" customHeight="1">
      <c r="A40" s="3"/>
      <c r="B40" s="272" t="s">
        <v>227</v>
      </c>
      <c r="C40" s="272"/>
      <c r="D40" s="3"/>
      <c r="E40" s="272" t="s">
        <v>228</v>
      </c>
      <c r="F40" s="272"/>
      <c r="G40" s="272"/>
      <c r="H40" s="272"/>
    </row>
    <row r="41" spans="1:8" ht="12.75" customHeight="1">
      <c r="A41" s="3"/>
      <c r="B41" s="272" t="s">
        <v>229</v>
      </c>
      <c r="C41" s="272"/>
      <c r="D41" s="3"/>
      <c r="E41" s="272" t="s">
        <v>230</v>
      </c>
      <c r="F41" s="272"/>
      <c r="G41" s="272"/>
      <c r="H41" s="272"/>
    </row>
  </sheetData>
  <mergeCells count="31">
    <mergeCell ref="B40:C40"/>
    <mergeCell ref="E40:H40"/>
    <mergeCell ref="B41:C41"/>
    <mergeCell ref="E41:H41"/>
    <mergeCell ref="A26:C26"/>
    <mergeCell ref="B33:C33"/>
    <mergeCell ref="E33:H33"/>
    <mergeCell ref="B34:C34"/>
    <mergeCell ref="E34:H34"/>
    <mergeCell ref="B39:C39"/>
    <mergeCell ref="E39:H39"/>
    <mergeCell ref="C14:H14"/>
    <mergeCell ref="F18:H18"/>
    <mergeCell ref="A19:A20"/>
    <mergeCell ref="B19:B20"/>
    <mergeCell ref="C19:C20"/>
    <mergeCell ref="D19:F19"/>
    <mergeCell ref="G19:G20"/>
    <mergeCell ref="H19:H20"/>
    <mergeCell ref="A17:H17"/>
    <mergeCell ref="A16:H16"/>
    <mergeCell ref="C9:H9"/>
    <mergeCell ref="C10:H10"/>
    <mergeCell ref="C11:H11"/>
    <mergeCell ref="C12:H12"/>
    <mergeCell ref="C13:H13"/>
    <mergeCell ref="A1:B1"/>
    <mergeCell ref="C1:H1"/>
    <mergeCell ref="A2:H2"/>
    <mergeCell ref="A4:H4"/>
    <mergeCell ref="A5:H5"/>
  </mergeCells>
  <printOptions horizontalCentered="1"/>
  <pageMargins left="0.39370078740157483" right="0.39370078740157483" top="0.59055118110236227" bottom="0" header="0.51181102362204722" footer="0"/>
  <pageSetup paperSize="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u40n5fWF9MlLTIWBvp+O2z6Un7tKtpaHf6A21IgElUg=</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XAuqMGqxOsoHH7l/eHEYgc/TAWNB+q+TuTnwy8/rU2Q=</DigestValue>
    </Reference>
  </SignedInfo>
  <SignatureValue>Qvd+1+r+5oY/oiyc7t/wmiX8IhIGXR07F5vMoSBso70iyvPxySMGC++1gnjhwzPrrYbn28/I/Zx7
cSBeLp8C9I6il1boKvCwVJDu5nDgr+ZQgJTG1eExjp9jhRog8H2D0a57G+n7ixI+x2Ud99Uefkw0
511Y0mKjPdkqvUqg8Tyo4qC6fNdvBchIOiSPdCNbgLY5fgCv1PCJpw3A57vgqDwZFOLA+Pd7Tj3H
ZOlRwwDVmWcNIRJpPbssJN6dAYfUj10VNbFVUzPq8pQW4m5b/SK2iRbjK0ynNVZnMTK8ik9ZX4PV
qTkdKtsEkjD8/Ls2KDY7lUr1nfyF/KkWYZ0vcA==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aphxQC3TBDl+iDhra4OSTNOsvvHaAYJ1xXhpOfu4kOM=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SzUwfM+070WfaihxKf2Tz9lK1xmsim2Zq7/Kq5lbAZ0=</DigestValue>
      </Reference>
      <Reference URI="/xl/drawings/drawing1.xml?ContentType=application/vnd.openxmlformats-officedocument.drawing+xml">
        <DigestMethod Algorithm="http://www.w3.org/2001/04/xmlenc#sha256"/>
        <DigestValue>eFUTHTg3W3kkkCwqvNVz9v9EPHM8YnOQNd0yLev4Ccc=</DigestValue>
      </Reference>
      <Reference URI="/xl/drawings/drawing2.xml?ContentType=application/vnd.openxmlformats-officedocument.drawing+xml">
        <DigestMethod Algorithm="http://www.w3.org/2001/04/xmlenc#sha256"/>
        <DigestValue>5Ns+eN5HomHPEv6r7Y69NNN/Ym+vlwc91hPNoKpY1+0=</DigestValue>
      </Reference>
      <Reference URI="/xl/drawings/drawing3.xml?ContentType=application/vnd.openxmlformats-officedocument.drawing+xml">
        <DigestMethod Algorithm="http://www.w3.org/2001/04/xmlenc#sha256"/>
        <DigestValue>VJ8BJCks/lZWJjYZZ8vFiuAwKypOMd2M0IGxUvDF6jM=</DigestValue>
      </Reference>
      <Reference URI="/xl/drawings/drawing4.xml?ContentType=application/vnd.openxmlformats-officedocument.drawing+xml">
        <DigestMethod Algorithm="http://www.w3.org/2001/04/xmlenc#sha256"/>
        <DigestValue>DP5aFF2491wal8Z/X2P5gTXmucFWWT8kw7s6UI5He1o=</DigestValue>
      </Reference>
      <Reference URI="/xl/drawings/drawing5.xml?ContentType=application/vnd.openxmlformats-officedocument.drawing+xml">
        <DigestMethod Algorithm="http://www.w3.org/2001/04/xmlenc#sha256"/>
        <DigestValue>UGWy9ZaxhTVgIsz33I87ELJ34XI2/VsB9sHrrh4Prz4=</DigestValue>
      </Reference>
      <Reference URI="/xl/drawings/drawing6.xml?ContentType=application/vnd.openxmlformats-officedocument.drawing+xml">
        <DigestMethod Algorithm="http://www.w3.org/2001/04/xmlenc#sha256"/>
        <DigestValue>yE6vikbjRp4QlsB5XTmVE5o6AoZJ5FD2JRDEkWfeDww=</DigestValue>
      </Reference>
      <Reference URI="/xl/media/image1.jpeg?ContentType=image/jpeg">
        <DigestMethod Algorithm="http://www.w3.org/2001/04/xmlenc#sha256"/>
        <DigestValue>nD3KVazHwANOMLcFaEQTSI5enCu6XsZW9KN3bcuLPA0=</DigestValue>
      </Reference>
      <Reference URI="/xl/media/image2.jpeg?ContentType=image/jpeg">
        <DigestMethod Algorithm="http://www.w3.org/2001/04/xmlenc#sha256"/>
        <DigestValue>TjpUd6qVlJXLpV2Rbgo9AZLlmpzMOH2+u5cY95SYbsg=</DigestValue>
      </Reference>
      <Reference URI="/xl/media/image3.jpeg?ContentType=image/jpeg">
        <DigestMethod Algorithm="http://www.w3.org/2001/04/xmlenc#sha256"/>
        <DigestValue>6uVr4M912xDRUHp7CIo4OYF4UeG2yc3RpMeQtHNT8PU=</DigestValue>
      </Reference>
      <Reference URI="/xl/media/image4.jpeg?ContentType=image/jpeg">
        <DigestMethod Algorithm="http://www.w3.org/2001/04/xmlenc#sha256"/>
        <DigestValue>GuyVeiKAt8sPLPpRvPY288+GNM1ooSPDRPpNlgcQ8yU=</DigestValue>
      </Reference>
      <Reference URI="/xl/media/image5.jpeg?ContentType=image/jpeg">
        <DigestMethod Algorithm="http://www.w3.org/2001/04/xmlenc#sha256"/>
        <DigestValue>CU3jzESgAkwN4QBYHEsUUi61mPyk4EgvxzdW3EJMBzI=</DigestValue>
      </Reference>
      <Reference URI="/xl/media/image6.jpeg?ContentType=image/jpeg">
        <DigestMethod Algorithm="http://www.w3.org/2001/04/xmlenc#sha256"/>
        <DigestValue>N58bNyjv9eECSCw+vBdVZFu1kLtHolxtztxxS5HeOaw=</DigestValue>
      </Reference>
      <Reference URI="/xl/printerSettings/printerSettings1.bin?ContentType=application/vnd.openxmlformats-officedocument.spreadsheetml.printerSettings">
        <DigestMethod Algorithm="http://www.w3.org/2001/04/xmlenc#sha256"/>
        <DigestValue>+43BbuK8HcSnE8r9CtP9KuIW7jCNy0wn9ZJRDQ62ZJc=</DigestValue>
      </Reference>
      <Reference URI="/xl/printerSettings/printerSettings2.bin?ContentType=application/vnd.openxmlformats-officedocument.spreadsheetml.printerSettings">
        <DigestMethod Algorithm="http://www.w3.org/2001/04/xmlenc#sha256"/>
        <DigestValue>+43BbuK8HcSnE8r9CtP9KuIW7jCNy0wn9ZJRDQ62ZJc=</DigestValue>
      </Reference>
      <Reference URI="/xl/printerSettings/printerSettings3.bin?ContentType=application/vnd.openxmlformats-officedocument.spreadsheetml.printerSettings">
        <DigestMethod Algorithm="http://www.w3.org/2001/04/xmlenc#sha256"/>
        <DigestValue>XHDHQBGbXmBjppZOC1vlB9ORFpzMXdXLctkjh3YluHs=</DigestValue>
      </Reference>
      <Reference URI="/xl/printerSettings/printerSettings4.bin?ContentType=application/vnd.openxmlformats-officedocument.spreadsheetml.printerSettings">
        <DigestMethod Algorithm="http://www.w3.org/2001/04/xmlenc#sha256"/>
        <DigestValue>Qla6In5Zsy2FMKwmUDrhzPtIKQ78+NQeVjTXAEue8S0=</DigestValue>
      </Reference>
      <Reference URI="/xl/printerSettings/printerSettings5.bin?ContentType=application/vnd.openxmlformats-officedocument.spreadsheetml.printerSettings">
        <DigestMethod Algorithm="http://www.w3.org/2001/04/xmlenc#sha256"/>
        <DigestValue>7nip9ENhigq7BbCqYYru4zGpkz8/XUSGFA54LYIJTfI=</DigestValue>
      </Reference>
      <Reference URI="/xl/printerSettings/printerSettings6.bin?ContentType=application/vnd.openxmlformats-officedocument.spreadsheetml.printerSettings">
        <DigestMethod Algorithm="http://www.w3.org/2001/04/xmlenc#sha256"/>
        <DigestValue>XHDHQBGbXmBjppZOC1vlB9ORFpzMXdXLctkjh3YluHs=</DigestValue>
      </Reference>
      <Reference URI="/xl/printerSettings/printerSettings7.bin?ContentType=application/vnd.openxmlformats-officedocument.spreadsheetml.printerSettings">
        <DigestMethod Algorithm="http://www.w3.org/2001/04/xmlenc#sha256"/>
        <DigestValue>7nip9ENhigq7BbCqYYru4zGpkz8/XUSGFA54LYIJTfI=</DigestValue>
      </Reference>
      <Reference URI="/xl/sharedStrings.xml?ContentType=application/vnd.openxmlformats-officedocument.spreadsheetml.sharedStrings+xml">
        <DigestMethod Algorithm="http://www.w3.org/2001/04/xmlenc#sha256"/>
        <DigestValue>xZVx9s1JqWlcrrOBlfTwddMgx7vzeNEfbeEU+nvnfSs=</DigestValue>
      </Reference>
      <Reference URI="/xl/styles.xml?ContentType=application/vnd.openxmlformats-officedocument.spreadsheetml.styles+xml">
        <DigestMethod Algorithm="http://www.w3.org/2001/04/xmlenc#sha256"/>
        <DigestValue>W7gIHFQ9AjFY0nfohteZ/7MNogd2TQA1PfT8sERFXGU=</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SWMHw/wFPwVFvHRJX4yewdoaVUeWVgrO7d0iUDRNq4M=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9PowuiJMdS5xfoHNSrFteXTGbMIDZEGQJX8f3Chwc8c=</DigestValue>
      </Reference>
      <Reference URI="/xl/worksheets/sheet2.xml?ContentType=application/vnd.openxmlformats-officedocument.spreadsheetml.worksheet+xml">
        <DigestMethod Algorithm="http://www.w3.org/2001/04/xmlenc#sha256"/>
        <DigestValue>SqFdN8EjsIEgcGRA9j3eQ7NNMzFkaunaaSoavfX1aYA=</DigestValue>
      </Reference>
      <Reference URI="/xl/worksheets/sheet3.xml?ContentType=application/vnd.openxmlformats-officedocument.spreadsheetml.worksheet+xml">
        <DigestMethod Algorithm="http://www.w3.org/2001/04/xmlenc#sha256"/>
        <DigestValue>YuBohSgyKsk8vZQeV/So7ZQ3zSTNz9n4oVAT/jwC5jM=</DigestValue>
      </Reference>
      <Reference URI="/xl/worksheets/sheet4.xml?ContentType=application/vnd.openxmlformats-officedocument.spreadsheetml.worksheet+xml">
        <DigestMethod Algorithm="http://www.w3.org/2001/04/xmlenc#sha256"/>
        <DigestValue>e0asKgnDTqUzXqCdsCMYFIFIWYCbDcD0we+mjqekYXA=</DigestValue>
      </Reference>
      <Reference URI="/xl/worksheets/sheet5.xml?ContentType=application/vnd.openxmlformats-officedocument.spreadsheetml.worksheet+xml">
        <DigestMethod Algorithm="http://www.w3.org/2001/04/xmlenc#sha256"/>
        <DigestValue>6AQPPyKZkjx5oPg342nvVvZRAZLQW4kCzJjFBnR3iUE=</DigestValue>
      </Reference>
      <Reference URI="/xl/worksheets/sheet6.xml?ContentType=application/vnd.openxmlformats-officedocument.spreadsheetml.worksheet+xml">
        <DigestMethod Algorithm="http://www.w3.org/2001/04/xmlenc#sha256"/>
        <DigestValue>7qd78th607PZpyv2tTfu5b3qc0KUXS4FBW0VDC0mDK8=</DigestValue>
      </Reference>
      <Reference URI="/xl/worksheets/sheet7.xml?ContentType=application/vnd.openxmlformats-officedocument.spreadsheetml.worksheet+xml">
        <DigestMethod Algorithm="http://www.w3.org/2001/04/xmlenc#sha256"/>
        <DigestValue>4dYR4M+f8hyk3GXUEMfHjCcMh0A5CUeaDe14t1p8oFY=</DigestValue>
      </Reference>
    </Manifest>
    <SignatureProperties>
      <SignatureProperty Id="idSignatureTime" Target="#idPackageSignature">
        <mdssi:SignatureTime xmlns:mdssi="http://schemas.openxmlformats.org/package/2006/digital-signature">
          <mdssi:Format>YYYY-MM-DDThh:mm:ssTZD</mdssi:Format>
          <mdssi:Value>2026-03-10T06:12:03Z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2026-03-10T06:12:03Z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TONGQUAN</vt:lpstr>
      <vt:lpstr>BCTaiSan_06134</vt:lpstr>
      <vt:lpstr>BCKetQuaHoatDong_06135</vt:lpstr>
      <vt:lpstr>BCDanhMucDauTu_06136</vt:lpstr>
      <vt:lpstr>BCHDVay_GDMuaBanLai</vt:lpstr>
      <vt:lpstr>Khac_06137</vt:lpstr>
      <vt:lpstr>TKGia_DichVuGiaoDich</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2026-03-10T03:14:32Z</dcterms:modified>
</cp:coreProperties>
</file>