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10.xml" ContentType="application/vnd.openxmlformats-officedocument.drawing+xml"/>
  <Override PartName="/xl/drawings/drawing11.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firstSheet="7" activeTab="11"/>
  </bookViews>
  <sheets>
    <sheet name="TONGQUAN" sheetId="8" r:id="rId1"/>
    <sheet name="BCTaiSan_06134" sheetId="9" r:id="rId2"/>
    <sheet name="BCKetQuaHoatDong_06135" sheetId="10" r:id="rId3"/>
    <sheet name="BCDanhMucDauTu_06136" sheetId="11" r:id="rId4"/>
    <sheet name="Khac_06137" sheetId="12" r:id="rId5"/>
    <sheet name="BCGiaodichTaiSan_06141" sheetId="13" r:id="rId6"/>
    <sheet name="BCThuNhap_06203" sheetId="14" r:id="rId7"/>
    <sheet name="BCTinhHinhTaiChinh_06105" sheetId="15" r:id="rId8"/>
    <sheet name="GTTSRong_06107" sheetId="16" r:id="rId9"/>
    <sheet name="DangHD_06182" sheetId="17" r:id="rId10"/>
    <sheet name="BCDMDT_06108" sheetId="18" r:id="rId11"/>
    <sheet name="BCLCGT_06262" sheetId="19" r:id="rId12"/>
    <sheet name="Sheet1" sheetId="20" r:id="rId13"/>
  </sheets>
  <externalReferences>
    <externalReference r:id="rId14"/>
  </externalReferences>
  <definedNames>
    <definedName name="_Fill" hidden="1">#REF!</definedName>
    <definedName name="_xlnm._FilterDatabase" localSheetId="11" hidden="1">BCLCGT_06262!$A$17:$H$68</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5">BCGiaodichTaiSan_06141!$A$1:$K$37</definedName>
    <definedName name="_xlnm.Print_Area" localSheetId="0">TONGQUAN!$A$1:$I$50</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calcChain.xml><?xml version="1.0" encoding="utf-8"?>
<calcChain xmlns="http://schemas.openxmlformats.org/spreadsheetml/2006/main">
  <c r="F117" i="15" l="1"/>
  <c r="E117" i="15"/>
  <c r="F113" i="15"/>
  <c r="E113" i="15"/>
  <c r="F109" i="15"/>
  <c r="E109" i="15"/>
  <c r="F101" i="15"/>
  <c r="F98" i="15" s="1"/>
  <c r="E101" i="15"/>
  <c r="E98" i="15"/>
  <c r="F88" i="15"/>
  <c r="F86" i="15" s="1"/>
  <c r="E88" i="15"/>
  <c r="E86" i="15"/>
  <c r="F76" i="15"/>
  <c r="E76" i="15"/>
  <c r="F71" i="15"/>
  <c r="F107" i="15" s="1"/>
  <c r="E71" i="15"/>
  <c r="E107" i="15" s="1"/>
  <c r="F58" i="15"/>
  <c r="E58" i="15"/>
  <c r="E56" i="15" s="1"/>
  <c r="F56" i="15"/>
  <c r="F50" i="15"/>
  <c r="E50" i="15"/>
  <c r="E42" i="15" s="1"/>
  <c r="F43" i="15"/>
  <c r="F42" i="15" s="1"/>
  <c r="F39" i="15" s="1"/>
  <c r="E43" i="15"/>
  <c r="F28" i="15"/>
  <c r="E28" i="15"/>
  <c r="E27" i="15" s="1"/>
  <c r="F27" i="15"/>
  <c r="F20" i="15"/>
  <c r="E20" i="15"/>
  <c r="E19" i="15" s="1"/>
  <c r="F19" i="15"/>
  <c r="F65" i="15" l="1"/>
  <c r="F108" i="15" s="1"/>
  <c r="E39" i="15"/>
  <c r="E65" i="15"/>
  <c r="E108" i="15" s="1"/>
  <c r="G75" i="14"/>
  <c r="F75" i="14"/>
  <c r="E75" i="14"/>
  <c r="D75" i="14"/>
  <c r="G59" i="14"/>
  <c r="F59" i="14"/>
  <c r="E59" i="14"/>
  <c r="D59" i="14"/>
  <c r="G53" i="14"/>
  <c r="F53" i="14"/>
  <c r="E53" i="14"/>
  <c r="D53" i="14"/>
  <c r="G45" i="14"/>
  <c r="F45" i="14"/>
  <c r="E45" i="14"/>
  <c r="D45" i="14"/>
  <c r="G43" i="14"/>
  <c r="F43" i="14"/>
  <c r="E43" i="14"/>
  <c r="D43" i="14"/>
  <c r="G36" i="14"/>
  <c r="F36" i="14"/>
  <c r="E36" i="14"/>
  <c r="D36" i="14"/>
  <c r="G35" i="14"/>
  <c r="F35" i="14"/>
  <c r="E35" i="14"/>
  <c r="D35" i="14"/>
  <c r="G26" i="14"/>
  <c r="F26" i="14"/>
  <c r="E26" i="14"/>
  <c r="D26" i="14"/>
  <c r="G23" i="14"/>
  <c r="F23" i="14"/>
  <c r="E23" i="14"/>
  <c r="D23" i="14"/>
  <c r="G20" i="14"/>
  <c r="F20" i="14"/>
  <c r="E20" i="14"/>
  <c r="D20" i="14"/>
  <c r="G19" i="14"/>
  <c r="G74" i="14" s="1"/>
  <c r="G78" i="14" s="1"/>
  <c r="G82" i="14" s="1"/>
  <c r="F19" i="14"/>
  <c r="F74" i="14" s="1"/>
  <c r="F78" i="14" s="1"/>
  <c r="F82" i="14" s="1"/>
  <c r="E19" i="14"/>
  <c r="E74" i="14" s="1"/>
  <c r="E78" i="14" s="1"/>
  <c r="E82" i="14" s="1"/>
  <c r="D19" i="14"/>
  <c r="D74" i="14" s="1"/>
  <c r="D78" i="14" s="1"/>
  <c r="D82" i="14" s="1"/>
</calcChain>
</file>

<file path=xl/sharedStrings.xml><?xml version="1.0" encoding="utf-8"?>
<sst xmlns="http://schemas.openxmlformats.org/spreadsheetml/2006/main" count="1773" uniqueCount="1195">
  <si>
    <t>Kỳ báo cáo:</t>
  </si>
  <si>
    <t>Tại ngày 30 tháng 09 năm 2020/ As at 30 Sep 2020</t>
  </si>
  <si>
    <t>Quý 03 năm 2020/ Quarter III 2020</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</si>
  <si>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</si>
  <si>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</si>
  <si>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</si>
  <si>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</si>
  <si>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</si>
  <si>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</si>
  <si>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</si>
  <si>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</si>
  <si>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</si>
  <si>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</si>
  <si>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</si>
  <si>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</si>
  <si>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</si>
  <si>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</si>
  <si>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</si>
  <si>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</si>
  <si>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</si>
  <si>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</si>
  <si>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</si>
  <si>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</si>
  <si>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Phó Trưởng Phòng DVKHTC2</t>
  </si>
  <si>
    <t>Tổng Giám đốc</t>
  </si>
  <si>
    <t>NGÔ THÙY DƯƠNG</t>
  </si>
  <si>
    <t>TRẦN THANH TÂN</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</si>
  <si>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</si>
  <si>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</si>
  <si>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</si>
  <si>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</si>
  <si>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</si>
  <si>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</si>
  <si>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</si>
  <si>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</si>
  <si>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</si>
  <si>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</si>
  <si>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</si>
  <si>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</si>
  <si>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</si>
  <si>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</si>
  <si>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</si>
  <si>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</si>
  <si>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</si>
  <si>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</si>
  <si>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</si>
  <si>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</si>
  <si>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</si>
  <si>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</si>
  <si>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</si>
  <si>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06108</t>
  </si>
  <si>
    <t>Báo cáo lưu chuyển tiền tệ theo phương pháp gián tiếp</t>
  </si>
  <si>
    <t>06262</t>
  </si>
  <si>
    <t>B</t>
  </si>
  <si>
    <t xml:space="preserve">BÁO CÁO TÌNH HÌNH TỰ DOANH ĐẦU TƯ GIÁN TIẾP RA NƯỚC NGOÀI CỦA QUỸ </t>
  </si>
  <si>
    <t>Không có</t>
  </si>
  <si>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</si>
  <si>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</si>
  <si>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BÁO CÁO HOẠT ĐỘNG ĐẦU TƯ CỦA QUỸ ETF
REPORT ON ETF FUND'S INVESTMENT ACTIVITIES</t>
  </si>
  <si>
    <t>Tại ngày 30 tháng 09  năm 2020 
As at 30 Sep 2020</t>
  </si>
  <si>
    <t>1</t>
  </si>
  <si>
    <t>Công ty cổ phần Quản lý Quỹ Đầu Tư Việt Nam</t>
  </si>
  <si>
    <t>2</t>
  </si>
  <si>
    <t>Ngân hàng giám sát:</t>
  </si>
  <si>
    <t>Ngân hàng TMCP Ngoại Thương Việt Nam-CN TP.HCM</t>
  </si>
  <si>
    <t>Supervising bank:</t>
  </si>
  <si>
    <t>Joint Stock Commercial Bank for Foreign Trade of Vietnam-HCMC Branch</t>
  </si>
  <si>
    <t>3</t>
  </si>
  <si>
    <t>QUỸ ETF VFMVN DIAMOND</t>
  </si>
  <si>
    <t>Fund name:</t>
  </si>
  <si>
    <t>VFMVN DIAMOND ETF</t>
  </si>
  <si>
    <t>4</t>
  </si>
  <si>
    <t>A. BÁO CÁO CHUNG VỀ HOẠT ĐỘNG ĐẦU TƯ CỦA QUỸ ETF/GENERAL INFOMATION ON ETF FUND'S INVESTMENT ACTIVITIES</t>
  </si>
  <si>
    <t>I. BÁO CÁO VỀ TÀI SẢN CỦA QUỸ/ ASSET REPORT</t>
  </si>
  <si>
    <t>Đơn vị tính/Currency: VND</t>
  </si>
  <si>
    <t>TT
NO</t>
  </si>
  <si>
    <t>Chỉ tiêu
Indicators</t>
  </si>
  <si>
    <t>Mã chỉ tiêu
Code</t>
  </si>
  <si>
    <t>Tại ngày 30 tháng 06  năm 2020 
As at 30 Jun 2020</t>
  </si>
  <si>
    <t>%/cùng kỳ năm trước
%/against last year (*)</t>
  </si>
  <si>
    <t>I</t>
  </si>
  <si>
    <t>Tài sản
Assets</t>
  </si>
  <si>
    <t>2200</t>
  </si>
  <si>
    <t>I.1</t>
  </si>
  <si>
    <t>Tiền gửi ngân hàng và các khoản tương đương tiền
Cash at bank and cash equivalent</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</si>
  <si>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</si>
  <si>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</si>
  <si>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</si>
  <si>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</si>
  <si>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</si>
  <si>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</si>
  <si>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</si>
  <si>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</si>
  <si>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</si>
  <si>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</si>
  <si>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</si>
  <si>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</si>
  <si>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</si>
  <si>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</si>
  <si>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</si>
  <si>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</si>
  <si>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</si>
  <si>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</si>
  <si>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</si>
  <si>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</si>
  <si>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</si>
  <si>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</si>
  <si>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</si>
  <si>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</si>
  <si>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</si>
  <si>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</si>
  <si>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</si>
  <si>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</si>
  <si>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</si>
  <si>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</si>
  <si>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</si>
  <si>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</si>
  <si>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</si>
  <si>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</si>
  <si>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</si>
  <si>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</si>
  <si>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</si>
  <si>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</si>
  <si>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</si>
  <si>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</si>
  <si>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</si>
  <si>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</si>
  <si>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</si>
  <si>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</si>
  <si>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</si>
  <si>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</si>
  <si>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</si>
  <si>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</si>
  <si>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</si>
  <si>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</si>
  <si>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</si>
  <si>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</si>
  <si>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</si>
  <si>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</si>
  <si>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</si>
  <si>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</si>
  <si>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</si>
  <si>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</si>
  <si>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</si>
  <si>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</si>
  <si>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</si>
  <si>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</si>
  <si>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</si>
  <si>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</si>
  <si>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</si>
  <si>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</si>
  <si>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</si>
  <si>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</si>
  <si>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</si>
  <si>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</si>
  <si>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</si>
  <si>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</si>
  <si>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</si>
  <si>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</si>
  <si>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</si>
  <si>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</si>
  <si>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</si>
  <si>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</si>
  <si>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</si>
  <si>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</si>
  <si>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</si>
  <si>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</si>
  <si>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</si>
  <si>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</si>
  <si>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</si>
  <si>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</si>
  <si>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</si>
  <si>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</si>
  <si>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</si>
  <si>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</si>
  <si>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</si>
  <si>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</si>
  <si>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</si>
  <si>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</si>
  <si>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</si>
  <si>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</si>
  <si>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</si>
  <si>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</si>
  <si>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</si>
  <si>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</si>
  <si>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</si>
  <si>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</si>
  <si>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</si>
  <si>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</si>
  <si>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</si>
  <si>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</si>
  <si>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</si>
  <si>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</si>
  <si>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</si>
  <si>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</si>
  <si>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</si>
  <si>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</si>
  <si>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</si>
  <si>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</si>
  <si>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</si>
  <si>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</si>
  <si>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</si>
  <si>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</si>
  <si>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</si>
  <si>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</si>
  <si>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</si>
  <si>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</si>
  <si>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</si>
  <si>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</si>
  <si>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</si>
  <si>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</si>
  <si>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</si>
  <si>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</si>
  <si>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</si>
  <si>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</si>
  <si>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</si>
  <si>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</si>
  <si>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</si>
  <si>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</si>
  <si>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</si>
  <si>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</si>
  <si>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</si>
  <si>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</si>
  <si>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</si>
  <si>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</si>
  <si>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</si>
  <si>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</si>
  <si>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</si>
  <si>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</si>
  <si>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</si>
  <si>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</si>
  <si>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</si>
  <si>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</si>
  <si>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</si>
  <si>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</si>
  <si>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</si>
  <si>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</si>
  <si>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</si>
  <si>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</si>
  <si>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</si>
  <si>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</si>
  <si>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</si>
  <si>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</si>
  <si>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</si>
  <si>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</si>
  <si>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</si>
  <si>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</si>
  <si>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</si>
  <si>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</si>
  <si>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</si>
  <si>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</si>
  <si>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</si>
  <si>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</si>
  <si>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</si>
  <si>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Tài sản ròng của Quỹ ( = I.8 - II.3)
Net Asset Value ( = I.8 - II.3)</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</si>
  <si>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</si>
  <si>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</si>
  <si>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</si>
  <si>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</si>
  <si>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</si>
  <si>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22/04/2020, so data for 2019 is left blank.</t>
  </si>
  <si>
    <t>Đại diện có thẩm quyền của Công ty quản lý quỹ</t>
  </si>
  <si>
    <t>NGÂN HÀNG TMCP NGOẠI THƯƠNG VIỆT NAM-CN TP.HCM</t>
  </si>
  <si>
    <t>CÔNG TY CỔ PHẦN QUẢN LÝ QUỸ ĐẦU TƯ VIỆT NAM</t>
  </si>
  <si>
    <t>Tổng Giám Đốc</t>
  </si>
  <si>
    <t>Ngô Thùy Dương</t>
  </si>
  <si>
    <t>Trần Thanh Tân</t>
  </si>
  <si>
    <t>Phụ lục 07. Mẫu báo cáo hoạt động đầu tư của quỹ ETF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</si>
  <si>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
(Issued in association with Circular 91/2012/TT-BTC dated 31 Dec 2019 amending and supplementing a number of Circulars guiding on reporting  and administration of Fund Management Companies, Securities Investment Funds and  Securities Investment Companies)</t>
  </si>
  <si>
    <t>Quý 3 năm 2020 / Quarter III 2020</t>
  </si>
  <si>
    <t>II. BÁO CÁO KẾT QUẢ HOẠT ĐỘNG / PROFIT AND LOSS REPORT</t>
  </si>
  <si>
    <t>Quý 3 năm 2020
Quarter III 2020</t>
  </si>
  <si>
    <t>Quý 2 năm 2020
Quarter II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</si>
  <si>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</si>
  <si>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</si>
  <si>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</si>
  <si>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</si>
  <si>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</si>
  <si>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</si>
  <si>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</si>
  <si>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</si>
  <si>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</si>
  <si>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</si>
  <si>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</si>
  <si>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</si>
  <si>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</si>
  <si>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</si>
  <si>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</si>
  <si>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</si>
  <si>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</si>
  <si>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</si>
  <si>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</si>
  <si>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</si>
  <si>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</si>
  <si>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</si>
  <si>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</si>
  <si>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</si>
  <si>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</si>
  <si>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</si>
  <si>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</si>
  <si>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</si>
  <si>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</si>
  <si>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2226.1</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</si>
  <si>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</si>
  <si>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</si>
  <si>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</si>
  <si>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</si>
  <si>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</si>
  <si>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</si>
  <si>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</si>
  <si>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</si>
  <si>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</si>
  <si>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</si>
  <si>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</si>
  <si>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</si>
  <si>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</si>
  <si>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</si>
  <si>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</si>
  <si>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</si>
  <si>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</si>
  <si>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</si>
  <si>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</si>
  <si>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</si>
  <si>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</si>
  <si>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</si>
  <si>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</si>
  <si>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</si>
  <si>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</si>
  <si>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</si>
  <si>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</si>
  <si>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</si>
  <si>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</si>
  <si>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</si>
  <si>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</si>
  <si>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</si>
  <si>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</si>
  <si>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</si>
  <si>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</si>
  <si>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</si>
  <si>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</si>
  <si>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</si>
  <si>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</si>
  <si>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</si>
  <si>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</si>
  <si>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</si>
  <si>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</si>
  <si>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</si>
  <si>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</si>
  <si>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</si>
  <si>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</si>
  <si>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</si>
  <si>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</si>
  <si>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</si>
  <si>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</si>
  <si>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</si>
  <si>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</si>
  <si>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</si>
  <si>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</si>
  <si>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</si>
  <si>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</si>
  <si>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</si>
  <si>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</si>
  <si>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</si>
  <si>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</si>
  <si>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</si>
  <si>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</si>
  <si>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</si>
  <si>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</si>
  <si>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</si>
  <si>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</si>
  <si>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</si>
  <si>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</si>
  <si>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</si>
  <si>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</si>
  <si>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</si>
  <si>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</si>
  <si>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</si>
  <si>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</si>
  <si>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</si>
  <si>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</si>
  <si>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</si>
  <si>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</si>
  <si>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</si>
  <si>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</si>
  <si>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</si>
  <si>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</si>
  <si>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</si>
  <si>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</si>
  <si>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</si>
  <si>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</si>
  <si>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</si>
  <si>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</si>
  <si>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</si>
  <si>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</si>
  <si>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</si>
  <si>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</si>
  <si>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</si>
  <si>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Thay đổi giá trị tài sản ròng của Quỹ liên quan tới nhà đầu tư trong kỳ
Change of Net Asset Value related to investors during the period</t>
  </si>
  <si>
    <t>2242</t>
  </si>
  <si>
    <t>Thay đổi giá trị tài sản ròng của Quỹ do việc phân phối thu nhập của Quỹ cho các nhà đầu tư trong kỳ
Change of Net Asset Value due to profit distribution to investors during the period</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</si>
  <si>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</si>
  <si>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</si>
  <si>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</si>
  <si>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</si>
  <si>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</si>
  <si>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</si>
  <si>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</si>
  <si>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</si>
  <si>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</si>
  <si>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</si>
  <si>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</si>
  <si>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</si>
  <si>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</si>
  <si>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REPORT ON ETF FUND'S INVESTMENT ACTIVITIES</t>
  </si>
  <si>
    <t>BÁO CÁO HOẠT ĐỘNG ĐẦU TƯ CỦA QUỸ ETF</t>
  </si>
  <si>
    <t>Tại ngày 30 tháng 09 năm 2020 / As at 30 Sep 2020</t>
  </si>
  <si>
    <t>A. BÁO CÁO CHUNG VỀ HOẠT ĐỘNG ĐẦU TƯ CỦA QUỸ ETF / GENERAL INFOMATION ON ETF FUND'S INVESTMENT ACTIVITIES</t>
  </si>
  <si>
    <t>III. BÁO CÁO DANH MỤC ĐẦU TƯ CỦA QUỸ/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</si>
  <si>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</si>
  <si>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</si>
  <si>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</si>
  <si>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</si>
  <si>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</si>
  <si>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</si>
  <si>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</si>
  <si>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</si>
  <si>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</si>
  <si>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</si>
  <si>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</si>
  <si>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</si>
  <si>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</si>
  <si>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</si>
  <si>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</si>
  <si>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</si>
  <si>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</si>
  <si>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</si>
  <si>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</si>
  <si>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</si>
  <si>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</si>
  <si>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</si>
  <si>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</si>
  <si>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</si>
  <si>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</si>
  <si>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</si>
  <si>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</si>
  <si>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</si>
  <si>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</si>
  <si>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</si>
  <si>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</si>
  <si>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</si>
  <si>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</si>
  <si>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</si>
  <si>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</si>
  <si>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</si>
  <si>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</si>
  <si>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</si>
  <si>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</si>
  <si>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</si>
  <si>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</si>
  <si>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</si>
  <si>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</si>
  <si>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
Unlisted shares</t>
  </si>
  <si>
    <t>2248</t>
  </si>
  <si>
    <t>Tổng
Total</t>
  </si>
  <si>
    <t>2249</t>
  </si>
  <si>
    <t>Tổng các loại cổ phiếu
Total shares</t>
  </si>
  <si>
    <t>2250</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</si>
  <si>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</si>
  <si>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</si>
  <si>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</si>
  <si>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</si>
  <si>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</si>
  <si>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</si>
  <si>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</si>
  <si>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</si>
  <si>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</si>
  <si>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</si>
  <si>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</si>
  <si>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</si>
  <si>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</si>
  <si>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</si>
  <si>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</si>
  <si>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</si>
  <si>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</si>
  <si>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</si>
  <si>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</si>
  <si>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</si>
  <si>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</si>
  <si>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</si>
  <si>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</si>
  <si>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</si>
  <si>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</si>
  <si>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</si>
  <si>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</si>
  <si>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</si>
  <si>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</si>
  <si>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</si>
  <si>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</si>
  <si>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</si>
  <si>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</si>
  <si>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</si>
  <si>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gửi Ngân Hàng
Cash at Bank</t>
  </si>
  <si>
    <t>2259</t>
  </si>
  <si>
    <t>2259.1</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</si>
  <si>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</si>
  <si>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</si>
  <si>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</si>
  <si>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</si>
  <si>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</si>
  <si>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</si>
  <si>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</si>
  <si>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</si>
  <si>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Tổng giá trị danh mục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</si>
  <si>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</si>
  <si>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</si>
  <si>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</si>
  <si>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</si>
  <si>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</si>
  <si>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</si>
  <si>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</si>
  <si>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
Appendix 07. Report on Fund's Investment Activities</t>
  </si>
  <si>
    <t>BÁO CÁO HOẠT ĐỘNG ĐẦU TƯ CỦA QUỸ ETF
REPORT ON FUND'S INVESTMENT ACTIVITIES</t>
  </si>
  <si>
    <t>JSC Bank for Foreign Trade of Vietnam-HCMC Branch</t>
  </si>
  <si>
    <t>V. MỘT SỐ CHỈ TIÊU KHÁC / OTHER INDICATORS</t>
  </si>
  <si>
    <t>TT
No.</t>
  </si>
  <si>
    <t>Các chỉ tiêu về hiệu quả hoạt động
Investment performance indicators (*)</t>
  </si>
  <si>
    <t>2264</t>
  </si>
  <si>
    <t>Tỷ lệ phí quản lý trả cho công ty quản lý quỹ/Giá trị tài sản ròng trung bình trong kỳ (%)
Management expense over average NAV ratio (%)</t>
  </si>
  <si>
    <t>2265</t>
  </si>
  <si>
    <t>Tỷ lệ phí lưu ký, giám sát trả cho NHGS/Giá trị tài sản ròng trung bình trong kỳ (%)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</si>
  <si>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</si>
  <si>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</si>
  <si>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</si>
  <si>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</si>
  <si>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</si>
  <si>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</si>
  <si>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</si>
  <si>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 hoạt động/Giá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</si>
  <si>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</si>
  <si>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</si>
  <si>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</si>
  <si>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</si>
  <si>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</si>
  <si>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</si>
  <si>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</si>
  <si>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</si>
  <si>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</si>
  <si>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</si>
  <si>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</si>
  <si>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</si>
  <si>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</si>
  <si>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</si>
  <si>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</si>
  <si>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</si>
  <si>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</si>
  <si>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</si>
  <si>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</si>
  <si>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</si>
  <si>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</si>
  <si>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</si>
  <si>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</si>
  <si>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</si>
  <si>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</si>
  <si>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</si>
  <si>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</si>
  <si>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</si>
  <si>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</si>
  <si>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</si>
  <si>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</si>
  <si>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</si>
  <si>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</si>
  <si>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</si>
  <si>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</si>
  <si>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</si>
  <si>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</si>
  <si>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</si>
  <si>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</si>
  <si>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</si>
  <si>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</si>
  <si>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</si>
  <si>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</si>
  <si>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</si>
  <si>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</si>
  <si>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Excluding the committed value of the Index Futures contracts.</t>
  </si>
  <si>
    <t>Đại diện có thẩm quyền của ngân hàng giám sát</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</si>
  <si>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</si>
  <si>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</si>
  <si>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</si>
  <si>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Quý 3 năm 2020/ Quarter III 2020</t>
  </si>
  <si>
    <t>VFMVN Diamond ETF Fund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</si>
  <si>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</si>
  <si>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</si>
  <si>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</si>
  <si>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</si>
  <si>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</si>
  <si>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</si>
  <si>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</si>
  <si>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</si>
  <si>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</si>
  <si>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</si>
  <si>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</si>
  <si>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</si>
  <si>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</si>
  <si>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</si>
  <si>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</si>
  <si>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</si>
  <si>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</si>
  <si>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</si>
  <si>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</si>
  <si>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</si>
  <si>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</si>
  <si>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</si>
  <si>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</si>
  <si>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</si>
  <si>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</si>
  <si>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</si>
  <si>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</si>
  <si>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</si>
  <si>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</si>
  <si>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</si>
  <si>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</si>
  <si>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</si>
  <si>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Trưởng Phòng DVKHTC2</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</si>
  <si>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</si>
  <si>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</si>
  <si>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</si>
  <si>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</si>
  <si>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Quý 3 năm 2020 / Quarter 3 of 2020</t>
  </si>
  <si>
    <t>Mã số
Code</t>
  </si>
  <si>
    <t>Thuyết minh
Note</t>
  </si>
  <si>
    <t>NĂM 2020
YEAR 2020</t>
  </si>
  <si>
    <t>NĂM 2019
YEAR 2019</t>
  </si>
  <si>
    <t>Số lũy kế
Year-to-date</t>
  </si>
  <si>
    <t>Quý 3 năm 2019
Quarter III 2019</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</si>
  <si>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</si>
  <si>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</si>
  <si>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</si>
  <si>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</si>
  <si>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</si>
  <si>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</si>
  <si>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</si>
  <si>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</si>
  <si>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</si>
  <si>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</si>
  <si>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</si>
  <si>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</si>
  <si>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</si>
  <si>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</si>
  <si>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</si>
  <si>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</si>
  <si>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</si>
  <si>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</si>
  <si>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</si>
  <si>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</si>
  <si>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</si>
  <si>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</si>
  <si>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</si>
  <si>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</si>
  <si>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</si>
  <si>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</si>
  <si>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</si>
  <si>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</si>
  <si>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</si>
  <si>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</si>
  <si>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</si>
  <si>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</si>
  <si>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</si>
  <si>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</si>
  <si>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</si>
  <si>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</si>
  <si>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</si>
  <si>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</si>
  <si>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</si>
  <si>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</si>
  <si>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</si>
  <si>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</si>
  <si>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</si>
  <si>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</si>
  <si>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</si>
  <si>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</si>
  <si>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</si>
  <si>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</si>
  <si>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</si>
  <si>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</si>
  <si>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</si>
  <si>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</si>
  <si>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</si>
  <si>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</si>
  <si>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</si>
  <si>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</si>
  <si>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</si>
  <si>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</si>
  <si>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</si>
  <si>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</si>
  <si>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</si>
  <si>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</si>
  <si>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</si>
  <si>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</si>
  <si>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</si>
  <si>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</si>
  <si>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</si>
  <si>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</si>
  <si>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</si>
  <si>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</si>
  <si>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</si>
  <si>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</si>
  <si>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</si>
  <si>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</si>
  <si>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</si>
  <si>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</si>
  <si>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</si>
  <si>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</si>
  <si>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</si>
  <si>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</si>
  <si>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</si>
  <si>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</si>
  <si>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</si>
  <si>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</si>
  <si>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</si>
  <si>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20.10.05</t>
  </si>
  <si>
    <t>Chi phí thiết lập Quỹ
Setup Expenses</t>
  </si>
  <si>
    <t>20.10.06</t>
  </si>
  <si>
    <t>Phí quản lý thường niên trả UBCKNN
Accrued fee payable to SSC</t>
  </si>
  <si>
    <t>20.10.07</t>
  </si>
  <si>
    <t>20.10.08</t>
  </si>
  <si>
    <t>20.10.09</t>
  </si>
  <si>
    <t>20.10.10</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</si>
  <si>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</si>
  <si>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</si>
  <si>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</si>
  <si>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</si>
  <si>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</si>
  <si>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</si>
  <si>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</si>
  <si>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</si>
  <si>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</si>
  <si>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</si>
  <si>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</si>
  <si>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</si>
  <si>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</si>
  <si>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</si>
  <si>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</si>
  <si>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</si>
  <si>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</si>
  <si>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</si>
  <si>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</si>
  <si>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</si>
  <si>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</si>
  <si>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</si>
  <si>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</si>
  <si>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</si>
  <si>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</si>
  <si>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</si>
  <si>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Tổng giám đốc</t>
  </si>
  <si>
    <t>(Ký, họ tên)</t>
  </si>
  <si>
    <t>(Ký, họ tên, đóng dấu)</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</si>
  <si>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</si>
  <si>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</si>
  <si>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</si>
  <si>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</si>
  <si>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</si>
  <si>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</si>
  <si>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</si>
  <si>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</si>
  <si>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</si>
  <si>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</si>
  <si>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</si>
  <si>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</si>
  <si>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</si>
  <si>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</si>
  <si>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</si>
  <si>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</si>
  <si>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</si>
  <si>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</si>
  <si>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</si>
  <si>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</si>
  <si>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</si>
  <si>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</si>
  <si>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</si>
  <si>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</si>
  <si>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</si>
  <si>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</si>
  <si>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</si>
  <si>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</si>
  <si>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</si>
  <si>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</si>
  <si>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</si>
  <si>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</si>
  <si>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</si>
  <si>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</si>
  <si>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</si>
  <si>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</si>
  <si>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</si>
  <si>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</si>
  <si>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</si>
  <si>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</si>
  <si>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</si>
  <si>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</si>
  <si>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</si>
  <si>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</si>
  <si>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</si>
  <si>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</si>
  <si>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</si>
  <si>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</si>
  <si>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</si>
  <si>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</si>
  <si>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</si>
  <si>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</si>
  <si>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</si>
  <si>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</si>
  <si>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</si>
  <si>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</si>
  <si>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</si>
  <si>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</si>
  <si>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</si>
  <si>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</si>
  <si>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134.2</t>
  </si>
  <si>
    <t>Phải thu lãi tiền gửi có kỳ hạn dưới 3 tháng
Interest receivables from deposit with term less than three (03) months</t>
  </si>
  <si>
    <t>134.3</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</si>
  <si>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</si>
  <si>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</si>
  <si>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</si>
  <si>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</si>
  <si>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</si>
  <si>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</si>
  <si>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</si>
  <si>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</si>
  <si>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</si>
  <si>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</si>
  <si>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</si>
  <si>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</si>
  <si>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</si>
  <si>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</si>
  <si>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</si>
  <si>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</si>
  <si>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</si>
  <si>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</si>
  <si>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</si>
  <si>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</si>
  <si>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</si>
  <si>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</si>
  <si>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</si>
  <si>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</si>
  <si>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</si>
  <si>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</si>
  <si>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</si>
  <si>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</si>
  <si>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</si>
  <si>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</si>
  <si>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</si>
  <si>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</si>
  <si>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</si>
  <si>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</si>
  <si>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</si>
  <si>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</si>
  <si>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</si>
  <si>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</si>
  <si>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</si>
  <si>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</si>
  <si>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</si>
  <si>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</si>
  <si>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</si>
  <si>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</si>
  <si>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</si>
  <si>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</si>
  <si>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</si>
  <si>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</si>
  <si>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</si>
  <si>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</si>
  <si>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</si>
  <si>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</si>
  <si>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</si>
  <si>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</si>
  <si>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</si>
  <si>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</si>
  <si>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</si>
  <si>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</si>
  <si>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</si>
  <si>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</si>
  <si>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</si>
  <si>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</si>
  <si>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</si>
  <si>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</si>
  <si>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</si>
  <si>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</si>
  <si>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</si>
  <si>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</si>
  <si>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</si>
  <si>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</si>
  <si>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</si>
  <si>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</si>
  <si>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</si>
  <si>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</si>
  <si>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</si>
  <si>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</si>
  <si>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</si>
  <si>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</si>
  <si>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</si>
  <si>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</si>
  <si>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</si>
  <si>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</si>
  <si>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</si>
  <si>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</si>
  <si>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</si>
  <si>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</si>
  <si>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</si>
  <si>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</si>
  <si>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</si>
  <si>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</si>
  <si>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</si>
  <si>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</si>
  <si>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</si>
  <si>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</si>
  <si>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</si>
  <si>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</si>
  <si>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</si>
  <si>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</si>
  <si>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</si>
  <si>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</si>
  <si>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</si>
  <si>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</si>
  <si>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</si>
  <si>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</si>
  <si>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</si>
  <si>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</si>
  <si>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</si>
  <si>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</si>
  <si>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</si>
  <si>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</si>
  <si>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</si>
  <si>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</si>
  <si>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</si>
  <si>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</si>
  <si>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</si>
  <si>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</si>
  <si>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</si>
  <si>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320.3.2</t>
  </si>
  <si>
    <t>Phí đăng ký niêm yết trả HOSE
Listed register fee payable to HOSE</t>
  </si>
  <si>
    <t>320.3.3</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</si>
  <si>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</si>
  <si>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</si>
  <si>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</si>
  <si>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</si>
  <si>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</si>
  <si>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</si>
  <si>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</si>
  <si>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</si>
  <si>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</si>
  <si>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</si>
  <si>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</si>
  <si>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</si>
  <si>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</si>
  <si>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</si>
  <si>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</si>
  <si>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</si>
  <si>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</si>
  <si>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</si>
  <si>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</si>
  <si>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</si>
  <si>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</si>
  <si>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</si>
  <si>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</si>
  <si>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</si>
  <si>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</si>
  <si>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</si>
  <si>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</si>
  <si>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</si>
  <si>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</si>
  <si>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</si>
  <si>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</si>
  <si>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</si>
  <si>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</si>
  <si>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</si>
  <si>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</si>
  <si>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</si>
  <si>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</si>
  <si>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</si>
  <si>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Vương Thị Trâm Anh</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</si>
  <si>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</si>
  <si>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</si>
  <si>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</si>
  <si>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</si>
  <si>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</si>
  <si>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</si>
  <si>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</si>
  <si>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STT
No</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</si>
  <si>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</si>
  <si>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</si>
  <si>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</si>
  <si>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</si>
  <si>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</si>
  <si>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</si>
  <si>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</si>
  <si>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</si>
  <si>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</si>
  <si>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</si>
  <si>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</si>
  <si>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</si>
  <si>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</si>
  <si>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</si>
  <si>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</si>
  <si>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</si>
  <si>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</si>
  <si>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</si>
  <si>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</si>
  <si>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</si>
  <si>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</si>
  <si>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</si>
  <si>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</si>
  <si>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t>
  </si>
  <si>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</si>
  <si>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</si>
  <si>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</si>
  <si>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</si>
  <si>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Mã chứng khoán:</t>
  </si>
  <si>
    <t>FUEVFVND</t>
  </si>
  <si>
    <t>Code:</t>
  </si>
  <si>
    <t>Đơn vị tính/ Currency: VND</t>
  </si>
  <si>
    <t>STT
NO</t>
  </si>
  <si>
    <t>CHỈ TIÊU
CRITERIA</t>
  </si>
  <si>
    <t>MÃ SỐ
Item No</t>
  </si>
  <si>
    <t>KỲ BÁO CÁO
THIS PERIOD
30/09/2020</t>
  </si>
  <si>
    <t>KỲ TRƯỚC
LAST PERIOD
 30/06/2020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</si>
  <si>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</si>
  <si>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</si>
  <si>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</si>
  <si>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</si>
  <si>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</si>
  <si>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</si>
  <si>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</si>
  <si>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</si>
  <si>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</si>
  <si>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</si>
  <si>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</si>
  <si>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</si>
  <si>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</si>
  <si>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</si>
  <si>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</si>
  <si>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</si>
  <si>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</si>
  <si>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</si>
  <si>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</si>
  <si>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</si>
  <si>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</si>
  <si>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</si>
  <si>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</si>
  <si>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</si>
  <si>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</si>
  <si>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</si>
  <si>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</si>
  <si>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</si>
  <si>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</si>
  <si>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</si>
  <si>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</si>
  <si>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</si>
  <si>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</si>
  <si>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</si>
  <si>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</si>
  <si>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</si>
  <si>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</si>
  <si>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</si>
  <si>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</si>
  <si>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</si>
  <si>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</si>
  <si>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</si>
  <si>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</si>
  <si>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</si>
  <si>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</si>
  <si>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</si>
  <si>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</si>
  <si>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</si>
  <si>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</si>
  <si>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</si>
  <si>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</si>
  <si>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</si>
  <si>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</si>
  <si>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</si>
  <si>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</si>
  <si>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</si>
  <si>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</si>
  <si>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</si>
  <si>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</si>
  <si>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</si>
  <si>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Mẫu số B04 - ETF: Báo cáo danh mục đầu tư
Template B04 - ETF: Investment portfolio report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</si>
  <si>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</si>
  <si>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DANH MỤC ĐẦU TƯ
INVESTMENT PORTFOLIO REPORT</t>
  </si>
  <si>
    <t>02/10/2020</t>
  </si>
  <si>
    <t>02 Oct 2020</t>
  </si>
  <si>
    <t>Loại tài sản
Asset types</t>
  </si>
  <si>
    <t>Cổ phiếu niêm yết  
Listed shares</t>
  </si>
  <si>
    <t>Cổ phiếu không niêm yết  
Unlisted shares</t>
  </si>
  <si>
    <t>Tổng  
Total</t>
  </si>
  <si>
    <t>Tổng các loại cổ phiếu  
Total shares</t>
  </si>
  <si>
    <t>Trái phiếu  
Bonds</t>
  </si>
  <si>
    <t>Các loại chứng khoán khác  
Other sercurities</t>
  </si>
  <si>
    <t>Quyền mua chứng khoán  
Investments - Rights</t>
  </si>
  <si>
    <t>Chi tiết loại hợp đồng phái sinh
Index future contracts</t>
  </si>
  <si>
    <t>Tổng các loại chứng khoán  
Total investments</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</si>
  <si>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</si>
  <si>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</si>
  <si>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</si>
  <si>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</si>
  <si>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(kê chi tiết)  
Receivables from investments sold but not yet settled</t>
  </si>
  <si>
    <t>Phải thu cho khoản cổ phiếu hạn chế chờ mua  
Receivable from AP/Investors on securities on hold</t>
  </si>
  <si>
    <t>Phải thu khác  
Other receivables</t>
  </si>
  <si>
    <t>Tiền 
Cash</t>
  </si>
  <si>
    <t>Tiền gửi Ngân Hàng  
Cash at Bank</t>
  </si>
  <si>
    <t>Tiền gửi ngân hàng  
Cash at Bank</t>
  </si>
  <si>
    <t>Các khoản tương đương tiền  
Cash Equivalents</t>
  </si>
  <si>
    <t>Tiền gửi có kỳ hạn trên 3 tháng  
Term deposit greater than 3 months</t>
  </si>
  <si>
    <t>Chứng chỉ tiền gửi   
Certificates of deposit</t>
  </si>
  <si>
    <t>Công cụ chuyển nhượng…  
Transferable instruments…</t>
  </si>
  <si>
    <t>Tổng giá trị danh mục   
Total value of portfolio</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</si>
  <si>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</si>
  <si>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</si>
  <si>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</si>
  <si>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</si>
  <si>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</si>
  <si>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</si>
  <si>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</si>
  <si>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1.2 Điều chỉnh lỗ/(lợi nhuận) do việc mua hộ chứng khoán hạn chế 
Adjustments for (gain)/loss from buying Restricted Securities</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</si>
  <si>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</si>
  <si>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</si>
  <si>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</si>
  <si>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</si>
  <si>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</si>
  <si>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</si>
  <si>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</si>
  <si>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</si>
  <si>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</si>
  <si>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</si>
  <si>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</si>
  <si>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</si>
  <si>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</si>
  <si>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</si>
  <si>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</si>
  <si>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</si>
  <si>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</si>
  <si>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</si>
  <si>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</si>
  <si>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</si>
  <si>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</si>
  <si>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</si>
  <si>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</si>
  <si>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</si>
  <si>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</si>
  <si>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</si>
  <si>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</si>
  <si>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</si>
  <si>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</si>
  <si>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</si>
  <si>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</si>
  <si>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</si>
  <si>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</si>
  <si>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</si>
  <si>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</si>
  <si>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</si>
  <si>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</si>
  <si>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</si>
  <si>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</si>
  <si>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</si>
  <si>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</si>
  <si>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</si>
  <si>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</si>
  <si>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</si>
  <si>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</si>
  <si>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</si>
  <si>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</si>
  <si>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</si>
  <si>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</si>
  <si>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</si>
  <si>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</si>
  <si>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</si>
  <si>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</si>
  <si>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</si>
  <si>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</si>
  <si>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</si>
  <si>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</si>
  <si>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</si>
  <si>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</si>
  <si>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</si>
  <si>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</si>
  <si>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</si>
  <si>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</si>
  <si>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</si>
  <si>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</si>
  <si>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</si>
  <si>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</si>
  <si>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</si>
  <si>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Mục tiêu/Tài sản đảm bảo
Collateral</t>
  </si>
  <si>
    <t>3. Tiền vay gốc
Principle borrowings</t>
  </si>
  <si>
    <t>Phạm Thanh Dũng</t>
  </si>
  <si>
    <t>01.1</t>
  </si>
  <si>
    <t>01.2</t>
  </si>
  <si>
    <t>Tiền gửi ký quỹ cho hoạt động đầu tư chứng khoán phái sinh
Margin account for trading derivative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</si>
</sst>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_);_(* \(#,##0.00\);_(* &quot;-&quot;??_);_(@_)"/>
    <numFmt numFmtId="164" formatCode="[$-409]d\-mmm\-yyyy;@"/>
    <numFmt numFmtId="165" formatCode="dd/mmm/yyyy"/>
    <numFmt numFmtId="166" formatCode="_-* #,##0.00\ _₫_-;\-* #,##0.00\ _₫_-;_-* &quot;-&quot;??\ _₫_-;_-@_-"/>
    <numFmt numFmtId="167" formatCode="#,##0.00%"/>
    <numFmt numFmtId="168" formatCode="#,##0;\(#,##0\);"/>
    <numFmt numFmtId="169" formatCode="_-* #,##0.00&quot; &quot;_₫_-;\-* #,##0.00&quot; &quot;_₫_-;_-* &quot;-&quot;??&quot; &quot;_₫_-;_-@_-"/>
    <numFmt numFmtId="170" formatCode="_(* #,##0_);_(* \(#,##0\);_(* &quot;-&quot;??_);_(@_)"/>
    <numFmt numFmtId="171" formatCode="[$-1010000]d/m/yyyy;@"/>
    <numFmt numFmtId="172" formatCode="&quot;&quot;#,##0"/>
    <numFmt numFmtId="173" formatCode="#,##0;\(#,##0\);\ "/>
    <numFmt numFmtId="174" formatCode="#,##0.00;\(#,##0.00\);\ "/>
    <numFmt numFmtId="175" formatCode="#0.00%;\(#0.00\)%;\ "/>
  </numFmts>
  <fonts count="47" x14ac:knownFonts="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9.75"/>
      <color rgb="FF000000"/>
      <name val="Times New Roman"/>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8"/>
      <color rgb="FF000000"/>
      <name val="Tahoma"/>
      <family val="2"/>
    </font>
    <font>
      <sz val="8"/>
      <color rgb="FF000000"/>
      <name val="Times New Roman"/>
      <family val="2"/>
    </font>
    <font>
      <i/>
      <sz val="9.75"/>
      <color rgb="FF000000"/>
      <name val="Tahoma"/>
      <family val="2"/>
    </font>
    <font>
      <b/>
      <sz val="9.75"/>
      <color rgb="FF000000"/>
      <name val="Times New Roman"/>
      <family val="2"/>
    </font>
    <font>
      <i/>
      <sz val="9.75"/>
      <color rgb="FF000000"/>
      <name val="Times New Roman"/>
      <family val="2"/>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b/>
      <sz val="8"/>
      <color theme="1"/>
      <name val="Tahoma"/>
      <family val="2"/>
    </font>
    <font>
      <sz val="8"/>
      <name val="Tahoma"/>
      <family val="2"/>
    </font>
    <font>
      <b/>
      <sz val="8"/>
      <name val="Tahoma"/>
      <family val="2"/>
    </font>
    <font>
      <sz val="9.75"/>
      <color rgb="FF000000"/>
      <name val="Tahoma"/>
      <family val="2"/>
    </font>
    <font>
      <b/>
      <sz val="9"/>
      <color rgb="FF000000"/>
      <name val="Tahoma"/>
      <family val="2"/>
    </font>
    <font>
      <sz val="7.9"/>
      <color rgb="FF000000"/>
      <name val="Tahoma"/>
      <family val="2"/>
    </font>
    <font>
      <i/>
      <sz val="6.5"/>
      <color rgb="FF000000"/>
      <name val="Times New Roman"/>
      <family val="2"/>
    </font>
    <font>
      <b/>
      <i/>
      <sz val="8"/>
      <color rgb="FF000000"/>
      <name val="Tahoma"/>
      <family val="2"/>
    </font>
    <font>
      <b/>
      <sz val="11"/>
      <color theme="1"/>
      <name val="Calibri"/>
      <family val="2"/>
      <scheme val="minor"/>
    </font>
  </fonts>
  <fills count="9">
    <fill>
      <patternFill patternType="none"/>
    </fill>
    <fill>
      <patternFill patternType="gray125"/>
    </fill>
    <fill>
      <patternFill patternType="solid">
        <fgColor theme="8"/>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FFC080"/>
        <bgColor indexed="64"/>
      </patternFill>
    </fill>
    <fill>
      <patternFill patternType="solid">
        <fgColor theme="0" tint="-0.14999847407452621"/>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rgb="FF000000"/>
      </left>
      <right/>
      <top style="thin">
        <color rgb="FFE3E3E3"/>
      </top>
      <bottom style="thin">
        <color rgb="FF000000"/>
      </bottom>
      <diagonal/>
    </border>
    <border>
      <left style="thin">
        <color rgb="FFE3E3E3"/>
      </left>
      <right/>
      <top style="thin">
        <color rgb="FFE3E3E3"/>
      </top>
      <bottom style="thin">
        <color rgb="FF000000"/>
      </bottom>
      <diagonal/>
    </border>
    <border>
      <left style="thin">
        <color rgb="FF000000"/>
      </left>
      <right/>
      <top style="thin">
        <color rgb="FFE3E3E3"/>
      </top>
      <bottom style="thin">
        <color rgb="FFE3E3E3"/>
      </bottom>
      <diagonal/>
    </border>
    <border>
      <left style="thin">
        <color rgb="FFE3E3E3"/>
      </left>
      <right/>
      <top style="thin">
        <color rgb="FFE3E3E3"/>
      </top>
      <bottom style="thin">
        <color rgb="FFE3E3E3"/>
      </bottom>
      <diagonal/>
    </border>
    <border>
      <left style="thin">
        <color rgb="FF000000"/>
      </left>
      <right/>
      <top style="thin">
        <color rgb="FFA0A0A0"/>
      </top>
      <bottom style="thin">
        <color rgb="FFE3E3E3"/>
      </bottom>
      <diagonal/>
    </border>
    <border>
      <left style="thin">
        <color rgb="FFE3E3E3"/>
      </left>
      <right/>
      <top style="thin">
        <color rgb="FFA0A0A0"/>
      </top>
      <bottom style="thin">
        <color rgb="FFE3E3E3"/>
      </bottom>
      <diagonal/>
    </border>
    <border>
      <left style="thin">
        <color rgb="FF000000"/>
      </left>
      <right/>
      <top style="thin">
        <color rgb="FF000000"/>
      </top>
      <bottom style="thin">
        <color rgb="FFA0A0A0"/>
      </bottom>
      <diagonal/>
    </border>
    <border>
      <left style="thin">
        <color rgb="FFA0A0A0"/>
      </left>
      <right/>
      <top style="thin">
        <color rgb="FF000000"/>
      </top>
      <bottom style="thin">
        <color rgb="FFA0A0A0"/>
      </bottom>
      <diagonal/>
    </border>
    <border>
      <left style="thin">
        <color rgb="FFA0A0A0"/>
      </left>
      <right/>
      <top style="thin">
        <color indexed="64"/>
      </top>
      <bottom style="thin">
        <color indexed="64"/>
      </bottom>
      <diagonal/>
    </border>
    <border>
      <left style="thin">
        <color rgb="FFA0A0A0"/>
      </left>
      <right style="thin">
        <color indexed="64"/>
      </right>
      <top style="thin">
        <color indexed="64"/>
      </top>
      <bottom style="thin">
        <color indexed="64"/>
      </bottom>
      <diagonal/>
    </border>
    <border>
      <left/>
      <right style="thin">
        <color rgb="FFE3E3E3"/>
      </right>
      <top/>
      <bottom style="thin">
        <color indexed="8"/>
      </bottom>
      <diagonal/>
    </border>
  </borders>
  <cellStyleXfs count="24">
    <xf numFmtId="0" fontId="0" fillId="0" borderId="0"/>
    <xf numFmtId="0" fontId="1" fillId="0" borderId="0"/>
    <xf numFmtId="0" fontId="2" fillId="0" borderId="0"/>
    <xf numFmtId="0" fontId="8" fillId="0" borderId="0">
      <alignment vertical="center"/>
    </xf>
    <xf numFmtId="0" fontId="12" fillId="0" borderId="0"/>
    <xf numFmtId="0" fontId="16" fillId="0" borderId="0" applyNumberFormat="0" applyFill="0" applyBorder="0" applyAlignment="0" applyProtection="0"/>
    <xf numFmtId="0" fontId="3" fillId="2" borderId="0" applyNumberFormat="0" applyBorder="0" applyAlignment="0" applyProtection="0"/>
    <xf numFmtId="43" fontId="19" fillId="0" borderId="0" quotePrefix="1" applyFont="0" applyFill="0" applyBorder="0" applyAlignment="0">
      <protection locked="0"/>
    </xf>
    <xf numFmtId="166" fontId="2" fillId="0" borderId="0" applyFont="0" applyFill="0" applyBorder="0" applyAlignment="0" applyProtection="0"/>
    <xf numFmtId="43" fontId="20" fillId="0" borderId="0" applyFont="0" applyFill="0" applyBorder="0" applyAlignment="0" applyProtection="0"/>
    <xf numFmtId="166" fontId="20" fillId="0" borderId="0" applyFont="0" applyFill="0" applyBorder="0" applyAlignment="0" applyProtection="0"/>
    <xf numFmtId="0" fontId="19" fillId="0" borderId="0"/>
    <xf numFmtId="0" fontId="2" fillId="0" borderId="0"/>
    <xf numFmtId="0" fontId="8" fillId="0" borderId="0">
      <alignment vertical="center"/>
    </xf>
    <xf numFmtId="0" fontId="21" fillId="0" borderId="0"/>
    <xf numFmtId="0" fontId="21" fillId="0" borderId="0"/>
    <xf numFmtId="0" fontId="2" fillId="0" borderId="0"/>
    <xf numFmtId="0" fontId="2" fillId="0" borderId="0"/>
    <xf numFmtId="0" fontId="1" fillId="0" borderId="0"/>
    <xf numFmtId="0" fontId="19" fillId="0" borderId="0"/>
    <xf numFmtId="9" fontId="2" fillId="0" borderId="0" applyFont="0" applyFill="0" applyBorder="0" applyAlignment="0" applyProtection="0"/>
    <xf numFmtId="169" fontId="20" fillId="0" borderId="0" applyFont="0" applyFill="0" applyBorder="0" applyAlignment="0" applyProtection="0"/>
    <xf numFmtId="0" fontId="12" fillId="0" borderId="0"/>
    <xf numFmtId="43" fontId="2" fillId="0" borderId="0" applyFont="0" applyFill="0" applyBorder="0" applyAlignment="0" applyProtection="0"/>
  </cellStyleXfs>
  <cellXfs count="453">
    <xf numFmtId="0" fontId="0" fillId="0" borderId="0" xfId="0"/>
    <xf numFmtId="0" fontId="5" fillId="3" borderId="0" xfId="2" applyFont="1" applyFill="1"/>
    <xf numFmtId="0" fontId="6" fillId="3" borderId="0" xfId="2" applyFont="1" applyFill="1" applyAlignment="1">
      <alignment horizontal="left"/>
    </xf>
    <xf numFmtId="0" fontId="5" fillId="3" borderId="0" xfId="2" applyFont="1" applyFill="1" applyAlignment="1">
      <alignment horizontal="left"/>
    </xf>
    <xf numFmtId="0" fontId="6" fillId="3" borderId="0" xfId="2" applyFont="1" applyFill="1"/>
    <xf numFmtId="0" fontId="4" fillId="4" borderId="2" xfId="2" applyFont="1" applyFill="1" applyBorder="1" applyAlignment="1">
      <alignment vertical="center"/>
    </xf>
    <xf numFmtId="0" fontId="4" fillId="4" borderId="2" xfId="2" applyFont="1" applyFill="1" applyBorder="1" applyAlignment="1">
      <alignment vertical="center" wrapText="1"/>
    </xf>
    <xf numFmtId="0" fontId="4" fillId="4" borderId="3" xfId="2" applyFont="1" applyFill="1" applyBorder="1" applyAlignment="1">
      <alignment vertical="center" wrapText="1"/>
    </xf>
    <xf numFmtId="0" fontId="6" fillId="4" borderId="0" xfId="2" applyFont="1" applyFill="1" applyBorder="1" applyAlignment="1">
      <alignment vertical="center"/>
    </xf>
    <xf numFmtId="0" fontId="6" fillId="4" borderId="0" xfId="2" applyFont="1" applyFill="1" applyBorder="1" applyAlignment="1">
      <alignment vertical="center" wrapText="1"/>
    </xf>
    <xf numFmtId="0" fontId="6" fillId="4" borderId="8" xfId="2" applyFont="1" applyFill="1" applyBorder="1" applyAlignment="1">
      <alignment vertical="center" wrapText="1"/>
    </xf>
    <xf numFmtId="0" fontId="7" fillId="3" borderId="0" xfId="2" applyFont="1" applyFill="1" applyBorder="1"/>
    <xf numFmtId="0" fontId="4" fillId="4" borderId="0" xfId="2" applyFont="1" applyFill="1" applyBorder="1" applyAlignment="1">
      <alignment vertical="center"/>
    </xf>
    <xf numFmtId="0" fontId="4" fillId="4" borderId="0" xfId="2" applyFont="1" applyFill="1" applyBorder="1" applyAlignment="1">
      <alignment vertical="center" wrapText="1"/>
    </xf>
    <xf numFmtId="0" fontId="4" fillId="4" borderId="8" xfId="2" applyFont="1" applyFill="1" applyBorder="1" applyAlignment="1">
      <alignment vertical="center" wrapText="1"/>
    </xf>
    <xf numFmtId="14" fontId="4" fillId="4" borderId="0" xfId="2" applyNumberFormat="1" applyFont="1" applyFill="1" applyBorder="1" applyAlignment="1">
      <alignment horizontal="left" vertical="center"/>
    </xf>
    <xf numFmtId="165" fontId="6" fillId="4" borderId="6" xfId="2" applyNumberFormat="1" applyFont="1" applyFill="1" applyBorder="1" applyAlignment="1"/>
    <xf numFmtId="0" fontId="10" fillId="3" borderId="0" xfId="2" applyFont="1" applyFill="1"/>
    <xf numFmtId="0" fontId="15" fillId="3" borderId="0" xfId="4" applyFont="1" applyFill="1" applyBorder="1" applyAlignment="1">
      <alignment horizontal="center" vertical="center"/>
    </xf>
    <xf numFmtId="0" fontId="14" fillId="3" borderId="0" xfId="4" applyFont="1" applyFill="1" applyBorder="1" applyAlignment="1">
      <alignment horizontal="center" vertical="center"/>
    </xf>
    <xf numFmtId="0" fontId="4" fillId="3" borderId="9" xfId="2" applyFont="1" applyFill="1" applyBorder="1" applyAlignment="1">
      <alignment horizontal="center" vertical="center"/>
    </xf>
    <xf numFmtId="0" fontId="4" fillId="3" borderId="9" xfId="2" applyFont="1" applyFill="1" applyBorder="1" applyAlignment="1">
      <alignment horizontal="left" vertical="center"/>
    </xf>
    <xf numFmtId="0" fontId="6" fillId="3" borderId="9" xfId="2" applyFont="1" applyFill="1" applyBorder="1" applyAlignment="1">
      <alignment horizontal="center" vertical="center"/>
    </xf>
    <xf numFmtId="0" fontId="17" fillId="3" borderId="9" xfId="5" applyFont="1" applyFill="1" applyBorder="1" applyAlignment="1">
      <alignment horizontal="center" vertical="center"/>
    </xf>
    <xf numFmtId="0" fontId="16" fillId="3" borderId="9" xfId="5" applyFill="1" applyBorder="1" applyAlignment="1">
      <alignment horizontal="center" vertical="center"/>
    </xf>
    <xf numFmtId="49" fontId="16" fillId="3" borderId="9" xfId="5" applyNumberFormat="1" applyFill="1" applyBorder="1" applyAlignment="1">
      <alignment horizontal="center" vertical="center"/>
    </xf>
    <xf numFmtId="49" fontId="16" fillId="3" borderId="9" xfId="5" quotePrefix="1" applyNumberFormat="1" applyFill="1" applyBorder="1" applyAlignment="1">
      <alignment horizontal="center" vertical="center"/>
    </xf>
    <xf numFmtId="0" fontId="14" fillId="3" borderId="9" xfId="4" applyFont="1" applyFill="1" applyBorder="1" applyAlignment="1">
      <alignment horizontal="center" vertical="center"/>
    </xf>
    <xf numFmtId="0" fontId="18" fillId="3" borderId="0" xfId="2" applyFont="1" applyFill="1" applyBorder="1"/>
    <xf numFmtId="0" fontId="10" fillId="3" borderId="0" xfId="2" applyFont="1" applyFill="1" applyBorder="1" applyAlignment="1">
      <alignment vertical="center"/>
    </xf>
    <xf numFmtId="0" fontId="0" fillId="0" borderId="0" xfId="0" applyFont="1"/>
    <xf numFmtId="0" fontId="22"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left" vertical="center"/>
    </xf>
    <xf numFmtId="0" fontId="27" fillId="6" borderId="0" xfId="0" applyNumberFormat="1" applyFont="1" applyFill="1" applyBorder="1" applyAlignment="1" applyProtection="1">
      <alignment horizontal="left" vertical="center"/>
    </xf>
    <xf numFmtId="0" fontId="28" fillId="6" borderId="0" xfId="0" applyNumberFormat="1" applyFont="1" applyFill="1" applyBorder="1" applyAlignment="1" applyProtection="1">
      <alignment horizontal="left" vertical="top"/>
    </xf>
    <xf numFmtId="0" fontId="27" fillId="6" borderId="10" xfId="0" applyNumberFormat="1" applyFont="1" applyFill="1" applyBorder="1" applyAlignment="1" applyProtection="1">
      <alignment horizontal="right" vertical="top"/>
    </xf>
    <xf numFmtId="0" fontId="22" fillId="6" borderId="10" xfId="0" applyNumberFormat="1" applyFont="1" applyFill="1" applyBorder="1" applyAlignment="1" applyProtection="1">
      <alignment horizontal="left" vertical="top"/>
    </xf>
    <xf numFmtId="0" fontId="23" fillId="7" borderId="11"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0" fontId="23" fillId="6" borderId="14" xfId="0" applyNumberFormat="1" applyFont="1" applyFill="1" applyBorder="1" applyAlignment="1" applyProtection="1">
      <alignment horizontal="center" vertical="top"/>
    </xf>
    <xf numFmtId="0" fontId="23" fillId="6" borderId="15" xfId="0" applyNumberFormat="1" applyFont="1" applyFill="1" applyBorder="1" applyAlignment="1" applyProtection="1">
      <alignment horizontal="left" vertical="top" wrapText="1"/>
    </xf>
    <xf numFmtId="0" fontId="23" fillId="6" borderId="15" xfId="0" applyNumberFormat="1" applyFont="1" applyFill="1" applyBorder="1" applyAlignment="1" applyProtection="1">
      <alignment horizontal="center" vertical="top"/>
    </xf>
    <xf numFmtId="3" fontId="23" fillId="6" borderId="15" xfId="0" applyNumberFormat="1" applyFont="1" applyFill="1" applyBorder="1" applyAlignment="1" applyProtection="1">
      <alignment horizontal="right" vertical="top"/>
    </xf>
    <xf numFmtId="167" fontId="23" fillId="6" borderId="16" xfId="0" applyNumberFormat="1" applyFont="1" applyFill="1" applyBorder="1" applyAlignment="1" applyProtection="1">
      <alignment horizontal="right" vertical="top"/>
    </xf>
    <xf numFmtId="0" fontId="27" fillId="6" borderId="14" xfId="0" applyNumberFormat="1" applyFont="1" applyFill="1" applyBorder="1" applyAlignment="1" applyProtection="1">
      <alignment horizontal="center" vertical="top"/>
    </xf>
    <xf numFmtId="0" fontId="27" fillId="6" borderId="15" xfId="0" applyNumberFormat="1" applyFont="1" applyFill="1" applyBorder="1" applyAlignment="1" applyProtection="1">
      <alignment horizontal="left" vertical="top" wrapText="1"/>
    </xf>
    <xf numFmtId="0" fontId="27" fillId="6" borderId="15" xfId="0" applyNumberFormat="1" applyFont="1" applyFill="1" applyBorder="1" applyAlignment="1" applyProtection="1">
      <alignment horizontal="center" vertical="top"/>
    </xf>
    <xf numFmtId="3" fontId="27" fillId="6" borderId="15" xfId="0" applyNumberFormat="1" applyFont="1" applyFill="1" applyBorder="1" applyAlignment="1" applyProtection="1">
      <alignment horizontal="right" vertical="top"/>
    </xf>
    <xf numFmtId="167" fontId="27" fillId="6" borderId="16" xfId="0" applyNumberFormat="1" applyFont="1" applyFill="1" applyBorder="1" applyAlignment="1" applyProtection="1">
      <alignment horizontal="right" vertical="top"/>
    </xf>
    <xf numFmtId="0" fontId="26" fillId="6" borderId="14" xfId="0" applyNumberFormat="1" applyFont="1" applyFill="1" applyBorder="1" applyAlignment="1" applyProtection="1">
      <alignment horizontal="center" vertical="top"/>
    </xf>
    <xf numFmtId="0" fontId="26" fillId="6" borderId="15" xfId="0" applyNumberFormat="1" applyFont="1" applyFill="1" applyBorder="1" applyAlignment="1" applyProtection="1">
      <alignment horizontal="left" vertical="top" wrapText="1"/>
    </xf>
    <xf numFmtId="0" fontId="26" fillId="6" borderId="15" xfId="0" applyNumberFormat="1" applyFont="1" applyFill="1" applyBorder="1" applyAlignment="1" applyProtection="1">
      <alignment horizontal="center" vertical="top"/>
    </xf>
    <xf numFmtId="3" fontId="26" fillId="6" borderId="15" xfId="0" applyNumberFormat="1" applyFont="1" applyFill="1" applyBorder="1" applyAlignment="1" applyProtection="1">
      <alignment horizontal="right" vertical="top"/>
    </xf>
    <xf numFmtId="167" fontId="26" fillId="6" borderId="16" xfId="0" applyNumberFormat="1" applyFont="1" applyFill="1" applyBorder="1" applyAlignment="1" applyProtection="1">
      <alignment horizontal="right" vertical="top"/>
    </xf>
    <xf numFmtId="0" fontId="23" fillId="6" borderId="17" xfId="0" applyNumberFormat="1" applyFont="1" applyFill="1" applyBorder="1" applyAlignment="1" applyProtection="1">
      <alignment horizontal="center" vertical="top"/>
    </xf>
    <xf numFmtId="0" fontId="23" fillId="6" borderId="18" xfId="0" applyNumberFormat="1" applyFont="1" applyFill="1" applyBorder="1" applyAlignment="1" applyProtection="1">
      <alignment horizontal="left" vertical="top" wrapText="1"/>
    </xf>
    <xf numFmtId="0" fontId="23" fillId="6" borderId="18" xfId="0" applyNumberFormat="1" applyFont="1" applyFill="1" applyBorder="1" applyAlignment="1" applyProtection="1">
      <alignment horizontal="center" vertical="top"/>
    </xf>
    <xf numFmtId="4" fontId="23" fillId="6" borderId="18" xfId="0" applyNumberFormat="1" applyFont="1" applyFill="1" applyBorder="1" applyAlignment="1" applyProtection="1">
      <alignment horizontal="right" vertical="top"/>
    </xf>
    <xf numFmtId="167" fontId="23" fillId="6" borderId="19" xfId="0" applyNumberFormat="1" applyFont="1" applyFill="1" applyBorder="1" applyAlignment="1" applyProtection="1">
      <alignment horizontal="right" vertical="top"/>
    </xf>
    <xf numFmtId="0" fontId="23" fillId="6" borderId="0" xfId="0" applyNumberFormat="1" applyFont="1" applyFill="1" applyBorder="1" applyAlignment="1" applyProtection="1">
      <alignment horizontal="center" vertical="top"/>
    </xf>
    <xf numFmtId="0" fontId="23" fillId="6" borderId="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left" vertical="top"/>
    </xf>
    <xf numFmtId="168" fontId="23" fillId="6" borderId="14" xfId="0" applyNumberFormat="1" applyFont="1" applyFill="1" applyBorder="1" applyAlignment="1" applyProtection="1">
      <alignment horizontal="center" vertical="top"/>
    </xf>
    <xf numFmtId="168" fontId="23" fillId="6" borderId="15" xfId="0" applyNumberFormat="1" applyFont="1" applyFill="1" applyBorder="1" applyAlignment="1" applyProtection="1">
      <alignment horizontal="left" vertical="top" wrapText="1"/>
    </xf>
    <xf numFmtId="168" fontId="23" fillId="6" borderId="15" xfId="0" applyNumberFormat="1" applyFont="1" applyFill="1" applyBorder="1" applyAlignment="1" applyProtection="1">
      <alignment horizontal="center" vertical="top"/>
    </xf>
    <xf numFmtId="168" fontId="23" fillId="6" borderId="15" xfId="0" applyNumberFormat="1" applyFont="1" applyFill="1" applyBorder="1" applyAlignment="1" applyProtection="1">
      <alignment horizontal="right" vertical="top"/>
    </xf>
    <xf numFmtId="168" fontId="23" fillId="6" borderId="16" xfId="0" applyNumberFormat="1" applyFont="1" applyFill="1" applyBorder="1" applyAlignment="1" applyProtection="1">
      <alignment horizontal="right" vertical="top"/>
    </xf>
    <xf numFmtId="168" fontId="27" fillId="6" borderId="14" xfId="0" applyNumberFormat="1" applyFont="1" applyFill="1" applyBorder="1" applyAlignment="1" applyProtection="1">
      <alignment horizontal="center" vertical="top"/>
    </xf>
    <xf numFmtId="168" fontId="27" fillId="6" borderId="15" xfId="0" applyNumberFormat="1" applyFont="1" applyFill="1" applyBorder="1" applyAlignment="1" applyProtection="1">
      <alignment horizontal="left" vertical="top" wrapText="1"/>
    </xf>
    <xf numFmtId="168" fontId="27" fillId="6" borderId="15" xfId="0" applyNumberFormat="1" applyFont="1" applyFill="1" applyBorder="1" applyAlignment="1" applyProtection="1">
      <alignment horizontal="center" vertical="top"/>
    </xf>
    <xf numFmtId="168" fontId="27" fillId="6" borderId="15" xfId="0" applyNumberFormat="1" applyFont="1" applyFill="1" applyBorder="1" applyAlignment="1" applyProtection="1">
      <alignment horizontal="right" vertical="top"/>
    </xf>
    <xf numFmtId="168" fontId="27" fillId="6" borderId="16" xfId="0" applyNumberFormat="1" applyFont="1" applyFill="1" applyBorder="1" applyAlignment="1" applyProtection="1">
      <alignment horizontal="right" vertical="top"/>
    </xf>
    <xf numFmtId="168" fontId="26" fillId="6" borderId="14" xfId="0" applyNumberFormat="1" applyFont="1" applyFill="1" applyBorder="1" applyAlignment="1" applyProtection="1">
      <alignment horizontal="center" vertical="top"/>
    </xf>
    <xf numFmtId="168" fontId="26" fillId="6" borderId="15" xfId="0" applyNumberFormat="1" applyFont="1" applyFill="1" applyBorder="1" applyAlignment="1" applyProtection="1">
      <alignment horizontal="left" vertical="top" wrapText="1"/>
    </xf>
    <xf numFmtId="168" fontId="26" fillId="6" borderId="15" xfId="0" applyNumberFormat="1" applyFont="1" applyFill="1" applyBorder="1" applyAlignment="1" applyProtection="1">
      <alignment horizontal="center" vertical="top"/>
    </xf>
    <xf numFmtId="168" fontId="26" fillId="6" borderId="15" xfId="0" applyNumberFormat="1" applyFont="1" applyFill="1" applyBorder="1" applyAlignment="1" applyProtection="1">
      <alignment horizontal="right" vertical="top"/>
    </xf>
    <xf numFmtId="168" fontId="26" fillId="6" borderId="16" xfId="0" applyNumberFormat="1" applyFont="1" applyFill="1" applyBorder="1" applyAlignment="1" applyProtection="1">
      <alignment horizontal="right" vertical="top"/>
    </xf>
    <xf numFmtId="168" fontId="27" fillId="6" borderId="17" xfId="0" applyNumberFormat="1" applyFont="1" applyFill="1" applyBorder="1" applyAlignment="1" applyProtection="1">
      <alignment horizontal="center" vertical="top"/>
    </xf>
    <xf numFmtId="168" fontId="27" fillId="6" borderId="18" xfId="0" applyNumberFormat="1" applyFont="1" applyFill="1" applyBorder="1" applyAlignment="1" applyProtection="1">
      <alignment horizontal="left" vertical="top" wrapText="1"/>
    </xf>
    <xf numFmtId="168" fontId="27" fillId="6" borderId="18" xfId="0" applyNumberFormat="1" applyFont="1" applyFill="1" applyBorder="1" applyAlignment="1" applyProtection="1">
      <alignment horizontal="center" vertical="top"/>
    </xf>
    <xf numFmtId="168" fontId="27" fillId="6" borderId="18" xfId="0" applyNumberFormat="1" applyFont="1" applyFill="1" applyBorder="1" applyAlignment="1" applyProtection="1">
      <alignment horizontal="right" vertical="top"/>
    </xf>
    <xf numFmtId="168" fontId="27" fillId="6" borderId="19" xfId="0" applyNumberFormat="1" applyFont="1" applyFill="1" applyBorder="1" applyAlignment="1" applyProtection="1">
      <alignment horizontal="right" vertical="top"/>
    </xf>
    <xf numFmtId="4" fontId="23" fillId="6" borderId="15" xfId="0" applyNumberFormat="1" applyFont="1" applyFill="1" applyBorder="1" applyAlignment="1" applyProtection="1">
      <alignment horizontal="right" vertical="top"/>
    </xf>
    <xf numFmtId="4" fontId="27" fillId="6" borderId="15" xfId="0" applyNumberFormat="1" applyFont="1" applyFill="1" applyBorder="1" applyAlignment="1" applyProtection="1">
      <alignment horizontal="right" vertical="top"/>
    </xf>
    <xf numFmtId="168" fontId="23" fillId="6" borderId="18" xfId="0" applyNumberFormat="1" applyFont="1" applyFill="1" applyBorder="1" applyAlignment="1" applyProtection="1">
      <alignment horizontal="right" vertical="top"/>
    </xf>
    <xf numFmtId="0" fontId="26"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left" vertical="top" wrapText="1"/>
    </xf>
    <xf numFmtId="0" fontId="23" fillId="7" borderId="20" xfId="0" applyNumberFormat="1" applyFont="1" applyFill="1" applyBorder="1" applyAlignment="1" applyProtection="1">
      <alignment horizontal="center" vertical="center" wrapText="1"/>
    </xf>
    <xf numFmtId="0" fontId="23" fillId="7" borderId="21" xfId="0" applyNumberFormat="1" applyFont="1" applyFill="1" applyBorder="1" applyAlignment="1" applyProtection="1">
      <alignment horizontal="center" vertical="center" wrapText="1"/>
    </xf>
    <xf numFmtId="0" fontId="23" fillId="7" borderId="22" xfId="0" applyNumberFormat="1" applyFont="1" applyFill="1" applyBorder="1" applyAlignment="1" applyProtection="1">
      <alignment horizontal="center" vertical="center" wrapText="1"/>
    </xf>
    <xf numFmtId="0" fontId="30" fillId="6" borderId="0" xfId="0" applyNumberFormat="1" applyFont="1" applyFill="1" applyBorder="1" applyAlignment="1" applyProtection="1">
      <alignment horizontal="center" vertical="top"/>
    </xf>
    <xf numFmtId="0" fontId="32" fillId="4" borderId="0" xfId="16" applyFont="1" applyFill="1"/>
    <xf numFmtId="0" fontId="33" fillId="4" borderId="0" xfId="16" applyFont="1" applyFill="1" applyAlignment="1">
      <alignment wrapText="1"/>
    </xf>
    <xf numFmtId="0" fontId="36" fillId="4" borderId="0" xfId="16" applyFont="1" applyFill="1" applyAlignment="1">
      <alignment horizontal="center"/>
    </xf>
    <xf numFmtId="0" fontId="35" fillId="4" borderId="0" xfId="16" applyFont="1" applyFill="1" applyAlignment="1">
      <alignment horizontal="center"/>
    </xf>
    <xf numFmtId="170" fontId="35" fillId="4" borderId="0" xfId="21" applyNumberFormat="1" applyFont="1" applyFill="1" applyAlignment="1">
      <alignment horizontal="center"/>
    </xf>
    <xf numFmtId="0" fontId="35" fillId="4" borderId="0" xfId="16" applyFont="1" applyFill="1" applyAlignment="1">
      <alignment horizontal="center" vertical="center" wrapText="1"/>
    </xf>
    <xf numFmtId="0" fontId="35" fillId="4" borderId="0" xfId="16" applyFont="1" applyFill="1" applyAlignment="1">
      <alignment horizontal="left" vertical="center"/>
    </xf>
    <xf numFmtId="0" fontId="37" fillId="4" borderId="0" xfId="16" applyFont="1" applyFill="1" applyAlignment="1">
      <alignment horizontal="left" vertical="center"/>
    </xf>
    <xf numFmtId="170" fontId="37" fillId="4" borderId="0" xfId="21" applyNumberFormat="1" applyFont="1" applyFill="1" applyAlignment="1">
      <alignment horizontal="center"/>
    </xf>
    <xf numFmtId="0" fontId="37" fillId="4" borderId="0" xfId="16" applyFont="1" applyFill="1" applyAlignment="1">
      <alignment horizontal="center"/>
    </xf>
    <xf numFmtId="0" fontId="35" fillId="4" borderId="0" xfId="16" applyFont="1" applyFill="1" applyAlignment="1">
      <alignment horizontal="center" vertical="center"/>
    </xf>
    <xf numFmtId="0" fontId="35" fillId="4" borderId="0" xfId="16" applyFont="1" applyFill="1" applyAlignment="1">
      <alignment horizontal="left" wrapText="1"/>
    </xf>
    <xf numFmtId="0" fontId="35" fillId="4" borderId="0" xfId="16" applyFont="1" applyFill="1" applyAlignment="1">
      <alignment vertical="center"/>
    </xf>
    <xf numFmtId="48" fontId="37" fillId="4" borderId="0" xfId="16" applyNumberFormat="1" applyFont="1" applyFill="1" applyAlignment="1" applyProtection="1">
      <alignment horizontal="left" vertical="center" wrapText="1"/>
      <protection locked="0"/>
    </xf>
    <xf numFmtId="0" fontId="37" fillId="4" borderId="0" xfId="16" applyFont="1" applyFill="1" applyAlignment="1">
      <alignment horizontal="left" wrapText="1"/>
    </xf>
    <xf numFmtId="0" fontId="27" fillId="6" borderId="0" xfId="18" applyNumberFormat="1" applyFont="1" applyFill="1" applyBorder="1" applyAlignment="1" applyProtection="1">
      <alignment vertical="top"/>
    </xf>
    <xf numFmtId="0" fontId="37" fillId="4" borderId="0" xfId="16" applyFont="1" applyFill="1" applyAlignment="1">
      <alignment vertical="center"/>
    </xf>
    <xf numFmtId="3" fontId="37" fillId="4" borderId="0" xfId="16" applyNumberFormat="1" applyFont="1" applyFill="1" applyAlignment="1">
      <alignment horizontal="left" vertical="center" wrapText="1"/>
    </xf>
    <xf numFmtId="48" fontId="35" fillId="4" borderId="0" xfId="16" applyNumberFormat="1" applyFont="1" applyFill="1" applyAlignment="1" applyProtection="1">
      <alignment horizontal="left" vertical="center" wrapText="1"/>
      <protection locked="0"/>
    </xf>
    <xf numFmtId="48" fontId="37" fillId="4" borderId="0" xfId="16" applyNumberFormat="1" applyFont="1" applyFill="1" applyAlignment="1" applyProtection="1">
      <alignment vertical="center" wrapText="1"/>
      <protection locked="0"/>
    </xf>
    <xf numFmtId="0" fontId="38" fillId="4" borderId="0" xfId="0" applyFont="1" applyFill="1" applyAlignment="1">
      <alignment vertical="center"/>
    </xf>
    <xf numFmtId="166" fontId="37" fillId="4" borderId="0" xfId="16" applyNumberFormat="1" applyFont="1" applyFill="1" applyAlignment="1">
      <alignment horizontal="left" vertical="center" wrapText="1"/>
    </xf>
    <xf numFmtId="0" fontId="37" fillId="4" borderId="0" xfId="16" applyFont="1" applyFill="1" applyAlignment="1">
      <alignment horizontal="left" vertical="center" wrapText="1"/>
    </xf>
    <xf numFmtId="0" fontId="32" fillId="4" borderId="0" xfId="16" applyFont="1" applyFill="1" applyAlignment="1">
      <alignment horizontal="left"/>
    </xf>
    <xf numFmtId="3" fontId="37" fillId="4" borderId="0" xfId="16" applyNumberFormat="1" applyFont="1" applyFill="1" applyAlignment="1">
      <alignment wrapText="1"/>
    </xf>
    <xf numFmtId="3" fontId="35" fillId="4" borderId="0" xfId="16" applyNumberFormat="1" applyFont="1" applyFill="1" applyAlignment="1">
      <alignment wrapText="1"/>
    </xf>
    <xf numFmtId="0" fontId="39" fillId="4" borderId="0" xfId="16" applyFont="1" applyFill="1"/>
    <xf numFmtId="0" fontId="38" fillId="8" borderId="9" xfId="16" applyFont="1" applyFill="1" applyBorder="1" applyAlignment="1">
      <alignment horizontal="center" vertical="center" wrapText="1"/>
    </xf>
    <xf numFmtId="0" fontId="32" fillId="0" borderId="9" xfId="16" applyFont="1" applyFill="1" applyBorder="1" applyAlignment="1">
      <alignment horizontal="center" vertical="center"/>
    </xf>
    <xf numFmtId="49" fontId="32" fillId="0" borderId="9" xfId="16" applyNumberFormat="1" applyFont="1" applyFill="1" applyBorder="1" applyAlignment="1" applyProtection="1">
      <alignment horizontal="left" vertical="center" wrapText="1"/>
    </xf>
    <xf numFmtId="49" fontId="39" fillId="0" borderId="9" xfId="16" applyNumberFormat="1" applyFont="1" applyFill="1" applyBorder="1" applyAlignment="1" applyProtection="1">
      <alignment horizontal="center" vertical="center" wrapText="1"/>
    </xf>
    <xf numFmtId="49" fontId="39" fillId="0" borderId="9" xfId="16" applyNumberFormat="1" applyFont="1" applyFill="1" applyBorder="1" applyAlignment="1" applyProtection="1">
      <alignment horizontal="left" vertical="center" wrapText="1"/>
    </xf>
    <xf numFmtId="49" fontId="32" fillId="0" borderId="9" xfId="16" applyNumberFormat="1" applyFont="1" applyFill="1" applyBorder="1" applyAlignment="1" applyProtection="1">
      <alignment horizontal="center" vertical="center" wrapText="1"/>
    </xf>
    <xf numFmtId="0" fontId="36" fillId="4" borderId="0" xfId="16" applyFont="1" applyFill="1"/>
    <xf numFmtId="171" fontId="40" fillId="4" borderId="0" xfId="22" applyNumberFormat="1" applyFont="1" applyFill="1" applyAlignment="1">
      <alignment vertical="center" wrapText="1"/>
    </xf>
    <xf numFmtId="0" fontId="39" fillId="4" borderId="0" xfId="22" applyFont="1" applyFill="1" applyBorder="1" applyAlignment="1">
      <alignment vertical="center"/>
    </xf>
    <xf numFmtId="170" fontId="40" fillId="4" borderId="0" xfId="21" applyNumberFormat="1" applyFont="1" applyFill="1" applyBorder="1" applyAlignment="1">
      <alignment vertical="center" wrapText="1"/>
    </xf>
    <xf numFmtId="0" fontId="40" fillId="4" borderId="0" xfId="22" applyFont="1" applyFill="1" applyBorder="1" applyAlignment="1">
      <alignment vertical="center"/>
    </xf>
    <xf numFmtId="0" fontId="40" fillId="4" borderId="0" xfId="22" applyFont="1" applyFill="1" applyBorder="1" applyAlignment="1">
      <alignment vertical="center" wrapText="1"/>
    </xf>
    <xf numFmtId="170" fontId="40" fillId="4" borderId="0" xfId="21" applyNumberFormat="1" applyFont="1" applyFill="1" applyBorder="1" applyAlignment="1">
      <alignment horizontal="right" vertical="center" wrapText="1"/>
    </xf>
    <xf numFmtId="170" fontId="40" fillId="4" borderId="0" xfId="21" applyNumberFormat="1" applyFont="1" applyFill="1" applyBorder="1" applyAlignment="1">
      <alignment horizontal="left" vertical="center"/>
    </xf>
    <xf numFmtId="2" fontId="39" fillId="4" borderId="0" xfId="22" applyNumberFormat="1" applyFont="1" applyFill="1" applyAlignment="1">
      <alignment vertical="center"/>
    </xf>
    <xf numFmtId="170" fontId="40" fillId="4" borderId="0" xfId="21" applyNumberFormat="1" applyFont="1" applyFill="1" applyBorder="1" applyAlignment="1">
      <alignment horizontal="right" vertical="center"/>
    </xf>
    <xf numFmtId="170" fontId="40" fillId="4" borderId="0" xfId="21" applyNumberFormat="1" applyFont="1" applyFill="1" applyAlignment="1">
      <alignment horizontal="right" vertical="center"/>
    </xf>
    <xf numFmtId="2" fontId="39" fillId="4" borderId="0" xfId="22" applyNumberFormat="1" applyFont="1" applyFill="1" applyAlignment="1">
      <alignment horizontal="right" vertical="center"/>
    </xf>
    <xf numFmtId="170" fontId="39" fillId="4" borderId="0" xfId="21" applyNumberFormat="1" applyFont="1" applyFill="1" applyAlignment="1">
      <alignment horizontal="right" vertical="center"/>
    </xf>
    <xf numFmtId="2" fontId="40" fillId="4" borderId="0" xfId="22" applyNumberFormat="1" applyFont="1" applyFill="1" applyAlignment="1">
      <alignment vertical="center"/>
    </xf>
    <xf numFmtId="2" fontId="39" fillId="4" borderId="5" xfId="22" applyNumberFormat="1" applyFont="1" applyFill="1" applyBorder="1" applyAlignment="1">
      <alignment vertical="center"/>
    </xf>
    <xf numFmtId="170" fontId="39" fillId="4" borderId="5" xfId="21" applyNumberFormat="1" applyFont="1" applyFill="1" applyBorder="1" applyAlignment="1">
      <alignment horizontal="right" vertical="center"/>
    </xf>
    <xf numFmtId="2" fontId="39" fillId="4" borderId="0" xfId="22" applyNumberFormat="1" applyFont="1" applyFill="1" applyBorder="1" applyAlignment="1">
      <alignment horizontal="right" vertical="center"/>
    </xf>
    <xf numFmtId="0" fontId="32" fillId="4" borderId="0" xfId="16" applyFont="1" applyFill="1" applyBorder="1"/>
    <xf numFmtId="2" fontId="39" fillId="4" borderId="0" xfId="22" applyNumberFormat="1" applyFont="1" applyFill="1" applyBorder="1" applyAlignment="1">
      <alignment vertical="center"/>
    </xf>
    <xf numFmtId="0" fontId="32" fillId="4" borderId="0" xfId="16" applyFont="1" applyFill="1" applyAlignment="1">
      <alignment vertical="center"/>
    </xf>
    <xf numFmtId="2" fontId="32" fillId="4" borderId="0" xfId="22" applyNumberFormat="1" applyFont="1" applyFill="1" applyAlignment="1">
      <alignment vertical="center"/>
    </xf>
    <xf numFmtId="0" fontId="40" fillId="0" borderId="0" xfId="16" applyFont="1" applyFill="1" applyAlignment="1">
      <alignment vertical="center"/>
    </xf>
    <xf numFmtId="0" fontId="40" fillId="4" borderId="0" xfId="16" applyFont="1" applyFill="1" applyAlignment="1">
      <alignment vertical="center"/>
    </xf>
    <xf numFmtId="0" fontId="23" fillId="7" borderId="28" xfId="0" applyNumberFormat="1" applyFont="1" applyFill="1" applyBorder="1" applyAlignment="1" applyProtection="1">
      <alignment horizontal="center" vertical="center" wrapText="1"/>
    </xf>
    <xf numFmtId="0" fontId="23" fillId="7" borderId="29" xfId="0" applyNumberFormat="1" applyFont="1" applyFill="1" applyBorder="1" applyAlignment="1" applyProtection="1">
      <alignment horizontal="center" vertical="center" wrapText="1"/>
    </xf>
    <xf numFmtId="0" fontId="23" fillId="6" borderId="14" xfId="0" applyNumberFormat="1" applyFont="1" applyFill="1" applyBorder="1" applyAlignment="1" applyProtection="1">
      <alignment horizontal="left" vertical="top" wrapText="1"/>
    </xf>
    <xf numFmtId="0" fontId="23" fillId="6" borderId="15" xfId="0" applyNumberFormat="1" applyFont="1" applyFill="1" applyBorder="1" applyAlignment="1" applyProtection="1">
      <alignment horizontal="center" vertical="center"/>
    </xf>
    <xf numFmtId="0" fontId="27" fillId="6" borderId="14" xfId="0" applyNumberFormat="1" applyFont="1" applyFill="1" applyBorder="1" applyAlignment="1" applyProtection="1">
      <alignment horizontal="left" vertical="top" wrapText="1"/>
    </xf>
    <xf numFmtId="0" fontId="27" fillId="6" borderId="15" xfId="0" applyNumberFormat="1" applyFont="1" applyFill="1" applyBorder="1" applyAlignment="1" applyProtection="1">
      <alignment horizontal="center" vertical="center"/>
    </xf>
    <xf numFmtId="0" fontId="26" fillId="6" borderId="14" xfId="0" applyNumberFormat="1" applyFont="1" applyFill="1" applyBorder="1" applyAlignment="1" applyProtection="1">
      <alignment horizontal="left" vertical="top" wrapText="1"/>
    </xf>
    <xf numFmtId="0" fontId="26" fillId="6" borderId="15" xfId="0" applyNumberFormat="1" applyFont="1" applyFill="1" applyBorder="1" applyAlignment="1" applyProtection="1">
      <alignment horizontal="center" vertical="center"/>
    </xf>
    <xf numFmtId="0" fontId="23" fillId="6" borderId="17" xfId="0" applyNumberFormat="1" applyFont="1" applyFill="1" applyBorder="1" applyAlignment="1" applyProtection="1">
      <alignment horizontal="left" vertical="top" wrapText="1"/>
    </xf>
    <xf numFmtId="0" fontId="23" fillId="6" borderId="18" xfId="0" applyNumberFormat="1" applyFont="1" applyFill="1" applyBorder="1" applyAlignment="1" applyProtection="1">
      <alignment horizontal="center" vertical="center"/>
    </xf>
    <xf numFmtId="168" fontId="23" fillId="6" borderId="19" xfId="0" applyNumberFormat="1" applyFont="1" applyFill="1" applyBorder="1" applyAlignment="1" applyProtection="1">
      <alignment horizontal="right" vertical="top"/>
    </xf>
    <xf numFmtId="0" fontId="26" fillId="6" borderId="0" xfId="0" applyNumberFormat="1" applyFont="1" applyFill="1" applyBorder="1" applyAlignment="1" applyProtection="1">
      <alignment horizontal="center" vertical="top"/>
    </xf>
    <xf numFmtId="0" fontId="29" fillId="6" borderId="0" xfId="0" applyNumberFormat="1" applyFont="1" applyFill="1" applyBorder="1" applyAlignment="1" applyProtection="1">
      <alignment horizontal="right" vertical="top"/>
    </xf>
    <xf numFmtId="0" fontId="41" fillId="6" borderId="10" xfId="0" applyNumberFormat="1" applyFont="1" applyFill="1" applyBorder="1" applyAlignment="1" applyProtection="1">
      <alignment horizontal="left" vertical="top"/>
    </xf>
    <xf numFmtId="172" fontId="23" fillId="6" borderId="14" xfId="0" applyNumberFormat="1" applyFont="1" applyFill="1" applyBorder="1" applyAlignment="1" applyProtection="1">
      <alignment horizontal="center" vertical="top"/>
    </xf>
    <xf numFmtId="172" fontId="23" fillId="6" borderId="15" xfId="0" applyNumberFormat="1" applyFont="1" applyFill="1" applyBorder="1" applyAlignment="1" applyProtection="1">
      <alignment horizontal="left" vertical="top" wrapText="1"/>
    </xf>
    <xf numFmtId="172" fontId="23" fillId="6" borderId="15" xfId="0" applyNumberFormat="1" applyFont="1" applyFill="1" applyBorder="1" applyAlignment="1" applyProtection="1">
      <alignment horizontal="center" vertical="top"/>
    </xf>
    <xf numFmtId="172" fontId="27" fillId="6" borderId="14" xfId="0" applyNumberFormat="1" applyFont="1" applyFill="1" applyBorder="1" applyAlignment="1" applyProtection="1">
      <alignment horizontal="center" vertical="top"/>
    </xf>
    <xf numFmtId="172" fontId="27" fillId="6" borderId="15" xfId="0" applyNumberFormat="1" applyFont="1" applyFill="1" applyBorder="1" applyAlignment="1" applyProtection="1">
      <alignment horizontal="left" vertical="top" wrapText="1"/>
    </xf>
    <xf numFmtId="172" fontId="27" fillId="6" borderId="15" xfId="0" applyNumberFormat="1" applyFont="1" applyFill="1" applyBorder="1" applyAlignment="1" applyProtection="1">
      <alignment horizontal="center" vertical="top"/>
    </xf>
    <xf numFmtId="172" fontId="26" fillId="6" borderId="14" xfId="0" applyNumberFormat="1" applyFont="1" applyFill="1" applyBorder="1" applyAlignment="1" applyProtection="1">
      <alignment horizontal="center" vertical="top"/>
    </xf>
    <xf numFmtId="172" fontId="26" fillId="6" borderId="15" xfId="0" applyNumberFormat="1" applyFont="1" applyFill="1" applyBorder="1" applyAlignment="1" applyProtection="1">
      <alignment horizontal="left" vertical="top" wrapText="1"/>
    </xf>
    <xf numFmtId="172" fontId="26" fillId="6" borderId="15" xfId="0" applyNumberFormat="1" applyFont="1" applyFill="1" applyBorder="1" applyAlignment="1" applyProtection="1">
      <alignment horizontal="center" vertical="top"/>
    </xf>
    <xf numFmtId="4" fontId="23" fillId="6" borderId="14" xfId="0" applyNumberFormat="1" applyFont="1" applyFill="1" applyBorder="1" applyAlignment="1" applyProtection="1">
      <alignment horizontal="center" vertical="top"/>
    </xf>
    <xf numFmtId="4" fontId="23" fillId="6" borderId="15" xfId="0" applyNumberFormat="1" applyFont="1" applyFill="1" applyBorder="1" applyAlignment="1" applyProtection="1">
      <alignment horizontal="left" vertical="top" wrapText="1"/>
    </xf>
    <xf numFmtId="4" fontId="23" fillId="6" borderId="15" xfId="0" applyNumberFormat="1" applyFont="1" applyFill="1" applyBorder="1" applyAlignment="1" applyProtection="1">
      <alignment horizontal="center" vertical="top"/>
    </xf>
    <xf numFmtId="172" fontId="27" fillId="6" borderId="17" xfId="0" applyNumberFormat="1" applyFont="1" applyFill="1" applyBorder="1" applyAlignment="1" applyProtection="1">
      <alignment horizontal="center" vertical="top"/>
    </xf>
    <xf numFmtId="172" fontId="27" fillId="6" borderId="18" xfId="0" applyNumberFormat="1" applyFont="1" applyFill="1" applyBorder="1" applyAlignment="1" applyProtection="1">
      <alignment horizontal="left" vertical="top" wrapText="1"/>
    </xf>
    <xf numFmtId="172" fontId="27" fillId="6" borderId="18" xfId="0" applyNumberFormat="1" applyFont="1" applyFill="1" applyBorder="1" applyAlignment="1" applyProtection="1">
      <alignment horizontal="center" vertical="top"/>
    </xf>
    <xf numFmtId="4" fontId="23" fillId="6" borderId="18"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center" vertical="center"/>
    </xf>
    <xf numFmtId="0" fontId="26" fillId="6" borderId="0" xfId="0" applyNumberFormat="1" applyFont="1" applyFill="1" applyBorder="1" applyAlignment="1" applyProtection="1">
      <alignment horizontal="center" vertical="center"/>
    </xf>
    <xf numFmtId="0" fontId="23" fillId="6" borderId="14" xfId="0" applyNumberFormat="1" applyFont="1" applyFill="1" applyBorder="1" applyAlignment="1" applyProtection="1">
      <alignment horizontal="center" vertical="center"/>
    </xf>
    <xf numFmtId="0" fontId="23" fillId="6" borderId="15" xfId="0" applyNumberFormat="1" applyFont="1" applyFill="1" applyBorder="1" applyAlignment="1" applyProtection="1">
      <alignment horizontal="left" vertical="center" wrapText="1"/>
    </xf>
    <xf numFmtId="173" fontId="23" fillId="6" borderId="15" xfId="0" applyNumberFormat="1" applyFont="1" applyFill="1" applyBorder="1" applyAlignment="1" applyProtection="1">
      <alignment horizontal="right" vertical="center"/>
    </xf>
    <xf numFmtId="173" fontId="23" fillId="6" borderId="16" xfId="0" applyNumberFormat="1" applyFont="1" applyFill="1" applyBorder="1" applyAlignment="1" applyProtection="1">
      <alignment horizontal="right" vertical="center"/>
    </xf>
    <xf numFmtId="0" fontId="27" fillId="6" borderId="14" xfId="0" applyNumberFormat="1" applyFont="1" applyFill="1" applyBorder="1" applyAlignment="1" applyProtection="1">
      <alignment horizontal="center" vertical="center"/>
    </xf>
    <xf numFmtId="0" fontId="27" fillId="6" borderId="15" xfId="0" applyNumberFormat="1" applyFont="1" applyFill="1" applyBorder="1" applyAlignment="1" applyProtection="1">
      <alignment horizontal="left" vertical="center" wrapText="1"/>
    </xf>
    <xf numFmtId="173" fontId="27" fillId="6" borderId="15" xfId="0" applyNumberFormat="1" applyFont="1" applyFill="1" applyBorder="1" applyAlignment="1" applyProtection="1">
      <alignment horizontal="right" vertical="center"/>
    </xf>
    <xf numFmtId="173" fontId="27" fillId="6" borderId="16" xfId="0" applyNumberFormat="1" applyFont="1" applyFill="1" applyBorder="1" applyAlignment="1" applyProtection="1">
      <alignment horizontal="right" vertical="center"/>
    </xf>
    <xf numFmtId="174" fontId="27" fillId="6" borderId="15" xfId="0" applyNumberFormat="1" applyFont="1" applyFill="1" applyBorder="1" applyAlignment="1" applyProtection="1">
      <alignment horizontal="right" vertical="center"/>
    </xf>
    <xf numFmtId="174" fontId="27" fillId="6" borderId="16" xfId="0" applyNumberFormat="1" applyFont="1" applyFill="1" applyBorder="1" applyAlignment="1" applyProtection="1">
      <alignment horizontal="right" vertical="center"/>
    </xf>
    <xf numFmtId="0" fontId="26" fillId="6" borderId="14" xfId="0" applyNumberFormat="1" applyFont="1" applyFill="1" applyBorder="1" applyAlignment="1" applyProtection="1">
      <alignment horizontal="center" vertical="center"/>
    </xf>
    <xf numFmtId="0" fontId="26" fillId="6" borderId="15" xfId="0" applyNumberFormat="1" applyFont="1" applyFill="1" applyBorder="1" applyAlignment="1" applyProtection="1">
      <alignment horizontal="left" vertical="center" wrapText="1"/>
    </xf>
    <xf numFmtId="173" fontId="26" fillId="6" borderId="15" xfId="0" applyNumberFormat="1" applyFont="1" applyFill="1" applyBorder="1" applyAlignment="1" applyProtection="1">
      <alignment horizontal="right" vertical="center"/>
    </xf>
    <xf numFmtId="173" fontId="26" fillId="6" borderId="16" xfId="0" applyNumberFormat="1" applyFont="1" applyFill="1" applyBorder="1" applyAlignment="1" applyProtection="1">
      <alignment horizontal="right" vertical="center"/>
    </xf>
    <xf numFmtId="174" fontId="26" fillId="6" borderId="15" xfId="0" applyNumberFormat="1" applyFont="1" applyFill="1" applyBorder="1" applyAlignment="1" applyProtection="1">
      <alignment horizontal="right" vertical="center"/>
    </xf>
    <xf numFmtId="174" fontId="26" fillId="6" borderId="16" xfId="0" applyNumberFormat="1" applyFont="1" applyFill="1" applyBorder="1" applyAlignment="1" applyProtection="1">
      <alignment horizontal="right" vertical="center"/>
    </xf>
    <xf numFmtId="175" fontId="26" fillId="6" borderId="15" xfId="0" applyNumberFormat="1" applyFont="1" applyFill="1" applyBorder="1" applyAlignment="1" applyProtection="1">
      <alignment horizontal="right" vertical="center"/>
    </xf>
    <xf numFmtId="175" fontId="26" fillId="6" borderId="16" xfId="0" applyNumberFormat="1" applyFont="1" applyFill="1" applyBorder="1" applyAlignment="1" applyProtection="1">
      <alignment horizontal="right" vertical="center"/>
    </xf>
    <xf numFmtId="0" fontId="26" fillId="6" borderId="17" xfId="0" applyNumberFormat="1" applyFont="1" applyFill="1" applyBorder="1" applyAlignment="1" applyProtection="1">
      <alignment horizontal="center" vertical="center"/>
    </xf>
    <xf numFmtId="0" fontId="26" fillId="6" borderId="18" xfId="0" applyNumberFormat="1" applyFont="1" applyFill="1" applyBorder="1" applyAlignment="1" applyProtection="1">
      <alignment horizontal="left" vertical="center" wrapText="1"/>
    </xf>
    <xf numFmtId="0" fontId="26" fillId="6" borderId="18" xfId="0" applyNumberFormat="1" applyFont="1" applyFill="1" applyBorder="1" applyAlignment="1" applyProtection="1">
      <alignment horizontal="center" vertical="center"/>
    </xf>
    <xf numFmtId="174" fontId="26" fillId="6" borderId="18" xfId="0" applyNumberFormat="1" applyFont="1" applyFill="1" applyBorder="1" applyAlignment="1" applyProtection="1">
      <alignment horizontal="right" vertical="center"/>
    </xf>
    <xf numFmtId="174" fontId="26" fillId="6" borderId="19" xfId="0" applyNumberFormat="1" applyFont="1" applyFill="1" applyBorder="1" applyAlignment="1" applyProtection="1">
      <alignment horizontal="right" vertical="center"/>
    </xf>
    <xf numFmtId="0" fontId="26" fillId="6" borderId="0" xfId="0" applyNumberFormat="1" applyFont="1" applyFill="1" applyBorder="1" applyAlignment="1" applyProtection="1">
      <alignment horizontal="center" vertical="top"/>
    </xf>
    <xf numFmtId="0" fontId="22" fillId="6" borderId="0" xfId="0" applyNumberFormat="1" applyFont="1" applyFill="1" applyBorder="1" applyAlignment="1" applyProtection="1">
      <alignment vertical="top"/>
    </xf>
    <xf numFmtId="0" fontId="27" fillId="6" borderId="0" xfId="0" applyNumberFormat="1" applyFont="1" applyFill="1" applyBorder="1" applyAlignment="1" applyProtection="1">
      <alignment vertical="top"/>
    </xf>
    <xf numFmtId="0" fontId="23" fillId="6" borderId="0" xfId="0" applyNumberFormat="1" applyFont="1" applyFill="1" applyBorder="1" applyAlignment="1" applyProtection="1">
      <alignment vertical="top"/>
    </xf>
    <xf numFmtId="0" fontId="22" fillId="6" borderId="10" xfId="0" applyNumberFormat="1" applyFont="1" applyFill="1" applyBorder="1" applyAlignment="1" applyProtection="1">
      <alignment vertical="top"/>
    </xf>
    <xf numFmtId="0" fontId="27" fillId="6" borderId="10" xfId="0" applyNumberFormat="1" applyFont="1" applyFill="1" applyBorder="1" applyAlignment="1" applyProtection="1">
      <alignment vertical="top"/>
    </xf>
    <xf numFmtId="0" fontId="23" fillId="6" borderId="34" xfId="0" applyNumberFormat="1" applyFont="1" applyFill="1" applyBorder="1" applyAlignment="1" applyProtection="1">
      <alignment vertical="top"/>
    </xf>
    <xf numFmtId="0" fontId="23" fillId="6" borderId="35" xfId="0" applyNumberFormat="1" applyFont="1" applyFill="1" applyBorder="1" applyAlignment="1" applyProtection="1">
      <alignment vertical="top" wrapText="1"/>
    </xf>
    <xf numFmtId="3" fontId="23" fillId="6" borderId="35" xfId="0" applyNumberFormat="1" applyFont="1" applyFill="1" applyBorder="1" applyAlignment="1" applyProtection="1">
      <alignment vertical="top"/>
    </xf>
    <xf numFmtId="0" fontId="27" fillId="6" borderId="32" xfId="0" applyNumberFormat="1" applyFont="1" applyFill="1" applyBorder="1" applyAlignment="1" applyProtection="1">
      <alignment vertical="top"/>
    </xf>
    <xf numFmtId="0" fontId="27" fillId="6" borderId="33" xfId="0" applyNumberFormat="1" applyFont="1" applyFill="1" applyBorder="1" applyAlignment="1" applyProtection="1">
      <alignment vertical="top" wrapText="1"/>
    </xf>
    <xf numFmtId="3" fontId="27" fillId="6" borderId="33" xfId="0" applyNumberFormat="1" applyFont="1" applyFill="1" applyBorder="1" applyAlignment="1" applyProtection="1">
      <alignment vertical="top"/>
    </xf>
    <xf numFmtId="0" fontId="23" fillId="6" borderId="32" xfId="0" applyNumberFormat="1" applyFont="1" applyFill="1" applyBorder="1" applyAlignment="1" applyProtection="1">
      <alignment vertical="top"/>
    </xf>
    <xf numFmtId="0" fontId="23" fillId="6" borderId="33" xfId="0" applyNumberFormat="1" applyFont="1" applyFill="1" applyBorder="1" applyAlignment="1" applyProtection="1">
      <alignment vertical="top" wrapText="1"/>
    </xf>
    <xf numFmtId="3" fontId="23" fillId="6" borderId="33" xfId="0" applyNumberFormat="1" applyFont="1" applyFill="1" applyBorder="1" applyAlignment="1" applyProtection="1">
      <alignment vertical="top"/>
    </xf>
    <xf numFmtId="0" fontId="23" fillId="6" borderId="30" xfId="0" applyNumberFormat="1" applyFont="1" applyFill="1" applyBorder="1" applyAlignment="1" applyProtection="1">
      <alignment vertical="top"/>
    </xf>
    <xf numFmtId="0" fontId="23" fillId="6" borderId="31" xfId="0" applyNumberFormat="1" applyFont="1" applyFill="1" applyBorder="1" applyAlignment="1" applyProtection="1">
      <alignment vertical="top" wrapText="1"/>
    </xf>
    <xf numFmtId="3" fontId="23" fillId="6" borderId="31" xfId="0" applyNumberFormat="1" applyFont="1" applyFill="1" applyBorder="1" applyAlignment="1" applyProtection="1">
      <alignment vertical="top"/>
    </xf>
    <xf numFmtId="0" fontId="23" fillId="7" borderId="24" xfId="0" applyNumberFormat="1" applyFont="1" applyFill="1" applyBorder="1" applyAlignment="1" applyProtection="1">
      <alignment horizontal="center" vertical="center" wrapText="1"/>
    </xf>
    <xf numFmtId="0" fontId="23" fillId="7" borderId="38" xfId="0" applyNumberFormat="1" applyFont="1" applyFill="1" applyBorder="1" applyAlignment="1" applyProtection="1">
      <alignment horizontal="center" vertical="center" wrapText="1"/>
    </xf>
    <xf numFmtId="0" fontId="23" fillId="7" borderId="39" xfId="0" applyNumberFormat="1" applyFont="1" applyFill="1" applyBorder="1" applyAlignment="1" applyProtection="1">
      <alignment horizontal="center" vertical="center" wrapText="1"/>
    </xf>
    <xf numFmtId="0" fontId="0" fillId="0" borderId="0" xfId="0" applyFont="1" applyAlignment="1">
      <alignment horizontal="center"/>
    </xf>
    <xf numFmtId="0" fontId="23" fillId="7" borderId="36" xfId="0" applyNumberFormat="1" applyFont="1" applyFill="1" applyBorder="1" applyAlignment="1" applyProtection="1">
      <alignment horizontal="center" vertical="center" wrapText="1"/>
    </xf>
    <xf numFmtId="0" fontId="23" fillId="7" borderId="37" xfId="0" applyNumberFormat="1" applyFont="1" applyFill="1" applyBorder="1" applyAlignment="1" applyProtection="1">
      <alignment horizontal="center" vertical="center" wrapText="1"/>
    </xf>
    <xf numFmtId="0" fontId="0" fillId="0" borderId="0" xfId="0" applyFont="1" applyAlignment="1">
      <alignment horizontal="center" vertical="center"/>
    </xf>
    <xf numFmtId="0" fontId="23" fillId="6" borderId="35" xfId="0" applyNumberFormat="1" applyFont="1" applyFill="1" applyBorder="1" applyAlignment="1" applyProtection="1">
      <alignment horizontal="center" vertical="top"/>
    </xf>
    <xf numFmtId="0" fontId="27" fillId="6" borderId="33" xfId="0" applyNumberFormat="1" applyFont="1" applyFill="1" applyBorder="1" applyAlignment="1" applyProtection="1">
      <alignment horizontal="center" vertical="top"/>
    </xf>
    <xf numFmtId="0" fontId="23" fillId="6" borderId="33" xfId="0" applyNumberFormat="1" applyFont="1" applyFill="1" applyBorder="1" applyAlignment="1" applyProtection="1">
      <alignment horizontal="center" vertical="top"/>
    </xf>
    <xf numFmtId="0" fontId="23" fillId="6" borderId="31" xfId="0" applyNumberFormat="1" applyFont="1" applyFill="1" applyBorder="1" applyAlignment="1" applyProtection="1">
      <alignment horizontal="center" vertical="top"/>
    </xf>
    <xf numFmtId="170" fontId="27" fillId="6" borderId="15" xfId="23" applyNumberFormat="1" applyFont="1" applyFill="1" applyBorder="1" applyAlignment="1" applyProtection="1">
      <alignment horizontal="right" vertical="top"/>
    </xf>
    <xf numFmtId="170" fontId="27" fillId="6" borderId="16" xfId="23" applyNumberFormat="1" applyFont="1" applyFill="1" applyBorder="1" applyAlignment="1" applyProtection="1">
      <alignment horizontal="right" vertical="top"/>
    </xf>
    <xf numFmtId="0" fontId="27"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left" vertical="top" wrapText="1"/>
    </xf>
    <xf numFmtId="0" fontId="23" fillId="7" borderId="11"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0" fontId="6" fillId="4" borderId="7" xfId="2" applyFont="1" applyFill="1" applyBorder="1" applyAlignment="1">
      <alignment horizontal="left" vertical="center" wrapText="1"/>
    </xf>
    <xf numFmtId="0" fontId="6" fillId="4" borderId="0" xfId="2" applyFont="1" applyFill="1" applyBorder="1" applyAlignment="1">
      <alignment horizontal="left" vertical="center" wrapText="1"/>
    </xf>
    <xf numFmtId="0" fontId="4" fillId="3" borderId="0" xfId="2" applyFont="1" applyFill="1" applyBorder="1" applyAlignment="1">
      <alignment horizontal="left"/>
    </xf>
    <xf numFmtId="0" fontId="6" fillId="4" borderId="1" xfId="2" applyFont="1" applyFill="1" applyBorder="1" applyAlignment="1">
      <alignment horizontal="left" wrapText="1"/>
    </xf>
    <xf numFmtId="0" fontId="6" fillId="4" borderId="2" xfId="2" applyFont="1" applyFill="1" applyBorder="1" applyAlignment="1">
      <alignment horizontal="left"/>
    </xf>
    <xf numFmtId="0" fontId="6" fillId="4" borderId="3" xfId="2" applyFont="1" applyFill="1" applyBorder="1" applyAlignment="1">
      <alignment horizontal="left"/>
    </xf>
    <xf numFmtId="0" fontId="6" fillId="4" borderId="4" xfId="2" applyFont="1" applyFill="1" applyBorder="1" applyAlignment="1">
      <alignment horizontal="left" wrapText="1"/>
    </xf>
    <xf numFmtId="0" fontId="6" fillId="4" borderId="5" xfId="2" applyFont="1" applyFill="1" applyBorder="1" applyAlignment="1">
      <alignment horizontal="left"/>
    </xf>
    <xf numFmtId="0" fontId="6" fillId="4" borderId="6" xfId="2" applyFont="1" applyFill="1" applyBorder="1" applyAlignment="1">
      <alignment horizontal="left"/>
    </xf>
    <xf numFmtId="0" fontId="4" fillId="3" borderId="0" xfId="2" applyFont="1" applyFill="1" applyAlignment="1">
      <alignment horizontal="left"/>
    </xf>
    <xf numFmtId="0" fontId="4" fillId="4" borderId="1" xfId="2" applyFont="1" applyFill="1" applyBorder="1" applyAlignment="1">
      <alignment horizontal="left" vertical="center" wrapText="1"/>
    </xf>
    <xf numFmtId="0" fontId="4" fillId="4" borderId="2" xfId="2" applyFont="1" applyFill="1" applyBorder="1" applyAlignment="1">
      <alignment horizontal="left" vertical="center" wrapText="1"/>
    </xf>
    <xf numFmtId="0" fontId="4" fillId="4" borderId="7" xfId="2" applyFont="1" applyFill="1" applyBorder="1" applyAlignment="1">
      <alignment horizontal="left" vertical="center" wrapText="1"/>
    </xf>
    <xf numFmtId="0" fontId="4" fillId="4" borderId="0" xfId="2" applyFont="1" applyFill="1" applyBorder="1" applyAlignment="1">
      <alignment horizontal="left" vertical="center" wrapText="1"/>
    </xf>
    <xf numFmtId="164" fontId="9" fillId="5" borderId="5" xfId="3" applyNumberFormat="1" applyFont="1" applyFill="1" applyBorder="1" applyAlignment="1" applyProtection="1">
      <alignment horizontal="left" vertical="top"/>
    </xf>
    <xf numFmtId="0" fontId="11" fillId="4" borderId="1" xfId="2" applyFont="1" applyFill="1" applyBorder="1" applyAlignment="1">
      <alignment horizontal="center" vertical="center"/>
    </xf>
    <xf numFmtId="0" fontId="11" fillId="4" borderId="2" xfId="2" applyFont="1" applyFill="1" applyBorder="1" applyAlignment="1">
      <alignment horizontal="center" vertical="center"/>
    </xf>
    <xf numFmtId="0" fontId="11" fillId="4" borderId="3" xfId="2" applyFont="1" applyFill="1" applyBorder="1" applyAlignment="1">
      <alignment horizontal="center" vertical="center"/>
    </xf>
    <xf numFmtId="0" fontId="13" fillId="4" borderId="7" xfId="4" applyFont="1" applyFill="1" applyBorder="1" applyAlignment="1">
      <alignment horizontal="center" vertical="center"/>
    </xf>
    <xf numFmtId="0" fontId="13" fillId="4" borderId="0" xfId="4" applyFont="1" applyFill="1" applyBorder="1" applyAlignment="1">
      <alignment horizontal="center" vertical="center"/>
    </xf>
    <xf numFmtId="0" fontId="13" fillId="4" borderId="8" xfId="4" applyFont="1" applyFill="1" applyBorder="1" applyAlignment="1">
      <alignment horizontal="center" vertical="center"/>
    </xf>
    <xf numFmtId="0" fontId="6" fillId="4" borderId="4" xfId="2" applyFont="1" applyFill="1" applyBorder="1" applyAlignment="1">
      <alignment horizontal="left"/>
    </xf>
    <xf numFmtId="0" fontId="6" fillId="3" borderId="9" xfId="2" applyFont="1" applyFill="1" applyBorder="1" applyAlignment="1">
      <alignment horizontal="left" vertical="center"/>
    </xf>
    <xf numFmtId="0" fontId="14" fillId="4" borderId="7" xfId="4" applyFont="1" applyFill="1" applyBorder="1" applyAlignment="1">
      <alignment horizontal="center" vertical="center"/>
    </xf>
    <xf numFmtId="0" fontId="14" fillId="4" borderId="0" xfId="4" applyFont="1" applyFill="1" applyBorder="1" applyAlignment="1">
      <alignment horizontal="center" vertical="center"/>
    </xf>
    <xf numFmtId="0" fontId="14" fillId="4" borderId="8" xfId="4" applyFont="1" applyFill="1" applyBorder="1" applyAlignment="1">
      <alignment horizontal="center" vertical="center"/>
    </xf>
    <xf numFmtId="0" fontId="15" fillId="4" borderId="7" xfId="4" applyFont="1" applyFill="1" applyBorder="1" applyAlignment="1">
      <alignment horizontal="center" vertical="center"/>
    </xf>
    <xf numFmtId="0" fontId="15" fillId="4" borderId="0"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4" xfId="4" applyFont="1" applyFill="1" applyBorder="1" applyAlignment="1">
      <alignment horizontal="center" vertical="center"/>
    </xf>
    <xf numFmtId="0" fontId="15" fillId="4" borderId="5" xfId="4" applyFont="1" applyFill="1" applyBorder="1" applyAlignment="1">
      <alignment horizontal="center" vertical="center"/>
    </xf>
    <xf numFmtId="0" fontId="15" fillId="4" borderId="6" xfId="4" applyFont="1" applyFill="1" applyBorder="1" applyAlignment="1">
      <alignment horizontal="center" vertical="center"/>
    </xf>
    <xf numFmtId="0" fontId="4" fillId="3" borderId="9" xfId="2" applyFont="1" applyFill="1" applyBorder="1" applyAlignment="1">
      <alignment horizontal="left" vertical="center"/>
    </xf>
    <xf numFmtId="0" fontId="4" fillId="3" borderId="9" xfId="2" applyFont="1" applyFill="1" applyBorder="1" applyAlignment="1">
      <alignment horizontal="left" wrapText="1"/>
    </xf>
    <xf numFmtId="14" fontId="23"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left" vertical="center"/>
    </xf>
    <xf numFmtId="0" fontId="22"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center" vertical="center" wrapText="1"/>
    </xf>
    <xf numFmtId="0" fontId="24" fillId="6" borderId="0" xfId="0" applyNumberFormat="1" applyFont="1" applyFill="1" applyBorder="1" applyAlignment="1" applyProtection="1">
      <alignment horizontal="center" vertical="center" wrapText="1"/>
    </xf>
    <xf numFmtId="0" fontId="25" fillId="6" borderId="0" xfId="0" applyNumberFormat="1" applyFont="1" applyFill="1" applyBorder="1" applyAlignment="1" applyProtection="1">
      <alignment horizontal="center" wrapText="1"/>
    </xf>
    <xf numFmtId="0" fontId="26" fillId="6" borderId="0" xfId="0" applyNumberFormat="1" applyFont="1" applyFill="1" applyBorder="1" applyAlignment="1" applyProtection="1">
      <alignment horizontal="center" vertical="top" wrapText="1"/>
    </xf>
    <xf numFmtId="0" fontId="27"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left" vertical="center" wrapText="1"/>
    </xf>
    <xf numFmtId="0" fontId="27" fillId="6" borderId="0" xfId="0" applyNumberFormat="1" applyFont="1" applyFill="1" applyBorder="1" applyAlignment="1" applyProtection="1">
      <alignment horizontal="left" vertical="center" wrapText="1"/>
    </xf>
    <xf numFmtId="0" fontId="27"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center" vertical="top" wrapText="1"/>
    </xf>
    <xf numFmtId="15" fontId="27"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left" vertical="top"/>
    </xf>
    <xf numFmtId="0" fontId="22" fillId="6" borderId="1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center" vertical="top"/>
    </xf>
    <xf numFmtId="0" fontId="30" fillId="6" borderId="0" xfId="0" applyNumberFormat="1" applyFont="1" applyFill="1" applyBorder="1" applyAlignment="1" applyProtection="1">
      <alignment horizontal="center" vertical="top"/>
    </xf>
    <xf numFmtId="0" fontId="29"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xf>
    <xf numFmtId="0" fontId="27" fillId="6" borderId="0" xfId="0" applyNumberFormat="1" applyFont="1" applyFill="1" applyBorder="1" applyAlignment="1" applyProtection="1">
      <alignment horizontal="left" vertical="top"/>
    </xf>
    <xf numFmtId="14" fontId="23" fillId="6" borderId="0" xfId="0" applyNumberFormat="1" applyFont="1" applyFill="1" applyBorder="1" applyAlignment="1" applyProtection="1">
      <alignment horizontal="left" vertical="top"/>
    </xf>
    <xf numFmtId="15" fontId="27"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right" vertical="top"/>
    </xf>
    <xf numFmtId="0" fontId="27" fillId="6" borderId="10" xfId="0" applyNumberFormat="1" applyFont="1" applyFill="1" applyBorder="1" applyAlignment="1" applyProtection="1">
      <alignment horizontal="right" vertical="top"/>
    </xf>
    <xf numFmtId="0" fontId="25" fillId="6" borderId="0" xfId="0" applyNumberFormat="1" applyFont="1" applyFill="1" applyBorder="1" applyAlignment="1" applyProtection="1">
      <alignment horizontal="center" vertical="top"/>
    </xf>
    <xf numFmtId="0" fontId="23" fillId="6" borderId="0" xfId="0" applyNumberFormat="1" applyFont="1" applyFill="1" applyBorder="1" applyAlignment="1" applyProtection="1">
      <alignment horizontal="left" vertical="top" wrapText="1"/>
    </xf>
    <xf numFmtId="0" fontId="27" fillId="6" borderId="0" xfId="0" applyNumberFormat="1" applyFont="1" applyFill="1" applyBorder="1" applyAlignment="1" applyProtection="1">
      <alignment horizontal="center" vertical="center"/>
    </xf>
    <xf numFmtId="0" fontId="38" fillId="8" borderId="23" xfId="16" applyFont="1" applyFill="1" applyBorder="1" applyAlignment="1">
      <alignment horizontal="center" vertical="center" wrapText="1"/>
    </xf>
    <xf numFmtId="0" fontId="38" fillId="8" borderId="26" xfId="16" applyFont="1" applyFill="1" applyBorder="1" applyAlignment="1">
      <alignment horizontal="center" vertical="center" wrapText="1"/>
    </xf>
    <xf numFmtId="0" fontId="33" fillId="4" borderId="0" xfId="16" applyFont="1" applyFill="1" applyAlignment="1">
      <alignment horizontal="center" vertical="top" wrapText="1"/>
    </xf>
    <xf numFmtId="0" fontId="34" fillId="4" borderId="0" xfId="16" applyFont="1" applyFill="1" applyAlignment="1">
      <alignment horizontal="center" vertical="center" wrapText="1"/>
    </xf>
    <xf numFmtId="0" fontId="35" fillId="4" borderId="0" xfId="16" applyFont="1" applyFill="1" applyAlignment="1">
      <alignment horizontal="center" vertical="center" wrapText="1"/>
    </xf>
    <xf numFmtId="3" fontId="33" fillId="4" borderId="0" xfId="16" applyNumberFormat="1" applyFont="1" applyFill="1" applyAlignment="1">
      <alignment horizontal="center" vertical="center" wrapText="1"/>
    </xf>
    <xf numFmtId="0" fontId="33" fillId="4" borderId="0" xfId="16" applyFont="1" applyFill="1" applyAlignment="1">
      <alignment horizontal="center" vertical="center"/>
    </xf>
    <xf numFmtId="164" fontId="37" fillId="5" borderId="0" xfId="3" applyNumberFormat="1" applyFont="1" applyFill="1" applyBorder="1" applyAlignment="1" applyProtection="1">
      <alignment horizontal="left" vertical="top"/>
    </xf>
    <xf numFmtId="0" fontId="32" fillId="4" borderId="0" xfId="16" applyFont="1" applyFill="1" applyAlignment="1">
      <alignment horizontal="left"/>
    </xf>
    <xf numFmtId="0" fontId="38" fillId="8" borderId="9" xfId="16" applyFont="1" applyFill="1" applyBorder="1" applyAlignment="1">
      <alignment horizontal="center" vertical="center" wrapText="1"/>
    </xf>
    <xf numFmtId="0" fontId="40" fillId="8" borderId="23" xfId="16" applyFont="1" applyFill="1" applyBorder="1" applyAlignment="1" applyProtection="1">
      <alignment horizontal="center" vertical="center" wrapText="1"/>
    </xf>
    <xf numFmtId="0" fontId="40" fillId="8" borderId="26" xfId="16" applyFont="1" applyFill="1" applyBorder="1" applyAlignment="1" applyProtection="1">
      <alignment horizontal="center" vertical="center" wrapText="1"/>
    </xf>
    <xf numFmtId="0" fontId="40" fillId="4" borderId="0" xfId="22" applyFont="1" applyFill="1" applyBorder="1" applyAlignment="1">
      <alignment horizontal="center" vertical="center"/>
    </xf>
    <xf numFmtId="0" fontId="40" fillId="0" borderId="0" xfId="16" applyFont="1" applyFill="1" applyAlignment="1">
      <alignment horizontal="center" vertical="center"/>
    </xf>
    <xf numFmtId="14" fontId="35" fillId="4" borderId="0" xfId="16" applyNumberFormat="1" applyFont="1" applyFill="1" applyAlignment="1">
      <alignment horizontal="left" vertical="center"/>
    </xf>
    <xf numFmtId="170" fontId="40" fillId="4" borderId="0" xfId="21" applyNumberFormat="1" applyFont="1" applyFill="1" applyBorder="1" applyAlignment="1">
      <alignment horizontal="center" vertical="center"/>
    </xf>
    <xf numFmtId="2" fontId="40" fillId="4" borderId="0" xfId="22" applyNumberFormat="1" applyFont="1" applyFill="1" applyAlignment="1">
      <alignment horizontal="right" vertical="center" wrapText="1"/>
    </xf>
    <xf numFmtId="0" fontId="40" fillId="4" borderId="2" xfId="22" applyFont="1" applyFill="1" applyBorder="1" applyAlignment="1">
      <alignment horizontal="center" vertical="center"/>
    </xf>
    <xf numFmtId="0" fontId="38" fillId="8" borderId="24" xfId="16" applyFont="1" applyFill="1" applyBorder="1" applyAlignment="1">
      <alignment horizontal="center" vertical="center" wrapText="1"/>
    </xf>
    <xf numFmtId="0" fontId="38" fillId="8" borderId="25" xfId="16" applyFont="1" applyFill="1" applyBorder="1" applyAlignment="1">
      <alignment horizontal="center" vertical="center" wrapText="1"/>
    </xf>
    <xf numFmtId="0" fontId="32" fillId="0" borderId="1" xfId="16" applyFont="1" applyBorder="1" applyAlignment="1">
      <alignment horizontal="center" vertical="center" wrapText="1"/>
    </xf>
    <xf numFmtId="0" fontId="32" fillId="0" borderId="2" xfId="16" applyFont="1" applyBorder="1" applyAlignment="1">
      <alignment horizontal="center" vertical="center" wrapText="1"/>
    </xf>
    <xf numFmtId="0" fontId="32" fillId="0" borderId="3" xfId="16" applyFont="1" applyBorder="1" applyAlignment="1">
      <alignment horizontal="center" vertical="center" wrapText="1"/>
    </xf>
    <xf numFmtId="0" fontId="32" fillId="0" borderId="7" xfId="16" applyFont="1" applyBorder="1" applyAlignment="1">
      <alignment horizontal="center" vertical="center" wrapText="1"/>
    </xf>
    <xf numFmtId="0" fontId="32" fillId="0" borderId="0" xfId="16" applyFont="1" applyBorder="1" applyAlignment="1">
      <alignment horizontal="center" vertical="center" wrapText="1"/>
    </xf>
    <xf numFmtId="0" fontId="32" fillId="0" borderId="8" xfId="16" applyFont="1" applyBorder="1" applyAlignment="1">
      <alignment horizontal="center" vertical="center" wrapText="1"/>
    </xf>
    <xf numFmtId="0" fontId="32" fillId="0" borderId="4" xfId="16" applyFont="1" applyBorder="1" applyAlignment="1">
      <alignment horizontal="center" vertical="center" wrapText="1"/>
    </xf>
    <xf numFmtId="0" fontId="32" fillId="0" borderId="5" xfId="16" applyFont="1" applyBorder="1" applyAlignment="1">
      <alignment horizontal="center" vertical="center" wrapText="1"/>
    </xf>
    <xf numFmtId="0" fontId="32" fillId="0" borderId="6" xfId="16" applyFont="1" applyBorder="1" applyAlignment="1">
      <alignment horizontal="center" vertical="center" wrapText="1"/>
    </xf>
    <xf numFmtId="0" fontId="40" fillId="4" borderId="0" xfId="22" applyFont="1" applyFill="1" applyAlignment="1">
      <alignment horizontal="center" vertical="center"/>
    </xf>
    <xf numFmtId="171" fontId="40" fillId="4" borderId="0" xfId="22" applyNumberFormat="1" applyFont="1" applyFill="1" applyAlignment="1">
      <alignment horizontal="center" vertical="center"/>
    </xf>
    <xf numFmtId="0" fontId="23"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center" vertical="top" wrapText="1"/>
    </xf>
    <xf numFmtId="0" fontId="25" fillId="6" borderId="0" xfId="0" applyNumberFormat="1" applyFont="1" applyFill="1" applyBorder="1" applyAlignment="1" applyProtection="1">
      <alignment horizontal="center" vertical="center"/>
    </xf>
    <xf numFmtId="0" fontId="23" fillId="7" borderId="11" xfId="0" applyNumberFormat="1" applyFont="1" applyFill="1" applyBorder="1" applyAlignment="1" applyProtection="1">
      <alignment horizontal="center" vertical="center" wrapText="1"/>
    </xf>
    <xf numFmtId="0" fontId="23" fillId="7" borderId="27"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28"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vertical="center"/>
    </xf>
    <xf numFmtId="14" fontId="23"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right" vertical="center" wrapText="1"/>
    </xf>
    <xf numFmtId="0" fontId="42" fillId="6" borderId="0" xfId="0" applyNumberFormat="1" applyFont="1" applyFill="1" applyBorder="1" applyAlignment="1" applyProtection="1">
      <alignment horizontal="center" vertical="center" wrapText="1"/>
    </xf>
    <xf numFmtId="0" fontId="43" fillId="6" borderId="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left" vertical="center"/>
    </xf>
    <xf numFmtId="0" fontId="26" fillId="6" borderId="10" xfId="0" applyNumberFormat="1" applyFont="1" applyFill="1" applyBorder="1" applyAlignment="1" applyProtection="1">
      <alignment horizontal="right" vertical="center"/>
    </xf>
    <xf numFmtId="0" fontId="44"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top" wrapText="1"/>
    </xf>
    <xf numFmtId="0" fontId="27" fillId="6" borderId="14" xfId="0" applyNumberFormat="1" applyFont="1" applyFill="1" applyBorder="1" applyAlignment="1" applyProtection="1">
      <alignment horizontal="left" wrapText="1"/>
    </xf>
    <xf numFmtId="0" fontId="27" fillId="6" borderId="15" xfId="0" applyNumberFormat="1" applyFont="1" applyFill="1" applyBorder="1" applyAlignment="1" applyProtection="1">
      <alignment horizontal="left" wrapText="1"/>
    </xf>
    <xf numFmtId="0" fontId="23" fillId="6" borderId="14" xfId="0" applyNumberFormat="1" applyFont="1" applyFill="1" applyBorder="1" applyAlignment="1" applyProtection="1">
      <alignment horizontal="left" wrapText="1"/>
    </xf>
    <xf numFmtId="0" fontId="23" fillId="6" borderId="15" xfId="0" applyNumberFormat="1" applyFont="1" applyFill="1" applyBorder="1" applyAlignment="1" applyProtection="1">
      <alignment horizontal="left" wrapText="1"/>
    </xf>
    <xf numFmtId="0" fontId="45" fillId="6" borderId="14" xfId="0" applyNumberFormat="1" applyFont="1" applyFill="1" applyBorder="1" applyAlignment="1" applyProtection="1">
      <alignment horizontal="left" wrapText="1"/>
    </xf>
    <xf numFmtId="0" fontId="45" fillId="6" borderId="15" xfId="0" applyNumberFormat="1" applyFont="1" applyFill="1" applyBorder="1" applyAlignment="1" applyProtection="1">
      <alignment horizontal="left" wrapText="1"/>
    </xf>
    <xf numFmtId="0" fontId="26" fillId="6" borderId="14" xfId="0" applyNumberFormat="1" applyFont="1" applyFill="1" applyBorder="1" applyAlignment="1" applyProtection="1">
      <alignment horizontal="left" wrapText="1"/>
    </xf>
    <xf numFmtId="0" fontId="26" fillId="6" borderId="15" xfId="0" applyNumberFormat="1" applyFont="1" applyFill="1" applyBorder="1" applyAlignment="1" applyProtection="1">
      <alignment horizontal="left" wrapText="1"/>
    </xf>
    <xf numFmtId="0" fontId="23" fillId="6" borderId="17" xfId="0" applyNumberFormat="1" applyFont="1" applyFill="1" applyBorder="1" applyAlignment="1" applyProtection="1">
      <alignment horizontal="left" wrapText="1"/>
    </xf>
    <xf numFmtId="0" fontId="23" fillId="6" borderId="18" xfId="0" applyNumberFormat="1" applyFont="1" applyFill="1" applyBorder="1" applyAlignment="1" applyProtection="1">
      <alignment horizontal="left" wrapText="1"/>
    </xf>
    <xf numFmtId="0" fontId="22" fillId="6" borderId="0" xfId="0" applyNumberFormat="1" applyFont="1" applyFill="1" applyBorder="1" applyAlignment="1" applyProtection="1">
      <alignment horizontal="left" vertical="top" wrapText="1"/>
    </xf>
    <xf numFmtId="0" fontId="0" fillId="0" borderId="0" xfId="0" applyFont="1" applyAlignment="1">
      <alignment wrapText="1"/>
    </xf>
    <xf numFmtId="0" fontId="22"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center" vertical="top" wrapText="1"/>
    </xf>
    <xf numFmtId="15" fontId="27" fillId="6" borderId="0" xfId="0" applyNumberFormat="1" applyFont="1" applyFill="1" applyBorder="1" applyAlignment="1" applyProtection="1">
      <alignment horizontal="left" vertical="top" wrapText="1"/>
    </xf>
    <xf numFmtId="0" fontId="26" fillId="6" borderId="0" xfId="0" applyNumberFormat="1" applyFont="1" applyFill="1" applyBorder="1" applyAlignment="1" applyProtection="1">
      <alignment horizontal="right" vertical="top" wrapText="1"/>
    </xf>
    <xf numFmtId="0" fontId="27" fillId="6" borderId="10" xfId="0" applyNumberFormat="1" applyFont="1" applyFill="1" applyBorder="1" applyAlignment="1" applyProtection="1">
      <alignment horizontal="right" vertical="top" wrapText="1"/>
    </xf>
    <xf numFmtId="0" fontId="31" fillId="6" borderId="0" xfId="0" applyNumberFormat="1" applyFont="1" applyFill="1" applyBorder="1" applyAlignment="1" applyProtection="1">
      <alignment horizontal="center" wrapText="1"/>
    </xf>
    <xf numFmtId="0" fontId="23" fillId="6" borderId="0" xfId="0" applyNumberFormat="1" applyFont="1" applyFill="1" applyBorder="1" applyAlignment="1" applyProtection="1">
      <alignment horizontal="center" vertical="top" wrapText="1"/>
    </xf>
    <xf numFmtId="0" fontId="30" fillId="6" borderId="0" xfId="0" applyNumberFormat="1" applyFont="1" applyFill="1" applyBorder="1" applyAlignment="1" applyProtection="1">
      <alignment horizontal="center" vertical="top" wrapText="1"/>
    </xf>
    <xf numFmtId="0" fontId="23" fillId="6" borderId="15" xfId="0" applyNumberFormat="1" applyFont="1" applyFill="1" applyBorder="1" applyAlignment="1" applyProtection="1">
      <alignment horizontal="justify" vertical="justify" wrapText="1"/>
    </xf>
    <xf numFmtId="0" fontId="0" fillId="0" borderId="0" xfId="0" applyFont="1" applyAlignment="1">
      <alignment horizontal="justify" vertical="justify" wrapText="1"/>
    </xf>
    <xf numFmtId="0" fontId="27" fillId="6" borderId="15" xfId="0" applyNumberFormat="1" applyFont="1" applyFill="1" applyBorder="1" applyAlignment="1" applyProtection="1">
      <alignment horizontal="justify" vertical="justify" wrapText="1"/>
    </xf>
    <xf numFmtId="0" fontId="27" fillId="6" borderId="18" xfId="0" applyNumberFormat="1" applyFont="1" applyFill="1" applyBorder="1" applyAlignment="1" applyProtection="1">
      <alignment horizontal="justify" vertical="justify" wrapText="1"/>
    </xf>
    <xf numFmtId="3" fontId="23" fillId="6" borderId="15" xfId="0" applyNumberFormat="1" applyFont="1" applyFill="1" applyBorder="1" applyAlignment="1" applyProtection="1">
      <alignment horizontal="right" vertical="justify" wrapText="1"/>
    </xf>
    <xf numFmtId="3" fontId="23" fillId="6" borderId="16" xfId="0" applyNumberFormat="1" applyFont="1" applyFill="1" applyBorder="1" applyAlignment="1" applyProtection="1">
      <alignment horizontal="right" vertical="justify" wrapText="1"/>
    </xf>
    <xf numFmtId="167" fontId="27" fillId="6" borderId="15" xfId="0" applyNumberFormat="1" applyFont="1" applyFill="1" applyBorder="1" applyAlignment="1" applyProtection="1">
      <alignment horizontal="right" vertical="justify" wrapText="1"/>
    </xf>
    <xf numFmtId="167" fontId="27" fillId="6" borderId="16" xfId="0" applyNumberFormat="1" applyFont="1" applyFill="1" applyBorder="1" applyAlignment="1" applyProtection="1">
      <alignment horizontal="right" vertical="justify" wrapText="1"/>
    </xf>
    <xf numFmtId="170" fontId="27" fillId="6" borderId="15" xfId="23" applyNumberFormat="1" applyFont="1" applyFill="1" applyBorder="1" applyAlignment="1" applyProtection="1">
      <alignment horizontal="right" vertical="justify" wrapText="1"/>
    </xf>
    <xf numFmtId="170" fontId="27" fillId="6" borderId="16" xfId="23" applyNumberFormat="1" applyFont="1" applyFill="1" applyBorder="1" applyAlignment="1" applyProtection="1">
      <alignment horizontal="right" vertical="justify" wrapText="1"/>
    </xf>
    <xf numFmtId="167" fontId="37" fillId="0" borderId="15" xfId="13" applyNumberFormat="1" applyFont="1" applyFill="1" applyBorder="1" applyAlignment="1" applyProtection="1">
      <alignment horizontal="right" vertical="justify" wrapText="1"/>
    </xf>
    <xf numFmtId="167" fontId="37" fillId="5" borderId="15" xfId="13" applyNumberFormat="1" applyFont="1" applyFill="1" applyBorder="1" applyAlignment="1" applyProtection="1">
      <alignment horizontal="right" vertical="justify" wrapText="1"/>
    </xf>
    <xf numFmtId="3" fontId="37" fillId="0" borderId="15" xfId="13" applyNumberFormat="1" applyFont="1" applyFill="1" applyBorder="1" applyAlignment="1" applyProtection="1">
      <alignment horizontal="right" vertical="justify" wrapText="1"/>
    </xf>
    <xf numFmtId="3" fontId="37" fillId="5" borderId="15" xfId="13" applyNumberFormat="1" applyFont="1" applyFill="1" applyBorder="1" applyAlignment="1" applyProtection="1">
      <alignment horizontal="right" vertical="justify" wrapText="1"/>
    </xf>
    <xf numFmtId="4" fontId="27" fillId="6" borderId="15" xfId="0" applyNumberFormat="1" applyFont="1" applyFill="1" applyBorder="1" applyAlignment="1" applyProtection="1">
      <alignment horizontal="right" vertical="justify" wrapText="1"/>
    </xf>
    <xf numFmtId="4" fontId="27" fillId="6" borderId="16" xfId="0" applyNumberFormat="1" applyFont="1" applyFill="1" applyBorder="1" applyAlignment="1" applyProtection="1">
      <alignment horizontal="right" vertical="justify" wrapText="1"/>
    </xf>
    <xf numFmtId="3" fontId="27" fillId="6" borderId="18" xfId="0" applyNumberFormat="1" applyFont="1" applyFill="1" applyBorder="1" applyAlignment="1" applyProtection="1">
      <alignment horizontal="right" vertical="justify" wrapText="1"/>
    </xf>
    <xf numFmtId="3" fontId="27" fillId="6" borderId="19" xfId="0" applyNumberFormat="1" applyFont="1" applyFill="1" applyBorder="1" applyAlignment="1" applyProtection="1">
      <alignment horizontal="right" vertical="justify" wrapText="1"/>
    </xf>
    <xf numFmtId="0" fontId="23" fillId="6" borderId="14" xfId="0" applyNumberFormat="1" applyFont="1" applyFill="1" applyBorder="1" applyAlignment="1" applyProtection="1">
      <alignment horizontal="center" vertical="justify" wrapText="1"/>
    </xf>
    <xf numFmtId="0" fontId="27" fillId="6" borderId="14" xfId="0" applyNumberFormat="1" applyFont="1" applyFill="1" applyBorder="1" applyAlignment="1" applyProtection="1">
      <alignment horizontal="center" vertical="justify" wrapText="1"/>
    </xf>
    <xf numFmtId="0" fontId="27" fillId="6" borderId="17" xfId="0" applyNumberFormat="1" applyFont="1" applyFill="1" applyBorder="1" applyAlignment="1" applyProtection="1">
      <alignment horizontal="center" vertical="justify" wrapText="1"/>
    </xf>
    <xf numFmtId="170" fontId="22" fillId="6" borderId="0" xfId="23" applyNumberFormat="1" applyFont="1" applyFill="1" applyBorder="1" applyAlignment="1" applyProtection="1">
      <alignment horizontal="left" vertical="top"/>
    </xf>
    <xf numFmtId="170" fontId="22" fillId="6" borderId="10" xfId="23" applyNumberFormat="1" applyFont="1" applyFill="1" applyBorder="1" applyAlignment="1" applyProtection="1">
      <alignment horizontal="left" vertical="top"/>
    </xf>
    <xf numFmtId="170" fontId="27" fillId="6" borderId="10" xfId="23" applyNumberFormat="1" applyFont="1" applyFill="1" applyBorder="1" applyAlignment="1" applyProtection="1">
      <alignment horizontal="right" vertical="top"/>
    </xf>
    <xf numFmtId="170" fontId="23" fillId="7" borderId="12" xfId="23" applyNumberFormat="1" applyFont="1" applyFill="1" applyBorder="1" applyAlignment="1" applyProtection="1">
      <alignment horizontal="center" vertical="center" wrapText="1"/>
    </xf>
    <xf numFmtId="170" fontId="23" fillId="7" borderId="13" xfId="23" applyNumberFormat="1" applyFont="1" applyFill="1" applyBorder="1" applyAlignment="1" applyProtection="1">
      <alignment horizontal="center" vertical="center" wrapText="1"/>
    </xf>
    <xf numFmtId="170" fontId="23" fillId="6" borderId="15" xfId="23" applyNumberFormat="1" applyFont="1" applyFill="1" applyBorder="1" applyAlignment="1" applyProtection="1">
      <alignment horizontal="right" vertical="top"/>
    </xf>
    <xf numFmtId="170" fontId="23" fillId="6" borderId="16" xfId="23" applyNumberFormat="1" applyFont="1" applyFill="1" applyBorder="1" applyAlignment="1" applyProtection="1">
      <alignment horizontal="right" vertical="top"/>
    </xf>
    <xf numFmtId="170" fontId="26" fillId="6" borderId="15" xfId="23" applyNumberFormat="1" applyFont="1" applyFill="1" applyBorder="1" applyAlignment="1" applyProtection="1">
      <alignment horizontal="right" vertical="top"/>
    </xf>
    <xf numFmtId="170" fontId="26" fillId="6" borderId="16" xfId="23" applyNumberFormat="1" applyFont="1" applyFill="1" applyBorder="1" applyAlignment="1" applyProtection="1">
      <alignment horizontal="right" vertical="top"/>
    </xf>
    <xf numFmtId="170" fontId="27" fillId="6" borderId="18" xfId="23" applyNumberFormat="1" applyFont="1" applyFill="1" applyBorder="1" applyAlignment="1" applyProtection="1">
      <alignment horizontal="right" vertical="top"/>
    </xf>
    <xf numFmtId="170" fontId="27" fillId="6" borderId="19" xfId="23" applyNumberFormat="1" applyFont="1" applyFill="1" applyBorder="1" applyAlignment="1" applyProtection="1">
      <alignment horizontal="right" vertical="top"/>
    </xf>
    <xf numFmtId="170" fontId="23" fillId="6" borderId="0" xfId="23" applyNumberFormat="1" applyFont="1" applyFill="1" applyBorder="1" applyAlignment="1" applyProtection="1">
      <alignment horizontal="center" vertical="center" wrapText="1"/>
    </xf>
    <xf numFmtId="170" fontId="26" fillId="6" borderId="0" xfId="23" applyNumberFormat="1" applyFont="1" applyFill="1" applyBorder="1" applyAlignment="1" applyProtection="1">
      <alignment horizontal="center" vertical="center"/>
    </xf>
    <xf numFmtId="170" fontId="26" fillId="6" borderId="0" xfId="23" applyNumberFormat="1" applyFont="1" applyFill="1" applyBorder="1" applyAlignment="1" applyProtection="1">
      <alignment horizontal="center" vertical="center"/>
    </xf>
    <xf numFmtId="170" fontId="0" fillId="0" borderId="0" xfId="23" applyNumberFormat="1" applyFont="1"/>
    <xf numFmtId="168" fontId="23" fillId="6" borderId="14" xfId="0" applyNumberFormat="1" applyFont="1" applyFill="1" applyBorder="1" applyAlignment="1" applyProtection="1">
      <alignment horizontal="center" vertical="top" wrapText="1"/>
    </xf>
    <xf numFmtId="168" fontId="23" fillId="6" borderId="15" xfId="0" applyNumberFormat="1" applyFont="1" applyFill="1" applyBorder="1" applyAlignment="1" applyProtection="1">
      <alignment horizontal="center" vertical="top" wrapText="1"/>
    </xf>
    <xf numFmtId="168" fontId="23" fillId="6" borderId="15" xfId="0" applyNumberFormat="1" applyFont="1" applyFill="1" applyBorder="1" applyAlignment="1" applyProtection="1">
      <alignment horizontal="right" vertical="top" wrapText="1"/>
    </xf>
    <xf numFmtId="168" fontId="23" fillId="6" borderId="16" xfId="0" applyNumberFormat="1" applyFont="1" applyFill="1" applyBorder="1" applyAlignment="1" applyProtection="1">
      <alignment horizontal="right" vertical="top" wrapText="1"/>
    </xf>
    <xf numFmtId="168" fontId="27" fillId="6" borderId="14" xfId="0" applyNumberFormat="1" applyFont="1" applyFill="1" applyBorder="1" applyAlignment="1" applyProtection="1">
      <alignment horizontal="center" vertical="top" wrapText="1"/>
    </xf>
    <xf numFmtId="168" fontId="27" fillId="6" borderId="15" xfId="0" applyNumberFormat="1" applyFont="1" applyFill="1" applyBorder="1" applyAlignment="1" applyProtection="1">
      <alignment horizontal="center" vertical="top" wrapText="1"/>
    </xf>
    <xf numFmtId="168" fontId="27" fillId="6" borderId="15" xfId="0" applyNumberFormat="1" applyFont="1" applyFill="1" applyBorder="1" applyAlignment="1" applyProtection="1">
      <alignment horizontal="right" vertical="top" wrapText="1"/>
    </xf>
    <xf numFmtId="168" fontId="27" fillId="6" borderId="16" xfId="0" applyNumberFormat="1" applyFont="1" applyFill="1" applyBorder="1" applyAlignment="1" applyProtection="1">
      <alignment horizontal="right" vertical="top" wrapText="1"/>
    </xf>
    <xf numFmtId="4" fontId="23" fillId="6" borderId="17" xfId="0" applyNumberFormat="1" applyFont="1" applyFill="1" applyBorder="1" applyAlignment="1" applyProtection="1">
      <alignment horizontal="center" vertical="top" wrapText="1"/>
    </xf>
    <xf numFmtId="4" fontId="23" fillId="6" borderId="18" xfId="0" applyNumberFormat="1" applyFont="1" applyFill="1" applyBorder="1" applyAlignment="1" applyProtection="1">
      <alignment horizontal="center" vertical="top" wrapText="1"/>
    </xf>
    <xf numFmtId="4" fontId="23" fillId="6" borderId="18" xfId="0" applyNumberFormat="1" applyFont="1" applyFill="1" applyBorder="1" applyAlignment="1" applyProtection="1">
      <alignment horizontal="right" vertical="top" wrapText="1"/>
    </xf>
    <xf numFmtId="4" fontId="23" fillId="6" borderId="19" xfId="0" applyNumberFormat="1" applyFont="1" applyFill="1" applyBorder="1" applyAlignment="1" applyProtection="1">
      <alignment horizontal="right" vertical="top" wrapText="1"/>
    </xf>
    <xf numFmtId="0" fontId="23" fillId="6" borderId="0" xfId="0" applyNumberFormat="1" applyFont="1" applyFill="1" applyBorder="1" applyAlignment="1" applyProtection="1">
      <alignment vertical="top" wrapText="1"/>
    </xf>
    <xf numFmtId="0" fontId="27" fillId="6" borderId="0" xfId="0" applyNumberFormat="1" applyFont="1" applyFill="1" applyBorder="1" applyAlignment="1" applyProtection="1">
      <alignment vertical="top" wrapText="1"/>
    </xf>
    <xf numFmtId="0" fontId="22" fillId="6" borderId="10" xfId="0" applyNumberFormat="1" applyFont="1" applyFill="1" applyBorder="1" applyAlignment="1" applyProtection="1">
      <alignment horizontal="left" vertical="top" wrapText="1"/>
    </xf>
    <xf numFmtId="0" fontId="22" fillId="6" borderId="10" xfId="0" applyNumberFormat="1" applyFont="1" applyFill="1" applyBorder="1" applyAlignment="1" applyProtection="1">
      <alignment horizontal="left" vertical="top" wrapText="1"/>
    </xf>
    <xf numFmtId="0" fontId="0" fillId="0" borderId="0" xfId="0" applyFont="1" applyAlignment="1">
      <alignment vertical="center" wrapText="1"/>
    </xf>
    <xf numFmtId="49" fontId="35" fillId="5" borderId="15" xfId="13" applyNumberFormat="1" applyFont="1" applyFill="1" applyBorder="1" applyAlignment="1" applyProtection="1">
      <alignment horizontal="center" vertical="center" wrapText="1"/>
    </xf>
    <xf numFmtId="0" fontId="23" fillId="6" borderId="15" xfId="0" applyNumberFormat="1" applyFont="1" applyFill="1" applyBorder="1" applyAlignment="1" applyProtection="1">
      <alignment horizontal="center" wrapText="1"/>
    </xf>
    <xf numFmtId="3" fontId="23" fillId="6" borderId="15" xfId="0" applyNumberFormat="1" applyFont="1" applyFill="1" applyBorder="1" applyAlignment="1" applyProtection="1">
      <alignment horizontal="right" wrapText="1"/>
    </xf>
    <xf numFmtId="3" fontId="23" fillId="6" borderId="16" xfId="0" applyNumberFormat="1" applyFont="1" applyFill="1" applyBorder="1" applyAlignment="1" applyProtection="1">
      <alignment horizontal="right" wrapText="1"/>
    </xf>
    <xf numFmtId="170" fontId="23" fillId="6" borderId="15" xfId="23" applyNumberFormat="1" applyFont="1" applyFill="1" applyBorder="1" applyAlignment="1" applyProtection="1">
      <alignment horizontal="right" wrapText="1"/>
    </xf>
    <xf numFmtId="170" fontId="23" fillId="6" borderId="16" xfId="23" applyNumberFormat="1" applyFont="1" applyFill="1" applyBorder="1" applyAlignment="1" applyProtection="1">
      <alignment horizontal="right" wrapText="1"/>
    </xf>
    <xf numFmtId="49" fontId="37" fillId="5" borderId="15" xfId="13" applyNumberFormat="1" applyFont="1" applyFill="1" applyBorder="1" applyAlignment="1" applyProtection="1">
      <alignment horizontal="center" vertical="center" wrapText="1"/>
    </xf>
    <xf numFmtId="0" fontId="27" fillId="6" borderId="15" xfId="0" applyNumberFormat="1" applyFont="1" applyFill="1" applyBorder="1" applyAlignment="1" applyProtection="1">
      <alignment horizontal="center" wrapText="1"/>
    </xf>
    <xf numFmtId="170" fontId="27" fillId="6" borderId="15" xfId="23" applyNumberFormat="1" applyFont="1" applyFill="1" applyBorder="1" applyAlignment="1" applyProtection="1">
      <alignment horizontal="right" wrapText="1"/>
    </xf>
    <xf numFmtId="170" fontId="27" fillId="6" borderId="16" xfId="23" applyNumberFormat="1" applyFont="1" applyFill="1" applyBorder="1" applyAlignment="1" applyProtection="1">
      <alignment horizontal="right" wrapText="1"/>
    </xf>
    <xf numFmtId="49" fontId="33" fillId="5" borderId="15" xfId="13" applyNumberFormat="1" applyFont="1" applyFill="1" applyBorder="1" applyAlignment="1" applyProtection="1">
      <alignment horizontal="center" vertical="center" wrapText="1"/>
    </xf>
    <xf numFmtId="0" fontId="45" fillId="6" borderId="15" xfId="0" applyNumberFormat="1" applyFont="1" applyFill="1" applyBorder="1" applyAlignment="1" applyProtection="1">
      <alignment horizontal="center" wrapText="1"/>
    </xf>
    <xf numFmtId="170" fontId="45" fillId="6" borderId="15" xfId="23" applyNumberFormat="1" applyFont="1" applyFill="1" applyBorder="1" applyAlignment="1" applyProtection="1">
      <alignment horizontal="right" wrapText="1"/>
    </xf>
    <xf numFmtId="170" fontId="45" fillId="6" borderId="16" xfId="23" applyNumberFormat="1" applyFont="1" applyFill="1" applyBorder="1" applyAlignment="1" applyProtection="1">
      <alignment horizontal="right" wrapText="1"/>
    </xf>
    <xf numFmtId="49" fontId="36" fillId="5" borderId="15" xfId="13" applyNumberFormat="1" applyFont="1" applyFill="1" applyBorder="1" applyAlignment="1" applyProtection="1">
      <alignment horizontal="center" vertical="center" wrapText="1"/>
    </xf>
    <xf numFmtId="0" fontId="26" fillId="6" borderId="15" xfId="0" applyNumberFormat="1" applyFont="1" applyFill="1" applyBorder="1" applyAlignment="1" applyProtection="1">
      <alignment horizontal="center" wrapText="1"/>
    </xf>
    <xf numFmtId="170" fontId="26" fillId="6" borderId="15" xfId="23" applyNumberFormat="1" applyFont="1" applyFill="1" applyBorder="1" applyAlignment="1" applyProtection="1">
      <alignment horizontal="right" wrapText="1"/>
    </xf>
    <xf numFmtId="170" fontId="26" fillId="6" borderId="16" xfId="23" applyNumberFormat="1" applyFont="1" applyFill="1" applyBorder="1" applyAlignment="1" applyProtection="1">
      <alignment horizontal="right" wrapText="1"/>
    </xf>
    <xf numFmtId="49" fontId="35" fillId="5" borderId="40" xfId="13" applyNumberFormat="1" applyFont="1" applyFill="1" applyBorder="1" applyAlignment="1" applyProtection="1">
      <alignment horizontal="center" vertical="center" wrapText="1"/>
    </xf>
    <xf numFmtId="0" fontId="23" fillId="6" borderId="18" xfId="0" applyNumberFormat="1" applyFont="1" applyFill="1" applyBorder="1" applyAlignment="1" applyProtection="1">
      <alignment horizontal="center" wrapText="1"/>
    </xf>
    <xf numFmtId="3" fontId="23" fillId="6" borderId="18" xfId="0" applyNumberFormat="1" applyFont="1" applyFill="1" applyBorder="1" applyAlignment="1" applyProtection="1">
      <alignment horizontal="right" wrapText="1"/>
    </xf>
    <xf numFmtId="3" fontId="23" fillId="6" borderId="19" xfId="0" applyNumberFormat="1" applyFont="1" applyFill="1" applyBorder="1" applyAlignment="1" applyProtection="1">
      <alignment horizontal="right" wrapText="1"/>
    </xf>
    <xf numFmtId="0" fontId="46" fillId="0" borderId="0" xfId="0" applyFont="1" applyAlignment="1">
      <alignment wrapText="1"/>
    </xf>
    <xf numFmtId="0" fontId="26" fillId="6" borderId="0" xfId="0" applyNumberFormat="1"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wrapText="1"/>
    </xf>
  </cellXfs>
  <cellStyles count="24">
    <cellStyle name="Accent5 2" xfId="6"/>
    <cellStyle name="Comma" xfId="23" builtinId="3"/>
    <cellStyle name="Comma 13" xfId="7"/>
    <cellStyle name="Comma 2" xfId="8"/>
    <cellStyle name="Comma 4" xfId="9"/>
    <cellStyle name="Comma 4 2" xfId="10"/>
    <cellStyle name="Comma 4 3" xfId="21"/>
    <cellStyle name="Currency [0] 2" xfId="11"/>
    <cellStyle name="Hyperlink 2" xfId="5"/>
    <cellStyle name="Normal" xfId="0" builtinId="0"/>
    <cellStyle name="Normal 2" xfId="1"/>
    <cellStyle name="Normal 2 2" xfId="12"/>
    <cellStyle name="Normal 3" xfId="13"/>
    <cellStyle name="Normal 3 2" xfId="14"/>
    <cellStyle name="Normal 3 2 2" xfId="15"/>
    <cellStyle name="Normal 3 2 3" xfId="16"/>
    <cellStyle name="Normal 4" xfId="17"/>
    <cellStyle name="Normal 5" xfId="2"/>
    <cellStyle name="Normal 5 2" xfId="18"/>
    <cellStyle name="Normal 6" xfId="3"/>
    <cellStyle name="Normal 8" xfId="19"/>
    <cellStyle name="Normal_Bao cao tai chinh 280405 2" xfId="22"/>
    <cellStyle name="Normal_Bao cao tai chinh 280405 3" xfId="4"/>
    <cellStyle name="Percent 2" xfId="2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66675</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28575" y="66675"/>
          <a:ext cx="714376" cy="257175"/>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28575</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0" y="28575"/>
          <a:ext cx="714376" cy="257175"/>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67</xdr:row>
      <xdr:rowOff>9525</xdr:rowOff>
    </xdr:from>
    <xdr:ext cx="7162800" cy="200025"/>
    <xdr:sp macro="" textlink="" fLocksText="0">
      <xdr:nvSpPr>
        <xdr:cNvPr id="3" name="TextBox 2"/>
        <xdr:cNvSpPr txBox="1"/>
      </xdr:nvSpPr>
      <xdr:spPr>
        <a:xfrm>
          <a:off x="9525" y="16935450"/>
          <a:ext cx="716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68</xdr:row>
      <xdr:rowOff>9525</xdr:rowOff>
    </xdr:from>
    <xdr:ext cx="7162800" cy="276225"/>
    <xdr:sp macro="" textlink="" fLocksText="0">
      <xdr:nvSpPr>
        <xdr:cNvPr id="4" name="TextBox 3"/>
        <xdr:cNvSpPr txBox="1"/>
      </xdr:nvSpPr>
      <xdr:spPr>
        <a:xfrm>
          <a:off x="9525" y="17135475"/>
          <a:ext cx="7162800" cy="2762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72</xdr:row>
      <xdr:rowOff>9525</xdr:rowOff>
    </xdr:from>
    <xdr:ext cx="3352800" cy="161925"/>
    <xdr:sp macro="" textlink="" fLocksText="0">
      <xdr:nvSpPr>
        <xdr:cNvPr id="5" name="TextBox 4"/>
        <xdr:cNvSpPr txBox="1"/>
      </xdr:nvSpPr>
      <xdr:spPr>
        <a:xfrm>
          <a:off x="9525" y="1828800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Ngân hàng giám sát</a:t>
          </a:r>
        </a:p>
      </xdr:txBody>
    </xdr:sp>
    <xdr:clientData/>
  </xdr:oneCellAnchor>
  <xdr:oneCellAnchor>
    <xdr:from>
      <xdr:col>3</xdr:col>
      <xdr:colOff>9525</xdr:colOff>
      <xdr:row>72</xdr:row>
      <xdr:rowOff>9525</xdr:rowOff>
    </xdr:from>
    <xdr:ext cx="3810000" cy="161925"/>
    <xdr:sp macro="" textlink="" fLocksText="0">
      <xdr:nvSpPr>
        <xdr:cNvPr id="6" name="TextBox 5"/>
        <xdr:cNvSpPr txBox="1"/>
      </xdr:nvSpPr>
      <xdr:spPr>
        <a:xfrm>
          <a:off x="3362325" y="18288000"/>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Công ty quản lý quỹ</a:t>
          </a:r>
        </a:p>
      </xdr:txBody>
    </xdr:sp>
    <xdr:clientData/>
  </xdr:oneCellAnchor>
  <xdr:oneCellAnchor>
    <xdr:from>
      <xdr:col>0</xdr:col>
      <xdr:colOff>9525</xdr:colOff>
      <xdr:row>73</xdr:row>
      <xdr:rowOff>9525</xdr:rowOff>
    </xdr:from>
    <xdr:ext cx="3352800" cy="200025"/>
    <xdr:sp macro="" textlink="" fLocksText="0">
      <xdr:nvSpPr>
        <xdr:cNvPr id="7" name="TextBox 6"/>
        <xdr:cNvSpPr txBox="1"/>
      </xdr:nvSpPr>
      <xdr:spPr>
        <a:xfrm>
          <a:off x="9525" y="18449925"/>
          <a:ext cx="335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Supervisory Bank</a:t>
          </a:r>
        </a:p>
      </xdr:txBody>
    </xdr:sp>
    <xdr:clientData/>
  </xdr:oneCellAnchor>
  <xdr:oneCellAnchor>
    <xdr:from>
      <xdr:col>3</xdr:col>
      <xdr:colOff>9525</xdr:colOff>
      <xdr:row>73</xdr:row>
      <xdr:rowOff>9525</xdr:rowOff>
    </xdr:from>
    <xdr:ext cx="3810000" cy="200025"/>
    <xdr:sp macro="" textlink="" fLocksText="0">
      <xdr:nvSpPr>
        <xdr:cNvPr id="8" name="TextBox 7"/>
        <xdr:cNvSpPr txBox="1"/>
      </xdr:nvSpPr>
      <xdr:spPr>
        <a:xfrm>
          <a:off x="3362325" y="18449925"/>
          <a:ext cx="3810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Fund Management Company</a:t>
          </a:r>
        </a:p>
      </xdr:txBody>
    </xdr:sp>
    <xdr:clientData/>
  </xdr:oneCellAnchor>
  <xdr:oneCellAnchor>
    <xdr:from>
      <xdr:col>0</xdr:col>
      <xdr:colOff>9525</xdr:colOff>
      <xdr:row>77</xdr:row>
      <xdr:rowOff>9525</xdr:rowOff>
    </xdr:from>
    <xdr:ext cx="3352800" cy="161925"/>
    <xdr:sp macro="" textlink="" fLocksText="0">
      <xdr:nvSpPr>
        <xdr:cNvPr id="9" name="TextBox 8"/>
        <xdr:cNvSpPr txBox="1"/>
      </xdr:nvSpPr>
      <xdr:spPr>
        <a:xfrm>
          <a:off x="9525" y="1925002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NGÂN HÀNG TMCP NGOẠI THƯƠNG VIỆT NAM-CN TP.HCM</a:t>
          </a:r>
        </a:p>
      </xdr:txBody>
    </xdr:sp>
    <xdr:clientData/>
  </xdr:oneCellAnchor>
  <xdr:oneCellAnchor>
    <xdr:from>
      <xdr:col>3</xdr:col>
      <xdr:colOff>9525</xdr:colOff>
      <xdr:row>77</xdr:row>
      <xdr:rowOff>9525</xdr:rowOff>
    </xdr:from>
    <xdr:ext cx="3810000" cy="161925"/>
    <xdr:sp macro="" textlink="" fLocksText="0">
      <xdr:nvSpPr>
        <xdr:cNvPr id="10" name="TextBox 9"/>
        <xdr:cNvSpPr txBox="1"/>
      </xdr:nvSpPr>
      <xdr:spPr>
        <a:xfrm>
          <a:off x="3362325" y="19250025"/>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CÔNG TY CỔ PHẦN QUẢN LÝ QUỸ ĐẦU TƯ VIỆT NAM</a:t>
          </a:r>
        </a:p>
      </xdr:txBody>
    </xdr:sp>
    <xdr:clientData/>
  </xdr:oneCellAnchor>
  <xdr:oneCellAnchor>
    <xdr:from>
      <xdr:col>0</xdr:col>
      <xdr:colOff>9525</xdr:colOff>
      <xdr:row>78</xdr:row>
      <xdr:rowOff>9525</xdr:rowOff>
    </xdr:from>
    <xdr:ext cx="3352800" cy="161925"/>
    <xdr:sp macro="" textlink="" fLocksText="0">
      <xdr:nvSpPr>
        <xdr:cNvPr id="11" name="TextBox 10"/>
        <xdr:cNvSpPr txBox="1"/>
      </xdr:nvSpPr>
      <xdr:spPr>
        <a:xfrm>
          <a:off x="9525" y="1941195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Phó Trưởng Phòng DVKHTC2</a:t>
          </a:r>
        </a:p>
      </xdr:txBody>
    </xdr:sp>
    <xdr:clientData/>
  </xdr:oneCellAnchor>
  <xdr:oneCellAnchor>
    <xdr:from>
      <xdr:col>3</xdr:col>
      <xdr:colOff>9525</xdr:colOff>
      <xdr:row>78</xdr:row>
      <xdr:rowOff>9525</xdr:rowOff>
    </xdr:from>
    <xdr:ext cx="3810000" cy="161925"/>
    <xdr:sp macro="" textlink="" fLocksText="0">
      <xdr:nvSpPr>
        <xdr:cNvPr id="12" name="TextBox 11"/>
        <xdr:cNvSpPr txBox="1"/>
      </xdr:nvSpPr>
      <xdr:spPr>
        <a:xfrm>
          <a:off x="3362325" y="19411950"/>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Tổng Giám Đốc</a:t>
          </a:r>
        </a:p>
      </xdr:txBody>
    </xdr:sp>
    <xdr:clientData/>
  </xdr:oneCellAnchor>
  <xdr:oneCellAnchor>
    <xdr:from>
      <xdr:col>0</xdr:col>
      <xdr:colOff>9525</xdr:colOff>
      <xdr:row>79</xdr:row>
      <xdr:rowOff>9525</xdr:rowOff>
    </xdr:from>
    <xdr:ext cx="3352800" cy="161925"/>
    <xdr:sp macro="" textlink="" fLocksText="0">
      <xdr:nvSpPr>
        <xdr:cNvPr id="13" name="TextBox 12"/>
        <xdr:cNvSpPr txBox="1"/>
      </xdr:nvSpPr>
      <xdr:spPr>
        <a:xfrm>
          <a:off x="9525" y="1957387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Ngô Thùy Dương</a:t>
          </a:r>
        </a:p>
      </xdr:txBody>
    </xdr:sp>
    <xdr:clientData/>
  </xdr:oneCellAnchor>
  <xdr:oneCellAnchor>
    <xdr:from>
      <xdr:col>3</xdr:col>
      <xdr:colOff>9525</xdr:colOff>
      <xdr:row>79</xdr:row>
      <xdr:rowOff>9525</xdr:rowOff>
    </xdr:from>
    <xdr:ext cx="3810000" cy="161925"/>
    <xdr:sp macro="" textlink="" fLocksText="0">
      <xdr:nvSpPr>
        <xdr:cNvPr id="14" name="TextBox 13"/>
        <xdr:cNvSpPr txBox="1"/>
      </xdr:nvSpPr>
      <xdr:spPr>
        <a:xfrm>
          <a:off x="3362325" y="19573875"/>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Trần Thanh Tân</a:t>
          </a:r>
        </a:p>
      </xdr:txBody>
    </xdr:sp>
    <xdr:clientData/>
  </xdr:oneCellAnchor>
  <xdr:oneCellAnchor>
    <xdr:from>
      <xdr:col>0</xdr:col>
      <xdr:colOff>28575</xdr:colOff>
      <xdr:row>0</xdr:row>
      <xdr:rowOff>38100</xdr:rowOff>
    </xdr:from>
    <xdr:ext cx="714376" cy="257175"/>
    <xdr:pic>
      <xdr:nvPicPr>
        <xdr:cNvPr id="15" name="Picture 14"/>
        <xdr:cNvPicPr>
          <a:picLocks noChangeAspect="1"/>
        </xdr:cNvPicPr>
      </xdr:nvPicPr>
      <xdr:blipFill rotWithShape="1">
        <a:blip xmlns:r="http://schemas.openxmlformats.org/officeDocument/2006/relationships" r:embed="rId1"/>
        <a:srcRect l="9891" t="27451" r="7692" b="19608"/>
        <a:stretch/>
      </xdr:blipFill>
      <xdr:spPr>
        <a:xfrm>
          <a:off x="28575" y="38100"/>
          <a:ext cx="714376" cy="257175"/>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14376" cy="257175"/>
    <xdr:pic>
      <xdr:nvPicPr>
        <xdr:cNvPr id="4" name="Picture 3"/>
        <xdr:cNvPicPr>
          <a:picLocks noChangeAspect="1"/>
        </xdr:cNvPicPr>
      </xdr:nvPicPr>
      <xdr:blipFill rotWithShape="1">
        <a:blip xmlns:r="http://schemas.openxmlformats.org/officeDocument/2006/relationships" r:embed="rId1"/>
        <a:srcRect l="9891" t="27451" r="7692" b="19608"/>
        <a:stretch/>
      </xdr:blipFill>
      <xdr:spPr>
        <a:xfrm>
          <a:off x="0" y="0"/>
          <a:ext cx="714376" cy="257175"/>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 xmlns:a16="http://schemas.microsoft.com/office/drawing/2014/main" id="{00000000-0008-0000-0500-000003000000}"/>
            </a:ext>
          </a:extLst>
        </xdr:cNvPr>
        <xdr:cNvCxnSpPr/>
      </xdr:nvCxnSpPr>
      <xdr:spPr>
        <a:xfrm>
          <a:off x="4612481" y="3886200"/>
          <a:ext cx="800338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0</xdr:colOff>
      <xdr:row>0</xdr:row>
      <xdr:rowOff>0</xdr:rowOff>
    </xdr:from>
    <xdr:ext cx="714376" cy="257175"/>
    <xdr:pic>
      <xdr:nvPicPr>
        <xdr:cNvPr id="4" name="Picture 3"/>
        <xdr:cNvPicPr>
          <a:picLocks noChangeAspect="1"/>
        </xdr:cNvPicPr>
      </xdr:nvPicPr>
      <xdr:blipFill rotWithShape="1">
        <a:blip xmlns:r="http://schemas.openxmlformats.org/officeDocument/2006/relationships" r:embed="rId1"/>
        <a:srcRect l="9891" t="27451" r="7692" b="19608"/>
        <a:stretch/>
      </xdr:blipFill>
      <xdr:spPr>
        <a:xfrm>
          <a:off x="361950" y="0"/>
          <a:ext cx="714376" cy="257175"/>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76200</xdr:colOff>
      <xdr:row>0</xdr:row>
      <xdr:rowOff>38100</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76200" y="38100"/>
          <a:ext cx="714376" cy="2571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47625</xdr:colOff>
      <xdr:row>0</xdr:row>
      <xdr:rowOff>19050</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47625" y="19050"/>
          <a:ext cx="714376" cy="2571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76200</xdr:colOff>
      <xdr:row>0</xdr:row>
      <xdr:rowOff>57150</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76200" y="57150"/>
          <a:ext cx="714376" cy="257175"/>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76200</xdr:colOff>
      <xdr:row>0</xdr:row>
      <xdr:rowOff>28575</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76200" y="28575"/>
          <a:ext cx="714376" cy="257175"/>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9525</xdr:colOff>
      <xdr:row>63</xdr:row>
      <xdr:rowOff>9525</xdr:rowOff>
    </xdr:from>
    <xdr:ext cx="2238375" cy="200025"/>
    <xdr:sp macro="" textlink="" fLocksText="0">
      <xdr:nvSpPr>
        <xdr:cNvPr id="3" name="TextBox 2"/>
        <xdr:cNvSpPr txBox="1"/>
      </xdr:nvSpPr>
      <xdr:spPr>
        <a:xfrm>
          <a:off x="9525" y="19564350"/>
          <a:ext cx="223837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64</xdr:row>
      <xdr:rowOff>9525</xdr:rowOff>
    </xdr:from>
    <xdr:ext cx="7162800" cy="295275"/>
    <xdr:sp macro="" textlink="" fLocksText="0">
      <xdr:nvSpPr>
        <xdr:cNvPr id="4" name="TextBox 3"/>
        <xdr:cNvSpPr txBox="1"/>
      </xdr:nvSpPr>
      <xdr:spPr>
        <a:xfrm>
          <a:off x="9525" y="19183350"/>
          <a:ext cx="7162800" cy="2952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68</xdr:row>
      <xdr:rowOff>9525</xdr:rowOff>
    </xdr:from>
    <xdr:ext cx="2781300" cy="200025"/>
    <xdr:sp macro="" textlink="" fLocksText="0">
      <xdr:nvSpPr>
        <xdr:cNvPr id="5" name="TextBox 4"/>
        <xdr:cNvSpPr txBox="1"/>
      </xdr:nvSpPr>
      <xdr:spPr>
        <a:xfrm>
          <a:off x="9525" y="21145500"/>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Người lập biểu</a:t>
          </a:r>
        </a:p>
      </xdr:txBody>
    </xdr:sp>
    <xdr:clientData/>
  </xdr:oneCellAnchor>
  <xdr:oneCellAnchor>
    <xdr:from>
      <xdr:col>2</xdr:col>
      <xdr:colOff>219075</xdr:colOff>
      <xdr:row>68</xdr:row>
      <xdr:rowOff>9525</xdr:rowOff>
    </xdr:from>
    <xdr:ext cx="1762125" cy="200025"/>
    <xdr:sp macro="" textlink="" fLocksText="0">
      <xdr:nvSpPr>
        <xdr:cNvPr id="6" name="TextBox 5"/>
        <xdr:cNvSpPr txBox="1"/>
      </xdr:nvSpPr>
      <xdr:spPr>
        <a:xfrm>
          <a:off x="2790825" y="21145500"/>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Kế toán trưởng</a:t>
          </a:r>
        </a:p>
      </xdr:txBody>
    </xdr:sp>
    <xdr:clientData/>
  </xdr:oneCellAnchor>
  <xdr:oneCellAnchor>
    <xdr:from>
      <xdr:col>4</xdr:col>
      <xdr:colOff>76200</xdr:colOff>
      <xdr:row>68</xdr:row>
      <xdr:rowOff>9525</xdr:rowOff>
    </xdr:from>
    <xdr:ext cx="2609850" cy="200025"/>
    <xdr:sp macro="" textlink="" fLocksText="0">
      <xdr:nvSpPr>
        <xdr:cNvPr id="7" name="TextBox 6"/>
        <xdr:cNvSpPr txBox="1"/>
      </xdr:nvSpPr>
      <xdr:spPr>
        <a:xfrm>
          <a:off x="4552950" y="21145500"/>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Tổng giám đốc</a:t>
          </a:r>
        </a:p>
      </xdr:txBody>
    </xdr:sp>
    <xdr:clientData/>
  </xdr:oneCellAnchor>
  <xdr:oneCellAnchor>
    <xdr:from>
      <xdr:col>0</xdr:col>
      <xdr:colOff>9525</xdr:colOff>
      <xdr:row>69</xdr:row>
      <xdr:rowOff>9525</xdr:rowOff>
    </xdr:from>
    <xdr:ext cx="2781300" cy="200025"/>
    <xdr:sp macro="" textlink="" fLocksText="0">
      <xdr:nvSpPr>
        <xdr:cNvPr id="8" name="TextBox 7"/>
        <xdr:cNvSpPr txBox="1"/>
      </xdr:nvSpPr>
      <xdr:spPr>
        <a:xfrm>
          <a:off x="9525" y="21345525"/>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a:t>
          </a:r>
        </a:p>
      </xdr:txBody>
    </xdr:sp>
    <xdr:clientData/>
  </xdr:oneCellAnchor>
  <xdr:oneCellAnchor>
    <xdr:from>
      <xdr:col>2</xdr:col>
      <xdr:colOff>219075</xdr:colOff>
      <xdr:row>69</xdr:row>
      <xdr:rowOff>9525</xdr:rowOff>
    </xdr:from>
    <xdr:ext cx="1762125" cy="200025"/>
    <xdr:sp macro="" textlink="" fLocksText="0">
      <xdr:nvSpPr>
        <xdr:cNvPr id="9" name="TextBox 8"/>
        <xdr:cNvSpPr txBox="1"/>
      </xdr:nvSpPr>
      <xdr:spPr>
        <a:xfrm>
          <a:off x="2790825" y="21345525"/>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a:t>
          </a:r>
        </a:p>
      </xdr:txBody>
    </xdr:sp>
    <xdr:clientData/>
  </xdr:oneCellAnchor>
  <xdr:oneCellAnchor>
    <xdr:from>
      <xdr:col>4</xdr:col>
      <xdr:colOff>76200</xdr:colOff>
      <xdr:row>69</xdr:row>
      <xdr:rowOff>9525</xdr:rowOff>
    </xdr:from>
    <xdr:ext cx="2609850" cy="200025"/>
    <xdr:sp macro="" textlink="" fLocksText="0">
      <xdr:nvSpPr>
        <xdr:cNvPr id="10" name="TextBox 9"/>
        <xdr:cNvSpPr txBox="1"/>
      </xdr:nvSpPr>
      <xdr:spPr>
        <a:xfrm>
          <a:off x="4552950" y="21345525"/>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 đóng dấu)</a:t>
          </a:r>
        </a:p>
      </xdr:txBody>
    </xdr:sp>
    <xdr:clientData/>
  </xdr:oneCellAnchor>
  <xdr:oneCellAnchor>
    <xdr:from>
      <xdr:col>0</xdr:col>
      <xdr:colOff>95250</xdr:colOff>
      <xdr:row>0</xdr:row>
      <xdr:rowOff>85725</xdr:rowOff>
    </xdr:from>
    <xdr:ext cx="714376" cy="257175"/>
    <xdr:pic>
      <xdr:nvPicPr>
        <xdr:cNvPr id="11" name="Picture 10"/>
        <xdr:cNvPicPr>
          <a:picLocks noChangeAspect="1"/>
        </xdr:cNvPicPr>
      </xdr:nvPicPr>
      <xdr:blipFill rotWithShape="1">
        <a:blip xmlns:r="http://schemas.openxmlformats.org/officeDocument/2006/relationships" r:embed="rId1"/>
        <a:srcRect l="9891" t="27451" r="7692" b="19608"/>
        <a:stretch/>
      </xdr:blipFill>
      <xdr:spPr>
        <a:xfrm>
          <a:off x="95250" y="85725"/>
          <a:ext cx="714376" cy="257175"/>
        </a:xfrm>
        <a:prstGeom prst="rect">
          <a:avLst/>
        </a:prstGeom>
        <a:noFill/>
        <a:ln>
          <a:noFill/>
        </a:ln>
      </xdr:spPr>
    </xdr:pic>
    <xdr:clientData/>
  </xdr:oneCellAnchor>
  <xdr:oneCellAnchor>
    <xdr:from>
      <xdr:col>0</xdr:col>
      <xdr:colOff>28575</xdr:colOff>
      <xdr:row>74</xdr:row>
      <xdr:rowOff>9525</xdr:rowOff>
    </xdr:from>
    <xdr:ext cx="2781300" cy="200025"/>
    <xdr:sp macro="" textlink="" fLocksText="0">
      <xdr:nvSpPr>
        <xdr:cNvPr id="12" name="TextBox 11"/>
        <xdr:cNvSpPr txBox="1"/>
      </xdr:nvSpPr>
      <xdr:spPr>
        <a:xfrm>
          <a:off x="28575" y="19097625"/>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Vương Thị Trâm Anh</a:t>
          </a:r>
        </a:p>
      </xdr:txBody>
    </xdr:sp>
    <xdr:clientData/>
  </xdr:oneCellAnchor>
  <xdr:oneCellAnchor>
    <xdr:from>
      <xdr:col>2</xdr:col>
      <xdr:colOff>228600</xdr:colOff>
      <xdr:row>73</xdr:row>
      <xdr:rowOff>180975</xdr:rowOff>
    </xdr:from>
    <xdr:ext cx="1762125" cy="200025"/>
    <xdr:sp macro="" textlink="" fLocksText="0">
      <xdr:nvSpPr>
        <xdr:cNvPr id="13" name="TextBox 12"/>
        <xdr:cNvSpPr txBox="1"/>
      </xdr:nvSpPr>
      <xdr:spPr>
        <a:xfrm>
          <a:off x="2771775" y="19069050"/>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Phạm Thanh Dũng</a:t>
          </a:r>
        </a:p>
      </xdr:txBody>
    </xdr:sp>
    <xdr:clientData/>
  </xdr:oneCellAnchor>
  <xdr:oneCellAnchor>
    <xdr:from>
      <xdr:col>4</xdr:col>
      <xdr:colOff>76200</xdr:colOff>
      <xdr:row>73</xdr:row>
      <xdr:rowOff>171450</xdr:rowOff>
    </xdr:from>
    <xdr:ext cx="2609850" cy="200025"/>
    <xdr:sp macro="" textlink="" fLocksText="0">
      <xdr:nvSpPr>
        <xdr:cNvPr id="14" name="TextBox 13"/>
        <xdr:cNvSpPr txBox="1"/>
      </xdr:nvSpPr>
      <xdr:spPr>
        <a:xfrm>
          <a:off x="4219575" y="19059525"/>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Trần Thanh Tân</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38100</xdr:colOff>
      <xdr:row>0</xdr:row>
      <xdr:rowOff>57150</xdr:rowOff>
    </xdr:from>
    <xdr:ext cx="714376" cy="257175"/>
    <xdr:pic>
      <xdr:nvPicPr>
        <xdr:cNvPr id="3" name="Picture 2"/>
        <xdr:cNvPicPr>
          <a:picLocks noChangeAspect="1"/>
        </xdr:cNvPicPr>
      </xdr:nvPicPr>
      <xdr:blipFill rotWithShape="1">
        <a:blip xmlns:r="http://schemas.openxmlformats.org/officeDocument/2006/relationships" r:embed="rId1"/>
        <a:srcRect l="9891" t="27451" r="7692" b="19608"/>
        <a:stretch/>
      </xdr:blipFill>
      <xdr:spPr>
        <a:xfrm>
          <a:off x="38100" y="57150"/>
          <a:ext cx="714376" cy="257175"/>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1"/>
  <sheetViews>
    <sheetView view="pageBreakPreview" zoomScale="80" zoomScaleNormal="50" zoomScaleSheetLayoutView="80" workbookViewId="0">
      <selection activeCell="K21" sqref="K21"/>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43" t="s">
        <v>0</v>
      </c>
      <c r="B1" s="243"/>
    </row>
    <row r="2" spans="1:10" ht="15.75" x14ac:dyDescent="0.25">
      <c r="C2" s="244" t="s">
        <v>1</v>
      </c>
      <c r="D2" s="245"/>
      <c r="E2" s="246"/>
    </row>
    <row r="3" spans="1:10" ht="15.75" x14ac:dyDescent="0.25">
      <c r="A3" s="2"/>
      <c r="B3" s="2"/>
      <c r="C3" s="247" t="s">
        <v>2</v>
      </c>
      <c r="D3" s="248"/>
      <c r="E3" s="249"/>
    </row>
    <row r="4" spans="1:10" x14ac:dyDescent="0.25">
      <c r="A4" s="3"/>
      <c r="B4" s="3"/>
    </row>
    <row r="5" spans="1:10" ht="15.75" x14ac:dyDescent="0.25">
      <c r="A5" s="250" t="s">
        <v>3</v>
      </c>
      <c r="B5" s="250"/>
      <c r="E5" s="4"/>
      <c r="F5" s="4"/>
      <c r="G5" s="4"/>
      <c r="H5" s="4"/>
      <c r="I5" s="4"/>
    </row>
    <row r="6" spans="1:10" ht="15.75" x14ac:dyDescent="0.25">
      <c r="A6" s="2"/>
      <c r="B6" s="2"/>
      <c r="C6" s="251" t="s">
        <v>4</v>
      </c>
      <c r="D6" s="252"/>
      <c r="E6" s="5" t="s">
        <v>5</v>
      </c>
      <c r="F6" s="6"/>
      <c r="G6" s="6"/>
      <c r="H6" s="6"/>
      <c r="I6" s="7"/>
    </row>
    <row r="7" spans="1:10" ht="15.75" x14ac:dyDescent="0.25">
      <c r="A7" s="2"/>
      <c r="B7" s="2"/>
      <c r="C7" s="241" t="s">
        <v>6</v>
      </c>
      <c r="D7" s="242"/>
      <c r="E7" s="8" t="s">
        <v>7</v>
      </c>
      <c r="F7" s="9"/>
      <c r="G7" s="9"/>
      <c r="H7" s="9"/>
      <c r="I7" s="10"/>
      <c r="J7" s="11"/>
    </row>
    <row r="8" spans="1:10" ht="15.75" x14ac:dyDescent="0.25">
      <c r="A8" s="2"/>
      <c r="B8" s="2"/>
      <c r="C8" s="253" t="s">
        <v>8</v>
      </c>
      <c r="D8" s="254"/>
      <c r="E8" s="12" t="s">
        <v>9</v>
      </c>
      <c r="F8" s="13"/>
      <c r="G8" s="13"/>
      <c r="H8" s="13"/>
      <c r="I8" s="14"/>
      <c r="J8" s="11"/>
    </row>
    <row r="9" spans="1:10" ht="15.75" x14ac:dyDescent="0.25">
      <c r="A9" s="2"/>
      <c r="B9" s="2"/>
      <c r="C9" s="241" t="s">
        <v>10</v>
      </c>
      <c r="D9" s="242"/>
      <c r="E9" s="8" t="s">
        <v>11</v>
      </c>
      <c r="F9" s="9"/>
      <c r="G9" s="9"/>
      <c r="H9" s="9"/>
      <c r="I9" s="10"/>
      <c r="J9" s="11"/>
    </row>
    <row r="10" spans="1:10" ht="15.75" x14ac:dyDescent="0.25">
      <c r="A10" s="2"/>
      <c r="B10" s="2"/>
      <c r="C10" s="253" t="s">
        <v>12</v>
      </c>
      <c r="D10" s="254"/>
      <c r="E10" s="12" t="s">
        <v>13</v>
      </c>
      <c r="F10" s="13"/>
      <c r="G10" s="13"/>
      <c r="H10" s="13"/>
      <c r="I10" s="14"/>
      <c r="J10" s="11"/>
    </row>
    <row r="11" spans="1:10" ht="15.75" x14ac:dyDescent="0.25">
      <c r="A11" s="2"/>
      <c r="B11" s="2"/>
      <c r="C11" s="241" t="s">
        <v>14</v>
      </c>
      <c r="D11" s="242"/>
      <c r="E11" s="8" t="s">
        <v>15</v>
      </c>
      <c r="F11" s="9"/>
      <c r="G11" s="9"/>
      <c r="H11" s="9"/>
      <c r="I11" s="10"/>
      <c r="J11" s="11"/>
    </row>
    <row r="12" spans="1:10" ht="15.75" x14ac:dyDescent="0.25">
      <c r="A12" s="2"/>
      <c r="B12" s="2"/>
      <c r="C12" s="253" t="s">
        <v>16</v>
      </c>
      <c r="D12" s="254"/>
      <c r="E12" s="15">
        <v>44119</v>
      </c>
      <c r="F12" s="13"/>
      <c r="G12" s="13"/>
      <c r="H12" s="13"/>
      <c r="I12" s="14"/>
      <c r="J12" s="11"/>
    </row>
    <row r="13" spans="1:10" ht="15.75" x14ac:dyDescent="0.25">
      <c r="A13" s="2"/>
      <c r="B13" s="2"/>
      <c r="C13" s="262" t="s">
        <v>17</v>
      </c>
      <c r="D13" s="248"/>
      <c r="E13" s="255">
        <v>44119</v>
      </c>
      <c r="F13" s="255"/>
      <c r="G13" s="255"/>
      <c r="H13" s="255"/>
      <c r="I13" s="16"/>
      <c r="J13" s="11"/>
    </row>
    <row r="14" spans="1:10" ht="15.75" x14ac:dyDescent="0.25">
      <c r="C14" s="4"/>
      <c r="D14" s="17"/>
      <c r="E14" s="4"/>
      <c r="F14" s="4"/>
      <c r="G14" s="4"/>
      <c r="H14" s="4"/>
      <c r="I14" s="4"/>
      <c r="J14" s="4"/>
    </row>
    <row r="15" spans="1:10" ht="15.75" x14ac:dyDescent="0.25">
      <c r="A15" s="250" t="s">
        <v>18</v>
      </c>
      <c r="B15" s="250"/>
      <c r="E15" s="4"/>
      <c r="F15" s="4"/>
      <c r="G15" s="4"/>
      <c r="H15" s="4"/>
      <c r="I15" s="4"/>
      <c r="J15" s="4"/>
    </row>
    <row r="16" spans="1:10" ht="15.75" x14ac:dyDescent="0.25">
      <c r="C16" s="256" t="s">
        <v>19</v>
      </c>
      <c r="D16" s="257"/>
      <c r="E16" s="258"/>
      <c r="G16" s="256" t="s">
        <v>20</v>
      </c>
      <c r="H16" s="257"/>
      <c r="I16" s="258"/>
    </row>
    <row r="17" spans="1:9" ht="15.75" x14ac:dyDescent="0.25">
      <c r="A17" s="4"/>
      <c r="B17" s="4"/>
      <c r="C17" s="259" t="s">
        <v>21</v>
      </c>
      <c r="D17" s="260"/>
      <c r="E17" s="261"/>
      <c r="G17" s="259" t="s">
        <v>22</v>
      </c>
      <c r="H17" s="260"/>
      <c r="I17" s="261"/>
    </row>
    <row r="18" spans="1:9" ht="15.75" x14ac:dyDescent="0.25">
      <c r="A18" s="4"/>
      <c r="B18" s="4"/>
      <c r="C18" s="259"/>
      <c r="D18" s="260"/>
      <c r="E18" s="261"/>
      <c r="G18" s="264"/>
      <c r="H18" s="265"/>
      <c r="I18" s="266"/>
    </row>
    <row r="19" spans="1:9" ht="15.75" x14ac:dyDescent="0.25">
      <c r="A19" s="4"/>
      <c r="B19" s="4"/>
      <c r="C19" s="259"/>
      <c r="D19" s="260"/>
      <c r="E19" s="261"/>
      <c r="G19" s="264"/>
      <c r="H19" s="265"/>
      <c r="I19" s="266"/>
    </row>
    <row r="20" spans="1:9" ht="41.25" customHeight="1" x14ac:dyDescent="0.25">
      <c r="A20" s="4"/>
      <c r="B20" s="4"/>
      <c r="C20" s="259"/>
      <c r="D20" s="260"/>
      <c r="E20" s="261"/>
      <c r="G20" s="264"/>
      <c r="H20" s="265"/>
      <c r="I20" s="266"/>
    </row>
    <row r="21" spans="1:9" ht="15.75" x14ac:dyDescent="0.25">
      <c r="A21" s="4"/>
      <c r="B21" s="4"/>
      <c r="C21" s="259"/>
      <c r="D21" s="260"/>
      <c r="E21" s="261"/>
      <c r="G21" s="264"/>
      <c r="H21" s="265"/>
      <c r="I21" s="266"/>
    </row>
    <row r="22" spans="1:9" ht="15.75" x14ac:dyDescent="0.25">
      <c r="A22" s="4"/>
      <c r="B22" s="4"/>
      <c r="C22" s="259"/>
      <c r="D22" s="260"/>
      <c r="E22" s="261"/>
      <c r="G22" s="264"/>
      <c r="H22" s="265"/>
      <c r="I22" s="266"/>
    </row>
    <row r="23" spans="1:9" ht="15.75" x14ac:dyDescent="0.25">
      <c r="A23" s="4"/>
      <c r="B23" s="4"/>
      <c r="C23" s="259"/>
      <c r="D23" s="260"/>
      <c r="E23" s="261"/>
      <c r="G23" s="264"/>
      <c r="H23" s="265"/>
      <c r="I23" s="266"/>
    </row>
    <row r="24" spans="1:9" ht="15.75" x14ac:dyDescent="0.25">
      <c r="A24" s="4"/>
      <c r="B24" s="4"/>
      <c r="C24" s="267" t="s">
        <v>9</v>
      </c>
      <c r="D24" s="268"/>
      <c r="E24" s="269"/>
      <c r="G24" s="267" t="s">
        <v>5</v>
      </c>
      <c r="H24" s="268"/>
      <c r="I24" s="269"/>
    </row>
    <row r="25" spans="1:9" ht="15.75" x14ac:dyDescent="0.25">
      <c r="A25" s="4"/>
      <c r="B25" s="4"/>
      <c r="C25" s="267" t="s">
        <v>23</v>
      </c>
      <c r="D25" s="268"/>
      <c r="E25" s="269"/>
      <c r="G25" s="267" t="s">
        <v>24</v>
      </c>
      <c r="H25" s="268"/>
      <c r="I25" s="269"/>
    </row>
    <row r="26" spans="1:9" ht="15.75" x14ac:dyDescent="0.25">
      <c r="A26" s="4"/>
      <c r="B26" s="4"/>
      <c r="C26" s="270" t="s">
        <v>25</v>
      </c>
      <c r="D26" s="271"/>
      <c r="E26" s="272"/>
      <c r="G26" s="270" t="s">
        <v>26</v>
      </c>
      <c r="H26" s="271"/>
      <c r="I26" s="272"/>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27</v>
      </c>
      <c r="D29" s="273" t="s">
        <v>28</v>
      </c>
      <c r="E29" s="273"/>
      <c r="F29" s="273"/>
      <c r="G29" s="273"/>
      <c r="H29" s="21" t="s">
        <v>29</v>
      </c>
      <c r="I29" s="19"/>
    </row>
    <row r="30" spans="1:9" ht="15.75" x14ac:dyDescent="0.25">
      <c r="A30" s="4"/>
      <c r="B30" s="4"/>
      <c r="C30" s="20" t="s">
        <v>30</v>
      </c>
      <c r="D30" s="273" t="s">
        <v>31</v>
      </c>
      <c r="E30" s="273"/>
      <c r="F30" s="273"/>
      <c r="G30" s="273"/>
      <c r="H30" s="21"/>
      <c r="I30" s="19"/>
    </row>
    <row r="31" spans="1:9" ht="15.75" x14ac:dyDescent="0.25">
      <c r="A31" s="4"/>
      <c r="B31" s="4"/>
      <c r="C31" s="22">
        <v>1</v>
      </c>
      <c r="D31" s="263" t="s">
        <v>32</v>
      </c>
      <c r="E31" s="263"/>
      <c r="F31" s="263"/>
      <c r="G31" s="263"/>
      <c r="H31" s="23" t="s">
        <v>33</v>
      </c>
      <c r="I31" s="19"/>
    </row>
    <row r="32" spans="1:9" ht="15.75" x14ac:dyDescent="0.25">
      <c r="A32" s="4"/>
      <c r="B32" s="4"/>
      <c r="C32" s="22">
        <v>2</v>
      </c>
      <c r="D32" s="263" t="s">
        <v>34</v>
      </c>
      <c r="E32" s="263"/>
      <c r="F32" s="263"/>
      <c r="G32" s="263"/>
      <c r="H32" s="23" t="s">
        <v>35</v>
      </c>
      <c r="I32" s="19"/>
    </row>
    <row r="33" spans="1:9" ht="15.75" x14ac:dyDescent="0.25">
      <c r="A33" s="4"/>
      <c r="B33" s="4"/>
      <c r="C33" s="22">
        <v>3</v>
      </c>
      <c r="D33" s="263" t="s">
        <v>36</v>
      </c>
      <c r="E33" s="263"/>
      <c r="F33" s="263"/>
      <c r="G33" s="263"/>
      <c r="H33" s="23" t="s">
        <v>37</v>
      </c>
      <c r="I33" s="19"/>
    </row>
    <row r="34" spans="1:9" ht="15.75" x14ac:dyDescent="0.25">
      <c r="A34" s="4"/>
      <c r="B34" s="4"/>
      <c r="C34" s="22">
        <v>4</v>
      </c>
      <c r="D34" s="263" t="s">
        <v>38</v>
      </c>
      <c r="E34" s="263"/>
      <c r="F34" s="263"/>
      <c r="G34" s="263"/>
      <c r="H34" s="23" t="s">
        <v>39</v>
      </c>
      <c r="I34" s="19"/>
    </row>
    <row r="35" spans="1:9" ht="15.75" x14ac:dyDescent="0.25">
      <c r="A35" s="4"/>
      <c r="B35" s="4"/>
      <c r="C35" s="22">
        <v>5</v>
      </c>
      <c r="D35" s="263" t="s">
        <v>40</v>
      </c>
      <c r="E35" s="263"/>
      <c r="F35" s="263"/>
      <c r="G35" s="263"/>
      <c r="H35" s="23" t="s">
        <v>41</v>
      </c>
      <c r="I35" s="19"/>
    </row>
    <row r="36" spans="1:9" ht="15.75" x14ac:dyDescent="0.25">
      <c r="A36" s="4"/>
      <c r="B36" s="4"/>
      <c r="C36" s="22">
        <v>6</v>
      </c>
      <c r="D36" s="263" t="s">
        <v>42</v>
      </c>
      <c r="E36" s="263"/>
      <c r="F36" s="263"/>
      <c r="G36" s="263"/>
      <c r="H36" s="23" t="s">
        <v>43</v>
      </c>
      <c r="I36" s="19"/>
    </row>
    <row r="37" spans="1:9" ht="15.75" x14ac:dyDescent="0.25">
      <c r="A37" s="4"/>
      <c r="B37" s="4"/>
      <c r="C37" s="22">
        <v>7</v>
      </c>
      <c r="D37" s="263" t="s">
        <v>44</v>
      </c>
      <c r="E37" s="263"/>
      <c r="F37" s="263"/>
      <c r="G37" s="263"/>
      <c r="H37" s="23" t="s">
        <v>45</v>
      </c>
      <c r="I37" s="19"/>
    </row>
    <row r="38" spans="1:9" ht="15.75" x14ac:dyDescent="0.25">
      <c r="A38" s="4"/>
      <c r="B38" s="4"/>
      <c r="C38" s="22">
        <v>8</v>
      </c>
      <c r="D38" s="263" t="s">
        <v>46</v>
      </c>
      <c r="E38" s="263"/>
      <c r="F38" s="263"/>
      <c r="G38" s="263"/>
      <c r="H38" s="24" t="s">
        <v>47</v>
      </c>
      <c r="I38" s="19"/>
    </row>
    <row r="39" spans="1:9" ht="15.75" x14ac:dyDescent="0.25">
      <c r="A39" s="4"/>
      <c r="B39" s="4"/>
      <c r="C39" s="22">
        <v>9</v>
      </c>
      <c r="D39" s="263" t="s">
        <v>48</v>
      </c>
      <c r="E39" s="263"/>
      <c r="F39" s="263"/>
      <c r="G39" s="263"/>
      <c r="H39" s="24" t="s">
        <v>49</v>
      </c>
      <c r="I39" s="19"/>
    </row>
    <row r="40" spans="1:9" ht="15.75" x14ac:dyDescent="0.25">
      <c r="A40" s="4"/>
      <c r="B40" s="4"/>
      <c r="C40" s="22">
        <v>10</v>
      </c>
      <c r="D40" s="263" t="s">
        <v>36</v>
      </c>
      <c r="E40" s="263"/>
      <c r="F40" s="263"/>
      <c r="G40" s="263"/>
      <c r="H40" s="25" t="s">
        <v>50</v>
      </c>
      <c r="I40" s="19"/>
    </row>
    <row r="41" spans="1:9" ht="15.75" x14ac:dyDescent="0.25">
      <c r="A41" s="4"/>
      <c r="B41" s="4"/>
      <c r="C41" s="22">
        <v>11</v>
      </c>
      <c r="D41" s="263" t="s">
        <v>51</v>
      </c>
      <c r="E41" s="263"/>
      <c r="F41" s="263"/>
      <c r="G41" s="263"/>
      <c r="H41" s="26" t="s">
        <v>52</v>
      </c>
      <c r="I41" s="19"/>
    </row>
    <row r="42" spans="1:9" ht="15.75" x14ac:dyDescent="0.25">
      <c r="A42" s="4"/>
      <c r="B42" s="4"/>
      <c r="C42" s="20" t="s">
        <v>53</v>
      </c>
      <c r="D42" s="274" t="s">
        <v>54</v>
      </c>
      <c r="E42" s="274"/>
      <c r="F42" s="274"/>
      <c r="G42" s="274"/>
      <c r="H42" s="27" t="s">
        <v>55</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A52" s="4"/>
      <c r="B52" s="4"/>
      <c r="C52" s="18"/>
      <c r="D52" s="18"/>
      <c r="E52" s="18"/>
      <c r="G52" s="19"/>
      <c r="H52" s="19"/>
      <c r="I52" s="19"/>
    </row>
    <row r="53" spans="1:9" ht="15.75" x14ac:dyDescent="0.25">
      <c r="A53" s="4"/>
      <c r="B53" s="4"/>
      <c r="C53" s="18"/>
      <c r="D53" s="18"/>
      <c r="E53" s="18"/>
      <c r="G53" s="19"/>
      <c r="H53" s="19"/>
      <c r="I53" s="19"/>
    </row>
    <row r="54" spans="1:9" ht="15.75" x14ac:dyDescent="0.25">
      <c r="B54" s="28"/>
      <c r="C54" s="29"/>
    </row>
    <row r="71"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A1" display="06107"/>
    <hyperlink ref="H39" location="DangHD_06182!A1" display="06182"/>
    <hyperlink ref="H40" location="BCDMDT_06108!A1" display="06108"/>
    <hyperlink ref="H41" location="BCLCGT_06262!A1" display="06262"/>
  </hyperlinks>
  <pageMargins left="0.5" right="0.55000000000000004" top="1"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zoomScaleNormal="100" zoomScaleSheetLayoutView="100" workbookViewId="0">
      <selection activeCell="C112" sqref="A1:F112"/>
    </sheetView>
  </sheetViews>
  <sheetFormatPr defaultRowHeight="15" x14ac:dyDescent="0.25"/>
  <cols>
    <col min="1" max="1" width="3.85546875" style="30" bestFit="1" customWidth="1"/>
    <col min="2" max="2" width="44.85546875" style="30" customWidth="1"/>
    <col min="3" max="3" width="9.140625" style="30"/>
    <col min="4" max="5" width="16.7109375" style="30" customWidth="1"/>
    <col min="6" max="6" width="13.85546875" style="30" customWidth="1"/>
    <col min="7" max="16384" width="9.140625" style="30"/>
  </cols>
  <sheetData>
    <row r="1" spans="1:6" ht="25.5" customHeight="1" x14ac:dyDescent="0.25">
      <c r="A1" s="277"/>
      <c r="B1" s="277"/>
      <c r="C1" s="278" t="s">
        <v>56</v>
      </c>
      <c r="D1" s="278"/>
      <c r="E1" s="278"/>
      <c r="F1" s="278"/>
    </row>
    <row r="2" spans="1:6" ht="41.25" customHeight="1" x14ac:dyDescent="0.25">
      <c r="A2" s="279" t="s">
        <v>57</v>
      </c>
      <c r="B2" s="279"/>
      <c r="C2" s="279"/>
      <c r="D2" s="279"/>
      <c r="E2" s="279"/>
      <c r="F2" s="279"/>
    </row>
    <row r="3" spans="1:6" ht="27.75" customHeight="1" x14ac:dyDescent="0.25">
      <c r="A3" s="280" t="s">
        <v>58</v>
      </c>
      <c r="B3" s="280"/>
      <c r="C3" s="280"/>
      <c r="D3" s="280"/>
      <c r="E3" s="280"/>
      <c r="F3" s="280"/>
    </row>
    <row r="4" spans="1:6" ht="21" customHeight="1" x14ac:dyDescent="0.25">
      <c r="A4" s="281" t="s">
        <v>59</v>
      </c>
      <c r="B4" s="281"/>
      <c r="C4" s="281"/>
      <c r="D4" s="281"/>
      <c r="E4" s="281"/>
      <c r="F4" s="281"/>
    </row>
    <row r="5" spans="1:6" ht="9" customHeight="1" x14ac:dyDescent="0.25">
      <c r="A5" s="31"/>
      <c r="B5" s="31"/>
      <c r="C5" s="31"/>
      <c r="D5" s="31"/>
      <c r="E5" s="31"/>
      <c r="F5" s="31"/>
    </row>
    <row r="6" spans="1:6" ht="12" customHeight="1" x14ac:dyDescent="0.25">
      <c r="A6" s="32" t="s">
        <v>60</v>
      </c>
      <c r="B6" s="33" t="s">
        <v>4</v>
      </c>
      <c r="C6" s="276" t="s">
        <v>61</v>
      </c>
      <c r="D6" s="276"/>
      <c r="E6" s="276"/>
      <c r="F6" s="276"/>
    </row>
    <row r="7" spans="1:6" ht="12" customHeight="1" x14ac:dyDescent="0.25">
      <c r="A7" s="31"/>
      <c r="B7" s="34" t="s">
        <v>6</v>
      </c>
      <c r="C7" s="282" t="s">
        <v>7</v>
      </c>
      <c r="D7" s="282"/>
      <c r="E7" s="282"/>
      <c r="F7" s="282"/>
    </row>
    <row r="8" spans="1:6" ht="12" customHeight="1" x14ac:dyDescent="0.25">
      <c r="A8" s="32" t="s">
        <v>62</v>
      </c>
      <c r="B8" s="33" t="s">
        <v>63</v>
      </c>
      <c r="C8" s="283" t="s">
        <v>64</v>
      </c>
      <c r="D8" s="283"/>
      <c r="E8" s="283"/>
      <c r="F8" s="283"/>
    </row>
    <row r="9" spans="1:6" ht="12" customHeight="1" x14ac:dyDescent="0.25">
      <c r="A9" s="31"/>
      <c r="B9" s="34" t="s">
        <v>65</v>
      </c>
      <c r="C9" s="284" t="s">
        <v>66</v>
      </c>
      <c r="D9" s="284"/>
      <c r="E9" s="284"/>
      <c r="F9" s="284"/>
    </row>
    <row r="10" spans="1:6" ht="12" customHeight="1" x14ac:dyDescent="0.25">
      <c r="A10" s="32" t="s">
        <v>67</v>
      </c>
      <c r="B10" s="33" t="s">
        <v>12</v>
      </c>
      <c r="C10" s="276" t="s">
        <v>68</v>
      </c>
      <c r="D10" s="276"/>
      <c r="E10" s="276"/>
      <c r="F10" s="276"/>
    </row>
    <row r="11" spans="1:6" ht="12" customHeight="1" x14ac:dyDescent="0.25">
      <c r="A11" s="31"/>
      <c r="B11" s="34" t="s">
        <v>69</v>
      </c>
      <c r="C11" s="282" t="s">
        <v>70</v>
      </c>
      <c r="D11" s="282"/>
      <c r="E11" s="282"/>
      <c r="F11" s="282"/>
    </row>
    <row r="12" spans="1:6" ht="12" customHeight="1" x14ac:dyDescent="0.25">
      <c r="A12" s="32" t="s">
        <v>71</v>
      </c>
      <c r="B12" s="33" t="s">
        <v>16</v>
      </c>
      <c r="C12" s="275">
        <v>44119</v>
      </c>
      <c r="D12" s="276"/>
      <c r="E12" s="276"/>
      <c r="F12" s="276"/>
    </row>
    <row r="13" spans="1:6" ht="12" customHeight="1" x14ac:dyDescent="0.25">
      <c r="A13" s="31"/>
      <c r="B13" s="34" t="s">
        <v>17</v>
      </c>
      <c r="C13" s="287">
        <v>44119</v>
      </c>
      <c r="D13" s="282"/>
      <c r="E13" s="282"/>
      <c r="F13" s="282"/>
    </row>
    <row r="14" spans="1:6" ht="12.75" customHeight="1" x14ac:dyDescent="0.25">
      <c r="A14" s="31"/>
      <c r="B14" s="35"/>
      <c r="C14" s="281"/>
      <c r="D14" s="281"/>
      <c r="E14" s="281"/>
      <c r="F14" s="281"/>
    </row>
    <row r="15" spans="1:6" ht="12.75" customHeight="1" x14ac:dyDescent="0.25">
      <c r="A15" s="288" t="s">
        <v>72</v>
      </c>
      <c r="B15" s="288"/>
      <c r="C15" s="288"/>
      <c r="D15" s="288"/>
      <c r="E15" s="288"/>
      <c r="F15" s="288"/>
    </row>
    <row r="16" spans="1:6" ht="12.75" customHeight="1" x14ac:dyDescent="0.25">
      <c r="A16" s="288" t="s">
        <v>73</v>
      </c>
      <c r="B16" s="288"/>
      <c r="C16" s="288"/>
      <c r="D16" s="288"/>
      <c r="E16" s="288"/>
      <c r="F16" s="31"/>
    </row>
    <row r="17" spans="1:6" ht="12.75" customHeight="1" x14ac:dyDescent="0.25">
      <c r="A17" s="36"/>
      <c r="B17" s="37"/>
      <c r="C17" s="37"/>
      <c r="D17" s="37"/>
      <c r="E17" s="289" t="s">
        <v>74</v>
      </c>
      <c r="F17" s="289"/>
    </row>
    <row r="18" spans="1:6" ht="42" x14ac:dyDescent="0.25">
      <c r="A18" s="38" t="s">
        <v>75</v>
      </c>
      <c r="B18" s="39" t="s">
        <v>76</v>
      </c>
      <c r="C18" s="39" t="s">
        <v>77</v>
      </c>
      <c r="D18" s="39" t="s">
        <v>59</v>
      </c>
      <c r="E18" s="39" t="s">
        <v>78</v>
      </c>
      <c r="F18" s="40" t="s">
        <v>79</v>
      </c>
    </row>
    <row r="19" spans="1:6" ht="21" x14ac:dyDescent="0.25">
      <c r="A19" s="41" t="s">
        <v>80</v>
      </c>
      <c r="B19" s="42" t="s">
        <v>81</v>
      </c>
      <c r="C19" s="43" t="s">
        <v>82</v>
      </c>
      <c r="D19" s="44">
        <v>0</v>
      </c>
      <c r="E19" s="44">
        <v>0</v>
      </c>
      <c r="F19" s="45">
        <v>0</v>
      </c>
    </row>
    <row r="20" spans="1:6" ht="21" x14ac:dyDescent="0.25">
      <c r="A20" s="46" t="s">
        <v>83</v>
      </c>
      <c r="B20" s="47" t="s">
        <v>84</v>
      </c>
      <c r="C20" s="48" t="s">
        <v>85</v>
      </c>
      <c r="D20" s="49">
        <v>14866265764</v>
      </c>
      <c r="E20" s="49">
        <v>8902189543</v>
      </c>
      <c r="F20" s="50">
        <v>0</v>
      </c>
    </row>
    <row r="21" spans="1:6" ht="21" x14ac:dyDescent="0.25">
      <c r="A21" s="46"/>
      <c r="B21" s="47" t="s">
        <v>86</v>
      </c>
      <c r="C21" s="48" t="s">
        <v>87</v>
      </c>
      <c r="D21" s="49">
        <v>0</v>
      </c>
      <c r="E21" s="49">
        <v>0</v>
      </c>
      <c r="F21" s="50">
        <v>0</v>
      </c>
    </row>
    <row r="22" spans="1:6" ht="21" x14ac:dyDescent="0.25">
      <c r="A22" s="46"/>
      <c r="B22" s="47" t="s">
        <v>88</v>
      </c>
      <c r="C22" s="48" t="s">
        <v>89</v>
      </c>
      <c r="D22" s="49">
        <v>1366265764</v>
      </c>
      <c r="E22" s="49">
        <v>3402189543</v>
      </c>
      <c r="F22" s="50">
        <v>0</v>
      </c>
    </row>
    <row r="23" spans="1:6" ht="22.5" customHeight="1" x14ac:dyDescent="0.25">
      <c r="A23" s="51"/>
      <c r="B23" s="52" t="s">
        <v>90</v>
      </c>
      <c r="C23" s="53" t="s">
        <v>91</v>
      </c>
      <c r="D23" s="54">
        <v>0</v>
      </c>
      <c r="E23" s="54">
        <v>0</v>
      </c>
      <c r="F23" s="55">
        <v>0</v>
      </c>
    </row>
    <row r="24" spans="1:6" ht="21" x14ac:dyDescent="0.25">
      <c r="A24" s="51"/>
      <c r="B24" s="52" t="s">
        <v>92</v>
      </c>
      <c r="C24" s="53" t="s">
        <v>93</v>
      </c>
      <c r="D24" s="54">
        <v>0</v>
      </c>
      <c r="E24" s="54">
        <v>0</v>
      </c>
      <c r="F24" s="55">
        <v>0</v>
      </c>
    </row>
    <row r="25" spans="1:6" ht="21" x14ac:dyDescent="0.25">
      <c r="A25" s="51"/>
      <c r="B25" s="52" t="s">
        <v>94</v>
      </c>
      <c r="C25" s="53" t="s">
        <v>95</v>
      </c>
      <c r="D25" s="54">
        <v>1328738761</v>
      </c>
      <c r="E25" s="54">
        <v>3328854708</v>
      </c>
      <c r="F25" s="55">
        <v>0</v>
      </c>
    </row>
    <row r="26" spans="1:6" ht="23.25" customHeight="1" x14ac:dyDescent="0.25">
      <c r="A26" s="51"/>
      <c r="B26" s="52" t="s">
        <v>1194</v>
      </c>
      <c r="C26" s="53" t="s">
        <v>96</v>
      </c>
      <c r="D26" s="54">
        <v>0</v>
      </c>
      <c r="E26" s="54">
        <v>0</v>
      </c>
      <c r="F26" s="55">
        <v>0</v>
      </c>
    </row>
    <row r="27" spans="1:6" ht="21" x14ac:dyDescent="0.25">
      <c r="A27" s="51"/>
      <c r="B27" s="52" t="s">
        <v>97</v>
      </c>
      <c r="C27" s="53" t="s">
        <v>98</v>
      </c>
      <c r="D27" s="54">
        <v>37527003</v>
      </c>
      <c r="E27" s="54">
        <v>73334835</v>
      </c>
      <c r="F27" s="55">
        <v>0</v>
      </c>
    </row>
    <row r="28" spans="1:6" ht="21" x14ac:dyDescent="0.25">
      <c r="A28" s="46"/>
      <c r="B28" s="47" t="s">
        <v>99</v>
      </c>
      <c r="C28" s="48" t="s">
        <v>100</v>
      </c>
      <c r="D28" s="49">
        <v>13500000000</v>
      </c>
      <c r="E28" s="49">
        <v>5500000000</v>
      </c>
      <c r="F28" s="50">
        <v>0</v>
      </c>
    </row>
    <row r="29" spans="1:6" ht="21" x14ac:dyDescent="0.25">
      <c r="A29" s="46" t="s">
        <v>101</v>
      </c>
      <c r="B29" s="47" t="s">
        <v>102</v>
      </c>
      <c r="C29" s="48" t="s">
        <v>103</v>
      </c>
      <c r="D29" s="49">
        <v>2232023736450</v>
      </c>
      <c r="E29" s="49">
        <v>1354579889250</v>
      </c>
      <c r="F29" s="50">
        <v>0</v>
      </c>
    </row>
    <row r="30" spans="1:6" ht="21" x14ac:dyDescent="0.25">
      <c r="A30" s="46"/>
      <c r="B30" s="47" t="s">
        <v>104</v>
      </c>
      <c r="C30" s="48" t="s">
        <v>105</v>
      </c>
      <c r="D30" s="49">
        <v>2232023736450</v>
      </c>
      <c r="E30" s="49">
        <v>1354579889250</v>
      </c>
      <c r="F30" s="50">
        <v>0</v>
      </c>
    </row>
    <row r="31" spans="1:6" ht="21" x14ac:dyDescent="0.25">
      <c r="A31" s="46"/>
      <c r="B31" s="47" t="s">
        <v>106</v>
      </c>
      <c r="C31" s="48" t="s">
        <v>107</v>
      </c>
      <c r="D31" s="49">
        <v>0</v>
      </c>
      <c r="E31" s="49">
        <v>0</v>
      </c>
      <c r="F31" s="50">
        <v>0</v>
      </c>
    </row>
    <row r="32" spans="1:6" ht="21" x14ac:dyDescent="0.25">
      <c r="A32" s="46"/>
      <c r="B32" s="47" t="s">
        <v>108</v>
      </c>
      <c r="C32" s="48" t="s">
        <v>109</v>
      </c>
      <c r="D32" s="49">
        <v>0</v>
      </c>
      <c r="E32" s="49">
        <v>0</v>
      </c>
      <c r="F32" s="50">
        <v>0</v>
      </c>
    </row>
    <row r="33" spans="1:6" ht="21" x14ac:dyDescent="0.25">
      <c r="A33" s="46"/>
      <c r="B33" s="47" t="s">
        <v>110</v>
      </c>
      <c r="C33" s="48" t="s">
        <v>111</v>
      </c>
      <c r="D33" s="49">
        <v>0</v>
      </c>
      <c r="E33" s="49">
        <v>0</v>
      </c>
      <c r="F33" s="50">
        <v>0</v>
      </c>
    </row>
    <row r="34" spans="1:6" ht="21" x14ac:dyDescent="0.25">
      <c r="A34" s="46"/>
      <c r="B34" s="47" t="s">
        <v>112</v>
      </c>
      <c r="C34" s="48" t="s">
        <v>113</v>
      </c>
      <c r="D34" s="49">
        <v>0</v>
      </c>
      <c r="E34" s="49">
        <v>0</v>
      </c>
      <c r="F34" s="50">
        <v>0</v>
      </c>
    </row>
    <row r="35" spans="1:6" ht="21" x14ac:dyDescent="0.25">
      <c r="A35" s="46"/>
      <c r="B35" s="47" t="s">
        <v>114</v>
      </c>
      <c r="C35" s="48" t="s">
        <v>115</v>
      </c>
      <c r="D35" s="49">
        <v>0</v>
      </c>
      <c r="E35" s="49">
        <v>0</v>
      </c>
      <c r="F35" s="50">
        <v>0</v>
      </c>
    </row>
    <row r="36" spans="1:6" ht="21" x14ac:dyDescent="0.25">
      <c r="A36" s="46"/>
      <c r="B36" s="47" t="s">
        <v>116</v>
      </c>
      <c r="C36" s="48" t="s">
        <v>117</v>
      </c>
      <c r="D36" s="49">
        <v>0</v>
      </c>
      <c r="E36" s="49">
        <v>0</v>
      </c>
      <c r="F36" s="50">
        <v>0</v>
      </c>
    </row>
    <row r="37" spans="1:6" x14ac:dyDescent="0.25">
      <c r="A37" s="46"/>
      <c r="B37" s="47" t="s">
        <v>118</v>
      </c>
      <c r="C37" s="48" t="s">
        <v>119</v>
      </c>
      <c r="D37" s="49">
        <v>0</v>
      </c>
      <c r="E37" s="49">
        <v>0</v>
      </c>
      <c r="F37" s="50">
        <v>0</v>
      </c>
    </row>
    <row r="38" spans="1:6" ht="21" x14ac:dyDescent="0.25">
      <c r="A38" s="46" t="s">
        <v>120</v>
      </c>
      <c r="B38" s="47" t="s">
        <v>121</v>
      </c>
      <c r="C38" s="48" t="s">
        <v>122</v>
      </c>
      <c r="D38" s="49">
        <v>0</v>
      </c>
      <c r="E38" s="49">
        <v>0</v>
      </c>
      <c r="F38" s="50">
        <v>0</v>
      </c>
    </row>
    <row r="39" spans="1:6" ht="21" x14ac:dyDescent="0.25">
      <c r="A39" s="46"/>
      <c r="B39" s="47" t="s">
        <v>123</v>
      </c>
      <c r="C39" s="48" t="s">
        <v>124</v>
      </c>
      <c r="D39" s="49">
        <v>0</v>
      </c>
      <c r="E39" s="49">
        <v>0</v>
      </c>
      <c r="F39" s="50">
        <v>0</v>
      </c>
    </row>
    <row r="40" spans="1:6" ht="21" x14ac:dyDescent="0.25">
      <c r="A40" s="46"/>
      <c r="B40" s="47" t="s">
        <v>125</v>
      </c>
      <c r="C40" s="48" t="s">
        <v>126</v>
      </c>
      <c r="D40" s="49">
        <v>0</v>
      </c>
      <c r="E40" s="49">
        <v>0</v>
      </c>
      <c r="F40" s="50">
        <v>0</v>
      </c>
    </row>
    <row r="41" spans="1:6" ht="21" x14ac:dyDescent="0.25">
      <c r="A41" s="46" t="s">
        <v>127</v>
      </c>
      <c r="B41" s="47" t="s">
        <v>128</v>
      </c>
      <c r="C41" s="48" t="s">
        <v>129</v>
      </c>
      <c r="D41" s="49">
        <v>13545203</v>
      </c>
      <c r="E41" s="49">
        <v>14671232</v>
      </c>
      <c r="F41" s="50">
        <v>0</v>
      </c>
    </row>
    <row r="42" spans="1:6" ht="31.5" x14ac:dyDescent="0.25">
      <c r="A42" s="46"/>
      <c r="B42" s="47" t="s">
        <v>130</v>
      </c>
      <c r="C42" s="48" t="s">
        <v>131</v>
      </c>
      <c r="D42" s="49">
        <v>13545203</v>
      </c>
      <c r="E42" s="49">
        <v>14671232</v>
      </c>
      <c r="F42" s="50">
        <v>0</v>
      </c>
    </row>
    <row r="43" spans="1:6" ht="31.5" x14ac:dyDescent="0.25">
      <c r="A43" s="46"/>
      <c r="B43" s="47" t="s">
        <v>132</v>
      </c>
      <c r="C43" s="48" t="s">
        <v>133</v>
      </c>
      <c r="D43" s="49">
        <v>0</v>
      </c>
      <c r="E43" s="49">
        <v>0</v>
      </c>
      <c r="F43" s="50">
        <v>0</v>
      </c>
    </row>
    <row r="44" spans="1:6" ht="21" x14ac:dyDescent="0.25">
      <c r="A44" s="46"/>
      <c r="B44" s="47" t="s">
        <v>134</v>
      </c>
      <c r="C44" s="48" t="s">
        <v>135</v>
      </c>
      <c r="D44" s="49">
        <v>0</v>
      </c>
      <c r="E44" s="49">
        <v>0</v>
      </c>
      <c r="F44" s="50">
        <v>0</v>
      </c>
    </row>
    <row r="45" spans="1:6" ht="21" x14ac:dyDescent="0.25">
      <c r="A45" s="46" t="s">
        <v>136</v>
      </c>
      <c r="B45" s="47" t="s">
        <v>137</v>
      </c>
      <c r="C45" s="48" t="s">
        <v>138</v>
      </c>
      <c r="D45" s="49">
        <v>1581941500</v>
      </c>
      <c r="E45" s="49">
        <v>0</v>
      </c>
      <c r="F45" s="50">
        <v>0</v>
      </c>
    </row>
    <row r="46" spans="1:6" ht="21" x14ac:dyDescent="0.25">
      <c r="A46" s="46" t="s">
        <v>139</v>
      </c>
      <c r="B46" s="47" t="s">
        <v>140</v>
      </c>
      <c r="C46" s="48" t="s">
        <v>141</v>
      </c>
      <c r="D46" s="49">
        <v>0</v>
      </c>
      <c r="E46" s="49">
        <v>0</v>
      </c>
      <c r="F46" s="50">
        <v>0</v>
      </c>
    </row>
    <row r="47" spans="1:6" ht="21" x14ac:dyDescent="0.25">
      <c r="A47" s="46"/>
      <c r="B47" s="47" t="s">
        <v>142</v>
      </c>
      <c r="C47" s="48" t="s">
        <v>143</v>
      </c>
      <c r="D47" s="49">
        <v>0</v>
      </c>
      <c r="E47" s="49">
        <v>0</v>
      </c>
      <c r="F47" s="50">
        <v>0</v>
      </c>
    </row>
    <row r="48" spans="1:6" ht="21" x14ac:dyDescent="0.25">
      <c r="A48" s="46"/>
      <c r="B48" s="47" t="s">
        <v>144</v>
      </c>
      <c r="C48" s="48" t="s">
        <v>145</v>
      </c>
      <c r="D48" s="49">
        <v>0</v>
      </c>
      <c r="E48" s="49">
        <v>0</v>
      </c>
      <c r="F48" s="50">
        <v>0</v>
      </c>
    </row>
    <row r="49" spans="1:6" ht="21" x14ac:dyDescent="0.25">
      <c r="A49" s="46"/>
      <c r="B49" s="47" t="s">
        <v>146</v>
      </c>
      <c r="C49" s="48" t="s">
        <v>147</v>
      </c>
      <c r="D49" s="49">
        <v>0</v>
      </c>
      <c r="E49" s="49">
        <v>0</v>
      </c>
      <c r="F49" s="50">
        <v>0</v>
      </c>
    </row>
    <row r="50" spans="1:6" ht="21" x14ac:dyDescent="0.25">
      <c r="A50" s="46" t="s">
        <v>148</v>
      </c>
      <c r="B50" s="47" t="s">
        <v>149</v>
      </c>
      <c r="C50" s="48" t="s">
        <v>150</v>
      </c>
      <c r="D50" s="49">
        <v>0</v>
      </c>
      <c r="E50" s="49">
        <v>0</v>
      </c>
      <c r="F50" s="50">
        <v>0</v>
      </c>
    </row>
    <row r="51" spans="1:6" ht="21" x14ac:dyDescent="0.25">
      <c r="A51" s="46"/>
      <c r="B51" s="47" t="s">
        <v>151</v>
      </c>
      <c r="C51" s="48" t="s">
        <v>152</v>
      </c>
      <c r="D51" s="49">
        <v>0</v>
      </c>
      <c r="E51" s="49">
        <v>0</v>
      </c>
      <c r="F51" s="50">
        <v>0</v>
      </c>
    </row>
    <row r="52" spans="1:6" ht="21" x14ac:dyDescent="0.25">
      <c r="A52" s="46"/>
      <c r="B52" s="47" t="s">
        <v>153</v>
      </c>
      <c r="C52" s="48" t="s">
        <v>154</v>
      </c>
      <c r="D52" s="49">
        <v>0</v>
      </c>
      <c r="E52" s="49">
        <v>0</v>
      </c>
      <c r="F52" s="50">
        <v>0</v>
      </c>
    </row>
    <row r="53" spans="1:6" ht="21" x14ac:dyDescent="0.25">
      <c r="A53" s="46"/>
      <c r="B53" s="47" t="s">
        <v>155</v>
      </c>
      <c r="C53" s="48" t="s">
        <v>156</v>
      </c>
      <c r="D53" s="49">
        <v>0</v>
      </c>
      <c r="E53" s="49">
        <v>0</v>
      </c>
      <c r="F53" s="50">
        <v>0</v>
      </c>
    </row>
    <row r="54" spans="1:6" ht="21" x14ac:dyDescent="0.25">
      <c r="A54" s="46"/>
      <c r="B54" s="47" t="s">
        <v>157</v>
      </c>
      <c r="C54" s="48" t="s">
        <v>158</v>
      </c>
      <c r="D54" s="49">
        <v>0</v>
      </c>
      <c r="E54" s="49">
        <v>0</v>
      </c>
      <c r="F54" s="50">
        <v>0</v>
      </c>
    </row>
    <row r="55" spans="1:6" ht="31.5" x14ac:dyDescent="0.25">
      <c r="A55" s="46"/>
      <c r="B55" s="47" t="s">
        <v>159</v>
      </c>
      <c r="C55" s="48" t="s">
        <v>160</v>
      </c>
      <c r="D55" s="49">
        <v>0</v>
      </c>
      <c r="E55" s="49">
        <v>0</v>
      </c>
      <c r="F55" s="50">
        <v>0</v>
      </c>
    </row>
    <row r="56" spans="1:6" ht="21" x14ac:dyDescent="0.25">
      <c r="A56" s="41" t="s">
        <v>161</v>
      </c>
      <c r="B56" s="42" t="s">
        <v>162</v>
      </c>
      <c r="C56" s="43" t="s">
        <v>163</v>
      </c>
      <c r="D56" s="44">
        <v>2248485488917</v>
      </c>
      <c r="E56" s="44">
        <v>1363496750025</v>
      </c>
      <c r="F56" s="45">
        <v>0</v>
      </c>
    </row>
    <row r="57" spans="1:6" ht="21" x14ac:dyDescent="0.25">
      <c r="A57" s="41" t="s">
        <v>164</v>
      </c>
      <c r="B57" s="42" t="s">
        <v>165</v>
      </c>
      <c r="C57" s="43" t="s">
        <v>166</v>
      </c>
      <c r="D57" s="44">
        <v>0</v>
      </c>
      <c r="E57" s="44">
        <v>0</v>
      </c>
      <c r="F57" s="45">
        <v>0</v>
      </c>
    </row>
    <row r="58" spans="1:6" ht="21" x14ac:dyDescent="0.25">
      <c r="A58" s="46" t="s">
        <v>167</v>
      </c>
      <c r="B58" s="47" t="s">
        <v>168</v>
      </c>
      <c r="C58" s="48" t="s">
        <v>169</v>
      </c>
      <c r="D58" s="49">
        <v>0</v>
      </c>
      <c r="E58" s="49">
        <v>0</v>
      </c>
      <c r="F58" s="50">
        <v>0</v>
      </c>
    </row>
    <row r="59" spans="1:6" ht="21" x14ac:dyDescent="0.25">
      <c r="A59" s="46" t="s">
        <v>170</v>
      </c>
      <c r="B59" s="47" t="s">
        <v>171</v>
      </c>
      <c r="C59" s="48" t="s">
        <v>172</v>
      </c>
      <c r="D59" s="49">
        <v>3606492946</v>
      </c>
      <c r="E59" s="49">
        <v>1008950847</v>
      </c>
      <c r="F59" s="50">
        <v>0</v>
      </c>
    </row>
    <row r="60" spans="1:6" ht="21" x14ac:dyDescent="0.25">
      <c r="A60" s="46"/>
      <c r="B60" s="47" t="s">
        <v>173</v>
      </c>
      <c r="C60" s="48" t="s">
        <v>174</v>
      </c>
      <c r="D60" s="49">
        <v>1618848411</v>
      </c>
      <c r="E60" s="49">
        <v>0</v>
      </c>
      <c r="F60" s="50">
        <v>0</v>
      </c>
    </row>
    <row r="61" spans="1:6" ht="21" x14ac:dyDescent="0.25">
      <c r="A61" s="51"/>
      <c r="B61" s="52" t="s">
        <v>175</v>
      </c>
      <c r="C61" s="53" t="s">
        <v>176</v>
      </c>
      <c r="D61" s="54">
        <v>0</v>
      </c>
      <c r="E61" s="54">
        <v>0</v>
      </c>
      <c r="F61" s="55">
        <v>0</v>
      </c>
    </row>
    <row r="62" spans="1:6" ht="21" x14ac:dyDescent="0.25">
      <c r="A62" s="51"/>
      <c r="B62" s="52" t="s">
        <v>177</v>
      </c>
      <c r="C62" s="53" t="s">
        <v>178</v>
      </c>
      <c r="D62" s="54">
        <v>0</v>
      </c>
      <c r="E62" s="54">
        <v>0</v>
      </c>
      <c r="F62" s="55">
        <v>0</v>
      </c>
    </row>
    <row r="63" spans="1:6" ht="21" x14ac:dyDescent="0.25">
      <c r="A63" s="51"/>
      <c r="B63" s="52" t="s">
        <v>179</v>
      </c>
      <c r="C63" s="53" t="s">
        <v>180</v>
      </c>
      <c r="D63" s="54">
        <v>1618848411</v>
      </c>
      <c r="E63" s="54">
        <v>0</v>
      </c>
      <c r="F63" s="55">
        <v>0</v>
      </c>
    </row>
    <row r="64" spans="1:6" ht="21" x14ac:dyDescent="0.25">
      <c r="A64" s="46"/>
      <c r="B64" s="47" t="s">
        <v>181</v>
      </c>
      <c r="C64" s="48" t="s">
        <v>182</v>
      </c>
      <c r="D64" s="49">
        <v>0</v>
      </c>
      <c r="E64" s="49">
        <v>0</v>
      </c>
      <c r="F64" s="50">
        <v>0</v>
      </c>
    </row>
    <row r="65" spans="1:6" ht="42" x14ac:dyDescent="0.25">
      <c r="A65" s="46"/>
      <c r="B65" s="47" t="s">
        <v>183</v>
      </c>
      <c r="C65" s="48" t="s">
        <v>184</v>
      </c>
      <c r="D65" s="49">
        <v>0</v>
      </c>
      <c r="E65" s="49">
        <v>0</v>
      </c>
      <c r="F65" s="50">
        <v>0</v>
      </c>
    </row>
    <row r="66" spans="1:6" ht="23.25" customHeight="1" x14ac:dyDescent="0.25">
      <c r="A66" s="51"/>
      <c r="B66" s="52" t="s">
        <v>185</v>
      </c>
      <c r="C66" s="53" t="s">
        <v>186</v>
      </c>
      <c r="D66" s="54">
        <v>0</v>
      </c>
      <c r="E66" s="54">
        <v>0</v>
      </c>
      <c r="F66" s="55">
        <v>0</v>
      </c>
    </row>
    <row r="67" spans="1:6" ht="31.5" customHeight="1" x14ac:dyDescent="0.25">
      <c r="A67" s="51"/>
      <c r="B67" s="52" t="s">
        <v>187</v>
      </c>
      <c r="C67" s="53" t="s">
        <v>188</v>
      </c>
      <c r="D67" s="54">
        <v>0</v>
      </c>
      <c r="E67" s="54">
        <v>0</v>
      </c>
      <c r="F67" s="55">
        <v>0</v>
      </c>
    </row>
    <row r="68" spans="1:6" ht="21" x14ac:dyDescent="0.25">
      <c r="A68" s="46"/>
      <c r="B68" s="47" t="s">
        <v>189</v>
      </c>
      <c r="C68" s="48" t="s">
        <v>190</v>
      </c>
      <c r="D68" s="49">
        <v>0</v>
      </c>
      <c r="E68" s="49">
        <v>0</v>
      </c>
      <c r="F68" s="50">
        <v>0</v>
      </c>
    </row>
    <row r="69" spans="1:6" ht="22.5" customHeight="1" x14ac:dyDescent="0.25">
      <c r="A69" s="46"/>
      <c r="B69" s="47" t="s">
        <v>191</v>
      </c>
      <c r="C69" s="48" t="s">
        <v>192</v>
      </c>
      <c r="D69" s="49">
        <v>11993008</v>
      </c>
      <c r="E69" s="49">
        <v>9735986</v>
      </c>
      <c r="F69" s="50">
        <v>0</v>
      </c>
    </row>
    <row r="70" spans="1:6" ht="21" x14ac:dyDescent="0.25">
      <c r="A70" s="46"/>
      <c r="B70" s="47" t="s">
        <v>193</v>
      </c>
      <c r="C70" s="48" t="s">
        <v>194</v>
      </c>
      <c r="D70" s="49">
        <v>1344848804</v>
      </c>
      <c r="E70" s="49">
        <v>743535790</v>
      </c>
      <c r="F70" s="50">
        <v>0</v>
      </c>
    </row>
    <row r="71" spans="1:6" ht="21" x14ac:dyDescent="0.25">
      <c r="A71" s="46"/>
      <c r="B71" s="47" t="s">
        <v>195</v>
      </c>
      <c r="C71" s="48" t="s">
        <v>196</v>
      </c>
      <c r="D71" s="49">
        <v>36983344</v>
      </c>
      <c r="E71" s="49">
        <v>22514985</v>
      </c>
      <c r="F71" s="50">
        <v>0</v>
      </c>
    </row>
    <row r="72" spans="1:6" ht="21" x14ac:dyDescent="0.25">
      <c r="A72" s="46"/>
      <c r="B72" s="47" t="s">
        <v>197</v>
      </c>
      <c r="C72" s="48" t="s">
        <v>198</v>
      </c>
      <c r="D72" s="49">
        <v>73966684</v>
      </c>
      <c r="E72" s="49">
        <v>42962221</v>
      </c>
      <c r="F72" s="50">
        <v>0</v>
      </c>
    </row>
    <row r="73" spans="1:6" ht="21" x14ac:dyDescent="0.25">
      <c r="A73" s="46"/>
      <c r="B73" s="47" t="s">
        <v>199</v>
      </c>
      <c r="C73" s="48" t="s">
        <v>200</v>
      </c>
      <c r="D73" s="49">
        <v>0</v>
      </c>
      <c r="E73" s="49">
        <v>0</v>
      </c>
      <c r="F73" s="50">
        <v>0</v>
      </c>
    </row>
    <row r="74" spans="1:6" ht="21" x14ac:dyDescent="0.25">
      <c r="A74" s="51"/>
      <c r="B74" s="52" t="s">
        <v>201</v>
      </c>
      <c r="C74" s="53" t="s">
        <v>202</v>
      </c>
      <c r="D74" s="54">
        <v>0</v>
      </c>
      <c r="E74" s="54">
        <v>0</v>
      </c>
      <c r="F74" s="55">
        <v>0</v>
      </c>
    </row>
    <row r="75" spans="1:6" ht="21" x14ac:dyDescent="0.25">
      <c r="A75" s="51"/>
      <c r="B75" s="52" t="s">
        <v>203</v>
      </c>
      <c r="C75" s="53" t="s">
        <v>204</v>
      </c>
      <c r="D75" s="54">
        <v>0</v>
      </c>
      <c r="E75" s="54">
        <v>0</v>
      </c>
      <c r="F75" s="55">
        <v>0</v>
      </c>
    </row>
    <row r="76" spans="1:6" ht="21" x14ac:dyDescent="0.25">
      <c r="A76" s="46"/>
      <c r="B76" s="47" t="s">
        <v>205</v>
      </c>
      <c r="C76" s="48" t="s">
        <v>206</v>
      </c>
      <c r="D76" s="49">
        <v>39621222</v>
      </c>
      <c r="E76" s="49">
        <v>18788396</v>
      </c>
      <c r="F76" s="50">
        <v>0</v>
      </c>
    </row>
    <row r="77" spans="1:6" ht="21" x14ac:dyDescent="0.25">
      <c r="A77" s="51"/>
      <c r="B77" s="52" t="s">
        <v>207</v>
      </c>
      <c r="C77" s="53" t="s">
        <v>208</v>
      </c>
      <c r="D77" s="54">
        <v>33621222</v>
      </c>
      <c r="E77" s="54">
        <v>18588396</v>
      </c>
      <c r="F77" s="55">
        <v>0</v>
      </c>
    </row>
    <row r="78" spans="1:6" ht="21" x14ac:dyDescent="0.25">
      <c r="A78" s="51"/>
      <c r="B78" s="52" t="s">
        <v>209</v>
      </c>
      <c r="C78" s="53" t="s">
        <v>210</v>
      </c>
      <c r="D78" s="54">
        <v>6000000</v>
      </c>
      <c r="E78" s="54">
        <v>200000</v>
      </c>
      <c r="F78" s="55">
        <v>0</v>
      </c>
    </row>
    <row r="79" spans="1:6" ht="21" x14ac:dyDescent="0.25">
      <c r="A79" s="51"/>
      <c r="B79" s="52" t="s">
        <v>211</v>
      </c>
      <c r="C79" s="53" t="s">
        <v>212</v>
      </c>
      <c r="D79" s="54">
        <v>0</v>
      </c>
      <c r="E79" s="54">
        <v>0</v>
      </c>
      <c r="F79" s="55">
        <v>0</v>
      </c>
    </row>
    <row r="80" spans="1:6" ht="42" x14ac:dyDescent="0.25">
      <c r="A80" s="51"/>
      <c r="B80" s="52" t="s">
        <v>213</v>
      </c>
      <c r="C80" s="53" t="s">
        <v>214</v>
      </c>
      <c r="D80" s="54">
        <v>0</v>
      </c>
      <c r="E80" s="54">
        <v>0</v>
      </c>
      <c r="F80" s="55">
        <v>0</v>
      </c>
    </row>
    <row r="81" spans="1:6" ht="21" x14ac:dyDescent="0.25">
      <c r="A81" s="46"/>
      <c r="B81" s="47" t="s">
        <v>215</v>
      </c>
      <c r="C81" s="48" t="s">
        <v>216</v>
      </c>
      <c r="D81" s="49">
        <v>29037913</v>
      </c>
      <c r="E81" s="49">
        <v>14075829</v>
      </c>
      <c r="F81" s="50">
        <v>0</v>
      </c>
    </row>
    <row r="82" spans="1:6" ht="21" x14ac:dyDescent="0.25">
      <c r="A82" s="46"/>
      <c r="B82" s="47" t="s">
        <v>217</v>
      </c>
      <c r="C82" s="48" t="s">
        <v>218</v>
      </c>
      <c r="D82" s="49">
        <v>0</v>
      </c>
      <c r="E82" s="49">
        <v>0</v>
      </c>
      <c r="F82" s="50">
        <v>0</v>
      </c>
    </row>
    <row r="83" spans="1:6" ht="21" x14ac:dyDescent="0.25">
      <c r="A83" s="46"/>
      <c r="B83" s="47" t="s">
        <v>219</v>
      </c>
      <c r="C83" s="48" t="s">
        <v>220</v>
      </c>
      <c r="D83" s="49">
        <v>0</v>
      </c>
      <c r="E83" s="49">
        <v>0</v>
      </c>
      <c r="F83" s="50">
        <v>0</v>
      </c>
    </row>
    <row r="84" spans="1:6" ht="21" x14ac:dyDescent="0.25">
      <c r="A84" s="46"/>
      <c r="B84" s="47" t="s">
        <v>221</v>
      </c>
      <c r="C84" s="48" t="s">
        <v>222</v>
      </c>
      <c r="D84" s="49">
        <v>16500000</v>
      </c>
      <c r="E84" s="49">
        <v>9048379</v>
      </c>
      <c r="F84" s="50">
        <v>0</v>
      </c>
    </row>
    <row r="85" spans="1:6" ht="30.75" customHeight="1" x14ac:dyDescent="0.25">
      <c r="A85" s="46"/>
      <c r="B85" s="47" t="s">
        <v>223</v>
      </c>
      <c r="C85" s="48" t="s">
        <v>224</v>
      </c>
      <c r="D85" s="49">
        <v>213565597</v>
      </c>
      <c r="E85" s="49">
        <v>60290720</v>
      </c>
      <c r="F85" s="50">
        <v>0</v>
      </c>
    </row>
    <row r="86" spans="1:6" ht="21" x14ac:dyDescent="0.25">
      <c r="A86" s="46"/>
      <c r="B86" s="47" t="s">
        <v>225</v>
      </c>
      <c r="C86" s="48" t="s">
        <v>226</v>
      </c>
      <c r="D86" s="49">
        <v>217564978</v>
      </c>
      <c r="E86" s="49">
        <v>86246576</v>
      </c>
      <c r="F86" s="50">
        <v>0</v>
      </c>
    </row>
    <row r="87" spans="1:6" ht="21" x14ac:dyDescent="0.25">
      <c r="A87" s="46"/>
      <c r="B87" s="47" t="s">
        <v>227</v>
      </c>
      <c r="C87" s="48" t="s">
        <v>228</v>
      </c>
      <c r="D87" s="49">
        <v>3562985</v>
      </c>
      <c r="E87" s="49">
        <v>1751965</v>
      </c>
      <c r="F87" s="50">
        <v>0</v>
      </c>
    </row>
    <row r="88" spans="1:6" ht="21" x14ac:dyDescent="0.25">
      <c r="A88" s="51"/>
      <c r="B88" s="52" t="s">
        <v>229</v>
      </c>
      <c r="C88" s="53" t="s">
        <v>230</v>
      </c>
      <c r="D88" s="54">
        <v>0</v>
      </c>
      <c r="E88" s="54">
        <v>0</v>
      </c>
      <c r="F88" s="55">
        <v>0</v>
      </c>
    </row>
    <row r="89" spans="1:6" ht="31.5" x14ac:dyDescent="0.25">
      <c r="A89" s="51"/>
      <c r="B89" s="52" t="s">
        <v>231</v>
      </c>
      <c r="C89" s="53" t="s">
        <v>232</v>
      </c>
      <c r="D89" s="54">
        <v>0</v>
      </c>
      <c r="E89" s="54">
        <v>0</v>
      </c>
      <c r="F89" s="55">
        <v>0</v>
      </c>
    </row>
    <row r="90" spans="1:6" ht="21" x14ac:dyDescent="0.25">
      <c r="A90" s="51"/>
      <c r="B90" s="52" t="s">
        <v>233</v>
      </c>
      <c r="C90" s="53" t="s">
        <v>234</v>
      </c>
      <c r="D90" s="54">
        <v>3562985</v>
      </c>
      <c r="E90" s="54">
        <v>1751965</v>
      </c>
      <c r="F90" s="55">
        <v>0</v>
      </c>
    </row>
    <row r="91" spans="1:6" ht="21" x14ac:dyDescent="0.25">
      <c r="A91" s="51"/>
      <c r="B91" s="52" t="s">
        <v>235</v>
      </c>
      <c r="C91" s="53" t="s">
        <v>236</v>
      </c>
      <c r="D91" s="54">
        <v>0</v>
      </c>
      <c r="E91" s="54">
        <v>0</v>
      </c>
      <c r="F91" s="55">
        <v>0</v>
      </c>
    </row>
    <row r="92" spans="1:6" ht="21" customHeight="1" x14ac:dyDescent="0.25">
      <c r="A92" s="46"/>
      <c r="B92" s="47" t="s">
        <v>237</v>
      </c>
      <c r="C92" s="48" t="s">
        <v>238</v>
      </c>
      <c r="D92" s="49">
        <v>0</v>
      </c>
      <c r="E92" s="49">
        <v>0</v>
      </c>
      <c r="F92" s="50">
        <v>0</v>
      </c>
    </row>
    <row r="93" spans="1:6" ht="21" x14ac:dyDescent="0.25">
      <c r="A93" s="46"/>
      <c r="B93" s="47" t="s">
        <v>239</v>
      </c>
      <c r="C93" s="48" t="s">
        <v>240</v>
      </c>
      <c r="D93" s="49">
        <v>0</v>
      </c>
      <c r="E93" s="49">
        <v>0</v>
      </c>
      <c r="F93" s="50">
        <v>0</v>
      </c>
    </row>
    <row r="94" spans="1:6" ht="21" x14ac:dyDescent="0.25">
      <c r="A94" s="46"/>
      <c r="B94" s="47" t="s">
        <v>241</v>
      </c>
      <c r="C94" s="48" t="s">
        <v>242</v>
      </c>
      <c r="D94" s="49">
        <v>0</v>
      </c>
      <c r="E94" s="49">
        <v>0</v>
      </c>
      <c r="F94" s="50">
        <v>0</v>
      </c>
    </row>
    <row r="95" spans="1:6" ht="21" x14ac:dyDescent="0.25">
      <c r="A95" s="46"/>
      <c r="B95" s="47" t="s">
        <v>243</v>
      </c>
      <c r="C95" s="48" t="s">
        <v>244</v>
      </c>
      <c r="D95" s="49">
        <v>0</v>
      </c>
      <c r="E95" s="49">
        <v>0</v>
      </c>
      <c r="F95" s="50">
        <v>0</v>
      </c>
    </row>
    <row r="96" spans="1:6" ht="21" x14ac:dyDescent="0.25">
      <c r="A96" s="46"/>
      <c r="B96" s="47" t="s">
        <v>245</v>
      </c>
      <c r="C96" s="48" t="s">
        <v>246</v>
      </c>
      <c r="D96" s="49">
        <v>0</v>
      </c>
      <c r="E96" s="49">
        <v>0</v>
      </c>
      <c r="F96" s="50">
        <v>0</v>
      </c>
    </row>
    <row r="97" spans="1:6" ht="21" x14ac:dyDescent="0.25">
      <c r="A97" s="51"/>
      <c r="B97" s="52" t="s">
        <v>247</v>
      </c>
      <c r="C97" s="53" t="s">
        <v>248</v>
      </c>
      <c r="D97" s="54">
        <v>0</v>
      </c>
      <c r="E97" s="54">
        <v>0</v>
      </c>
      <c r="F97" s="55">
        <v>0</v>
      </c>
    </row>
    <row r="98" spans="1:6" ht="21" x14ac:dyDescent="0.25">
      <c r="A98" s="51"/>
      <c r="B98" s="52" t="s">
        <v>249</v>
      </c>
      <c r="C98" s="53" t="s">
        <v>250</v>
      </c>
      <c r="D98" s="54">
        <v>0</v>
      </c>
      <c r="E98" s="54">
        <v>0</v>
      </c>
      <c r="F98" s="55">
        <v>0</v>
      </c>
    </row>
    <row r="99" spans="1:6" ht="21" x14ac:dyDescent="0.25">
      <c r="A99" s="41" t="s">
        <v>251</v>
      </c>
      <c r="B99" s="42" t="s">
        <v>252</v>
      </c>
      <c r="C99" s="43" t="s">
        <v>253</v>
      </c>
      <c r="D99" s="44">
        <v>3606492946</v>
      </c>
      <c r="E99" s="44">
        <v>1008950847</v>
      </c>
      <c r="F99" s="45">
        <v>0</v>
      </c>
    </row>
    <row r="100" spans="1:6" ht="21" x14ac:dyDescent="0.25">
      <c r="A100" s="41"/>
      <c r="B100" s="42" t="s">
        <v>254</v>
      </c>
      <c r="C100" s="43" t="s">
        <v>255</v>
      </c>
      <c r="D100" s="44">
        <v>2244878995971</v>
      </c>
      <c r="E100" s="44">
        <v>1362487799178</v>
      </c>
      <c r="F100" s="45">
        <v>0</v>
      </c>
    </row>
    <row r="101" spans="1:6" ht="21" x14ac:dyDescent="0.25">
      <c r="A101" s="41"/>
      <c r="B101" s="42" t="s">
        <v>256</v>
      </c>
      <c r="C101" s="43" t="s">
        <v>257</v>
      </c>
      <c r="D101" s="44">
        <v>168300000</v>
      </c>
      <c r="E101" s="44">
        <v>119100000</v>
      </c>
      <c r="F101" s="45"/>
    </row>
    <row r="102" spans="1:6" ht="22.5" customHeight="1" x14ac:dyDescent="0.25">
      <c r="A102" s="56"/>
      <c r="B102" s="57" t="s">
        <v>258</v>
      </c>
      <c r="C102" s="58" t="s">
        <v>259</v>
      </c>
      <c r="D102" s="59">
        <v>13338.55</v>
      </c>
      <c r="E102" s="59">
        <v>11439.86</v>
      </c>
      <c r="F102" s="60">
        <v>0</v>
      </c>
    </row>
    <row r="103" spans="1:6" ht="7.5" customHeight="1" x14ac:dyDescent="0.25">
      <c r="A103" s="277"/>
      <c r="B103" s="277"/>
      <c r="C103" s="277"/>
      <c r="D103" s="277"/>
      <c r="E103" s="277"/>
      <c r="F103" s="277"/>
    </row>
    <row r="104" spans="1:6" ht="24" customHeight="1" x14ac:dyDescent="0.25">
      <c r="A104" s="290" t="s">
        <v>260</v>
      </c>
      <c r="B104" s="290"/>
      <c r="C104" s="290"/>
      <c r="D104" s="290"/>
      <c r="E104" s="290"/>
      <c r="F104" s="290"/>
    </row>
    <row r="105" spans="1:6" ht="8.25" customHeight="1" x14ac:dyDescent="0.25">
      <c r="A105" s="277"/>
      <c r="B105" s="277"/>
      <c r="C105" s="277"/>
      <c r="D105" s="277"/>
      <c r="E105" s="277"/>
      <c r="F105" s="277"/>
    </row>
    <row r="106" spans="1:6" ht="11.25" customHeight="1" x14ac:dyDescent="0.25">
      <c r="A106" s="291" t="s">
        <v>19</v>
      </c>
      <c r="B106" s="291"/>
      <c r="C106" s="291" t="s">
        <v>261</v>
      </c>
      <c r="D106" s="291"/>
      <c r="E106" s="291"/>
      <c r="F106" s="291"/>
    </row>
    <row r="107" spans="1:6" ht="11.25" customHeight="1" x14ac:dyDescent="0.25">
      <c r="A107" s="285" t="s">
        <v>21</v>
      </c>
      <c r="B107" s="285"/>
      <c r="C107" s="286" t="s">
        <v>22</v>
      </c>
      <c r="D107" s="286"/>
      <c r="E107" s="286"/>
      <c r="F107" s="286"/>
    </row>
    <row r="108" spans="1:6" ht="53.25" customHeight="1" x14ac:dyDescent="0.25">
      <c r="A108" s="293"/>
      <c r="B108" s="293"/>
      <c r="C108" s="293"/>
      <c r="D108" s="293"/>
      <c r="E108" s="293"/>
      <c r="F108" s="293"/>
    </row>
    <row r="109" spans="1:6" ht="53.25" customHeight="1" x14ac:dyDescent="0.25">
      <c r="A109" s="277"/>
      <c r="B109" s="277"/>
      <c r="C109" s="277"/>
      <c r="D109" s="277"/>
      <c r="E109" s="277"/>
      <c r="F109" s="277"/>
    </row>
    <row r="110" spans="1:6" ht="13.5" customHeight="1" x14ac:dyDescent="0.25">
      <c r="A110" s="291" t="s">
        <v>262</v>
      </c>
      <c r="B110" s="291"/>
      <c r="C110" s="291" t="s">
        <v>263</v>
      </c>
      <c r="D110" s="291"/>
      <c r="E110" s="291"/>
      <c r="F110" s="291"/>
    </row>
    <row r="111" spans="1:6" ht="13.5" customHeight="1" x14ac:dyDescent="0.25">
      <c r="A111" s="292" t="s">
        <v>23</v>
      </c>
      <c r="B111" s="292"/>
      <c r="C111" s="292" t="s">
        <v>264</v>
      </c>
      <c r="D111" s="292"/>
      <c r="E111" s="292"/>
      <c r="F111" s="292"/>
    </row>
    <row r="112" spans="1:6" ht="13.5" customHeight="1" x14ac:dyDescent="0.25">
      <c r="A112" s="292" t="s">
        <v>265</v>
      </c>
      <c r="B112" s="292"/>
      <c r="C112" s="292" t="s">
        <v>266</v>
      </c>
      <c r="D112" s="292"/>
      <c r="E112" s="292"/>
      <c r="F112" s="292"/>
    </row>
  </sheetData>
  <mergeCells count="36">
    <mergeCell ref="A111:B111"/>
    <mergeCell ref="C111:F111"/>
    <mergeCell ref="A112:B112"/>
    <mergeCell ref="C112:F112"/>
    <mergeCell ref="A108:B108"/>
    <mergeCell ref="C108:F108"/>
    <mergeCell ref="A109:B109"/>
    <mergeCell ref="C109:F109"/>
    <mergeCell ref="A110:B110"/>
    <mergeCell ref="C110:F110"/>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C12:F12"/>
    <mergeCell ref="A1:B1"/>
    <mergeCell ref="C1:F1"/>
    <mergeCell ref="A2:F2"/>
    <mergeCell ref="A3:F3"/>
    <mergeCell ref="A4:F4"/>
    <mergeCell ref="C6:F6"/>
    <mergeCell ref="C7:F7"/>
    <mergeCell ref="C8:F8"/>
    <mergeCell ref="C9:F9"/>
    <mergeCell ref="C10:F10"/>
    <mergeCell ref="C11:F11"/>
  </mergeCells>
  <printOptions horizontalCentered="1"/>
  <pageMargins left="0" right="0" top="0.59" bottom="0.28000000000000003" header="0.5" footer="0.28000000000000003"/>
  <pageSetup paperSize="9" scale="94"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zoomScaleNormal="100" zoomScaleSheetLayoutView="100" workbookViewId="0">
      <selection activeCell="D94" sqref="A1:F94"/>
    </sheetView>
  </sheetViews>
  <sheetFormatPr defaultRowHeight="15" x14ac:dyDescent="0.25"/>
  <cols>
    <col min="1" max="1" width="5.42578125" style="30" customWidth="1"/>
    <col min="2" max="2" width="46.28515625" style="30" customWidth="1"/>
    <col min="3" max="3" width="9.140625" style="30"/>
    <col min="4" max="6" width="17.42578125" style="30" customWidth="1"/>
    <col min="7" max="16384" width="9.140625" style="30"/>
  </cols>
  <sheetData>
    <row r="1" spans="1:6" ht="21" customHeight="1" x14ac:dyDescent="0.25">
      <c r="A1" s="277"/>
      <c r="B1" s="277"/>
      <c r="C1" s="278" t="s">
        <v>267</v>
      </c>
      <c r="D1" s="278"/>
      <c r="E1" s="278"/>
      <c r="F1" s="278"/>
    </row>
    <row r="2" spans="1:6" ht="42.75" customHeight="1" x14ac:dyDescent="0.25">
      <c r="A2" s="279" t="s">
        <v>268</v>
      </c>
      <c r="B2" s="279"/>
      <c r="C2" s="279"/>
      <c r="D2" s="279"/>
      <c r="E2" s="279"/>
      <c r="F2" s="279"/>
    </row>
    <row r="3" spans="1:6" ht="27" customHeight="1" x14ac:dyDescent="0.25">
      <c r="A3" s="294" t="s">
        <v>58</v>
      </c>
      <c r="B3" s="294"/>
      <c r="C3" s="294"/>
      <c r="D3" s="294"/>
      <c r="E3" s="294"/>
      <c r="F3" s="294"/>
    </row>
    <row r="4" spans="1:6" ht="13.5" customHeight="1" x14ac:dyDescent="0.25">
      <c r="A4" s="285" t="s">
        <v>269</v>
      </c>
      <c r="B4" s="285"/>
      <c r="C4" s="285"/>
      <c r="D4" s="285"/>
      <c r="E4" s="285"/>
      <c r="F4" s="285"/>
    </row>
    <row r="5" spans="1:6" ht="9.75" customHeight="1" x14ac:dyDescent="0.25">
      <c r="A5" s="31"/>
      <c r="B5" s="31"/>
      <c r="C5" s="31"/>
      <c r="D5" s="31"/>
      <c r="E5" s="31"/>
      <c r="F5" s="31"/>
    </row>
    <row r="6" spans="1:6" ht="12.75" customHeight="1" x14ac:dyDescent="0.25">
      <c r="A6" s="61" t="s">
        <v>60</v>
      </c>
      <c r="B6" s="62" t="s">
        <v>4</v>
      </c>
      <c r="C6" s="288" t="s">
        <v>61</v>
      </c>
      <c r="D6" s="288"/>
      <c r="E6" s="288"/>
      <c r="F6" s="288"/>
    </row>
    <row r="7" spans="1:6" ht="12.75" customHeight="1" x14ac:dyDescent="0.25">
      <c r="A7" s="63"/>
      <c r="B7" s="64" t="s">
        <v>6</v>
      </c>
      <c r="C7" s="296" t="s">
        <v>7</v>
      </c>
      <c r="D7" s="296"/>
      <c r="E7" s="296"/>
      <c r="F7" s="296"/>
    </row>
    <row r="8" spans="1:6" ht="12.75" customHeight="1" x14ac:dyDescent="0.25">
      <c r="A8" s="61" t="s">
        <v>62</v>
      </c>
      <c r="B8" s="62" t="s">
        <v>63</v>
      </c>
      <c r="C8" s="288" t="s">
        <v>64</v>
      </c>
      <c r="D8" s="288"/>
      <c r="E8" s="288"/>
      <c r="F8" s="288"/>
    </row>
    <row r="9" spans="1:6" ht="12.75" customHeight="1" x14ac:dyDescent="0.25">
      <c r="A9" s="63"/>
      <c r="B9" s="64" t="s">
        <v>65</v>
      </c>
      <c r="C9" s="296" t="s">
        <v>66</v>
      </c>
      <c r="D9" s="296"/>
      <c r="E9" s="296"/>
      <c r="F9" s="296"/>
    </row>
    <row r="10" spans="1:6" ht="12.75" customHeight="1" x14ac:dyDescent="0.25">
      <c r="A10" s="61" t="s">
        <v>67</v>
      </c>
      <c r="B10" s="62" t="s">
        <v>12</v>
      </c>
      <c r="C10" s="288" t="s">
        <v>68</v>
      </c>
      <c r="D10" s="288"/>
      <c r="E10" s="288"/>
      <c r="F10" s="288"/>
    </row>
    <row r="11" spans="1:6" ht="12.75" customHeight="1" x14ac:dyDescent="0.25">
      <c r="A11" s="63"/>
      <c r="B11" s="64" t="s">
        <v>69</v>
      </c>
      <c r="C11" s="296" t="s">
        <v>70</v>
      </c>
      <c r="D11" s="296"/>
      <c r="E11" s="296"/>
      <c r="F11" s="296"/>
    </row>
    <row r="12" spans="1:6" ht="12.75" customHeight="1" x14ac:dyDescent="0.25">
      <c r="A12" s="61" t="s">
        <v>71</v>
      </c>
      <c r="B12" s="62" t="s">
        <v>16</v>
      </c>
      <c r="C12" s="297">
        <v>44119</v>
      </c>
      <c r="D12" s="288"/>
      <c r="E12" s="288"/>
      <c r="F12" s="288"/>
    </row>
    <row r="13" spans="1:6" ht="12.75" customHeight="1" x14ac:dyDescent="0.25">
      <c r="A13" s="63"/>
      <c r="B13" s="64" t="s">
        <v>17</v>
      </c>
      <c r="C13" s="298">
        <v>44119</v>
      </c>
      <c r="D13" s="296"/>
      <c r="E13" s="296"/>
      <c r="F13" s="296"/>
    </row>
    <row r="14" spans="1:6" ht="12.75" customHeight="1" x14ac:dyDescent="0.25">
      <c r="A14" s="31"/>
      <c r="B14" s="64"/>
      <c r="C14" s="64"/>
      <c r="D14" s="64"/>
      <c r="E14" s="299"/>
      <c r="F14" s="299"/>
    </row>
    <row r="15" spans="1:6" ht="12.75" customHeight="1" x14ac:dyDescent="0.25">
      <c r="A15" s="288" t="s">
        <v>72</v>
      </c>
      <c r="B15" s="288"/>
      <c r="C15" s="288"/>
      <c r="D15" s="288"/>
      <c r="E15" s="288"/>
      <c r="F15" s="288"/>
    </row>
    <row r="16" spans="1:6" ht="12.75" customHeight="1" x14ac:dyDescent="0.25">
      <c r="A16" s="288" t="s">
        <v>270</v>
      </c>
      <c r="B16" s="288"/>
      <c r="C16" s="288"/>
      <c r="D16" s="288"/>
      <c r="E16" s="288"/>
      <c r="F16" s="288"/>
    </row>
    <row r="17" spans="1:6" ht="12.75" customHeight="1" x14ac:dyDescent="0.25">
      <c r="A17" s="300" t="s">
        <v>74</v>
      </c>
      <c r="B17" s="300"/>
      <c r="C17" s="300"/>
      <c r="D17" s="300"/>
      <c r="E17" s="300"/>
      <c r="F17" s="300"/>
    </row>
    <row r="18" spans="1:6" ht="42" x14ac:dyDescent="0.25">
      <c r="A18" s="38" t="s">
        <v>75</v>
      </c>
      <c r="B18" s="39" t="s">
        <v>76</v>
      </c>
      <c r="C18" s="39" t="s">
        <v>77</v>
      </c>
      <c r="D18" s="39" t="s">
        <v>271</v>
      </c>
      <c r="E18" s="39" t="s">
        <v>272</v>
      </c>
      <c r="F18" s="40" t="s">
        <v>273</v>
      </c>
    </row>
    <row r="19" spans="1:6" ht="21" x14ac:dyDescent="0.25">
      <c r="A19" s="65" t="s">
        <v>80</v>
      </c>
      <c r="B19" s="66" t="s">
        <v>274</v>
      </c>
      <c r="C19" s="67" t="s">
        <v>275</v>
      </c>
      <c r="D19" s="68">
        <v>11854122847</v>
      </c>
      <c r="E19" s="68">
        <v>1125301752</v>
      </c>
      <c r="F19" s="69">
        <v>12979424599</v>
      </c>
    </row>
    <row r="20" spans="1:6" ht="21" x14ac:dyDescent="0.25">
      <c r="A20" s="70" t="s">
        <v>60</v>
      </c>
      <c r="B20" s="71" t="s">
        <v>276</v>
      </c>
      <c r="C20" s="72" t="s">
        <v>277</v>
      </c>
      <c r="D20" s="73">
        <v>11832201000</v>
      </c>
      <c r="E20" s="73">
        <v>1110041000</v>
      </c>
      <c r="F20" s="74">
        <v>12942242000</v>
      </c>
    </row>
    <row r="21" spans="1:6" ht="21" x14ac:dyDescent="0.25">
      <c r="A21" s="75"/>
      <c r="B21" s="76" t="s">
        <v>278</v>
      </c>
      <c r="C21" s="77" t="s">
        <v>279</v>
      </c>
      <c r="D21" s="78">
        <v>11832201000</v>
      </c>
      <c r="E21" s="78">
        <v>1110041000</v>
      </c>
      <c r="F21" s="79">
        <v>12942242000</v>
      </c>
    </row>
    <row r="22" spans="1:6" ht="21" x14ac:dyDescent="0.25">
      <c r="A22" s="75"/>
      <c r="B22" s="76" t="s">
        <v>280</v>
      </c>
      <c r="C22" s="77" t="s">
        <v>281</v>
      </c>
      <c r="D22" s="78">
        <v>0</v>
      </c>
      <c r="E22" s="78">
        <v>0</v>
      </c>
      <c r="F22" s="79">
        <v>0</v>
      </c>
    </row>
    <row r="23" spans="1:6" ht="21" x14ac:dyDescent="0.25">
      <c r="A23" s="70" t="s">
        <v>62</v>
      </c>
      <c r="B23" s="71" t="s">
        <v>282</v>
      </c>
      <c r="C23" s="72" t="s">
        <v>283</v>
      </c>
      <c r="D23" s="73">
        <v>21921847</v>
      </c>
      <c r="E23" s="73">
        <v>15260752</v>
      </c>
      <c r="F23" s="74">
        <v>37182599</v>
      </c>
    </row>
    <row r="24" spans="1:6" ht="21" x14ac:dyDescent="0.25">
      <c r="A24" s="75"/>
      <c r="B24" s="76" t="s">
        <v>284</v>
      </c>
      <c r="C24" s="77" t="s">
        <v>285</v>
      </c>
      <c r="D24" s="78">
        <v>21921847</v>
      </c>
      <c r="E24" s="78">
        <v>15260752</v>
      </c>
      <c r="F24" s="79">
        <v>37182599</v>
      </c>
    </row>
    <row r="25" spans="1:6" ht="21" x14ac:dyDescent="0.25">
      <c r="A25" s="75"/>
      <c r="B25" s="76" t="s">
        <v>286</v>
      </c>
      <c r="C25" s="77" t="s">
        <v>287</v>
      </c>
      <c r="D25" s="78">
        <v>0</v>
      </c>
      <c r="E25" s="78">
        <v>0</v>
      </c>
      <c r="F25" s="79">
        <v>0</v>
      </c>
    </row>
    <row r="26" spans="1:6" ht="21" x14ac:dyDescent="0.25">
      <c r="A26" s="70" t="s">
        <v>67</v>
      </c>
      <c r="B26" s="71" t="s">
        <v>288</v>
      </c>
      <c r="C26" s="72" t="s">
        <v>289</v>
      </c>
      <c r="D26" s="73">
        <v>0</v>
      </c>
      <c r="E26" s="73">
        <v>0</v>
      </c>
      <c r="F26" s="74">
        <v>0</v>
      </c>
    </row>
    <row r="27" spans="1:6" ht="21" x14ac:dyDescent="0.25">
      <c r="A27" s="75"/>
      <c r="B27" s="76" t="s">
        <v>290</v>
      </c>
      <c r="C27" s="77" t="s">
        <v>291</v>
      </c>
      <c r="D27" s="78">
        <v>0</v>
      </c>
      <c r="E27" s="78">
        <v>0</v>
      </c>
      <c r="F27" s="79">
        <v>0</v>
      </c>
    </row>
    <row r="28" spans="1:6" ht="21" x14ac:dyDescent="0.25">
      <c r="A28" s="75"/>
      <c r="B28" s="76" t="s">
        <v>292</v>
      </c>
      <c r="C28" s="77" t="s">
        <v>293</v>
      </c>
      <c r="D28" s="78">
        <v>0</v>
      </c>
      <c r="E28" s="78">
        <v>0</v>
      </c>
      <c r="F28" s="79">
        <v>0</v>
      </c>
    </row>
    <row r="29" spans="1:6" ht="44.25" customHeight="1" x14ac:dyDescent="0.25">
      <c r="A29" s="75"/>
      <c r="B29" s="76" t="s">
        <v>294</v>
      </c>
      <c r="C29" s="77" t="s">
        <v>295</v>
      </c>
      <c r="D29" s="78">
        <v>0</v>
      </c>
      <c r="E29" s="78">
        <v>0</v>
      </c>
      <c r="F29" s="79">
        <v>0</v>
      </c>
    </row>
    <row r="30" spans="1:6" ht="21" x14ac:dyDescent="0.25">
      <c r="A30" s="65" t="s">
        <v>164</v>
      </c>
      <c r="B30" s="66" t="s">
        <v>296</v>
      </c>
      <c r="C30" s="67" t="s">
        <v>297</v>
      </c>
      <c r="D30" s="68">
        <v>4441456920</v>
      </c>
      <c r="E30" s="68">
        <v>1441884907</v>
      </c>
      <c r="F30" s="69">
        <v>5883341827</v>
      </c>
    </row>
    <row r="31" spans="1:6" ht="21" x14ac:dyDescent="0.25">
      <c r="A31" s="70" t="s">
        <v>60</v>
      </c>
      <c r="B31" s="71" t="s">
        <v>298</v>
      </c>
      <c r="C31" s="72" t="s">
        <v>299</v>
      </c>
      <c r="D31" s="73">
        <v>3417049492</v>
      </c>
      <c r="E31" s="73">
        <v>1013729718</v>
      </c>
      <c r="F31" s="74">
        <v>4430779210</v>
      </c>
    </row>
    <row r="32" spans="1:6" ht="31.5" x14ac:dyDescent="0.25">
      <c r="A32" s="70" t="s">
        <v>62</v>
      </c>
      <c r="B32" s="71" t="s">
        <v>300</v>
      </c>
      <c r="C32" s="72" t="s">
        <v>301</v>
      </c>
      <c r="D32" s="73">
        <v>319350114</v>
      </c>
      <c r="E32" s="73">
        <v>109212657</v>
      </c>
      <c r="F32" s="74">
        <v>428562771</v>
      </c>
    </row>
    <row r="33" spans="1:6" ht="21" x14ac:dyDescent="0.25">
      <c r="A33" s="75"/>
      <c r="B33" s="76" t="s">
        <v>207</v>
      </c>
      <c r="C33" s="77" t="s">
        <v>302</v>
      </c>
      <c r="D33" s="78">
        <v>85426238</v>
      </c>
      <c r="E33" s="78">
        <v>32104916</v>
      </c>
      <c r="F33" s="79">
        <v>117531154</v>
      </c>
    </row>
    <row r="34" spans="1:6" ht="21" x14ac:dyDescent="0.25">
      <c r="A34" s="75"/>
      <c r="B34" s="76" t="s">
        <v>209</v>
      </c>
      <c r="C34" s="77" t="s">
        <v>303</v>
      </c>
      <c r="D34" s="78">
        <v>3500000</v>
      </c>
      <c r="E34" s="78">
        <v>2200000</v>
      </c>
      <c r="F34" s="79">
        <v>5700000</v>
      </c>
    </row>
    <row r="35" spans="1:6" ht="21" x14ac:dyDescent="0.25">
      <c r="A35" s="75"/>
      <c r="B35" s="76" t="s">
        <v>211</v>
      </c>
      <c r="C35" s="77" t="s">
        <v>304</v>
      </c>
      <c r="D35" s="78">
        <v>42486158</v>
      </c>
      <c r="E35" s="78">
        <v>3934791</v>
      </c>
      <c r="F35" s="79">
        <v>46420949</v>
      </c>
    </row>
    <row r="36" spans="1:6" ht="21" x14ac:dyDescent="0.25">
      <c r="A36" s="75"/>
      <c r="B36" s="76" t="s">
        <v>305</v>
      </c>
      <c r="C36" s="77" t="s">
        <v>306</v>
      </c>
      <c r="D36" s="78">
        <v>187937718</v>
      </c>
      <c r="E36" s="78">
        <v>70972950</v>
      </c>
      <c r="F36" s="79">
        <v>258910668</v>
      </c>
    </row>
    <row r="37" spans="1:6" ht="45" customHeight="1" x14ac:dyDescent="0.25">
      <c r="A37" s="75"/>
      <c r="B37" s="76" t="s">
        <v>213</v>
      </c>
      <c r="C37" s="77" t="s">
        <v>307</v>
      </c>
      <c r="D37" s="78">
        <v>0</v>
      </c>
      <c r="E37" s="78">
        <v>0</v>
      </c>
      <c r="F37" s="79">
        <v>0</v>
      </c>
    </row>
    <row r="38" spans="1:6" ht="54.75" customHeight="1" x14ac:dyDescent="0.25">
      <c r="A38" s="70" t="s">
        <v>67</v>
      </c>
      <c r="B38" s="71" t="s">
        <v>308</v>
      </c>
      <c r="C38" s="72" t="s">
        <v>309</v>
      </c>
      <c r="D38" s="73">
        <v>540082000</v>
      </c>
      <c r="E38" s="73">
        <v>200402910</v>
      </c>
      <c r="F38" s="74">
        <v>740484910</v>
      </c>
    </row>
    <row r="39" spans="1:6" ht="21" x14ac:dyDescent="0.25">
      <c r="A39" s="75"/>
      <c r="B39" s="76" t="s">
        <v>310</v>
      </c>
      <c r="C39" s="77" t="s">
        <v>311</v>
      </c>
      <c r="D39" s="78">
        <v>93968865</v>
      </c>
      <c r="E39" s="78">
        <v>44817235</v>
      </c>
      <c r="F39" s="79">
        <v>138786100</v>
      </c>
    </row>
    <row r="40" spans="1:6" ht="21" x14ac:dyDescent="0.25">
      <c r="A40" s="75"/>
      <c r="B40" s="76" t="s">
        <v>312</v>
      </c>
      <c r="C40" s="77" t="s">
        <v>313</v>
      </c>
      <c r="D40" s="78">
        <v>16500008</v>
      </c>
      <c r="E40" s="78">
        <v>9048379</v>
      </c>
      <c r="F40" s="79">
        <v>25548387</v>
      </c>
    </row>
    <row r="41" spans="1:6" ht="31.5" x14ac:dyDescent="0.25">
      <c r="A41" s="75"/>
      <c r="B41" s="76" t="s">
        <v>314</v>
      </c>
      <c r="C41" s="77" t="s">
        <v>315</v>
      </c>
      <c r="D41" s="78">
        <v>213565597</v>
      </c>
      <c r="E41" s="78">
        <v>60290720</v>
      </c>
      <c r="F41" s="79">
        <v>273856317</v>
      </c>
    </row>
    <row r="42" spans="1:6" ht="21" x14ac:dyDescent="0.25">
      <c r="A42" s="75"/>
      <c r="B42" s="76" t="s">
        <v>316</v>
      </c>
      <c r="C42" s="77" t="s">
        <v>317</v>
      </c>
      <c r="D42" s="78">
        <v>216047530</v>
      </c>
      <c r="E42" s="78">
        <v>86246576</v>
      </c>
      <c r="F42" s="79">
        <v>302294106</v>
      </c>
    </row>
    <row r="43" spans="1:6" ht="21" x14ac:dyDescent="0.25">
      <c r="A43" s="70" t="s">
        <v>71</v>
      </c>
      <c r="B43" s="71" t="s">
        <v>318</v>
      </c>
      <c r="C43" s="72" t="s">
        <v>319</v>
      </c>
      <c r="D43" s="73">
        <v>47962084</v>
      </c>
      <c r="E43" s="73">
        <v>14075829</v>
      </c>
      <c r="F43" s="74">
        <v>62037913</v>
      </c>
    </row>
    <row r="44" spans="1:6" ht="52.5" x14ac:dyDescent="0.25">
      <c r="A44" s="70" t="s">
        <v>320</v>
      </c>
      <c r="B44" s="71" t="s">
        <v>321</v>
      </c>
      <c r="C44" s="72" t="s">
        <v>322</v>
      </c>
      <c r="D44" s="73">
        <v>29257022</v>
      </c>
      <c r="E44" s="73">
        <v>9735986</v>
      </c>
      <c r="F44" s="74">
        <v>38993008</v>
      </c>
    </row>
    <row r="45" spans="1:6" ht="21" x14ac:dyDescent="0.25">
      <c r="A45" s="75"/>
      <c r="B45" s="76" t="s">
        <v>323</v>
      </c>
      <c r="C45" s="77" t="s">
        <v>324</v>
      </c>
      <c r="D45" s="78">
        <v>29257022</v>
      </c>
      <c r="E45" s="78">
        <v>9735986</v>
      </c>
      <c r="F45" s="79">
        <v>38993008</v>
      </c>
    </row>
    <row r="46" spans="1:6" ht="21" x14ac:dyDescent="0.25">
      <c r="A46" s="75"/>
      <c r="B46" s="76" t="s">
        <v>325</v>
      </c>
      <c r="C46" s="77" t="s">
        <v>326</v>
      </c>
      <c r="D46" s="78">
        <v>0</v>
      </c>
      <c r="E46" s="78">
        <v>0</v>
      </c>
      <c r="F46" s="79">
        <v>0</v>
      </c>
    </row>
    <row r="47" spans="1:6" ht="21" x14ac:dyDescent="0.25">
      <c r="A47" s="75"/>
      <c r="B47" s="76" t="s">
        <v>327</v>
      </c>
      <c r="C47" s="77" t="s">
        <v>328</v>
      </c>
      <c r="D47" s="78">
        <v>0</v>
      </c>
      <c r="E47" s="78">
        <v>0</v>
      </c>
      <c r="F47" s="79">
        <v>0</v>
      </c>
    </row>
    <row r="48" spans="1:6" ht="99" customHeight="1" x14ac:dyDescent="0.25">
      <c r="A48" s="70" t="s">
        <v>329</v>
      </c>
      <c r="B48" s="71" t="s">
        <v>330</v>
      </c>
      <c r="C48" s="72" t="s">
        <v>331</v>
      </c>
      <c r="D48" s="73">
        <v>0</v>
      </c>
      <c r="E48" s="73">
        <v>0</v>
      </c>
      <c r="F48" s="74">
        <v>0</v>
      </c>
    </row>
    <row r="49" spans="1:6" ht="21" x14ac:dyDescent="0.25">
      <c r="A49" s="75"/>
      <c r="B49" s="76" t="s">
        <v>332</v>
      </c>
      <c r="C49" s="77" t="s">
        <v>333</v>
      </c>
      <c r="D49" s="78">
        <v>0</v>
      </c>
      <c r="E49" s="78">
        <v>0</v>
      </c>
      <c r="F49" s="79">
        <v>0</v>
      </c>
    </row>
    <row r="50" spans="1:6" ht="21" x14ac:dyDescent="0.25">
      <c r="A50" s="75"/>
      <c r="B50" s="76" t="s">
        <v>334</v>
      </c>
      <c r="C50" s="77" t="s">
        <v>335</v>
      </c>
      <c r="D50" s="78">
        <v>0</v>
      </c>
      <c r="E50" s="78">
        <v>0</v>
      </c>
      <c r="F50" s="79">
        <v>0</v>
      </c>
    </row>
    <row r="51" spans="1:6" ht="21.75" customHeight="1" x14ac:dyDescent="0.25">
      <c r="A51" s="75"/>
      <c r="B51" s="76" t="s">
        <v>336</v>
      </c>
      <c r="C51" s="77" t="s">
        <v>337</v>
      </c>
      <c r="D51" s="78">
        <v>0</v>
      </c>
      <c r="E51" s="78">
        <v>0</v>
      </c>
      <c r="F51" s="79">
        <v>0</v>
      </c>
    </row>
    <row r="52" spans="1:6" ht="21" x14ac:dyDescent="0.25">
      <c r="A52" s="75"/>
      <c r="B52" s="76" t="s">
        <v>338</v>
      </c>
      <c r="C52" s="77" t="s">
        <v>339</v>
      </c>
      <c r="D52" s="78">
        <v>0</v>
      </c>
      <c r="E52" s="78">
        <v>0</v>
      </c>
      <c r="F52" s="79">
        <v>0</v>
      </c>
    </row>
    <row r="53" spans="1:6" ht="21" x14ac:dyDescent="0.25">
      <c r="A53" s="75"/>
      <c r="B53" s="76" t="s">
        <v>340</v>
      </c>
      <c r="C53" s="77" t="s">
        <v>341</v>
      </c>
      <c r="D53" s="78">
        <v>0</v>
      </c>
      <c r="E53" s="78">
        <v>0</v>
      </c>
      <c r="F53" s="79">
        <v>0</v>
      </c>
    </row>
    <row r="54" spans="1:6" ht="21.75" customHeight="1" x14ac:dyDescent="0.25">
      <c r="A54" s="70" t="s">
        <v>342</v>
      </c>
      <c r="B54" s="71" t="s">
        <v>343</v>
      </c>
      <c r="C54" s="72" t="s">
        <v>344</v>
      </c>
      <c r="D54" s="73">
        <v>81441397</v>
      </c>
      <c r="E54" s="73">
        <v>23465560</v>
      </c>
      <c r="F54" s="74">
        <v>104906957</v>
      </c>
    </row>
    <row r="55" spans="1:6" ht="21" x14ac:dyDescent="0.25">
      <c r="A55" s="75"/>
      <c r="B55" s="76" t="s">
        <v>345</v>
      </c>
      <c r="C55" s="77" t="s">
        <v>346</v>
      </c>
      <c r="D55" s="78">
        <v>81441397</v>
      </c>
      <c r="E55" s="78">
        <v>23465560</v>
      </c>
      <c r="F55" s="79">
        <v>104906957</v>
      </c>
    </row>
    <row r="56" spans="1:6" ht="21" x14ac:dyDescent="0.25">
      <c r="A56" s="75"/>
      <c r="B56" s="76" t="s">
        <v>347</v>
      </c>
      <c r="C56" s="77" t="s">
        <v>348</v>
      </c>
      <c r="D56" s="78">
        <v>0</v>
      </c>
      <c r="E56" s="78">
        <v>0</v>
      </c>
      <c r="F56" s="79">
        <v>0</v>
      </c>
    </row>
    <row r="57" spans="1:6" ht="21" x14ac:dyDescent="0.25">
      <c r="A57" s="70" t="s">
        <v>349</v>
      </c>
      <c r="B57" s="71" t="s">
        <v>350</v>
      </c>
      <c r="C57" s="72" t="s">
        <v>351</v>
      </c>
      <c r="D57" s="73">
        <v>6314811</v>
      </c>
      <c r="E57" s="73">
        <v>71262247</v>
      </c>
      <c r="F57" s="74">
        <v>77577058</v>
      </c>
    </row>
    <row r="58" spans="1:6" ht="21" x14ac:dyDescent="0.25">
      <c r="A58" s="75"/>
      <c r="B58" s="76" t="s">
        <v>352</v>
      </c>
      <c r="C58" s="77" t="s">
        <v>353</v>
      </c>
      <c r="D58" s="78">
        <v>0</v>
      </c>
      <c r="E58" s="78">
        <v>50000000</v>
      </c>
      <c r="F58" s="79">
        <v>50000000</v>
      </c>
    </row>
    <row r="59" spans="1:6" ht="21" x14ac:dyDescent="0.25">
      <c r="A59" s="75"/>
      <c r="B59" s="76" t="s">
        <v>354</v>
      </c>
      <c r="C59" s="77" t="s">
        <v>355</v>
      </c>
      <c r="D59" s="78">
        <v>0</v>
      </c>
      <c r="E59" s="78">
        <v>17500000</v>
      </c>
      <c r="F59" s="79">
        <v>17500000</v>
      </c>
    </row>
    <row r="60" spans="1:6" ht="21" x14ac:dyDescent="0.25">
      <c r="A60" s="75"/>
      <c r="B60" s="76" t="s">
        <v>356</v>
      </c>
      <c r="C60" s="77" t="s">
        <v>357</v>
      </c>
      <c r="D60" s="78">
        <v>1811020</v>
      </c>
      <c r="E60" s="78">
        <v>1751965</v>
      </c>
      <c r="F60" s="79">
        <v>3562985</v>
      </c>
    </row>
    <row r="61" spans="1:6" ht="21" x14ac:dyDescent="0.25">
      <c r="A61" s="75"/>
      <c r="B61" s="76" t="s">
        <v>358</v>
      </c>
      <c r="C61" s="77" t="s">
        <v>359</v>
      </c>
      <c r="D61" s="78">
        <v>4503791</v>
      </c>
      <c r="E61" s="78">
        <v>2010282</v>
      </c>
      <c r="F61" s="79">
        <v>6514073</v>
      </c>
    </row>
    <row r="62" spans="1:6" ht="21" x14ac:dyDescent="0.25">
      <c r="A62" s="75"/>
      <c r="B62" s="76" t="s">
        <v>360</v>
      </c>
      <c r="C62" s="77" t="s">
        <v>361</v>
      </c>
      <c r="D62" s="78">
        <v>0</v>
      </c>
      <c r="E62" s="78">
        <v>0</v>
      </c>
      <c r="F62" s="79">
        <v>0</v>
      </c>
    </row>
    <row r="63" spans="1:6" ht="21" x14ac:dyDescent="0.25">
      <c r="A63" s="75"/>
      <c r="B63" s="76" t="s">
        <v>362</v>
      </c>
      <c r="C63" s="77" t="s">
        <v>363</v>
      </c>
      <c r="D63" s="78">
        <v>0</v>
      </c>
      <c r="E63" s="78">
        <v>0</v>
      </c>
      <c r="F63" s="79">
        <v>0</v>
      </c>
    </row>
    <row r="64" spans="1:6" ht="21" x14ac:dyDescent="0.25">
      <c r="A64" s="75"/>
      <c r="B64" s="76" t="s">
        <v>364</v>
      </c>
      <c r="C64" s="77" t="s">
        <v>365</v>
      </c>
      <c r="D64" s="78">
        <v>0</v>
      </c>
      <c r="E64" s="78">
        <v>0</v>
      </c>
      <c r="F64" s="79">
        <v>0</v>
      </c>
    </row>
    <row r="65" spans="1:6" ht="21" x14ac:dyDescent="0.25">
      <c r="A65" s="75"/>
      <c r="B65" s="76" t="s">
        <v>366</v>
      </c>
      <c r="C65" s="77" t="s">
        <v>367</v>
      </c>
      <c r="D65" s="78">
        <v>0</v>
      </c>
      <c r="E65" s="78">
        <v>0</v>
      </c>
      <c r="F65" s="79">
        <v>0</v>
      </c>
    </row>
    <row r="66" spans="1:6" ht="22.5" customHeight="1" x14ac:dyDescent="0.25">
      <c r="A66" s="65" t="s">
        <v>368</v>
      </c>
      <c r="B66" s="66" t="s">
        <v>369</v>
      </c>
      <c r="C66" s="67" t="s">
        <v>370</v>
      </c>
      <c r="D66" s="68">
        <v>7412665927</v>
      </c>
      <c r="E66" s="68">
        <v>-316583155</v>
      </c>
      <c r="F66" s="69">
        <v>7096082772</v>
      </c>
    </row>
    <row r="67" spans="1:6" ht="21" x14ac:dyDescent="0.25">
      <c r="A67" s="65" t="s">
        <v>371</v>
      </c>
      <c r="B67" s="66" t="s">
        <v>372</v>
      </c>
      <c r="C67" s="67" t="s">
        <v>373</v>
      </c>
      <c r="D67" s="68">
        <v>265407671550</v>
      </c>
      <c r="E67" s="68">
        <v>-70590134850</v>
      </c>
      <c r="F67" s="69">
        <v>194817536700</v>
      </c>
    </row>
    <row r="68" spans="1:6" ht="21" x14ac:dyDescent="0.25">
      <c r="A68" s="70" t="s">
        <v>60</v>
      </c>
      <c r="B68" s="71" t="s">
        <v>374</v>
      </c>
      <c r="C68" s="72" t="s">
        <v>375</v>
      </c>
      <c r="D68" s="73">
        <v>189784105</v>
      </c>
      <c r="E68" s="73">
        <v>329150439</v>
      </c>
      <c r="F68" s="74">
        <v>518934544</v>
      </c>
    </row>
    <row r="69" spans="1:6" ht="21" x14ac:dyDescent="0.25">
      <c r="A69" s="75"/>
      <c r="B69" s="76" t="s">
        <v>376</v>
      </c>
      <c r="C69" s="77" t="s">
        <v>377</v>
      </c>
      <c r="D69" s="78">
        <v>-1258528561</v>
      </c>
      <c r="E69" s="78">
        <v>329150439</v>
      </c>
      <c r="F69" s="79">
        <v>-929378122</v>
      </c>
    </row>
    <row r="70" spans="1:6" ht="23.25" customHeight="1" x14ac:dyDescent="0.25">
      <c r="A70" s="75"/>
      <c r="B70" s="76" t="s">
        <v>378</v>
      </c>
      <c r="C70" s="77" t="s">
        <v>379</v>
      </c>
      <c r="D70" s="78">
        <v>1448312666</v>
      </c>
      <c r="E70" s="78">
        <v>0</v>
      </c>
      <c r="F70" s="79">
        <v>1448312666</v>
      </c>
    </row>
    <row r="71" spans="1:6" ht="32.25" customHeight="1" x14ac:dyDescent="0.25">
      <c r="A71" s="75"/>
      <c r="B71" s="76" t="s">
        <v>380</v>
      </c>
      <c r="C71" s="77" t="s">
        <v>381</v>
      </c>
      <c r="D71" s="78">
        <v>0</v>
      </c>
      <c r="E71" s="78">
        <v>0</v>
      </c>
      <c r="F71" s="79">
        <v>0</v>
      </c>
    </row>
    <row r="72" spans="1:6" ht="21" x14ac:dyDescent="0.25">
      <c r="A72" s="70" t="s">
        <v>62</v>
      </c>
      <c r="B72" s="71" t="s">
        <v>382</v>
      </c>
      <c r="C72" s="72" t="s">
        <v>383</v>
      </c>
      <c r="D72" s="73">
        <v>265217887445</v>
      </c>
      <c r="E72" s="73">
        <v>-70919285289</v>
      </c>
      <c r="F72" s="74">
        <v>194298602156</v>
      </c>
    </row>
    <row r="73" spans="1:6" ht="45" customHeight="1" x14ac:dyDescent="0.25">
      <c r="A73" s="65" t="s">
        <v>384</v>
      </c>
      <c r="B73" s="66" t="s">
        <v>385</v>
      </c>
      <c r="C73" s="67" t="s">
        <v>386</v>
      </c>
      <c r="D73" s="68">
        <v>272820337477</v>
      </c>
      <c r="E73" s="68">
        <v>-70906718005</v>
      </c>
      <c r="F73" s="69">
        <v>201913619472</v>
      </c>
    </row>
    <row r="74" spans="1:6" ht="21" x14ac:dyDescent="0.25">
      <c r="A74" s="65" t="s">
        <v>387</v>
      </c>
      <c r="B74" s="66" t="s">
        <v>388</v>
      </c>
      <c r="C74" s="67" t="s">
        <v>389</v>
      </c>
      <c r="D74" s="68">
        <v>1362487799178</v>
      </c>
      <c r="E74" s="68">
        <v>0</v>
      </c>
      <c r="F74" s="69">
        <v>0</v>
      </c>
    </row>
    <row r="75" spans="1:6" ht="22.5" customHeight="1" x14ac:dyDescent="0.25">
      <c r="A75" s="65" t="s">
        <v>390</v>
      </c>
      <c r="B75" s="66" t="s">
        <v>391</v>
      </c>
      <c r="C75" s="67" t="s">
        <v>392</v>
      </c>
      <c r="D75" s="68">
        <v>882391196793</v>
      </c>
      <c r="E75" s="68">
        <v>1362487799178</v>
      </c>
      <c r="F75" s="69">
        <v>2244878995971</v>
      </c>
    </row>
    <row r="76" spans="1:6" ht="21" x14ac:dyDescent="0.25">
      <c r="A76" s="70"/>
      <c r="B76" s="71" t="s">
        <v>393</v>
      </c>
      <c r="C76" s="72" t="s">
        <v>394</v>
      </c>
      <c r="D76" s="73">
        <v>0</v>
      </c>
      <c r="E76" s="73">
        <v>0</v>
      </c>
      <c r="F76" s="74">
        <v>0</v>
      </c>
    </row>
    <row r="77" spans="1:6" ht="42" x14ac:dyDescent="0.25">
      <c r="A77" s="70" t="s">
        <v>60</v>
      </c>
      <c r="B77" s="71" t="s">
        <v>395</v>
      </c>
      <c r="C77" s="72" t="s">
        <v>396</v>
      </c>
      <c r="D77" s="73">
        <v>272820337477</v>
      </c>
      <c r="E77" s="73">
        <v>-70906718005</v>
      </c>
      <c r="F77" s="74">
        <v>201913619472</v>
      </c>
    </row>
    <row r="78" spans="1:6" ht="24" customHeight="1" x14ac:dyDescent="0.25">
      <c r="A78" s="70" t="s">
        <v>62</v>
      </c>
      <c r="B78" s="71" t="s">
        <v>397</v>
      </c>
      <c r="C78" s="72" t="s">
        <v>398</v>
      </c>
      <c r="D78" s="73">
        <v>609570859316</v>
      </c>
      <c r="E78" s="73">
        <v>1433394517183</v>
      </c>
      <c r="F78" s="74">
        <v>2042965376499</v>
      </c>
    </row>
    <row r="79" spans="1:6" ht="42" x14ac:dyDescent="0.25">
      <c r="A79" s="75"/>
      <c r="B79" s="76" t="s">
        <v>399</v>
      </c>
      <c r="C79" s="77" t="s">
        <v>400</v>
      </c>
      <c r="D79" s="78">
        <v>0</v>
      </c>
      <c r="E79" s="78">
        <v>0</v>
      </c>
      <c r="F79" s="79">
        <v>0</v>
      </c>
    </row>
    <row r="80" spans="1:6" ht="22.5" customHeight="1" x14ac:dyDescent="0.25">
      <c r="A80" s="75"/>
      <c r="B80" s="76" t="s">
        <v>401</v>
      </c>
      <c r="C80" s="77" t="s">
        <v>402</v>
      </c>
      <c r="D80" s="78">
        <v>648437581490</v>
      </c>
      <c r="E80" s="78">
        <v>1433394517183</v>
      </c>
      <c r="F80" s="79">
        <v>2081832098673</v>
      </c>
    </row>
    <row r="81" spans="1:6" ht="22.5" customHeight="1" x14ac:dyDescent="0.25">
      <c r="A81" s="75"/>
      <c r="B81" s="76" t="s">
        <v>403</v>
      </c>
      <c r="C81" s="77" t="s">
        <v>404</v>
      </c>
      <c r="D81" s="78">
        <v>-38866722174</v>
      </c>
      <c r="E81" s="78">
        <v>0</v>
      </c>
      <c r="F81" s="79">
        <v>-38866722174</v>
      </c>
    </row>
    <row r="82" spans="1:6" ht="21" x14ac:dyDescent="0.25">
      <c r="A82" s="65" t="s">
        <v>405</v>
      </c>
      <c r="B82" s="66" t="s">
        <v>406</v>
      </c>
      <c r="C82" s="67" t="s">
        <v>407</v>
      </c>
      <c r="D82" s="68">
        <v>2244878995971</v>
      </c>
      <c r="E82" s="68">
        <v>1362487799178</v>
      </c>
      <c r="F82" s="69">
        <v>2244878995971</v>
      </c>
    </row>
    <row r="83" spans="1:6" ht="22.5" customHeight="1" x14ac:dyDescent="0.25">
      <c r="A83" s="65" t="s">
        <v>408</v>
      </c>
      <c r="B83" s="66" t="s">
        <v>409</v>
      </c>
      <c r="C83" s="67" t="s">
        <v>410</v>
      </c>
      <c r="D83" s="68">
        <v>0</v>
      </c>
      <c r="E83" s="68">
        <v>0</v>
      </c>
      <c r="F83" s="69">
        <v>0</v>
      </c>
    </row>
    <row r="84" spans="1:6" ht="23.25" customHeight="1" x14ac:dyDescent="0.25">
      <c r="A84" s="80"/>
      <c r="B84" s="81" t="s">
        <v>411</v>
      </c>
      <c r="C84" s="82" t="s">
        <v>412</v>
      </c>
      <c r="D84" s="83">
        <v>0</v>
      </c>
      <c r="E84" s="83">
        <v>0</v>
      </c>
      <c r="F84" s="84">
        <v>0</v>
      </c>
    </row>
    <row r="85" spans="1:6" x14ac:dyDescent="0.25">
      <c r="A85" s="277"/>
      <c r="B85" s="277"/>
      <c r="C85" s="277"/>
      <c r="D85" s="295"/>
      <c r="E85" s="295"/>
      <c r="F85" s="295"/>
    </row>
    <row r="86" spans="1:6" ht="13.5" customHeight="1" x14ac:dyDescent="0.25">
      <c r="A86" s="278" t="s">
        <v>19</v>
      </c>
      <c r="B86" s="278"/>
      <c r="C86" s="278"/>
      <c r="D86" s="291" t="s">
        <v>261</v>
      </c>
      <c r="E86" s="291"/>
      <c r="F86" s="291"/>
    </row>
    <row r="87" spans="1:6" ht="13.5" customHeight="1" x14ac:dyDescent="0.25">
      <c r="A87" s="285" t="s">
        <v>21</v>
      </c>
      <c r="B87" s="285"/>
      <c r="C87" s="285"/>
      <c r="D87" s="285" t="s">
        <v>22</v>
      </c>
      <c r="E87" s="285"/>
      <c r="F87" s="285"/>
    </row>
    <row r="88" spans="1:6" x14ac:dyDescent="0.25">
      <c r="A88" s="277"/>
      <c r="B88" s="277"/>
      <c r="C88" s="277"/>
      <c r="D88" s="277"/>
      <c r="E88" s="277"/>
      <c r="F88" s="277"/>
    </row>
    <row r="89" spans="1:6" ht="25.5" customHeight="1" x14ac:dyDescent="0.25">
      <c r="A89" s="277"/>
      <c r="B89" s="277"/>
      <c r="C89" s="277"/>
      <c r="D89" s="277"/>
      <c r="E89" s="277"/>
      <c r="F89" s="277"/>
    </row>
    <row r="90" spans="1:6" ht="25.5" customHeight="1" x14ac:dyDescent="0.25">
      <c r="A90" s="277"/>
      <c r="B90" s="277"/>
      <c r="C90" s="277"/>
      <c r="D90" s="277"/>
      <c r="E90" s="277"/>
      <c r="F90" s="277"/>
    </row>
    <row r="91" spans="1:6" x14ac:dyDescent="0.25">
      <c r="A91" s="277"/>
      <c r="B91" s="277"/>
      <c r="C91" s="277"/>
      <c r="D91" s="277"/>
      <c r="E91" s="277"/>
      <c r="F91" s="277"/>
    </row>
    <row r="92" spans="1:6" x14ac:dyDescent="0.25">
      <c r="A92" s="278" t="s">
        <v>262</v>
      </c>
      <c r="B92" s="278"/>
      <c r="C92" s="278"/>
      <c r="D92" s="278" t="s">
        <v>263</v>
      </c>
      <c r="E92" s="278"/>
      <c r="F92" s="278"/>
    </row>
    <row r="93" spans="1:6" x14ac:dyDescent="0.25">
      <c r="A93" s="292" t="s">
        <v>23</v>
      </c>
      <c r="B93" s="292"/>
      <c r="C93" s="292"/>
      <c r="D93" s="292" t="s">
        <v>264</v>
      </c>
      <c r="E93" s="292"/>
      <c r="F93" s="292"/>
    </row>
    <row r="94" spans="1:6" x14ac:dyDescent="0.25">
      <c r="A94" s="292" t="s">
        <v>265</v>
      </c>
      <c r="B94" s="292"/>
      <c r="C94" s="292"/>
      <c r="D94" s="292" t="s">
        <v>266</v>
      </c>
      <c r="E94" s="292"/>
      <c r="F94" s="292"/>
    </row>
  </sheetData>
  <mergeCells count="37">
    <mergeCell ref="A92:C92"/>
    <mergeCell ref="D92:F92"/>
    <mergeCell ref="A93:C93"/>
    <mergeCell ref="D93:F93"/>
    <mergeCell ref="A94:C94"/>
    <mergeCell ref="D94:F94"/>
    <mergeCell ref="A89:C89"/>
    <mergeCell ref="D89:F89"/>
    <mergeCell ref="A90:C90"/>
    <mergeCell ref="D90:F90"/>
    <mergeCell ref="A91:C91"/>
    <mergeCell ref="D91:F91"/>
    <mergeCell ref="A86:C86"/>
    <mergeCell ref="D86:F86"/>
    <mergeCell ref="A87:C87"/>
    <mergeCell ref="D87:F87"/>
    <mergeCell ref="A88:C88"/>
    <mergeCell ref="D88:F88"/>
    <mergeCell ref="A85:C85"/>
    <mergeCell ref="D85:F85"/>
    <mergeCell ref="C7:F7"/>
    <mergeCell ref="C8:F8"/>
    <mergeCell ref="C9:F9"/>
    <mergeCell ref="C10:F10"/>
    <mergeCell ref="C11:F11"/>
    <mergeCell ref="C12:F12"/>
    <mergeCell ref="C13:F13"/>
    <mergeCell ref="E14:F14"/>
    <mergeCell ref="A15:F15"/>
    <mergeCell ref="A16:F16"/>
    <mergeCell ref="A17:F17"/>
    <mergeCell ref="C6:F6"/>
    <mergeCell ref="A1:B1"/>
    <mergeCell ref="C1:F1"/>
    <mergeCell ref="A2:F2"/>
    <mergeCell ref="A3:F3"/>
    <mergeCell ref="A4:F4"/>
  </mergeCells>
  <printOptions horizontalCentered="1"/>
  <pageMargins left="0" right="0" top="0.59" bottom="0.3" header="0.5" footer="0"/>
  <pageSetup paperSize="9" scale="8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zoomScaleNormal="100" zoomScaleSheetLayoutView="100" workbookViewId="0">
      <selection activeCell="G80" sqref="A1:G80"/>
    </sheetView>
  </sheetViews>
  <sheetFormatPr defaultRowHeight="15" x14ac:dyDescent="0.25"/>
  <cols>
    <col min="1" max="1" width="5.7109375" style="30" customWidth="1"/>
    <col min="2" max="2" width="36.7109375" style="30" customWidth="1"/>
    <col min="3" max="3" width="9.140625" style="30"/>
    <col min="4" max="4" width="16.5703125" style="30" customWidth="1"/>
    <col min="5" max="5" width="12.28515625" style="30" customWidth="1"/>
    <col min="6" max="6" width="16.5703125" style="30" customWidth="1"/>
    <col min="7" max="7" width="12.85546875" style="30" customWidth="1"/>
    <col min="8" max="16384" width="9.140625" style="30"/>
  </cols>
  <sheetData>
    <row r="1" spans="1:7" ht="24.75" customHeight="1" x14ac:dyDescent="0.25">
      <c r="A1" s="277"/>
      <c r="B1" s="277"/>
      <c r="C1" s="278" t="s">
        <v>267</v>
      </c>
      <c r="D1" s="278"/>
      <c r="E1" s="278"/>
      <c r="F1" s="278"/>
      <c r="G1" s="278"/>
    </row>
    <row r="2" spans="1:7" ht="43.5" customHeight="1" x14ac:dyDescent="0.25">
      <c r="A2" s="279" t="s">
        <v>268</v>
      </c>
      <c r="B2" s="279"/>
      <c r="C2" s="279"/>
      <c r="D2" s="279"/>
      <c r="E2" s="279"/>
      <c r="F2" s="279"/>
      <c r="G2" s="279"/>
    </row>
    <row r="3" spans="1:7" ht="6.75" customHeight="1" x14ac:dyDescent="0.25">
      <c r="A3" s="31"/>
      <c r="B3" s="31"/>
      <c r="C3" s="277"/>
      <c r="D3" s="277"/>
      <c r="E3" s="277"/>
      <c r="F3" s="277"/>
      <c r="G3" s="277"/>
    </row>
    <row r="4" spans="1:7" ht="13.5" customHeight="1" x14ac:dyDescent="0.25">
      <c r="A4" s="301" t="s">
        <v>413</v>
      </c>
      <c r="B4" s="301"/>
      <c r="C4" s="301"/>
      <c r="D4" s="301"/>
      <c r="E4" s="301"/>
      <c r="F4" s="301"/>
      <c r="G4" s="301"/>
    </row>
    <row r="5" spans="1:7" ht="12.75" customHeight="1" x14ac:dyDescent="0.25">
      <c r="A5" s="301" t="s">
        <v>414</v>
      </c>
      <c r="B5" s="301"/>
      <c r="C5" s="301"/>
      <c r="D5" s="301"/>
      <c r="E5" s="301"/>
      <c r="F5" s="301"/>
      <c r="G5" s="301"/>
    </row>
    <row r="6" spans="1:7" ht="12" customHeight="1" x14ac:dyDescent="0.25">
      <c r="A6" s="285" t="s">
        <v>415</v>
      </c>
      <c r="B6" s="285"/>
      <c r="C6" s="285"/>
      <c r="D6" s="285"/>
      <c r="E6" s="285"/>
      <c r="F6" s="285"/>
      <c r="G6" s="285"/>
    </row>
    <row r="7" spans="1:7" ht="9.75" customHeight="1" x14ac:dyDescent="0.25">
      <c r="A7" s="31"/>
      <c r="B7" s="31"/>
      <c r="C7" s="277"/>
      <c r="D7" s="277"/>
      <c r="E7" s="277"/>
      <c r="F7" s="277"/>
      <c r="G7" s="277"/>
    </row>
    <row r="8" spans="1:7" ht="12.75" customHeight="1" x14ac:dyDescent="0.25">
      <c r="A8" s="61" t="s">
        <v>60</v>
      </c>
      <c r="B8" s="62" t="s">
        <v>4</v>
      </c>
      <c r="C8" s="288" t="s">
        <v>61</v>
      </c>
      <c r="D8" s="288"/>
      <c r="E8" s="288"/>
      <c r="F8" s="288"/>
      <c r="G8" s="288"/>
    </row>
    <row r="9" spans="1:7" ht="12.75" customHeight="1" x14ac:dyDescent="0.25">
      <c r="A9" s="31"/>
      <c r="B9" s="64" t="s">
        <v>6</v>
      </c>
      <c r="C9" s="296" t="s">
        <v>7</v>
      </c>
      <c r="D9" s="296"/>
      <c r="E9" s="296"/>
      <c r="F9" s="296"/>
      <c r="G9" s="296"/>
    </row>
    <row r="10" spans="1:7" ht="12.75" customHeight="1" x14ac:dyDescent="0.25">
      <c r="A10" s="61" t="s">
        <v>62</v>
      </c>
      <c r="B10" s="62" t="s">
        <v>8</v>
      </c>
      <c r="C10" s="288" t="s">
        <v>64</v>
      </c>
      <c r="D10" s="288"/>
      <c r="E10" s="288"/>
      <c r="F10" s="288"/>
      <c r="G10" s="288"/>
    </row>
    <row r="11" spans="1:7" ht="12.75" customHeight="1" x14ac:dyDescent="0.25">
      <c r="A11" s="31"/>
      <c r="B11" s="64" t="s">
        <v>65</v>
      </c>
      <c r="C11" s="296" t="s">
        <v>66</v>
      </c>
      <c r="D11" s="296"/>
      <c r="E11" s="296"/>
      <c r="F11" s="296"/>
      <c r="G11" s="296"/>
    </row>
    <row r="12" spans="1:7" ht="12.75" customHeight="1" x14ac:dyDescent="0.25">
      <c r="A12" s="61" t="s">
        <v>67</v>
      </c>
      <c r="B12" s="62" t="s">
        <v>12</v>
      </c>
      <c r="C12" s="288" t="s">
        <v>68</v>
      </c>
      <c r="D12" s="288"/>
      <c r="E12" s="288"/>
      <c r="F12" s="288"/>
      <c r="G12" s="288"/>
    </row>
    <row r="13" spans="1:7" ht="12.75" customHeight="1" x14ac:dyDescent="0.25">
      <c r="A13" s="31"/>
      <c r="B13" s="64" t="s">
        <v>69</v>
      </c>
      <c r="C13" s="296" t="s">
        <v>70</v>
      </c>
      <c r="D13" s="296"/>
      <c r="E13" s="296"/>
      <c r="F13" s="296"/>
      <c r="G13" s="296"/>
    </row>
    <row r="14" spans="1:7" ht="12.75" customHeight="1" x14ac:dyDescent="0.25">
      <c r="A14" s="61" t="s">
        <v>71</v>
      </c>
      <c r="B14" s="62" t="s">
        <v>16</v>
      </c>
      <c r="C14" s="297">
        <v>44119</v>
      </c>
      <c r="D14" s="288"/>
      <c r="E14" s="288"/>
      <c r="F14" s="288"/>
      <c r="G14" s="288"/>
    </row>
    <row r="15" spans="1:7" ht="12.75" customHeight="1" x14ac:dyDescent="0.25">
      <c r="A15" s="31"/>
      <c r="B15" s="64" t="s">
        <v>17</v>
      </c>
      <c r="C15" s="298">
        <v>44119</v>
      </c>
      <c r="D15" s="296"/>
      <c r="E15" s="296"/>
      <c r="F15" s="296"/>
      <c r="G15" s="296"/>
    </row>
    <row r="16" spans="1:7" ht="12.75" customHeight="1" x14ac:dyDescent="0.25">
      <c r="A16" s="31"/>
      <c r="B16" s="31"/>
      <c r="C16" s="299"/>
      <c r="D16" s="299"/>
      <c r="E16" s="299"/>
      <c r="F16" s="299"/>
      <c r="G16" s="299"/>
    </row>
    <row r="17" spans="1:7" ht="12.75" customHeight="1" x14ac:dyDescent="0.25">
      <c r="A17" s="288" t="s">
        <v>416</v>
      </c>
      <c r="B17" s="288"/>
      <c r="C17" s="288"/>
      <c r="D17" s="288"/>
      <c r="E17" s="288"/>
      <c r="F17" s="288"/>
      <c r="G17" s="288"/>
    </row>
    <row r="18" spans="1:7" ht="12.75" customHeight="1" x14ac:dyDescent="0.25">
      <c r="A18" s="288" t="s">
        <v>417</v>
      </c>
      <c r="B18" s="288"/>
      <c r="C18" s="288"/>
      <c r="D18" s="288"/>
      <c r="E18" s="288"/>
      <c r="F18" s="288"/>
      <c r="G18" s="288"/>
    </row>
    <row r="19" spans="1:7" ht="12.75" customHeight="1" x14ac:dyDescent="0.25">
      <c r="A19" s="37"/>
      <c r="B19" s="37"/>
      <c r="C19" s="300" t="s">
        <v>74</v>
      </c>
      <c r="D19" s="300"/>
      <c r="E19" s="300"/>
      <c r="F19" s="300"/>
      <c r="G19" s="300"/>
    </row>
    <row r="20" spans="1:7" ht="63" x14ac:dyDescent="0.25">
      <c r="A20" s="38" t="s">
        <v>418</v>
      </c>
      <c r="B20" s="39" t="s">
        <v>419</v>
      </c>
      <c r="C20" s="39" t="s">
        <v>77</v>
      </c>
      <c r="D20" s="39" t="s">
        <v>420</v>
      </c>
      <c r="E20" s="39" t="s">
        <v>421</v>
      </c>
      <c r="F20" s="39" t="s">
        <v>422</v>
      </c>
      <c r="G20" s="40" t="s">
        <v>423</v>
      </c>
    </row>
    <row r="21" spans="1:7" ht="21" x14ac:dyDescent="0.25">
      <c r="A21" s="41" t="s">
        <v>80</v>
      </c>
      <c r="B21" s="42" t="s">
        <v>104</v>
      </c>
      <c r="C21" s="43" t="s">
        <v>424</v>
      </c>
      <c r="D21" s="85">
        <v>0</v>
      </c>
      <c r="E21" s="68">
        <v>0</v>
      </c>
      <c r="F21" s="68">
        <v>0</v>
      </c>
      <c r="G21" s="45">
        <v>0</v>
      </c>
    </row>
    <row r="22" spans="1:7" x14ac:dyDescent="0.25">
      <c r="A22" s="46" t="s">
        <v>60</v>
      </c>
      <c r="B22" s="47" t="s">
        <v>425</v>
      </c>
      <c r="C22" s="48" t="s">
        <v>426</v>
      </c>
      <c r="D22" s="86">
        <v>577160</v>
      </c>
      <c r="E22" s="73">
        <v>69200</v>
      </c>
      <c r="F22" s="73">
        <v>39939472000</v>
      </c>
      <c r="G22" s="50">
        <v>1.78E-2</v>
      </c>
    </row>
    <row r="23" spans="1:7" x14ac:dyDescent="0.25">
      <c r="A23" s="46" t="s">
        <v>62</v>
      </c>
      <c r="B23" s="47" t="s">
        <v>427</v>
      </c>
      <c r="C23" s="48" t="s">
        <v>428</v>
      </c>
      <c r="D23" s="86">
        <v>5175950</v>
      </c>
      <c r="E23" s="73">
        <v>26550</v>
      </c>
      <c r="F23" s="73">
        <v>137421472500</v>
      </c>
      <c r="G23" s="50">
        <v>6.1100000000000002E-2</v>
      </c>
    </row>
    <row r="24" spans="1:7" x14ac:dyDescent="0.25">
      <c r="A24" s="46" t="s">
        <v>67</v>
      </c>
      <c r="B24" s="47" t="s">
        <v>429</v>
      </c>
      <c r="C24" s="48" t="s">
        <v>430</v>
      </c>
      <c r="D24" s="86">
        <v>6688650</v>
      </c>
      <c r="E24" s="73">
        <v>10100</v>
      </c>
      <c r="F24" s="73">
        <v>67555365000</v>
      </c>
      <c r="G24" s="50">
        <v>0.03</v>
      </c>
    </row>
    <row r="25" spans="1:7" x14ac:dyDescent="0.25">
      <c r="A25" s="46" t="s">
        <v>71</v>
      </c>
      <c r="B25" s="47" t="s">
        <v>431</v>
      </c>
      <c r="C25" s="48" t="s">
        <v>432</v>
      </c>
      <c r="D25" s="86">
        <v>6392471</v>
      </c>
      <c r="E25" s="73">
        <v>50000</v>
      </c>
      <c r="F25" s="73">
        <v>319623550000</v>
      </c>
      <c r="G25" s="50">
        <v>0.14219999999999999</v>
      </c>
    </row>
    <row r="26" spans="1:7" x14ac:dyDescent="0.25">
      <c r="A26" s="46" t="s">
        <v>320</v>
      </c>
      <c r="B26" s="47" t="s">
        <v>433</v>
      </c>
      <c r="C26" s="48" t="s">
        <v>434</v>
      </c>
      <c r="D26" s="86">
        <v>3827166</v>
      </c>
      <c r="E26" s="73">
        <v>23950</v>
      </c>
      <c r="F26" s="73">
        <v>91660625700</v>
      </c>
      <c r="G26" s="50">
        <v>4.0800000000000003E-2</v>
      </c>
    </row>
    <row r="27" spans="1:7" x14ac:dyDescent="0.25">
      <c r="A27" s="46" t="s">
        <v>329</v>
      </c>
      <c r="B27" s="47" t="s">
        <v>435</v>
      </c>
      <c r="C27" s="48" t="s">
        <v>436</v>
      </c>
      <c r="D27" s="86">
        <v>5033093</v>
      </c>
      <c r="E27" s="73">
        <v>24250</v>
      </c>
      <c r="F27" s="73">
        <v>122052505250</v>
      </c>
      <c r="G27" s="50">
        <v>5.4300000000000001E-2</v>
      </c>
    </row>
    <row r="28" spans="1:7" x14ac:dyDescent="0.25">
      <c r="A28" s="46" t="s">
        <v>342</v>
      </c>
      <c r="B28" s="47" t="s">
        <v>437</v>
      </c>
      <c r="C28" s="48" t="s">
        <v>438</v>
      </c>
      <c r="D28" s="86">
        <v>10054469</v>
      </c>
      <c r="E28" s="73">
        <v>19750</v>
      </c>
      <c r="F28" s="73">
        <v>198575762750</v>
      </c>
      <c r="G28" s="50">
        <v>8.8300000000000003E-2</v>
      </c>
    </row>
    <row r="29" spans="1:7" x14ac:dyDescent="0.25">
      <c r="A29" s="46" t="s">
        <v>349</v>
      </c>
      <c r="B29" s="47" t="s">
        <v>439</v>
      </c>
      <c r="C29" s="48" t="s">
        <v>440</v>
      </c>
      <c r="D29" s="86">
        <v>3663460</v>
      </c>
      <c r="E29" s="73">
        <v>104300</v>
      </c>
      <c r="F29" s="73">
        <v>382098878000</v>
      </c>
      <c r="G29" s="50">
        <v>0.1699</v>
      </c>
    </row>
    <row r="30" spans="1:7" x14ac:dyDescent="0.25">
      <c r="A30" s="46" t="s">
        <v>441</v>
      </c>
      <c r="B30" s="47" t="s">
        <v>442</v>
      </c>
      <c r="C30" s="48" t="s">
        <v>443</v>
      </c>
      <c r="D30" s="86">
        <v>2284452</v>
      </c>
      <c r="E30" s="73">
        <v>25750</v>
      </c>
      <c r="F30" s="73">
        <v>58824639000</v>
      </c>
      <c r="G30" s="50">
        <v>2.6200000000000001E-2</v>
      </c>
    </row>
    <row r="31" spans="1:7" x14ac:dyDescent="0.25">
      <c r="A31" s="46" t="s">
        <v>444</v>
      </c>
      <c r="B31" s="47" t="s">
        <v>445</v>
      </c>
      <c r="C31" s="48" t="s">
        <v>446</v>
      </c>
      <c r="D31" s="86">
        <v>2741940</v>
      </c>
      <c r="E31" s="73">
        <v>60900</v>
      </c>
      <c r="F31" s="73">
        <v>166984146000</v>
      </c>
      <c r="G31" s="50">
        <v>7.4300000000000005E-2</v>
      </c>
    </row>
    <row r="32" spans="1:7" x14ac:dyDescent="0.25">
      <c r="A32" s="46" t="s">
        <v>447</v>
      </c>
      <c r="B32" s="47" t="s">
        <v>448</v>
      </c>
      <c r="C32" s="48" t="s">
        <v>449</v>
      </c>
      <c r="D32" s="86">
        <v>2363153</v>
      </c>
      <c r="E32" s="73">
        <v>40200</v>
      </c>
      <c r="F32" s="73">
        <v>94998750600</v>
      </c>
      <c r="G32" s="50">
        <v>4.2299999999999997E-2</v>
      </c>
    </row>
    <row r="33" spans="1:7" x14ac:dyDescent="0.25">
      <c r="A33" s="46" t="s">
        <v>450</v>
      </c>
      <c r="B33" s="47" t="s">
        <v>451</v>
      </c>
      <c r="C33" s="48" t="s">
        <v>452</v>
      </c>
      <c r="D33" s="86">
        <v>10792930</v>
      </c>
      <c r="E33" s="73">
        <v>22600</v>
      </c>
      <c r="F33" s="73">
        <v>243920218000</v>
      </c>
      <c r="G33" s="50">
        <v>0.1085</v>
      </c>
    </row>
    <row r="34" spans="1:7" x14ac:dyDescent="0.25">
      <c r="A34" s="46" t="s">
        <v>453</v>
      </c>
      <c r="B34" s="47" t="s">
        <v>454</v>
      </c>
      <c r="C34" s="48" t="s">
        <v>455</v>
      </c>
      <c r="D34" s="86">
        <v>3382507</v>
      </c>
      <c r="E34" s="73">
        <v>23450</v>
      </c>
      <c r="F34" s="73">
        <v>79319789150</v>
      </c>
      <c r="G34" s="50">
        <v>3.5299999999999998E-2</v>
      </c>
    </row>
    <row r="35" spans="1:7" x14ac:dyDescent="0.25">
      <c r="A35" s="46" t="s">
        <v>456</v>
      </c>
      <c r="B35" s="47" t="s">
        <v>457</v>
      </c>
      <c r="C35" s="48" t="s">
        <v>458</v>
      </c>
      <c r="D35" s="86">
        <v>9644150</v>
      </c>
      <c r="E35" s="73">
        <v>23750</v>
      </c>
      <c r="F35" s="73">
        <v>229048562500</v>
      </c>
      <c r="G35" s="50">
        <v>0.1019</v>
      </c>
    </row>
    <row r="36" spans="1:7" x14ac:dyDescent="0.25">
      <c r="A36" s="41"/>
      <c r="B36" s="42" t="s">
        <v>459</v>
      </c>
      <c r="C36" s="43" t="s">
        <v>460</v>
      </c>
      <c r="D36" s="85"/>
      <c r="E36" s="68">
        <v>0</v>
      </c>
      <c r="F36" s="68">
        <v>2232023736450</v>
      </c>
      <c r="G36" s="45">
        <v>0.99270000000000003</v>
      </c>
    </row>
    <row r="37" spans="1:7" ht="21" x14ac:dyDescent="0.25">
      <c r="A37" s="41" t="s">
        <v>164</v>
      </c>
      <c r="B37" s="42" t="s">
        <v>461</v>
      </c>
      <c r="C37" s="43" t="s">
        <v>462</v>
      </c>
      <c r="D37" s="85">
        <v>0</v>
      </c>
      <c r="E37" s="68">
        <v>0</v>
      </c>
      <c r="F37" s="68">
        <v>0</v>
      </c>
      <c r="G37" s="45">
        <v>0</v>
      </c>
    </row>
    <row r="38" spans="1:7" ht="21" x14ac:dyDescent="0.25">
      <c r="A38" s="46"/>
      <c r="B38" s="47" t="s">
        <v>463</v>
      </c>
      <c r="C38" s="48" t="s">
        <v>464</v>
      </c>
      <c r="D38" s="86">
        <v>0</v>
      </c>
      <c r="E38" s="73">
        <v>0</v>
      </c>
      <c r="F38" s="73">
        <v>0</v>
      </c>
      <c r="G38" s="50">
        <v>0</v>
      </c>
    </row>
    <row r="39" spans="1:7" ht="21" x14ac:dyDescent="0.25">
      <c r="A39" s="41"/>
      <c r="B39" s="42" t="s">
        <v>465</v>
      </c>
      <c r="C39" s="43" t="s">
        <v>466</v>
      </c>
      <c r="D39" s="85"/>
      <c r="E39" s="68">
        <v>0</v>
      </c>
      <c r="F39" s="68">
        <v>2232023736450</v>
      </c>
      <c r="G39" s="45">
        <v>0.99270000000000003</v>
      </c>
    </row>
    <row r="40" spans="1:7" ht="21" x14ac:dyDescent="0.25">
      <c r="A40" s="41" t="s">
        <v>368</v>
      </c>
      <c r="B40" s="42" t="s">
        <v>108</v>
      </c>
      <c r="C40" s="43" t="s">
        <v>467</v>
      </c>
      <c r="D40" s="85">
        <v>0</v>
      </c>
      <c r="E40" s="68">
        <v>0</v>
      </c>
      <c r="F40" s="68">
        <v>0</v>
      </c>
      <c r="G40" s="45">
        <v>0</v>
      </c>
    </row>
    <row r="41" spans="1:7" ht="21" x14ac:dyDescent="0.25">
      <c r="A41" s="41"/>
      <c r="B41" s="42" t="s">
        <v>463</v>
      </c>
      <c r="C41" s="43" t="s">
        <v>468</v>
      </c>
      <c r="D41" s="85">
        <v>0</v>
      </c>
      <c r="E41" s="68">
        <v>0</v>
      </c>
      <c r="F41" s="68">
        <v>0</v>
      </c>
      <c r="G41" s="45">
        <v>0</v>
      </c>
    </row>
    <row r="42" spans="1:7" ht="21" x14ac:dyDescent="0.25">
      <c r="A42" s="41" t="s">
        <v>371</v>
      </c>
      <c r="B42" s="42" t="s">
        <v>469</v>
      </c>
      <c r="C42" s="43" t="s">
        <v>470</v>
      </c>
      <c r="D42" s="85">
        <v>0</v>
      </c>
      <c r="E42" s="68">
        <v>0</v>
      </c>
      <c r="F42" s="68">
        <v>0</v>
      </c>
      <c r="G42" s="45">
        <v>0</v>
      </c>
    </row>
    <row r="43" spans="1:7" ht="21" x14ac:dyDescent="0.25">
      <c r="A43" s="46" t="s">
        <v>60</v>
      </c>
      <c r="B43" s="47" t="s">
        <v>471</v>
      </c>
      <c r="C43" s="48" t="s">
        <v>472</v>
      </c>
      <c r="D43" s="86">
        <v>0</v>
      </c>
      <c r="E43" s="73">
        <v>0</v>
      </c>
      <c r="F43" s="73">
        <v>0</v>
      </c>
      <c r="G43" s="50">
        <v>0</v>
      </c>
    </row>
    <row r="44" spans="1:7" ht="21" x14ac:dyDescent="0.25">
      <c r="A44" s="46" t="s">
        <v>62</v>
      </c>
      <c r="B44" s="47" t="s">
        <v>473</v>
      </c>
      <c r="C44" s="48" t="s">
        <v>474</v>
      </c>
      <c r="D44" s="86">
        <v>0</v>
      </c>
      <c r="E44" s="73">
        <v>0</v>
      </c>
      <c r="F44" s="73">
        <v>0</v>
      </c>
      <c r="G44" s="50">
        <v>0</v>
      </c>
    </row>
    <row r="45" spans="1:7" ht="21" x14ac:dyDescent="0.25">
      <c r="A45" s="46"/>
      <c r="B45" s="47" t="s">
        <v>463</v>
      </c>
      <c r="C45" s="48" t="s">
        <v>475</v>
      </c>
      <c r="D45" s="86">
        <v>0</v>
      </c>
      <c r="E45" s="73">
        <v>0</v>
      </c>
      <c r="F45" s="73">
        <v>0</v>
      </c>
      <c r="G45" s="50">
        <v>0</v>
      </c>
    </row>
    <row r="46" spans="1:7" ht="21" x14ac:dyDescent="0.25">
      <c r="A46" s="41"/>
      <c r="B46" s="42" t="s">
        <v>476</v>
      </c>
      <c r="C46" s="43" t="s">
        <v>477</v>
      </c>
      <c r="D46" s="85"/>
      <c r="E46" s="68">
        <v>0</v>
      </c>
      <c r="F46" s="68">
        <v>2232023736450</v>
      </c>
      <c r="G46" s="45">
        <v>0.99270000000000003</v>
      </c>
    </row>
    <row r="47" spans="1:7" ht="21" x14ac:dyDescent="0.25">
      <c r="A47" s="41" t="s">
        <v>384</v>
      </c>
      <c r="B47" s="42" t="s">
        <v>478</v>
      </c>
      <c r="C47" s="43" t="s">
        <v>479</v>
      </c>
      <c r="D47" s="85">
        <v>0</v>
      </c>
      <c r="E47" s="68">
        <v>0</v>
      </c>
      <c r="F47" s="68">
        <v>0</v>
      </c>
      <c r="G47" s="45">
        <v>0</v>
      </c>
    </row>
    <row r="48" spans="1:7" ht="21" x14ac:dyDescent="0.25">
      <c r="A48" s="46" t="s">
        <v>60</v>
      </c>
      <c r="B48" s="47" t="s">
        <v>480</v>
      </c>
      <c r="C48" s="48" t="s">
        <v>481</v>
      </c>
      <c r="D48" s="86">
        <v>0</v>
      </c>
      <c r="E48" s="73">
        <v>0</v>
      </c>
      <c r="F48" s="73">
        <v>0</v>
      </c>
      <c r="G48" s="50">
        <v>0</v>
      </c>
    </row>
    <row r="49" spans="1:7" ht="21" x14ac:dyDescent="0.25">
      <c r="A49" s="46" t="s">
        <v>62</v>
      </c>
      <c r="B49" s="47" t="s">
        <v>482</v>
      </c>
      <c r="C49" s="48" t="s">
        <v>483</v>
      </c>
      <c r="D49" s="86">
        <v>0</v>
      </c>
      <c r="E49" s="73">
        <v>0</v>
      </c>
      <c r="F49" s="73">
        <v>0</v>
      </c>
      <c r="G49" s="50">
        <v>0</v>
      </c>
    </row>
    <row r="50" spans="1:7" ht="21" x14ac:dyDescent="0.25">
      <c r="A50" s="46" t="s">
        <v>67</v>
      </c>
      <c r="B50" s="47" t="s">
        <v>484</v>
      </c>
      <c r="C50" s="48" t="s">
        <v>485</v>
      </c>
      <c r="D50" s="86">
        <v>0</v>
      </c>
      <c r="E50" s="73">
        <v>0</v>
      </c>
      <c r="F50" s="73">
        <v>13545203</v>
      </c>
      <c r="G50" s="50">
        <v>0</v>
      </c>
    </row>
    <row r="51" spans="1:7" ht="31.5" x14ac:dyDescent="0.25">
      <c r="A51" s="46" t="s">
        <v>71</v>
      </c>
      <c r="B51" s="47" t="s">
        <v>486</v>
      </c>
      <c r="C51" s="48" t="s">
        <v>487</v>
      </c>
      <c r="D51" s="86">
        <v>0</v>
      </c>
      <c r="E51" s="73">
        <v>0</v>
      </c>
      <c r="F51" s="73">
        <v>1581941500</v>
      </c>
      <c r="G51" s="50">
        <v>6.9999999999999999E-4</v>
      </c>
    </row>
    <row r="52" spans="1:7" ht="31.5" x14ac:dyDescent="0.25">
      <c r="A52" s="46" t="s">
        <v>320</v>
      </c>
      <c r="B52" s="47" t="s">
        <v>488</v>
      </c>
      <c r="C52" s="48" t="s">
        <v>489</v>
      </c>
      <c r="D52" s="86">
        <v>0</v>
      </c>
      <c r="E52" s="73">
        <v>0</v>
      </c>
      <c r="F52" s="73">
        <v>0</v>
      </c>
      <c r="G52" s="50">
        <v>0</v>
      </c>
    </row>
    <row r="53" spans="1:7" ht="21" x14ac:dyDescent="0.25">
      <c r="A53" s="46" t="s">
        <v>329</v>
      </c>
      <c r="B53" s="47" t="s">
        <v>490</v>
      </c>
      <c r="C53" s="48" t="s">
        <v>491</v>
      </c>
      <c r="D53" s="86">
        <v>0</v>
      </c>
      <c r="E53" s="73">
        <v>0</v>
      </c>
      <c r="F53" s="73">
        <v>0</v>
      </c>
      <c r="G53" s="50">
        <v>0</v>
      </c>
    </row>
    <row r="54" spans="1:7" ht="21" x14ac:dyDescent="0.25">
      <c r="A54" s="46" t="s">
        <v>342</v>
      </c>
      <c r="B54" s="47" t="s">
        <v>153</v>
      </c>
      <c r="C54" s="48" t="s">
        <v>492</v>
      </c>
      <c r="D54" s="86">
        <v>0</v>
      </c>
      <c r="E54" s="73">
        <v>0</v>
      </c>
      <c r="F54" s="73">
        <v>0</v>
      </c>
      <c r="G54" s="50">
        <v>0</v>
      </c>
    </row>
    <row r="55" spans="1:7" ht="21" x14ac:dyDescent="0.25">
      <c r="A55" s="46" t="s">
        <v>349</v>
      </c>
      <c r="B55" s="47" t="s">
        <v>493</v>
      </c>
      <c r="C55" s="48" t="s">
        <v>494</v>
      </c>
      <c r="D55" s="86">
        <v>0</v>
      </c>
      <c r="E55" s="73">
        <v>0</v>
      </c>
      <c r="F55" s="73">
        <v>0</v>
      </c>
      <c r="G55" s="50">
        <v>0</v>
      </c>
    </row>
    <row r="56" spans="1:7" ht="21" x14ac:dyDescent="0.25">
      <c r="A56" s="46" t="s">
        <v>441</v>
      </c>
      <c r="B56" s="47" t="s">
        <v>495</v>
      </c>
      <c r="C56" s="48" t="s">
        <v>496</v>
      </c>
      <c r="D56" s="86">
        <v>0</v>
      </c>
      <c r="E56" s="73">
        <v>0</v>
      </c>
      <c r="F56" s="73">
        <v>0</v>
      </c>
      <c r="G56" s="50">
        <v>0</v>
      </c>
    </row>
    <row r="57" spans="1:7" ht="42" x14ac:dyDescent="0.25">
      <c r="A57" s="46" t="s">
        <v>444</v>
      </c>
      <c r="B57" s="47" t="s">
        <v>497</v>
      </c>
      <c r="C57" s="48" t="s">
        <v>498</v>
      </c>
      <c r="D57" s="86">
        <v>0</v>
      </c>
      <c r="E57" s="73">
        <v>0</v>
      </c>
      <c r="F57" s="73">
        <v>0</v>
      </c>
      <c r="G57" s="50">
        <v>0</v>
      </c>
    </row>
    <row r="58" spans="1:7" ht="21" x14ac:dyDescent="0.25">
      <c r="A58" s="41"/>
      <c r="B58" s="42" t="s">
        <v>463</v>
      </c>
      <c r="C58" s="43" t="s">
        <v>499</v>
      </c>
      <c r="D58" s="85">
        <v>0</v>
      </c>
      <c r="E58" s="68">
        <v>0</v>
      </c>
      <c r="F58" s="68">
        <v>1595486703</v>
      </c>
      <c r="G58" s="45">
        <v>6.9999999999999999E-4</v>
      </c>
    </row>
    <row r="59" spans="1:7" ht="21" x14ac:dyDescent="0.25">
      <c r="A59" s="41" t="s">
        <v>387</v>
      </c>
      <c r="B59" s="42" t="s">
        <v>86</v>
      </c>
      <c r="C59" s="43" t="s">
        <v>500</v>
      </c>
      <c r="D59" s="85">
        <v>0</v>
      </c>
      <c r="E59" s="68">
        <v>0</v>
      </c>
      <c r="F59" s="68">
        <v>0</v>
      </c>
      <c r="G59" s="45">
        <v>0</v>
      </c>
    </row>
    <row r="60" spans="1:7" ht="21" x14ac:dyDescent="0.25">
      <c r="A60" s="46" t="s">
        <v>60</v>
      </c>
      <c r="B60" s="47" t="s">
        <v>501</v>
      </c>
      <c r="C60" s="48" t="s">
        <v>502</v>
      </c>
      <c r="D60" s="86">
        <v>0</v>
      </c>
      <c r="E60" s="73">
        <v>0</v>
      </c>
      <c r="F60" s="73">
        <v>14866265764</v>
      </c>
      <c r="G60" s="50">
        <v>6.6E-3</v>
      </c>
    </row>
    <row r="61" spans="1:7" ht="21" x14ac:dyDescent="0.25">
      <c r="A61" s="46"/>
      <c r="B61" s="47" t="s">
        <v>88</v>
      </c>
      <c r="C61" s="48" t="s">
        <v>503</v>
      </c>
      <c r="D61" s="86">
        <v>0</v>
      </c>
      <c r="E61" s="73">
        <v>0</v>
      </c>
      <c r="F61" s="73">
        <v>1366265764</v>
      </c>
      <c r="G61" s="50">
        <v>5.9999999999999995E-4</v>
      </c>
    </row>
    <row r="62" spans="1:7" ht="21" x14ac:dyDescent="0.25">
      <c r="A62" s="46"/>
      <c r="B62" s="47" t="s">
        <v>99</v>
      </c>
      <c r="C62" s="48" t="s">
        <v>504</v>
      </c>
      <c r="D62" s="86">
        <v>0</v>
      </c>
      <c r="E62" s="73">
        <v>0</v>
      </c>
      <c r="F62" s="73">
        <v>13500000000</v>
      </c>
      <c r="G62" s="50">
        <v>6.0000000000000001E-3</v>
      </c>
    </row>
    <row r="63" spans="1:7" ht="21" x14ac:dyDescent="0.25">
      <c r="A63" s="46"/>
      <c r="B63" s="47" t="s">
        <v>505</v>
      </c>
      <c r="C63" s="48" t="s">
        <v>506</v>
      </c>
      <c r="D63" s="86">
        <v>0</v>
      </c>
      <c r="E63" s="73">
        <v>0</v>
      </c>
      <c r="F63" s="73">
        <v>0</v>
      </c>
      <c r="G63" s="50">
        <v>0</v>
      </c>
    </row>
    <row r="64" spans="1:7" ht="21" x14ac:dyDescent="0.25">
      <c r="A64" s="46" t="s">
        <v>62</v>
      </c>
      <c r="B64" s="47" t="s">
        <v>507</v>
      </c>
      <c r="C64" s="48" t="s">
        <v>508</v>
      </c>
      <c r="D64" s="86">
        <v>0</v>
      </c>
      <c r="E64" s="73">
        <v>0</v>
      </c>
      <c r="F64" s="73">
        <v>0</v>
      </c>
      <c r="G64" s="50">
        <v>0</v>
      </c>
    </row>
    <row r="65" spans="1:7" ht="21" x14ac:dyDescent="0.25">
      <c r="A65" s="46" t="s">
        <v>67</v>
      </c>
      <c r="B65" s="47" t="s">
        <v>509</v>
      </c>
      <c r="C65" s="48" t="s">
        <v>510</v>
      </c>
      <c r="D65" s="86">
        <v>0</v>
      </c>
      <c r="E65" s="73">
        <v>0</v>
      </c>
      <c r="F65" s="73">
        <v>0</v>
      </c>
      <c r="G65" s="50">
        <v>0</v>
      </c>
    </row>
    <row r="66" spans="1:7" ht="21" x14ac:dyDescent="0.25">
      <c r="A66" s="41"/>
      <c r="B66" s="42" t="s">
        <v>463</v>
      </c>
      <c r="C66" s="43" t="s">
        <v>511</v>
      </c>
      <c r="D66" s="85">
        <v>0</v>
      </c>
      <c r="E66" s="68">
        <v>0</v>
      </c>
      <c r="F66" s="68">
        <v>14866265764</v>
      </c>
      <c r="G66" s="45">
        <v>6.6E-3</v>
      </c>
    </row>
    <row r="67" spans="1:7" ht="21" x14ac:dyDescent="0.25">
      <c r="A67" s="56" t="s">
        <v>390</v>
      </c>
      <c r="B67" s="57" t="s">
        <v>512</v>
      </c>
      <c r="C67" s="58" t="s">
        <v>513</v>
      </c>
      <c r="D67" s="59"/>
      <c r="E67" s="87">
        <v>0</v>
      </c>
      <c r="F67" s="87">
        <v>2248485488917</v>
      </c>
      <c r="G67" s="60">
        <v>1</v>
      </c>
    </row>
    <row r="68" spans="1:7" x14ac:dyDescent="0.25">
      <c r="A68" s="88"/>
    </row>
    <row r="69" spans="1:7" x14ac:dyDescent="0.25">
      <c r="A69" s="89"/>
    </row>
    <row r="70" spans="1:7" x14ac:dyDescent="0.25">
      <c r="A70" s="37"/>
      <c r="B70" s="37"/>
      <c r="C70" s="37"/>
    </row>
    <row r="71" spans="1:7" ht="52.5" x14ac:dyDescent="0.25">
      <c r="A71" s="90" t="s">
        <v>27</v>
      </c>
      <c r="B71" s="91" t="s">
        <v>514</v>
      </c>
      <c r="C71" s="91" t="s">
        <v>515</v>
      </c>
      <c r="D71" s="91" t="s">
        <v>516</v>
      </c>
      <c r="E71" s="91" t="s">
        <v>517</v>
      </c>
      <c r="F71" s="91" t="s">
        <v>518</v>
      </c>
      <c r="G71" s="92" t="s">
        <v>519</v>
      </c>
    </row>
    <row r="72" spans="1:7" x14ac:dyDescent="0.25">
      <c r="A72" s="31"/>
      <c r="B72" s="31"/>
      <c r="C72" s="31"/>
      <c r="D72" s="31"/>
    </row>
    <row r="73" spans="1:7" ht="12" customHeight="1" x14ac:dyDescent="0.25">
      <c r="A73" s="61"/>
      <c r="B73" s="61"/>
    </row>
    <row r="74" spans="1:7" ht="12" customHeight="1" x14ac:dyDescent="0.25">
      <c r="A74" s="63"/>
      <c r="B74" s="63"/>
    </row>
    <row r="75" spans="1:7" ht="24.75" customHeight="1" x14ac:dyDescent="0.25">
      <c r="A75" s="31"/>
      <c r="B75" s="31"/>
      <c r="C75" s="31"/>
      <c r="D75" s="31"/>
    </row>
    <row r="76" spans="1:7" ht="24.75" customHeight="1" x14ac:dyDescent="0.25">
      <c r="A76" s="31"/>
      <c r="B76" s="31"/>
      <c r="C76" s="31"/>
      <c r="D76" s="31"/>
    </row>
    <row r="77" spans="1:7" ht="24.75" customHeight="1" x14ac:dyDescent="0.25">
      <c r="A77" s="31"/>
      <c r="B77" s="31"/>
      <c r="C77" s="31"/>
      <c r="D77" s="31"/>
    </row>
    <row r="78" spans="1:7" x14ac:dyDescent="0.25">
      <c r="A78" s="32"/>
      <c r="B78" s="32"/>
    </row>
    <row r="79" spans="1:7" x14ac:dyDescent="0.25">
      <c r="A79" s="93"/>
      <c r="B79" s="93"/>
    </row>
    <row r="80" spans="1:7" x14ac:dyDescent="0.25">
      <c r="A80" s="93"/>
      <c r="B80" s="93"/>
    </row>
  </sheetData>
  <mergeCells count="20">
    <mergeCell ref="A18:G18"/>
    <mergeCell ref="C19:G19"/>
    <mergeCell ref="C12:G12"/>
    <mergeCell ref="C13:G13"/>
    <mergeCell ref="C14:G14"/>
    <mergeCell ref="C15:G15"/>
    <mergeCell ref="C16:G16"/>
    <mergeCell ref="A17:G17"/>
    <mergeCell ref="C11:G11"/>
    <mergeCell ref="A1:B1"/>
    <mergeCell ref="C1:G1"/>
    <mergeCell ref="A2:G2"/>
    <mergeCell ref="C3:G3"/>
    <mergeCell ref="A4:G4"/>
    <mergeCell ref="A5:G5"/>
    <mergeCell ref="A6:G6"/>
    <mergeCell ref="C7:G7"/>
    <mergeCell ref="C8:G8"/>
    <mergeCell ref="C9:G9"/>
    <mergeCell ref="C10:G10"/>
  </mergeCells>
  <printOptions horizontalCentered="1"/>
  <pageMargins left="0" right="0" top="0.59" bottom="0.28000000000000003" header="0.5" footer="0.28000000000000003"/>
  <pageSetup paperSize="9" scale="90" fitToHeight="2" orientation="portrait" r:id="rId1"/>
  <rowBreaks count="1" manualBreakCount="1">
    <brk id="6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zoomScaleNormal="100" zoomScaleSheetLayoutView="100" workbookViewId="0">
      <selection activeCell="C59" sqref="A1:E59"/>
    </sheetView>
  </sheetViews>
  <sheetFormatPr defaultRowHeight="15" x14ac:dyDescent="0.25"/>
  <cols>
    <col min="1" max="1" width="4.7109375" style="365" customWidth="1"/>
    <col min="2" max="2" width="42" style="365" customWidth="1"/>
    <col min="3" max="3" width="9.28515625" style="365" customWidth="1"/>
    <col min="4" max="5" width="20.140625" style="365" customWidth="1"/>
    <col min="6" max="16384" width="9.140625" style="365"/>
  </cols>
  <sheetData>
    <row r="1" spans="1:5" ht="21" customHeight="1" x14ac:dyDescent="0.25">
      <c r="A1" s="364"/>
      <c r="B1" s="364"/>
      <c r="C1" s="278" t="s">
        <v>520</v>
      </c>
      <c r="D1" s="278"/>
      <c r="E1" s="278"/>
    </row>
    <row r="2" spans="1:5" ht="37.5" customHeight="1" x14ac:dyDescent="0.25">
      <c r="A2" s="279" t="s">
        <v>268</v>
      </c>
      <c r="B2" s="279"/>
      <c r="C2" s="279"/>
      <c r="D2" s="279"/>
      <c r="E2" s="279"/>
    </row>
    <row r="3" spans="1:5" x14ac:dyDescent="0.25">
      <c r="A3" s="366"/>
      <c r="B3" s="280" t="s">
        <v>521</v>
      </c>
      <c r="C3" s="280"/>
      <c r="D3" s="280"/>
      <c r="E3" s="280"/>
    </row>
    <row r="4" spans="1:5" x14ac:dyDescent="0.25">
      <c r="A4" s="366"/>
      <c r="B4" s="286" t="s">
        <v>269</v>
      </c>
      <c r="C4" s="286"/>
      <c r="D4" s="286"/>
      <c r="E4" s="286"/>
    </row>
    <row r="5" spans="1:5" x14ac:dyDescent="0.25">
      <c r="A5" s="367" t="s">
        <v>60</v>
      </c>
      <c r="B5" s="237" t="s">
        <v>4</v>
      </c>
      <c r="C5" s="302" t="s">
        <v>61</v>
      </c>
      <c r="D5" s="302"/>
      <c r="E5" s="302"/>
    </row>
    <row r="6" spans="1:5" x14ac:dyDescent="0.25">
      <c r="A6" s="366"/>
      <c r="B6" s="236" t="s">
        <v>6</v>
      </c>
      <c r="C6" s="290" t="s">
        <v>7</v>
      </c>
      <c r="D6" s="290"/>
      <c r="E6" s="290"/>
    </row>
    <row r="7" spans="1:5" x14ac:dyDescent="0.25">
      <c r="A7" s="367" t="s">
        <v>62</v>
      </c>
      <c r="B7" s="237" t="s">
        <v>63</v>
      </c>
      <c r="C7" s="302" t="s">
        <v>64</v>
      </c>
      <c r="D7" s="302"/>
      <c r="E7" s="302"/>
    </row>
    <row r="8" spans="1:5" x14ac:dyDescent="0.25">
      <c r="A8" s="366"/>
      <c r="B8" s="236" t="s">
        <v>65</v>
      </c>
      <c r="C8" s="290" t="s">
        <v>522</v>
      </c>
      <c r="D8" s="290"/>
      <c r="E8" s="290"/>
    </row>
    <row r="9" spans="1:5" x14ac:dyDescent="0.25">
      <c r="A9" s="367" t="s">
        <v>67</v>
      </c>
      <c r="B9" s="237" t="s">
        <v>12</v>
      </c>
      <c r="C9" s="302" t="s">
        <v>68</v>
      </c>
      <c r="D9" s="302"/>
      <c r="E9" s="302"/>
    </row>
    <row r="10" spans="1:5" x14ac:dyDescent="0.25">
      <c r="A10" s="366"/>
      <c r="B10" s="236" t="s">
        <v>69</v>
      </c>
      <c r="C10" s="290" t="s">
        <v>70</v>
      </c>
      <c r="D10" s="290"/>
      <c r="E10" s="290"/>
    </row>
    <row r="11" spans="1:5" x14ac:dyDescent="0.25">
      <c r="A11" s="367" t="s">
        <v>71</v>
      </c>
      <c r="B11" s="237" t="s">
        <v>16</v>
      </c>
      <c r="C11" s="344">
        <v>44119</v>
      </c>
      <c r="D11" s="302"/>
      <c r="E11" s="302"/>
    </row>
    <row r="12" spans="1:5" x14ac:dyDescent="0.25">
      <c r="A12" s="366"/>
      <c r="B12" s="236" t="s">
        <v>17</v>
      </c>
      <c r="C12" s="368">
        <v>44119</v>
      </c>
      <c r="D12" s="290"/>
      <c r="E12" s="290"/>
    </row>
    <row r="13" spans="1:5" x14ac:dyDescent="0.25">
      <c r="A13" s="366"/>
      <c r="B13" s="236"/>
      <c r="C13" s="369"/>
      <c r="D13" s="369"/>
      <c r="E13" s="369"/>
    </row>
    <row r="14" spans="1:5" x14ac:dyDescent="0.25">
      <c r="A14" s="302" t="s">
        <v>72</v>
      </c>
      <c r="B14" s="302"/>
      <c r="C14" s="302"/>
      <c r="D14" s="302"/>
      <c r="E14" s="302"/>
    </row>
    <row r="15" spans="1:5" x14ac:dyDescent="0.25">
      <c r="A15" s="302" t="s">
        <v>523</v>
      </c>
      <c r="B15" s="302"/>
      <c r="C15" s="302"/>
      <c r="D15" s="302"/>
      <c r="E15" s="302"/>
    </row>
    <row r="16" spans="1:5" x14ac:dyDescent="0.25">
      <c r="A16" s="370" t="s">
        <v>74</v>
      </c>
      <c r="B16" s="370"/>
      <c r="C16" s="370"/>
      <c r="D16" s="370"/>
      <c r="E16" s="370"/>
    </row>
    <row r="17" spans="1:5" ht="31.5" x14ac:dyDescent="0.25">
      <c r="A17" s="238" t="s">
        <v>524</v>
      </c>
      <c r="B17" s="239" t="s">
        <v>76</v>
      </c>
      <c r="C17" s="239" t="s">
        <v>77</v>
      </c>
      <c r="D17" s="239" t="s">
        <v>271</v>
      </c>
      <c r="E17" s="240" t="s">
        <v>272</v>
      </c>
    </row>
    <row r="18" spans="1:5" s="375" customFormat="1" ht="21" x14ac:dyDescent="0.25">
      <c r="A18" s="392" t="s">
        <v>80</v>
      </c>
      <c r="B18" s="374" t="s">
        <v>525</v>
      </c>
      <c r="C18" s="374" t="s">
        <v>526</v>
      </c>
      <c r="D18" s="378">
        <v>0</v>
      </c>
      <c r="E18" s="379">
        <v>0</v>
      </c>
    </row>
    <row r="19" spans="1:5" s="375" customFormat="1" ht="31.5" x14ac:dyDescent="0.25">
      <c r="A19" s="393" t="s">
        <v>60</v>
      </c>
      <c r="B19" s="376" t="s">
        <v>527</v>
      </c>
      <c r="C19" s="376" t="s">
        <v>528</v>
      </c>
      <c r="D19" s="380">
        <v>8.0440000000000008E-3</v>
      </c>
      <c r="E19" s="381">
        <v>8.0750780338647819E-3</v>
      </c>
    </row>
    <row r="20" spans="1:5" s="375" customFormat="1" ht="31.5" customHeight="1" x14ac:dyDescent="0.25">
      <c r="A20" s="393" t="s">
        <v>62</v>
      </c>
      <c r="B20" s="376" t="s">
        <v>529</v>
      </c>
      <c r="C20" s="376" t="s">
        <v>530</v>
      </c>
      <c r="D20" s="380">
        <v>7.5199999999999996E-4</v>
      </c>
      <c r="E20" s="381">
        <v>8.6995647054781205E-4</v>
      </c>
    </row>
    <row r="21" spans="1:5" s="375" customFormat="1" ht="55.5" customHeight="1" x14ac:dyDescent="0.25">
      <c r="A21" s="393" t="s">
        <v>67</v>
      </c>
      <c r="B21" s="376" t="s">
        <v>531</v>
      </c>
      <c r="C21" s="376" t="s">
        <v>532</v>
      </c>
      <c r="D21" s="380">
        <v>1.2719999999999999E-3</v>
      </c>
      <c r="E21" s="381">
        <v>1.5963516780945165E-3</v>
      </c>
    </row>
    <row r="22" spans="1:5" s="375" customFormat="1" ht="31.5" x14ac:dyDescent="0.25">
      <c r="A22" s="393" t="s">
        <v>71</v>
      </c>
      <c r="B22" s="376" t="s">
        <v>533</v>
      </c>
      <c r="C22" s="376" t="s">
        <v>534</v>
      </c>
      <c r="D22" s="380">
        <v>1.12E-4</v>
      </c>
      <c r="E22" s="381">
        <v>1.1212398684590687E-4</v>
      </c>
    </row>
    <row r="23" spans="1:5" s="375" customFormat="1" ht="63" x14ac:dyDescent="0.25">
      <c r="A23" s="393" t="s">
        <v>320</v>
      </c>
      <c r="B23" s="376" t="s">
        <v>535</v>
      </c>
      <c r="C23" s="376" t="s">
        <v>536</v>
      </c>
      <c r="D23" s="380">
        <v>6.7999999999999999E-5</v>
      </c>
      <c r="E23" s="381">
        <v>7.7554051430713851E-5</v>
      </c>
    </row>
    <row r="24" spans="1:5" s="375" customFormat="1" ht="31.5" customHeight="1" x14ac:dyDescent="0.25">
      <c r="A24" s="393" t="s">
        <v>329</v>
      </c>
      <c r="B24" s="376" t="s">
        <v>537</v>
      </c>
      <c r="C24" s="376" t="s">
        <v>538</v>
      </c>
      <c r="D24" s="380">
        <v>1.0456E-2</v>
      </c>
      <c r="E24" s="381">
        <v>1.1485638561379203E-2</v>
      </c>
    </row>
    <row r="25" spans="1:5" s="375" customFormat="1" ht="63" x14ac:dyDescent="0.25">
      <c r="A25" s="393" t="s">
        <v>342</v>
      </c>
      <c r="B25" s="376" t="s">
        <v>539</v>
      </c>
      <c r="C25" s="376" t="s">
        <v>540</v>
      </c>
      <c r="D25" s="380">
        <v>7.4607999999999994E-2</v>
      </c>
      <c r="E25" s="381">
        <v>7.4579907829532041E-2</v>
      </c>
    </row>
    <row r="26" spans="1:5" s="375" customFormat="1" ht="21" x14ac:dyDescent="0.25">
      <c r="A26" s="392" t="s">
        <v>164</v>
      </c>
      <c r="B26" s="374" t="s">
        <v>541</v>
      </c>
      <c r="C26" s="374" t="s">
        <v>542</v>
      </c>
      <c r="D26" s="378">
        <v>0</v>
      </c>
      <c r="E26" s="379">
        <v>0</v>
      </c>
    </row>
    <row r="27" spans="1:5" s="375" customFormat="1" ht="21" x14ac:dyDescent="0.25">
      <c r="A27" s="393" t="s">
        <v>60</v>
      </c>
      <c r="B27" s="376" t="s">
        <v>543</v>
      </c>
      <c r="C27" s="376" t="s">
        <v>544</v>
      </c>
      <c r="D27" s="382">
        <v>1191000000000</v>
      </c>
      <c r="E27" s="383">
        <v>0</v>
      </c>
    </row>
    <row r="28" spans="1:5" s="375" customFormat="1" ht="31.5" x14ac:dyDescent="0.25">
      <c r="A28" s="393"/>
      <c r="B28" s="376" t="s">
        <v>545</v>
      </c>
      <c r="C28" s="376" t="s">
        <v>546</v>
      </c>
      <c r="D28" s="382">
        <v>1191000000000</v>
      </c>
      <c r="E28" s="383">
        <v>0</v>
      </c>
    </row>
    <row r="29" spans="1:5" s="375" customFormat="1" ht="31.5" x14ac:dyDescent="0.25">
      <c r="A29" s="393"/>
      <c r="B29" s="376" t="s">
        <v>547</v>
      </c>
      <c r="C29" s="376" t="s">
        <v>548</v>
      </c>
      <c r="D29" s="382">
        <v>119100000</v>
      </c>
      <c r="E29" s="383"/>
    </row>
    <row r="30" spans="1:5" s="375" customFormat="1" ht="21" x14ac:dyDescent="0.25">
      <c r="A30" s="393" t="s">
        <v>62</v>
      </c>
      <c r="B30" s="376" t="s">
        <v>549</v>
      </c>
      <c r="C30" s="376" t="s">
        <v>550</v>
      </c>
      <c r="D30" s="382">
        <v>492000000000</v>
      </c>
      <c r="E30" s="383">
        <v>1191000000000</v>
      </c>
    </row>
    <row r="31" spans="1:5" s="375" customFormat="1" ht="21" x14ac:dyDescent="0.25">
      <c r="A31" s="393"/>
      <c r="B31" s="376" t="s">
        <v>551</v>
      </c>
      <c r="C31" s="376" t="s">
        <v>552</v>
      </c>
      <c r="D31" s="382">
        <v>49200000</v>
      </c>
      <c r="E31" s="383">
        <v>119100000</v>
      </c>
    </row>
    <row r="32" spans="1:5" s="375" customFormat="1" ht="22.5" customHeight="1" x14ac:dyDescent="0.25">
      <c r="A32" s="393"/>
      <c r="B32" s="376" t="s">
        <v>553</v>
      </c>
      <c r="C32" s="376" t="s">
        <v>554</v>
      </c>
      <c r="D32" s="382">
        <v>492000000000</v>
      </c>
      <c r="E32" s="383">
        <v>1191000000000</v>
      </c>
    </row>
    <row r="33" spans="1:5" s="375" customFormat="1" ht="21" x14ac:dyDescent="0.25">
      <c r="A33" s="393"/>
      <c r="B33" s="376" t="s">
        <v>555</v>
      </c>
      <c r="C33" s="376" t="s">
        <v>556</v>
      </c>
      <c r="D33" s="382">
        <v>52300000</v>
      </c>
      <c r="E33" s="383">
        <v>119100000</v>
      </c>
    </row>
    <row r="34" spans="1:5" s="375" customFormat="1" ht="21" x14ac:dyDescent="0.25">
      <c r="A34" s="393"/>
      <c r="B34" s="376" t="s">
        <v>557</v>
      </c>
      <c r="C34" s="376" t="s">
        <v>558</v>
      </c>
      <c r="D34" s="382">
        <v>523000000000</v>
      </c>
      <c r="E34" s="383">
        <v>1191000000000</v>
      </c>
    </row>
    <row r="35" spans="1:5" s="375" customFormat="1" ht="21" x14ac:dyDescent="0.25">
      <c r="A35" s="393"/>
      <c r="B35" s="376" t="s">
        <v>559</v>
      </c>
      <c r="C35" s="376" t="s">
        <v>560</v>
      </c>
      <c r="D35" s="382">
        <v>-3100000</v>
      </c>
      <c r="E35" s="383"/>
    </row>
    <row r="36" spans="1:5" s="375" customFormat="1" ht="31.5" x14ac:dyDescent="0.25">
      <c r="A36" s="393"/>
      <c r="B36" s="376" t="s">
        <v>561</v>
      </c>
      <c r="C36" s="376" t="s">
        <v>562</v>
      </c>
      <c r="D36" s="382">
        <v>-31000000000</v>
      </c>
      <c r="E36" s="383">
        <v>0</v>
      </c>
    </row>
    <row r="37" spans="1:5" s="375" customFormat="1" ht="21" x14ac:dyDescent="0.25">
      <c r="A37" s="393" t="s">
        <v>67</v>
      </c>
      <c r="B37" s="376" t="s">
        <v>563</v>
      </c>
      <c r="C37" s="376" t="s">
        <v>564</v>
      </c>
      <c r="D37" s="382">
        <v>1683000000000</v>
      </c>
      <c r="E37" s="383">
        <v>1191000000000</v>
      </c>
    </row>
    <row r="38" spans="1:5" s="375" customFormat="1" ht="21.75" customHeight="1" x14ac:dyDescent="0.25">
      <c r="A38" s="393"/>
      <c r="B38" s="376" t="s">
        <v>565</v>
      </c>
      <c r="C38" s="376" t="s">
        <v>566</v>
      </c>
      <c r="D38" s="382">
        <v>1683000000000</v>
      </c>
      <c r="E38" s="383">
        <v>1191000000000</v>
      </c>
    </row>
    <row r="39" spans="1:5" s="375" customFormat="1" ht="31.5" x14ac:dyDescent="0.25">
      <c r="A39" s="393"/>
      <c r="B39" s="376" t="s">
        <v>567</v>
      </c>
      <c r="C39" s="376" t="s">
        <v>568</v>
      </c>
      <c r="D39" s="382">
        <v>168300000</v>
      </c>
      <c r="E39" s="383">
        <v>119100000</v>
      </c>
    </row>
    <row r="40" spans="1:5" s="375" customFormat="1" ht="44.25" customHeight="1" x14ac:dyDescent="0.25">
      <c r="A40" s="393" t="s">
        <v>71</v>
      </c>
      <c r="B40" s="376" t="s">
        <v>569</v>
      </c>
      <c r="C40" s="376" t="s">
        <v>570</v>
      </c>
      <c r="D40" s="384">
        <v>1.095775E-2</v>
      </c>
      <c r="E40" s="385">
        <v>1.5484382871536523E-2</v>
      </c>
    </row>
    <row r="41" spans="1:5" s="375" customFormat="1" ht="32.25" customHeight="1" x14ac:dyDescent="0.25">
      <c r="A41" s="393" t="s">
        <v>320</v>
      </c>
      <c r="B41" s="376" t="s">
        <v>571</v>
      </c>
      <c r="C41" s="376" t="s">
        <v>572</v>
      </c>
      <c r="D41" s="384">
        <v>0.65121055000000005</v>
      </c>
      <c r="E41" s="385">
        <v>0.721525717884131</v>
      </c>
    </row>
    <row r="42" spans="1:5" s="375" customFormat="1" ht="33" customHeight="1" x14ac:dyDescent="0.25">
      <c r="A42" s="393" t="s">
        <v>329</v>
      </c>
      <c r="B42" s="376" t="s">
        <v>573</v>
      </c>
      <c r="C42" s="376" t="s">
        <v>574</v>
      </c>
      <c r="D42" s="384">
        <v>0.99305849000000002</v>
      </c>
      <c r="E42" s="385">
        <v>0.97433986565911002</v>
      </c>
    </row>
    <row r="43" spans="1:5" s="375" customFormat="1" ht="22.5" customHeight="1" x14ac:dyDescent="0.25">
      <c r="A43" s="393"/>
      <c r="B43" s="376" t="s">
        <v>575</v>
      </c>
      <c r="C43" s="376" t="s">
        <v>576</v>
      </c>
      <c r="D43" s="386">
        <v>340</v>
      </c>
      <c r="E43" s="387">
        <v>387</v>
      </c>
    </row>
    <row r="44" spans="1:5" s="375" customFormat="1" ht="21" x14ac:dyDescent="0.25">
      <c r="A44" s="393" t="s">
        <v>342</v>
      </c>
      <c r="B44" s="376" t="s">
        <v>577</v>
      </c>
      <c r="C44" s="376" t="s">
        <v>578</v>
      </c>
      <c r="D44" s="388">
        <v>13338.55</v>
      </c>
      <c r="E44" s="389">
        <v>11439.86</v>
      </c>
    </row>
    <row r="45" spans="1:5" s="375" customFormat="1" ht="21" x14ac:dyDescent="0.25">
      <c r="A45" s="394" t="s">
        <v>349</v>
      </c>
      <c r="B45" s="377" t="s">
        <v>579</v>
      </c>
      <c r="C45" s="377" t="s">
        <v>580</v>
      </c>
      <c r="D45" s="390">
        <v>13370</v>
      </c>
      <c r="E45" s="391">
        <v>11630</v>
      </c>
    </row>
    <row r="46" spans="1:5" x14ac:dyDescent="0.25">
      <c r="A46" s="364"/>
      <c r="B46" s="364"/>
      <c r="C46" s="364"/>
      <c r="D46" s="364"/>
      <c r="E46" s="364"/>
    </row>
    <row r="47" spans="1:5" x14ac:dyDescent="0.25">
      <c r="A47" s="290" t="s">
        <v>581</v>
      </c>
      <c r="B47" s="290"/>
      <c r="C47" s="364"/>
      <c r="D47" s="364"/>
      <c r="E47" s="364"/>
    </row>
    <row r="48" spans="1:5" ht="42.75" customHeight="1" x14ac:dyDescent="0.25">
      <c r="A48" s="290" t="s">
        <v>582</v>
      </c>
      <c r="B48" s="290"/>
      <c r="C48" s="290"/>
      <c r="D48" s="290"/>
      <c r="E48" s="290"/>
    </row>
    <row r="49" spans="1:5" ht="25.5" customHeight="1" x14ac:dyDescent="0.25">
      <c r="A49" s="290" t="s">
        <v>583</v>
      </c>
      <c r="B49" s="290"/>
      <c r="C49" s="290"/>
      <c r="D49" s="290"/>
      <c r="E49" s="290"/>
    </row>
    <row r="50" spans="1:5" x14ac:dyDescent="0.25">
      <c r="A50" s="364"/>
      <c r="B50" s="364"/>
      <c r="C50" s="371"/>
      <c r="D50" s="371"/>
      <c r="E50" s="371"/>
    </row>
    <row r="51" spans="1:5" x14ac:dyDescent="0.25">
      <c r="A51" s="278" t="s">
        <v>584</v>
      </c>
      <c r="B51" s="278"/>
      <c r="C51" s="278" t="s">
        <v>261</v>
      </c>
      <c r="D51" s="278"/>
      <c r="E51" s="278"/>
    </row>
    <row r="52" spans="1:5" x14ac:dyDescent="0.25">
      <c r="A52" s="349" t="s">
        <v>21</v>
      </c>
      <c r="B52" s="349"/>
      <c r="C52" s="349" t="s">
        <v>22</v>
      </c>
      <c r="D52" s="349"/>
      <c r="E52" s="349"/>
    </row>
    <row r="53" spans="1:5" x14ac:dyDescent="0.25">
      <c r="A53" s="364"/>
      <c r="B53" s="364"/>
      <c r="C53" s="364"/>
      <c r="D53" s="364"/>
      <c r="E53" s="364"/>
    </row>
    <row r="54" spans="1:5" x14ac:dyDescent="0.25">
      <c r="A54" s="364"/>
      <c r="B54" s="364"/>
      <c r="C54" s="364"/>
      <c r="D54" s="364"/>
      <c r="E54" s="364"/>
    </row>
    <row r="55" spans="1:5" x14ac:dyDescent="0.25">
      <c r="A55" s="364"/>
      <c r="B55" s="364"/>
      <c r="C55" s="364"/>
      <c r="D55" s="364"/>
      <c r="E55" s="364"/>
    </row>
    <row r="56" spans="1:5" x14ac:dyDescent="0.25">
      <c r="A56" s="364"/>
      <c r="B56" s="364"/>
      <c r="C56" s="364"/>
      <c r="D56" s="364"/>
      <c r="E56" s="364"/>
    </row>
    <row r="57" spans="1:5" x14ac:dyDescent="0.25">
      <c r="A57" s="372" t="s">
        <v>262</v>
      </c>
      <c r="B57" s="372"/>
      <c r="C57" s="372" t="s">
        <v>263</v>
      </c>
      <c r="D57" s="372"/>
      <c r="E57" s="372"/>
    </row>
    <row r="58" spans="1:5" x14ac:dyDescent="0.25">
      <c r="A58" s="373" t="s">
        <v>23</v>
      </c>
      <c r="B58" s="373"/>
      <c r="C58" s="373" t="s">
        <v>264</v>
      </c>
      <c r="D58" s="373"/>
      <c r="E58" s="373"/>
    </row>
    <row r="59" spans="1:5" x14ac:dyDescent="0.25">
      <c r="A59" s="373" t="s">
        <v>265</v>
      </c>
      <c r="B59" s="373"/>
      <c r="C59" s="373" t="s">
        <v>266</v>
      </c>
      <c r="D59" s="373"/>
      <c r="E59" s="373"/>
    </row>
  </sheetData>
  <mergeCells count="43">
    <mergeCell ref="A57:B57"/>
    <mergeCell ref="C57:E57"/>
    <mergeCell ref="A58:B58"/>
    <mergeCell ref="C58:E58"/>
    <mergeCell ref="A59:B59"/>
    <mergeCell ref="C59:E59"/>
    <mergeCell ref="A54:B54"/>
    <mergeCell ref="C54:E54"/>
    <mergeCell ref="A55:B55"/>
    <mergeCell ref="C55:E55"/>
    <mergeCell ref="A56:B56"/>
    <mergeCell ref="C56:E56"/>
    <mergeCell ref="A51:B51"/>
    <mergeCell ref="C51:E51"/>
    <mergeCell ref="A52:B52"/>
    <mergeCell ref="C52:E52"/>
    <mergeCell ref="A53:B53"/>
    <mergeCell ref="C53:E53"/>
    <mergeCell ref="A47:B47"/>
    <mergeCell ref="C47:E47"/>
    <mergeCell ref="A48:E48"/>
    <mergeCell ref="A49:E49"/>
    <mergeCell ref="A50:B50"/>
    <mergeCell ref="C50:E50"/>
    <mergeCell ref="A46:B46"/>
    <mergeCell ref="C46:E46"/>
    <mergeCell ref="C6:E6"/>
    <mergeCell ref="C7:E7"/>
    <mergeCell ref="C8:E8"/>
    <mergeCell ref="C9:E9"/>
    <mergeCell ref="C10:E10"/>
    <mergeCell ref="C11:E11"/>
    <mergeCell ref="C12:E12"/>
    <mergeCell ref="C13:E13"/>
    <mergeCell ref="A14:E14"/>
    <mergeCell ref="A15:E15"/>
    <mergeCell ref="A16:E16"/>
    <mergeCell ref="C5:E5"/>
    <mergeCell ref="A1:B1"/>
    <mergeCell ref="C1:E1"/>
    <mergeCell ref="A2:E2"/>
    <mergeCell ref="B3:E3"/>
    <mergeCell ref="B4:E4"/>
  </mergeCells>
  <printOptions horizontalCentered="1"/>
  <pageMargins left="0" right="0" top="0.54" bottom="0.32" header="0.5" footer="0.28000000000000003"/>
  <pageSetup paperSize="9"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13" zoomScaleNormal="90" zoomScaleSheetLayoutView="100" workbookViewId="0">
      <selection activeCell="B1" sqref="A1:K38"/>
    </sheetView>
  </sheetViews>
  <sheetFormatPr defaultColWidth="9.28515625" defaultRowHeight="10.5" x14ac:dyDescent="0.15"/>
  <cols>
    <col min="1" max="1" width="5.42578125" style="94" customWidth="1"/>
    <col min="2" max="2" width="47.7109375" style="94" customWidth="1"/>
    <col min="3" max="3" width="8.7109375" style="94" customWidth="1"/>
    <col min="4" max="4" width="12.5703125" style="94" customWidth="1"/>
    <col min="5" max="5" width="16.7109375" style="94" customWidth="1"/>
    <col min="6" max="6" width="8.28515625" style="94" customWidth="1"/>
    <col min="7" max="7" width="15.7109375" style="94" customWidth="1"/>
    <col min="8" max="8" width="11.42578125" style="94" bestFit="1" customWidth="1"/>
    <col min="9" max="9" width="19.28515625" style="94" customWidth="1"/>
    <col min="10" max="10" width="12.28515625" style="94" customWidth="1"/>
    <col min="11" max="11" width="19" style="94" customWidth="1"/>
    <col min="12" max="16384" width="9.28515625" style="94"/>
  </cols>
  <sheetData>
    <row r="1" spans="1:11" ht="25.5" customHeight="1" x14ac:dyDescent="0.15">
      <c r="B1" s="95"/>
      <c r="C1" s="95"/>
      <c r="D1" s="95"/>
      <c r="E1" s="306" t="s">
        <v>585</v>
      </c>
      <c r="F1" s="306"/>
      <c r="G1" s="306"/>
      <c r="H1" s="306"/>
      <c r="I1" s="306"/>
      <c r="J1" s="306"/>
      <c r="K1" s="306"/>
    </row>
    <row r="2" spans="1:11" ht="33.75" customHeight="1" x14ac:dyDescent="0.15">
      <c r="A2" s="307" t="s">
        <v>586</v>
      </c>
      <c r="B2" s="307"/>
      <c r="C2" s="307"/>
      <c r="D2" s="307"/>
      <c r="E2" s="307"/>
      <c r="F2" s="307"/>
      <c r="G2" s="307"/>
      <c r="H2" s="307"/>
      <c r="I2" s="307"/>
      <c r="J2" s="307"/>
      <c r="K2" s="307"/>
    </row>
    <row r="3" spans="1:11" x14ac:dyDescent="0.15">
      <c r="A3" s="308" t="s">
        <v>587</v>
      </c>
      <c r="B3" s="308"/>
      <c r="C3" s="308"/>
      <c r="D3" s="308"/>
      <c r="E3" s="308"/>
      <c r="F3" s="308"/>
      <c r="G3" s="308"/>
      <c r="H3" s="308"/>
      <c r="I3" s="308"/>
      <c r="J3" s="308"/>
      <c r="K3" s="308"/>
    </row>
    <row r="4" spans="1:11" ht="18" customHeight="1" x14ac:dyDescent="0.15">
      <c r="A4" s="309" t="s">
        <v>588</v>
      </c>
      <c r="B4" s="310"/>
      <c r="C4" s="310"/>
      <c r="D4" s="310"/>
      <c r="E4" s="310"/>
      <c r="F4" s="310"/>
      <c r="G4" s="310"/>
      <c r="H4" s="310"/>
      <c r="I4" s="310"/>
      <c r="J4" s="310"/>
      <c r="K4" s="310"/>
    </row>
    <row r="5" spans="1:11" x14ac:dyDescent="0.15">
      <c r="A5" s="96"/>
      <c r="B5" s="97"/>
      <c r="C5" s="97"/>
      <c r="D5" s="98"/>
      <c r="E5" s="98"/>
      <c r="F5" s="97"/>
      <c r="G5" s="97"/>
      <c r="H5" s="97"/>
      <c r="I5" s="97"/>
      <c r="J5" s="97"/>
      <c r="K5" s="97"/>
    </row>
    <row r="6" spans="1:11" x14ac:dyDescent="0.15">
      <c r="A6" s="99">
        <v>1</v>
      </c>
      <c r="B6" s="100" t="s">
        <v>4</v>
      </c>
      <c r="C6" s="100" t="s">
        <v>5</v>
      </c>
      <c r="D6" s="98"/>
      <c r="E6" s="98"/>
      <c r="F6" s="97"/>
      <c r="G6" s="97"/>
      <c r="H6" s="97"/>
      <c r="I6" s="97"/>
      <c r="J6" s="97"/>
      <c r="K6" s="97"/>
    </row>
    <row r="7" spans="1:11" x14ac:dyDescent="0.15">
      <c r="A7" s="99"/>
      <c r="B7" s="101" t="s">
        <v>6</v>
      </c>
      <c r="C7" s="101" t="s">
        <v>7</v>
      </c>
      <c r="D7" s="102"/>
      <c r="E7" s="102"/>
      <c r="F7" s="103"/>
      <c r="G7" s="103"/>
      <c r="H7" s="103"/>
      <c r="I7" s="103"/>
      <c r="J7" s="103"/>
      <c r="K7" s="103"/>
    </row>
    <row r="8" spans="1:11" ht="12.75" customHeight="1" x14ac:dyDescent="0.15">
      <c r="A8" s="104">
        <v>2</v>
      </c>
      <c r="B8" s="105" t="s">
        <v>8</v>
      </c>
      <c r="C8" s="106" t="s">
        <v>9</v>
      </c>
      <c r="D8" s="106"/>
      <c r="E8" s="106"/>
      <c r="F8" s="106"/>
      <c r="G8" s="106"/>
      <c r="H8" s="106"/>
      <c r="I8" s="107"/>
      <c r="J8" s="107"/>
      <c r="K8" s="107"/>
    </row>
    <row r="9" spans="1:11" ht="12.75" customHeight="1" x14ac:dyDescent="0.15">
      <c r="A9" s="104"/>
      <c r="B9" s="108" t="s">
        <v>10</v>
      </c>
      <c r="C9" s="109" t="s">
        <v>11</v>
      </c>
      <c r="D9" s="110"/>
      <c r="E9" s="110"/>
      <c r="F9" s="110"/>
      <c r="G9" s="110"/>
      <c r="H9" s="110"/>
      <c r="I9" s="111"/>
      <c r="J9" s="111"/>
      <c r="K9" s="111"/>
    </row>
    <row r="10" spans="1:11" ht="12.75" customHeight="1" x14ac:dyDescent="0.15">
      <c r="A10" s="104">
        <v>3</v>
      </c>
      <c r="B10" s="105" t="s">
        <v>12</v>
      </c>
      <c r="C10" s="106" t="s">
        <v>13</v>
      </c>
      <c r="D10" s="106"/>
      <c r="E10" s="106"/>
      <c r="F10" s="106"/>
      <c r="G10" s="106"/>
      <c r="H10" s="106"/>
      <c r="I10" s="107"/>
      <c r="J10" s="107"/>
      <c r="K10" s="107"/>
    </row>
    <row r="11" spans="1:11" ht="12.75" customHeight="1" x14ac:dyDescent="0.15">
      <c r="A11" s="104"/>
      <c r="B11" s="108" t="s">
        <v>14</v>
      </c>
      <c r="C11" s="110" t="s">
        <v>589</v>
      </c>
      <c r="D11" s="110"/>
      <c r="E11" s="110"/>
      <c r="F11" s="110"/>
      <c r="G11" s="110"/>
      <c r="H11" s="110"/>
      <c r="I11" s="107"/>
      <c r="J11" s="107"/>
      <c r="K11" s="107"/>
    </row>
    <row r="12" spans="1:11" ht="13.5" customHeight="1" x14ac:dyDescent="0.15">
      <c r="A12" s="104">
        <v>4</v>
      </c>
      <c r="B12" s="105" t="s">
        <v>16</v>
      </c>
      <c r="C12" s="318">
        <v>44119</v>
      </c>
      <c r="D12" s="318"/>
      <c r="E12" s="318"/>
      <c r="F12" s="318"/>
      <c r="G12" s="106"/>
      <c r="H12" s="106"/>
      <c r="I12" s="112"/>
      <c r="J12" s="112"/>
      <c r="K12" s="112"/>
    </row>
    <row r="13" spans="1:11" ht="13.5" customHeight="1" x14ac:dyDescent="0.15">
      <c r="A13" s="110"/>
      <c r="B13" s="108" t="s">
        <v>17</v>
      </c>
      <c r="C13" s="311">
        <v>44119</v>
      </c>
      <c r="D13" s="311"/>
      <c r="E13" s="311"/>
      <c r="F13" s="311"/>
      <c r="G13" s="312"/>
      <c r="H13" s="312"/>
      <c r="I13" s="113"/>
      <c r="J13" s="113"/>
      <c r="K13" s="113"/>
    </row>
    <row r="14" spans="1:11" x14ac:dyDescent="0.15">
      <c r="A14" s="114" t="s">
        <v>30</v>
      </c>
      <c r="B14" s="114" t="s">
        <v>590</v>
      </c>
      <c r="C14" s="115"/>
      <c r="D14" s="116"/>
      <c r="E14" s="116"/>
      <c r="F14" s="116"/>
      <c r="G14" s="117"/>
      <c r="H14" s="117"/>
      <c r="I14" s="113"/>
      <c r="J14" s="113"/>
      <c r="K14" s="113"/>
    </row>
    <row r="15" spans="1:11" x14ac:dyDescent="0.15">
      <c r="A15" s="100" t="s">
        <v>371</v>
      </c>
      <c r="B15" s="100" t="s">
        <v>591</v>
      </c>
      <c r="C15" s="118"/>
      <c r="D15" s="119"/>
      <c r="E15" s="119"/>
      <c r="F15" s="120"/>
      <c r="G15" s="120"/>
      <c r="H15" s="120"/>
      <c r="I15" s="120"/>
      <c r="J15" s="120"/>
      <c r="K15" s="120"/>
    </row>
    <row r="16" spans="1:11" ht="33" customHeight="1" x14ac:dyDescent="0.15">
      <c r="A16" s="313" t="s">
        <v>418</v>
      </c>
      <c r="B16" s="304" t="s">
        <v>592</v>
      </c>
      <c r="C16" s="314" t="s">
        <v>77</v>
      </c>
      <c r="D16" s="304" t="s">
        <v>593</v>
      </c>
      <c r="E16" s="304" t="s">
        <v>1189</v>
      </c>
      <c r="F16" s="304" t="s">
        <v>594</v>
      </c>
      <c r="G16" s="304" t="s">
        <v>595</v>
      </c>
      <c r="H16" s="322" t="s">
        <v>596</v>
      </c>
      <c r="I16" s="323"/>
      <c r="J16" s="322" t="s">
        <v>597</v>
      </c>
      <c r="K16" s="323"/>
    </row>
    <row r="17" spans="1:11" ht="42" x14ac:dyDescent="0.15">
      <c r="A17" s="313"/>
      <c r="B17" s="305"/>
      <c r="C17" s="315"/>
      <c r="D17" s="305"/>
      <c r="E17" s="305"/>
      <c r="F17" s="305"/>
      <c r="G17" s="305"/>
      <c r="H17" s="121" t="s">
        <v>598</v>
      </c>
      <c r="I17" s="121" t="s">
        <v>599</v>
      </c>
      <c r="J17" s="121" t="s">
        <v>600</v>
      </c>
      <c r="K17" s="121" t="s">
        <v>601</v>
      </c>
    </row>
    <row r="18" spans="1:11" ht="21" x14ac:dyDescent="0.15">
      <c r="A18" s="122">
        <v>1</v>
      </c>
      <c r="B18" s="123" t="s">
        <v>602</v>
      </c>
      <c r="C18" s="124" t="s">
        <v>603</v>
      </c>
      <c r="D18" s="324"/>
      <c r="E18" s="325"/>
      <c r="F18" s="325"/>
      <c r="G18" s="325"/>
      <c r="H18" s="325"/>
      <c r="I18" s="325"/>
      <c r="J18" s="325"/>
      <c r="K18" s="326"/>
    </row>
    <row r="19" spans="1:11" ht="21" x14ac:dyDescent="0.15">
      <c r="A19" s="122" t="s">
        <v>80</v>
      </c>
      <c r="B19" s="123" t="s">
        <v>604</v>
      </c>
      <c r="C19" s="124" t="s">
        <v>605</v>
      </c>
      <c r="D19" s="327"/>
      <c r="E19" s="328"/>
      <c r="F19" s="328"/>
      <c r="G19" s="328"/>
      <c r="H19" s="328"/>
      <c r="I19" s="328"/>
      <c r="J19" s="328"/>
      <c r="K19" s="329"/>
    </row>
    <row r="20" spans="1:11" ht="21" x14ac:dyDescent="0.15">
      <c r="A20" s="122">
        <v>2</v>
      </c>
      <c r="B20" s="123" t="s">
        <v>606</v>
      </c>
      <c r="C20" s="124" t="s">
        <v>607</v>
      </c>
      <c r="D20" s="327"/>
      <c r="E20" s="328"/>
      <c r="F20" s="328"/>
      <c r="G20" s="328"/>
      <c r="H20" s="328"/>
      <c r="I20" s="328"/>
      <c r="J20" s="328"/>
      <c r="K20" s="329"/>
    </row>
    <row r="21" spans="1:11" ht="21" x14ac:dyDescent="0.15">
      <c r="A21" s="122" t="s">
        <v>164</v>
      </c>
      <c r="B21" s="123" t="s">
        <v>608</v>
      </c>
      <c r="C21" s="124" t="s">
        <v>609</v>
      </c>
      <c r="D21" s="327"/>
      <c r="E21" s="328"/>
      <c r="F21" s="328"/>
      <c r="G21" s="328"/>
      <c r="H21" s="328"/>
      <c r="I21" s="328"/>
      <c r="J21" s="328"/>
      <c r="K21" s="329"/>
    </row>
    <row r="22" spans="1:11" ht="21" x14ac:dyDescent="0.15">
      <c r="A22" s="122" t="s">
        <v>30</v>
      </c>
      <c r="B22" s="125" t="s">
        <v>610</v>
      </c>
      <c r="C22" s="124" t="s">
        <v>611</v>
      </c>
      <c r="D22" s="327"/>
      <c r="E22" s="328"/>
      <c r="F22" s="328"/>
      <c r="G22" s="328"/>
      <c r="H22" s="328"/>
      <c r="I22" s="328"/>
      <c r="J22" s="328"/>
      <c r="K22" s="329"/>
    </row>
    <row r="23" spans="1:11" ht="21" x14ac:dyDescent="0.15">
      <c r="A23" s="126" t="s">
        <v>67</v>
      </c>
      <c r="B23" s="125" t="s">
        <v>612</v>
      </c>
      <c r="C23" s="124" t="s">
        <v>613</v>
      </c>
      <c r="D23" s="327"/>
      <c r="E23" s="328"/>
      <c r="F23" s="328"/>
      <c r="G23" s="328"/>
      <c r="H23" s="328"/>
      <c r="I23" s="328"/>
      <c r="J23" s="328"/>
      <c r="K23" s="329"/>
    </row>
    <row r="24" spans="1:11" ht="21" x14ac:dyDescent="0.15">
      <c r="A24" s="126" t="s">
        <v>368</v>
      </c>
      <c r="B24" s="123" t="s">
        <v>614</v>
      </c>
      <c r="C24" s="124" t="s">
        <v>615</v>
      </c>
      <c r="D24" s="327"/>
      <c r="E24" s="328"/>
      <c r="F24" s="328"/>
      <c r="G24" s="328"/>
      <c r="H24" s="328"/>
      <c r="I24" s="328"/>
      <c r="J24" s="328"/>
      <c r="K24" s="329"/>
    </row>
    <row r="25" spans="1:11" ht="21" x14ac:dyDescent="0.15">
      <c r="A25" s="126" t="s">
        <v>71</v>
      </c>
      <c r="B25" s="123" t="s">
        <v>616</v>
      </c>
      <c r="C25" s="124" t="s">
        <v>617</v>
      </c>
      <c r="D25" s="327"/>
      <c r="E25" s="328"/>
      <c r="F25" s="328"/>
      <c r="G25" s="328"/>
      <c r="H25" s="328"/>
      <c r="I25" s="328"/>
      <c r="J25" s="328"/>
      <c r="K25" s="329"/>
    </row>
    <row r="26" spans="1:11" ht="21" x14ac:dyDescent="0.15">
      <c r="A26" s="126" t="s">
        <v>371</v>
      </c>
      <c r="B26" s="123" t="s">
        <v>614</v>
      </c>
      <c r="C26" s="124" t="s">
        <v>618</v>
      </c>
      <c r="D26" s="327"/>
      <c r="E26" s="328"/>
      <c r="F26" s="328"/>
      <c r="G26" s="328"/>
      <c r="H26" s="328"/>
      <c r="I26" s="328"/>
      <c r="J26" s="328"/>
      <c r="K26" s="329"/>
    </row>
    <row r="27" spans="1:11" ht="21" x14ac:dyDescent="0.15">
      <c r="A27" s="122" t="s">
        <v>53</v>
      </c>
      <c r="B27" s="125" t="s">
        <v>619</v>
      </c>
      <c r="C27" s="124" t="s">
        <v>620</v>
      </c>
      <c r="D27" s="330"/>
      <c r="E27" s="331"/>
      <c r="F27" s="331"/>
      <c r="G27" s="331"/>
      <c r="H27" s="331"/>
      <c r="I27" s="331"/>
      <c r="J27" s="331"/>
      <c r="K27" s="332"/>
    </row>
    <row r="28" spans="1:11" ht="12.75" customHeight="1" x14ac:dyDescent="0.15">
      <c r="A28" s="120"/>
      <c r="B28" s="127"/>
      <c r="C28" s="127"/>
      <c r="D28" s="120"/>
      <c r="E28" s="120"/>
      <c r="F28" s="120"/>
      <c r="G28" s="120"/>
      <c r="H28" s="120"/>
      <c r="I28" s="120"/>
      <c r="J28" s="120"/>
      <c r="K28" s="120"/>
    </row>
    <row r="29" spans="1:11" x14ac:dyDescent="0.15">
      <c r="A29" s="333" t="s">
        <v>19</v>
      </c>
      <c r="B29" s="333"/>
      <c r="C29" s="333"/>
      <c r="E29" s="128"/>
      <c r="F29" s="129"/>
      <c r="G29" s="129"/>
      <c r="H29" s="334" t="s">
        <v>261</v>
      </c>
      <c r="I29" s="334"/>
      <c r="J29" s="334"/>
      <c r="K29" s="334"/>
    </row>
    <row r="30" spans="1:11" x14ac:dyDescent="0.15">
      <c r="A30" s="316" t="s">
        <v>21</v>
      </c>
      <c r="B30" s="316"/>
      <c r="C30" s="316"/>
      <c r="E30" s="130"/>
      <c r="F30" s="131"/>
      <c r="G30" s="131"/>
      <c r="H30" s="319" t="s">
        <v>22</v>
      </c>
      <c r="I30" s="319"/>
      <c r="J30" s="319"/>
      <c r="K30" s="319"/>
    </row>
    <row r="31" spans="1:11" ht="37.5" customHeight="1" x14ac:dyDescent="0.15">
      <c r="A31" s="131"/>
      <c r="B31" s="132"/>
      <c r="C31" s="133"/>
      <c r="E31" s="130"/>
      <c r="F31" s="131"/>
      <c r="G31" s="131"/>
      <c r="H31" s="134"/>
      <c r="J31" s="135"/>
      <c r="K31" s="136"/>
    </row>
    <row r="32" spans="1:11" ht="32.25" customHeight="1" x14ac:dyDescent="0.15">
      <c r="A32" s="132"/>
      <c r="B32" s="132"/>
      <c r="C32" s="320"/>
      <c r="D32" s="320"/>
      <c r="E32" s="320"/>
      <c r="F32" s="135"/>
      <c r="G32" s="135"/>
      <c r="H32" s="135"/>
      <c r="J32" s="135"/>
      <c r="K32" s="135"/>
    </row>
    <row r="33" spans="1:11" ht="23.25" customHeight="1" x14ac:dyDescent="0.15">
      <c r="A33" s="132"/>
      <c r="B33" s="132"/>
      <c r="C33" s="137"/>
      <c r="D33" s="138"/>
      <c r="E33" s="139"/>
      <c r="F33" s="140"/>
      <c r="G33" s="135"/>
      <c r="H33" s="135"/>
      <c r="J33" s="135"/>
      <c r="K33" s="135"/>
    </row>
    <row r="34" spans="1:11" x14ac:dyDescent="0.15">
      <c r="A34" s="141"/>
      <c r="B34" s="141"/>
      <c r="C34" s="142"/>
      <c r="D34" s="143"/>
      <c r="E34" s="144"/>
      <c r="F34" s="140"/>
      <c r="G34" s="145"/>
      <c r="H34" s="141"/>
      <c r="I34" s="141"/>
      <c r="J34" s="142"/>
      <c r="K34" s="135"/>
    </row>
    <row r="35" spans="1:11" s="146" customFormat="1" x14ac:dyDescent="0.25">
      <c r="A35" s="316" t="s">
        <v>621</v>
      </c>
      <c r="B35" s="316"/>
      <c r="C35" s="316"/>
      <c r="E35" s="131"/>
      <c r="F35" s="131"/>
      <c r="G35" s="147"/>
      <c r="H35" s="321" t="s">
        <v>5</v>
      </c>
      <c r="I35" s="321"/>
      <c r="J35" s="321"/>
      <c r="K35" s="321"/>
    </row>
    <row r="36" spans="1:11" s="146" customFormat="1" x14ac:dyDescent="0.25">
      <c r="A36" s="316" t="s">
        <v>622</v>
      </c>
      <c r="B36" s="316"/>
      <c r="C36" s="316"/>
      <c r="E36" s="148"/>
      <c r="F36" s="149"/>
      <c r="G36" s="147"/>
      <c r="H36" s="317" t="s">
        <v>24</v>
      </c>
      <c r="I36" s="317"/>
      <c r="J36" s="317"/>
      <c r="K36" s="317"/>
    </row>
    <row r="37" spans="1:11" s="146" customFormat="1" x14ac:dyDescent="0.25">
      <c r="A37" s="316" t="s">
        <v>25</v>
      </c>
      <c r="B37" s="316"/>
      <c r="C37" s="316"/>
      <c r="H37" s="317" t="s">
        <v>26</v>
      </c>
      <c r="I37" s="317"/>
      <c r="J37" s="317"/>
      <c r="K37" s="317"/>
    </row>
  </sheetData>
  <mergeCells count="28">
    <mergeCell ref="A37:C37"/>
    <mergeCell ref="H37:K37"/>
    <mergeCell ref="C12:F12"/>
    <mergeCell ref="A30:C30"/>
    <mergeCell ref="H30:K30"/>
    <mergeCell ref="C32:E32"/>
    <mergeCell ref="A35:C35"/>
    <mergeCell ref="H35:K35"/>
    <mergeCell ref="A36:C36"/>
    <mergeCell ref="H36:K36"/>
    <mergeCell ref="G16:G17"/>
    <mergeCell ref="H16:I16"/>
    <mergeCell ref="J16:K16"/>
    <mergeCell ref="D18:K27"/>
    <mergeCell ref="A29:C29"/>
    <mergeCell ref="H29:K29"/>
    <mergeCell ref="F16:F17"/>
    <mergeCell ref="E1:K1"/>
    <mergeCell ref="A2:K2"/>
    <mergeCell ref="A3:K3"/>
    <mergeCell ref="A4:K4"/>
    <mergeCell ref="C13:F13"/>
    <mergeCell ref="G13:H13"/>
    <mergeCell ref="A16:A17"/>
    <mergeCell ref="B16:B17"/>
    <mergeCell ref="C16:C17"/>
    <mergeCell ref="D16:D17"/>
    <mergeCell ref="E16:E17"/>
  </mergeCells>
  <pageMargins left="0.42" right="0.34" top="0.41" bottom="0.39" header="0.3" footer="0.3"/>
  <pageSetup paperSize="9" scale="78"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zoomScaleNormal="100" zoomScaleSheetLayoutView="100" workbookViewId="0">
      <selection activeCell="F90" sqref="A1:G90"/>
    </sheetView>
  </sheetViews>
  <sheetFormatPr defaultRowHeight="15" x14ac:dyDescent="0.25"/>
  <cols>
    <col min="1" max="1" width="43.85546875" style="30" customWidth="1"/>
    <col min="2" max="2" width="8" style="30" customWidth="1"/>
    <col min="3" max="3" width="6.85546875" style="30" customWidth="1"/>
    <col min="4" max="6" width="17.140625" style="30" customWidth="1"/>
    <col min="7" max="7" width="16.140625" style="30" customWidth="1"/>
    <col min="8" max="16384" width="9.140625" style="30"/>
  </cols>
  <sheetData>
    <row r="1" spans="1:7" ht="24.75" customHeight="1" x14ac:dyDescent="0.25">
      <c r="A1" s="31"/>
      <c r="B1" s="277"/>
      <c r="C1" s="277"/>
      <c r="D1" s="278" t="s">
        <v>623</v>
      </c>
      <c r="E1" s="278"/>
      <c r="F1" s="278"/>
      <c r="G1" s="278"/>
    </row>
    <row r="2" spans="1:7" ht="22.5" customHeight="1" x14ac:dyDescent="0.25">
      <c r="A2" s="336" t="s">
        <v>624</v>
      </c>
      <c r="B2" s="336"/>
      <c r="C2" s="336"/>
      <c r="D2" s="336"/>
      <c r="E2" s="336"/>
      <c r="F2" s="336"/>
      <c r="G2" s="336"/>
    </row>
    <row r="3" spans="1:7" ht="9.75" customHeight="1" x14ac:dyDescent="0.25">
      <c r="A3" s="31"/>
      <c r="B3" s="277"/>
      <c r="C3" s="277"/>
      <c r="D3" s="277"/>
      <c r="E3" s="277"/>
      <c r="F3" s="277"/>
      <c r="G3" s="277"/>
    </row>
    <row r="4" spans="1:7" ht="13.5" customHeight="1" x14ac:dyDescent="0.25">
      <c r="A4" s="337" t="s">
        <v>625</v>
      </c>
      <c r="B4" s="337"/>
      <c r="C4" s="337"/>
      <c r="D4" s="337"/>
      <c r="E4" s="337"/>
      <c r="F4" s="337"/>
      <c r="G4" s="337"/>
    </row>
    <row r="5" spans="1:7" ht="13.5" customHeight="1" x14ac:dyDescent="0.25">
      <c r="A5" s="301" t="s">
        <v>626</v>
      </c>
      <c r="B5" s="301"/>
      <c r="C5" s="301"/>
      <c r="D5" s="301"/>
      <c r="E5" s="301"/>
      <c r="F5" s="301"/>
      <c r="G5" s="301"/>
    </row>
    <row r="6" spans="1:7" ht="12" customHeight="1" x14ac:dyDescent="0.25">
      <c r="A6" s="303" t="s">
        <v>627</v>
      </c>
      <c r="B6" s="303"/>
      <c r="C6" s="303"/>
      <c r="D6" s="303"/>
      <c r="E6" s="303"/>
      <c r="F6" s="303"/>
      <c r="G6" s="303"/>
    </row>
    <row r="7" spans="1:7" ht="9.75" customHeight="1" x14ac:dyDescent="0.25">
      <c r="A7" s="31"/>
      <c r="B7" s="277"/>
      <c r="C7" s="277"/>
      <c r="D7" s="277"/>
      <c r="E7" s="277"/>
      <c r="F7" s="277"/>
      <c r="G7" s="277"/>
    </row>
    <row r="8" spans="1:7" ht="12" customHeight="1" x14ac:dyDescent="0.25">
      <c r="A8" s="33" t="s">
        <v>4</v>
      </c>
      <c r="B8" s="288" t="s">
        <v>61</v>
      </c>
      <c r="C8" s="288"/>
      <c r="D8" s="288"/>
      <c r="E8" s="288"/>
      <c r="F8" s="288"/>
      <c r="G8" s="288"/>
    </row>
    <row r="9" spans="1:7" ht="12" customHeight="1" x14ac:dyDescent="0.25">
      <c r="A9" s="34" t="s">
        <v>6</v>
      </c>
      <c r="B9" s="296" t="s">
        <v>7</v>
      </c>
      <c r="C9" s="296"/>
      <c r="D9" s="296"/>
      <c r="E9" s="296"/>
      <c r="F9" s="296"/>
      <c r="G9" s="296"/>
    </row>
    <row r="10" spans="1:7" ht="12" customHeight="1" x14ac:dyDescent="0.25">
      <c r="A10" s="33" t="s">
        <v>8</v>
      </c>
      <c r="B10" s="288" t="s">
        <v>64</v>
      </c>
      <c r="C10" s="288"/>
      <c r="D10" s="288"/>
      <c r="E10" s="288"/>
      <c r="F10" s="288"/>
      <c r="G10" s="288"/>
    </row>
    <row r="11" spans="1:7" ht="12" customHeight="1" x14ac:dyDescent="0.25">
      <c r="A11" s="34" t="s">
        <v>65</v>
      </c>
      <c r="B11" s="296" t="s">
        <v>11</v>
      </c>
      <c r="C11" s="296"/>
      <c r="D11" s="296"/>
      <c r="E11" s="296"/>
      <c r="F11" s="296"/>
      <c r="G11" s="296"/>
    </row>
    <row r="12" spans="1:7" ht="12" customHeight="1" x14ac:dyDescent="0.25">
      <c r="A12" s="33" t="s">
        <v>12</v>
      </c>
      <c r="B12" s="302" t="s">
        <v>68</v>
      </c>
      <c r="C12" s="302"/>
      <c r="D12" s="302"/>
      <c r="E12" s="302"/>
      <c r="F12" s="302"/>
      <c r="G12" s="302"/>
    </row>
    <row r="13" spans="1:7" ht="12" customHeight="1" x14ac:dyDescent="0.25">
      <c r="A13" s="34" t="s">
        <v>69</v>
      </c>
      <c r="B13" s="296" t="s">
        <v>70</v>
      </c>
      <c r="C13" s="296"/>
      <c r="D13" s="296"/>
      <c r="E13" s="296"/>
      <c r="F13" s="296"/>
      <c r="G13" s="296"/>
    </row>
    <row r="14" spans="1:7" ht="12" customHeight="1" x14ac:dyDescent="0.25">
      <c r="A14" s="33" t="s">
        <v>16</v>
      </c>
      <c r="B14" s="344">
        <v>44119</v>
      </c>
      <c r="C14" s="302"/>
      <c r="D14" s="302"/>
      <c r="E14" s="302"/>
      <c r="F14" s="302"/>
      <c r="G14" s="302"/>
    </row>
    <row r="15" spans="1:7" ht="12" customHeight="1" x14ac:dyDescent="0.25">
      <c r="A15" s="34" t="s">
        <v>17</v>
      </c>
      <c r="B15" s="298">
        <v>44119</v>
      </c>
      <c r="C15" s="296"/>
      <c r="D15" s="296"/>
      <c r="E15" s="296"/>
      <c r="F15" s="296"/>
      <c r="G15" s="296"/>
    </row>
    <row r="16" spans="1:7" ht="16.5" customHeight="1" x14ac:dyDescent="0.25">
      <c r="A16" s="37"/>
      <c r="B16" s="289"/>
      <c r="C16" s="289"/>
      <c r="D16" s="289"/>
      <c r="E16" s="289"/>
      <c r="F16" s="300" t="s">
        <v>74</v>
      </c>
      <c r="G16" s="300"/>
    </row>
    <row r="17" spans="1:7" ht="24" customHeight="1" x14ac:dyDescent="0.25">
      <c r="A17" s="338" t="s">
        <v>76</v>
      </c>
      <c r="B17" s="340" t="s">
        <v>628</v>
      </c>
      <c r="C17" s="340" t="s">
        <v>629</v>
      </c>
      <c r="D17" s="340" t="s">
        <v>630</v>
      </c>
      <c r="E17" s="340"/>
      <c r="F17" s="340" t="s">
        <v>631</v>
      </c>
      <c r="G17" s="342"/>
    </row>
    <row r="18" spans="1:7" ht="33" customHeight="1" x14ac:dyDescent="0.25">
      <c r="A18" s="339"/>
      <c r="B18" s="341"/>
      <c r="C18" s="341"/>
      <c r="D18" s="150" t="s">
        <v>271</v>
      </c>
      <c r="E18" s="150" t="s">
        <v>632</v>
      </c>
      <c r="F18" s="150" t="s">
        <v>633</v>
      </c>
      <c r="G18" s="151" t="s">
        <v>632</v>
      </c>
    </row>
    <row r="19" spans="1:7" ht="21" x14ac:dyDescent="0.25">
      <c r="A19" s="152" t="s">
        <v>634</v>
      </c>
      <c r="B19" s="43" t="s">
        <v>635</v>
      </c>
      <c r="C19" s="153"/>
      <c r="D19" s="68">
        <f>D20+D23+D26+D30+D31+D32+D33+D34</f>
        <v>277261794397</v>
      </c>
      <c r="E19" s="68">
        <f>E20+E23+E26+E30+E31+E32+E33+E34</f>
        <v>207796961299</v>
      </c>
      <c r="F19" s="68">
        <f>F20+F23+F26+F30+F31+F32+F33+F34</f>
        <v>0</v>
      </c>
      <c r="G19" s="69">
        <f>G20+G23+G26+G30+G31+G32+G33+G34</f>
        <v>0</v>
      </c>
    </row>
    <row r="20" spans="1:7" ht="21" x14ac:dyDescent="0.25">
      <c r="A20" s="154" t="s">
        <v>636</v>
      </c>
      <c r="B20" s="48" t="s">
        <v>637</v>
      </c>
      <c r="C20" s="155"/>
      <c r="D20" s="73">
        <f>D21+D22</f>
        <v>11832201000</v>
      </c>
      <c r="E20" s="73">
        <f>E21+E22</f>
        <v>12942242000</v>
      </c>
      <c r="F20" s="73">
        <f>F21+F22</f>
        <v>0</v>
      </c>
      <c r="G20" s="74">
        <f>G21+G22</f>
        <v>0</v>
      </c>
    </row>
    <row r="21" spans="1:7" ht="21" x14ac:dyDescent="0.25">
      <c r="A21" s="156" t="s">
        <v>638</v>
      </c>
      <c r="B21" s="53" t="s">
        <v>639</v>
      </c>
      <c r="C21" s="157"/>
      <c r="D21" s="78">
        <v>11832201000</v>
      </c>
      <c r="E21" s="78">
        <v>12942242000</v>
      </c>
      <c r="F21" s="78">
        <v>0</v>
      </c>
      <c r="G21" s="79">
        <v>0</v>
      </c>
    </row>
    <row r="22" spans="1:7" ht="21" x14ac:dyDescent="0.25">
      <c r="A22" s="156" t="s">
        <v>640</v>
      </c>
      <c r="B22" s="53" t="s">
        <v>641</v>
      </c>
      <c r="C22" s="157"/>
      <c r="D22" s="78">
        <v>0</v>
      </c>
      <c r="E22" s="78">
        <v>0</v>
      </c>
      <c r="F22" s="78">
        <v>0</v>
      </c>
      <c r="G22" s="79">
        <v>0</v>
      </c>
    </row>
    <row r="23" spans="1:7" ht="21" x14ac:dyDescent="0.25">
      <c r="A23" s="154" t="s">
        <v>642</v>
      </c>
      <c r="B23" s="48" t="s">
        <v>643</v>
      </c>
      <c r="C23" s="155"/>
      <c r="D23" s="73">
        <f>D24+D25</f>
        <v>21921847</v>
      </c>
      <c r="E23" s="73">
        <f>E24+E25</f>
        <v>37182599</v>
      </c>
      <c r="F23" s="73">
        <f>F24+F25</f>
        <v>0</v>
      </c>
      <c r="G23" s="74">
        <f>G24+G25</f>
        <v>0</v>
      </c>
    </row>
    <row r="24" spans="1:7" ht="21" x14ac:dyDescent="0.25">
      <c r="A24" s="156" t="s">
        <v>644</v>
      </c>
      <c r="B24" s="53" t="s">
        <v>645</v>
      </c>
      <c r="C24" s="157"/>
      <c r="D24" s="78">
        <v>21921847</v>
      </c>
      <c r="E24" s="78">
        <v>37182599</v>
      </c>
      <c r="F24" s="78">
        <v>0</v>
      </c>
      <c r="G24" s="79">
        <v>0</v>
      </c>
    </row>
    <row r="25" spans="1:7" ht="21" x14ac:dyDescent="0.25">
      <c r="A25" s="156" t="s">
        <v>646</v>
      </c>
      <c r="B25" s="53" t="s">
        <v>647</v>
      </c>
      <c r="C25" s="157"/>
      <c r="D25" s="78">
        <v>0</v>
      </c>
      <c r="E25" s="78">
        <v>0</v>
      </c>
      <c r="F25" s="78">
        <v>0</v>
      </c>
      <c r="G25" s="79">
        <v>0</v>
      </c>
    </row>
    <row r="26" spans="1:7" ht="21" x14ac:dyDescent="0.25">
      <c r="A26" s="154" t="s">
        <v>648</v>
      </c>
      <c r="B26" s="48" t="s">
        <v>649</v>
      </c>
      <c r="C26" s="155"/>
      <c r="D26" s="73">
        <f>D27+D28+D29</f>
        <v>189784105</v>
      </c>
      <c r="E26" s="73">
        <f>E27+E28+E29</f>
        <v>518934544</v>
      </c>
      <c r="F26" s="73">
        <f>F27+F28+F29</f>
        <v>0</v>
      </c>
      <c r="G26" s="74">
        <f>G27+G28+G29</f>
        <v>0</v>
      </c>
    </row>
    <row r="27" spans="1:7" ht="21" x14ac:dyDescent="0.25">
      <c r="A27" s="156" t="s">
        <v>650</v>
      </c>
      <c r="B27" s="53" t="s">
        <v>651</v>
      </c>
      <c r="C27" s="157"/>
      <c r="D27" s="78">
        <v>-1258528561</v>
      </c>
      <c r="E27" s="78">
        <v>-929378122</v>
      </c>
      <c r="F27" s="78">
        <v>0</v>
      </c>
      <c r="G27" s="79">
        <v>0</v>
      </c>
    </row>
    <row r="28" spans="1:7" ht="21" x14ac:dyDescent="0.25">
      <c r="A28" s="156" t="s">
        <v>652</v>
      </c>
      <c r="B28" s="53" t="s">
        <v>653</v>
      </c>
      <c r="C28" s="157"/>
      <c r="D28" s="78">
        <v>1448312666</v>
      </c>
      <c r="E28" s="78">
        <v>1448312666</v>
      </c>
      <c r="F28" s="78">
        <v>0</v>
      </c>
      <c r="G28" s="79">
        <v>0</v>
      </c>
    </row>
    <row r="29" spans="1:7" ht="31.5" x14ac:dyDescent="0.25">
      <c r="A29" s="156" t="s">
        <v>654</v>
      </c>
      <c r="B29" s="53" t="s">
        <v>655</v>
      </c>
      <c r="C29" s="157"/>
      <c r="D29" s="78">
        <v>0</v>
      </c>
      <c r="E29" s="78">
        <v>0</v>
      </c>
      <c r="F29" s="78">
        <v>0</v>
      </c>
      <c r="G29" s="79">
        <v>0</v>
      </c>
    </row>
    <row r="30" spans="1:7" ht="31.5" x14ac:dyDescent="0.25">
      <c r="A30" s="154" t="s">
        <v>656</v>
      </c>
      <c r="B30" s="48" t="s">
        <v>657</v>
      </c>
      <c r="C30" s="155"/>
      <c r="D30" s="73">
        <v>265217887445</v>
      </c>
      <c r="E30" s="73">
        <v>194298602156</v>
      </c>
      <c r="F30" s="73">
        <v>0</v>
      </c>
      <c r="G30" s="74">
        <v>0</v>
      </c>
    </row>
    <row r="31" spans="1:7" ht="21" x14ac:dyDescent="0.25">
      <c r="A31" s="154" t="s">
        <v>658</v>
      </c>
      <c r="B31" s="48" t="s">
        <v>659</v>
      </c>
      <c r="C31" s="155"/>
      <c r="D31" s="73">
        <v>0</v>
      </c>
      <c r="E31" s="73">
        <v>0</v>
      </c>
      <c r="F31" s="73">
        <v>0</v>
      </c>
      <c r="G31" s="74">
        <v>0</v>
      </c>
    </row>
    <row r="32" spans="1:7" ht="21" x14ac:dyDescent="0.25">
      <c r="A32" s="154" t="s">
        <v>660</v>
      </c>
      <c r="B32" s="48" t="s">
        <v>661</v>
      </c>
      <c r="C32" s="155"/>
      <c r="D32" s="73">
        <v>0</v>
      </c>
      <c r="E32" s="73">
        <v>0</v>
      </c>
      <c r="F32" s="73">
        <v>0</v>
      </c>
      <c r="G32" s="74">
        <v>0</v>
      </c>
    </row>
    <row r="33" spans="1:7" ht="21" x14ac:dyDescent="0.25">
      <c r="A33" s="154" t="s">
        <v>662</v>
      </c>
      <c r="B33" s="48" t="s">
        <v>663</v>
      </c>
      <c r="C33" s="155"/>
      <c r="D33" s="73">
        <v>0</v>
      </c>
      <c r="E33" s="73">
        <v>0</v>
      </c>
      <c r="F33" s="73">
        <v>0</v>
      </c>
      <c r="G33" s="74">
        <v>0</v>
      </c>
    </row>
    <row r="34" spans="1:7" ht="52.5" x14ac:dyDescent="0.25">
      <c r="A34" s="154" t="s">
        <v>664</v>
      </c>
      <c r="B34" s="48" t="s">
        <v>665</v>
      </c>
      <c r="C34" s="155"/>
      <c r="D34" s="73">
        <v>0</v>
      </c>
      <c r="E34" s="73">
        <v>0</v>
      </c>
      <c r="F34" s="73">
        <v>0</v>
      </c>
      <c r="G34" s="74">
        <v>0</v>
      </c>
    </row>
    <row r="35" spans="1:7" ht="21" x14ac:dyDescent="0.25">
      <c r="A35" s="152" t="s">
        <v>666</v>
      </c>
      <c r="B35" s="43" t="s">
        <v>444</v>
      </c>
      <c r="C35" s="153"/>
      <c r="D35" s="68">
        <f>D36+D39+D40+D41+D42</f>
        <v>81441397</v>
      </c>
      <c r="E35" s="68">
        <f>E36+E39+E40+E41+E42</f>
        <v>104906957</v>
      </c>
      <c r="F35" s="68">
        <f>F36+F39+F40+F41+F42</f>
        <v>0</v>
      </c>
      <c r="G35" s="69">
        <f>G36+G39+G40+G41+G42</f>
        <v>0</v>
      </c>
    </row>
    <row r="36" spans="1:7" ht="21" x14ac:dyDescent="0.25">
      <c r="A36" s="154" t="s">
        <v>667</v>
      </c>
      <c r="B36" s="48" t="s">
        <v>447</v>
      </c>
      <c r="C36" s="155"/>
      <c r="D36" s="73">
        <f>D37+D38</f>
        <v>81441397</v>
      </c>
      <c r="E36" s="73">
        <f>E37+E38</f>
        <v>104906957</v>
      </c>
      <c r="F36" s="73">
        <f>F37+F38</f>
        <v>0</v>
      </c>
      <c r="G36" s="74">
        <f>G37+G38</f>
        <v>0</v>
      </c>
    </row>
    <row r="37" spans="1:7" ht="21" x14ac:dyDescent="0.25">
      <c r="A37" s="156" t="s">
        <v>668</v>
      </c>
      <c r="B37" s="53" t="s">
        <v>669</v>
      </c>
      <c r="C37" s="157"/>
      <c r="D37" s="78">
        <v>81441397</v>
      </c>
      <c r="E37" s="78">
        <v>104906957</v>
      </c>
      <c r="F37" s="78">
        <v>0</v>
      </c>
      <c r="G37" s="79">
        <v>0</v>
      </c>
    </row>
    <row r="38" spans="1:7" ht="21" x14ac:dyDescent="0.25">
      <c r="A38" s="156" t="s">
        <v>670</v>
      </c>
      <c r="B38" s="53" t="s">
        <v>671</v>
      </c>
      <c r="C38" s="157"/>
      <c r="D38" s="78">
        <v>0</v>
      </c>
      <c r="E38" s="78">
        <v>0</v>
      </c>
      <c r="F38" s="78">
        <v>0</v>
      </c>
      <c r="G38" s="79">
        <v>0</v>
      </c>
    </row>
    <row r="39" spans="1:7" ht="31.5" x14ac:dyDescent="0.25">
      <c r="A39" s="154" t="s">
        <v>672</v>
      </c>
      <c r="B39" s="48" t="s">
        <v>450</v>
      </c>
      <c r="C39" s="155"/>
      <c r="D39" s="73">
        <v>0</v>
      </c>
      <c r="E39" s="73">
        <v>0</v>
      </c>
      <c r="F39" s="73">
        <v>0</v>
      </c>
      <c r="G39" s="74">
        <v>0</v>
      </c>
    </row>
    <row r="40" spans="1:7" ht="21" x14ac:dyDescent="0.25">
      <c r="A40" s="154" t="s">
        <v>673</v>
      </c>
      <c r="B40" s="48" t="s">
        <v>453</v>
      </c>
      <c r="C40" s="155"/>
      <c r="D40" s="73">
        <v>0</v>
      </c>
      <c r="E40" s="73">
        <v>0</v>
      </c>
      <c r="F40" s="73">
        <v>0</v>
      </c>
      <c r="G40" s="74">
        <v>0</v>
      </c>
    </row>
    <row r="41" spans="1:7" ht="44.25" customHeight="1" x14ac:dyDescent="0.25">
      <c r="A41" s="154" t="s">
        <v>674</v>
      </c>
      <c r="B41" s="48" t="s">
        <v>456</v>
      </c>
      <c r="C41" s="155"/>
      <c r="D41" s="73">
        <v>0</v>
      </c>
      <c r="E41" s="73">
        <v>0</v>
      </c>
      <c r="F41" s="73">
        <v>0</v>
      </c>
      <c r="G41" s="74">
        <v>0</v>
      </c>
    </row>
    <row r="42" spans="1:7" ht="21" x14ac:dyDescent="0.25">
      <c r="A42" s="154" t="s">
        <v>675</v>
      </c>
      <c r="B42" s="48" t="s">
        <v>676</v>
      </c>
      <c r="C42" s="155"/>
      <c r="D42" s="73">
        <v>0</v>
      </c>
      <c r="E42" s="73">
        <v>0</v>
      </c>
      <c r="F42" s="73">
        <v>0</v>
      </c>
      <c r="G42" s="74">
        <v>0</v>
      </c>
    </row>
    <row r="43" spans="1:7" ht="21" x14ac:dyDescent="0.25">
      <c r="A43" s="152" t="s">
        <v>677</v>
      </c>
      <c r="B43" s="43" t="s">
        <v>678</v>
      </c>
      <c r="C43" s="153"/>
      <c r="D43" s="68">
        <f>D44+D45+D50+D51+D52+D53+D56+D57+D58+D59</f>
        <v>4360015523</v>
      </c>
      <c r="E43" s="68">
        <f>E44+E45+E50+E51+E52+E53+E56+E57+E58+E59</f>
        <v>5778434870</v>
      </c>
      <c r="F43" s="68">
        <f>F44+F45+F50+F51+F52+F53+F56+F57+F58+F59</f>
        <v>0</v>
      </c>
      <c r="G43" s="69">
        <f>G44+G45+G50+G51+G52+G53+G56+G57+G58+G59</f>
        <v>0</v>
      </c>
    </row>
    <row r="44" spans="1:7" ht="21" x14ac:dyDescent="0.25">
      <c r="A44" s="154" t="s">
        <v>679</v>
      </c>
      <c r="B44" s="48" t="s">
        <v>680</v>
      </c>
      <c r="C44" s="155"/>
      <c r="D44" s="73">
        <v>3417049492</v>
      </c>
      <c r="E44" s="73">
        <v>4430779210</v>
      </c>
      <c r="F44" s="73">
        <v>0</v>
      </c>
      <c r="G44" s="74">
        <v>0</v>
      </c>
    </row>
    <row r="45" spans="1:7" ht="21" x14ac:dyDescent="0.25">
      <c r="A45" s="154" t="s">
        <v>681</v>
      </c>
      <c r="B45" s="48" t="s">
        <v>682</v>
      </c>
      <c r="C45" s="155"/>
      <c r="D45" s="73">
        <f>D46+D47+D48+D49</f>
        <v>131412396</v>
      </c>
      <c r="E45" s="73">
        <f>E46+E47+E48+E49</f>
        <v>169652103</v>
      </c>
      <c r="F45" s="73">
        <f>F46+F47+F48+F49</f>
        <v>0</v>
      </c>
      <c r="G45" s="74">
        <f>G46+G47+G48+G49</f>
        <v>0</v>
      </c>
    </row>
    <row r="46" spans="1:7" ht="21" x14ac:dyDescent="0.25">
      <c r="A46" s="156" t="s">
        <v>683</v>
      </c>
      <c r="B46" s="53" t="s">
        <v>684</v>
      </c>
      <c r="C46" s="157"/>
      <c r="D46" s="78">
        <v>85426238</v>
      </c>
      <c r="E46" s="78">
        <v>117531154</v>
      </c>
      <c r="F46" s="78">
        <v>0</v>
      </c>
      <c r="G46" s="79">
        <v>0</v>
      </c>
    </row>
    <row r="47" spans="1:7" ht="21" x14ac:dyDescent="0.25">
      <c r="A47" s="156" t="s">
        <v>685</v>
      </c>
      <c r="B47" s="53" t="s">
        <v>686</v>
      </c>
      <c r="C47" s="157"/>
      <c r="D47" s="78">
        <v>3500000</v>
      </c>
      <c r="E47" s="78">
        <v>5700000</v>
      </c>
      <c r="F47" s="78">
        <v>0</v>
      </c>
      <c r="G47" s="79">
        <v>0</v>
      </c>
    </row>
    <row r="48" spans="1:7" ht="21" x14ac:dyDescent="0.25">
      <c r="A48" s="156" t="s">
        <v>687</v>
      </c>
      <c r="B48" s="53" t="s">
        <v>688</v>
      </c>
      <c r="C48" s="157"/>
      <c r="D48" s="78">
        <v>42486158</v>
      </c>
      <c r="E48" s="78">
        <v>46420949</v>
      </c>
      <c r="F48" s="78">
        <v>0</v>
      </c>
      <c r="G48" s="79">
        <v>0</v>
      </c>
    </row>
    <row r="49" spans="1:7" ht="42" x14ac:dyDescent="0.25">
      <c r="A49" s="156" t="s">
        <v>689</v>
      </c>
      <c r="B49" s="53" t="s">
        <v>690</v>
      </c>
      <c r="C49" s="157"/>
      <c r="D49" s="78">
        <v>0</v>
      </c>
      <c r="E49" s="78">
        <v>0</v>
      </c>
      <c r="F49" s="78">
        <v>0</v>
      </c>
      <c r="G49" s="79">
        <v>0</v>
      </c>
    </row>
    <row r="50" spans="1:7" ht="21" x14ac:dyDescent="0.25">
      <c r="A50" s="154" t="s">
        <v>691</v>
      </c>
      <c r="B50" s="48" t="s">
        <v>692</v>
      </c>
      <c r="C50" s="155"/>
      <c r="D50" s="73">
        <v>187937718</v>
      </c>
      <c r="E50" s="73">
        <v>258910668</v>
      </c>
      <c r="F50" s="73">
        <v>0</v>
      </c>
      <c r="G50" s="74">
        <v>0</v>
      </c>
    </row>
    <row r="51" spans="1:7" ht="21" x14ac:dyDescent="0.25">
      <c r="A51" s="154" t="s">
        <v>693</v>
      </c>
      <c r="B51" s="48" t="s">
        <v>694</v>
      </c>
      <c r="C51" s="155"/>
      <c r="D51" s="73">
        <v>93968865</v>
      </c>
      <c r="E51" s="73">
        <v>138786100</v>
      </c>
      <c r="F51" s="73">
        <v>0</v>
      </c>
      <c r="G51" s="74">
        <v>0</v>
      </c>
    </row>
    <row r="52" spans="1:7" ht="21" x14ac:dyDescent="0.25">
      <c r="A52" s="154" t="s">
        <v>695</v>
      </c>
      <c r="B52" s="48" t="s">
        <v>696</v>
      </c>
      <c r="C52" s="155"/>
      <c r="D52" s="73">
        <v>16500008</v>
      </c>
      <c r="E52" s="73">
        <v>25548387</v>
      </c>
      <c r="F52" s="73">
        <v>0</v>
      </c>
      <c r="G52" s="74">
        <v>0</v>
      </c>
    </row>
    <row r="53" spans="1:7" ht="21" x14ac:dyDescent="0.25">
      <c r="A53" s="154" t="s">
        <v>697</v>
      </c>
      <c r="B53" s="48" t="s">
        <v>698</v>
      </c>
      <c r="C53" s="155"/>
      <c r="D53" s="73">
        <f>D54+D55</f>
        <v>429613127</v>
      </c>
      <c r="E53" s="73">
        <f>E54+E55</f>
        <v>576150423</v>
      </c>
      <c r="F53" s="73">
        <f>F54+F55</f>
        <v>0</v>
      </c>
      <c r="G53" s="74">
        <f>G54+G55</f>
        <v>0</v>
      </c>
    </row>
    <row r="54" spans="1:7" ht="31.5" x14ac:dyDescent="0.25">
      <c r="A54" s="156" t="s">
        <v>699</v>
      </c>
      <c r="B54" s="53" t="s">
        <v>700</v>
      </c>
      <c r="C54" s="157"/>
      <c r="D54" s="78">
        <v>213565597</v>
      </c>
      <c r="E54" s="78">
        <v>273856317</v>
      </c>
      <c r="F54" s="78">
        <v>0</v>
      </c>
      <c r="G54" s="79">
        <v>0</v>
      </c>
    </row>
    <row r="55" spans="1:7" ht="21" x14ac:dyDescent="0.25">
      <c r="A55" s="156" t="s">
        <v>701</v>
      </c>
      <c r="B55" s="53" t="s">
        <v>702</v>
      </c>
      <c r="C55" s="157"/>
      <c r="D55" s="78">
        <v>216047530</v>
      </c>
      <c r="E55" s="78">
        <v>302294106</v>
      </c>
      <c r="F55" s="78">
        <v>0</v>
      </c>
      <c r="G55" s="79">
        <v>0</v>
      </c>
    </row>
    <row r="56" spans="1:7" ht="21" x14ac:dyDescent="0.25">
      <c r="A56" s="154" t="s">
        <v>703</v>
      </c>
      <c r="B56" s="48" t="s">
        <v>704</v>
      </c>
      <c r="C56" s="155"/>
      <c r="D56" s="73">
        <v>0</v>
      </c>
      <c r="E56" s="73">
        <v>0</v>
      </c>
      <c r="F56" s="73">
        <v>0</v>
      </c>
      <c r="G56" s="74">
        <v>0</v>
      </c>
    </row>
    <row r="57" spans="1:7" ht="21" x14ac:dyDescent="0.25">
      <c r="A57" s="154" t="s">
        <v>705</v>
      </c>
      <c r="B57" s="48" t="s">
        <v>706</v>
      </c>
      <c r="C57" s="155"/>
      <c r="D57" s="73">
        <v>47962084</v>
      </c>
      <c r="E57" s="73">
        <v>62037913</v>
      </c>
      <c r="F57" s="73">
        <v>0</v>
      </c>
      <c r="G57" s="74">
        <v>0</v>
      </c>
    </row>
    <row r="58" spans="1:7" ht="21" x14ac:dyDescent="0.25">
      <c r="A58" s="154" t="s">
        <v>707</v>
      </c>
      <c r="B58" s="48" t="s">
        <v>708</v>
      </c>
      <c r="C58" s="155"/>
      <c r="D58" s="73">
        <v>0</v>
      </c>
      <c r="E58" s="73">
        <v>0</v>
      </c>
      <c r="F58" s="73">
        <v>0</v>
      </c>
      <c r="G58" s="74">
        <v>0</v>
      </c>
    </row>
    <row r="59" spans="1:7" ht="21" x14ac:dyDescent="0.25">
      <c r="A59" s="154" t="s">
        <v>709</v>
      </c>
      <c r="B59" s="48" t="s">
        <v>710</v>
      </c>
      <c r="C59" s="155"/>
      <c r="D59" s="73">
        <f>D60+D61+D62+D63+D64+D65+D66+D67+D68+D70+D71+D72+D73</f>
        <v>35571833</v>
      </c>
      <c r="E59" s="73">
        <f>E60+E61+E62+E63+E64+E65+E66+E67+E68+E70+E71+E72+E73</f>
        <v>116570066</v>
      </c>
      <c r="F59" s="73">
        <f>F60+F61+F62+F63+F64+F65+F66+F67+F68+F70+F71+F72+F73</f>
        <v>0</v>
      </c>
      <c r="G59" s="74">
        <f>G60+G61+G62+G63+G64+G65+G66+G67+G68+G70+G71+G72+G73</f>
        <v>0</v>
      </c>
    </row>
    <row r="60" spans="1:7" ht="21" x14ac:dyDescent="0.25">
      <c r="A60" s="156" t="s">
        <v>711</v>
      </c>
      <c r="B60" s="53" t="s">
        <v>712</v>
      </c>
      <c r="C60" s="157"/>
      <c r="D60" s="78">
        <v>29257022</v>
      </c>
      <c r="E60" s="78">
        <v>38993008</v>
      </c>
      <c r="F60" s="78">
        <v>0</v>
      </c>
      <c r="G60" s="79">
        <v>0</v>
      </c>
    </row>
    <row r="61" spans="1:7" ht="31.5" x14ac:dyDescent="0.25">
      <c r="A61" s="156" t="s">
        <v>713</v>
      </c>
      <c r="B61" s="53" t="s">
        <v>714</v>
      </c>
      <c r="C61" s="157"/>
      <c r="D61" s="78">
        <v>0</v>
      </c>
      <c r="E61" s="78">
        <v>0</v>
      </c>
      <c r="F61" s="78">
        <v>0</v>
      </c>
      <c r="G61" s="79">
        <v>0</v>
      </c>
    </row>
    <row r="62" spans="1:7" ht="21" x14ac:dyDescent="0.25">
      <c r="A62" s="156" t="s">
        <v>715</v>
      </c>
      <c r="B62" s="53" t="s">
        <v>716</v>
      </c>
      <c r="C62" s="157"/>
      <c r="D62" s="78">
        <v>0</v>
      </c>
      <c r="E62" s="78">
        <v>0</v>
      </c>
      <c r="F62" s="78">
        <v>0</v>
      </c>
      <c r="G62" s="79">
        <v>0</v>
      </c>
    </row>
    <row r="63" spans="1:7" ht="21" x14ac:dyDescent="0.25">
      <c r="A63" s="156" t="s">
        <v>717</v>
      </c>
      <c r="B63" s="53" t="s">
        <v>718</v>
      </c>
      <c r="C63" s="157"/>
      <c r="D63" s="78">
        <v>0</v>
      </c>
      <c r="E63" s="78">
        <v>0</v>
      </c>
      <c r="F63" s="78">
        <v>0</v>
      </c>
      <c r="G63" s="79">
        <v>0</v>
      </c>
    </row>
    <row r="64" spans="1:7" ht="21" x14ac:dyDescent="0.25">
      <c r="A64" s="156" t="s">
        <v>327</v>
      </c>
      <c r="B64" s="53" t="s">
        <v>719</v>
      </c>
      <c r="C64" s="157"/>
      <c r="D64" s="78">
        <v>0</v>
      </c>
      <c r="E64" s="78">
        <v>0</v>
      </c>
      <c r="F64" s="78">
        <v>0</v>
      </c>
      <c r="G64" s="79">
        <v>0</v>
      </c>
    </row>
    <row r="65" spans="1:7" ht="21" x14ac:dyDescent="0.25">
      <c r="A65" s="156" t="s">
        <v>720</v>
      </c>
      <c r="B65" s="53" t="s">
        <v>721</v>
      </c>
      <c r="C65" s="157"/>
      <c r="D65" s="78">
        <v>0</v>
      </c>
      <c r="E65" s="78">
        <v>50000000</v>
      </c>
      <c r="F65" s="78">
        <v>0</v>
      </c>
      <c r="G65" s="79">
        <v>0</v>
      </c>
    </row>
    <row r="66" spans="1:7" ht="21" x14ac:dyDescent="0.25">
      <c r="A66" s="156" t="s">
        <v>722</v>
      </c>
      <c r="B66" s="53" t="s">
        <v>723</v>
      </c>
      <c r="C66" s="157"/>
      <c r="D66" s="78">
        <v>1811020</v>
      </c>
      <c r="E66" s="78">
        <v>3562985</v>
      </c>
      <c r="F66" s="78">
        <v>0</v>
      </c>
      <c r="G66" s="79">
        <v>0</v>
      </c>
    </row>
    <row r="67" spans="1:7" ht="21" x14ac:dyDescent="0.25">
      <c r="A67" s="156" t="s">
        <v>358</v>
      </c>
      <c r="B67" s="53" t="s">
        <v>724</v>
      </c>
      <c r="C67" s="157"/>
      <c r="D67" s="78">
        <v>4503791</v>
      </c>
      <c r="E67" s="78">
        <v>6514073</v>
      </c>
      <c r="F67" s="78">
        <v>0</v>
      </c>
      <c r="G67" s="79">
        <v>0</v>
      </c>
    </row>
    <row r="68" spans="1:7" ht="21" x14ac:dyDescent="0.25">
      <c r="A68" s="156" t="s">
        <v>338</v>
      </c>
      <c r="B68" s="53" t="s">
        <v>725</v>
      </c>
      <c r="C68" s="157"/>
      <c r="D68" s="78">
        <v>0</v>
      </c>
      <c r="E68" s="78">
        <v>0</v>
      </c>
      <c r="F68" s="78">
        <v>0</v>
      </c>
      <c r="G68" s="79">
        <v>0</v>
      </c>
    </row>
    <row r="69" spans="1:7" ht="21" x14ac:dyDescent="0.25">
      <c r="A69" s="156" t="s">
        <v>340</v>
      </c>
      <c r="B69" s="53" t="s">
        <v>726</v>
      </c>
      <c r="C69" s="157"/>
      <c r="D69" s="78">
        <v>0</v>
      </c>
      <c r="E69" s="78">
        <v>0</v>
      </c>
      <c r="F69" s="78">
        <v>0</v>
      </c>
      <c r="G69" s="79">
        <v>0</v>
      </c>
    </row>
    <row r="70" spans="1:7" ht="21" x14ac:dyDescent="0.25">
      <c r="A70" s="156" t="s">
        <v>364</v>
      </c>
      <c r="B70" s="53" t="s">
        <v>727</v>
      </c>
      <c r="C70" s="157"/>
      <c r="D70" s="78">
        <v>0</v>
      </c>
      <c r="E70" s="78">
        <v>0</v>
      </c>
      <c r="F70" s="78">
        <v>0</v>
      </c>
      <c r="G70" s="79">
        <v>0</v>
      </c>
    </row>
    <row r="71" spans="1:7" ht="21" x14ac:dyDescent="0.25">
      <c r="A71" s="156" t="s">
        <v>366</v>
      </c>
      <c r="B71" s="53" t="s">
        <v>728</v>
      </c>
      <c r="C71" s="157"/>
      <c r="D71" s="78">
        <v>0</v>
      </c>
      <c r="E71" s="78">
        <v>0</v>
      </c>
      <c r="F71" s="78">
        <v>0</v>
      </c>
      <c r="G71" s="79">
        <v>0</v>
      </c>
    </row>
    <row r="72" spans="1:7" ht="21" x14ac:dyDescent="0.25">
      <c r="A72" s="156" t="s">
        <v>729</v>
      </c>
      <c r="B72" s="53" t="s">
        <v>730</v>
      </c>
      <c r="C72" s="157"/>
      <c r="D72" s="78">
        <v>0</v>
      </c>
      <c r="E72" s="78">
        <v>17500000</v>
      </c>
      <c r="F72" s="78">
        <v>0</v>
      </c>
      <c r="G72" s="79">
        <v>0</v>
      </c>
    </row>
    <row r="73" spans="1:7" ht="21" x14ac:dyDescent="0.25">
      <c r="A73" s="156" t="s">
        <v>731</v>
      </c>
      <c r="B73" s="53" t="s">
        <v>732</v>
      </c>
      <c r="C73" s="157"/>
      <c r="D73" s="78">
        <v>0</v>
      </c>
      <c r="E73" s="78">
        <v>0</v>
      </c>
      <c r="F73" s="78">
        <v>0</v>
      </c>
      <c r="G73" s="79">
        <v>0</v>
      </c>
    </row>
    <row r="74" spans="1:7" ht="31.5" x14ac:dyDescent="0.25">
      <c r="A74" s="152" t="s">
        <v>733</v>
      </c>
      <c r="B74" s="43" t="s">
        <v>734</v>
      </c>
      <c r="C74" s="153"/>
      <c r="D74" s="68">
        <f>D19-D35-D43</f>
        <v>272820337477</v>
      </c>
      <c r="E74" s="68">
        <f>E19-E35-E43</f>
        <v>201913619472</v>
      </c>
      <c r="F74" s="68">
        <f>F19-F35-F43</f>
        <v>0</v>
      </c>
      <c r="G74" s="69">
        <f>G19-G35-G43</f>
        <v>0</v>
      </c>
    </row>
    <row r="75" spans="1:7" ht="21" x14ac:dyDescent="0.25">
      <c r="A75" s="152" t="s">
        <v>735</v>
      </c>
      <c r="B75" s="43" t="s">
        <v>736</v>
      </c>
      <c r="C75" s="153"/>
      <c r="D75" s="68">
        <f>D76-D77</f>
        <v>0</v>
      </c>
      <c r="E75" s="68">
        <f>E76-E77</f>
        <v>0</v>
      </c>
      <c r="F75" s="68">
        <f>F76-F77</f>
        <v>0</v>
      </c>
      <c r="G75" s="69">
        <f>G76-G77</f>
        <v>0</v>
      </c>
    </row>
    <row r="76" spans="1:7" ht="21" x14ac:dyDescent="0.25">
      <c r="A76" s="154" t="s">
        <v>737</v>
      </c>
      <c r="B76" s="48" t="s">
        <v>738</v>
      </c>
      <c r="C76" s="155"/>
      <c r="D76" s="73">
        <v>0</v>
      </c>
      <c r="E76" s="73">
        <v>0</v>
      </c>
      <c r="F76" s="73">
        <v>0</v>
      </c>
      <c r="G76" s="74">
        <v>0</v>
      </c>
    </row>
    <row r="77" spans="1:7" ht="21" x14ac:dyDescent="0.25">
      <c r="A77" s="154" t="s">
        <v>739</v>
      </c>
      <c r="B77" s="48" t="s">
        <v>740</v>
      </c>
      <c r="C77" s="155"/>
      <c r="D77" s="73">
        <v>0</v>
      </c>
      <c r="E77" s="73">
        <v>0</v>
      </c>
      <c r="F77" s="73">
        <v>0</v>
      </c>
      <c r="G77" s="74">
        <v>0</v>
      </c>
    </row>
    <row r="78" spans="1:7" ht="31.5" x14ac:dyDescent="0.25">
      <c r="A78" s="152" t="s">
        <v>741</v>
      </c>
      <c r="B78" s="43" t="s">
        <v>742</v>
      </c>
      <c r="C78" s="153"/>
      <c r="D78" s="68">
        <f>D74+D75</f>
        <v>272820337477</v>
      </c>
      <c r="E78" s="68">
        <f>E74+E75</f>
        <v>201913619472</v>
      </c>
      <c r="F78" s="68">
        <f>F74+F75</f>
        <v>0</v>
      </c>
      <c r="G78" s="69">
        <f>G74+G75</f>
        <v>0</v>
      </c>
    </row>
    <row r="79" spans="1:7" ht="21" x14ac:dyDescent="0.25">
      <c r="A79" s="154" t="s">
        <v>743</v>
      </c>
      <c r="B79" s="48" t="s">
        <v>744</v>
      </c>
      <c r="C79" s="155"/>
      <c r="D79" s="73">
        <v>7602450032</v>
      </c>
      <c r="E79" s="73">
        <v>7615017316</v>
      </c>
      <c r="F79" s="73">
        <v>0</v>
      </c>
      <c r="G79" s="74">
        <v>0</v>
      </c>
    </row>
    <row r="80" spans="1:7" ht="21" x14ac:dyDescent="0.25">
      <c r="A80" s="154" t="s">
        <v>745</v>
      </c>
      <c r="B80" s="48" t="s">
        <v>746</v>
      </c>
      <c r="C80" s="155"/>
      <c r="D80" s="73">
        <v>265217887445</v>
      </c>
      <c r="E80" s="73">
        <v>194298602156</v>
      </c>
      <c r="F80" s="73">
        <v>0</v>
      </c>
      <c r="G80" s="74">
        <v>0</v>
      </c>
    </row>
    <row r="81" spans="1:7" ht="21" x14ac:dyDescent="0.25">
      <c r="A81" s="152" t="s">
        <v>747</v>
      </c>
      <c r="B81" s="43" t="s">
        <v>748</v>
      </c>
      <c r="C81" s="153"/>
      <c r="D81" s="68">
        <v>0</v>
      </c>
      <c r="E81" s="68">
        <v>0</v>
      </c>
      <c r="F81" s="68">
        <v>0</v>
      </c>
      <c r="G81" s="69">
        <v>0</v>
      </c>
    </row>
    <row r="82" spans="1:7" ht="31.5" x14ac:dyDescent="0.25">
      <c r="A82" s="158" t="s">
        <v>749</v>
      </c>
      <c r="B82" s="58" t="s">
        <v>750</v>
      </c>
      <c r="C82" s="159"/>
      <c r="D82" s="87">
        <f>D78</f>
        <v>272820337477</v>
      </c>
      <c r="E82" s="87">
        <f>E78</f>
        <v>201913619472</v>
      </c>
      <c r="F82" s="87">
        <f>F78</f>
        <v>0</v>
      </c>
      <c r="G82" s="160">
        <f>G78</f>
        <v>0</v>
      </c>
    </row>
    <row r="83" spans="1:7" ht="10.5" customHeight="1" x14ac:dyDescent="0.25">
      <c r="A83" s="31"/>
      <c r="B83" s="277"/>
      <c r="C83" s="277"/>
      <c r="D83" s="277"/>
      <c r="E83" s="277"/>
      <c r="F83" s="277"/>
      <c r="G83" s="277"/>
    </row>
    <row r="84" spans="1:7" ht="15" customHeight="1" x14ac:dyDescent="0.25">
      <c r="A84" s="61" t="s">
        <v>751</v>
      </c>
      <c r="B84" s="278" t="s">
        <v>752</v>
      </c>
      <c r="C84" s="278"/>
      <c r="D84" s="278"/>
      <c r="E84" s="278"/>
      <c r="F84" s="335" t="s">
        <v>753</v>
      </c>
      <c r="G84" s="335"/>
    </row>
    <row r="85" spans="1:7" ht="15" customHeight="1" x14ac:dyDescent="0.25">
      <c r="A85" s="161" t="s">
        <v>754</v>
      </c>
      <c r="B85" s="343" t="s">
        <v>754</v>
      </c>
      <c r="C85" s="343"/>
      <c r="D85" s="343"/>
      <c r="E85" s="343"/>
      <c r="F85" s="295" t="s">
        <v>755</v>
      </c>
      <c r="G85" s="295"/>
    </row>
    <row r="86" spans="1:7" ht="29.25" customHeight="1" x14ac:dyDescent="0.25">
      <c r="A86" s="31"/>
      <c r="B86" s="277"/>
      <c r="C86" s="277"/>
      <c r="D86" s="277"/>
      <c r="E86" s="277"/>
      <c r="F86" s="277"/>
      <c r="G86" s="277"/>
    </row>
    <row r="87" spans="1:7" ht="29.25" customHeight="1" x14ac:dyDescent="0.25">
      <c r="A87" s="31"/>
      <c r="B87" s="277"/>
      <c r="C87" s="277"/>
      <c r="D87" s="277"/>
      <c r="E87" s="277"/>
      <c r="F87" s="277"/>
      <c r="G87" s="277"/>
    </row>
    <row r="88" spans="1:7" ht="29.25" customHeight="1" x14ac:dyDescent="0.25"/>
    <row r="90" spans="1:7" ht="15" customHeight="1" x14ac:dyDescent="0.25">
      <c r="A90" s="61" t="s">
        <v>977</v>
      </c>
      <c r="B90" s="278" t="s">
        <v>1191</v>
      </c>
      <c r="C90" s="278"/>
      <c r="D90" s="278"/>
      <c r="E90" s="278"/>
      <c r="F90" s="335" t="s">
        <v>266</v>
      </c>
      <c r="G90" s="335"/>
    </row>
  </sheetData>
  <mergeCells count="43">
    <mergeCell ref="B86:C86"/>
    <mergeCell ref="D86:E86"/>
    <mergeCell ref="F86:G86"/>
    <mergeCell ref="B87:C87"/>
    <mergeCell ref="D87:E87"/>
    <mergeCell ref="F87:G87"/>
    <mergeCell ref="B85:E85"/>
    <mergeCell ref="F85:G85"/>
    <mergeCell ref="B14:G14"/>
    <mergeCell ref="B15:G15"/>
    <mergeCell ref="B16:C16"/>
    <mergeCell ref="D16:E16"/>
    <mergeCell ref="F16:G16"/>
    <mergeCell ref="B83:C83"/>
    <mergeCell ref="D83:E83"/>
    <mergeCell ref="F83:G83"/>
    <mergeCell ref="B84:E84"/>
    <mergeCell ref="F84:G84"/>
    <mergeCell ref="B9:G9"/>
    <mergeCell ref="B10:G10"/>
    <mergeCell ref="B11:G11"/>
    <mergeCell ref="B12:G12"/>
    <mergeCell ref="A17:A18"/>
    <mergeCell ref="B17:B18"/>
    <mergeCell ref="C17:C18"/>
    <mergeCell ref="D17:E17"/>
    <mergeCell ref="F17:G17"/>
    <mergeCell ref="B90:E90"/>
    <mergeCell ref="F90:G90"/>
    <mergeCell ref="B1:C1"/>
    <mergeCell ref="D1:G1"/>
    <mergeCell ref="A2:G2"/>
    <mergeCell ref="B3:C3"/>
    <mergeCell ref="D3:E3"/>
    <mergeCell ref="F3:G3"/>
    <mergeCell ref="B13:G13"/>
    <mergeCell ref="A4:G4"/>
    <mergeCell ref="A5:G5"/>
    <mergeCell ref="A6:G6"/>
    <mergeCell ref="B7:C7"/>
    <mergeCell ref="D7:E7"/>
    <mergeCell ref="F7:G7"/>
    <mergeCell ref="B8:G8"/>
  </mergeCells>
  <printOptions horizontalCentered="1"/>
  <pageMargins left="0" right="0" top="0.38" bottom="0.32" header="0.33" footer="0.28000000000000003"/>
  <pageSetup paperSize="9" scale="78"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2"/>
  <sheetViews>
    <sheetView showGridLines="0" showZeros="0" showOutlineSymbols="0" view="pageBreakPreview" zoomScaleNormal="100" zoomScaleSheetLayoutView="100" workbookViewId="0">
      <selection activeCell="E132" sqref="A1:F132"/>
    </sheetView>
  </sheetViews>
  <sheetFormatPr defaultRowHeight="15" x14ac:dyDescent="0.25"/>
  <cols>
    <col min="1" max="1" width="5.85546875" style="30" customWidth="1"/>
    <col min="2" max="2" width="44.140625" style="30" customWidth="1"/>
    <col min="3" max="3" width="8" style="30" customWidth="1"/>
    <col min="4" max="4" width="7.28515625" style="30" customWidth="1"/>
    <col min="5" max="6" width="18" style="409" customWidth="1"/>
    <col min="7" max="16384" width="9.140625" style="30"/>
  </cols>
  <sheetData>
    <row r="1" spans="1:6" ht="29.25" customHeight="1" x14ac:dyDescent="0.25">
      <c r="A1" s="277"/>
      <c r="B1" s="277"/>
      <c r="C1" s="278" t="s">
        <v>756</v>
      </c>
      <c r="D1" s="278"/>
      <c r="E1" s="278"/>
      <c r="F1" s="278"/>
    </row>
    <row r="2" spans="1:6" ht="24" customHeight="1" x14ac:dyDescent="0.25">
      <c r="A2" s="279" t="s">
        <v>624</v>
      </c>
      <c r="B2" s="279"/>
      <c r="C2" s="279"/>
      <c r="D2" s="279"/>
      <c r="E2" s="279"/>
      <c r="F2" s="279"/>
    </row>
    <row r="3" spans="1:6" ht="3.75" customHeight="1" x14ac:dyDescent="0.25">
      <c r="A3" s="31"/>
      <c r="B3" s="31"/>
      <c r="C3" s="31"/>
      <c r="D3" s="31"/>
      <c r="E3" s="395"/>
      <c r="F3" s="395"/>
    </row>
    <row r="4" spans="1:6" ht="25.5" customHeight="1" x14ac:dyDescent="0.25">
      <c r="A4" s="294" t="s">
        <v>757</v>
      </c>
      <c r="B4" s="294"/>
      <c r="C4" s="294"/>
      <c r="D4" s="294"/>
      <c r="E4" s="294"/>
      <c r="F4" s="294"/>
    </row>
    <row r="5" spans="1:6" ht="11.25" customHeight="1" x14ac:dyDescent="0.25">
      <c r="A5" s="303" t="s">
        <v>415</v>
      </c>
      <c r="B5" s="303"/>
      <c r="C5" s="303"/>
      <c r="D5" s="303"/>
      <c r="E5" s="303"/>
      <c r="F5" s="303"/>
    </row>
    <row r="6" spans="1:6" ht="5.25" customHeight="1" x14ac:dyDescent="0.25">
      <c r="A6" s="31"/>
      <c r="B6" s="31"/>
      <c r="C6" s="162"/>
      <c r="D6" s="31"/>
      <c r="E6" s="395"/>
      <c r="F6" s="395"/>
    </row>
    <row r="7" spans="1:6" ht="4.5" customHeight="1" x14ac:dyDescent="0.25">
      <c r="A7" s="31"/>
      <c r="B7" s="31"/>
      <c r="C7" s="31"/>
      <c r="D7" s="31"/>
      <c r="E7" s="395"/>
      <c r="F7" s="395"/>
    </row>
    <row r="8" spans="1:6" ht="12.75" customHeight="1" x14ac:dyDescent="0.25">
      <c r="A8" s="288" t="s">
        <v>4</v>
      </c>
      <c r="B8" s="288"/>
      <c r="C8" s="288" t="s">
        <v>61</v>
      </c>
      <c r="D8" s="288"/>
      <c r="E8" s="288"/>
      <c r="F8" s="288"/>
    </row>
    <row r="9" spans="1:6" ht="12.75" customHeight="1" x14ac:dyDescent="0.25">
      <c r="A9" s="296" t="s">
        <v>6</v>
      </c>
      <c r="B9" s="296"/>
      <c r="C9" s="296" t="s">
        <v>7</v>
      </c>
      <c r="D9" s="296"/>
      <c r="E9" s="296"/>
      <c r="F9" s="296"/>
    </row>
    <row r="10" spans="1:6" ht="12.75" customHeight="1" x14ac:dyDescent="0.25">
      <c r="A10" s="288" t="s">
        <v>8</v>
      </c>
      <c r="B10" s="288"/>
      <c r="C10" s="288" t="s">
        <v>64</v>
      </c>
      <c r="D10" s="288"/>
      <c r="E10" s="288"/>
      <c r="F10" s="288"/>
    </row>
    <row r="11" spans="1:6" ht="12.75" customHeight="1" x14ac:dyDescent="0.25">
      <c r="A11" s="296" t="s">
        <v>65</v>
      </c>
      <c r="B11" s="296"/>
      <c r="C11" s="296" t="s">
        <v>66</v>
      </c>
      <c r="D11" s="296"/>
      <c r="E11" s="296"/>
      <c r="F11" s="296"/>
    </row>
    <row r="12" spans="1:6" ht="12.75" customHeight="1" x14ac:dyDescent="0.25">
      <c r="A12" s="288" t="s">
        <v>12</v>
      </c>
      <c r="B12" s="288"/>
      <c r="C12" s="288" t="s">
        <v>68</v>
      </c>
      <c r="D12" s="288"/>
      <c r="E12" s="288"/>
      <c r="F12" s="288"/>
    </row>
    <row r="13" spans="1:6" ht="12.75" customHeight="1" x14ac:dyDescent="0.25">
      <c r="A13" s="296" t="s">
        <v>69</v>
      </c>
      <c r="B13" s="296"/>
      <c r="C13" s="296" t="s">
        <v>70</v>
      </c>
      <c r="D13" s="296"/>
      <c r="E13" s="296"/>
      <c r="F13" s="296"/>
    </row>
    <row r="14" spans="1:6" ht="12.75" customHeight="1" x14ac:dyDescent="0.25">
      <c r="A14" s="288" t="s">
        <v>16</v>
      </c>
      <c r="B14" s="288"/>
      <c r="C14" s="297">
        <v>44119</v>
      </c>
      <c r="D14" s="288"/>
      <c r="E14" s="288"/>
      <c r="F14" s="288"/>
    </row>
    <row r="15" spans="1:6" ht="12.75" customHeight="1" x14ac:dyDescent="0.25">
      <c r="A15" s="296" t="s">
        <v>17</v>
      </c>
      <c r="B15" s="296"/>
      <c r="C15" s="298">
        <v>44119</v>
      </c>
      <c r="D15" s="296"/>
      <c r="E15" s="296"/>
      <c r="F15" s="296"/>
    </row>
    <row r="16" spans="1:6" ht="12.75" customHeight="1" x14ac:dyDescent="0.25">
      <c r="A16" s="37"/>
      <c r="B16" s="163"/>
      <c r="C16" s="37"/>
      <c r="D16" s="37"/>
      <c r="E16" s="396"/>
      <c r="F16" s="397" t="s">
        <v>74</v>
      </c>
    </row>
    <row r="17" spans="1:6" ht="31.5" x14ac:dyDescent="0.25">
      <c r="A17" s="38" t="s">
        <v>418</v>
      </c>
      <c r="B17" s="39" t="s">
        <v>758</v>
      </c>
      <c r="C17" s="39" t="s">
        <v>628</v>
      </c>
      <c r="D17" s="39" t="s">
        <v>759</v>
      </c>
      <c r="E17" s="398" t="s">
        <v>59</v>
      </c>
      <c r="F17" s="399" t="s">
        <v>78</v>
      </c>
    </row>
    <row r="18" spans="1:6" ht="21" x14ac:dyDescent="0.25">
      <c r="A18" s="164" t="s">
        <v>80</v>
      </c>
      <c r="B18" s="165" t="s">
        <v>760</v>
      </c>
      <c r="C18" s="166" t="s">
        <v>80</v>
      </c>
      <c r="D18" s="166"/>
      <c r="E18" s="400">
        <v>0</v>
      </c>
      <c r="F18" s="401">
        <v>0</v>
      </c>
    </row>
    <row r="19" spans="1:6" ht="21" x14ac:dyDescent="0.25">
      <c r="A19" s="164" t="s">
        <v>60</v>
      </c>
      <c r="B19" s="165" t="s">
        <v>761</v>
      </c>
      <c r="C19" s="166" t="s">
        <v>762</v>
      </c>
      <c r="D19" s="166"/>
      <c r="E19" s="400">
        <f>E20+E25+E26</f>
        <v>14866265764</v>
      </c>
      <c r="F19" s="401">
        <f>F20+F25+F26</f>
        <v>8902189543</v>
      </c>
    </row>
    <row r="20" spans="1:6" ht="21" x14ac:dyDescent="0.25">
      <c r="A20" s="167" t="s">
        <v>763</v>
      </c>
      <c r="B20" s="168" t="s">
        <v>764</v>
      </c>
      <c r="C20" s="169" t="s">
        <v>765</v>
      </c>
      <c r="D20" s="169"/>
      <c r="E20" s="234">
        <f>E21+E22+E23+E24</f>
        <v>1328738761</v>
      </c>
      <c r="F20" s="235">
        <f>F21+F22+F23+F24</f>
        <v>3328854708</v>
      </c>
    </row>
    <row r="21" spans="1:6" ht="21" x14ac:dyDescent="0.25">
      <c r="A21" s="170"/>
      <c r="B21" s="171" t="s">
        <v>766</v>
      </c>
      <c r="C21" s="172" t="s">
        <v>767</v>
      </c>
      <c r="D21" s="172"/>
      <c r="E21" s="402">
        <v>0</v>
      </c>
      <c r="F21" s="403">
        <v>0</v>
      </c>
    </row>
    <row r="22" spans="1:6" ht="21" x14ac:dyDescent="0.25">
      <c r="A22" s="170"/>
      <c r="B22" s="171" t="s">
        <v>92</v>
      </c>
      <c r="C22" s="172" t="s">
        <v>768</v>
      </c>
      <c r="D22" s="172"/>
      <c r="E22" s="402">
        <v>0</v>
      </c>
      <c r="F22" s="403">
        <v>0</v>
      </c>
    </row>
    <row r="23" spans="1:6" ht="21" x14ac:dyDescent="0.25">
      <c r="A23" s="170"/>
      <c r="B23" s="171" t="s">
        <v>94</v>
      </c>
      <c r="C23" s="172" t="s">
        <v>769</v>
      </c>
      <c r="D23" s="172"/>
      <c r="E23" s="402">
        <v>1328738761</v>
      </c>
      <c r="F23" s="403">
        <v>3328854708</v>
      </c>
    </row>
    <row r="24" spans="1:6" ht="21" x14ac:dyDescent="0.25">
      <c r="A24" s="170"/>
      <c r="B24" s="171" t="s">
        <v>770</v>
      </c>
      <c r="C24" s="172" t="s">
        <v>771</v>
      </c>
      <c r="D24" s="172"/>
      <c r="E24" s="402">
        <v>0</v>
      </c>
      <c r="F24" s="403">
        <v>0</v>
      </c>
    </row>
    <row r="25" spans="1:6" ht="21" x14ac:dyDescent="0.25">
      <c r="A25" s="167" t="s">
        <v>772</v>
      </c>
      <c r="B25" s="168" t="s">
        <v>773</v>
      </c>
      <c r="C25" s="169" t="s">
        <v>774</v>
      </c>
      <c r="D25" s="169"/>
      <c r="E25" s="234">
        <v>13500000000</v>
      </c>
      <c r="F25" s="235">
        <v>5500000000</v>
      </c>
    </row>
    <row r="26" spans="1:6" ht="21" x14ac:dyDescent="0.25">
      <c r="A26" s="167" t="s">
        <v>775</v>
      </c>
      <c r="B26" s="168" t="s">
        <v>776</v>
      </c>
      <c r="C26" s="169" t="s">
        <v>777</v>
      </c>
      <c r="D26" s="169"/>
      <c r="E26" s="234">
        <v>37527003</v>
      </c>
      <c r="F26" s="235">
        <v>73334835</v>
      </c>
    </row>
    <row r="27" spans="1:6" ht="21" x14ac:dyDescent="0.25">
      <c r="A27" s="164" t="s">
        <v>62</v>
      </c>
      <c r="B27" s="165" t="s">
        <v>778</v>
      </c>
      <c r="C27" s="166" t="s">
        <v>779</v>
      </c>
      <c r="D27" s="166"/>
      <c r="E27" s="400">
        <f>E28-E38</f>
        <v>2232023736450</v>
      </c>
      <c r="F27" s="401">
        <f>F28-F38</f>
        <v>1354579889250</v>
      </c>
    </row>
    <row r="28" spans="1:6" ht="21" x14ac:dyDescent="0.25">
      <c r="A28" s="167" t="s">
        <v>780</v>
      </c>
      <c r="B28" s="168" t="s">
        <v>781</v>
      </c>
      <c r="C28" s="169" t="s">
        <v>782</v>
      </c>
      <c r="D28" s="169"/>
      <c r="E28" s="234">
        <f>E29+E30+E31+E32+E33+E34+E35+E36+E37</f>
        <v>2232023736450</v>
      </c>
      <c r="F28" s="235">
        <f>F29+F30+F31+F32+F33+F34+F35+F36+F37</f>
        <v>1354579889250</v>
      </c>
    </row>
    <row r="29" spans="1:6" ht="21" x14ac:dyDescent="0.25">
      <c r="A29" s="170"/>
      <c r="B29" s="171" t="s">
        <v>783</v>
      </c>
      <c r="C29" s="172" t="s">
        <v>784</v>
      </c>
      <c r="D29" s="172"/>
      <c r="E29" s="402">
        <v>2232023736450</v>
      </c>
      <c r="F29" s="403">
        <v>1354579889250</v>
      </c>
    </row>
    <row r="30" spans="1:6" ht="21" x14ac:dyDescent="0.25">
      <c r="A30" s="170"/>
      <c r="B30" s="171" t="s">
        <v>785</v>
      </c>
      <c r="C30" s="172" t="s">
        <v>786</v>
      </c>
      <c r="D30" s="172"/>
      <c r="E30" s="402">
        <v>0</v>
      </c>
      <c r="F30" s="403">
        <v>0</v>
      </c>
    </row>
    <row r="31" spans="1:6" ht="21" x14ac:dyDescent="0.25">
      <c r="A31" s="170"/>
      <c r="B31" s="171" t="s">
        <v>787</v>
      </c>
      <c r="C31" s="172" t="s">
        <v>788</v>
      </c>
      <c r="D31" s="172"/>
      <c r="E31" s="402">
        <v>0</v>
      </c>
      <c r="F31" s="403">
        <v>0</v>
      </c>
    </row>
    <row r="32" spans="1:6" ht="21" x14ac:dyDescent="0.25">
      <c r="A32" s="170"/>
      <c r="B32" s="171" t="s">
        <v>789</v>
      </c>
      <c r="C32" s="172" t="s">
        <v>790</v>
      </c>
      <c r="D32" s="172"/>
      <c r="E32" s="402">
        <v>0</v>
      </c>
      <c r="F32" s="403">
        <v>0</v>
      </c>
    </row>
    <row r="33" spans="1:6" ht="21" x14ac:dyDescent="0.25">
      <c r="A33" s="170"/>
      <c r="B33" s="171" t="s">
        <v>791</v>
      </c>
      <c r="C33" s="172" t="s">
        <v>792</v>
      </c>
      <c r="D33" s="172"/>
      <c r="E33" s="402">
        <v>0</v>
      </c>
      <c r="F33" s="403">
        <v>0</v>
      </c>
    </row>
    <row r="34" spans="1:6" ht="21" x14ac:dyDescent="0.25">
      <c r="A34" s="170"/>
      <c r="B34" s="171" t="s">
        <v>112</v>
      </c>
      <c r="C34" s="172" t="s">
        <v>793</v>
      </c>
      <c r="D34" s="172"/>
      <c r="E34" s="402">
        <v>0</v>
      </c>
      <c r="F34" s="403">
        <v>0</v>
      </c>
    </row>
    <row r="35" spans="1:6" ht="21" x14ac:dyDescent="0.25">
      <c r="A35" s="170"/>
      <c r="B35" s="171" t="s">
        <v>471</v>
      </c>
      <c r="C35" s="172" t="s">
        <v>794</v>
      </c>
      <c r="D35" s="172"/>
      <c r="E35" s="402">
        <v>0</v>
      </c>
      <c r="F35" s="403">
        <v>0</v>
      </c>
    </row>
    <row r="36" spans="1:6" ht="21" x14ac:dyDescent="0.25">
      <c r="A36" s="170"/>
      <c r="B36" s="171" t="s">
        <v>116</v>
      </c>
      <c r="C36" s="172" t="s">
        <v>795</v>
      </c>
      <c r="D36" s="172"/>
      <c r="E36" s="402">
        <v>0</v>
      </c>
      <c r="F36" s="403">
        <v>0</v>
      </c>
    </row>
    <row r="37" spans="1:6" ht="21" x14ac:dyDescent="0.25">
      <c r="A37" s="170"/>
      <c r="B37" s="171" t="s">
        <v>796</v>
      </c>
      <c r="C37" s="172" t="s">
        <v>797</v>
      </c>
      <c r="D37" s="172"/>
      <c r="E37" s="402">
        <v>0</v>
      </c>
      <c r="F37" s="403">
        <v>0</v>
      </c>
    </row>
    <row r="38" spans="1:6" ht="21" x14ac:dyDescent="0.25">
      <c r="A38" s="167" t="s">
        <v>798</v>
      </c>
      <c r="B38" s="168" t="s">
        <v>799</v>
      </c>
      <c r="C38" s="169" t="s">
        <v>800</v>
      </c>
      <c r="D38" s="169"/>
      <c r="E38" s="234">
        <v>0</v>
      </c>
      <c r="F38" s="235">
        <v>0</v>
      </c>
    </row>
    <row r="39" spans="1:6" ht="21" x14ac:dyDescent="0.25">
      <c r="A39" s="164" t="s">
        <v>67</v>
      </c>
      <c r="B39" s="165" t="s">
        <v>801</v>
      </c>
      <c r="C39" s="166" t="s">
        <v>802</v>
      </c>
      <c r="D39" s="166"/>
      <c r="E39" s="400">
        <f>E40+E42+E56-E64</f>
        <v>1595486703</v>
      </c>
      <c r="F39" s="401">
        <f>F40+F42+F56-F64</f>
        <v>14671232</v>
      </c>
    </row>
    <row r="40" spans="1:6" ht="21" x14ac:dyDescent="0.25">
      <c r="A40" s="167" t="s">
        <v>803</v>
      </c>
      <c r="B40" s="168" t="s">
        <v>804</v>
      </c>
      <c r="C40" s="169" t="s">
        <v>805</v>
      </c>
      <c r="D40" s="169"/>
      <c r="E40" s="234">
        <v>1581941500</v>
      </c>
      <c r="F40" s="235">
        <v>0</v>
      </c>
    </row>
    <row r="41" spans="1:6" ht="21" x14ac:dyDescent="0.25">
      <c r="A41" s="167"/>
      <c r="B41" s="168" t="s">
        <v>806</v>
      </c>
      <c r="C41" s="169" t="s">
        <v>807</v>
      </c>
      <c r="D41" s="169"/>
      <c r="E41" s="234">
        <v>0</v>
      </c>
      <c r="F41" s="235">
        <v>0</v>
      </c>
    </row>
    <row r="42" spans="1:6" ht="21" x14ac:dyDescent="0.25">
      <c r="A42" s="167" t="s">
        <v>808</v>
      </c>
      <c r="B42" s="168" t="s">
        <v>809</v>
      </c>
      <c r="C42" s="169" t="s">
        <v>810</v>
      </c>
      <c r="D42" s="169"/>
      <c r="E42" s="234">
        <f>E43+E49+E50</f>
        <v>13545203</v>
      </c>
      <c r="F42" s="235">
        <f>F43+F49+F50</f>
        <v>14671232</v>
      </c>
    </row>
    <row r="43" spans="1:6" ht="21" x14ac:dyDescent="0.25">
      <c r="A43" s="167" t="s">
        <v>811</v>
      </c>
      <c r="B43" s="168" t="s">
        <v>812</v>
      </c>
      <c r="C43" s="169" t="s">
        <v>813</v>
      </c>
      <c r="D43" s="169"/>
      <c r="E43" s="234">
        <f>E44+E45+E46+E47+E48</f>
        <v>0</v>
      </c>
      <c r="F43" s="235">
        <f>F44+F45+F46+F47+F48</f>
        <v>0</v>
      </c>
    </row>
    <row r="44" spans="1:6" ht="21" x14ac:dyDescent="0.25">
      <c r="A44" s="170"/>
      <c r="B44" s="171" t="s">
        <v>814</v>
      </c>
      <c r="C44" s="172" t="s">
        <v>815</v>
      </c>
      <c r="D44" s="172"/>
      <c r="E44" s="402">
        <v>0</v>
      </c>
      <c r="F44" s="403">
        <v>0</v>
      </c>
    </row>
    <row r="45" spans="1:6" ht="21" x14ac:dyDescent="0.25">
      <c r="A45" s="170"/>
      <c r="B45" s="171" t="s">
        <v>125</v>
      </c>
      <c r="C45" s="172" t="s">
        <v>816</v>
      </c>
      <c r="D45" s="172"/>
      <c r="E45" s="402">
        <v>0</v>
      </c>
      <c r="F45" s="403">
        <v>0</v>
      </c>
    </row>
    <row r="46" spans="1:6" ht="31.5" x14ac:dyDescent="0.25">
      <c r="A46" s="170"/>
      <c r="B46" s="171" t="s">
        <v>817</v>
      </c>
      <c r="C46" s="172" t="s">
        <v>818</v>
      </c>
      <c r="D46" s="172"/>
      <c r="E46" s="402">
        <v>0</v>
      </c>
      <c r="F46" s="403">
        <v>0</v>
      </c>
    </row>
    <row r="47" spans="1:6" ht="31.5" x14ac:dyDescent="0.25">
      <c r="A47" s="170"/>
      <c r="B47" s="171" t="s">
        <v>132</v>
      </c>
      <c r="C47" s="172" t="s">
        <v>819</v>
      </c>
      <c r="D47" s="172"/>
      <c r="E47" s="402">
        <v>0</v>
      </c>
      <c r="F47" s="403">
        <v>0</v>
      </c>
    </row>
    <row r="48" spans="1:6" ht="21" x14ac:dyDescent="0.25">
      <c r="A48" s="170"/>
      <c r="B48" s="171" t="s">
        <v>820</v>
      </c>
      <c r="C48" s="172" t="s">
        <v>821</v>
      </c>
      <c r="D48" s="172"/>
      <c r="E48" s="402">
        <v>0</v>
      </c>
      <c r="F48" s="403">
        <v>0</v>
      </c>
    </row>
    <row r="49" spans="1:6" ht="31.5" x14ac:dyDescent="0.25">
      <c r="A49" s="167"/>
      <c r="B49" s="168" t="s">
        <v>822</v>
      </c>
      <c r="C49" s="169" t="s">
        <v>823</v>
      </c>
      <c r="D49" s="169"/>
      <c r="E49" s="234">
        <v>0</v>
      </c>
      <c r="F49" s="235">
        <v>0</v>
      </c>
    </row>
    <row r="50" spans="1:6" ht="21" x14ac:dyDescent="0.25">
      <c r="A50" s="167" t="s">
        <v>824</v>
      </c>
      <c r="B50" s="168" t="s">
        <v>825</v>
      </c>
      <c r="C50" s="169" t="s">
        <v>826</v>
      </c>
      <c r="D50" s="169"/>
      <c r="E50" s="234">
        <f>E51+E52+E53+E54+E55</f>
        <v>13545203</v>
      </c>
      <c r="F50" s="235">
        <f>F51+F52+F53+F54+F55</f>
        <v>14671232</v>
      </c>
    </row>
    <row r="51" spans="1:6" ht="21" x14ac:dyDescent="0.25">
      <c r="A51" s="170"/>
      <c r="B51" s="171" t="s">
        <v>827</v>
      </c>
      <c r="C51" s="172" t="s">
        <v>828</v>
      </c>
      <c r="D51" s="172"/>
      <c r="E51" s="402">
        <v>0</v>
      </c>
      <c r="F51" s="403">
        <v>0</v>
      </c>
    </row>
    <row r="52" spans="1:6" ht="21" x14ac:dyDescent="0.25">
      <c r="A52" s="170"/>
      <c r="B52" s="171" t="s">
        <v>829</v>
      </c>
      <c r="C52" s="172" t="s">
        <v>830</v>
      </c>
      <c r="D52" s="172"/>
      <c r="E52" s="402">
        <v>0</v>
      </c>
      <c r="F52" s="403">
        <v>0</v>
      </c>
    </row>
    <row r="53" spans="1:6" ht="31.5" x14ac:dyDescent="0.25">
      <c r="A53" s="170"/>
      <c r="B53" s="171" t="s">
        <v>831</v>
      </c>
      <c r="C53" s="172" t="s">
        <v>832</v>
      </c>
      <c r="D53" s="172"/>
      <c r="E53" s="402">
        <v>13545203</v>
      </c>
      <c r="F53" s="403">
        <v>14671232</v>
      </c>
    </row>
    <row r="54" spans="1:6" ht="31.5" x14ac:dyDescent="0.25">
      <c r="A54" s="170"/>
      <c r="B54" s="171" t="s">
        <v>833</v>
      </c>
      <c r="C54" s="172" t="s">
        <v>834</v>
      </c>
      <c r="D54" s="172"/>
      <c r="E54" s="402">
        <v>0</v>
      </c>
      <c r="F54" s="403">
        <v>0</v>
      </c>
    </row>
    <row r="55" spans="1:6" ht="21" x14ac:dyDescent="0.25">
      <c r="A55" s="170"/>
      <c r="B55" s="171" t="s">
        <v>835</v>
      </c>
      <c r="C55" s="172" t="s">
        <v>836</v>
      </c>
      <c r="D55" s="172"/>
      <c r="E55" s="402">
        <v>0</v>
      </c>
      <c r="F55" s="403">
        <v>0</v>
      </c>
    </row>
    <row r="56" spans="1:6" ht="21" x14ac:dyDescent="0.25">
      <c r="A56" s="167" t="s">
        <v>837</v>
      </c>
      <c r="B56" s="168" t="s">
        <v>838</v>
      </c>
      <c r="C56" s="169" t="s">
        <v>839</v>
      </c>
      <c r="D56" s="169"/>
      <c r="E56" s="234">
        <f>E57+E58+E63</f>
        <v>0</v>
      </c>
      <c r="F56" s="235">
        <f>F57+F58+F63</f>
        <v>0</v>
      </c>
    </row>
    <row r="57" spans="1:6" ht="21" x14ac:dyDescent="0.25">
      <c r="A57" s="170"/>
      <c r="B57" s="171" t="s">
        <v>840</v>
      </c>
      <c r="C57" s="172" t="s">
        <v>841</v>
      </c>
      <c r="D57" s="172"/>
      <c r="E57" s="402">
        <v>0</v>
      </c>
      <c r="F57" s="403">
        <v>0</v>
      </c>
    </row>
    <row r="58" spans="1:6" ht="21" x14ac:dyDescent="0.25">
      <c r="A58" s="170"/>
      <c r="B58" s="171" t="s">
        <v>149</v>
      </c>
      <c r="C58" s="172" t="s">
        <v>842</v>
      </c>
      <c r="D58" s="172"/>
      <c r="E58" s="402">
        <f>E59+E60+E61+E62</f>
        <v>0</v>
      </c>
      <c r="F58" s="403">
        <f>F59+F60+F61+F62</f>
        <v>0</v>
      </c>
    </row>
    <row r="59" spans="1:6" ht="21" x14ac:dyDescent="0.25">
      <c r="A59" s="170"/>
      <c r="B59" s="171" t="s">
        <v>153</v>
      </c>
      <c r="C59" s="172" t="s">
        <v>843</v>
      </c>
      <c r="D59" s="172"/>
      <c r="E59" s="402">
        <v>0</v>
      </c>
      <c r="F59" s="403">
        <v>0</v>
      </c>
    </row>
    <row r="60" spans="1:6" ht="21" x14ac:dyDescent="0.25">
      <c r="A60" s="170"/>
      <c r="B60" s="171" t="s">
        <v>844</v>
      </c>
      <c r="C60" s="172" t="s">
        <v>845</v>
      </c>
      <c r="D60" s="172"/>
      <c r="E60" s="402">
        <v>0</v>
      </c>
      <c r="F60" s="403">
        <v>0</v>
      </c>
    </row>
    <row r="61" spans="1:6" ht="21" x14ac:dyDescent="0.25">
      <c r="A61" s="170"/>
      <c r="B61" s="171" t="s">
        <v>495</v>
      </c>
      <c r="C61" s="172" t="s">
        <v>846</v>
      </c>
      <c r="D61" s="172"/>
      <c r="E61" s="402">
        <v>0</v>
      </c>
      <c r="F61" s="403">
        <v>0</v>
      </c>
    </row>
    <row r="62" spans="1:6" ht="31.5" x14ac:dyDescent="0.25">
      <c r="A62" s="170"/>
      <c r="B62" s="171" t="s">
        <v>497</v>
      </c>
      <c r="C62" s="172" t="s">
        <v>847</v>
      </c>
      <c r="D62" s="172"/>
      <c r="E62" s="402">
        <v>0</v>
      </c>
      <c r="F62" s="403">
        <v>0</v>
      </c>
    </row>
    <row r="63" spans="1:6" ht="21" x14ac:dyDescent="0.25">
      <c r="A63" s="170"/>
      <c r="B63" s="171" t="s">
        <v>146</v>
      </c>
      <c r="C63" s="172" t="s">
        <v>848</v>
      </c>
      <c r="D63" s="172"/>
      <c r="E63" s="402">
        <v>0</v>
      </c>
      <c r="F63" s="403">
        <v>0</v>
      </c>
    </row>
    <row r="64" spans="1:6" ht="21" x14ac:dyDescent="0.25">
      <c r="A64" s="167" t="s">
        <v>849</v>
      </c>
      <c r="B64" s="168" t="s">
        <v>850</v>
      </c>
      <c r="C64" s="169" t="s">
        <v>851</v>
      </c>
      <c r="D64" s="169"/>
      <c r="E64" s="234">
        <v>0</v>
      </c>
      <c r="F64" s="235">
        <v>0</v>
      </c>
    </row>
    <row r="65" spans="1:6" ht="21" x14ac:dyDescent="0.25">
      <c r="A65" s="164"/>
      <c r="B65" s="165" t="s">
        <v>852</v>
      </c>
      <c r="C65" s="166" t="s">
        <v>853</v>
      </c>
      <c r="D65" s="166"/>
      <c r="E65" s="400">
        <f>E19+E27+E39</f>
        <v>2248485488917</v>
      </c>
      <c r="F65" s="401">
        <f>F19+F27+F39</f>
        <v>1363496750025</v>
      </c>
    </row>
    <row r="66" spans="1:6" ht="21" x14ac:dyDescent="0.25">
      <c r="A66" s="164" t="s">
        <v>164</v>
      </c>
      <c r="B66" s="165" t="s">
        <v>854</v>
      </c>
      <c r="C66" s="166" t="s">
        <v>164</v>
      </c>
      <c r="D66" s="166"/>
      <c r="E66" s="400">
        <v>0</v>
      </c>
      <c r="F66" s="401">
        <v>0</v>
      </c>
    </row>
    <row r="67" spans="1:6" ht="21" x14ac:dyDescent="0.25">
      <c r="A67" s="167" t="s">
        <v>60</v>
      </c>
      <c r="B67" s="168" t="s">
        <v>855</v>
      </c>
      <c r="C67" s="169" t="s">
        <v>856</v>
      </c>
      <c r="D67" s="169"/>
      <c r="E67" s="234">
        <v>0</v>
      </c>
      <c r="F67" s="235">
        <v>0</v>
      </c>
    </row>
    <row r="68" spans="1:6" ht="21" x14ac:dyDescent="0.25">
      <c r="A68" s="167"/>
      <c r="B68" s="168" t="s">
        <v>857</v>
      </c>
      <c r="C68" s="169" t="s">
        <v>858</v>
      </c>
      <c r="D68" s="169"/>
      <c r="E68" s="234">
        <v>0</v>
      </c>
      <c r="F68" s="235">
        <v>0</v>
      </c>
    </row>
    <row r="69" spans="1:6" ht="21" x14ac:dyDescent="0.25">
      <c r="A69" s="167"/>
      <c r="B69" s="168" t="s">
        <v>859</v>
      </c>
      <c r="C69" s="169" t="s">
        <v>860</v>
      </c>
      <c r="D69" s="169"/>
      <c r="E69" s="234">
        <v>0</v>
      </c>
      <c r="F69" s="235">
        <v>0</v>
      </c>
    </row>
    <row r="70" spans="1:6" ht="21" x14ac:dyDescent="0.25">
      <c r="A70" s="167" t="s">
        <v>62</v>
      </c>
      <c r="B70" s="168" t="s">
        <v>861</v>
      </c>
      <c r="C70" s="169" t="s">
        <v>862</v>
      </c>
      <c r="D70" s="169"/>
      <c r="E70" s="234">
        <v>0</v>
      </c>
      <c r="F70" s="235">
        <v>0</v>
      </c>
    </row>
    <row r="71" spans="1:6" ht="42" x14ac:dyDescent="0.25">
      <c r="A71" s="167" t="s">
        <v>67</v>
      </c>
      <c r="B71" s="168" t="s">
        <v>863</v>
      </c>
      <c r="C71" s="169" t="s">
        <v>864</v>
      </c>
      <c r="D71" s="169"/>
      <c r="E71" s="234">
        <f>E72+E73</f>
        <v>0</v>
      </c>
      <c r="F71" s="235">
        <f>F72+F73</f>
        <v>0</v>
      </c>
    </row>
    <row r="72" spans="1:6" ht="21" x14ac:dyDescent="0.25">
      <c r="A72" s="170"/>
      <c r="B72" s="171" t="s">
        <v>865</v>
      </c>
      <c r="C72" s="172" t="s">
        <v>866</v>
      </c>
      <c r="D72" s="172"/>
      <c r="E72" s="402">
        <v>0</v>
      </c>
      <c r="F72" s="403">
        <v>0</v>
      </c>
    </row>
    <row r="73" spans="1:6" ht="31.5" x14ac:dyDescent="0.25">
      <c r="A73" s="170"/>
      <c r="B73" s="171" t="s">
        <v>867</v>
      </c>
      <c r="C73" s="172" t="s">
        <v>868</v>
      </c>
      <c r="D73" s="172"/>
      <c r="E73" s="402">
        <v>0</v>
      </c>
      <c r="F73" s="403">
        <v>0</v>
      </c>
    </row>
    <row r="74" spans="1:6" ht="21" x14ac:dyDescent="0.25">
      <c r="A74" s="167" t="s">
        <v>71</v>
      </c>
      <c r="B74" s="168" t="s">
        <v>869</v>
      </c>
      <c r="C74" s="169" t="s">
        <v>870</v>
      </c>
      <c r="D74" s="169"/>
      <c r="E74" s="234">
        <v>0</v>
      </c>
      <c r="F74" s="235">
        <v>0</v>
      </c>
    </row>
    <row r="75" spans="1:6" ht="21" x14ac:dyDescent="0.25">
      <c r="A75" s="167" t="s">
        <v>320</v>
      </c>
      <c r="B75" s="168" t="s">
        <v>871</v>
      </c>
      <c r="C75" s="169" t="s">
        <v>872</v>
      </c>
      <c r="D75" s="169"/>
      <c r="E75" s="234">
        <v>0</v>
      </c>
      <c r="F75" s="235">
        <v>0</v>
      </c>
    </row>
    <row r="76" spans="1:6" ht="21" x14ac:dyDescent="0.25">
      <c r="A76" s="167" t="s">
        <v>329</v>
      </c>
      <c r="B76" s="168" t="s">
        <v>873</v>
      </c>
      <c r="C76" s="169" t="s">
        <v>874</v>
      </c>
      <c r="D76" s="169"/>
      <c r="E76" s="234">
        <f>E77+E78+E79+E80+E81+E82+E83</f>
        <v>44593906</v>
      </c>
      <c r="F76" s="235">
        <f>F77+F78+F79+F80+F81+F82+F83</f>
        <v>25563780</v>
      </c>
    </row>
    <row r="77" spans="1:6" ht="21" x14ac:dyDescent="0.25">
      <c r="A77" s="170"/>
      <c r="B77" s="171" t="s">
        <v>875</v>
      </c>
      <c r="C77" s="172" t="s">
        <v>876</v>
      </c>
      <c r="D77" s="172"/>
      <c r="E77" s="402">
        <v>0</v>
      </c>
      <c r="F77" s="403">
        <v>0</v>
      </c>
    </row>
    <row r="78" spans="1:6" ht="21" x14ac:dyDescent="0.25">
      <c r="A78" s="170"/>
      <c r="B78" s="171" t="s">
        <v>877</v>
      </c>
      <c r="C78" s="172" t="s">
        <v>878</v>
      </c>
      <c r="D78" s="172"/>
      <c r="E78" s="402">
        <v>29037913</v>
      </c>
      <c r="F78" s="403">
        <v>14075829</v>
      </c>
    </row>
    <row r="79" spans="1:6" ht="21" x14ac:dyDescent="0.25">
      <c r="A79" s="170"/>
      <c r="B79" s="171" t="s">
        <v>879</v>
      </c>
      <c r="C79" s="172" t="s">
        <v>880</v>
      </c>
      <c r="D79" s="172"/>
      <c r="E79" s="402">
        <v>0</v>
      </c>
      <c r="F79" s="403">
        <v>0</v>
      </c>
    </row>
    <row r="80" spans="1:6" ht="21" x14ac:dyDescent="0.25">
      <c r="A80" s="170"/>
      <c r="B80" s="171" t="s">
        <v>881</v>
      </c>
      <c r="C80" s="172" t="s">
        <v>882</v>
      </c>
      <c r="D80" s="172"/>
      <c r="E80" s="402">
        <v>0</v>
      </c>
      <c r="F80" s="403">
        <v>0</v>
      </c>
    </row>
    <row r="81" spans="1:6" ht="31.5" x14ac:dyDescent="0.25">
      <c r="A81" s="170"/>
      <c r="B81" s="171" t="s">
        <v>883</v>
      </c>
      <c r="C81" s="172" t="s">
        <v>884</v>
      </c>
      <c r="D81" s="172"/>
      <c r="E81" s="402">
        <v>11993008</v>
      </c>
      <c r="F81" s="403">
        <v>9735986</v>
      </c>
    </row>
    <row r="82" spans="1:6" ht="21" x14ac:dyDescent="0.25">
      <c r="A82" s="170"/>
      <c r="B82" s="171" t="s">
        <v>885</v>
      </c>
      <c r="C82" s="172" t="s">
        <v>886</v>
      </c>
      <c r="D82" s="172"/>
      <c r="E82" s="402">
        <v>0</v>
      </c>
      <c r="F82" s="403">
        <v>0</v>
      </c>
    </row>
    <row r="83" spans="1:6" ht="21" x14ac:dyDescent="0.25">
      <c r="A83" s="170"/>
      <c r="B83" s="171" t="s">
        <v>887</v>
      </c>
      <c r="C83" s="172" t="s">
        <v>888</v>
      </c>
      <c r="D83" s="172"/>
      <c r="E83" s="402">
        <v>3562985</v>
      </c>
      <c r="F83" s="403">
        <v>1751965</v>
      </c>
    </row>
    <row r="84" spans="1:6" ht="21" x14ac:dyDescent="0.25">
      <c r="A84" s="167" t="s">
        <v>342</v>
      </c>
      <c r="B84" s="168" t="s">
        <v>889</v>
      </c>
      <c r="C84" s="169" t="s">
        <v>890</v>
      </c>
      <c r="D84" s="169"/>
      <c r="E84" s="234">
        <v>0</v>
      </c>
      <c r="F84" s="235">
        <v>0</v>
      </c>
    </row>
    <row r="85" spans="1:6" ht="21" x14ac:dyDescent="0.25">
      <c r="A85" s="167" t="s">
        <v>349</v>
      </c>
      <c r="B85" s="168" t="s">
        <v>891</v>
      </c>
      <c r="C85" s="169" t="s">
        <v>892</v>
      </c>
      <c r="D85" s="169"/>
      <c r="E85" s="234">
        <v>1618848411</v>
      </c>
      <c r="F85" s="235">
        <v>0</v>
      </c>
    </row>
    <row r="86" spans="1:6" ht="21" x14ac:dyDescent="0.25">
      <c r="A86" s="167" t="s">
        <v>441</v>
      </c>
      <c r="B86" s="168" t="s">
        <v>893</v>
      </c>
      <c r="C86" s="169" t="s">
        <v>894</v>
      </c>
      <c r="D86" s="169"/>
      <c r="E86" s="234">
        <f>E87+E88+E93+E94+E95+E96+E97</f>
        <v>1943050629</v>
      </c>
      <c r="F86" s="235">
        <f>F87+F88+F93+F94+F95+F96+F97</f>
        <v>983387067</v>
      </c>
    </row>
    <row r="87" spans="1:6" ht="21" x14ac:dyDescent="0.25">
      <c r="A87" s="170" t="s">
        <v>895</v>
      </c>
      <c r="B87" s="171" t="s">
        <v>896</v>
      </c>
      <c r="C87" s="172" t="s">
        <v>897</v>
      </c>
      <c r="D87" s="172"/>
      <c r="E87" s="402">
        <v>1344848804</v>
      </c>
      <c r="F87" s="403">
        <v>743535790</v>
      </c>
    </row>
    <row r="88" spans="1:6" ht="21" x14ac:dyDescent="0.25">
      <c r="A88" s="170" t="s">
        <v>898</v>
      </c>
      <c r="B88" s="171" t="s">
        <v>899</v>
      </c>
      <c r="C88" s="172" t="s">
        <v>900</v>
      </c>
      <c r="D88" s="172"/>
      <c r="E88" s="402">
        <f>E89+E90+E91</f>
        <v>39621222</v>
      </c>
      <c r="F88" s="403">
        <f>F89+F90+F91</f>
        <v>18788396</v>
      </c>
    </row>
    <row r="89" spans="1:6" ht="21" x14ac:dyDescent="0.25">
      <c r="A89" s="170"/>
      <c r="B89" s="171" t="s">
        <v>901</v>
      </c>
      <c r="C89" s="172" t="s">
        <v>902</v>
      </c>
      <c r="D89" s="172"/>
      <c r="E89" s="402">
        <v>33621222</v>
      </c>
      <c r="F89" s="403">
        <v>18588396</v>
      </c>
    </row>
    <row r="90" spans="1:6" ht="21" x14ac:dyDescent="0.25">
      <c r="A90" s="170"/>
      <c r="B90" s="171" t="s">
        <v>903</v>
      </c>
      <c r="C90" s="172" t="s">
        <v>904</v>
      </c>
      <c r="D90" s="172"/>
      <c r="E90" s="402">
        <v>6000000</v>
      </c>
      <c r="F90" s="403">
        <v>200000</v>
      </c>
    </row>
    <row r="91" spans="1:6" ht="21" x14ac:dyDescent="0.25">
      <c r="A91" s="170"/>
      <c r="B91" s="171" t="s">
        <v>905</v>
      </c>
      <c r="C91" s="172" t="s">
        <v>906</v>
      </c>
      <c r="D91" s="172"/>
      <c r="E91" s="402">
        <v>0</v>
      </c>
      <c r="F91" s="403">
        <v>0</v>
      </c>
    </row>
    <row r="92" spans="1:6" ht="42" x14ac:dyDescent="0.25">
      <c r="A92" s="170"/>
      <c r="B92" s="171" t="s">
        <v>907</v>
      </c>
      <c r="C92" s="172" t="s">
        <v>908</v>
      </c>
      <c r="D92" s="172"/>
      <c r="E92" s="402">
        <v>0</v>
      </c>
      <c r="F92" s="403">
        <v>0</v>
      </c>
    </row>
    <row r="93" spans="1:6" ht="21" x14ac:dyDescent="0.25">
      <c r="A93" s="170" t="s">
        <v>909</v>
      </c>
      <c r="B93" s="171" t="s">
        <v>910</v>
      </c>
      <c r="C93" s="172" t="s">
        <v>911</v>
      </c>
      <c r="D93" s="172"/>
      <c r="E93" s="402">
        <v>36983344</v>
      </c>
      <c r="F93" s="403">
        <v>22514985</v>
      </c>
    </row>
    <row r="94" spans="1:6" ht="21" x14ac:dyDescent="0.25">
      <c r="A94" s="170" t="s">
        <v>912</v>
      </c>
      <c r="B94" s="171" t="s">
        <v>913</v>
      </c>
      <c r="C94" s="172" t="s">
        <v>914</v>
      </c>
      <c r="D94" s="172"/>
      <c r="E94" s="402">
        <v>73966684</v>
      </c>
      <c r="F94" s="403">
        <v>42962221</v>
      </c>
    </row>
    <row r="95" spans="1:6" ht="21" x14ac:dyDescent="0.25">
      <c r="A95" s="170" t="s">
        <v>915</v>
      </c>
      <c r="B95" s="171" t="s">
        <v>916</v>
      </c>
      <c r="C95" s="172" t="s">
        <v>917</v>
      </c>
      <c r="D95" s="172"/>
      <c r="E95" s="402">
        <v>16500000</v>
      </c>
      <c r="F95" s="403">
        <v>9048379</v>
      </c>
    </row>
    <row r="96" spans="1:6" ht="31.5" x14ac:dyDescent="0.25">
      <c r="A96" s="170" t="s">
        <v>918</v>
      </c>
      <c r="B96" s="171" t="s">
        <v>919</v>
      </c>
      <c r="C96" s="172" t="s">
        <v>920</v>
      </c>
      <c r="D96" s="172"/>
      <c r="E96" s="402">
        <v>213565597</v>
      </c>
      <c r="F96" s="403">
        <v>60290720</v>
      </c>
    </row>
    <row r="97" spans="1:6" ht="21" x14ac:dyDescent="0.25">
      <c r="A97" s="170" t="s">
        <v>921</v>
      </c>
      <c r="B97" s="171" t="s">
        <v>922</v>
      </c>
      <c r="C97" s="172" t="s">
        <v>923</v>
      </c>
      <c r="D97" s="172"/>
      <c r="E97" s="402">
        <v>217564978</v>
      </c>
      <c r="F97" s="403">
        <v>86246576</v>
      </c>
    </row>
    <row r="98" spans="1:6" ht="21" x14ac:dyDescent="0.25">
      <c r="A98" s="167" t="s">
        <v>444</v>
      </c>
      <c r="B98" s="168" t="s">
        <v>924</v>
      </c>
      <c r="C98" s="169" t="s">
        <v>925</v>
      </c>
      <c r="D98" s="169"/>
      <c r="E98" s="234">
        <f>E99+E100+E101</f>
        <v>0</v>
      </c>
      <c r="F98" s="235">
        <f>F99+F100+F101</f>
        <v>0</v>
      </c>
    </row>
    <row r="99" spans="1:6" ht="21" x14ac:dyDescent="0.25">
      <c r="A99" s="170" t="s">
        <v>926</v>
      </c>
      <c r="B99" s="171" t="s">
        <v>927</v>
      </c>
      <c r="C99" s="172" t="s">
        <v>928</v>
      </c>
      <c r="D99" s="172"/>
      <c r="E99" s="402">
        <v>0</v>
      </c>
      <c r="F99" s="403">
        <v>0</v>
      </c>
    </row>
    <row r="100" spans="1:6" ht="31.5" x14ac:dyDescent="0.25">
      <c r="A100" s="170" t="s">
        <v>929</v>
      </c>
      <c r="B100" s="171" t="s">
        <v>930</v>
      </c>
      <c r="C100" s="172" t="s">
        <v>931</v>
      </c>
      <c r="D100" s="172"/>
      <c r="E100" s="402">
        <v>0</v>
      </c>
      <c r="F100" s="403">
        <v>0</v>
      </c>
    </row>
    <row r="101" spans="1:6" ht="21" x14ac:dyDescent="0.25">
      <c r="A101" s="170" t="s">
        <v>932</v>
      </c>
      <c r="B101" s="171" t="s">
        <v>933</v>
      </c>
      <c r="C101" s="172" t="s">
        <v>934</v>
      </c>
      <c r="D101" s="172"/>
      <c r="E101" s="402">
        <f>E102+E103+E104+E105+E106</f>
        <v>0</v>
      </c>
      <c r="F101" s="403">
        <f>F102+F103+F104+F105+F106</f>
        <v>0</v>
      </c>
    </row>
    <row r="102" spans="1:6" ht="21" x14ac:dyDescent="0.25">
      <c r="A102" s="170"/>
      <c r="B102" s="171" t="s">
        <v>237</v>
      </c>
      <c r="C102" s="172" t="s">
        <v>935</v>
      </c>
      <c r="D102" s="172"/>
      <c r="E102" s="402">
        <v>0</v>
      </c>
      <c r="F102" s="403">
        <v>0</v>
      </c>
    </row>
    <row r="103" spans="1:6" ht="21" x14ac:dyDescent="0.25">
      <c r="A103" s="170"/>
      <c r="B103" s="171" t="s">
        <v>239</v>
      </c>
      <c r="C103" s="172" t="s">
        <v>936</v>
      </c>
      <c r="D103" s="172"/>
      <c r="E103" s="402">
        <v>0</v>
      </c>
      <c r="F103" s="403">
        <v>0</v>
      </c>
    </row>
    <row r="104" spans="1:6" ht="21" x14ac:dyDescent="0.25">
      <c r="A104" s="167"/>
      <c r="B104" s="168" t="s">
        <v>937</v>
      </c>
      <c r="C104" s="169" t="s">
        <v>938</v>
      </c>
      <c r="D104" s="169"/>
      <c r="E104" s="234">
        <v>0</v>
      </c>
      <c r="F104" s="235">
        <v>0</v>
      </c>
    </row>
    <row r="105" spans="1:6" ht="21" x14ac:dyDescent="0.25">
      <c r="A105" s="170"/>
      <c r="B105" s="171" t="s">
        <v>241</v>
      </c>
      <c r="C105" s="172" t="s">
        <v>939</v>
      </c>
      <c r="D105" s="172"/>
      <c r="E105" s="402">
        <v>0</v>
      </c>
      <c r="F105" s="403">
        <v>0</v>
      </c>
    </row>
    <row r="106" spans="1:6" ht="21" x14ac:dyDescent="0.25">
      <c r="A106" s="170"/>
      <c r="B106" s="171" t="s">
        <v>940</v>
      </c>
      <c r="C106" s="172" t="s">
        <v>941</v>
      </c>
      <c r="D106" s="172"/>
      <c r="E106" s="402">
        <v>0</v>
      </c>
      <c r="F106" s="403">
        <v>0</v>
      </c>
    </row>
    <row r="107" spans="1:6" ht="21" x14ac:dyDescent="0.25">
      <c r="A107" s="164"/>
      <c r="B107" s="165" t="s">
        <v>942</v>
      </c>
      <c r="C107" s="166" t="s">
        <v>943</v>
      </c>
      <c r="D107" s="166"/>
      <c r="E107" s="400">
        <f>E67+E70+E71+E74+E75+E76+E84+E85+E86+E98</f>
        <v>3606492946</v>
      </c>
      <c r="F107" s="401">
        <f>F67+F70+F71+F74+F75+F76+F84+F85+F86+F98</f>
        <v>1008950847</v>
      </c>
    </row>
    <row r="108" spans="1:6" ht="31.5" x14ac:dyDescent="0.25">
      <c r="A108" s="164" t="s">
        <v>368</v>
      </c>
      <c r="B108" s="165" t="s">
        <v>944</v>
      </c>
      <c r="C108" s="166" t="s">
        <v>945</v>
      </c>
      <c r="D108" s="166"/>
      <c r="E108" s="400">
        <f>E65-E107</f>
        <v>2244878995971</v>
      </c>
      <c r="F108" s="401">
        <f>F65-F107</f>
        <v>1362487799178</v>
      </c>
    </row>
    <row r="109" spans="1:6" ht="21" x14ac:dyDescent="0.25">
      <c r="A109" s="167" t="s">
        <v>60</v>
      </c>
      <c r="B109" s="168" t="s">
        <v>946</v>
      </c>
      <c r="C109" s="169" t="s">
        <v>947</v>
      </c>
      <c r="D109" s="169"/>
      <c r="E109" s="234">
        <f>E110+E111</f>
        <v>1683000000000</v>
      </c>
      <c r="F109" s="235">
        <f>F110+F111</f>
        <v>1191000000000</v>
      </c>
    </row>
    <row r="110" spans="1:6" ht="21" x14ac:dyDescent="0.25">
      <c r="A110" s="167" t="s">
        <v>763</v>
      </c>
      <c r="B110" s="168" t="s">
        <v>948</v>
      </c>
      <c r="C110" s="169" t="s">
        <v>949</v>
      </c>
      <c r="D110" s="169"/>
      <c r="E110" s="234">
        <v>1714000000000</v>
      </c>
      <c r="F110" s="235">
        <v>1191000000000</v>
      </c>
    </row>
    <row r="111" spans="1:6" ht="21" x14ac:dyDescent="0.25">
      <c r="A111" s="167" t="s">
        <v>772</v>
      </c>
      <c r="B111" s="168" t="s">
        <v>950</v>
      </c>
      <c r="C111" s="169" t="s">
        <v>951</v>
      </c>
      <c r="D111" s="169"/>
      <c r="E111" s="234">
        <v>-31000000000</v>
      </c>
      <c r="F111" s="235">
        <v>0</v>
      </c>
    </row>
    <row r="112" spans="1:6" ht="21" x14ac:dyDescent="0.25">
      <c r="A112" s="167" t="s">
        <v>62</v>
      </c>
      <c r="B112" s="168" t="s">
        <v>952</v>
      </c>
      <c r="C112" s="169" t="s">
        <v>953</v>
      </c>
      <c r="D112" s="169"/>
      <c r="E112" s="234">
        <v>359965376499</v>
      </c>
      <c r="F112" s="235">
        <v>242394517183</v>
      </c>
    </row>
    <row r="113" spans="1:6" ht="21" x14ac:dyDescent="0.25">
      <c r="A113" s="167" t="s">
        <v>67</v>
      </c>
      <c r="B113" s="168" t="s">
        <v>954</v>
      </c>
      <c r="C113" s="169" t="s">
        <v>955</v>
      </c>
      <c r="D113" s="169"/>
      <c r="E113" s="234">
        <f>E114+E115</f>
        <v>201913619472</v>
      </c>
      <c r="F113" s="235">
        <f>F114+F115</f>
        <v>-70906718005</v>
      </c>
    </row>
    <row r="114" spans="1:6" ht="21" x14ac:dyDescent="0.25">
      <c r="A114" s="167" t="s">
        <v>803</v>
      </c>
      <c r="B114" s="168" t="s">
        <v>956</v>
      </c>
      <c r="C114" s="169" t="s">
        <v>957</v>
      </c>
      <c r="D114" s="169"/>
      <c r="E114" s="234">
        <v>-70906718005</v>
      </c>
      <c r="F114" s="235">
        <v>0</v>
      </c>
    </row>
    <row r="115" spans="1:6" ht="21" x14ac:dyDescent="0.25">
      <c r="A115" s="167" t="s">
        <v>808</v>
      </c>
      <c r="B115" s="168" t="s">
        <v>958</v>
      </c>
      <c r="C115" s="169" t="s">
        <v>959</v>
      </c>
      <c r="D115" s="169"/>
      <c r="E115" s="234">
        <v>272820337477</v>
      </c>
      <c r="F115" s="235">
        <v>-70906718005</v>
      </c>
    </row>
    <row r="116" spans="1:6" ht="31.5" x14ac:dyDescent="0.25">
      <c r="A116" s="173" t="s">
        <v>371</v>
      </c>
      <c r="B116" s="174" t="s">
        <v>960</v>
      </c>
      <c r="C116" s="175" t="s">
        <v>961</v>
      </c>
      <c r="D116" s="175"/>
      <c r="E116" s="400">
        <v>13338.55</v>
      </c>
      <c r="F116" s="401">
        <v>11439.86</v>
      </c>
    </row>
    <row r="117" spans="1:6" ht="21" x14ac:dyDescent="0.25">
      <c r="A117" s="164" t="s">
        <v>384</v>
      </c>
      <c r="B117" s="165" t="s">
        <v>962</v>
      </c>
      <c r="C117" s="166" t="s">
        <v>963</v>
      </c>
      <c r="D117" s="166"/>
      <c r="E117" s="400">
        <f>E118+E119</f>
        <v>0</v>
      </c>
      <c r="F117" s="401">
        <f>F118+F119</f>
        <v>0</v>
      </c>
    </row>
    <row r="118" spans="1:6" ht="21" x14ac:dyDescent="0.25">
      <c r="A118" s="167" t="s">
        <v>60</v>
      </c>
      <c r="B118" s="168" t="s">
        <v>964</v>
      </c>
      <c r="C118" s="169" t="s">
        <v>965</v>
      </c>
      <c r="D118" s="169"/>
      <c r="E118" s="234">
        <v>0</v>
      </c>
      <c r="F118" s="235">
        <v>0</v>
      </c>
    </row>
    <row r="119" spans="1:6" ht="31.5" x14ac:dyDescent="0.25">
      <c r="A119" s="167" t="s">
        <v>62</v>
      </c>
      <c r="B119" s="168" t="s">
        <v>966</v>
      </c>
      <c r="C119" s="169" t="s">
        <v>967</v>
      </c>
      <c r="D119" s="169"/>
      <c r="E119" s="234">
        <v>0</v>
      </c>
      <c r="F119" s="235">
        <v>0</v>
      </c>
    </row>
    <row r="120" spans="1:6" ht="31.5" x14ac:dyDescent="0.25">
      <c r="A120" s="164" t="s">
        <v>387</v>
      </c>
      <c r="B120" s="165" t="s">
        <v>968</v>
      </c>
      <c r="C120" s="166" t="s">
        <v>387</v>
      </c>
      <c r="D120" s="166"/>
      <c r="E120" s="400">
        <v>0</v>
      </c>
      <c r="F120" s="401">
        <v>0</v>
      </c>
    </row>
    <row r="121" spans="1:6" ht="21" x14ac:dyDescent="0.25">
      <c r="A121" s="167" t="s">
        <v>60</v>
      </c>
      <c r="B121" s="168" t="s">
        <v>969</v>
      </c>
      <c r="C121" s="169" t="s">
        <v>970</v>
      </c>
      <c r="D121" s="169"/>
      <c r="E121" s="234">
        <v>0</v>
      </c>
      <c r="F121" s="235">
        <v>0</v>
      </c>
    </row>
    <row r="122" spans="1:6" ht="21" x14ac:dyDescent="0.25">
      <c r="A122" s="167" t="s">
        <v>62</v>
      </c>
      <c r="B122" s="168" t="s">
        <v>971</v>
      </c>
      <c r="C122" s="169" t="s">
        <v>972</v>
      </c>
      <c r="D122" s="169"/>
      <c r="E122" s="234">
        <v>0</v>
      </c>
      <c r="F122" s="235">
        <v>0</v>
      </c>
    </row>
    <row r="123" spans="1:6" ht="21" x14ac:dyDescent="0.25">
      <c r="A123" s="167" t="s">
        <v>67</v>
      </c>
      <c r="B123" s="168" t="s">
        <v>973</v>
      </c>
      <c r="C123" s="169" t="s">
        <v>974</v>
      </c>
      <c r="D123" s="169"/>
      <c r="E123" s="234">
        <v>0</v>
      </c>
      <c r="F123" s="235">
        <v>0</v>
      </c>
    </row>
    <row r="124" spans="1:6" ht="21" x14ac:dyDescent="0.25">
      <c r="A124" s="176" t="s">
        <v>71</v>
      </c>
      <c r="B124" s="177" t="s">
        <v>975</v>
      </c>
      <c r="C124" s="178" t="s">
        <v>976</v>
      </c>
      <c r="D124" s="178"/>
      <c r="E124" s="404">
        <v>168300000</v>
      </c>
      <c r="F124" s="405">
        <v>119100000</v>
      </c>
    </row>
    <row r="125" spans="1:6" ht="9" customHeight="1" x14ac:dyDescent="0.25">
      <c r="A125" s="31"/>
      <c r="B125" s="31"/>
      <c r="C125" s="31"/>
      <c r="D125" s="31"/>
      <c r="E125" s="395"/>
      <c r="F125" s="395"/>
    </row>
    <row r="126" spans="1:6" x14ac:dyDescent="0.25">
      <c r="A126" s="278" t="s">
        <v>751</v>
      </c>
      <c r="B126" s="278"/>
      <c r="C126" s="278" t="s">
        <v>752</v>
      </c>
      <c r="D126" s="278"/>
      <c r="E126" s="406" t="s">
        <v>753</v>
      </c>
      <c r="F126" s="406"/>
    </row>
    <row r="127" spans="1:6" x14ac:dyDescent="0.25">
      <c r="A127" s="343" t="s">
        <v>754</v>
      </c>
      <c r="B127" s="343"/>
      <c r="C127" s="343" t="s">
        <v>754</v>
      </c>
      <c r="D127" s="343"/>
      <c r="E127" s="407" t="s">
        <v>755</v>
      </c>
      <c r="F127" s="407"/>
    </row>
    <row r="128" spans="1:6" x14ac:dyDescent="0.25">
      <c r="A128" s="181"/>
      <c r="B128" s="181"/>
      <c r="C128" s="181"/>
      <c r="D128" s="181"/>
      <c r="E128" s="408"/>
      <c r="F128" s="408"/>
    </row>
    <row r="129" spans="1:6" x14ac:dyDescent="0.25">
      <c r="A129" s="181"/>
      <c r="B129" s="181"/>
      <c r="C129" s="181"/>
      <c r="D129" s="181"/>
      <c r="E129" s="408"/>
      <c r="F129" s="408"/>
    </row>
    <row r="130" spans="1:6" x14ac:dyDescent="0.25">
      <c r="A130" s="181"/>
      <c r="B130" s="181"/>
      <c r="C130" s="181"/>
      <c r="D130" s="181"/>
      <c r="E130" s="408"/>
      <c r="F130" s="408"/>
    </row>
    <row r="131" spans="1:6" x14ac:dyDescent="0.25">
      <c r="A131" s="31"/>
      <c r="B131" s="31"/>
      <c r="C131" s="31"/>
      <c r="D131" s="31"/>
      <c r="E131" s="395"/>
      <c r="F131" s="395"/>
    </row>
    <row r="132" spans="1:6" x14ac:dyDescent="0.25">
      <c r="A132" s="292" t="s">
        <v>977</v>
      </c>
      <c r="B132" s="292"/>
      <c r="C132" s="278" t="s">
        <v>1191</v>
      </c>
      <c r="D132" s="278"/>
      <c r="E132" s="406" t="s">
        <v>266</v>
      </c>
      <c r="F132" s="406"/>
    </row>
  </sheetData>
  <mergeCells count="30">
    <mergeCell ref="A132:B132"/>
    <mergeCell ref="A15:B15"/>
    <mergeCell ref="C15:F15"/>
    <mergeCell ref="A126:B126"/>
    <mergeCell ref="C126:D126"/>
    <mergeCell ref="E126:F126"/>
    <mergeCell ref="A127:B127"/>
    <mergeCell ref="C127:D127"/>
    <mergeCell ref="E127:F127"/>
    <mergeCell ref="C12:F12"/>
    <mergeCell ref="A13:B13"/>
    <mergeCell ref="C13:F13"/>
    <mergeCell ref="A14:B14"/>
    <mergeCell ref="C14:F14"/>
    <mergeCell ref="A8:B8"/>
    <mergeCell ref="C8:F8"/>
    <mergeCell ref="C132:D132"/>
    <mergeCell ref="E132:F132"/>
    <mergeCell ref="A1:B1"/>
    <mergeCell ref="C1:F1"/>
    <mergeCell ref="A2:F2"/>
    <mergeCell ref="A4:F4"/>
    <mergeCell ref="A5:F5"/>
    <mergeCell ref="A9:B9"/>
    <mergeCell ref="C9:F9"/>
    <mergeCell ref="A10:B10"/>
    <mergeCell ref="C10:F10"/>
    <mergeCell ref="A11:B11"/>
    <mergeCell ref="C11:F11"/>
    <mergeCell ref="A12:B12"/>
  </mergeCells>
  <printOptions horizontalCentered="1"/>
  <pageMargins left="0" right="0" top="0.59" bottom="0.32" header="0.5" footer="0.28999999999999998"/>
  <pageSetup paperSize="9" scale="9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0"/>
  <sheetViews>
    <sheetView showGridLines="0" showZeros="0" showOutlineSymbols="0" view="pageBreakPreview" zoomScaleNormal="100" zoomScaleSheetLayoutView="100" workbookViewId="0">
      <selection activeCell="E30" sqref="A1:E30"/>
    </sheetView>
  </sheetViews>
  <sheetFormatPr defaultRowHeight="15" x14ac:dyDescent="0.25"/>
  <cols>
    <col min="1" max="1" width="5.5703125" style="30" customWidth="1"/>
    <col min="2" max="2" width="41.28515625" style="30" customWidth="1"/>
    <col min="3" max="3" width="10.28515625" style="30" customWidth="1"/>
    <col min="4" max="5" width="22.42578125" style="30" customWidth="1"/>
    <col min="6" max="16384" width="9.140625" style="30"/>
  </cols>
  <sheetData>
    <row r="1" spans="1:5" ht="27" customHeight="1" x14ac:dyDescent="0.25">
      <c r="A1" s="31"/>
      <c r="B1" s="346" t="s">
        <v>978</v>
      </c>
      <c r="C1" s="346"/>
      <c r="D1" s="346"/>
      <c r="E1" s="346"/>
    </row>
    <row r="2" spans="1:5" ht="23.25" customHeight="1" x14ac:dyDescent="0.25">
      <c r="A2" s="336" t="s">
        <v>624</v>
      </c>
      <c r="B2" s="336"/>
      <c r="C2" s="336"/>
      <c r="D2" s="336"/>
      <c r="E2" s="336"/>
    </row>
    <row r="3" spans="1:5" ht="6" customHeight="1" x14ac:dyDescent="0.25">
      <c r="A3" s="31"/>
      <c r="B3" s="31"/>
      <c r="C3" s="31"/>
      <c r="D3" s="277"/>
      <c r="E3" s="277"/>
    </row>
    <row r="4" spans="1:5" ht="31.5" customHeight="1" x14ac:dyDescent="0.25">
      <c r="A4" s="347" t="s">
        <v>979</v>
      </c>
      <c r="B4" s="347"/>
      <c r="C4" s="347"/>
      <c r="D4" s="347"/>
      <c r="E4" s="347"/>
    </row>
    <row r="5" spans="1:5" ht="15.75" customHeight="1" x14ac:dyDescent="0.25">
      <c r="A5" s="285" t="s">
        <v>269</v>
      </c>
      <c r="B5" s="285"/>
      <c r="C5" s="285"/>
      <c r="D5" s="285"/>
      <c r="E5" s="285"/>
    </row>
    <row r="6" spans="1:5" ht="3.75" customHeight="1" x14ac:dyDescent="0.25">
      <c r="A6" s="31"/>
      <c r="B6" s="31"/>
      <c r="C6" s="31"/>
      <c r="D6" s="277"/>
      <c r="E6" s="277"/>
    </row>
    <row r="7" spans="1:5" ht="10.5" customHeight="1" x14ac:dyDescent="0.25">
      <c r="A7" s="288" t="s">
        <v>980</v>
      </c>
      <c r="B7" s="288"/>
      <c r="C7" s="288" t="s">
        <v>61</v>
      </c>
      <c r="D7" s="288"/>
      <c r="E7" s="288"/>
    </row>
    <row r="8" spans="1:5" ht="10.5" customHeight="1" x14ac:dyDescent="0.25">
      <c r="A8" s="296" t="s">
        <v>6</v>
      </c>
      <c r="B8" s="296"/>
      <c r="C8" s="296" t="s">
        <v>7</v>
      </c>
      <c r="D8" s="296"/>
      <c r="E8" s="296"/>
    </row>
    <row r="9" spans="1:5" ht="10.5" customHeight="1" x14ac:dyDescent="0.25">
      <c r="A9" s="288" t="s">
        <v>63</v>
      </c>
      <c r="B9" s="288"/>
      <c r="C9" s="288" t="s">
        <v>64</v>
      </c>
      <c r="D9" s="288"/>
      <c r="E9" s="288"/>
    </row>
    <row r="10" spans="1:5" ht="10.5" customHeight="1" x14ac:dyDescent="0.25">
      <c r="A10" s="296" t="s">
        <v>981</v>
      </c>
      <c r="B10" s="296"/>
      <c r="C10" s="348" t="s">
        <v>522</v>
      </c>
      <c r="D10" s="348"/>
      <c r="E10" s="348"/>
    </row>
    <row r="11" spans="1:5" ht="10.5" customHeight="1" x14ac:dyDescent="0.25">
      <c r="A11" s="288" t="s">
        <v>982</v>
      </c>
      <c r="B11" s="288"/>
      <c r="C11" s="297">
        <v>44119</v>
      </c>
      <c r="D11" s="288"/>
      <c r="E11" s="288"/>
    </row>
    <row r="12" spans="1:5" ht="10.5" customHeight="1" x14ac:dyDescent="0.25">
      <c r="A12" s="296" t="s">
        <v>983</v>
      </c>
      <c r="B12" s="296"/>
      <c r="C12" s="298">
        <v>44119</v>
      </c>
      <c r="D12" s="296"/>
      <c r="E12" s="296"/>
    </row>
    <row r="13" spans="1:5" ht="15.75" customHeight="1" x14ac:dyDescent="0.25">
      <c r="A13" s="37"/>
      <c r="B13" s="37"/>
      <c r="C13" s="37"/>
      <c r="D13" s="300" t="s">
        <v>984</v>
      </c>
      <c r="E13" s="300"/>
    </row>
    <row r="14" spans="1:5" ht="59.25" customHeight="1" x14ac:dyDescent="0.25">
      <c r="A14" s="38" t="s">
        <v>985</v>
      </c>
      <c r="B14" s="39" t="s">
        <v>986</v>
      </c>
      <c r="C14" s="39" t="s">
        <v>987</v>
      </c>
      <c r="D14" s="39" t="s">
        <v>271</v>
      </c>
      <c r="E14" s="40" t="s">
        <v>272</v>
      </c>
    </row>
    <row r="15" spans="1:5" s="365" customFormat="1" ht="21" x14ac:dyDescent="0.25">
      <c r="A15" s="410" t="s">
        <v>80</v>
      </c>
      <c r="B15" s="66" t="s">
        <v>988</v>
      </c>
      <c r="C15" s="411" t="s">
        <v>989</v>
      </c>
      <c r="D15" s="412">
        <v>1362487799178</v>
      </c>
      <c r="E15" s="413">
        <v>0</v>
      </c>
    </row>
    <row r="16" spans="1:5" s="365" customFormat="1" ht="42" x14ac:dyDescent="0.25">
      <c r="A16" s="410" t="s">
        <v>164</v>
      </c>
      <c r="B16" s="66" t="s">
        <v>990</v>
      </c>
      <c r="C16" s="411" t="s">
        <v>991</v>
      </c>
      <c r="D16" s="412">
        <v>272820337477</v>
      </c>
      <c r="E16" s="413">
        <v>-70906718005</v>
      </c>
    </row>
    <row r="17" spans="1:5" s="365" customFormat="1" x14ac:dyDescent="0.25">
      <c r="A17" s="414"/>
      <c r="B17" s="71" t="s">
        <v>992</v>
      </c>
      <c r="C17" s="415"/>
      <c r="D17" s="416">
        <v>0</v>
      </c>
      <c r="E17" s="417">
        <v>0</v>
      </c>
    </row>
    <row r="18" spans="1:5" s="365" customFormat="1" ht="42" x14ac:dyDescent="0.25">
      <c r="A18" s="414" t="s">
        <v>167</v>
      </c>
      <c r="B18" s="71" t="s">
        <v>993</v>
      </c>
      <c r="C18" s="415" t="s">
        <v>994</v>
      </c>
      <c r="D18" s="416">
        <v>272820337477</v>
      </c>
      <c r="E18" s="417">
        <v>-70906718005</v>
      </c>
    </row>
    <row r="19" spans="1:5" s="365" customFormat="1" ht="42" x14ac:dyDescent="0.25">
      <c r="A19" s="414" t="s">
        <v>170</v>
      </c>
      <c r="B19" s="71" t="s">
        <v>995</v>
      </c>
      <c r="C19" s="415" t="s">
        <v>996</v>
      </c>
      <c r="D19" s="416">
        <v>0</v>
      </c>
      <c r="E19" s="417">
        <v>0</v>
      </c>
    </row>
    <row r="20" spans="1:5" s="365" customFormat="1" ht="42" x14ac:dyDescent="0.25">
      <c r="A20" s="410" t="s">
        <v>368</v>
      </c>
      <c r="B20" s="66" t="s">
        <v>997</v>
      </c>
      <c r="C20" s="411" t="s">
        <v>998</v>
      </c>
      <c r="D20" s="412">
        <v>609570859316</v>
      </c>
      <c r="E20" s="413">
        <v>1433394517183</v>
      </c>
    </row>
    <row r="21" spans="1:5" s="365" customFormat="1" ht="21" x14ac:dyDescent="0.25">
      <c r="A21" s="414" t="s">
        <v>999</v>
      </c>
      <c r="B21" s="71" t="s">
        <v>1000</v>
      </c>
      <c r="C21" s="415" t="s">
        <v>1001</v>
      </c>
      <c r="D21" s="416">
        <v>648437581490</v>
      </c>
      <c r="E21" s="417">
        <v>1433394517183</v>
      </c>
    </row>
    <row r="22" spans="1:5" s="365" customFormat="1" ht="21" x14ac:dyDescent="0.25">
      <c r="A22" s="414" t="s">
        <v>1002</v>
      </c>
      <c r="B22" s="71" t="s">
        <v>1003</v>
      </c>
      <c r="C22" s="415" t="s">
        <v>1004</v>
      </c>
      <c r="D22" s="416">
        <v>-38866722174</v>
      </c>
      <c r="E22" s="417">
        <v>0</v>
      </c>
    </row>
    <row r="23" spans="1:5" s="365" customFormat="1" ht="21" x14ac:dyDescent="0.25">
      <c r="A23" s="410" t="s">
        <v>371</v>
      </c>
      <c r="B23" s="66" t="s">
        <v>1005</v>
      </c>
      <c r="C23" s="411" t="s">
        <v>1006</v>
      </c>
      <c r="D23" s="412">
        <v>2244878995971</v>
      </c>
      <c r="E23" s="413">
        <v>1362487799178</v>
      </c>
    </row>
    <row r="24" spans="1:5" s="365" customFormat="1" ht="31.5" x14ac:dyDescent="0.25">
      <c r="A24" s="418" t="s">
        <v>384</v>
      </c>
      <c r="B24" s="179" t="s">
        <v>1007</v>
      </c>
      <c r="C24" s="419" t="s">
        <v>1008</v>
      </c>
      <c r="D24" s="420">
        <v>13338.55</v>
      </c>
      <c r="E24" s="421">
        <v>11439.86</v>
      </c>
    </row>
    <row r="25" spans="1:5" x14ac:dyDescent="0.25">
      <c r="A25" s="277"/>
      <c r="B25" s="277"/>
      <c r="C25" s="277"/>
      <c r="D25" s="277"/>
      <c r="E25" s="31"/>
    </row>
    <row r="26" spans="1:5" ht="12" customHeight="1" x14ac:dyDescent="0.25">
      <c r="A26" s="345" t="s">
        <v>1009</v>
      </c>
      <c r="B26" s="345"/>
      <c r="C26" s="345" t="s">
        <v>752</v>
      </c>
      <c r="D26" s="345"/>
      <c r="E26" s="180" t="s">
        <v>24</v>
      </c>
    </row>
    <row r="27" spans="1:5" ht="12" customHeight="1" x14ac:dyDescent="0.25">
      <c r="A27" s="343" t="s">
        <v>754</v>
      </c>
      <c r="B27" s="343"/>
      <c r="C27" s="303" t="s">
        <v>754</v>
      </c>
      <c r="D27" s="303"/>
      <c r="E27" s="181" t="s">
        <v>755</v>
      </c>
    </row>
    <row r="28" spans="1:5" ht="49.5" customHeight="1" x14ac:dyDescent="0.25">
      <c r="A28" s="277"/>
      <c r="B28" s="277"/>
      <c r="C28" s="277"/>
      <c r="D28" s="277"/>
      <c r="E28" s="31"/>
    </row>
    <row r="30" spans="1:5" x14ac:dyDescent="0.25">
      <c r="A30" s="345" t="s">
        <v>977</v>
      </c>
      <c r="B30" s="345"/>
      <c r="C30" s="345" t="s">
        <v>1191</v>
      </c>
      <c r="D30" s="345"/>
      <c r="E30" s="180" t="s">
        <v>266</v>
      </c>
    </row>
  </sheetData>
  <mergeCells count="29">
    <mergeCell ref="A11:B11"/>
    <mergeCell ref="C11:E11"/>
    <mergeCell ref="A12:B12"/>
    <mergeCell ref="C12:E12"/>
    <mergeCell ref="A28:B28"/>
    <mergeCell ref="C28:D28"/>
    <mergeCell ref="D13:E13"/>
    <mergeCell ref="A25:B25"/>
    <mergeCell ref="C25:D25"/>
    <mergeCell ref="A26:B26"/>
    <mergeCell ref="C26:D26"/>
    <mergeCell ref="A27:B27"/>
    <mergeCell ref="C27:D27"/>
    <mergeCell ref="D6:E6"/>
    <mergeCell ref="A30:B30"/>
    <mergeCell ref="C30:D30"/>
    <mergeCell ref="B1:E1"/>
    <mergeCell ref="A2:E2"/>
    <mergeCell ref="D3:E3"/>
    <mergeCell ref="A4:E4"/>
    <mergeCell ref="A5:E5"/>
    <mergeCell ref="A7:B7"/>
    <mergeCell ref="C7:E7"/>
    <mergeCell ref="A8:B8"/>
    <mergeCell ref="C8:E8"/>
    <mergeCell ref="A9:B9"/>
    <mergeCell ref="C9:E9"/>
    <mergeCell ref="A10:B10"/>
    <mergeCell ref="C10:E10"/>
  </mergeCells>
  <printOptions horizontalCentered="1"/>
  <pageMargins left="0" right="0" top="0.59" bottom="0.59" header="0.5" footer="0.5"/>
  <pageSetup paperSize="9" scale="9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zoomScaleNormal="100" zoomScaleSheetLayoutView="100" workbookViewId="0">
      <selection activeCell="C53" sqref="A1:E53"/>
    </sheetView>
  </sheetViews>
  <sheetFormatPr defaultRowHeight="15" x14ac:dyDescent="0.25"/>
  <cols>
    <col min="1" max="1" width="6.85546875" style="30" customWidth="1"/>
    <col min="2" max="2" width="40.42578125" style="30" customWidth="1"/>
    <col min="3" max="3" width="9.140625" style="30"/>
    <col min="4" max="5" width="21.28515625" style="30" customWidth="1"/>
    <col min="6" max="16384" width="9.140625" style="30"/>
  </cols>
  <sheetData>
    <row r="1" spans="1:5" ht="26.25" customHeight="1" x14ac:dyDescent="0.25">
      <c r="A1" s="350"/>
      <c r="B1" s="350"/>
      <c r="C1" s="278" t="s">
        <v>1010</v>
      </c>
      <c r="D1" s="278"/>
      <c r="E1" s="278"/>
    </row>
    <row r="2" spans="1:5" ht="12" customHeight="1" x14ac:dyDescent="0.25">
      <c r="A2" s="279" t="s">
        <v>1011</v>
      </c>
      <c r="B2" s="279"/>
      <c r="C2" s="279"/>
      <c r="D2" s="279"/>
      <c r="E2" s="279"/>
    </row>
    <row r="3" spans="1:5" ht="11.25" customHeight="1" x14ac:dyDescent="0.25">
      <c r="A3" s="279" t="s">
        <v>1012</v>
      </c>
      <c r="B3" s="279"/>
      <c r="C3" s="279"/>
      <c r="D3" s="279"/>
      <c r="E3" s="279"/>
    </row>
    <row r="4" spans="1:5" ht="29.25" customHeight="1" x14ac:dyDescent="0.25">
      <c r="A4" s="347" t="s">
        <v>1013</v>
      </c>
      <c r="B4" s="347"/>
      <c r="C4" s="347"/>
      <c r="D4" s="347"/>
      <c r="E4" s="347"/>
    </row>
    <row r="5" spans="1:5" ht="12" customHeight="1" x14ac:dyDescent="0.25">
      <c r="A5" s="349" t="s">
        <v>269</v>
      </c>
      <c r="B5" s="349"/>
      <c r="C5" s="349"/>
      <c r="D5" s="349"/>
      <c r="E5" s="349"/>
    </row>
    <row r="6" spans="1:5" ht="6.75" customHeight="1" x14ac:dyDescent="0.25">
      <c r="A6" s="31"/>
      <c r="B6" s="352"/>
      <c r="C6" s="352"/>
      <c r="D6" s="352"/>
      <c r="E6" s="352"/>
    </row>
    <row r="7" spans="1:5" ht="12" customHeight="1" x14ac:dyDescent="0.25">
      <c r="A7" s="32" t="s">
        <v>60</v>
      </c>
      <c r="B7" s="33" t="s">
        <v>980</v>
      </c>
      <c r="C7" s="276" t="s">
        <v>61</v>
      </c>
      <c r="D7" s="276"/>
      <c r="E7" s="276"/>
    </row>
    <row r="8" spans="1:5" ht="12" customHeight="1" x14ac:dyDescent="0.25">
      <c r="A8" s="31"/>
      <c r="B8" s="34" t="s">
        <v>6</v>
      </c>
      <c r="C8" s="282" t="s">
        <v>7</v>
      </c>
      <c r="D8" s="282"/>
      <c r="E8" s="282"/>
    </row>
    <row r="9" spans="1:5" ht="12" customHeight="1" x14ac:dyDescent="0.25">
      <c r="A9" s="32" t="s">
        <v>62</v>
      </c>
      <c r="B9" s="33" t="s">
        <v>63</v>
      </c>
      <c r="C9" s="276" t="s">
        <v>64</v>
      </c>
      <c r="D9" s="276"/>
      <c r="E9" s="276"/>
    </row>
    <row r="10" spans="1:5" ht="12" customHeight="1" x14ac:dyDescent="0.25">
      <c r="A10" s="31"/>
      <c r="B10" s="34" t="s">
        <v>65</v>
      </c>
      <c r="C10" s="284" t="s">
        <v>522</v>
      </c>
      <c r="D10" s="284"/>
      <c r="E10" s="284"/>
    </row>
    <row r="11" spans="1:5" ht="12" customHeight="1" x14ac:dyDescent="0.25">
      <c r="A11" s="32" t="s">
        <v>67</v>
      </c>
      <c r="B11" s="33" t="s">
        <v>12</v>
      </c>
      <c r="C11" s="276" t="s">
        <v>68</v>
      </c>
      <c r="D11" s="276"/>
      <c r="E11" s="276"/>
    </row>
    <row r="12" spans="1:5" ht="12" customHeight="1" x14ac:dyDescent="0.25">
      <c r="A12" s="31"/>
      <c r="B12" s="34" t="s">
        <v>69</v>
      </c>
      <c r="C12" s="282" t="s">
        <v>70</v>
      </c>
      <c r="D12" s="282"/>
      <c r="E12" s="282"/>
    </row>
    <row r="13" spans="1:5" ht="12" customHeight="1" x14ac:dyDescent="0.25">
      <c r="A13" s="32" t="s">
        <v>71</v>
      </c>
      <c r="B13" s="33" t="s">
        <v>1014</v>
      </c>
      <c r="C13" s="276" t="s">
        <v>1015</v>
      </c>
      <c r="D13" s="276"/>
      <c r="E13" s="31"/>
    </row>
    <row r="14" spans="1:5" ht="12" customHeight="1" x14ac:dyDescent="0.25">
      <c r="A14" s="31"/>
      <c r="B14" s="34" t="s">
        <v>1016</v>
      </c>
      <c r="C14" s="282" t="s">
        <v>1015</v>
      </c>
      <c r="D14" s="282"/>
      <c r="E14" s="31"/>
    </row>
    <row r="15" spans="1:5" ht="12" customHeight="1" x14ac:dyDescent="0.25">
      <c r="A15" s="32" t="s">
        <v>320</v>
      </c>
      <c r="B15" s="33" t="s">
        <v>16</v>
      </c>
      <c r="C15" s="275">
        <v>44119</v>
      </c>
      <c r="D15" s="276"/>
      <c r="E15" s="276"/>
    </row>
    <row r="16" spans="1:5" ht="12" customHeight="1" x14ac:dyDescent="0.25">
      <c r="A16" s="31"/>
      <c r="B16" s="34" t="s">
        <v>17</v>
      </c>
      <c r="C16" s="287">
        <v>44119</v>
      </c>
      <c r="D16" s="282"/>
      <c r="E16" s="282"/>
    </row>
    <row r="17" spans="1:5" ht="12.75" customHeight="1" x14ac:dyDescent="0.25">
      <c r="A17" s="37"/>
      <c r="B17" s="37"/>
      <c r="C17" s="351" t="s">
        <v>1017</v>
      </c>
      <c r="D17" s="351"/>
      <c r="E17" s="351"/>
    </row>
    <row r="18" spans="1:5" ht="30.75" customHeight="1" x14ac:dyDescent="0.25">
      <c r="A18" s="38" t="s">
        <v>1018</v>
      </c>
      <c r="B18" s="39" t="s">
        <v>1019</v>
      </c>
      <c r="C18" s="39" t="s">
        <v>1020</v>
      </c>
      <c r="D18" s="39" t="s">
        <v>1021</v>
      </c>
      <c r="E18" s="40" t="s">
        <v>1022</v>
      </c>
    </row>
    <row r="19" spans="1:5" x14ac:dyDescent="0.25">
      <c r="A19" s="182" t="s">
        <v>30</v>
      </c>
      <c r="B19" s="183" t="s">
        <v>1023</v>
      </c>
      <c r="C19" s="153" t="s">
        <v>1024</v>
      </c>
      <c r="D19" s="184">
        <v>0</v>
      </c>
      <c r="E19" s="185">
        <v>0</v>
      </c>
    </row>
    <row r="20" spans="1:5" x14ac:dyDescent="0.25">
      <c r="A20" s="182" t="s">
        <v>1025</v>
      </c>
      <c r="B20" s="183" t="s">
        <v>1026</v>
      </c>
      <c r="C20" s="153" t="s">
        <v>1027</v>
      </c>
      <c r="D20" s="184">
        <v>0</v>
      </c>
      <c r="E20" s="185">
        <v>0</v>
      </c>
    </row>
    <row r="21" spans="1:5" x14ac:dyDescent="0.25">
      <c r="A21" s="186"/>
      <c r="B21" s="187" t="s">
        <v>1028</v>
      </c>
      <c r="C21" s="155" t="s">
        <v>1029</v>
      </c>
      <c r="D21" s="188">
        <v>1362487799178</v>
      </c>
      <c r="E21" s="189">
        <v>0</v>
      </c>
    </row>
    <row r="22" spans="1:5" x14ac:dyDescent="0.25">
      <c r="A22" s="186"/>
      <c r="B22" s="187" t="s">
        <v>1030</v>
      </c>
      <c r="C22" s="155" t="s">
        <v>1031</v>
      </c>
      <c r="D22" s="188">
        <v>1143986397</v>
      </c>
      <c r="E22" s="189">
        <v>0</v>
      </c>
    </row>
    <row r="23" spans="1:5" x14ac:dyDescent="0.25">
      <c r="A23" s="186"/>
      <c r="B23" s="187" t="s">
        <v>1032</v>
      </c>
      <c r="C23" s="155" t="s">
        <v>1033</v>
      </c>
      <c r="D23" s="190">
        <v>11439.86</v>
      </c>
      <c r="E23" s="191">
        <v>0</v>
      </c>
    </row>
    <row r="24" spans="1:5" x14ac:dyDescent="0.25">
      <c r="A24" s="182" t="s">
        <v>1034</v>
      </c>
      <c r="B24" s="183" t="s">
        <v>1035</v>
      </c>
      <c r="C24" s="153" t="s">
        <v>1036</v>
      </c>
      <c r="D24" s="184">
        <v>0</v>
      </c>
      <c r="E24" s="185">
        <v>0</v>
      </c>
    </row>
    <row r="25" spans="1:5" x14ac:dyDescent="0.25">
      <c r="A25" s="186"/>
      <c r="B25" s="187" t="s">
        <v>1028</v>
      </c>
      <c r="C25" s="155" t="s">
        <v>1037</v>
      </c>
      <c r="D25" s="188">
        <v>2244878995971</v>
      </c>
      <c r="E25" s="189">
        <v>1362487799178</v>
      </c>
    </row>
    <row r="26" spans="1:5" x14ac:dyDescent="0.25">
      <c r="A26" s="186"/>
      <c r="B26" s="187" t="s">
        <v>1030</v>
      </c>
      <c r="C26" s="155" t="s">
        <v>1038</v>
      </c>
      <c r="D26" s="188">
        <v>1333855612</v>
      </c>
      <c r="E26" s="189">
        <v>1143986397</v>
      </c>
    </row>
    <row r="27" spans="1:5" x14ac:dyDescent="0.25">
      <c r="A27" s="186"/>
      <c r="B27" s="187" t="s">
        <v>1032</v>
      </c>
      <c r="C27" s="155" t="s">
        <v>1039</v>
      </c>
      <c r="D27" s="190">
        <v>13338.55</v>
      </c>
      <c r="E27" s="191">
        <v>11439.86</v>
      </c>
    </row>
    <row r="28" spans="1:5" ht="42" x14ac:dyDescent="0.25">
      <c r="A28" s="182" t="s">
        <v>1040</v>
      </c>
      <c r="B28" s="183" t="s">
        <v>1041</v>
      </c>
      <c r="C28" s="153" t="s">
        <v>1042</v>
      </c>
      <c r="D28" s="184">
        <v>0</v>
      </c>
      <c r="E28" s="185">
        <v>0</v>
      </c>
    </row>
    <row r="29" spans="1:5" ht="31.5" x14ac:dyDescent="0.25">
      <c r="A29" s="186"/>
      <c r="B29" s="187" t="s">
        <v>1043</v>
      </c>
      <c r="C29" s="155" t="s">
        <v>1044</v>
      </c>
      <c r="D29" s="190">
        <v>-1723.23</v>
      </c>
      <c r="E29" s="191">
        <v>-595.35</v>
      </c>
    </row>
    <row r="30" spans="1:5" ht="42" x14ac:dyDescent="0.25">
      <c r="A30" s="186"/>
      <c r="B30" s="187" t="s">
        <v>1045</v>
      </c>
      <c r="C30" s="155" t="s">
        <v>1046</v>
      </c>
      <c r="D30" s="190">
        <v>3621.93</v>
      </c>
      <c r="E30" s="191">
        <v>12035.22</v>
      </c>
    </row>
    <row r="31" spans="1:5" ht="42" x14ac:dyDescent="0.25">
      <c r="A31" s="192"/>
      <c r="B31" s="193" t="s">
        <v>399</v>
      </c>
      <c r="C31" s="157" t="s">
        <v>1047</v>
      </c>
      <c r="D31" s="194">
        <v>0</v>
      </c>
      <c r="E31" s="195">
        <v>0</v>
      </c>
    </row>
    <row r="32" spans="1:5" ht="42" x14ac:dyDescent="0.25">
      <c r="A32" s="192"/>
      <c r="B32" s="193" t="s">
        <v>1048</v>
      </c>
      <c r="C32" s="157" t="s">
        <v>1049</v>
      </c>
      <c r="D32" s="196">
        <v>3621.93</v>
      </c>
      <c r="E32" s="197">
        <v>12035.22</v>
      </c>
    </row>
    <row r="33" spans="1:5" ht="31.5" x14ac:dyDescent="0.25">
      <c r="A33" s="182" t="s">
        <v>1050</v>
      </c>
      <c r="B33" s="183" t="s">
        <v>1051</v>
      </c>
      <c r="C33" s="153" t="s">
        <v>1052</v>
      </c>
      <c r="D33" s="184">
        <v>0</v>
      </c>
      <c r="E33" s="185">
        <v>0</v>
      </c>
    </row>
    <row r="34" spans="1:5" x14ac:dyDescent="0.25">
      <c r="A34" s="192"/>
      <c r="B34" s="193" t="s">
        <v>1053</v>
      </c>
      <c r="C34" s="157" t="s">
        <v>1054</v>
      </c>
      <c r="D34" s="194">
        <v>2244878995971</v>
      </c>
      <c r="E34" s="195">
        <v>1390066826000</v>
      </c>
    </row>
    <row r="35" spans="1:5" x14ac:dyDescent="0.25">
      <c r="A35" s="192"/>
      <c r="B35" s="193" t="s">
        <v>1055</v>
      </c>
      <c r="C35" s="157" t="s">
        <v>1056</v>
      </c>
      <c r="D35" s="194">
        <v>109880505679</v>
      </c>
      <c r="E35" s="195">
        <v>109880505679</v>
      </c>
    </row>
    <row r="36" spans="1:5" ht="52.5" x14ac:dyDescent="0.25">
      <c r="A36" s="182" t="s">
        <v>53</v>
      </c>
      <c r="B36" s="183" t="s">
        <v>1057</v>
      </c>
      <c r="C36" s="153" t="s">
        <v>1058</v>
      </c>
      <c r="D36" s="184">
        <v>0</v>
      </c>
      <c r="E36" s="185">
        <v>0</v>
      </c>
    </row>
    <row r="37" spans="1:5" x14ac:dyDescent="0.25">
      <c r="A37" s="186" t="s">
        <v>1059</v>
      </c>
      <c r="B37" s="187" t="s">
        <v>1026</v>
      </c>
      <c r="C37" s="155" t="s">
        <v>1060</v>
      </c>
      <c r="D37" s="190">
        <v>11630</v>
      </c>
      <c r="E37" s="191">
        <v>0</v>
      </c>
    </row>
    <row r="38" spans="1:5" x14ac:dyDescent="0.25">
      <c r="A38" s="186" t="s">
        <v>1061</v>
      </c>
      <c r="B38" s="187" t="s">
        <v>1062</v>
      </c>
      <c r="C38" s="155" t="s">
        <v>1063</v>
      </c>
      <c r="D38" s="190">
        <v>13370</v>
      </c>
      <c r="E38" s="191">
        <v>11630</v>
      </c>
    </row>
    <row r="39" spans="1:5" ht="21" x14ac:dyDescent="0.25">
      <c r="A39" s="186" t="s">
        <v>1064</v>
      </c>
      <c r="B39" s="187" t="s">
        <v>1065</v>
      </c>
      <c r="C39" s="155" t="s">
        <v>1066</v>
      </c>
      <c r="D39" s="190">
        <v>1740</v>
      </c>
      <c r="E39" s="191">
        <v>11630</v>
      </c>
    </row>
    <row r="40" spans="1:5" ht="42" x14ac:dyDescent="0.25">
      <c r="A40" s="186" t="s">
        <v>1067</v>
      </c>
      <c r="B40" s="187" t="s">
        <v>1068</v>
      </c>
      <c r="C40" s="155" t="s">
        <v>1069</v>
      </c>
      <c r="D40" s="190">
        <v>0</v>
      </c>
      <c r="E40" s="191">
        <v>0</v>
      </c>
    </row>
    <row r="41" spans="1:5" x14ac:dyDescent="0.25">
      <c r="A41" s="192"/>
      <c r="B41" s="193" t="s">
        <v>1070</v>
      </c>
      <c r="C41" s="157" t="s">
        <v>1071</v>
      </c>
      <c r="D41" s="196">
        <v>31.45</v>
      </c>
      <c r="E41" s="197">
        <v>190.14</v>
      </c>
    </row>
    <row r="42" spans="1:5" ht="31.5" x14ac:dyDescent="0.25">
      <c r="A42" s="192"/>
      <c r="B42" s="193" t="s">
        <v>1072</v>
      </c>
      <c r="C42" s="157" t="s">
        <v>1073</v>
      </c>
      <c r="D42" s="198">
        <v>2.3999999999999998E-3</v>
      </c>
      <c r="E42" s="199">
        <v>1.66E-2</v>
      </c>
    </row>
    <row r="43" spans="1:5" ht="42" x14ac:dyDescent="0.25">
      <c r="A43" s="186" t="s">
        <v>1074</v>
      </c>
      <c r="B43" s="187" t="s">
        <v>1075</v>
      </c>
      <c r="C43" s="155" t="s">
        <v>1076</v>
      </c>
      <c r="D43" s="190">
        <v>0</v>
      </c>
      <c r="E43" s="191">
        <v>0</v>
      </c>
    </row>
    <row r="44" spans="1:5" x14ac:dyDescent="0.25">
      <c r="A44" s="192"/>
      <c r="B44" s="193" t="s">
        <v>1077</v>
      </c>
      <c r="C44" s="157" t="s">
        <v>1078</v>
      </c>
      <c r="D44" s="196">
        <v>13430</v>
      </c>
      <c r="E44" s="197">
        <v>12770</v>
      </c>
    </row>
    <row r="45" spans="1:5" x14ac:dyDescent="0.25">
      <c r="A45" s="200"/>
      <c r="B45" s="201" t="s">
        <v>1079</v>
      </c>
      <c r="C45" s="202" t="s">
        <v>1080</v>
      </c>
      <c r="D45" s="203">
        <v>10500</v>
      </c>
      <c r="E45" s="204">
        <v>10500</v>
      </c>
    </row>
    <row r="46" spans="1:5" x14ac:dyDescent="0.25">
      <c r="A46" s="277"/>
      <c r="B46" s="277"/>
      <c r="C46" s="277"/>
      <c r="D46" s="277"/>
      <c r="E46" s="277"/>
    </row>
    <row r="47" spans="1:5" x14ac:dyDescent="0.25">
      <c r="A47" s="278" t="s">
        <v>1081</v>
      </c>
      <c r="B47" s="278"/>
      <c r="C47" s="278" t="s">
        <v>1082</v>
      </c>
      <c r="D47" s="278"/>
      <c r="E47" s="278"/>
    </row>
    <row r="48" spans="1:5" x14ac:dyDescent="0.25">
      <c r="A48" s="303" t="s">
        <v>21</v>
      </c>
      <c r="B48" s="303"/>
      <c r="C48" s="303" t="s">
        <v>22</v>
      </c>
      <c r="D48" s="303"/>
      <c r="E48" s="303"/>
    </row>
    <row r="49" spans="1:5" ht="43.5" customHeight="1" x14ac:dyDescent="0.25">
      <c r="A49" s="277"/>
      <c r="B49" s="277"/>
      <c r="C49" s="277"/>
      <c r="D49" s="277"/>
      <c r="E49" s="277"/>
    </row>
    <row r="50" spans="1:5" ht="43.5" customHeight="1" x14ac:dyDescent="0.25">
      <c r="A50" s="277"/>
      <c r="B50" s="277"/>
      <c r="C50" s="277"/>
      <c r="D50" s="277"/>
      <c r="E50" s="277"/>
    </row>
    <row r="51" spans="1:5" ht="17.25" customHeight="1" x14ac:dyDescent="0.25">
      <c r="A51" s="278" t="s">
        <v>262</v>
      </c>
      <c r="B51" s="278"/>
      <c r="C51" s="278" t="s">
        <v>263</v>
      </c>
      <c r="D51" s="278"/>
      <c r="E51" s="278"/>
    </row>
    <row r="52" spans="1:5" x14ac:dyDescent="0.25">
      <c r="A52" s="291" t="s">
        <v>23</v>
      </c>
      <c r="B52" s="291"/>
      <c r="C52" s="291" t="s">
        <v>264</v>
      </c>
      <c r="D52" s="291"/>
      <c r="E52" s="291"/>
    </row>
    <row r="53" spans="1:5" x14ac:dyDescent="0.25">
      <c r="A53" s="291" t="s">
        <v>265</v>
      </c>
      <c r="B53" s="291"/>
      <c r="C53" s="291" t="s">
        <v>266</v>
      </c>
      <c r="D53" s="291"/>
      <c r="E53" s="291"/>
    </row>
  </sheetData>
  <mergeCells count="34">
    <mergeCell ref="A52:B52"/>
    <mergeCell ref="C52:E52"/>
    <mergeCell ref="A53:B53"/>
    <mergeCell ref="C53:E53"/>
    <mergeCell ref="A49:B49"/>
    <mergeCell ref="C49:E49"/>
    <mergeCell ref="A50:B50"/>
    <mergeCell ref="C50:E50"/>
    <mergeCell ref="A51:B51"/>
    <mergeCell ref="C51:E51"/>
    <mergeCell ref="A46:B46"/>
    <mergeCell ref="C46:E46"/>
    <mergeCell ref="A47:B47"/>
    <mergeCell ref="C47:E47"/>
    <mergeCell ref="A48:B48"/>
    <mergeCell ref="C48:E48"/>
    <mergeCell ref="C17:E17"/>
    <mergeCell ref="B6:E6"/>
    <mergeCell ref="C7:E7"/>
    <mergeCell ref="C8:E8"/>
    <mergeCell ref="C9:E9"/>
    <mergeCell ref="C10:E10"/>
    <mergeCell ref="C11:E11"/>
    <mergeCell ref="C12:E12"/>
    <mergeCell ref="C13:D13"/>
    <mergeCell ref="C14:D14"/>
    <mergeCell ref="C15:E15"/>
    <mergeCell ref="C16:E16"/>
    <mergeCell ref="A5:E5"/>
    <mergeCell ref="A1:B1"/>
    <mergeCell ref="C1:E1"/>
    <mergeCell ref="A2:E2"/>
    <mergeCell ref="A3:E3"/>
    <mergeCell ref="A4:E4"/>
  </mergeCells>
  <printOptions horizontalCentered="1"/>
  <pageMargins left="0" right="0" top="0.25" bottom="0.28000000000000003" header="0.25" footer="0.28000000000000003"/>
  <pageSetup paperSize="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4"/>
  <sheetViews>
    <sheetView showGridLines="0" showZeros="0" showOutlineSymbols="0" view="pageBreakPreview" zoomScaleNormal="100" zoomScaleSheetLayoutView="100" workbookViewId="0">
      <selection activeCell="G76" sqref="A1:G76"/>
    </sheetView>
  </sheetViews>
  <sheetFormatPr defaultRowHeight="15" x14ac:dyDescent="0.25"/>
  <cols>
    <col min="1" max="1" width="5.140625" style="30" customWidth="1"/>
    <col min="2" max="2" width="33" style="30" customWidth="1"/>
    <col min="3" max="3" width="9.140625" style="30" customWidth="1"/>
    <col min="4" max="5" width="14.85546875" style="30" customWidth="1"/>
    <col min="6" max="6" width="17.42578125" style="30" customWidth="1"/>
    <col min="7" max="7" width="14.140625" style="30" customWidth="1"/>
    <col min="8" max="16384" width="9.140625" style="30"/>
  </cols>
  <sheetData>
    <row r="1" spans="1:7" ht="24.75" customHeight="1" x14ac:dyDescent="0.25">
      <c r="A1" s="206"/>
      <c r="B1" s="206"/>
      <c r="C1" s="278" t="s">
        <v>1083</v>
      </c>
      <c r="D1" s="278"/>
      <c r="E1" s="278"/>
      <c r="F1" s="278"/>
      <c r="G1" s="278"/>
    </row>
    <row r="2" spans="1:7" ht="24.75" customHeight="1" x14ac:dyDescent="0.25">
      <c r="A2" s="279" t="s">
        <v>1084</v>
      </c>
      <c r="B2" s="279"/>
      <c r="C2" s="279"/>
      <c r="D2" s="279"/>
      <c r="E2" s="279"/>
      <c r="F2" s="279"/>
      <c r="G2" s="279"/>
    </row>
    <row r="3" spans="1:7" ht="9" customHeight="1" x14ac:dyDescent="0.25">
      <c r="A3" s="31"/>
      <c r="B3" s="206"/>
      <c r="C3" s="206"/>
      <c r="D3" s="206"/>
      <c r="E3" s="206"/>
      <c r="F3" s="206"/>
      <c r="G3" s="206"/>
    </row>
    <row r="4" spans="1:7" ht="27.75" customHeight="1" x14ac:dyDescent="0.25">
      <c r="A4" s="353" t="s">
        <v>1085</v>
      </c>
      <c r="B4" s="353"/>
      <c r="C4" s="353"/>
      <c r="D4" s="353"/>
      <c r="E4" s="353"/>
      <c r="F4" s="353"/>
      <c r="G4" s="353"/>
    </row>
    <row r="5" spans="1:7" ht="13.5" customHeight="1" x14ac:dyDescent="0.25">
      <c r="A5" s="285" t="s">
        <v>415</v>
      </c>
      <c r="B5" s="285"/>
      <c r="C5" s="285"/>
      <c r="D5" s="285"/>
      <c r="E5" s="285"/>
      <c r="F5" s="285"/>
      <c r="G5" s="285"/>
    </row>
    <row r="6" spans="1:7" ht="8.25" customHeight="1" x14ac:dyDescent="0.25">
      <c r="A6" s="31"/>
      <c r="B6" s="206"/>
      <c r="C6" s="206"/>
      <c r="D6" s="206"/>
      <c r="E6" s="206"/>
      <c r="F6" s="206"/>
      <c r="G6" s="206"/>
    </row>
    <row r="7" spans="1:7" ht="12.75" customHeight="1" x14ac:dyDescent="0.25">
      <c r="A7" s="61" t="s">
        <v>60</v>
      </c>
      <c r="B7" s="208" t="s">
        <v>4</v>
      </c>
      <c r="C7" s="208" t="s">
        <v>61</v>
      </c>
      <c r="D7" s="208"/>
      <c r="E7" s="208"/>
      <c r="F7" s="208"/>
      <c r="G7" s="208"/>
    </row>
    <row r="8" spans="1:7" ht="12.75" customHeight="1" x14ac:dyDescent="0.25">
      <c r="A8" s="31"/>
      <c r="B8" s="207" t="s">
        <v>6</v>
      </c>
      <c r="C8" s="207" t="s">
        <v>7</v>
      </c>
      <c r="D8" s="207"/>
      <c r="E8" s="207"/>
      <c r="F8" s="207"/>
      <c r="G8" s="207"/>
    </row>
    <row r="9" spans="1:7" ht="12.75" customHeight="1" x14ac:dyDescent="0.25">
      <c r="A9" s="61" t="s">
        <v>62</v>
      </c>
      <c r="B9" s="208" t="s">
        <v>8</v>
      </c>
      <c r="C9" s="208" t="s">
        <v>64</v>
      </c>
      <c r="D9" s="208"/>
      <c r="E9" s="208"/>
      <c r="F9" s="208"/>
      <c r="G9" s="208"/>
    </row>
    <row r="10" spans="1:7" ht="12.75" customHeight="1" x14ac:dyDescent="0.25">
      <c r="A10" s="31"/>
      <c r="B10" s="207" t="s">
        <v>65</v>
      </c>
      <c r="C10" s="207" t="s">
        <v>66</v>
      </c>
      <c r="D10" s="207"/>
      <c r="E10" s="207"/>
      <c r="F10" s="207"/>
      <c r="G10" s="207"/>
    </row>
    <row r="11" spans="1:7" ht="12.75" customHeight="1" x14ac:dyDescent="0.25">
      <c r="A11" s="61" t="s">
        <v>67</v>
      </c>
      <c r="B11" s="208" t="s">
        <v>12</v>
      </c>
      <c r="C11" s="208" t="s">
        <v>68</v>
      </c>
      <c r="D11" s="208"/>
      <c r="E11" s="208"/>
      <c r="F11" s="208"/>
      <c r="G11" s="208"/>
    </row>
    <row r="12" spans="1:7" ht="12.75" customHeight="1" x14ac:dyDescent="0.25">
      <c r="A12" s="31"/>
      <c r="B12" s="207" t="s">
        <v>69</v>
      </c>
      <c r="C12" s="207" t="s">
        <v>70</v>
      </c>
      <c r="D12" s="207"/>
      <c r="E12" s="207"/>
      <c r="F12" s="207"/>
      <c r="G12" s="207"/>
    </row>
    <row r="13" spans="1:7" ht="12.75" customHeight="1" x14ac:dyDescent="0.25">
      <c r="A13" s="61" t="s">
        <v>71</v>
      </c>
      <c r="B13" s="208" t="s">
        <v>16</v>
      </c>
      <c r="C13" s="208" t="s">
        <v>1086</v>
      </c>
      <c r="D13" s="208"/>
      <c r="E13" s="208"/>
      <c r="F13" s="208"/>
      <c r="G13" s="208"/>
    </row>
    <row r="14" spans="1:7" ht="12.75" customHeight="1" x14ac:dyDescent="0.25">
      <c r="A14" s="31"/>
      <c r="B14" s="207" t="s">
        <v>17</v>
      </c>
      <c r="C14" s="207" t="s">
        <v>1087</v>
      </c>
      <c r="D14" s="207"/>
      <c r="E14" s="207"/>
      <c r="F14" s="207"/>
      <c r="G14" s="207"/>
    </row>
    <row r="15" spans="1:7" ht="15" customHeight="1" x14ac:dyDescent="0.25">
      <c r="A15" s="37"/>
      <c r="B15" s="209"/>
      <c r="D15" s="210"/>
      <c r="E15" s="210"/>
      <c r="F15" s="300" t="s">
        <v>74</v>
      </c>
      <c r="G15" s="300"/>
    </row>
    <row r="16" spans="1:7" s="229" customFormat="1" ht="63" x14ac:dyDescent="0.25">
      <c r="A16" s="227" t="s">
        <v>418</v>
      </c>
      <c r="B16" s="228" t="s">
        <v>1088</v>
      </c>
      <c r="C16" s="228" t="s">
        <v>77</v>
      </c>
      <c r="D16" s="228" t="s">
        <v>420</v>
      </c>
      <c r="E16" s="228" t="s">
        <v>421</v>
      </c>
      <c r="F16" s="228" t="s">
        <v>422</v>
      </c>
      <c r="G16" s="40" t="s">
        <v>423</v>
      </c>
    </row>
    <row r="17" spans="1:7" ht="21" x14ac:dyDescent="0.25">
      <c r="A17" s="211" t="s">
        <v>80</v>
      </c>
      <c r="B17" s="212" t="s">
        <v>1089</v>
      </c>
      <c r="C17" s="230" t="s">
        <v>424</v>
      </c>
      <c r="D17" s="213">
        <v>0</v>
      </c>
      <c r="E17" s="213">
        <v>0</v>
      </c>
      <c r="F17" s="213">
        <v>0</v>
      </c>
      <c r="G17" s="45">
        <v>0</v>
      </c>
    </row>
    <row r="18" spans="1:7" x14ac:dyDescent="0.25">
      <c r="A18" s="214" t="s">
        <v>60</v>
      </c>
      <c r="B18" s="215" t="s">
        <v>425</v>
      </c>
      <c r="C18" s="231" t="s">
        <v>426</v>
      </c>
      <c r="D18" s="216">
        <v>577160</v>
      </c>
      <c r="E18" s="216">
        <v>69200</v>
      </c>
      <c r="F18" s="216">
        <v>39939472000</v>
      </c>
      <c r="G18" s="50">
        <v>1.78E-2</v>
      </c>
    </row>
    <row r="19" spans="1:7" x14ac:dyDescent="0.25">
      <c r="A19" s="214" t="s">
        <v>62</v>
      </c>
      <c r="B19" s="215" t="s">
        <v>427</v>
      </c>
      <c r="C19" s="231" t="s">
        <v>428</v>
      </c>
      <c r="D19" s="216">
        <v>5175950</v>
      </c>
      <c r="E19" s="216">
        <v>26550</v>
      </c>
      <c r="F19" s="216">
        <v>137421472500</v>
      </c>
      <c r="G19" s="50">
        <v>6.1100000000000002E-2</v>
      </c>
    </row>
    <row r="20" spans="1:7" x14ac:dyDescent="0.25">
      <c r="A20" s="214" t="s">
        <v>67</v>
      </c>
      <c r="B20" s="215" t="s">
        <v>429</v>
      </c>
      <c r="C20" s="231" t="s">
        <v>430</v>
      </c>
      <c r="D20" s="216">
        <v>6688650</v>
      </c>
      <c r="E20" s="216">
        <v>10100</v>
      </c>
      <c r="F20" s="216">
        <v>67555365000</v>
      </c>
      <c r="G20" s="50">
        <v>0.03</v>
      </c>
    </row>
    <row r="21" spans="1:7" x14ac:dyDescent="0.25">
      <c r="A21" s="214" t="s">
        <v>71</v>
      </c>
      <c r="B21" s="215" t="s">
        <v>431</v>
      </c>
      <c r="C21" s="231" t="s">
        <v>432</v>
      </c>
      <c r="D21" s="216">
        <v>6392471</v>
      </c>
      <c r="E21" s="216">
        <v>50000</v>
      </c>
      <c r="F21" s="216">
        <v>319623550000</v>
      </c>
      <c r="G21" s="50">
        <v>0.14219999999999999</v>
      </c>
    </row>
    <row r="22" spans="1:7" x14ac:dyDescent="0.25">
      <c r="A22" s="214" t="s">
        <v>320</v>
      </c>
      <c r="B22" s="215" t="s">
        <v>433</v>
      </c>
      <c r="C22" s="231" t="s">
        <v>434</v>
      </c>
      <c r="D22" s="216">
        <v>3827166</v>
      </c>
      <c r="E22" s="216">
        <v>23950</v>
      </c>
      <c r="F22" s="216">
        <v>91660625700</v>
      </c>
      <c r="G22" s="50">
        <v>4.0800000000000003E-2</v>
      </c>
    </row>
    <row r="23" spans="1:7" x14ac:dyDescent="0.25">
      <c r="A23" s="214" t="s">
        <v>329</v>
      </c>
      <c r="B23" s="215" t="s">
        <v>435</v>
      </c>
      <c r="C23" s="231" t="s">
        <v>436</v>
      </c>
      <c r="D23" s="216">
        <v>5033093</v>
      </c>
      <c r="E23" s="216">
        <v>24250</v>
      </c>
      <c r="F23" s="216">
        <v>122052505250</v>
      </c>
      <c r="G23" s="50">
        <v>5.4300000000000001E-2</v>
      </c>
    </row>
    <row r="24" spans="1:7" x14ac:dyDescent="0.25">
      <c r="A24" s="214" t="s">
        <v>342</v>
      </c>
      <c r="B24" s="215" t="s">
        <v>437</v>
      </c>
      <c r="C24" s="231" t="s">
        <v>438</v>
      </c>
      <c r="D24" s="216">
        <v>10054469</v>
      </c>
      <c r="E24" s="216">
        <v>19750</v>
      </c>
      <c r="F24" s="216">
        <v>198575762750</v>
      </c>
      <c r="G24" s="50">
        <v>8.8300000000000003E-2</v>
      </c>
    </row>
    <row r="25" spans="1:7" x14ac:dyDescent="0.25">
      <c r="A25" s="214" t="s">
        <v>349</v>
      </c>
      <c r="B25" s="215" t="s">
        <v>439</v>
      </c>
      <c r="C25" s="231" t="s">
        <v>440</v>
      </c>
      <c r="D25" s="216">
        <v>3663460</v>
      </c>
      <c r="E25" s="216">
        <v>104300</v>
      </c>
      <c r="F25" s="216">
        <v>382098878000</v>
      </c>
      <c r="G25" s="50">
        <v>0.1699</v>
      </c>
    </row>
    <row r="26" spans="1:7" x14ac:dyDescent="0.25">
      <c r="A26" s="214" t="s">
        <v>441</v>
      </c>
      <c r="B26" s="215" t="s">
        <v>442</v>
      </c>
      <c r="C26" s="231" t="s">
        <v>443</v>
      </c>
      <c r="D26" s="216">
        <v>2284452</v>
      </c>
      <c r="E26" s="216">
        <v>25750</v>
      </c>
      <c r="F26" s="216">
        <v>58824639000</v>
      </c>
      <c r="G26" s="50">
        <v>2.6200000000000001E-2</v>
      </c>
    </row>
    <row r="27" spans="1:7" x14ac:dyDescent="0.25">
      <c r="A27" s="214" t="s">
        <v>444</v>
      </c>
      <c r="B27" s="215" t="s">
        <v>445</v>
      </c>
      <c r="C27" s="231" t="s">
        <v>446</v>
      </c>
      <c r="D27" s="216">
        <v>2741940</v>
      </c>
      <c r="E27" s="216">
        <v>60900</v>
      </c>
      <c r="F27" s="216">
        <v>166984146000</v>
      </c>
      <c r="G27" s="50">
        <v>7.4300000000000005E-2</v>
      </c>
    </row>
    <row r="28" spans="1:7" x14ac:dyDescent="0.25">
      <c r="A28" s="214" t="s">
        <v>447</v>
      </c>
      <c r="B28" s="215" t="s">
        <v>448</v>
      </c>
      <c r="C28" s="231" t="s">
        <v>449</v>
      </c>
      <c r="D28" s="216">
        <v>2363153</v>
      </c>
      <c r="E28" s="216">
        <v>40200</v>
      </c>
      <c r="F28" s="216">
        <v>94998750600</v>
      </c>
      <c r="G28" s="50">
        <v>4.2299999999999997E-2</v>
      </c>
    </row>
    <row r="29" spans="1:7" x14ac:dyDescent="0.25">
      <c r="A29" s="214" t="s">
        <v>450</v>
      </c>
      <c r="B29" s="215" t="s">
        <v>451</v>
      </c>
      <c r="C29" s="231" t="s">
        <v>452</v>
      </c>
      <c r="D29" s="216">
        <v>10792930</v>
      </c>
      <c r="E29" s="216">
        <v>22600</v>
      </c>
      <c r="F29" s="216">
        <v>243920218000</v>
      </c>
      <c r="G29" s="50">
        <v>0.1085</v>
      </c>
    </row>
    <row r="30" spans="1:7" x14ac:dyDescent="0.25">
      <c r="A30" s="214" t="s">
        <v>453</v>
      </c>
      <c r="B30" s="215" t="s">
        <v>454</v>
      </c>
      <c r="C30" s="231" t="s">
        <v>455</v>
      </c>
      <c r="D30" s="216">
        <v>3382507</v>
      </c>
      <c r="E30" s="216">
        <v>23450</v>
      </c>
      <c r="F30" s="216">
        <v>79319789150</v>
      </c>
      <c r="G30" s="50">
        <v>3.5299999999999998E-2</v>
      </c>
    </row>
    <row r="31" spans="1:7" x14ac:dyDescent="0.25">
      <c r="A31" s="214" t="s">
        <v>456</v>
      </c>
      <c r="B31" s="215" t="s">
        <v>457</v>
      </c>
      <c r="C31" s="231" t="s">
        <v>458</v>
      </c>
      <c r="D31" s="216">
        <v>9644150</v>
      </c>
      <c r="E31" s="216">
        <v>23750</v>
      </c>
      <c r="F31" s="216">
        <v>229048562500</v>
      </c>
      <c r="G31" s="50">
        <v>0.1019</v>
      </c>
    </row>
    <row r="32" spans="1:7" ht="21" x14ac:dyDescent="0.25">
      <c r="A32" s="217"/>
      <c r="B32" s="218" t="s">
        <v>463</v>
      </c>
      <c r="C32" s="232" t="s">
        <v>460</v>
      </c>
      <c r="D32" s="219"/>
      <c r="E32" s="219">
        <v>0</v>
      </c>
      <c r="F32" s="219">
        <v>2232023736450</v>
      </c>
      <c r="G32" s="45">
        <v>0.99270000000000003</v>
      </c>
    </row>
    <row r="33" spans="1:7" ht="21" x14ac:dyDescent="0.25">
      <c r="A33" s="217" t="s">
        <v>164</v>
      </c>
      <c r="B33" s="218" t="s">
        <v>1090</v>
      </c>
      <c r="C33" s="232" t="s">
        <v>462</v>
      </c>
      <c r="D33" s="219">
        <v>0</v>
      </c>
      <c r="E33" s="219">
        <v>0</v>
      </c>
      <c r="F33" s="219">
        <v>0</v>
      </c>
      <c r="G33" s="45">
        <v>0</v>
      </c>
    </row>
    <row r="34" spans="1:7" ht="21" x14ac:dyDescent="0.25">
      <c r="A34" s="214"/>
      <c r="B34" s="215" t="s">
        <v>1091</v>
      </c>
      <c r="C34" s="231" t="s">
        <v>464</v>
      </c>
      <c r="D34" s="216">
        <v>0</v>
      </c>
      <c r="E34" s="216">
        <v>0</v>
      </c>
      <c r="F34" s="216">
        <v>0</v>
      </c>
      <c r="G34" s="50">
        <v>0</v>
      </c>
    </row>
    <row r="35" spans="1:7" ht="21" x14ac:dyDescent="0.25">
      <c r="A35" s="217"/>
      <c r="B35" s="218" t="s">
        <v>1092</v>
      </c>
      <c r="C35" s="232" t="s">
        <v>466</v>
      </c>
      <c r="D35" s="219"/>
      <c r="E35" s="219">
        <v>0</v>
      </c>
      <c r="F35" s="219">
        <v>2232023736450</v>
      </c>
      <c r="G35" s="45">
        <v>0.99270000000000003</v>
      </c>
    </row>
    <row r="36" spans="1:7" ht="21" x14ac:dyDescent="0.25">
      <c r="A36" s="217" t="s">
        <v>368</v>
      </c>
      <c r="B36" s="218" t="s">
        <v>1093</v>
      </c>
      <c r="C36" s="232" t="s">
        <v>467</v>
      </c>
      <c r="D36" s="219">
        <v>0</v>
      </c>
      <c r="E36" s="219">
        <v>0</v>
      </c>
      <c r="F36" s="219">
        <v>0</v>
      </c>
      <c r="G36" s="45">
        <v>0</v>
      </c>
    </row>
    <row r="37" spans="1:7" ht="21" x14ac:dyDescent="0.25">
      <c r="A37" s="217"/>
      <c r="B37" s="218" t="s">
        <v>463</v>
      </c>
      <c r="C37" s="232" t="s">
        <v>468</v>
      </c>
      <c r="D37" s="219">
        <v>0</v>
      </c>
      <c r="E37" s="219">
        <v>0</v>
      </c>
      <c r="F37" s="219">
        <v>0</v>
      </c>
      <c r="G37" s="45">
        <v>0</v>
      </c>
    </row>
    <row r="38" spans="1:7" ht="21" x14ac:dyDescent="0.25">
      <c r="A38" s="217" t="s">
        <v>371</v>
      </c>
      <c r="B38" s="218" t="s">
        <v>1094</v>
      </c>
      <c r="C38" s="232" t="s">
        <v>470</v>
      </c>
      <c r="D38" s="219">
        <v>0</v>
      </c>
      <c r="E38" s="219">
        <v>0</v>
      </c>
      <c r="F38" s="219">
        <v>0</v>
      </c>
      <c r="G38" s="45">
        <v>0</v>
      </c>
    </row>
    <row r="39" spans="1:7" ht="21" x14ac:dyDescent="0.25">
      <c r="A39" s="214" t="s">
        <v>60</v>
      </c>
      <c r="B39" s="215" t="s">
        <v>1095</v>
      </c>
      <c r="C39" s="231" t="s">
        <v>472</v>
      </c>
      <c r="D39" s="216">
        <v>0</v>
      </c>
      <c r="E39" s="216">
        <v>0</v>
      </c>
      <c r="F39" s="216">
        <v>0</v>
      </c>
      <c r="G39" s="50">
        <v>0</v>
      </c>
    </row>
    <row r="40" spans="1:7" ht="21" x14ac:dyDescent="0.25">
      <c r="A40" s="214" t="s">
        <v>62</v>
      </c>
      <c r="B40" s="215" t="s">
        <v>1096</v>
      </c>
      <c r="C40" s="231" t="s">
        <v>474</v>
      </c>
      <c r="D40" s="216">
        <v>0</v>
      </c>
      <c r="E40" s="216">
        <v>0</v>
      </c>
      <c r="F40" s="216">
        <v>0</v>
      </c>
      <c r="G40" s="50">
        <v>0</v>
      </c>
    </row>
    <row r="41" spans="1:7" ht="21" x14ac:dyDescent="0.25">
      <c r="A41" s="214"/>
      <c r="B41" s="215" t="s">
        <v>1091</v>
      </c>
      <c r="C41" s="231" t="s">
        <v>475</v>
      </c>
      <c r="D41" s="216">
        <v>0</v>
      </c>
      <c r="E41" s="216">
        <v>0</v>
      </c>
      <c r="F41" s="216">
        <v>0</v>
      </c>
      <c r="G41" s="50">
        <v>0</v>
      </c>
    </row>
    <row r="42" spans="1:7" ht="21" x14ac:dyDescent="0.25">
      <c r="A42" s="217"/>
      <c r="B42" s="218" t="s">
        <v>1097</v>
      </c>
      <c r="C42" s="232" t="s">
        <v>477</v>
      </c>
      <c r="D42" s="219"/>
      <c r="E42" s="219">
        <v>0</v>
      </c>
      <c r="F42" s="219">
        <v>2232023736450</v>
      </c>
      <c r="G42" s="45">
        <v>0.99270000000000003</v>
      </c>
    </row>
    <row r="43" spans="1:7" ht="21" x14ac:dyDescent="0.25">
      <c r="A43" s="217" t="s">
        <v>384</v>
      </c>
      <c r="B43" s="218" t="s">
        <v>1098</v>
      </c>
      <c r="C43" s="232" t="s">
        <v>479</v>
      </c>
      <c r="D43" s="219">
        <v>0</v>
      </c>
      <c r="E43" s="219">
        <v>0</v>
      </c>
      <c r="F43" s="219">
        <v>0</v>
      </c>
      <c r="G43" s="45">
        <v>0</v>
      </c>
    </row>
    <row r="44" spans="1:7" ht="21" x14ac:dyDescent="0.25">
      <c r="A44" s="214" t="s">
        <v>60</v>
      </c>
      <c r="B44" s="215" t="s">
        <v>1099</v>
      </c>
      <c r="C44" s="231" t="s">
        <v>481</v>
      </c>
      <c r="D44" s="216">
        <v>0</v>
      </c>
      <c r="E44" s="216">
        <v>0</v>
      </c>
      <c r="F44" s="216">
        <v>0</v>
      </c>
      <c r="G44" s="50">
        <v>0</v>
      </c>
    </row>
    <row r="45" spans="1:7" ht="21" x14ac:dyDescent="0.25">
      <c r="A45" s="214" t="s">
        <v>62</v>
      </c>
      <c r="B45" s="215" t="s">
        <v>1100</v>
      </c>
      <c r="C45" s="231" t="s">
        <v>483</v>
      </c>
      <c r="D45" s="216">
        <v>0</v>
      </c>
      <c r="E45" s="216">
        <v>0</v>
      </c>
      <c r="F45" s="216">
        <v>0</v>
      </c>
      <c r="G45" s="50">
        <v>0</v>
      </c>
    </row>
    <row r="46" spans="1:7" ht="21" x14ac:dyDescent="0.25">
      <c r="A46" s="214" t="s">
        <v>67</v>
      </c>
      <c r="B46" s="215" t="s">
        <v>1101</v>
      </c>
      <c r="C46" s="231" t="s">
        <v>485</v>
      </c>
      <c r="D46" s="216">
        <v>0</v>
      </c>
      <c r="E46" s="216">
        <v>0</v>
      </c>
      <c r="F46" s="216">
        <v>13545203</v>
      </c>
      <c r="G46" s="50">
        <v>0</v>
      </c>
    </row>
    <row r="47" spans="1:7" ht="31.5" x14ac:dyDescent="0.25">
      <c r="A47" s="214" t="s">
        <v>71</v>
      </c>
      <c r="B47" s="215" t="s">
        <v>1102</v>
      </c>
      <c r="C47" s="231" t="s">
        <v>487</v>
      </c>
      <c r="D47" s="216">
        <v>0</v>
      </c>
      <c r="E47" s="216">
        <v>0</v>
      </c>
      <c r="F47" s="216">
        <v>1581941500</v>
      </c>
      <c r="G47" s="50">
        <v>6.9999999999999999E-4</v>
      </c>
    </row>
    <row r="48" spans="1:7" ht="42" x14ac:dyDescent="0.25">
      <c r="A48" s="214" t="s">
        <v>320</v>
      </c>
      <c r="B48" s="215" t="s">
        <v>1103</v>
      </c>
      <c r="C48" s="231" t="s">
        <v>489</v>
      </c>
      <c r="D48" s="216">
        <v>0</v>
      </c>
      <c r="E48" s="216">
        <v>0</v>
      </c>
      <c r="F48" s="216">
        <v>0</v>
      </c>
      <c r="G48" s="50">
        <v>0</v>
      </c>
    </row>
    <row r="49" spans="1:7" ht="21" x14ac:dyDescent="0.25">
      <c r="A49" s="214" t="s">
        <v>329</v>
      </c>
      <c r="B49" s="215" t="s">
        <v>1104</v>
      </c>
      <c r="C49" s="231" t="s">
        <v>491</v>
      </c>
      <c r="D49" s="216">
        <v>0</v>
      </c>
      <c r="E49" s="216">
        <v>0</v>
      </c>
      <c r="F49" s="216">
        <v>0</v>
      </c>
      <c r="G49" s="50">
        <v>0</v>
      </c>
    </row>
    <row r="50" spans="1:7" ht="31.5" x14ac:dyDescent="0.25">
      <c r="A50" s="214" t="s">
        <v>342</v>
      </c>
      <c r="B50" s="215" t="s">
        <v>153</v>
      </c>
      <c r="C50" s="231" t="s">
        <v>492</v>
      </c>
      <c r="D50" s="216">
        <v>0</v>
      </c>
      <c r="E50" s="216">
        <v>0</v>
      </c>
      <c r="F50" s="216">
        <v>0</v>
      </c>
      <c r="G50" s="50">
        <v>0</v>
      </c>
    </row>
    <row r="51" spans="1:7" ht="42" x14ac:dyDescent="0.25">
      <c r="A51" s="214" t="s">
        <v>349</v>
      </c>
      <c r="B51" s="215" t="s">
        <v>844</v>
      </c>
      <c r="C51" s="231" t="s">
        <v>494</v>
      </c>
      <c r="D51" s="216">
        <v>0</v>
      </c>
      <c r="E51" s="216">
        <v>0</v>
      </c>
      <c r="F51" s="216">
        <v>0</v>
      </c>
      <c r="G51" s="50">
        <v>0</v>
      </c>
    </row>
    <row r="52" spans="1:7" ht="31.5" x14ac:dyDescent="0.25">
      <c r="A52" s="214" t="s">
        <v>441</v>
      </c>
      <c r="B52" s="215" t="s">
        <v>495</v>
      </c>
      <c r="C52" s="231" t="s">
        <v>496</v>
      </c>
      <c r="D52" s="216">
        <v>0</v>
      </c>
      <c r="E52" s="216">
        <v>0</v>
      </c>
      <c r="F52" s="216">
        <v>0</v>
      </c>
      <c r="G52" s="50">
        <v>0</v>
      </c>
    </row>
    <row r="53" spans="1:7" ht="42" x14ac:dyDescent="0.25">
      <c r="A53" s="214" t="s">
        <v>444</v>
      </c>
      <c r="B53" s="215" t="s">
        <v>497</v>
      </c>
      <c r="C53" s="231" t="s">
        <v>498</v>
      </c>
      <c r="D53" s="216">
        <v>0</v>
      </c>
      <c r="E53" s="216">
        <v>0</v>
      </c>
      <c r="F53" s="216">
        <v>0</v>
      </c>
      <c r="G53" s="50">
        <v>0</v>
      </c>
    </row>
    <row r="54" spans="1:7" ht="21" x14ac:dyDescent="0.25">
      <c r="A54" s="217"/>
      <c r="B54" s="218" t="s">
        <v>1091</v>
      </c>
      <c r="C54" s="232" t="s">
        <v>499</v>
      </c>
      <c r="D54" s="219">
        <v>0</v>
      </c>
      <c r="E54" s="219">
        <v>0</v>
      </c>
      <c r="F54" s="219">
        <v>1595486703</v>
      </c>
      <c r="G54" s="45">
        <v>6.9999999999999999E-4</v>
      </c>
    </row>
    <row r="55" spans="1:7" ht="21" x14ac:dyDescent="0.25">
      <c r="A55" s="217" t="s">
        <v>387</v>
      </c>
      <c r="B55" s="218" t="s">
        <v>1105</v>
      </c>
      <c r="C55" s="232" t="s">
        <v>500</v>
      </c>
      <c r="D55" s="219">
        <v>0</v>
      </c>
      <c r="E55" s="219">
        <v>0</v>
      </c>
      <c r="F55" s="219">
        <v>0</v>
      </c>
      <c r="G55" s="45">
        <v>0</v>
      </c>
    </row>
    <row r="56" spans="1:7" ht="21" x14ac:dyDescent="0.25">
      <c r="A56" s="214" t="s">
        <v>60</v>
      </c>
      <c r="B56" s="215" t="s">
        <v>1106</v>
      </c>
      <c r="C56" s="231" t="s">
        <v>502</v>
      </c>
      <c r="D56" s="216">
        <v>0</v>
      </c>
      <c r="E56" s="216">
        <v>0</v>
      </c>
      <c r="F56" s="216">
        <v>14866265764</v>
      </c>
      <c r="G56" s="50">
        <v>6.6E-3</v>
      </c>
    </row>
    <row r="57" spans="1:7" ht="21" x14ac:dyDescent="0.25">
      <c r="A57" s="214"/>
      <c r="B57" s="215" t="s">
        <v>1107</v>
      </c>
      <c r="C57" s="231" t="s">
        <v>503</v>
      </c>
      <c r="D57" s="216">
        <v>0</v>
      </c>
      <c r="E57" s="216">
        <v>0</v>
      </c>
      <c r="F57" s="216">
        <v>1366265764</v>
      </c>
      <c r="G57" s="50">
        <v>5.9999999999999995E-4</v>
      </c>
    </row>
    <row r="58" spans="1:7" ht="21" x14ac:dyDescent="0.25">
      <c r="A58" s="214"/>
      <c r="B58" s="215" t="s">
        <v>1108</v>
      </c>
      <c r="C58" s="231" t="s">
        <v>504</v>
      </c>
      <c r="D58" s="216">
        <v>0</v>
      </c>
      <c r="E58" s="216">
        <v>0</v>
      </c>
      <c r="F58" s="216">
        <v>13500000000</v>
      </c>
      <c r="G58" s="50">
        <v>6.0000000000000001E-3</v>
      </c>
    </row>
    <row r="59" spans="1:7" ht="21" x14ac:dyDescent="0.25">
      <c r="A59" s="214"/>
      <c r="B59" s="215" t="s">
        <v>1109</v>
      </c>
      <c r="C59" s="231" t="s">
        <v>506</v>
      </c>
      <c r="D59" s="216">
        <v>0</v>
      </c>
      <c r="E59" s="216">
        <v>0</v>
      </c>
      <c r="F59" s="216">
        <v>0</v>
      </c>
      <c r="G59" s="50">
        <v>0</v>
      </c>
    </row>
    <row r="60" spans="1:7" ht="21" x14ac:dyDescent="0.25">
      <c r="A60" s="214" t="s">
        <v>62</v>
      </c>
      <c r="B60" s="215" t="s">
        <v>1110</v>
      </c>
      <c r="C60" s="231" t="s">
        <v>508</v>
      </c>
      <c r="D60" s="216">
        <v>0</v>
      </c>
      <c r="E60" s="216">
        <v>0</v>
      </c>
      <c r="F60" s="216">
        <v>0</v>
      </c>
      <c r="G60" s="50">
        <v>0</v>
      </c>
    </row>
    <row r="61" spans="1:7" ht="21" x14ac:dyDescent="0.25">
      <c r="A61" s="214" t="s">
        <v>67</v>
      </c>
      <c r="B61" s="215" t="s">
        <v>1111</v>
      </c>
      <c r="C61" s="231" t="s">
        <v>510</v>
      </c>
      <c r="D61" s="216">
        <v>0</v>
      </c>
      <c r="E61" s="216">
        <v>0</v>
      </c>
      <c r="F61" s="216">
        <v>0</v>
      </c>
      <c r="G61" s="50">
        <v>0</v>
      </c>
    </row>
    <row r="62" spans="1:7" ht="21" x14ac:dyDescent="0.25">
      <c r="A62" s="217"/>
      <c r="B62" s="218" t="s">
        <v>1091</v>
      </c>
      <c r="C62" s="232" t="s">
        <v>511</v>
      </c>
      <c r="D62" s="219">
        <v>0</v>
      </c>
      <c r="E62" s="219">
        <v>0</v>
      </c>
      <c r="F62" s="219">
        <v>14866265764</v>
      </c>
      <c r="G62" s="45">
        <v>6.6E-3</v>
      </c>
    </row>
    <row r="63" spans="1:7" ht="21" x14ac:dyDescent="0.25">
      <c r="A63" s="220" t="s">
        <v>390</v>
      </c>
      <c r="B63" s="221" t="s">
        <v>1112</v>
      </c>
      <c r="C63" s="233" t="s">
        <v>513</v>
      </c>
      <c r="D63" s="222"/>
      <c r="E63" s="222">
        <v>0</v>
      </c>
      <c r="F63" s="222">
        <v>2248485488917</v>
      </c>
      <c r="G63" s="60">
        <v>1</v>
      </c>
    </row>
    <row r="64" spans="1:7" ht="15.75" customHeight="1" x14ac:dyDescent="0.25">
      <c r="A64" s="88"/>
    </row>
    <row r="65" spans="1:7" ht="29.25" customHeight="1" x14ac:dyDescent="0.25">
      <c r="A65" s="89"/>
    </row>
    <row r="66" spans="1:7" ht="9.75" customHeight="1" x14ac:dyDescent="0.25">
      <c r="A66" s="31"/>
    </row>
    <row r="67" spans="1:7" s="226" customFormat="1" ht="54" customHeight="1" x14ac:dyDescent="0.25">
      <c r="A67" s="223" t="s">
        <v>27</v>
      </c>
      <c r="B67" s="224" t="s">
        <v>514</v>
      </c>
      <c r="C67" s="224" t="s">
        <v>515</v>
      </c>
      <c r="D67" s="224" t="s">
        <v>516</v>
      </c>
      <c r="E67" s="224" t="s">
        <v>517</v>
      </c>
      <c r="F67" s="224" t="s">
        <v>518</v>
      </c>
      <c r="G67" s="225" t="s">
        <v>519</v>
      </c>
    </row>
    <row r="68" spans="1:7" ht="15.75" customHeight="1" x14ac:dyDescent="0.25">
      <c r="A68" s="35"/>
      <c r="B68" s="31"/>
    </row>
    <row r="69" spans="1:7" ht="15.75" customHeight="1" x14ac:dyDescent="0.25">
      <c r="A69" s="61"/>
      <c r="B69" s="61"/>
    </row>
    <row r="70" spans="1:7" ht="15.75" customHeight="1" x14ac:dyDescent="0.25">
      <c r="A70" s="161"/>
      <c r="B70" s="161"/>
    </row>
    <row r="71" spans="1:7" ht="15.75" customHeight="1" x14ac:dyDescent="0.25">
      <c r="A71" s="205"/>
      <c r="B71" s="205"/>
    </row>
    <row r="74" spans="1:7" ht="15.75" customHeight="1" x14ac:dyDescent="0.25">
      <c r="A74" s="61"/>
      <c r="B74" s="61"/>
    </row>
  </sheetData>
  <mergeCells count="5">
    <mergeCell ref="C1:G1"/>
    <mergeCell ref="A2:G2"/>
    <mergeCell ref="A4:G4"/>
    <mergeCell ref="A5:G5"/>
    <mergeCell ref="F15:G15"/>
  </mergeCells>
  <printOptions horizontalCentered="1"/>
  <pageMargins left="0" right="0" top="0.59" bottom="0.59" header="0.5" footer="0.5"/>
  <pageSetup paperSize="9" scale="91" fitToHeight="2" orientation="portrait" r:id="rId1"/>
  <rowBreaks count="1" manualBreakCount="1">
    <brk id="63"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5"/>
  <sheetViews>
    <sheetView showGridLines="0" showZeros="0" tabSelected="1" showOutlineSymbols="0" view="pageBreakPreview" topLeftCell="A13" zoomScaleNormal="100" zoomScaleSheetLayoutView="100" workbookViewId="0">
      <selection activeCell="A13" sqref="A1:XFD1048576"/>
    </sheetView>
  </sheetViews>
  <sheetFormatPr defaultRowHeight="15" x14ac:dyDescent="0.25"/>
  <cols>
    <col min="1" max="1" width="24.140625" style="365" customWidth="1"/>
    <col min="2" max="2" width="26.42578125" style="365" customWidth="1"/>
    <col min="3" max="3" width="9.140625" style="365"/>
    <col min="4" max="4" width="9.28515625" style="365" customWidth="1"/>
    <col min="5" max="6" width="18.5703125" style="365" customWidth="1"/>
    <col min="7" max="16384" width="9.140625" style="365"/>
  </cols>
  <sheetData>
    <row r="1" spans="1:6" ht="31.5" customHeight="1" x14ac:dyDescent="0.25">
      <c r="A1" s="366"/>
      <c r="B1" s="278" t="s">
        <v>1113</v>
      </c>
      <c r="C1" s="278"/>
      <c r="D1" s="278"/>
      <c r="E1" s="278"/>
      <c r="F1" s="278"/>
    </row>
    <row r="2" spans="1:6" ht="20.25" customHeight="1" x14ac:dyDescent="0.25">
      <c r="A2" s="279" t="s">
        <v>624</v>
      </c>
      <c r="B2" s="279"/>
      <c r="C2" s="279"/>
      <c r="D2" s="279"/>
      <c r="E2" s="279"/>
      <c r="F2" s="279"/>
    </row>
    <row r="3" spans="1:6" x14ac:dyDescent="0.25">
      <c r="A3" s="366"/>
      <c r="B3" s="364"/>
      <c r="C3" s="364"/>
      <c r="D3" s="364"/>
      <c r="E3" s="364"/>
      <c r="F3" s="364"/>
    </row>
    <row r="4" spans="1:6" ht="12.75" customHeight="1" x14ac:dyDescent="0.25">
      <c r="A4" s="278" t="s">
        <v>1114</v>
      </c>
      <c r="B4" s="278"/>
      <c r="C4" s="278"/>
      <c r="D4" s="278"/>
      <c r="E4" s="278"/>
      <c r="F4" s="278"/>
    </row>
    <row r="5" spans="1:6" ht="12.75" customHeight="1" x14ac:dyDescent="0.25">
      <c r="A5" s="372" t="s">
        <v>1115</v>
      </c>
      <c r="B5" s="372"/>
      <c r="C5" s="372"/>
      <c r="D5" s="372"/>
      <c r="E5" s="372"/>
      <c r="F5" s="372"/>
    </row>
    <row r="6" spans="1:6" x14ac:dyDescent="0.25">
      <c r="A6" s="349" t="s">
        <v>269</v>
      </c>
      <c r="B6" s="349"/>
      <c r="C6" s="349"/>
      <c r="D6" s="349"/>
      <c r="E6" s="349"/>
      <c r="F6" s="349"/>
    </row>
    <row r="7" spans="1:6" ht="8.25" customHeight="1" x14ac:dyDescent="0.25">
      <c r="A7" s="366"/>
      <c r="B7" s="364"/>
      <c r="C7" s="364"/>
      <c r="D7" s="369"/>
      <c r="E7" s="369"/>
      <c r="F7" s="369"/>
    </row>
    <row r="8" spans="1:6" ht="12.75" customHeight="1" x14ac:dyDescent="0.25">
      <c r="A8" s="422" t="s">
        <v>4</v>
      </c>
      <c r="B8" s="422"/>
      <c r="C8" s="302" t="s">
        <v>61</v>
      </c>
      <c r="D8" s="302"/>
      <c r="E8" s="302"/>
      <c r="F8" s="302"/>
    </row>
    <row r="9" spans="1:6" ht="12.75" customHeight="1" x14ac:dyDescent="0.25">
      <c r="A9" s="423" t="s">
        <v>6</v>
      </c>
      <c r="B9" s="423"/>
      <c r="C9" s="290" t="s">
        <v>7</v>
      </c>
      <c r="D9" s="290"/>
      <c r="E9" s="290"/>
      <c r="F9" s="290"/>
    </row>
    <row r="10" spans="1:6" ht="12.75" customHeight="1" x14ac:dyDescent="0.25">
      <c r="A10" s="422" t="s">
        <v>8</v>
      </c>
      <c r="B10" s="422"/>
      <c r="C10" s="422" t="s">
        <v>64</v>
      </c>
      <c r="E10" s="422"/>
      <c r="F10" s="422"/>
    </row>
    <row r="11" spans="1:6" ht="12.75" customHeight="1" x14ac:dyDescent="0.25">
      <c r="A11" s="423" t="s">
        <v>65</v>
      </c>
      <c r="B11" s="423"/>
      <c r="C11" s="290" t="s">
        <v>66</v>
      </c>
      <c r="D11" s="290"/>
      <c r="E11" s="290"/>
      <c r="F11" s="290"/>
    </row>
    <row r="12" spans="1:6" ht="12.75" customHeight="1" x14ac:dyDescent="0.25">
      <c r="A12" s="422" t="s">
        <v>12</v>
      </c>
      <c r="B12" s="422"/>
      <c r="C12" s="302" t="s">
        <v>68</v>
      </c>
      <c r="D12" s="302"/>
      <c r="E12" s="302"/>
      <c r="F12" s="302"/>
    </row>
    <row r="13" spans="1:6" ht="12.75" customHeight="1" x14ac:dyDescent="0.25">
      <c r="A13" s="423" t="s">
        <v>69</v>
      </c>
      <c r="B13" s="423"/>
      <c r="C13" s="290" t="s">
        <v>70</v>
      </c>
      <c r="D13" s="290"/>
      <c r="E13" s="290"/>
      <c r="F13" s="290"/>
    </row>
    <row r="14" spans="1:6" ht="12.75" customHeight="1" x14ac:dyDescent="0.25">
      <c r="A14" s="422" t="s">
        <v>16</v>
      </c>
      <c r="B14" s="422"/>
      <c r="C14" s="344">
        <v>44119</v>
      </c>
      <c r="D14" s="344"/>
      <c r="E14" s="344"/>
      <c r="F14" s="344"/>
    </row>
    <row r="15" spans="1:6" ht="12.75" customHeight="1" x14ac:dyDescent="0.25">
      <c r="A15" s="423" t="s">
        <v>17</v>
      </c>
      <c r="B15" s="423"/>
      <c r="C15" s="368">
        <v>44119</v>
      </c>
      <c r="D15" s="368"/>
      <c r="E15" s="368"/>
      <c r="F15" s="368"/>
    </row>
    <row r="16" spans="1:6" x14ac:dyDescent="0.25">
      <c r="A16" s="424"/>
      <c r="B16" s="425"/>
      <c r="C16" s="425"/>
      <c r="D16" s="370" t="s">
        <v>74</v>
      </c>
      <c r="E16" s="370"/>
      <c r="F16" s="370"/>
    </row>
    <row r="17" spans="1:6" s="426" customFormat="1" ht="36" customHeight="1" x14ac:dyDescent="0.25">
      <c r="A17" s="338" t="s">
        <v>1116</v>
      </c>
      <c r="B17" s="340"/>
      <c r="C17" s="239" t="s">
        <v>628</v>
      </c>
      <c r="D17" s="239" t="s">
        <v>629</v>
      </c>
      <c r="E17" s="239" t="s">
        <v>271</v>
      </c>
      <c r="F17" s="240" t="s">
        <v>272</v>
      </c>
    </row>
    <row r="18" spans="1:6" ht="22.5" customHeight="1" x14ac:dyDescent="0.25">
      <c r="A18" s="356" t="s">
        <v>1117</v>
      </c>
      <c r="B18" s="357"/>
      <c r="C18" s="427" t="s">
        <v>80</v>
      </c>
      <c r="D18" s="428"/>
      <c r="E18" s="429">
        <v>0</v>
      </c>
      <c r="F18" s="430">
        <v>0</v>
      </c>
    </row>
    <row r="19" spans="1:6" ht="22.5" customHeight="1" x14ac:dyDescent="0.25">
      <c r="A19" s="356" t="s">
        <v>1118</v>
      </c>
      <c r="B19" s="357"/>
      <c r="C19" s="427" t="s">
        <v>635</v>
      </c>
      <c r="D19" s="428"/>
      <c r="E19" s="431">
        <v>272820337477</v>
      </c>
      <c r="F19" s="432">
        <v>-70906718005</v>
      </c>
    </row>
    <row r="20" spans="1:6" ht="22.5" customHeight="1" x14ac:dyDescent="0.25">
      <c r="A20" s="354" t="s">
        <v>1119</v>
      </c>
      <c r="B20" s="355"/>
      <c r="C20" s="433" t="s">
        <v>1192</v>
      </c>
      <c r="D20" s="434"/>
      <c r="E20" s="435">
        <v>-1448312666</v>
      </c>
      <c r="F20" s="436">
        <v>0</v>
      </c>
    </row>
    <row r="21" spans="1:6" ht="22.5" customHeight="1" x14ac:dyDescent="0.25">
      <c r="A21" s="354" t="s">
        <v>1120</v>
      </c>
      <c r="B21" s="355"/>
      <c r="C21" s="433" t="s">
        <v>1193</v>
      </c>
      <c r="D21" s="434"/>
      <c r="E21" s="435">
        <v>0</v>
      </c>
      <c r="F21" s="436">
        <v>0</v>
      </c>
    </row>
    <row r="22" spans="1:6" ht="31.5" customHeight="1" x14ac:dyDescent="0.25">
      <c r="A22" s="356" t="s">
        <v>1121</v>
      </c>
      <c r="B22" s="357"/>
      <c r="C22" s="427" t="s">
        <v>637</v>
      </c>
      <c r="D22" s="428"/>
      <c r="E22" s="431">
        <v>-265198857319</v>
      </c>
      <c r="F22" s="432">
        <v>70944849069</v>
      </c>
    </row>
    <row r="23" spans="1:6" ht="33.75" customHeight="1" x14ac:dyDescent="0.25">
      <c r="A23" s="354" t="s">
        <v>1122</v>
      </c>
      <c r="B23" s="355"/>
      <c r="C23" s="433" t="s">
        <v>643</v>
      </c>
      <c r="D23" s="434"/>
      <c r="E23" s="435">
        <v>-265217887445</v>
      </c>
      <c r="F23" s="436">
        <v>70919285289</v>
      </c>
    </row>
    <row r="24" spans="1:6" ht="24" customHeight="1" x14ac:dyDescent="0.25">
      <c r="A24" s="354" t="s">
        <v>1123</v>
      </c>
      <c r="B24" s="355"/>
      <c r="C24" s="433" t="s">
        <v>645</v>
      </c>
      <c r="D24" s="434"/>
      <c r="E24" s="435">
        <v>0</v>
      </c>
      <c r="F24" s="436">
        <v>0</v>
      </c>
    </row>
    <row r="25" spans="1:6" ht="26.25" customHeight="1" x14ac:dyDescent="0.25">
      <c r="A25" s="354" t="s">
        <v>1124</v>
      </c>
      <c r="B25" s="355"/>
      <c r="C25" s="433" t="s">
        <v>647</v>
      </c>
      <c r="D25" s="434"/>
      <c r="E25" s="435">
        <v>-265217887445</v>
      </c>
      <c r="F25" s="436">
        <v>70919285289</v>
      </c>
    </row>
    <row r="26" spans="1:6" ht="24" customHeight="1" x14ac:dyDescent="0.25">
      <c r="A26" s="354" t="s">
        <v>1125</v>
      </c>
      <c r="B26" s="355"/>
      <c r="C26" s="433" t="s">
        <v>649</v>
      </c>
      <c r="D26" s="434"/>
      <c r="E26" s="435">
        <v>19030126</v>
      </c>
      <c r="F26" s="436">
        <v>25563780</v>
      </c>
    </row>
    <row r="27" spans="1:6" ht="33.75" customHeight="1" x14ac:dyDescent="0.25">
      <c r="A27" s="356" t="s">
        <v>1126</v>
      </c>
      <c r="B27" s="357"/>
      <c r="C27" s="427" t="s">
        <v>657</v>
      </c>
      <c r="D27" s="428"/>
      <c r="E27" s="431">
        <v>6173167492</v>
      </c>
      <c r="F27" s="432">
        <v>38131064</v>
      </c>
    </row>
    <row r="28" spans="1:6" ht="22.5" customHeight="1" x14ac:dyDescent="0.25">
      <c r="A28" s="354" t="s">
        <v>1127</v>
      </c>
      <c r="B28" s="355"/>
      <c r="C28" s="433" t="s">
        <v>678</v>
      </c>
      <c r="D28" s="434"/>
      <c r="E28" s="435">
        <v>-5762365289</v>
      </c>
      <c r="F28" s="436">
        <v>3515148061</v>
      </c>
    </row>
    <row r="29" spans="1:6" ht="22.5" customHeight="1" x14ac:dyDescent="0.25">
      <c r="A29" s="354" t="s">
        <v>1128</v>
      </c>
      <c r="B29" s="355"/>
      <c r="C29" s="433" t="s">
        <v>659</v>
      </c>
      <c r="D29" s="434"/>
      <c r="E29" s="435">
        <v>-1581941500</v>
      </c>
      <c r="F29" s="436">
        <v>0</v>
      </c>
    </row>
    <row r="30" spans="1:6" ht="22.5" customHeight="1" x14ac:dyDescent="0.25">
      <c r="A30" s="354" t="s">
        <v>1129</v>
      </c>
      <c r="B30" s="355"/>
      <c r="C30" s="433" t="s">
        <v>661</v>
      </c>
      <c r="D30" s="434"/>
      <c r="E30" s="435">
        <v>1126029</v>
      </c>
      <c r="F30" s="436">
        <v>-14671232</v>
      </c>
    </row>
    <row r="31" spans="1:6" ht="22.5" customHeight="1" x14ac:dyDescent="0.25">
      <c r="A31" s="354" t="s">
        <v>1130</v>
      </c>
      <c r="B31" s="355"/>
      <c r="C31" s="433" t="s">
        <v>663</v>
      </c>
      <c r="D31" s="434"/>
      <c r="E31" s="435">
        <v>0</v>
      </c>
      <c r="F31" s="436">
        <v>0</v>
      </c>
    </row>
    <row r="32" spans="1:6" ht="22.5" customHeight="1" x14ac:dyDescent="0.25">
      <c r="A32" s="354" t="s">
        <v>1131</v>
      </c>
      <c r="B32" s="355"/>
      <c r="C32" s="433" t="s">
        <v>665</v>
      </c>
      <c r="D32" s="434"/>
      <c r="E32" s="435">
        <v>0</v>
      </c>
      <c r="F32" s="436">
        <v>0</v>
      </c>
    </row>
    <row r="33" spans="1:6" ht="22.5" customHeight="1" x14ac:dyDescent="0.25">
      <c r="A33" s="354" t="s">
        <v>1132</v>
      </c>
      <c r="B33" s="355"/>
      <c r="C33" s="433" t="s">
        <v>444</v>
      </c>
      <c r="D33" s="434"/>
      <c r="E33" s="435">
        <v>0</v>
      </c>
      <c r="F33" s="436">
        <v>0</v>
      </c>
    </row>
    <row r="34" spans="1:6" ht="22.5" customHeight="1" x14ac:dyDescent="0.25">
      <c r="A34" s="354" t="s">
        <v>1133</v>
      </c>
      <c r="B34" s="355"/>
      <c r="C34" s="433" t="s">
        <v>926</v>
      </c>
      <c r="D34" s="434"/>
      <c r="E34" s="435">
        <v>0</v>
      </c>
      <c r="F34" s="436">
        <v>0</v>
      </c>
    </row>
    <row r="35" spans="1:6" ht="22.5" customHeight="1" x14ac:dyDescent="0.25">
      <c r="A35" s="354" t="s">
        <v>1134</v>
      </c>
      <c r="B35" s="355"/>
      <c r="C35" s="433" t="s">
        <v>447</v>
      </c>
      <c r="D35" s="434"/>
      <c r="E35" s="435">
        <v>0</v>
      </c>
      <c r="F35" s="436">
        <v>0</v>
      </c>
    </row>
    <row r="36" spans="1:6" ht="22.5" customHeight="1" x14ac:dyDescent="0.25">
      <c r="A36" s="354" t="s">
        <v>1135</v>
      </c>
      <c r="B36" s="355"/>
      <c r="C36" s="433" t="s">
        <v>450</v>
      </c>
      <c r="D36" s="434"/>
      <c r="E36" s="435">
        <v>0</v>
      </c>
      <c r="F36" s="436">
        <v>0</v>
      </c>
    </row>
    <row r="37" spans="1:6" ht="22.5" customHeight="1" x14ac:dyDescent="0.25">
      <c r="A37" s="354" t="s">
        <v>1136</v>
      </c>
      <c r="B37" s="355"/>
      <c r="C37" s="433" t="s">
        <v>453</v>
      </c>
      <c r="D37" s="434"/>
      <c r="E37" s="435">
        <v>0</v>
      </c>
      <c r="F37" s="436">
        <v>0</v>
      </c>
    </row>
    <row r="38" spans="1:6" ht="22.5" customHeight="1" x14ac:dyDescent="0.25">
      <c r="A38" s="354" t="s">
        <v>1137</v>
      </c>
      <c r="B38" s="355"/>
      <c r="C38" s="433" t="s">
        <v>456</v>
      </c>
      <c r="D38" s="434"/>
      <c r="E38" s="435">
        <v>0</v>
      </c>
      <c r="F38" s="436">
        <v>0</v>
      </c>
    </row>
    <row r="39" spans="1:6" ht="22.5" customHeight="1" x14ac:dyDescent="0.25">
      <c r="A39" s="354" t="s">
        <v>1138</v>
      </c>
      <c r="B39" s="355"/>
      <c r="C39" s="433" t="s">
        <v>676</v>
      </c>
      <c r="D39" s="434"/>
      <c r="E39" s="435">
        <v>1618848411</v>
      </c>
      <c r="F39" s="436">
        <v>0</v>
      </c>
    </row>
    <row r="40" spans="1:6" ht="22.5" customHeight="1" x14ac:dyDescent="0.25">
      <c r="A40" s="354" t="s">
        <v>1139</v>
      </c>
      <c r="B40" s="355"/>
      <c r="C40" s="433" t="s">
        <v>1140</v>
      </c>
      <c r="D40" s="434"/>
      <c r="E40" s="435">
        <v>0</v>
      </c>
      <c r="F40" s="436"/>
    </row>
    <row r="41" spans="1:6" ht="22.5" customHeight="1" x14ac:dyDescent="0.25">
      <c r="A41" s="354" t="s">
        <v>1141</v>
      </c>
      <c r="B41" s="355"/>
      <c r="C41" s="433" t="s">
        <v>1142</v>
      </c>
      <c r="D41" s="434"/>
      <c r="E41" s="435">
        <v>959663562</v>
      </c>
      <c r="F41" s="436">
        <v>983387067</v>
      </c>
    </row>
    <row r="42" spans="1:6" ht="22.5" customHeight="1" x14ac:dyDescent="0.25">
      <c r="A42" s="354" t="s">
        <v>1143</v>
      </c>
      <c r="B42" s="355"/>
      <c r="C42" s="433" t="s">
        <v>1144</v>
      </c>
      <c r="D42" s="434"/>
      <c r="E42" s="435">
        <v>0</v>
      </c>
      <c r="F42" s="436">
        <v>0</v>
      </c>
    </row>
    <row r="43" spans="1:6" ht="22.5" customHeight="1" x14ac:dyDescent="0.25">
      <c r="A43" s="358" t="s">
        <v>1145</v>
      </c>
      <c r="B43" s="359"/>
      <c r="C43" s="437" t="s">
        <v>1146</v>
      </c>
      <c r="D43" s="438"/>
      <c r="E43" s="439">
        <v>1408498705</v>
      </c>
      <c r="F43" s="440">
        <v>4521994960</v>
      </c>
    </row>
    <row r="44" spans="1:6" ht="22.5" customHeight="1" x14ac:dyDescent="0.25">
      <c r="A44" s="356" t="s">
        <v>1147</v>
      </c>
      <c r="B44" s="357"/>
      <c r="C44" s="427" t="s">
        <v>164</v>
      </c>
      <c r="D44" s="428"/>
      <c r="E44" s="431">
        <v>0</v>
      </c>
      <c r="F44" s="432">
        <v>0</v>
      </c>
    </row>
    <row r="45" spans="1:6" ht="22.5" customHeight="1" x14ac:dyDescent="0.25">
      <c r="A45" s="354" t="s">
        <v>1148</v>
      </c>
      <c r="B45" s="355"/>
      <c r="C45" s="433" t="s">
        <v>744</v>
      </c>
      <c r="D45" s="434"/>
      <c r="E45" s="435">
        <v>4897289490</v>
      </c>
      <c r="F45" s="436">
        <v>4380194583</v>
      </c>
    </row>
    <row r="46" spans="1:6" ht="22.5" customHeight="1" x14ac:dyDescent="0.25">
      <c r="A46" s="354" t="s">
        <v>1149</v>
      </c>
      <c r="B46" s="355"/>
      <c r="C46" s="433" t="s">
        <v>746</v>
      </c>
      <c r="D46" s="434"/>
      <c r="E46" s="435">
        <v>-341711974</v>
      </c>
      <c r="F46" s="436">
        <v>0</v>
      </c>
    </row>
    <row r="47" spans="1:6" ht="22.5" customHeight="1" x14ac:dyDescent="0.25">
      <c r="A47" s="354" t="s">
        <v>1190</v>
      </c>
      <c r="B47" s="355"/>
      <c r="C47" s="433" t="s">
        <v>1150</v>
      </c>
      <c r="D47" s="434"/>
      <c r="E47" s="435">
        <v>0</v>
      </c>
      <c r="F47" s="436">
        <v>0</v>
      </c>
    </row>
    <row r="48" spans="1:6" ht="22.5" customHeight="1" x14ac:dyDescent="0.25">
      <c r="A48" s="354" t="s">
        <v>1151</v>
      </c>
      <c r="B48" s="355"/>
      <c r="C48" s="433" t="s">
        <v>1152</v>
      </c>
      <c r="D48" s="434"/>
      <c r="E48" s="435">
        <v>0</v>
      </c>
      <c r="F48" s="436">
        <v>0</v>
      </c>
    </row>
    <row r="49" spans="1:6" ht="22.5" customHeight="1" x14ac:dyDescent="0.25">
      <c r="A49" s="354" t="s">
        <v>1153</v>
      </c>
      <c r="B49" s="355"/>
      <c r="C49" s="433" t="s">
        <v>1154</v>
      </c>
      <c r="D49" s="434"/>
      <c r="E49" s="435">
        <v>0</v>
      </c>
      <c r="F49" s="436">
        <v>0</v>
      </c>
    </row>
    <row r="50" spans="1:6" ht="22.5" customHeight="1" x14ac:dyDescent="0.25">
      <c r="A50" s="354" t="s">
        <v>1155</v>
      </c>
      <c r="B50" s="355"/>
      <c r="C50" s="433" t="s">
        <v>1156</v>
      </c>
      <c r="D50" s="434"/>
      <c r="E50" s="435">
        <v>0</v>
      </c>
      <c r="F50" s="436">
        <v>0</v>
      </c>
    </row>
    <row r="51" spans="1:6" ht="22.5" customHeight="1" x14ac:dyDescent="0.25">
      <c r="A51" s="358" t="s">
        <v>1157</v>
      </c>
      <c r="B51" s="359"/>
      <c r="C51" s="437" t="s">
        <v>742</v>
      </c>
      <c r="D51" s="438"/>
      <c r="E51" s="439">
        <v>4555577516</v>
      </c>
      <c r="F51" s="440">
        <v>4380194583</v>
      </c>
    </row>
    <row r="52" spans="1:6" ht="22.5" customHeight="1" x14ac:dyDescent="0.25">
      <c r="A52" s="356" t="s">
        <v>1158</v>
      </c>
      <c r="B52" s="357"/>
      <c r="C52" s="427" t="s">
        <v>748</v>
      </c>
      <c r="D52" s="428"/>
      <c r="E52" s="431">
        <v>5964076221</v>
      </c>
      <c r="F52" s="432">
        <v>8902189543</v>
      </c>
    </row>
    <row r="53" spans="1:6" ht="22.5" customHeight="1" x14ac:dyDescent="0.25">
      <c r="A53" s="356" t="s">
        <v>1159</v>
      </c>
      <c r="B53" s="357"/>
      <c r="C53" s="427" t="s">
        <v>1160</v>
      </c>
      <c r="D53" s="428"/>
      <c r="E53" s="431">
        <v>8902189543</v>
      </c>
      <c r="F53" s="432">
        <v>0</v>
      </c>
    </row>
    <row r="54" spans="1:6" ht="22.5" customHeight="1" x14ac:dyDescent="0.25">
      <c r="A54" s="354" t="s">
        <v>1161</v>
      </c>
      <c r="B54" s="355"/>
      <c r="C54" s="433" t="s">
        <v>1162</v>
      </c>
      <c r="D54" s="434"/>
      <c r="E54" s="435">
        <v>8902189543</v>
      </c>
      <c r="F54" s="436">
        <v>0</v>
      </c>
    </row>
    <row r="55" spans="1:6" ht="22.5" customHeight="1" x14ac:dyDescent="0.25">
      <c r="A55" s="354" t="s">
        <v>1163</v>
      </c>
      <c r="B55" s="355"/>
      <c r="C55" s="433" t="s">
        <v>1164</v>
      </c>
      <c r="D55" s="434"/>
      <c r="E55" s="435">
        <v>8828854708</v>
      </c>
      <c r="F55" s="436">
        <v>0</v>
      </c>
    </row>
    <row r="56" spans="1:6" ht="22.5" customHeight="1" x14ac:dyDescent="0.25">
      <c r="A56" s="360" t="s">
        <v>1165</v>
      </c>
      <c r="B56" s="361"/>
      <c r="C56" s="441" t="s">
        <v>1166</v>
      </c>
      <c r="D56" s="442"/>
      <c r="E56" s="443">
        <v>3328854708</v>
      </c>
      <c r="F56" s="444">
        <v>0</v>
      </c>
    </row>
    <row r="57" spans="1:6" ht="22.5" customHeight="1" x14ac:dyDescent="0.25">
      <c r="A57" s="360" t="s">
        <v>1167</v>
      </c>
      <c r="B57" s="361"/>
      <c r="C57" s="441" t="s">
        <v>1168</v>
      </c>
      <c r="D57" s="442"/>
      <c r="E57" s="443">
        <v>5500000000</v>
      </c>
      <c r="F57" s="444">
        <v>0</v>
      </c>
    </row>
    <row r="58" spans="1:6" ht="22.5" customHeight="1" x14ac:dyDescent="0.25">
      <c r="A58" s="354" t="s">
        <v>1169</v>
      </c>
      <c r="B58" s="355"/>
      <c r="C58" s="433" t="s">
        <v>1170</v>
      </c>
      <c r="D58" s="434"/>
      <c r="E58" s="435">
        <v>0</v>
      </c>
      <c r="F58" s="436">
        <v>0</v>
      </c>
    </row>
    <row r="59" spans="1:6" ht="22.5" customHeight="1" x14ac:dyDescent="0.25">
      <c r="A59" s="354" t="s">
        <v>1171</v>
      </c>
      <c r="B59" s="355"/>
      <c r="C59" s="433" t="s">
        <v>1172</v>
      </c>
      <c r="D59" s="434"/>
      <c r="E59" s="435">
        <v>73334835</v>
      </c>
      <c r="F59" s="436">
        <v>0</v>
      </c>
    </row>
    <row r="60" spans="1:6" ht="22.5" customHeight="1" x14ac:dyDescent="0.25">
      <c r="A60" s="356" t="s">
        <v>1173</v>
      </c>
      <c r="B60" s="357"/>
      <c r="C60" s="427" t="s">
        <v>1174</v>
      </c>
      <c r="D60" s="428"/>
      <c r="E60" s="431">
        <v>14866265764</v>
      </c>
      <c r="F60" s="432">
        <v>8902189543</v>
      </c>
    </row>
    <row r="61" spans="1:6" ht="22.5" customHeight="1" x14ac:dyDescent="0.25">
      <c r="A61" s="354" t="s">
        <v>1175</v>
      </c>
      <c r="B61" s="355"/>
      <c r="C61" s="433" t="s">
        <v>1176</v>
      </c>
      <c r="D61" s="434"/>
      <c r="E61" s="435">
        <v>14866265764</v>
      </c>
      <c r="F61" s="436">
        <v>8902189543</v>
      </c>
    </row>
    <row r="62" spans="1:6" ht="22.5" customHeight="1" x14ac:dyDescent="0.25">
      <c r="A62" s="354" t="s">
        <v>1163</v>
      </c>
      <c r="B62" s="355"/>
      <c r="C62" s="433" t="s">
        <v>1177</v>
      </c>
      <c r="D62" s="434"/>
      <c r="E62" s="435">
        <v>14828738761</v>
      </c>
      <c r="F62" s="436">
        <v>8828854708</v>
      </c>
    </row>
    <row r="63" spans="1:6" ht="22.5" customHeight="1" x14ac:dyDescent="0.25">
      <c r="A63" s="360" t="s">
        <v>1165</v>
      </c>
      <c r="B63" s="361"/>
      <c r="C63" s="441" t="s">
        <v>1178</v>
      </c>
      <c r="D63" s="442"/>
      <c r="E63" s="443">
        <v>1328738761</v>
      </c>
      <c r="F63" s="444">
        <v>3328854708</v>
      </c>
    </row>
    <row r="64" spans="1:6" ht="22.5" customHeight="1" x14ac:dyDescent="0.25">
      <c r="A64" s="360" t="s">
        <v>1179</v>
      </c>
      <c r="B64" s="361"/>
      <c r="C64" s="441" t="s">
        <v>1180</v>
      </c>
      <c r="D64" s="442"/>
      <c r="E64" s="443">
        <v>13500000000</v>
      </c>
      <c r="F64" s="444">
        <v>5500000000</v>
      </c>
    </row>
    <row r="65" spans="1:6" ht="22.5" customHeight="1" x14ac:dyDescent="0.25">
      <c r="A65" s="354" t="s">
        <v>1181</v>
      </c>
      <c r="B65" s="355"/>
      <c r="C65" s="433" t="s">
        <v>1182</v>
      </c>
      <c r="D65" s="434"/>
      <c r="E65" s="435">
        <v>0</v>
      </c>
      <c r="F65" s="436">
        <v>0</v>
      </c>
    </row>
    <row r="66" spans="1:6" ht="22.5" customHeight="1" x14ac:dyDescent="0.25">
      <c r="A66" s="354" t="s">
        <v>1183</v>
      </c>
      <c r="B66" s="355"/>
      <c r="C66" s="433" t="s">
        <v>1184</v>
      </c>
      <c r="D66" s="434"/>
      <c r="E66" s="435">
        <v>37527003</v>
      </c>
      <c r="F66" s="436">
        <v>73334835</v>
      </c>
    </row>
    <row r="67" spans="1:6" ht="22.5" customHeight="1" x14ac:dyDescent="0.25">
      <c r="A67" s="356" t="s">
        <v>1185</v>
      </c>
      <c r="B67" s="357"/>
      <c r="C67" s="427" t="s">
        <v>1186</v>
      </c>
      <c r="D67" s="428"/>
      <c r="E67" s="431">
        <v>5964076221</v>
      </c>
      <c r="F67" s="432">
        <v>8902189543</v>
      </c>
    </row>
    <row r="68" spans="1:6" ht="22.5" customHeight="1" x14ac:dyDescent="0.25">
      <c r="A68" s="362" t="s">
        <v>1187</v>
      </c>
      <c r="B68" s="363"/>
      <c r="C68" s="445" t="s">
        <v>1188</v>
      </c>
      <c r="D68" s="446"/>
      <c r="E68" s="447">
        <v>0</v>
      </c>
      <c r="F68" s="448">
        <v>0</v>
      </c>
    </row>
    <row r="69" spans="1:6" ht="14.25" customHeight="1" x14ac:dyDescent="0.25">
      <c r="A69" s="364"/>
      <c r="B69" s="364"/>
      <c r="C69" s="364"/>
      <c r="D69" s="364"/>
      <c r="E69" s="366"/>
      <c r="F69" s="366"/>
    </row>
    <row r="70" spans="1:6" x14ac:dyDescent="0.25">
      <c r="A70" s="372" t="s">
        <v>751</v>
      </c>
      <c r="B70" s="372"/>
      <c r="C70" s="372" t="s">
        <v>752</v>
      </c>
      <c r="D70" s="372"/>
      <c r="E70" s="372" t="s">
        <v>753</v>
      </c>
      <c r="F70" s="372"/>
    </row>
    <row r="71" spans="1:6" ht="31.5" customHeight="1" x14ac:dyDescent="0.25">
      <c r="A71" s="367"/>
      <c r="B71" s="367"/>
      <c r="C71" s="367"/>
      <c r="D71" s="367"/>
      <c r="E71" s="367"/>
      <c r="F71" s="367"/>
    </row>
    <row r="72" spans="1:6" ht="31.5" customHeight="1" x14ac:dyDescent="0.25">
      <c r="A72" s="367"/>
      <c r="B72" s="367"/>
      <c r="C72" s="367"/>
      <c r="D72" s="367"/>
      <c r="E72" s="367"/>
      <c r="F72" s="367"/>
    </row>
    <row r="73" spans="1:6" ht="31.5" customHeight="1" x14ac:dyDescent="0.25">
      <c r="A73" s="367"/>
      <c r="B73" s="367"/>
      <c r="C73" s="367"/>
      <c r="D73" s="367"/>
      <c r="E73" s="367"/>
      <c r="F73" s="367"/>
    </row>
    <row r="74" spans="1:6" s="449" customFormat="1" x14ac:dyDescent="0.25">
      <c r="A74" s="372" t="s">
        <v>977</v>
      </c>
      <c r="B74" s="372"/>
      <c r="C74" s="278" t="s">
        <v>1191</v>
      </c>
      <c r="D74" s="278"/>
      <c r="E74" s="278" t="s">
        <v>266</v>
      </c>
      <c r="F74" s="278"/>
    </row>
    <row r="75" spans="1:6" x14ac:dyDescent="0.25">
      <c r="A75" s="281"/>
      <c r="B75" s="281"/>
      <c r="C75" s="450"/>
      <c r="D75" s="450"/>
      <c r="E75" s="451"/>
      <c r="F75" s="452"/>
    </row>
  </sheetData>
  <mergeCells count="80">
    <mergeCell ref="A75:B75"/>
    <mergeCell ref="C75:D75"/>
    <mergeCell ref="C8:F8"/>
    <mergeCell ref="C9:F9"/>
    <mergeCell ref="C11:F11"/>
    <mergeCell ref="C12:F12"/>
    <mergeCell ref="C13:F13"/>
    <mergeCell ref="C14:F14"/>
    <mergeCell ref="C15:F15"/>
    <mergeCell ref="A69:B69"/>
    <mergeCell ref="C69:D69"/>
    <mergeCell ref="A70:B70"/>
    <mergeCell ref="C70:D70"/>
    <mergeCell ref="E70:F70"/>
    <mergeCell ref="A74:B74"/>
    <mergeCell ref="C74:D74"/>
    <mergeCell ref="E74:F74"/>
    <mergeCell ref="A63:B63"/>
    <mergeCell ref="A64:B64"/>
    <mergeCell ref="A65:B65"/>
    <mergeCell ref="A66:B66"/>
    <mergeCell ref="A67:B67"/>
    <mergeCell ref="A68:B68"/>
    <mergeCell ref="A62:B62"/>
    <mergeCell ref="A51:B51"/>
    <mergeCell ref="A52:B52"/>
    <mergeCell ref="A53:B53"/>
    <mergeCell ref="A54:B54"/>
    <mergeCell ref="A55:B55"/>
    <mergeCell ref="A56:B56"/>
    <mergeCell ref="A57:B57"/>
    <mergeCell ref="A58:B58"/>
    <mergeCell ref="A59:B59"/>
    <mergeCell ref="A60:B60"/>
    <mergeCell ref="A61:B61"/>
    <mergeCell ref="A50:B50"/>
    <mergeCell ref="A39:B39"/>
    <mergeCell ref="A40:B40"/>
    <mergeCell ref="A41:B41"/>
    <mergeCell ref="A42:B42"/>
    <mergeCell ref="A43:B43"/>
    <mergeCell ref="A44:B44"/>
    <mergeCell ref="A45:B45"/>
    <mergeCell ref="A46:B46"/>
    <mergeCell ref="A47:B47"/>
    <mergeCell ref="A48:B48"/>
    <mergeCell ref="A49:B49"/>
    <mergeCell ref="A38:B38"/>
    <mergeCell ref="A27:B27"/>
    <mergeCell ref="A28:B28"/>
    <mergeCell ref="A29:B29"/>
    <mergeCell ref="A30:B30"/>
    <mergeCell ref="A31:B31"/>
    <mergeCell ref="A32:B32"/>
    <mergeCell ref="A33:B33"/>
    <mergeCell ref="A34:B34"/>
    <mergeCell ref="A35:B35"/>
    <mergeCell ref="A36:B36"/>
    <mergeCell ref="A37:B37"/>
    <mergeCell ref="A26:B26"/>
    <mergeCell ref="B16:C16"/>
    <mergeCell ref="D16:F16"/>
    <mergeCell ref="A17:B17"/>
    <mergeCell ref="A18:B18"/>
    <mergeCell ref="A19:B19"/>
    <mergeCell ref="A20:B20"/>
    <mergeCell ref="A21:B21"/>
    <mergeCell ref="A22:B22"/>
    <mergeCell ref="A23:B23"/>
    <mergeCell ref="A24:B24"/>
    <mergeCell ref="A25:B25"/>
    <mergeCell ref="A6:F6"/>
    <mergeCell ref="B7:C7"/>
    <mergeCell ref="D7:F7"/>
    <mergeCell ref="B1:F1"/>
    <mergeCell ref="A2:F2"/>
    <mergeCell ref="B3:C3"/>
    <mergeCell ref="D3:F3"/>
    <mergeCell ref="A4:F4"/>
    <mergeCell ref="A5:F5"/>
  </mergeCells>
  <printOptions horizontalCentered="1"/>
  <pageMargins left="0" right="0" top="0.59" bottom="0.59" header="0.5" footer="0.5"/>
  <pageSetup paperSize="9" scale="93"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2" Type="http://schemas.openxmlformats.org/package/2006/relationships/digital-signature/signature" Target="sig2.xml"/><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gb+beHjYZpdvixK59w08n1fb9/c=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T6twlXzj5AVGS4+r5JXG9Bn+Cr0=</DigestValue>
    </Reference>
  </SignedInfo>
  <SignatureValue>mypVScGdy7nhAC2nG8qsWKyu5b0ei+cqzJOoGifKVK6/xX3aEXoK6sfE5NpNMz7aVEZvz+ChupQE
fSF9Dhoypfo/71Cdq93W6l7WZz+g2TzFEdb7kDPRJahZVajQKjTirXBnsHEpXdN4+IXQ6iQRR2IJ
6bSCmNGHq3zhqJYFwFg=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6.xml?ContentType=application/vnd.openxmlformats-officedocument.drawing+xml">
        <DigestMethod Algorithm="http://www.w3.org/2000/09/xmldsig#sha1"/>
        <DigestValue>6rep8AARAaihVnxwEYbUQKzDQAc=</DigestValue>
      </Reference>
      <Reference URI="/xl/worksheets/sheet10.xml?ContentType=application/vnd.openxmlformats-officedocument.spreadsheetml.worksheet+xml">
        <DigestMethod Algorithm="http://www.w3.org/2000/09/xmldsig#sha1"/>
        <DigestValue>pNKts5K5dCEkC8i7o3COWm/Buyw=</DigestValue>
      </Reference>
      <Reference URI="/xl/printerSettings/printerSettings12.bin?ContentType=application/vnd.openxmlformats-officedocument.spreadsheetml.printerSettings">
        <DigestMethod Algorithm="http://www.w3.org/2000/09/xmldsig#sha1"/>
        <DigestValue>2XssEK7xc9nvmQbHdtpb/QCnwy8=</DigestValue>
      </Reference>
      <Reference URI="/xl/worksheets/sheet11.xml?ContentType=application/vnd.openxmlformats-officedocument.spreadsheetml.worksheet+xml">
        <DigestMethod Algorithm="http://www.w3.org/2000/09/xmldsig#sha1"/>
        <DigestValue>b/8DyPEM8GLI9avxyUWJOTusPp8=</DigestValue>
      </Reference>
      <Reference URI="/xl/printerSettings/printerSettings11.bin?ContentType=application/vnd.openxmlformats-officedocument.spreadsheetml.printerSettings">
        <DigestMethod Algorithm="http://www.w3.org/2000/09/xmldsig#sha1"/>
        <DigestValue>2XssEK7xc9nvmQbHdtpb/QCnwy8=</DigestValue>
      </Reference>
      <Reference URI="/xl/worksheets/sheet12.xml?ContentType=application/vnd.openxmlformats-officedocument.spreadsheetml.worksheet+xml">
        <DigestMethod Algorithm="http://www.w3.org/2000/09/xmldsig#sha1"/>
        <DigestValue>Z6mmjliGf8nvo6VV4f0GHvTpbjA=</DigestValue>
      </Reference>
      <Reference URI="/xl/printerSettings/printerSettings8.bin?ContentType=application/vnd.openxmlformats-officedocument.spreadsheetml.printerSettings">
        <DigestMethod Algorithm="http://www.w3.org/2000/09/xmldsig#sha1"/>
        <DigestValue>2XssEK7xc9nvmQbHdtpb/QCnwy8=</DigestValue>
      </Reference>
      <Reference URI="/xl/drawings/drawing1.xml?ContentType=application/vnd.openxmlformats-officedocument.drawing+xml">
        <DigestMethod Algorithm="http://www.w3.org/2000/09/xmldsig#sha1"/>
        <DigestValue>vH0gkMqRPU9axVgetwroc1PNICw=</DigestValue>
      </Reference>
      <Reference URI="/xl/sharedStrings.xml?ContentType=application/vnd.openxmlformats-officedocument.spreadsheetml.sharedStrings+xml">
        <DigestMethod Algorithm="http://www.w3.org/2000/09/xmldsig#sha1"/>
        <DigestValue>igAjShfcuPHAaK5zOifRLSqYapQ=</DigestValue>
      </Reference>
      <Reference URI="/xl/drawings/drawing3.xml?ContentType=application/vnd.openxmlformats-officedocument.drawing+xml">
        <DigestMethod Algorithm="http://www.w3.org/2000/09/xmldsig#sha1"/>
        <DigestValue>GHUoCIOrWm/hDk3KaTwGjMnT02Y=</DigestValue>
      </Reference>
      <Reference URI="/xl/calcChain.xml?ContentType=application/vnd.openxmlformats-officedocument.spreadsheetml.calcChain+xml">
        <DigestMethod Algorithm="http://www.w3.org/2000/09/xmldsig#sha1"/>
        <DigestValue>0Xb41fZCqr/wol5wmS21LmdxiR8=</DigestValue>
      </Reference>
      <Reference URI="/xl/worksheets/sheet5.xml?ContentType=application/vnd.openxmlformats-officedocument.spreadsheetml.worksheet+xml">
        <DigestMethod Algorithm="http://www.w3.org/2000/09/xmldsig#sha1"/>
        <DigestValue>CgrwsO8Yf/PM9clSvYT5+9LlINA=</DigestValue>
      </Reference>
      <Reference URI="/xl/printerSettings/printerSettings7.bin?ContentType=application/vnd.openxmlformats-officedocument.spreadsheetml.printerSettings">
        <DigestMethod Algorithm="http://www.w3.org/2000/09/xmldsig#sha1"/>
        <DigestValue>2XssEK7xc9nvmQbHdtpb/QCnwy8=</DigestValue>
      </Reference>
      <Reference URI="/xl/media/image1.jpeg?ContentType=image/jpeg">
        <DigestMethod Algorithm="http://www.w3.org/2000/09/xmldsig#sha1"/>
        <DigestValue>jTbX18vSolZVoyQnOhAt9nYei9E=</DigestValue>
      </Reference>
      <Reference URI="/xl/drawings/drawing2.xml?ContentType=application/vnd.openxmlformats-officedocument.drawing+xml">
        <DigestMethod Algorithm="http://www.w3.org/2000/09/xmldsig#sha1"/>
        <DigestValue>JIkxOIXr49EH/xlH2/0B0fXKHW4=</DigestValue>
      </Reference>
      <Reference URI="/xl/drawings/drawing4.xml?ContentType=application/vnd.openxmlformats-officedocument.drawing+xml">
        <DigestMethod Algorithm="http://www.w3.org/2000/09/xmldsig#sha1"/>
        <DigestValue>awmjfnwjFauXlYhSFwb+t/sHw3o=</DigestValue>
      </Reference>
      <Reference URI="/xl/worksheets/sheet9.xml?ContentType=application/vnd.openxmlformats-officedocument.spreadsheetml.worksheet+xml">
        <DigestMethod Algorithm="http://www.w3.org/2000/09/xmldsig#sha1"/>
        <DigestValue>+DtRD15n5hYFZy+UrAmPsWbSV0Q=</DigestValue>
      </Reference>
      <Reference URI="/xl/worksheets/sheet8.xml?ContentType=application/vnd.openxmlformats-officedocument.spreadsheetml.worksheet+xml">
        <DigestMethod Algorithm="http://www.w3.org/2000/09/xmldsig#sha1"/>
        <DigestValue>As/6MO07YugSfRx/kedf5AeYFEY=</DigestValue>
      </Reference>
      <Reference URI="/xl/drawings/drawing5.xml?ContentType=application/vnd.openxmlformats-officedocument.drawing+xml">
        <DigestMethod Algorithm="http://www.w3.org/2000/09/xmldsig#sha1"/>
        <DigestValue>YdOBmgFKK6oiqAKu9ICnVolOuEE=</DigestValue>
      </Reference>
      <Reference URI="/xl/worksheets/sheet7.xml?ContentType=application/vnd.openxmlformats-officedocument.spreadsheetml.worksheet+xml">
        <DigestMethod Algorithm="http://www.w3.org/2000/09/xmldsig#sha1"/>
        <DigestValue>nRjJ3cmUDEvp4kuu+N9Ckb9974U=</DigestValue>
      </Reference>
      <Reference URI="/xl/worksheets/sheet6.xml?ContentType=application/vnd.openxmlformats-officedocument.spreadsheetml.worksheet+xml">
        <DigestMethod Algorithm="http://www.w3.org/2000/09/xmldsig#sha1"/>
        <DigestValue>PcMd1iGVFdOBjq29/kuHtlFdMLs=</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jko3o5tecjieoBQqlVQf/TzzUtg=</DigestValue>
      </Reference>
      <Reference URI="/xl/printerSettings/printerSettings10.bin?ContentType=application/vnd.openxmlformats-officedocument.spreadsheetml.printerSettings">
        <DigestMethod Algorithm="http://www.w3.org/2000/09/xmldsig#sha1"/>
        <DigestValue>2XssEK7xc9nvmQbHdtpb/QCnwy8=</DigestValue>
      </Reference>
      <Reference URI="/xl/printerSettings/printerSettings5.bin?ContentType=application/vnd.openxmlformats-officedocument.spreadsheetml.printerSettings">
        <DigestMethod Algorithm="http://www.w3.org/2000/09/xmldsig#sha1"/>
        <DigestValue>2XssEK7xc9nvmQbHdtpb/QCnwy8=</DigestValue>
      </Reference>
      <Reference URI="/xl/drawings/drawing10.xml?ContentType=application/vnd.openxmlformats-officedocument.drawing+xml">
        <DigestMethod Algorithm="http://www.w3.org/2000/09/xmldsig#sha1"/>
        <DigestValue>Ng9nuvQ5tHNH7MAfSGjNjCc9Ahs=</DigestValue>
      </Reference>
      <Reference URI="/xl/printerSettings/printerSettings2.bin?ContentType=application/vnd.openxmlformats-officedocument.spreadsheetml.printerSettings">
        <DigestMethod Algorithm="http://www.w3.org/2000/09/xmldsig#sha1"/>
        <DigestValue>2XssEK7xc9nvmQbHdtpb/QCnwy8=</DigestValue>
      </Reference>
      <Reference URI="/xl/worksheets/sheet1.xml?ContentType=application/vnd.openxmlformats-officedocument.spreadsheetml.worksheet+xml">
        <DigestMethod Algorithm="http://www.w3.org/2000/09/xmldsig#sha1"/>
        <DigestValue>dqQc+pfk05FHjbBA2ukewl3hQ70=</DigestValue>
      </Reference>
      <Reference URI="/xl/printerSettings/printerSettings1.bin?ContentType=application/vnd.openxmlformats-officedocument.spreadsheetml.printerSettings">
        <DigestMethod Algorithm="http://www.w3.org/2000/09/xmldsig#sha1"/>
        <DigestValue>2XssEK7xc9nvmQbHdtpb/QCnwy8=</DigestValue>
      </Reference>
      <Reference URI="/xl/worksheets/sheet4.xml?ContentType=application/vnd.openxmlformats-officedocument.spreadsheetml.worksheet+xml">
        <DigestMethod Algorithm="http://www.w3.org/2000/09/xmldsig#sha1"/>
        <DigestValue>uGxeWy/6bY9Q/Y7RZupIVk7taS0=</DigestValue>
      </Reference>
      <Reference URI="/xl/printerSettings/printerSettings6.bin?ContentType=application/vnd.openxmlformats-officedocument.spreadsheetml.printerSettings">
        <DigestMethod Algorithm="http://www.w3.org/2000/09/xmldsig#sha1"/>
        <DigestValue>t7H7xnYMhyEr/ECfemDs4qKttnI=</DigestValue>
      </Reference>
      <Reference URI="/xl/workbook.xml?ContentType=application/vnd.openxmlformats-officedocument.spreadsheetml.sheet.main+xml">
        <DigestMethod Algorithm="http://www.w3.org/2000/09/xmldsig#sha1"/>
        <DigestValue>jFLWd+iTnbNUf2vuRLJ02zxg6/I=</DigestValue>
      </Reference>
      <Reference URI="/xl/worksheets/sheet13.xml?ContentType=application/vnd.openxmlformats-officedocument.spreadsheetml.worksheet+xml">
        <DigestMethod Algorithm="http://www.w3.org/2000/09/xmldsig#sha1"/>
        <DigestValue>W/rCgL9uPKk+sLCq+fFDCJCCtqM=</DigestValue>
      </Reference>
      <Reference URI="/xl/drawings/drawing11.xml?ContentType=application/vnd.openxmlformats-officedocument.drawing+xml">
        <DigestMethod Algorithm="http://www.w3.org/2000/09/xmldsig#sha1"/>
        <DigestValue>qZ8cMFJ1CvBJOeDniBmQsNMWf0U=</DigestValue>
      </Reference>
      <Reference URI="/xl/worksheets/sheet3.xml?ContentType=application/vnd.openxmlformats-officedocument.spreadsheetml.worksheet+xml">
        <DigestMethod Algorithm="http://www.w3.org/2000/09/xmldsig#sha1"/>
        <DigestValue>BtyTRPhZCiEHT3EeWG7zbvimUl0=</DigestValue>
      </Reference>
      <Reference URI="/xl/drawings/drawing7.xml?ContentType=application/vnd.openxmlformats-officedocument.drawing+xml">
        <DigestMethod Algorithm="http://www.w3.org/2000/09/xmldsig#sha1"/>
        <DigestValue>iDIPOaxtZK3W07XOhh8z8FVSeIo=</DigestValue>
      </Reference>
      <Reference URI="/xl/externalLinks/externalLink1.xml?ContentType=application/vnd.openxmlformats-officedocument.spreadsheetml.externalLink+xml">
        <DigestMethod Algorithm="http://www.w3.org/2000/09/xmldsig#sha1"/>
        <DigestValue>afV06p8lzQIOhcC+F5eh9+pSstI=</DigestValue>
      </Reference>
      <Reference URI="/xl/drawings/drawing9.xml?ContentType=application/vnd.openxmlformats-officedocument.drawing+xml">
        <DigestMethod Algorithm="http://www.w3.org/2000/09/xmldsig#sha1"/>
        <DigestValue>+AaNPDQGTvrFJMiKGCrIF8EUb+k=</DigestValue>
      </Reference>
      <Reference URI="/xl/drawings/drawing8.xml?ContentType=application/vnd.openxmlformats-officedocument.drawing+xml">
        <DigestMethod Algorithm="http://www.w3.org/2000/09/xmldsig#sha1"/>
        <DigestValue>fxH/uInxNeJZvvZ5XM5OgdBW8vU=</DigestValue>
      </Reference>
      <Reference URI="/xl/printerSettings/printerSettings9.bin?ContentType=application/vnd.openxmlformats-officedocument.spreadsheetml.printerSettings">
        <DigestMethod Algorithm="http://www.w3.org/2000/09/xmldsig#sha1"/>
        <DigestValue>2XssEK7xc9nvmQbHdtpb/QCnwy8=</DigestValue>
      </Reference>
      <Reference URI="/xl/printerSettings/printerSettings3.bin?ContentType=application/vnd.openxmlformats-officedocument.spreadsheetml.printerSettings">
        <DigestMethod Algorithm="http://www.w3.org/2000/09/xmldsig#sha1"/>
        <DigestValue>2XssEK7xc9nvmQbHdtpb/QCnwy8=</DigestValue>
      </Reference>
      <Reference URI="/xl/worksheets/sheet2.xml?ContentType=application/vnd.openxmlformats-officedocument.spreadsheetml.worksheet+xml">
        <DigestMethod Algorithm="http://www.w3.org/2000/09/xmldsig#sha1"/>
        <DigestValue>PBsAjHYarquyG5eB9a7N2061dlU=</DigestValue>
      </Reference>
      <Reference URI="/xl/printerSettings/printerSettings4.bin?ContentType=application/vnd.openxmlformats-officedocument.spreadsheetml.printerSettings">
        <DigestMethod Algorithm="http://www.w3.org/2000/09/xmldsig#sha1"/>
        <DigestValue>2XssEK7xc9nvmQbHdtpb/QCnwy8=</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1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VhQmeaQ5zw4/sled3Y9Td1rePRk=</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18"/>
            <mdssi:RelationshipReference SourceId="rId3"/>
            <mdssi:RelationshipReference SourceId="rId7"/>
            <mdssi:RelationshipReference SourceId="rId12"/>
            <mdssi:RelationshipReference SourceId="rId17"/>
            <mdssi:RelationshipReference SourceId="rId2"/>
            <mdssi:RelationshipReference SourceId="rId16"/>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XjZbd12kEZBtUM1C8ctLfT30CBU=</DigestValue>
      </Reference>
    </Manifest>
    <SignatureProperties>
      <SignatureProperty Id="idSignatureTime" Target="#idPackageSignature">
        <mdssi:SignatureTime>
          <mdssi:Format>YYYY-MM-DDThh:mm:ssTZD</mdssi:Format>
          <mdssi:Value>2020-10-14T02:59:25Z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2020-10-14T02:59:25Z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_xmlsignatures/sig2.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Dv+mKcx0Pk7/HYSP3bMEDpIHI1M=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EeKf8KwEh1Xfi+S47EIbH209Zwg=</DigestValue>
    </Reference>
  </SignedInfo>
  <SignatureValue>jp/mRN+wpB09PwB6vbzok/nG4UrNZ+r6syr1e9oKjWUn7dOyyCjeeAGsQjrX6pTI5CNBI5+zJyTU
AYzk3A8g2ZHahDzgI4j1wQBoA+GnWpf56EjNRnKf53NtGZc3lZhu5llnY0MEOPAGaXsm3QDSyvSU
z8/+JeLYr1NNnD1dJqg=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6.xml?ContentType=application/vnd.openxmlformats-officedocument.drawing+xml">
        <DigestMethod Algorithm="http://www.w3.org/2000/09/xmldsig#sha1"/>
        <DigestValue>6rep8AARAaihVnxwEYbUQKzDQAc=</DigestValue>
      </Reference>
      <Reference URI="/xl/worksheets/sheet10.xml?ContentType=application/vnd.openxmlformats-officedocument.spreadsheetml.worksheet+xml">
        <DigestMethod Algorithm="http://www.w3.org/2000/09/xmldsig#sha1"/>
        <DigestValue>pNKts5K5dCEkC8i7o3COWm/Buyw=</DigestValue>
      </Reference>
      <Reference URI="/xl/printerSettings/printerSettings12.bin?ContentType=application/vnd.openxmlformats-officedocument.spreadsheetml.printerSettings">
        <DigestMethod Algorithm="http://www.w3.org/2000/09/xmldsig#sha1"/>
        <DigestValue>2XssEK7xc9nvmQbHdtpb/QCnwy8=</DigestValue>
      </Reference>
      <Reference URI="/xl/worksheets/sheet11.xml?ContentType=application/vnd.openxmlformats-officedocument.spreadsheetml.worksheet+xml">
        <DigestMethod Algorithm="http://www.w3.org/2000/09/xmldsig#sha1"/>
        <DigestValue>b/8DyPEM8GLI9avxyUWJOTusPp8=</DigestValue>
      </Reference>
      <Reference URI="/xl/printerSettings/printerSettings11.bin?ContentType=application/vnd.openxmlformats-officedocument.spreadsheetml.printerSettings">
        <DigestMethod Algorithm="http://www.w3.org/2000/09/xmldsig#sha1"/>
        <DigestValue>2XssEK7xc9nvmQbHdtpb/QCnwy8=</DigestValue>
      </Reference>
      <Reference URI="/xl/worksheets/sheet12.xml?ContentType=application/vnd.openxmlformats-officedocument.spreadsheetml.worksheet+xml">
        <DigestMethod Algorithm="http://www.w3.org/2000/09/xmldsig#sha1"/>
        <DigestValue>Z6mmjliGf8nvo6VV4f0GHvTpbjA=</DigestValue>
      </Reference>
      <Reference URI="/xl/printerSettings/printerSettings8.bin?ContentType=application/vnd.openxmlformats-officedocument.spreadsheetml.printerSettings">
        <DigestMethod Algorithm="http://www.w3.org/2000/09/xmldsig#sha1"/>
        <DigestValue>2XssEK7xc9nvmQbHdtpb/QCnwy8=</DigestValue>
      </Reference>
      <Reference URI="/xl/drawings/drawing1.xml?ContentType=application/vnd.openxmlformats-officedocument.drawing+xml">
        <DigestMethod Algorithm="http://www.w3.org/2000/09/xmldsig#sha1"/>
        <DigestValue>vH0gkMqRPU9axVgetwroc1PNICw=</DigestValue>
      </Reference>
      <Reference URI="/xl/sharedStrings.xml?ContentType=application/vnd.openxmlformats-officedocument.spreadsheetml.sharedStrings+xml">
        <DigestMethod Algorithm="http://www.w3.org/2000/09/xmldsig#sha1"/>
        <DigestValue>igAjShfcuPHAaK5zOifRLSqYapQ=</DigestValue>
      </Reference>
      <Reference URI="/xl/drawings/drawing3.xml?ContentType=application/vnd.openxmlformats-officedocument.drawing+xml">
        <DigestMethod Algorithm="http://www.w3.org/2000/09/xmldsig#sha1"/>
        <DigestValue>GHUoCIOrWm/hDk3KaTwGjMnT02Y=</DigestValue>
      </Reference>
      <Reference URI="/xl/calcChain.xml?ContentType=application/vnd.openxmlformats-officedocument.spreadsheetml.calcChain+xml">
        <DigestMethod Algorithm="http://www.w3.org/2000/09/xmldsig#sha1"/>
        <DigestValue>0Xb41fZCqr/wol5wmS21LmdxiR8=</DigestValue>
      </Reference>
      <Reference URI="/xl/worksheets/sheet5.xml?ContentType=application/vnd.openxmlformats-officedocument.spreadsheetml.worksheet+xml">
        <DigestMethod Algorithm="http://www.w3.org/2000/09/xmldsig#sha1"/>
        <DigestValue>CgrwsO8Yf/PM9clSvYT5+9LlINA=</DigestValue>
      </Reference>
      <Reference URI="/xl/printerSettings/printerSettings7.bin?ContentType=application/vnd.openxmlformats-officedocument.spreadsheetml.printerSettings">
        <DigestMethod Algorithm="http://www.w3.org/2000/09/xmldsig#sha1"/>
        <DigestValue>2XssEK7xc9nvmQbHdtpb/QCnwy8=</DigestValue>
      </Reference>
      <Reference URI="/xl/media/image1.jpeg?ContentType=image/jpeg">
        <DigestMethod Algorithm="http://www.w3.org/2000/09/xmldsig#sha1"/>
        <DigestValue>jTbX18vSolZVoyQnOhAt9nYei9E=</DigestValue>
      </Reference>
      <Reference URI="/xl/drawings/drawing2.xml?ContentType=application/vnd.openxmlformats-officedocument.drawing+xml">
        <DigestMethod Algorithm="http://www.w3.org/2000/09/xmldsig#sha1"/>
        <DigestValue>JIkxOIXr49EH/xlH2/0B0fXKHW4=</DigestValue>
      </Reference>
      <Reference URI="/xl/drawings/drawing4.xml?ContentType=application/vnd.openxmlformats-officedocument.drawing+xml">
        <DigestMethod Algorithm="http://www.w3.org/2000/09/xmldsig#sha1"/>
        <DigestValue>awmjfnwjFauXlYhSFwb+t/sHw3o=</DigestValue>
      </Reference>
      <Reference URI="/xl/worksheets/sheet9.xml?ContentType=application/vnd.openxmlformats-officedocument.spreadsheetml.worksheet+xml">
        <DigestMethod Algorithm="http://www.w3.org/2000/09/xmldsig#sha1"/>
        <DigestValue>+DtRD15n5hYFZy+UrAmPsWbSV0Q=</DigestValue>
      </Reference>
      <Reference URI="/xl/worksheets/sheet8.xml?ContentType=application/vnd.openxmlformats-officedocument.spreadsheetml.worksheet+xml">
        <DigestMethod Algorithm="http://www.w3.org/2000/09/xmldsig#sha1"/>
        <DigestValue>As/6MO07YugSfRx/kedf5AeYFEY=</DigestValue>
      </Reference>
      <Reference URI="/xl/drawings/drawing5.xml?ContentType=application/vnd.openxmlformats-officedocument.drawing+xml">
        <DigestMethod Algorithm="http://www.w3.org/2000/09/xmldsig#sha1"/>
        <DigestValue>YdOBmgFKK6oiqAKu9ICnVolOuEE=</DigestValue>
      </Reference>
      <Reference URI="/xl/worksheets/sheet7.xml?ContentType=application/vnd.openxmlformats-officedocument.spreadsheetml.worksheet+xml">
        <DigestMethod Algorithm="http://www.w3.org/2000/09/xmldsig#sha1"/>
        <DigestValue>nRjJ3cmUDEvp4kuu+N9Ckb9974U=</DigestValue>
      </Reference>
      <Reference URI="/xl/worksheets/sheet6.xml?ContentType=application/vnd.openxmlformats-officedocument.spreadsheetml.worksheet+xml">
        <DigestMethod Algorithm="http://www.w3.org/2000/09/xmldsig#sha1"/>
        <DigestValue>PcMd1iGVFdOBjq29/kuHtlFdMLs=</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jko3o5tecjieoBQqlVQf/TzzUtg=</DigestValue>
      </Reference>
      <Reference URI="/xl/printerSettings/printerSettings10.bin?ContentType=application/vnd.openxmlformats-officedocument.spreadsheetml.printerSettings">
        <DigestMethod Algorithm="http://www.w3.org/2000/09/xmldsig#sha1"/>
        <DigestValue>2XssEK7xc9nvmQbHdtpb/QCnwy8=</DigestValue>
      </Reference>
      <Reference URI="/xl/printerSettings/printerSettings5.bin?ContentType=application/vnd.openxmlformats-officedocument.spreadsheetml.printerSettings">
        <DigestMethod Algorithm="http://www.w3.org/2000/09/xmldsig#sha1"/>
        <DigestValue>2XssEK7xc9nvmQbHdtpb/QCnwy8=</DigestValue>
      </Reference>
      <Reference URI="/xl/drawings/drawing10.xml?ContentType=application/vnd.openxmlformats-officedocument.drawing+xml">
        <DigestMethod Algorithm="http://www.w3.org/2000/09/xmldsig#sha1"/>
        <DigestValue>Ng9nuvQ5tHNH7MAfSGjNjCc9Ahs=</DigestValue>
      </Reference>
      <Reference URI="/xl/printerSettings/printerSettings2.bin?ContentType=application/vnd.openxmlformats-officedocument.spreadsheetml.printerSettings">
        <DigestMethod Algorithm="http://www.w3.org/2000/09/xmldsig#sha1"/>
        <DigestValue>2XssEK7xc9nvmQbHdtpb/QCnwy8=</DigestValue>
      </Reference>
      <Reference URI="/xl/worksheets/sheet1.xml?ContentType=application/vnd.openxmlformats-officedocument.spreadsheetml.worksheet+xml">
        <DigestMethod Algorithm="http://www.w3.org/2000/09/xmldsig#sha1"/>
        <DigestValue>dqQc+pfk05FHjbBA2ukewl3hQ70=</DigestValue>
      </Reference>
      <Reference URI="/xl/printerSettings/printerSettings1.bin?ContentType=application/vnd.openxmlformats-officedocument.spreadsheetml.printerSettings">
        <DigestMethod Algorithm="http://www.w3.org/2000/09/xmldsig#sha1"/>
        <DigestValue>2XssEK7xc9nvmQbHdtpb/QCnwy8=</DigestValue>
      </Reference>
      <Reference URI="/xl/worksheets/sheet4.xml?ContentType=application/vnd.openxmlformats-officedocument.spreadsheetml.worksheet+xml">
        <DigestMethod Algorithm="http://www.w3.org/2000/09/xmldsig#sha1"/>
        <DigestValue>uGxeWy/6bY9Q/Y7RZupIVk7taS0=</DigestValue>
      </Reference>
      <Reference URI="/xl/printerSettings/printerSettings6.bin?ContentType=application/vnd.openxmlformats-officedocument.spreadsheetml.printerSettings">
        <DigestMethod Algorithm="http://www.w3.org/2000/09/xmldsig#sha1"/>
        <DigestValue>t7H7xnYMhyEr/ECfemDs4qKttnI=</DigestValue>
      </Reference>
      <Reference URI="/xl/workbook.xml?ContentType=application/vnd.openxmlformats-officedocument.spreadsheetml.sheet.main+xml">
        <DigestMethod Algorithm="http://www.w3.org/2000/09/xmldsig#sha1"/>
        <DigestValue>jFLWd+iTnbNUf2vuRLJ02zxg6/I=</DigestValue>
      </Reference>
      <Reference URI="/xl/worksheets/sheet13.xml?ContentType=application/vnd.openxmlformats-officedocument.spreadsheetml.worksheet+xml">
        <DigestMethod Algorithm="http://www.w3.org/2000/09/xmldsig#sha1"/>
        <DigestValue>W/rCgL9uPKk+sLCq+fFDCJCCtqM=</DigestValue>
      </Reference>
      <Reference URI="/xl/drawings/drawing11.xml?ContentType=application/vnd.openxmlformats-officedocument.drawing+xml">
        <DigestMethod Algorithm="http://www.w3.org/2000/09/xmldsig#sha1"/>
        <DigestValue>qZ8cMFJ1CvBJOeDniBmQsNMWf0U=</DigestValue>
      </Reference>
      <Reference URI="/xl/worksheets/sheet3.xml?ContentType=application/vnd.openxmlformats-officedocument.spreadsheetml.worksheet+xml">
        <DigestMethod Algorithm="http://www.w3.org/2000/09/xmldsig#sha1"/>
        <DigestValue>BtyTRPhZCiEHT3EeWG7zbvimUl0=</DigestValue>
      </Reference>
      <Reference URI="/xl/drawings/drawing7.xml?ContentType=application/vnd.openxmlformats-officedocument.drawing+xml">
        <DigestMethod Algorithm="http://www.w3.org/2000/09/xmldsig#sha1"/>
        <DigestValue>iDIPOaxtZK3W07XOhh8z8FVSeIo=</DigestValue>
      </Reference>
      <Reference URI="/xl/externalLinks/externalLink1.xml?ContentType=application/vnd.openxmlformats-officedocument.spreadsheetml.externalLink+xml">
        <DigestMethod Algorithm="http://www.w3.org/2000/09/xmldsig#sha1"/>
        <DigestValue>afV06p8lzQIOhcC+F5eh9+pSstI=</DigestValue>
      </Reference>
      <Reference URI="/xl/drawings/drawing9.xml?ContentType=application/vnd.openxmlformats-officedocument.drawing+xml">
        <DigestMethod Algorithm="http://www.w3.org/2000/09/xmldsig#sha1"/>
        <DigestValue>+AaNPDQGTvrFJMiKGCrIF8EUb+k=</DigestValue>
      </Reference>
      <Reference URI="/xl/drawings/drawing8.xml?ContentType=application/vnd.openxmlformats-officedocument.drawing+xml">
        <DigestMethod Algorithm="http://www.w3.org/2000/09/xmldsig#sha1"/>
        <DigestValue>fxH/uInxNeJZvvZ5XM5OgdBW8vU=</DigestValue>
      </Reference>
      <Reference URI="/xl/printerSettings/printerSettings9.bin?ContentType=application/vnd.openxmlformats-officedocument.spreadsheetml.printerSettings">
        <DigestMethod Algorithm="http://www.w3.org/2000/09/xmldsig#sha1"/>
        <DigestValue>2XssEK7xc9nvmQbHdtpb/QCnwy8=</DigestValue>
      </Reference>
      <Reference URI="/xl/printerSettings/printerSettings3.bin?ContentType=application/vnd.openxmlformats-officedocument.spreadsheetml.printerSettings">
        <DigestMethod Algorithm="http://www.w3.org/2000/09/xmldsig#sha1"/>
        <DigestValue>2XssEK7xc9nvmQbHdtpb/QCnwy8=</DigestValue>
      </Reference>
      <Reference URI="/xl/worksheets/sheet2.xml?ContentType=application/vnd.openxmlformats-officedocument.spreadsheetml.worksheet+xml">
        <DigestMethod Algorithm="http://www.w3.org/2000/09/xmldsig#sha1"/>
        <DigestValue>PBsAjHYarquyG5eB9a7N2061dlU=</DigestValue>
      </Reference>
      <Reference URI="/xl/printerSettings/printerSettings4.bin?ContentType=application/vnd.openxmlformats-officedocument.spreadsheetml.printerSettings">
        <DigestMethod Algorithm="http://www.w3.org/2000/09/xmldsig#sha1"/>
        <DigestValue>2XssEK7xc9nvmQbHdtpb/QCnwy8=</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1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VhQmeaQ5zw4/sled3Y9Td1rePRk=</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18"/>
            <mdssi:RelationshipReference SourceId="rId3"/>
            <mdssi:RelationshipReference SourceId="rId7"/>
            <mdssi:RelationshipReference SourceId="rId12"/>
            <mdssi:RelationshipReference SourceId="rId17"/>
            <mdssi:RelationshipReference SourceId="rId2"/>
            <mdssi:RelationshipReference SourceId="rId16"/>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XjZbd12kEZBtUM1C8ctLfT30CBU=</DigestValue>
      </Reference>
    </Manifest>
    <SignatureProperties>
      <SignatureProperty Id="idSignatureTime" Target="#idPackageSignature">
        <mdssi:SignatureTime>
          <mdssi:Format>YYYY-MM-DDThh:mm:ssTZD</mdssi:Format>
          <mdssi:Value>2020-10-14T03:00:57Z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2020-10-14T03:00:57Z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DangHD_06182</vt:lpstr>
      <vt:lpstr>BCDMDT_06108</vt:lpstr>
      <vt:lpstr>BCLCGT_06262</vt:lpstr>
      <vt:lpstr>Sheet1</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2020-10-13T08:49:52Z</dcterms:modified>
</cp:coreProperties>
</file>