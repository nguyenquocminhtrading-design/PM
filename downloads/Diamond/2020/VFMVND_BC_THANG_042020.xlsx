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tabRatio="840"/>
  </bookViews>
  <sheets>
    <sheet name="TONGQUAN" sheetId="1" r:id="rId1"/>
    <sheet name="BCTaiSan_06134" sheetId="12" r:id="rId2"/>
    <sheet name="BCKetQuaHoatDong_06135" sheetId="13" r:id="rId3"/>
    <sheet name="BCDanhMucDauTu_06136" sheetId="14" r:id="rId4"/>
    <sheet name="Khac_06137" sheetId="15" r:id="rId5"/>
    <sheet name="BCGiaodichTaiSan_06141" sheetId="4" r:id="rId6"/>
    <sheet name="BCThuNhap_06203" sheetId="16" r:id="rId7"/>
    <sheet name="BCTinhHinhTaiChinh_06105" sheetId="17" r:id="rId8"/>
    <sheet name="B03_181" sheetId="18" r:id="rId9"/>
    <sheet name="BCThayDoiNAV_PL15.229" sheetId="19" r:id="rId10"/>
  </sheets>
  <definedNames>
    <definedName name="_xlnm.Print_Area" localSheetId="8">B03_181!$A$1:$E$30</definedName>
    <definedName name="_xlnm.Print_Area" localSheetId="3">BCDanhMucDauTu_06136!$A$1:$G$78</definedName>
    <definedName name="_xlnm.Print_Area" localSheetId="5">BCGiaodichTaiSan_06141!$A$1:$K$37</definedName>
    <definedName name="_xlnm.Print_Area" localSheetId="2">BCKetQuaHoatDong_06135!$A$1:$F$92</definedName>
    <definedName name="_xlnm.Print_Area" localSheetId="1">BCTaiSan_06134!$A$1:$F$110</definedName>
    <definedName name="_xlnm.Print_Area" localSheetId="9">BCThayDoiNAV_PL15.229!$A$1:$E$50</definedName>
    <definedName name="_xlnm.Print_Area" localSheetId="6">BCThuNhap_06203!$A$1:$G$90</definedName>
    <definedName name="_xlnm.Print_Area" localSheetId="7">BCTinhHinhTaiChinh_06105!$A$1:$F$132</definedName>
    <definedName name="_xlnm.Print_Area" localSheetId="4">Khac_06137!$A$1:$E$59</definedName>
    <definedName name="_xlnm.Print_Area" localSheetId="0">TONGQUAN!$A$1:$I$48</definedName>
  </definedNames>
  <calcPr calcId="145621"/>
</workbook>
</file>

<file path=xl/calcChain.xml><?xml version="1.0" encoding="utf-8"?>
<calcChain xmlns="http://schemas.openxmlformats.org/spreadsheetml/2006/main">
  <c r="F19" i="15" l="1"/>
  <c r="F116" i="17" l="1"/>
  <c r="E116" i="17"/>
  <c r="F112" i="17"/>
  <c r="F108" i="17"/>
  <c r="E108" i="17"/>
  <c r="F100" i="17"/>
  <c r="F97" i="17" s="1"/>
  <c r="E100" i="17"/>
  <c r="E97" i="17" s="1"/>
  <c r="F87" i="17"/>
  <c r="F85" i="17" s="1"/>
  <c r="E87" i="17"/>
  <c r="E85" i="17" s="1"/>
  <c r="F75" i="17"/>
  <c r="E75" i="17"/>
  <c r="F70" i="17"/>
  <c r="E70" i="17"/>
  <c r="F58" i="17"/>
  <c r="F56" i="17" s="1"/>
  <c r="E58" i="17"/>
  <c r="E56" i="17" s="1"/>
  <c r="F50" i="17"/>
  <c r="E50" i="17"/>
  <c r="F43" i="17"/>
  <c r="E43" i="17"/>
  <c r="F28" i="17"/>
  <c r="F27" i="17" s="1"/>
  <c r="E28" i="17"/>
  <c r="E27" i="17" s="1"/>
  <c r="F20" i="17"/>
  <c r="F19" i="17" s="1"/>
  <c r="E20" i="17"/>
  <c r="E19" i="17" s="1"/>
  <c r="G75" i="16"/>
  <c r="F75" i="16"/>
  <c r="E75" i="16"/>
  <c r="D75" i="16"/>
  <c r="G59" i="16"/>
  <c r="F59" i="16"/>
  <c r="E59" i="16"/>
  <c r="D59" i="16"/>
  <c r="G53" i="16"/>
  <c r="F53" i="16"/>
  <c r="E53" i="16"/>
  <c r="D53" i="16"/>
  <c r="G45" i="16"/>
  <c r="G43" i="16" s="1"/>
  <c r="F45" i="16"/>
  <c r="E45" i="16"/>
  <c r="D45" i="16"/>
  <c r="G36" i="16"/>
  <c r="G35" i="16" s="1"/>
  <c r="F36" i="16"/>
  <c r="F35" i="16" s="1"/>
  <c r="E36" i="16"/>
  <c r="E35" i="16" s="1"/>
  <c r="D36" i="16"/>
  <c r="D35" i="16" s="1"/>
  <c r="G26" i="16"/>
  <c r="F26" i="16"/>
  <c r="E26" i="16"/>
  <c r="D26" i="16"/>
  <c r="G23" i="16"/>
  <c r="F23" i="16"/>
  <c r="E23" i="16"/>
  <c r="D23" i="16"/>
  <c r="G20" i="16"/>
  <c r="F20" i="16"/>
  <c r="E20" i="16"/>
  <c r="D20" i="16"/>
  <c r="E43" i="16" l="1"/>
  <c r="E19" i="16"/>
  <c r="E74" i="16" s="1"/>
  <c r="E78" i="16" s="1"/>
  <c r="E82" i="16" s="1"/>
  <c r="F43" i="16"/>
  <c r="F19" i="16"/>
  <c r="G19" i="16"/>
  <c r="G74" i="16" s="1"/>
  <c r="G78" i="16" s="1"/>
  <c r="G82" i="16" s="1"/>
  <c r="F106" i="17"/>
  <c r="E106" i="17"/>
  <c r="F42" i="17"/>
  <c r="F39" i="17" s="1"/>
  <c r="F64" i="17" s="1"/>
  <c r="E42" i="17"/>
  <c r="E39" i="17" s="1"/>
  <c r="E64" i="17" s="1"/>
  <c r="D43" i="16"/>
  <c r="D19" i="16"/>
  <c r="F74" i="16" l="1"/>
  <c r="F78" i="16" s="1"/>
  <c r="F82" i="16" s="1"/>
  <c r="F107" i="17"/>
  <c r="E107" i="17"/>
  <c r="D74" i="16"/>
  <c r="D78" i="16" s="1"/>
  <c r="D82" i="16" s="1"/>
</calcChain>
</file>

<file path=xl/sharedStrings.xml><?xml version="1.0" encoding="utf-8"?>
<sst xmlns="http://schemas.openxmlformats.org/spreadsheetml/2006/main" count="1453" uniqueCount="1098">
  <si>
    <t>Kỳ báo cáo:</t>
  </si>
  <si>
    <t>Thông tin chung:</t>
  </si>
  <si>
    <t>Tên Công ty quản lý quỹ:</t>
  </si>
  <si>
    <t>Công ty Cổ phần Quản lý Quỹ Đầu tư Việt Nam</t>
  </si>
  <si>
    <t>Fund Management Company:</t>
  </si>
  <si>
    <t>Vietnam Investment Fund Management Joint Stock Company</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</si>
  <si>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</si>
  <si>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</si>
  <si>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</si>
  <si>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</si>
  <si>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</si>
  <si>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</si>
  <si>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</si>
  <si>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</si>
  <si>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</si>
  <si>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</si>
  <si>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</si>
  <si>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Tổng Giám đốc</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</si>
  <si>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</si>
  <si>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</si>
  <si>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</si>
  <si>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</si>
  <si>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</si>
  <si>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</si>
  <si>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</si>
  <si>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</si>
  <si>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</si>
  <si>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</si>
  <si>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</si>
  <si>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</si>
  <si>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</si>
  <si>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</si>
  <si>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</si>
  <si>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thay đổi giá trị tài sản ròng, giao dịch chứng chỉ quỹ</t>
  </si>
  <si>
    <t>06107</t>
  </si>
  <si>
    <t>Báo cáo thu nhập giữa niên độ</t>
  </si>
  <si>
    <t>06203</t>
  </si>
  <si>
    <t>Báo cáo tình hình tài chính giữa niên độ</t>
  </si>
  <si>
    <t>06105</t>
  </si>
  <si>
    <t>Báo cáo thay đổi giá trị tài sản ròng, giao dịch chứng chỉ quỹ giữa niên độ</t>
  </si>
  <si>
    <t>06182</t>
  </si>
  <si>
    <t>B</t>
  </si>
  <si>
    <t xml:space="preserve">BÁO CÁO TÌNH HÌNH TỰ DOANH ĐẦU TƯ GIÁN TIẾP RA NƯỚC NGOÀI CỦA QUỸ </t>
  </si>
  <si>
    <t>Không có</t>
  </si>
  <si>
    <t>Ngân hàng TMCP Ngoại thương Việt Nam - CN TP.HCM</t>
  </si>
  <si>
    <t>Joint Stock Commercial Bank for Foreign Trade of Vietnam - HCMC Branch</t>
  </si>
  <si>
    <t>Quỹ ETF VFMVN Diamond (FUEVFVND)</t>
  </si>
  <si>
    <t>VFMVN Diamond ETF (FUEVFVND)</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</si>
  <si>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</si>
  <si>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</si>
  <si>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</si>
  <si>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</si>
  <si>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</si>
  <si>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</si>
  <si>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</si>
  <si>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</si>
  <si>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</si>
  <si>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</si>
  <si>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</si>
  <si>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</si>
  <si>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</si>
  <si>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</si>
  <si>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</si>
  <si>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</si>
  <si>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</si>
  <si>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</si>
  <si>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</si>
  <si>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</si>
  <si>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</si>
  <si>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</si>
  <si>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</si>
  <si>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</si>
  <si>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</si>
  <si>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</si>
  <si>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</si>
  <si>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</si>
  <si>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</si>
  <si>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</si>
  <si>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</si>
  <si>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</si>
  <si>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</si>
  <si>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</si>
  <si>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</si>
  <si>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</si>
  <si>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</si>
  <si>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</si>
  <si>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</si>
  <si>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</si>
  <si>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</si>
  <si>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</si>
  <si>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</si>
  <si>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</si>
  <si>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VFMVN Diamond ETF Fund (FUEVFVND)</t>
  </si>
  <si>
    <t>Tháng 04 năm 2020/ Apr 2020</t>
  </si>
  <si>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</si>
  <si>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_x000D_(Issued in association with Circular 91/2019/TT-BTC dated 31 Dec 2019 amending and supplementing a number of Circulars guiding on reporting  and administration of Fund Management Companies, Securities Investment Funds and  Securities Investment Companies)</t>
  </si>
  <si>
    <t>BÁO CÁO HOẠT ĐỘNG ĐẦU TƯ CỦA QUỸ ETF_x000D_
REPORT ON ETF FUND'S INVESTMENT ACTIVITIES</t>
  </si>
  <si>
    <t>Tại ngày 30 tháng 04  năm 2020 _x000D_
As at 30 Apr 2020</t>
  </si>
  <si>
    <t>1</t>
  </si>
  <si>
    <t>Tên Công ty quản lý quỹ:_x000D_</t>
  </si>
  <si>
    <t>Công ty cổ phần Quản lý Quỹ Đầu Tư Việt Nam</t>
  </si>
  <si>
    <t>2</t>
  </si>
  <si>
    <t xml:space="preserve">Ngân hàng giám sát: </t>
  </si>
  <si>
    <t>Ngân hàng TMCP Ngoại Thương Việt Nam - CN TP.HCM</t>
  </si>
  <si>
    <t>QUỸ ETF VFMVN DIAMOND</t>
  </si>
  <si>
    <t>VFMVN DIAMOND ETF</t>
  </si>
  <si>
    <t xml:space="preserve">04/05/2020 </t>
  </si>
  <si>
    <t xml:space="preserve">04 May 2020 </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</si>
  <si>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</si>
  <si>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</si>
  <si>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</si>
  <si>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</si>
  <si>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</si>
  <si>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</si>
  <si>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%/cùng kỳ năm trước_x000D_
%/against last year (*)</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</si>
  <si>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</si>
  <si>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</si>
  <si>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</si>
  <si>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</si>
  <si>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</si>
  <si>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</si>
  <si>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</si>
  <si>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</si>
  <si>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</si>
  <si>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</si>
  <si>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Tiền phải trả cho Nhà đầu tư về mua lại Chứng chỉ quỹ_x000D_
Cash at bank for Fund's redemption</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</si>
  <si>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</si>
  <si>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</si>
  <si>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</si>
  <si>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</si>
  <si>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</si>
  <si>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</si>
  <si>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</si>
  <si>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</si>
  <si>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</si>
  <si>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</si>
  <si>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</si>
  <si>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</si>
  <si>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</si>
  <si>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</si>
  <si>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</si>
  <si>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</si>
  <si>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</si>
  <si>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</si>
  <si>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</si>
  <si>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</si>
  <si>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</si>
  <si>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</si>
  <si>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</si>
  <si>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</si>
  <si>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</si>
  <si>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</si>
  <si>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</si>
  <si>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</si>
  <si>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</si>
  <si>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</si>
  <si>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</si>
  <si>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</si>
  <si>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</si>
  <si>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</si>
  <si>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</si>
  <si>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</si>
  <si>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</si>
  <si>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</si>
  <si>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</si>
  <si>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</si>
  <si>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</si>
  <si>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</si>
  <si>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</si>
  <si>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</si>
  <si>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</si>
  <si>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</si>
  <si>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</si>
  <si>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</si>
  <si>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</si>
  <si>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</si>
  <si>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</si>
  <si>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</si>
  <si>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</si>
  <si>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</si>
  <si>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</si>
  <si>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</si>
  <si>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</si>
  <si>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</si>
  <si>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</si>
  <si>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</si>
  <si>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</si>
  <si>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</si>
  <si>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</si>
  <si>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</si>
  <si>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</si>
  <si>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</si>
  <si>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</si>
  <si>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I.8</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</si>
  <si>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</si>
  <si>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</si>
  <si>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</si>
  <si>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</si>
  <si>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</si>
  <si>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</si>
  <si>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</si>
  <si>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</si>
  <si>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</si>
  <si>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</si>
  <si>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</si>
  <si>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</si>
  <si>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</si>
  <si>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</si>
  <si>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</si>
  <si>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</si>
  <si>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</si>
  <si>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</si>
  <si>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</si>
  <si>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</si>
  <si>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</si>
  <si>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Phải trả phí cho các Đại lý phân phối về mua bán Chứng chỉ quỹ_x000D_
Subscription and Redemption fee payable to distributors</t>
  </si>
  <si>
    <t>2215.3.1</t>
  </si>
  <si>
    <t>Phải trả phí cho Công ty quản lý quỹ về mua bán Chứng chỉ quỹ_x000D_
Subscription and Redemption fee payable to fund management company</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</si>
  <si>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</si>
  <si>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</si>
  <si>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</si>
  <si>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</si>
  <si>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</si>
  <si>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</si>
  <si>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</si>
  <si>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</si>
  <si>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</si>
  <si>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</si>
  <si>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</si>
  <si>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</si>
  <si>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</si>
  <si>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</si>
  <si>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</si>
  <si>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</si>
  <si>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</si>
  <si>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Trích trước phí lưu ký tài sản Quỹ ETF_x000D_
Accrued expenses for Custion services</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</si>
  <si>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</si>
  <si>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</si>
  <si>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</si>
  <si>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</si>
  <si>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</si>
  <si>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</si>
  <si>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</si>
  <si>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</si>
  <si>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</si>
  <si>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</si>
  <si>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</si>
  <si>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</si>
  <si>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</si>
  <si>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</si>
  <si>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</si>
  <si>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</si>
  <si>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</si>
  <si>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</si>
  <si>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</si>
  <si>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</si>
  <si>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</si>
  <si>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</si>
  <si>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</si>
  <si>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</si>
  <si>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</si>
  <si>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</si>
  <si>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</si>
  <si>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</si>
  <si>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</si>
  <si>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</si>
  <si>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</si>
  <si>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2215.17.5</t>
  </si>
  <si>
    <t>Lệ phí cấp giấy chứng nhận hoạt động quỹ ETF trả UBCKNN_x000D_
Register fee for ETF operation payable to SSC</t>
  </si>
  <si>
    <t>2215.17.5.1</t>
  </si>
  <si>
    <t>Phí dịch vụ đăng ký chứng khoán trả VSD_x000D_
Security register fee payable to VSD</t>
  </si>
  <si>
    <t>2215.17.5.2</t>
  </si>
  <si>
    <t>Phải trả, phải nộp khác_x000D_
Other payables</t>
  </si>
  <si>
    <t>2215.17.5.3</t>
  </si>
  <si>
    <t>Chi phí phải trả khác của công ty QLQ_x000D_
Other expenses</t>
  </si>
  <si>
    <t>2215.17.5.4</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</si>
  <si>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</si>
  <si>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</si>
  <si>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</si>
  <si>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</si>
  <si>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</si>
  <si>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</si>
  <si>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</si>
  <si>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</si>
  <si>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</si>
  <si>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</si>
  <si>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</si>
  <si>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</si>
  <si>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</si>
  <si>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</si>
  <si>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</si>
  <si>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Quỹ được cấp phép thành lập ngày 22/04/2020 nên không có số liệu tại năm 2019._x000D_
Fund Registration Certificate was granted on 22/04/2020, so data for 2019 is left blank.</t>
  </si>
  <si>
    <t>NGÂN HÀNG TMCP NGOẠI THƯƠNG VIỆT NAM - CN TP.HCM</t>
  </si>
  <si>
    <t>CÔNG TY CỔ PHẦN QUẢN LÝ QUỸ ĐẦU TƯ VIỆT NAM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</si>
  <si>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</si>
  <si>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</si>
  <si>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Tháng 04 năm 2020 / Month Apr of year 2020</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</si>
  <si>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</si>
  <si>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</si>
  <si>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</si>
  <si>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</si>
  <si>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</si>
  <si>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</si>
  <si>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</si>
  <si>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</si>
  <si>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</si>
  <si>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</si>
  <si>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</si>
  <si>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</si>
  <si>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</si>
  <si>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</si>
  <si>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</si>
  <si>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</si>
  <si>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</si>
  <si>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</si>
  <si>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</si>
  <si>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</si>
  <si>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</si>
  <si>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</si>
  <si>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</si>
  <si>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</si>
  <si>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</si>
  <si>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</si>
  <si>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</si>
  <si>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</si>
  <si>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</si>
  <si>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</si>
  <si>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</si>
  <si>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</si>
  <si>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</si>
  <si>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</si>
  <si>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</si>
  <si>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</si>
  <si>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</si>
  <si>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</si>
  <si>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</si>
  <si>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</si>
  <si>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</si>
  <si>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</si>
  <si>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</si>
  <si>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</si>
  <si>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</si>
  <si>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</si>
  <si>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</si>
  <si>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</si>
  <si>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</si>
  <si>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</si>
  <si>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</si>
  <si>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</si>
  <si>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</si>
  <si>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</si>
  <si>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</si>
  <si>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</si>
  <si>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</si>
  <si>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</si>
  <si>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</si>
  <si>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</si>
  <si>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</si>
  <si>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</si>
  <si>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</si>
  <si>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</si>
  <si>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</si>
  <si>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</si>
  <si>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</si>
  <si>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</si>
  <si>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</si>
  <si>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</si>
  <si>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</si>
  <si>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</si>
  <si>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</si>
  <si>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</si>
  <si>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</si>
  <si>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</si>
  <si>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</si>
  <si>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</si>
  <si>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</si>
  <si>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</si>
  <si>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</si>
  <si>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</si>
  <si>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</si>
  <si>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</si>
  <si>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</si>
  <si>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</si>
  <si>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</si>
  <si>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</si>
  <si>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</si>
  <si>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</si>
  <si>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</si>
  <si>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</si>
  <si>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</si>
  <si>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</si>
  <si>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</si>
  <si>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</si>
  <si>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</si>
  <si>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</si>
  <si>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</si>
  <si>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</si>
  <si>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</si>
  <si>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</si>
  <si>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</si>
  <si>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</si>
  <si>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</si>
  <si>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</si>
  <si>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</si>
  <si>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</si>
  <si>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</si>
  <si>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</si>
  <si>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</si>
  <si>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</si>
  <si>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</si>
  <si>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</si>
  <si>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</si>
  <si>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</si>
  <si>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</si>
  <si>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</si>
  <si>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</si>
  <si>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</si>
  <si>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</si>
  <si>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</si>
  <si>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</si>
  <si>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</si>
  <si>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</si>
  <si>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</si>
  <si>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</si>
  <si>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</si>
  <si>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</si>
  <si>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</si>
  <si>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</si>
  <si>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</si>
  <si>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</si>
  <si>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</si>
  <si>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</si>
  <si>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</si>
  <si>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</si>
  <si>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</si>
  <si>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</si>
  <si>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</si>
  <si>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</si>
  <si>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</si>
  <si>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</si>
  <si>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</si>
  <si>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Tại ngày 31 tháng 03  năm 2020_x000D_
As at 31 Mar 2020</t>
  </si>
  <si>
    <t>Tháng 04 năm 2020 / Apr 2020</t>
  </si>
  <si>
    <t>BÁO CÁO HOẠT ĐỘNG ĐẦU TƯ CỦA QUỸ ETF</t>
  </si>
  <si>
    <t>REPORT ON ETF FUND'S INVESTMENT ACTIVITIES</t>
  </si>
  <si>
    <t>Tại ngày 30 tháng 04 năm 2020 / As at 30 Apr 2020</t>
  </si>
  <si>
    <t>04/05/2020 _x000D_</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</si>
  <si>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</si>
  <si>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</si>
  <si>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</si>
  <si>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</si>
  <si>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</si>
  <si>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</si>
  <si>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</si>
  <si>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</si>
  <si>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</si>
  <si>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</si>
  <si>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</si>
  <si>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</si>
  <si>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</si>
  <si>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</si>
  <si>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</si>
  <si>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</si>
  <si>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</si>
  <si>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</si>
  <si>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</si>
  <si>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</si>
  <si>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</si>
  <si>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</si>
  <si>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</si>
  <si>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</si>
  <si>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</si>
  <si>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</si>
  <si>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</si>
  <si>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</si>
  <si>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</si>
  <si>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</si>
  <si>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</si>
  <si>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</si>
  <si>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</si>
  <si>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</si>
  <si>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</si>
  <si>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</si>
  <si>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</si>
  <si>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</si>
  <si>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</si>
  <si>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</si>
  <si>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</si>
  <si>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</si>
  <si>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</si>
  <si>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</si>
  <si>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</si>
  <si>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</si>
  <si>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</si>
  <si>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</si>
  <si>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</si>
  <si>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</si>
  <si>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</si>
  <si>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</si>
  <si>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</si>
  <si>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</si>
  <si>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</si>
  <si>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</si>
  <si>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</si>
  <si>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</si>
  <si>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</si>
  <si>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</si>
  <si>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</si>
  <si>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</si>
  <si>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</si>
  <si>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</si>
  <si>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</si>
  <si>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</si>
  <si>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</si>
  <si>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</si>
  <si>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</si>
  <si>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</si>
  <si>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</si>
  <si>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</si>
  <si>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</si>
  <si>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</si>
  <si>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</si>
  <si>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</si>
  <si>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</si>
  <si>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</si>
  <si>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</si>
  <si>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</si>
  <si>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</si>
  <si>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</si>
  <si>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</si>
  <si>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</si>
  <si>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</si>
  <si>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</si>
  <si>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</si>
  <si>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</si>
  <si>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</si>
  <si>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</si>
  <si>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</si>
  <si>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</si>
  <si>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</si>
  <si>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</si>
  <si>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</si>
  <si>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</si>
  <si>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</si>
  <si>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</si>
  <si>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</si>
  <si>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</si>
  <si>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Tháng 04 năm 2020_x000D_
Apr 2020</t>
  </si>
  <si>
    <t>Tháng 03 năm 2020_x000D_
Mar 2020</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</si>
  <si>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</si>
  <si>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</si>
  <si>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</si>
  <si>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</si>
  <si>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</si>
  <si>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</si>
  <si>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</si>
  <si>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</si>
  <si>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</si>
  <si>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</si>
  <si>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</si>
  <si>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</si>
  <si>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</si>
  <si>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</si>
  <si>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</si>
  <si>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</si>
  <si>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</si>
  <si>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</si>
  <si>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</si>
  <si>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</si>
  <si>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</si>
  <si>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</si>
  <si>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</si>
  <si>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</si>
  <si>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</si>
  <si>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</si>
  <si>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</si>
  <si>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</si>
  <si>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</si>
  <si>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</si>
  <si>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</si>
  <si>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</si>
  <si>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</si>
  <si>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</si>
  <si>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</si>
  <si>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</si>
  <si>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</si>
  <si>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</si>
  <si>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</si>
  <si>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</si>
  <si>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</si>
  <si>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</si>
  <si>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</si>
  <si>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</si>
  <si>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</si>
  <si>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</si>
  <si>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</si>
  <si>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</si>
  <si>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</si>
  <si>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</si>
  <si>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</si>
  <si>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</si>
  <si>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</si>
  <si>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</si>
  <si>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</si>
  <si>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</si>
  <si>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</si>
  <si>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</si>
  <si>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</si>
  <si>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</si>
  <si>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</si>
  <si>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</si>
  <si>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</si>
  <si>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</si>
  <si>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Tháng 03 năm 2020
Mar 2020</t>
  </si>
  <si>
    <t>Mẫu số B01 - ETF. Báo cáo thu nhập_x000D_
Template B01 - ETF. Statement of Comprehensive Income</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</si>
  <si>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</si>
  <si>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</si>
  <si>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</si>
  <si>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Joint Stock Commercial Bank for Foreign Trade of Vietnam</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</si>
  <si>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</si>
  <si>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</si>
  <si>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</si>
  <si>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</si>
  <si>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</si>
  <si>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</si>
  <si>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</si>
  <si>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</si>
  <si>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</si>
  <si>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</si>
  <si>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</si>
  <si>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</si>
  <si>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</si>
  <si>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</si>
  <si>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</si>
  <si>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</si>
  <si>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</si>
  <si>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</si>
  <si>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</si>
  <si>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</si>
  <si>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</si>
  <si>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</si>
  <si>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</si>
  <si>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</si>
  <si>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</si>
  <si>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</si>
  <si>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</si>
  <si>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</si>
  <si>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</si>
  <si>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</si>
  <si>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</si>
  <si>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</si>
  <si>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</si>
  <si>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</si>
  <si>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</si>
  <si>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</si>
  <si>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</si>
  <si>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</si>
  <si>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</si>
  <si>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</si>
  <si>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</si>
  <si>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</si>
  <si>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</si>
  <si>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</si>
  <si>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</si>
  <si>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</si>
  <si>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</si>
  <si>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</si>
  <si>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</si>
  <si>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</si>
  <si>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</si>
  <si>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</si>
  <si>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</si>
  <si>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</si>
  <si>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</si>
  <si>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</si>
  <si>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</si>
  <si>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</si>
  <si>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</si>
  <si>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</si>
  <si>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</si>
  <si>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</si>
  <si>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</si>
  <si>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</si>
  <si>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</si>
  <si>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</si>
  <si>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</si>
  <si>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</si>
  <si>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</si>
  <si>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</si>
  <si>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</si>
  <si>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</si>
  <si>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</si>
  <si>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</si>
  <si>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</si>
  <si>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</si>
  <si>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</si>
  <si>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</si>
  <si>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</si>
  <si>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</si>
  <si>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</si>
  <si>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</si>
  <si>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</si>
  <si>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</si>
  <si>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</si>
  <si>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</si>
  <si>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</si>
  <si>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</si>
  <si>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</si>
  <si>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</si>
  <si>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</si>
  <si>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</si>
  <si>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</si>
  <si>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</si>
  <si>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</si>
  <si>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</si>
  <si>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</si>
  <si>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</si>
  <si>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</si>
  <si>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</si>
  <si>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</si>
  <si>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</si>
  <si>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</si>
  <si>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</si>
  <si>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</si>
  <si>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</si>
  <si>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</si>
  <si>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</si>
  <si>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</si>
  <si>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</si>
  <si>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</si>
  <si>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</si>
  <si>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</si>
  <si>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</si>
  <si>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</si>
  <si>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</si>
  <si>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</si>
  <si>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</si>
  <si>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</si>
  <si>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</si>
  <si>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</si>
  <si>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</si>
  <si>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</si>
  <si>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</si>
  <si>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</si>
  <si>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</si>
  <si>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</si>
  <si>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</si>
  <si>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Người lập biểu</t>
  </si>
  <si>
    <t>Kế toán trưởng</t>
  </si>
  <si>
    <t>Tổng giám đốc</t>
  </si>
  <si>
    <t>(Ký, họ tên)</t>
  </si>
  <si>
    <t>(Ký, họ tên, đóng dấu)</t>
  </si>
  <si>
    <t>Tháng 04 năm 2019_x000D_
Apr 2019</t>
  </si>
  <si>
    <t>BÁO CÁO TÌNH HÌNH TÀI CHÍNH_x000D_
STATEMENT OF FINANCIAL POSITION</t>
  </si>
  <si>
    <t>Tại ngày: 30 tháng 04 năm 2020 / As at 30 Apr 2020</t>
  </si>
  <si>
    <t>04/05/2020</t>
  </si>
  <si>
    <t>CHỈ TIÊU_x000D_
Indicators</t>
  </si>
  <si>
    <t>Thuyết minh_x000D_
Notes</t>
  </si>
  <si>
    <t>Tại ngày 31 tháng 03  năm 2020 _x000D_
As at 31 Mar 2020</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</si>
  <si>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</si>
  <si>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</si>
  <si>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</si>
  <si>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</si>
  <si>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</si>
  <si>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</si>
  <si>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</si>
  <si>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</si>
  <si>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</si>
  <si>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</si>
  <si>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</si>
  <si>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</si>
  <si>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</si>
  <si>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</si>
  <si>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</si>
  <si>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</si>
  <si>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</si>
  <si>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</si>
  <si>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</si>
  <si>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</si>
  <si>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</si>
  <si>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</si>
  <si>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</si>
  <si>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</si>
  <si>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</si>
  <si>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</si>
  <si>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</si>
  <si>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</si>
  <si>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</si>
  <si>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</si>
  <si>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</si>
  <si>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</si>
  <si>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</si>
  <si>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</si>
  <si>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</si>
  <si>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</si>
  <si>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</si>
  <si>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</si>
  <si>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</si>
  <si>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</si>
  <si>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</si>
  <si>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</si>
  <si>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</si>
  <si>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</si>
  <si>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</si>
  <si>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</si>
  <si>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</si>
  <si>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</si>
  <si>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</si>
  <si>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</si>
  <si>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</si>
  <si>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</si>
  <si>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</si>
  <si>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</si>
  <si>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</si>
  <si>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</si>
  <si>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</si>
  <si>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</si>
  <si>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</si>
  <si>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</si>
  <si>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</si>
  <si>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</si>
  <si>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</si>
  <si>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</si>
  <si>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</si>
  <si>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</si>
  <si>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</si>
  <si>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</si>
  <si>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</si>
  <si>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</si>
  <si>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</si>
  <si>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</si>
  <si>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</si>
  <si>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</si>
  <si>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</si>
  <si>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</si>
  <si>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</si>
  <si>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</si>
  <si>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</si>
  <si>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</si>
  <si>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</si>
  <si>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</si>
  <si>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</si>
  <si>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</si>
  <si>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</si>
  <si>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</si>
  <si>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</si>
  <si>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Trả trước giá dịch quản lý niêm yết cho HOSE_x000D_
Prepaid expense for listed management at HOSE</t>
  </si>
  <si>
    <t>137.2.3</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</si>
  <si>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</si>
  <si>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</si>
  <si>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</si>
  <si>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</si>
  <si>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</si>
  <si>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</si>
  <si>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</si>
  <si>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</si>
  <si>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</si>
  <si>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</si>
  <si>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</si>
  <si>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</si>
  <si>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</si>
  <si>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</si>
  <si>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</si>
  <si>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</si>
  <si>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</si>
  <si>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</si>
  <si>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</si>
  <si>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</si>
  <si>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</si>
  <si>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</si>
  <si>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</si>
  <si>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</si>
  <si>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</si>
  <si>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</si>
  <si>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</si>
  <si>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</si>
  <si>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</si>
  <si>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</si>
  <si>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</si>
  <si>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</si>
  <si>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</si>
  <si>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</si>
  <si>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</si>
  <si>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</si>
  <si>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</si>
  <si>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</si>
  <si>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</si>
  <si>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</si>
  <si>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</si>
  <si>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</si>
  <si>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</si>
  <si>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</si>
  <si>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</si>
  <si>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</si>
  <si>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</si>
  <si>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</si>
  <si>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</si>
  <si>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</si>
  <si>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</si>
  <si>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</si>
  <si>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</si>
  <si>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</si>
  <si>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</si>
  <si>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</si>
  <si>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</si>
  <si>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</si>
  <si>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</si>
  <si>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</si>
  <si>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</si>
  <si>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</si>
  <si>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</si>
  <si>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</si>
  <si>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</si>
  <si>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</si>
  <si>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</si>
  <si>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</si>
  <si>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</si>
  <si>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</si>
  <si>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</si>
  <si>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</si>
  <si>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</si>
  <si>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</si>
  <si>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</si>
  <si>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</si>
  <si>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</si>
  <si>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</si>
  <si>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</si>
  <si>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</si>
  <si>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</si>
  <si>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</si>
  <si>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</si>
  <si>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</si>
  <si>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</si>
  <si>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</si>
  <si>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</si>
  <si>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</si>
  <si>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</si>
  <si>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</si>
  <si>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</si>
  <si>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</si>
  <si>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</si>
  <si>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</si>
  <si>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</si>
  <si>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</si>
  <si>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</si>
  <si>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</si>
  <si>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</si>
  <si>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</si>
  <si>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</si>
  <si>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</si>
  <si>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</si>
  <si>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</si>
  <si>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</si>
  <si>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</si>
  <si>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</si>
  <si>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</si>
  <si>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</si>
  <si>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</si>
  <si>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</si>
  <si>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</si>
  <si>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</si>
  <si>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</si>
  <si>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</si>
  <si>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</si>
  <si>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1. Lợi nhuận/Tài sản đã phân phối cho Nhà đầu tư trong năm_x000D_
Distributed earnings assets in the period</t>
  </si>
  <si>
    <t>441</t>
  </si>
  <si>
    <t>2. Lợi nhuận đã phân phối cho Nhà đầu tư lũy kế từ khi thành lập Quỹ mở đến kỳ lập báo cáo này_x000D_
Accumulated distributed profit/ assets</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</si>
  <si>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</si>
  <si>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</si>
  <si>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</si>
  <si>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</si>
  <si>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</si>
  <si>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</si>
  <si>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</si>
  <si>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</si>
  <si>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</si>
  <si>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</si>
  <si>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BÁO CÁO THAY ĐỔI GIÁ TRỊ TÀI SẢN RÒNG, GIAO DỊCH CHỨNG CHỈ QŨY_x000D_
REPORT ON CHANGE OF NET ASSET VALUE, TRADING OF FUND CERTIFICATE</t>
  </si>
  <si>
    <t>Công ty quản lý quỹ:</t>
  </si>
  <si>
    <t>Supervising Bank</t>
  </si>
  <si>
    <t>Kỳ báo cáo:</t>
  </si>
  <si>
    <t>Reporting date:</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</si>
  <si>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</si>
  <si>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</si>
  <si>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</si>
  <si>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</si>
  <si>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</si>
  <si>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</si>
  <si>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</si>
  <si>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</si>
  <si>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</si>
  <si>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</si>
  <si>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</si>
  <si>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</si>
  <si>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</si>
  <si>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</si>
  <si>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</si>
  <si>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</si>
  <si>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</si>
  <si>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</si>
  <si>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</si>
  <si>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</si>
  <si>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</si>
  <si>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</si>
  <si>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</si>
  <si>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</si>
  <si>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</si>
  <si>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 xml:space="preserve">                                             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</si>
  <si>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mục)_x000D_
(Issued in association with Circular 229/2012/TT-BTC on 27 December 2012 guiding establishment and management of the Exchange Traded Fund)</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</si>
  <si>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</si>
  <si>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</si>
  <si>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</si>
  <si>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</si>
  <si>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</si>
  <si>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</si>
  <si>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KỲ BÁO CÁO_x000D_
THIS PERIOD_x000D_
30/04/2020</t>
  </si>
  <si>
    <t>KỲ TRƯỚC_x000D_
LAST PERIOD_x000D_
31/03/2020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</si>
  <si>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</si>
  <si>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</si>
  <si>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</si>
  <si>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</si>
  <si>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</si>
  <si>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</si>
  <si>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</si>
  <si>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</si>
  <si>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</si>
  <si>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</si>
  <si>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</si>
  <si>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</si>
  <si>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</si>
  <si>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</si>
  <si>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</si>
  <si>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</si>
  <si>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</si>
  <si>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</si>
  <si>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</si>
  <si>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</si>
  <si>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</si>
  <si>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</si>
  <si>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</si>
  <si>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</si>
  <si>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</si>
  <si>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</si>
  <si>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</si>
  <si>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</si>
  <si>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</si>
  <si>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</si>
  <si>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</si>
  <si>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</si>
  <si>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</si>
  <si>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</si>
  <si>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</si>
  <si>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</si>
  <si>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</si>
  <si>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</si>
  <si>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</si>
  <si>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</si>
  <si>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</si>
  <si>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</si>
  <si>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</si>
  <si>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</si>
  <si>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</si>
  <si>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</si>
  <si>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</si>
  <si>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</si>
  <si>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</si>
  <si>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</si>
  <si>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</si>
  <si>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</si>
  <si>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</si>
  <si>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</si>
  <si>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</si>
  <si>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</si>
  <si>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</si>
  <si>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</si>
  <si>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</si>
  <si>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Mẫu số B03 - ETF: Mẫu báo cáo thay đổi giá trị tài sản ròng, giao dịch chứng chỉ quỹ
Template B03 - ETF: Report on change of Net Asset Value, trading of Fund Certificate</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</si>
  <si>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</si>
  <si>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Ghi chú:</t>
  </si>
  <si>
    <t>- Tổng giá trị danh mục mua vào</t>
  </si>
  <si>
    <t>- Tổng giá trị danh mục bán ra</t>
  </si>
  <si>
    <t>70A</t>
  </si>
  <si>
    <t>70B</t>
  </si>
  <si>
    <t>1. Tên Công ty quản lý quỹ:</t>
  </si>
  <si>
    <t xml:space="preserve">    Fund Management Company:</t>
  </si>
  <si>
    <t>2. Tên ngân hàng giám sát:</t>
  </si>
  <si>
    <t xml:space="preserve">    Supervising bank:</t>
  </si>
  <si>
    <t>3. Tên Quỹ:</t>
  </si>
  <si>
    <t xml:space="preserve">    Fund name:</t>
  </si>
  <si>
    <t>4. Ngày lập báo cáo:</t>
  </si>
  <si>
    <t xml:space="preserve">    Reporting Date:</t>
  </si>
  <si>
    <t>Mẫu số B02g - ETF. Báo cáo tình hình tài chính_x000D_
Template B02g - ETF. Statement of Financial Position</t>
  </si>
  <si>
    <t>NGÂN HÀNG TMCP NGOẠI THƯƠNG VIỆT NAM -
 CN TP.HCM</t>
  </si>
  <si>
    <t>Tại ngày 30 tháng 04  năm 2020/ As at 30 Apr 2020</t>
  </si>
  <si>
    <t>Tiền gửi của nhà đầu tư cho hoạt động mua chứng chỉ quỹ _x000D_Cash at bank for Fund's subscription</t>
  </si>
  <si>
    <t>TỔNG TÀI SẢN
TOTAL ASSETS</t>
  </si>
  <si>
    <t xml:space="preserve">Đơn vị tính/Currency: VND    </t>
  </si>
  <si>
    <t>Tại ngày 30 tháng 04 năm 2020/ As at 30 April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</si>
</sst>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dd/mmm/yyyy"/>
    <numFmt numFmtId="165" formatCode="_(* #,##0_);_(* \(#,##0\);_(* &quot;-&quot;??_);_(@_)"/>
    <numFmt numFmtId="166" formatCode="[$-1010000]d/m/yyyy;@"/>
    <numFmt numFmtId="167" formatCode="[$-1010000]yyyy/mm/dd;@"/>
    <numFmt numFmtId="168" formatCode="#,##0.00%"/>
    <numFmt numFmtId="169" formatCode="#,##0;\(#,##0\);"/>
    <numFmt numFmtId="170" formatCode="&quot;&quot;#,##0"/>
    <numFmt numFmtId="171" formatCode="#,##0;\(#,##0\);\ "/>
    <numFmt numFmtId="172" formatCode="#,##0.00;\(#,##0.00\);\ "/>
    <numFmt numFmtId="173" formatCode="#0.00%;\(#0.00\)%;\ "/>
  </numFmts>
  <fonts count="38" x14ac:knownFonts="1">
    <font>
      <sz val="11"/>
      <color theme="1"/>
      <name val="Calibri"/>
      <family val="2"/>
      <scheme val="minor"/>
    </font>
    <font>
      <sz val="11"/>
      <color theme="1"/>
      <name val="Calibri"/>
      <family val="2"/>
      <scheme val="minor"/>
    </font>
    <font>
      <sz val="10"/>
      <color theme="1"/>
      <name val="Arial"/>
      <family val="2"/>
    </font>
    <font>
      <sz val="12"/>
      <name val=".VnTime"/>
      <family val="2"/>
    </font>
    <font>
      <u/>
      <sz val="11"/>
      <color theme="10"/>
      <name val="Calibri"/>
      <family val="2"/>
      <scheme val="minor"/>
    </font>
    <font>
      <sz val="10"/>
      <name val="Arial"/>
      <family val="2"/>
    </font>
    <font>
      <sz val="11"/>
      <name val="Times New Roman"/>
      <family val="1"/>
    </font>
    <font>
      <b/>
      <sz val="12"/>
      <color theme="1"/>
      <name val="Times New Roman"/>
      <family val="1"/>
    </font>
    <font>
      <sz val="12"/>
      <color theme="1"/>
      <name val="Times New Roman"/>
      <family val="1"/>
    </font>
    <font>
      <sz val="11"/>
      <color theme="1"/>
      <name val="Times New Roman"/>
      <family val="1"/>
    </font>
    <font>
      <i/>
      <sz val="12"/>
      <color theme="1"/>
      <name val="Times New Roman"/>
      <family val="1"/>
    </font>
    <font>
      <sz val="12"/>
      <name val="Times New Roman"/>
      <family val="1"/>
    </font>
    <font>
      <sz val="12"/>
      <color theme="0" tint="-4.9989318521683403E-2"/>
      <name val="Times New Roman"/>
      <family val="1"/>
    </font>
    <font>
      <b/>
      <sz val="12"/>
      <color indexed="8"/>
      <name val="Times New Roman"/>
      <family val="1"/>
    </font>
    <font>
      <i/>
      <sz val="12"/>
      <name val="Times New Roman"/>
      <family val="1"/>
    </font>
    <font>
      <b/>
      <sz val="12"/>
      <name val="Times New Roman"/>
      <family val="1"/>
    </font>
    <font>
      <u/>
      <sz val="12"/>
      <color theme="1"/>
      <name val="Times New Roman"/>
      <family val="1"/>
    </font>
    <font>
      <i/>
      <sz val="8"/>
      <color indexed="8"/>
      <name val="Times New Roman"/>
      <family val="1"/>
    </font>
    <font>
      <b/>
      <i/>
      <sz val="9"/>
      <color indexed="8"/>
      <name val="Times New Roman"/>
      <family val="1"/>
    </font>
    <font>
      <i/>
      <sz val="9"/>
      <color indexed="8"/>
      <name val="Times New Roman"/>
      <family val="1"/>
    </font>
    <font>
      <b/>
      <sz val="11"/>
      <color indexed="8"/>
      <name val="Times New Roman"/>
      <family val="1"/>
    </font>
    <font>
      <sz val="9"/>
      <color rgb="FF000000"/>
      <name val="Times New Roman"/>
      <family val="1"/>
    </font>
    <font>
      <b/>
      <sz val="9"/>
      <color rgb="FF000000"/>
      <name val="Times New Roman"/>
      <family val="1"/>
    </font>
    <font>
      <sz val="9"/>
      <color theme="1"/>
      <name val="Times New Roman"/>
      <family val="1"/>
    </font>
    <font>
      <i/>
      <sz val="8"/>
      <color rgb="FF000000"/>
      <name val="Times New Roman"/>
      <family val="1"/>
    </font>
    <font>
      <b/>
      <sz val="12"/>
      <color rgb="FF000000"/>
      <name val="Times New Roman"/>
      <family val="1"/>
    </font>
    <font>
      <i/>
      <sz val="9"/>
      <color rgb="FF000000"/>
      <name val="Times New Roman"/>
      <family val="1"/>
    </font>
    <font>
      <sz val="10"/>
      <color theme="1"/>
      <name val="Calibri"/>
      <family val="2"/>
      <scheme val="minor"/>
    </font>
    <font>
      <b/>
      <sz val="11"/>
      <color rgb="FF000000"/>
      <name val="Times New Roman"/>
      <family val="1"/>
    </font>
    <font>
      <sz val="10"/>
      <color indexed="8"/>
      <name val="Calibri"/>
      <family val="2"/>
      <scheme val="minor"/>
    </font>
    <font>
      <sz val="9"/>
      <color indexed="8"/>
      <name val="Times New Roman"/>
      <family val="1"/>
    </font>
    <font>
      <b/>
      <sz val="9"/>
      <color indexed="8"/>
      <name val="Times New Roman"/>
      <family val="1"/>
    </font>
    <font>
      <b/>
      <i/>
      <sz val="9"/>
      <color rgb="FF000000"/>
      <name val="Times New Roman"/>
      <family val="1"/>
    </font>
    <font>
      <i/>
      <sz val="8"/>
      <color rgb="FF000000"/>
      <name val="Tahoma"/>
      <family val="2"/>
    </font>
    <font>
      <b/>
      <sz val="9"/>
      <color theme="1"/>
      <name val="Times New Roman"/>
      <family val="1"/>
    </font>
    <font>
      <sz val="9"/>
      <name val="Times New Roman"/>
      <family val="1"/>
    </font>
    <font>
      <b/>
      <sz val="9"/>
      <name val="Times New Roman"/>
      <family val="1"/>
    </font>
    <font>
      <b/>
      <sz val="9.75"/>
      <color rgb="FF000000"/>
      <name val="Times New Roman"/>
      <family val="1"/>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6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rgb="FFE3E3E3"/>
      </left>
      <right/>
      <top style="thin">
        <color rgb="FFE3E3E3"/>
      </top>
      <bottom style="thin">
        <color rgb="FF000000"/>
      </bottom>
      <diagonal/>
    </border>
    <border>
      <left style="thin">
        <color rgb="FFE3E3E3"/>
      </left>
      <right/>
      <top style="thin">
        <color rgb="FFE3E3E3"/>
      </top>
      <bottom style="thin">
        <color rgb="FFE3E3E3"/>
      </bottom>
      <diagonal/>
    </border>
    <border>
      <left style="thin">
        <color rgb="FFA0A0A0"/>
      </left>
      <right/>
      <top style="thin">
        <color rgb="FFA0A0A0"/>
      </top>
      <bottom style="thin">
        <color rgb="FFA0A0A0"/>
      </bottom>
      <diagonal/>
    </border>
    <border>
      <left style="thin">
        <color rgb="FFE3E3E3"/>
      </left>
      <right/>
      <top style="thin">
        <color rgb="FFA0A0A0"/>
      </top>
      <bottom style="thin">
        <color rgb="FFE3E3E3"/>
      </bottom>
      <diagonal/>
    </border>
    <border>
      <left style="thin">
        <color rgb="FFA0A0A0"/>
      </left>
      <right/>
      <top style="thin">
        <color rgb="FF000000"/>
      </top>
      <bottom style="thin">
        <color rgb="FFA0A0A0"/>
      </bottom>
      <diagonal/>
    </border>
    <border>
      <left style="thin">
        <color rgb="FFA0A0A0"/>
      </left>
      <right style="thin">
        <color rgb="FFA0A0A0"/>
      </right>
      <top style="thin">
        <color rgb="FF000000"/>
      </top>
      <bottom/>
      <diagonal/>
    </border>
    <border>
      <left style="thin">
        <color rgb="FFA0A0A0"/>
      </left>
      <right style="thin">
        <color rgb="FFA0A0A0"/>
      </right>
      <top/>
      <bottom style="thin">
        <color rgb="FFA0A0A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A0A0A0"/>
      </bottom>
      <diagonal/>
    </border>
    <border>
      <left style="thin">
        <color rgb="FF000000"/>
      </left>
      <right/>
      <top style="thin">
        <color rgb="FFE3E3E3"/>
      </top>
      <bottom style="thin">
        <color rgb="FFE3E3E3"/>
      </bottom>
      <diagonal/>
    </border>
    <border>
      <left style="thin">
        <color rgb="FF000000"/>
      </left>
      <right/>
      <top style="thin">
        <color rgb="FFA0A0A0"/>
      </top>
      <bottom style="thin">
        <color rgb="FFE3E3E3"/>
      </bottom>
      <diagonal/>
    </border>
    <border>
      <left style="thin">
        <color rgb="FF000000"/>
      </left>
      <right/>
      <top style="thin">
        <color rgb="FFE3E3E3"/>
      </top>
      <bottom style="thin">
        <color rgb="FF000000"/>
      </bottom>
      <diagonal/>
    </border>
    <border>
      <left style="thin">
        <color indexed="64"/>
      </left>
      <right style="thin">
        <color rgb="FFA0A0A0"/>
      </right>
      <top style="thin">
        <color indexed="64"/>
      </top>
      <bottom style="thin">
        <color rgb="FFA0A0A0"/>
      </bottom>
      <diagonal/>
    </border>
    <border>
      <left style="thin">
        <color rgb="FFA0A0A0"/>
      </left>
      <right/>
      <top style="thin">
        <color indexed="64"/>
      </top>
      <bottom style="thin">
        <color rgb="FFA0A0A0"/>
      </bottom>
      <diagonal/>
    </border>
    <border>
      <left/>
      <right style="thin">
        <color rgb="FFA0A0A0"/>
      </right>
      <top style="thin">
        <color indexed="64"/>
      </top>
      <bottom style="thin">
        <color rgb="FFA0A0A0"/>
      </bottom>
      <diagonal/>
    </border>
    <border>
      <left style="thin">
        <color rgb="FFA0A0A0"/>
      </left>
      <right style="thin">
        <color indexed="64"/>
      </right>
      <top style="thin">
        <color indexed="64"/>
      </top>
      <bottom style="thin">
        <color rgb="FFA0A0A0"/>
      </bottom>
      <diagonal/>
    </border>
    <border>
      <left style="thin">
        <color indexed="64"/>
      </left>
      <right style="thin">
        <color rgb="FFE3E3E3"/>
      </right>
      <top/>
      <bottom style="thin">
        <color rgb="FFE3E3E3"/>
      </bottom>
      <diagonal/>
    </border>
    <border>
      <left style="thin">
        <color rgb="FFE3E3E3"/>
      </left>
      <right style="thin">
        <color indexed="64"/>
      </right>
      <top style="thin">
        <color rgb="FFA0A0A0"/>
      </top>
      <bottom style="thin">
        <color rgb="FFE3E3E3"/>
      </bottom>
      <diagonal/>
    </border>
    <border>
      <left style="thin">
        <color rgb="FFE3E3E3"/>
      </left>
      <right style="thin">
        <color indexed="64"/>
      </right>
      <top style="thin">
        <color rgb="FFE3E3E3"/>
      </top>
      <bottom style="thin">
        <color rgb="FFE3E3E3"/>
      </bottom>
      <diagonal/>
    </border>
    <border>
      <left style="thin">
        <color indexed="64"/>
      </left>
      <right style="thin">
        <color rgb="FFE3E3E3"/>
      </right>
      <top/>
      <bottom style="thin">
        <color indexed="64"/>
      </bottom>
      <diagonal/>
    </border>
    <border>
      <left style="thin">
        <color rgb="FFE3E3E3"/>
      </left>
      <right/>
      <top style="thin">
        <color rgb="FFE3E3E3"/>
      </top>
      <bottom style="thin">
        <color indexed="64"/>
      </bottom>
      <diagonal/>
    </border>
    <border>
      <left style="thin">
        <color rgb="FFE3E3E3"/>
      </left>
      <right style="thin">
        <color indexed="64"/>
      </right>
      <top style="thin">
        <color rgb="FFE3E3E3"/>
      </top>
      <bottom style="thin">
        <color indexed="64"/>
      </bottom>
      <diagonal/>
    </border>
    <border>
      <left/>
      <right style="thin">
        <color rgb="FFE3E3E3"/>
      </right>
      <top/>
      <bottom style="thin">
        <color indexed="64"/>
      </bottom>
      <diagonal/>
    </border>
    <border>
      <left style="thin">
        <color rgb="FF000000"/>
      </left>
      <right/>
      <top style="thin">
        <color rgb="FF000000"/>
      </top>
      <bottom style="thin">
        <color rgb="FFA0A0A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A0A0A0"/>
      </left>
      <right/>
      <top style="thin">
        <color indexed="8"/>
      </top>
      <bottom style="thin">
        <color rgb="FFA0A0A0"/>
      </bottom>
      <diagonal/>
    </border>
    <border>
      <left style="thin">
        <color rgb="FFE3E3E3"/>
      </left>
      <right/>
      <top style="thin">
        <color rgb="FFE3E3E3"/>
      </top>
      <bottom style="thin">
        <color indexed="8"/>
      </bottom>
      <diagonal/>
    </border>
    <border>
      <left/>
      <right/>
      <top style="thin">
        <color indexed="8"/>
      </top>
      <bottom/>
      <diagonal/>
    </border>
  </borders>
  <cellStyleXfs count="20">
    <xf numFmtId="0" fontId="0" fillId="0" borderId="0"/>
    <xf numFmtId="0" fontId="3" fillId="0" borderId="0"/>
    <xf numFmtId="0" fontId="4" fillId="0" borderId="0" applyNumberFormat="0" applyFill="0" applyBorder="0" applyAlignment="0" applyProtection="0"/>
    <xf numFmtId="43" fontId="5" fillId="0" borderId="0" quotePrefix="1" applyFont="0" applyFill="0" applyBorder="0" applyAlignment="0">
      <protection locked="0"/>
    </xf>
    <xf numFmtId="43" fontId="5" fillId="0" borderId="0" applyFont="0" applyFill="0" applyBorder="0" applyAlignment="0" applyProtection="0"/>
    <xf numFmtId="0" fontId="5" fillId="0" borderId="0"/>
    <xf numFmtId="0" fontId="5" fillId="0" borderId="0"/>
    <xf numFmtId="4" fontId="1" fillId="0" borderId="0" applyFont="0" applyFill="0" applyBorder="0" applyAlignment="0" applyProtection="0"/>
    <xf numFmtId="0" fontId="5" fillId="0" borderId="0"/>
    <xf numFmtId="0" fontId="1" fillId="0" borderId="0"/>
    <xf numFmtId="0" fontId="2" fillId="0" borderId="0"/>
    <xf numFmtId="0" fontId="2" fillId="0" borderId="0"/>
    <xf numFmtId="0" fontId="1" fillId="0" borderId="0"/>
    <xf numFmtId="43" fontId="6" fillId="0" borderId="0" applyFont="0" applyFill="0" applyBorder="0" applyAlignment="0" applyProtection="0"/>
    <xf numFmtId="0" fontId="3" fillId="0" borderId="0"/>
    <xf numFmtId="0" fontId="1" fillId="0" borderId="0"/>
    <xf numFmtId="0" fontId="27" fillId="0" borderId="0"/>
    <xf numFmtId="0" fontId="29" fillId="0" borderId="0">
      <alignment vertical="center"/>
    </xf>
    <xf numFmtId="9" fontId="1" fillId="0" borderId="0" applyFont="0" applyFill="0" applyBorder="0" applyAlignment="0" applyProtection="0"/>
    <xf numFmtId="43" fontId="1" fillId="0" borderId="0" applyFont="0" applyFill="0" applyBorder="0" applyAlignment="0" applyProtection="0"/>
  </cellStyleXfs>
  <cellXfs count="441">
    <xf numFmtId="0" fontId="0" fillId="0" borderId="0" xfId="0"/>
    <xf numFmtId="0" fontId="8" fillId="2" borderId="0" xfId="0" applyFont="1" applyFill="1"/>
    <xf numFmtId="0" fontId="10" fillId="2" borderId="0" xfId="0" applyFont="1" applyFill="1"/>
    <xf numFmtId="0" fontId="12" fillId="2" borderId="0" xfId="0" applyFont="1" applyFill="1" applyBorder="1"/>
    <xf numFmtId="0" fontId="16" fillId="2" borderId="0" xfId="0" applyFont="1" applyFill="1" applyBorder="1"/>
    <xf numFmtId="0" fontId="10" fillId="2" borderId="0" xfId="0" applyFont="1" applyFill="1" applyBorder="1" applyAlignment="1">
      <alignment vertical="center"/>
    </xf>
    <xf numFmtId="0" fontId="7" fillId="2" borderId="9"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0" xfId="0" applyFont="1" applyFill="1" applyAlignment="1">
      <alignment horizontal="left"/>
    </xf>
    <xf numFmtId="0" fontId="7" fillId="3" borderId="5" xfId="0" applyFont="1" applyFill="1" applyBorder="1" applyAlignment="1">
      <alignment vertical="center" wrapText="1"/>
    </xf>
    <xf numFmtId="0" fontId="7" fillId="3" borderId="2" xfId="0" applyFont="1" applyFill="1" applyBorder="1" applyAlignment="1">
      <alignment vertical="center" wrapText="1"/>
    </xf>
    <xf numFmtId="0" fontId="8" fillId="3" borderId="0" xfId="0" applyFont="1" applyFill="1" applyBorder="1" applyAlignment="1">
      <alignment vertical="center" wrapText="1"/>
    </xf>
    <xf numFmtId="0" fontId="8" fillId="3" borderId="7" xfId="0" applyFont="1" applyFill="1" applyBorder="1" applyAlignment="1">
      <alignment vertical="center" wrapText="1"/>
    </xf>
    <xf numFmtId="0" fontId="7" fillId="3" borderId="0" xfId="0" applyFont="1" applyFill="1" applyBorder="1" applyAlignment="1">
      <alignment vertical="center" wrapText="1"/>
    </xf>
    <xf numFmtId="0" fontId="7" fillId="3" borderId="7" xfId="0" applyFont="1" applyFill="1" applyBorder="1" applyAlignment="1">
      <alignment vertical="center" wrapText="1"/>
    </xf>
    <xf numFmtId="164" fontId="8" fillId="3" borderId="8" xfId="0" applyNumberFormat="1" applyFont="1" applyFill="1" applyBorder="1" applyAlignment="1"/>
    <xf numFmtId="164" fontId="8" fillId="3" borderId="4" xfId="0" applyNumberFormat="1" applyFont="1" applyFill="1" applyBorder="1" applyAlignment="1"/>
    <xf numFmtId="0" fontId="7" fillId="3" borderId="5" xfId="0" applyFont="1" applyFill="1" applyBorder="1" applyAlignment="1">
      <alignment vertical="center"/>
    </xf>
    <xf numFmtId="0" fontId="8" fillId="3" borderId="0" xfId="0" applyFont="1" applyFill="1" applyBorder="1" applyAlignment="1">
      <alignment vertical="center"/>
    </xf>
    <xf numFmtId="0" fontId="7" fillId="3" borderId="0" xfId="0" applyFont="1" applyFill="1" applyBorder="1" applyAlignment="1">
      <alignment vertical="center"/>
    </xf>
    <xf numFmtId="0" fontId="7" fillId="2" borderId="9" xfId="0" applyFont="1" applyFill="1" applyBorder="1" applyAlignment="1">
      <alignment horizontal="left" vertical="center"/>
    </xf>
    <xf numFmtId="0" fontId="9" fillId="2" borderId="0" xfId="0" applyFont="1" applyFill="1"/>
    <xf numFmtId="0" fontId="9" fillId="2" borderId="0" xfId="0" applyFont="1" applyFill="1" applyAlignment="1">
      <alignment horizontal="left"/>
    </xf>
    <xf numFmtId="0" fontId="15" fillId="2" borderId="0" xfId="1" applyFont="1" applyFill="1" applyBorder="1" applyAlignment="1">
      <alignment horizontal="center" vertical="center"/>
    </xf>
    <xf numFmtId="0" fontId="11" fillId="2" borderId="0" xfId="1" applyFont="1" applyFill="1" applyBorder="1" applyAlignment="1">
      <alignment horizontal="center" vertical="center"/>
    </xf>
    <xf numFmtId="0" fontId="11" fillId="2" borderId="9" xfId="1" applyFont="1" applyFill="1" applyBorder="1" applyAlignment="1">
      <alignment horizontal="center" vertical="center"/>
    </xf>
    <xf numFmtId="0" fontId="4" fillId="2" borderId="9" xfId="2" applyFill="1" applyBorder="1" applyAlignment="1">
      <alignment horizontal="center" vertical="center"/>
    </xf>
    <xf numFmtId="0" fontId="21" fillId="5" borderId="0" xfId="16" applyNumberFormat="1" applyFont="1" applyFill="1" applyBorder="1" applyAlignment="1" applyProtection="1">
      <alignment horizontal="left" vertical="top"/>
    </xf>
    <xf numFmtId="0" fontId="23" fillId="0" borderId="0" xfId="16" applyFont="1"/>
    <xf numFmtId="0" fontId="22" fillId="5" borderId="0" xfId="16" applyNumberFormat="1" applyFont="1" applyFill="1" applyBorder="1" applyAlignment="1" applyProtection="1">
      <alignment horizontal="left" vertical="top" wrapText="1"/>
    </xf>
    <xf numFmtId="0" fontId="22" fillId="6" borderId="16" xfId="16" applyNumberFormat="1" applyFont="1" applyFill="1" applyBorder="1" applyAlignment="1" applyProtection="1">
      <alignment horizontal="center" vertical="center" wrapText="1"/>
    </xf>
    <xf numFmtId="0" fontId="22" fillId="5" borderId="18" xfId="16" applyNumberFormat="1" applyFont="1" applyFill="1" applyBorder="1" applyAlignment="1" applyProtection="1">
      <alignment horizontal="center" vertical="top"/>
    </xf>
    <xf numFmtId="3" fontId="22" fillId="5" borderId="19" xfId="16" applyNumberFormat="1" applyFont="1" applyFill="1" applyBorder="1" applyAlignment="1" applyProtection="1">
      <alignment horizontal="right" vertical="top"/>
    </xf>
    <xf numFmtId="0" fontId="21" fillId="5" borderId="18" xfId="16" applyNumberFormat="1" applyFont="1" applyFill="1" applyBorder="1" applyAlignment="1" applyProtection="1">
      <alignment horizontal="center" vertical="top"/>
    </xf>
    <xf numFmtId="3" fontId="21" fillId="5" borderId="19" xfId="16" applyNumberFormat="1" applyFont="1" applyFill="1" applyBorder="1" applyAlignment="1" applyProtection="1">
      <alignment horizontal="right" vertical="top"/>
    </xf>
    <xf numFmtId="0" fontId="26" fillId="5" borderId="18" xfId="16" applyNumberFormat="1" applyFont="1" applyFill="1" applyBorder="1" applyAlignment="1" applyProtection="1">
      <alignment horizontal="center" vertical="top"/>
    </xf>
    <xf numFmtId="3" fontId="26" fillId="5" borderId="19" xfId="16" applyNumberFormat="1" applyFont="1" applyFill="1" applyBorder="1" applyAlignment="1" applyProtection="1">
      <alignment horizontal="right" vertical="top"/>
    </xf>
    <xf numFmtId="0" fontId="22" fillId="5" borderId="21" xfId="16" applyNumberFormat="1" applyFont="1" applyFill="1" applyBorder="1" applyAlignment="1" applyProtection="1">
      <alignment horizontal="center" vertical="top"/>
    </xf>
    <xf numFmtId="4" fontId="22" fillId="5" borderId="22" xfId="16" applyNumberFormat="1" applyFont="1" applyFill="1" applyBorder="1" applyAlignment="1" applyProtection="1">
      <alignment horizontal="right" vertical="top"/>
    </xf>
    <xf numFmtId="0" fontId="21" fillId="5" borderId="0" xfId="16" applyNumberFormat="1" applyFont="1" applyFill="1" applyBorder="1" applyAlignment="1" applyProtection="1">
      <alignment horizontal="center" vertical="top"/>
    </xf>
    <xf numFmtId="0" fontId="24" fillId="5" borderId="0" xfId="16" applyNumberFormat="1" applyFont="1" applyFill="1" applyBorder="1" applyAlignment="1" applyProtection="1">
      <alignment vertical="top" wrapText="1"/>
    </xf>
    <xf numFmtId="0" fontId="26" fillId="5" borderId="0" xfId="16" applyNumberFormat="1" applyFont="1" applyFill="1" applyBorder="1" applyAlignment="1" applyProtection="1">
      <alignment vertical="top" wrapText="1"/>
    </xf>
    <xf numFmtId="0" fontId="22" fillId="5" borderId="0" xfId="16" applyNumberFormat="1" applyFont="1" applyFill="1" applyBorder="1" applyAlignment="1" applyProtection="1">
      <alignment vertical="center" wrapText="1"/>
    </xf>
    <xf numFmtId="0" fontId="25" fillId="5" borderId="0" xfId="16" applyNumberFormat="1" applyFont="1" applyFill="1" applyBorder="1" applyAlignment="1" applyProtection="1"/>
    <xf numFmtId="0" fontId="22" fillId="5" borderId="0" xfId="16" applyNumberFormat="1" applyFont="1" applyFill="1" applyBorder="1" applyAlignment="1" applyProtection="1">
      <alignment vertical="top" wrapText="1"/>
    </xf>
    <xf numFmtId="0" fontId="21" fillId="5" borderId="0" xfId="16" applyNumberFormat="1" applyFont="1" applyFill="1" applyBorder="1" applyAlignment="1" applyProtection="1">
      <alignment vertical="top"/>
    </xf>
    <xf numFmtId="0" fontId="21" fillId="5" borderId="0" xfId="16" applyNumberFormat="1" applyFont="1" applyFill="1" applyBorder="1" applyAlignment="1" applyProtection="1">
      <alignment vertical="top" wrapText="1"/>
    </xf>
    <xf numFmtId="0" fontId="22" fillId="5" borderId="0" xfId="16" applyNumberFormat="1" applyFont="1" applyFill="1" applyBorder="1" applyAlignment="1" applyProtection="1">
      <alignment vertical="top"/>
    </xf>
    <xf numFmtId="0" fontId="22" fillId="5" borderId="0" xfId="16" applyNumberFormat="1" applyFont="1" applyFill="1" applyBorder="1" applyAlignment="1" applyProtection="1">
      <alignment horizontal="center" vertical="top"/>
    </xf>
    <xf numFmtId="0" fontId="26" fillId="5" borderId="0" xfId="16" applyNumberFormat="1" applyFont="1" applyFill="1" applyBorder="1" applyAlignment="1" applyProtection="1">
      <alignment horizontal="right" vertical="top"/>
    </xf>
    <xf numFmtId="0" fontId="22" fillId="6" borderId="15" xfId="16" applyNumberFormat="1" applyFont="1" applyFill="1" applyBorder="1" applyAlignment="1" applyProtection="1">
      <alignment horizontal="center" vertical="center" wrapText="1"/>
    </xf>
    <xf numFmtId="0" fontId="22" fillId="6" borderId="17" xfId="16" applyNumberFormat="1" applyFont="1" applyFill="1" applyBorder="1" applyAlignment="1" applyProtection="1">
      <alignment horizontal="center" vertical="center" wrapText="1"/>
    </xf>
    <xf numFmtId="169" fontId="22" fillId="5" borderId="19" xfId="16" applyNumberFormat="1" applyFont="1" applyFill="1" applyBorder="1" applyAlignment="1" applyProtection="1">
      <alignment horizontal="right" vertical="top"/>
    </xf>
    <xf numFmtId="169" fontId="22" fillId="5" borderId="20" xfId="16" applyNumberFormat="1" applyFont="1" applyFill="1" applyBorder="1" applyAlignment="1" applyProtection="1">
      <alignment horizontal="right" vertical="top"/>
    </xf>
    <xf numFmtId="169" fontId="21" fillId="5" borderId="19" xfId="16" applyNumberFormat="1" applyFont="1" applyFill="1" applyBorder="1" applyAlignment="1" applyProtection="1">
      <alignment horizontal="right" vertical="top"/>
    </xf>
    <xf numFmtId="169" fontId="21" fillId="5" borderId="20" xfId="16" applyNumberFormat="1" applyFont="1" applyFill="1" applyBorder="1" applyAlignment="1" applyProtection="1">
      <alignment horizontal="right" vertical="top"/>
    </xf>
    <xf numFmtId="169" fontId="26" fillId="5" borderId="19" xfId="16" applyNumberFormat="1" applyFont="1" applyFill="1" applyBorder="1" applyAlignment="1" applyProtection="1">
      <alignment horizontal="right" vertical="top"/>
    </xf>
    <xf numFmtId="169" fontId="26" fillId="5" borderId="20" xfId="16" applyNumberFormat="1" applyFont="1" applyFill="1" applyBorder="1" applyAlignment="1" applyProtection="1">
      <alignment horizontal="right" vertical="top"/>
    </xf>
    <xf numFmtId="169" fontId="21" fillId="5" borderId="22" xfId="16" applyNumberFormat="1" applyFont="1" applyFill="1" applyBorder="1" applyAlignment="1" applyProtection="1">
      <alignment horizontal="right" vertical="top"/>
    </xf>
    <xf numFmtId="169" fontId="21" fillId="5" borderId="23" xfId="16" applyNumberFormat="1" applyFont="1" applyFill="1" applyBorder="1" applyAlignment="1" applyProtection="1">
      <alignment horizontal="right" vertical="top"/>
    </xf>
    <xf numFmtId="0" fontId="22" fillId="5" borderId="0" xfId="16" applyNumberFormat="1" applyFont="1" applyFill="1" applyBorder="1" applyAlignment="1" applyProtection="1">
      <alignment horizontal="center" vertical="center"/>
    </xf>
    <xf numFmtId="0" fontId="28" fillId="5" borderId="0" xfId="16" applyNumberFormat="1" applyFont="1" applyFill="1" applyBorder="1" applyAlignment="1" applyProtection="1">
      <alignment horizontal="center" vertical="center" wrapText="1"/>
    </xf>
    <xf numFmtId="0" fontId="21" fillId="5" borderId="14" xfId="16" applyNumberFormat="1" applyFont="1" applyFill="1" applyBorder="1" applyAlignment="1" applyProtection="1">
      <alignment horizontal="left" vertical="top"/>
    </xf>
    <xf numFmtId="0" fontId="21" fillId="5" borderId="14" xfId="16" applyNumberFormat="1" applyFont="1" applyFill="1" applyBorder="1" applyAlignment="1" applyProtection="1">
      <alignment horizontal="left" vertical="top"/>
    </xf>
    <xf numFmtId="0" fontId="22" fillId="5" borderId="19" xfId="16" applyNumberFormat="1" applyFont="1" applyFill="1" applyBorder="1" applyAlignment="1" applyProtection="1">
      <alignment horizontal="center" vertical="top"/>
    </xf>
    <xf numFmtId="4" fontId="22" fillId="5" borderId="19" xfId="16" applyNumberFormat="1" applyFont="1" applyFill="1" applyBorder="1" applyAlignment="1" applyProtection="1">
      <alignment horizontal="right" vertical="top"/>
    </xf>
    <xf numFmtId="168" fontId="22" fillId="5" borderId="20" xfId="16" applyNumberFormat="1" applyFont="1" applyFill="1" applyBorder="1" applyAlignment="1" applyProtection="1">
      <alignment horizontal="right" vertical="top"/>
    </xf>
    <xf numFmtId="0" fontId="21" fillId="5" borderId="19" xfId="16" applyNumberFormat="1" applyFont="1" applyFill="1" applyBorder="1" applyAlignment="1" applyProtection="1">
      <alignment horizontal="center" vertical="top"/>
    </xf>
    <xf numFmtId="4" fontId="21" fillId="5" borderId="19" xfId="16" applyNumberFormat="1" applyFont="1" applyFill="1" applyBorder="1" applyAlignment="1" applyProtection="1">
      <alignment horizontal="right" vertical="top"/>
    </xf>
    <xf numFmtId="168" fontId="21" fillId="5" borderId="20" xfId="16" applyNumberFormat="1" applyFont="1" applyFill="1" applyBorder="1" applyAlignment="1" applyProtection="1">
      <alignment horizontal="right" vertical="top"/>
    </xf>
    <xf numFmtId="0" fontId="22" fillId="5" borderId="22" xfId="16" applyNumberFormat="1" applyFont="1" applyFill="1" applyBorder="1" applyAlignment="1" applyProtection="1">
      <alignment horizontal="center" vertical="top"/>
    </xf>
    <xf numFmtId="169" fontId="22" fillId="5" borderId="22" xfId="16" applyNumberFormat="1" applyFont="1" applyFill="1" applyBorder="1" applyAlignment="1" applyProtection="1">
      <alignment horizontal="right" vertical="top"/>
    </xf>
    <xf numFmtId="168" fontId="22" fillId="5" borderId="23" xfId="16" applyNumberFormat="1" applyFont="1" applyFill="1" applyBorder="1" applyAlignment="1" applyProtection="1">
      <alignment horizontal="right" vertical="top"/>
    </xf>
    <xf numFmtId="0" fontId="22" fillId="6" borderId="24" xfId="16" applyNumberFormat="1" applyFont="1" applyFill="1" applyBorder="1" applyAlignment="1" applyProtection="1">
      <alignment horizontal="center" vertical="center" wrapText="1"/>
    </xf>
    <xf numFmtId="0" fontId="22" fillId="6" borderId="25" xfId="16" applyNumberFormat="1" applyFont="1" applyFill="1" applyBorder="1" applyAlignment="1" applyProtection="1">
      <alignment horizontal="center" vertical="center" wrapText="1"/>
    </xf>
    <xf numFmtId="0" fontId="30" fillId="7" borderId="0" xfId="17" applyNumberFormat="1" applyFont="1" applyFill="1" applyBorder="1" applyAlignment="1" applyProtection="1">
      <alignment horizontal="left" vertical="top"/>
    </xf>
    <xf numFmtId="0" fontId="30" fillId="0" borderId="0" xfId="17" applyFont="1">
      <alignment vertical="center"/>
    </xf>
    <xf numFmtId="0" fontId="30" fillId="7" borderId="0" xfId="17" applyNumberFormat="1" applyFont="1" applyFill="1" applyBorder="1" applyAlignment="1" applyProtection="1">
      <alignment horizontal="center" vertical="top"/>
    </xf>
    <xf numFmtId="0" fontId="31" fillId="7" borderId="0" xfId="17" applyNumberFormat="1" applyFont="1" applyFill="1" applyBorder="1" applyAlignment="1" applyProtection="1">
      <alignment horizontal="center" vertical="top"/>
    </xf>
    <xf numFmtId="0" fontId="31" fillId="7" borderId="0" xfId="17" applyNumberFormat="1" applyFont="1" applyFill="1" applyBorder="1" applyAlignment="1" applyProtection="1">
      <alignment horizontal="left" vertical="top" wrapText="1"/>
    </xf>
    <xf numFmtId="0" fontId="30" fillId="7" borderId="0" xfId="17" applyNumberFormat="1" applyFont="1" applyFill="1" applyBorder="1" applyAlignment="1" applyProtection="1">
      <alignment horizontal="left" vertical="top"/>
    </xf>
    <xf numFmtId="0" fontId="30" fillId="7" borderId="26" xfId="17" applyNumberFormat="1" applyFont="1" applyFill="1" applyBorder="1" applyAlignment="1" applyProtection="1">
      <alignment horizontal="right" vertical="top"/>
    </xf>
    <xf numFmtId="0" fontId="31" fillId="6" borderId="27" xfId="17" applyNumberFormat="1" applyFont="1" applyFill="1" applyBorder="1" applyAlignment="1" applyProtection="1">
      <alignment horizontal="center" vertical="center" wrapText="1"/>
    </xf>
    <xf numFmtId="0" fontId="31" fillId="7" borderId="28" xfId="17" applyNumberFormat="1" applyFont="1" applyFill="1" applyBorder="1" applyAlignment="1" applyProtection="1">
      <alignment horizontal="center" vertical="top"/>
    </xf>
    <xf numFmtId="0" fontId="30" fillId="7" borderId="28" xfId="17" applyNumberFormat="1" applyFont="1" applyFill="1" applyBorder="1" applyAlignment="1" applyProtection="1">
      <alignment horizontal="center" vertical="top"/>
    </xf>
    <xf numFmtId="0" fontId="30" fillId="7" borderId="29" xfId="17" applyNumberFormat="1" applyFont="1" applyFill="1" applyBorder="1" applyAlignment="1" applyProtection="1">
      <alignment horizontal="center" vertical="top"/>
    </xf>
    <xf numFmtId="0" fontId="31" fillId="7" borderId="0" xfId="17" applyNumberFormat="1" applyFont="1" applyFill="1" applyBorder="1" applyAlignment="1" applyProtection="1">
      <alignment horizontal="center" vertical="top"/>
    </xf>
    <xf numFmtId="0" fontId="21" fillId="5" borderId="0" xfId="16" applyNumberFormat="1" applyFont="1" applyFill="1" applyBorder="1" applyAlignment="1" applyProtection="1">
      <alignment horizontal="center" vertical="center"/>
    </xf>
    <xf numFmtId="0" fontId="22" fillId="6" borderId="30" xfId="16" applyNumberFormat="1" applyFont="1" applyFill="1" applyBorder="1" applyAlignment="1" applyProtection="1">
      <alignment horizontal="center" vertical="center" wrapText="1"/>
    </xf>
    <xf numFmtId="0" fontId="22" fillId="6" borderId="31" xfId="16" applyNumberFormat="1" applyFont="1" applyFill="1" applyBorder="1" applyAlignment="1" applyProtection="1">
      <alignment horizontal="center" vertical="center" wrapText="1"/>
    </xf>
    <xf numFmtId="0" fontId="22" fillId="5" borderId="19" xfId="16" applyNumberFormat="1" applyFont="1" applyFill="1" applyBorder="1" applyAlignment="1" applyProtection="1">
      <alignment horizontal="center" vertical="center"/>
    </xf>
    <xf numFmtId="0" fontId="21" fillId="5" borderId="19" xfId="16" applyNumberFormat="1" applyFont="1" applyFill="1" applyBorder="1" applyAlignment="1" applyProtection="1">
      <alignment horizontal="center" vertical="center"/>
    </xf>
    <xf numFmtId="0" fontId="26" fillId="5" borderId="19" xfId="16" applyNumberFormat="1" applyFont="1" applyFill="1" applyBorder="1" applyAlignment="1" applyProtection="1">
      <alignment horizontal="center" vertical="top"/>
    </xf>
    <xf numFmtId="0" fontId="26" fillId="5" borderId="19" xfId="16" applyNumberFormat="1" applyFont="1" applyFill="1" applyBorder="1" applyAlignment="1" applyProtection="1">
      <alignment horizontal="center" vertical="center"/>
    </xf>
    <xf numFmtId="0" fontId="22" fillId="5" borderId="22" xfId="16" applyNumberFormat="1" applyFont="1" applyFill="1" applyBorder="1" applyAlignment="1" applyProtection="1">
      <alignment horizontal="center" vertical="center"/>
    </xf>
    <xf numFmtId="169" fontId="22" fillId="5" borderId="23" xfId="16" applyNumberFormat="1" applyFont="1" applyFill="1" applyBorder="1" applyAlignment="1" applyProtection="1">
      <alignment horizontal="right" vertical="top"/>
    </xf>
    <xf numFmtId="0" fontId="26" fillId="5" borderId="0" xfId="16" applyNumberFormat="1" applyFont="1" applyFill="1" applyBorder="1" applyAlignment="1" applyProtection="1">
      <alignment horizontal="center" vertical="center"/>
    </xf>
    <xf numFmtId="0" fontId="22" fillId="5" borderId="0" xfId="16" applyNumberFormat="1" applyFont="1" applyFill="1" applyBorder="1" applyAlignment="1" applyProtection="1">
      <alignment vertical="center"/>
    </xf>
    <xf numFmtId="0" fontId="21" fillId="5" borderId="0" xfId="16" applyNumberFormat="1" applyFont="1" applyFill="1" applyBorder="1" applyAlignment="1" applyProtection="1">
      <alignment vertical="center"/>
    </xf>
    <xf numFmtId="0" fontId="24" fillId="5" borderId="0" xfId="16" applyNumberFormat="1" applyFont="1" applyFill="1" applyBorder="1" applyAlignment="1" applyProtection="1">
      <alignment vertical="center" wrapText="1"/>
    </xf>
    <xf numFmtId="0" fontId="28" fillId="5" borderId="0" xfId="16" applyNumberFormat="1" applyFont="1" applyFill="1" applyBorder="1" applyAlignment="1" applyProtection="1">
      <alignment vertical="center"/>
    </xf>
    <xf numFmtId="0" fontId="28" fillId="5" borderId="0" xfId="16" applyNumberFormat="1" applyFont="1" applyFill="1" applyBorder="1" applyAlignment="1" applyProtection="1">
      <alignment vertical="top"/>
    </xf>
    <xf numFmtId="0" fontId="21" fillId="5" borderId="14" xfId="16" applyNumberFormat="1" applyFont="1" applyFill="1" applyBorder="1" applyAlignment="1" applyProtection="1">
      <alignment horizontal="right" vertical="top"/>
    </xf>
    <xf numFmtId="0" fontId="26" fillId="5" borderId="0" xfId="16" applyNumberFormat="1" applyFont="1" applyFill="1" applyBorder="1" applyAlignment="1" applyProtection="1">
      <alignment horizontal="center" vertical="top"/>
    </xf>
    <xf numFmtId="0" fontId="22" fillId="6" borderId="36" xfId="16" applyNumberFormat="1" applyFont="1" applyFill="1" applyBorder="1" applyAlignment="1" applyProtection="1">
      <alignment horizontal="center" vertical="center" wrapText="1"/>
    </xf>
    <xf numFmtId="0" fontId="22" fillId="6" borderId="34" xfId="16" applyNumberFormat="1" applyFont="1" applyFill="1" applyBorder="1" applyAlignment="1" applyProtection="1">
      <alignment horizontal="center" vertical="center" wrapText="1"/>
    </xf>
    <xf numFmtId="0" fontId="21" fillId="5" borderId="40" xfId="16" applyNumberFormat="1" applyFont="1" applyFill="1" applyBorder="1" applyAlignment="1" applyProtection="1">
      <alignment horizontal="left" vertical="top"/>
    </xf>
    <xf numFmtId="0" fontId="21" fillId="5" borderId="0" xfId="16" applyNumberFormat="1" applyFont="1" applyFill="1" applyBorder="1" applyAlignment="1" applyProtection="1">
      <alignment horizontal="right" vertical="top"/>
    </xf>
    <xf numFmtId="0" fontId="22" fillId="6" borderId="45" xfId="16" applyNumberFormat="1" applyFont="1" applyFill="1" applyBorder="1" applyAlignment="1" applyProtection="1">
      <alignment horizontal="center" vertical="center" wrapText="1"/>
    </xf>
    <xf numFmtId="0" fontId="22" fillId="6" borderId="46" xfId="16" applyNumberFormat="1" applyFont="1" applyFill="1" applyBorder="1" applyAlignment="1" applyProtection="1">
      <alignment horizontal="center" vertical="center" wrapText="1"/>
    </xf>
    <xf numFmtId="170" fontId="22" fillId="5" borderId="49" xfId="16" applyNumberFormat="1" applyFont="1" applyFill="1" applyBorder="1" applyAlignment="1" applyProtection="1">
      <alignment horizontal="center" vertical="top"/>
    </xf>
    <xf numFmtId="170" fontId="22" fillId="5" borderId="35" xfId="16" applyNumberFormat="1" applyFont="1" applyFill="1" applyBorder="1" applyAlignment="1" applyProtection="1">
      <alignment vertical="top"/>
    </xf>
    <xf numFmtId="170" fontId="22" fillId="5" borderId="50" xfId="16" applyNumberFormat="1" applyFont="1" applyFill="1" applyBorder="1" applyAlignment="1" applyProtection="1">
      <alignment vertical="top"/>
    </xf>
    <xf numFmtId="170" fontId="22" fillId="5" borderId="33" xfId="16" applyNumberFormat="1" applyFont="1" applyFill="1" applyBorder="1" applyAlignment="1" applyProtection="1">
      <alignment vertical="top"/>
    </xf>
    <xf numFmtId="170" fontId="22" fillId="5" borderId="51" xfId="16" applyNumberFormat="1" applyFont="1" applyFill="1" applyBorder="1" applyAlignment="1" applyProtection="1">
      <alignment vertical="top"/>
    </xf>
    <xf numFmtId="170" fontId="21" fillId="5" borderId="49" xfId="16" applyNumberFormat="1" applyFont="1" applyFill="1" applyBorder="1" applyAlignment="1" applyProtection="1">
      <alignment horizontal="center" vertical="top"/>
    </xf>
    <xf numFmtId="170" fontId="21" fillId="5" borderId="33" xfId="16" applyNumberFormat="1" applyFont="1" applyFill="1" applyBorder="1" applyAlignment="1" applyProtection="1">
      <alignment vertical="top"/>
    </xf>
    <xf numFmtId="170" fontId="21" fillId="5" borderId="51" xfId="16" applyNumberFormat="1" applyFont="1" applyFill="1" applyBorder="1" applyAlignment="1" applyProtection="1">
      <alignment vertical="top"/>
    </xf>
    <xf numFmtId="170" fontId="26" fillId="5" borderId="49" xfId="16" applyNumberFormat="1" applyFont="1" applyFill="1" applyBorder="1" applyAlignment="1" applyProtection="1">
      <alignment horizontal="center" vertical="top"/>
    </xf>
    <xf numFmtId="170" fontId="26" fillId="5" borderId="33" xfId="16" applyNumberFormat="1" applyFont="1" applyFill="1" applyBorder="1" applyAlignment="1" applyProtection="1">
      <alignment vertical="top"/>
    </xf>
    <xf numFmtId="170" fontId="26" fillId="5" borderId="51" xfId="16" applyNumberFormat="1" applyFont="1" applyFill="1" applyBorder="1" applyAlignment="1" applyProtection="1">
      <alignment vertical="top"/>
    </xf>
    <xf numFmtId="4" fontId="22" fillId="5" borderId="49" xfId="16" applyNumberFormat="1" applyFont="1" applyFill="1" applyBorder="1" applyAlignment="1" applyProtection="1">
      <alignment horizontal="center" vertical="top"/>
    </xf>
    <xf numFmtId="4" fontId="22" fillId="5" borderId="33" xfId="16" applyNumberFormat="1" applyFont="1" applyFill="1" applyBorder="1" applyAlignment="1" applyProtection="1">
      <alignment vertical="top"/>
    </xf>
    <xf numFmtId="4" fontId="22" fillId="5" borderId="51" xfId="16" applyNumberFormat="1" applyFont="1" applyFill="1" applyBorder="1" applyAlignment="1" applyProtection="1">
      <alignment vertical="top"/>
    </xf>
    <xf numFmtId="170" fontId="21" fillId="5" borderId="52" xfId="16" applyNumberFormat="1" applyFont="1" applyFill="1" applyBorder="1" applyAlignment="1" applyProtection="1">
      <alignment horizontal="center" vertical="top"/>
    </xf>
    <xf numFmtId="170" fontId="21" fillId="5" borderId="53" xfId="16" applyNumberFormat="1" applyFont="1" applyFill="1" applyBorder="1" applyAlignment="1" applyProtection="1">
      <alignment vertical="top"/>
    </xf>
    <xf numFmtId="170" fontId="21" fillId="5" borderId="54" xfId="16" applyNumberFormat="1" applyFont="1" applyFill="1" applyBorder="1" applyAlignment="1" applyProtection="1">
      <alignment vertical="top"/>
    </xf>
    <xf numFmtId="169" fontId="22" fillId="5" borderId="19" xfId="16" applyNumberFormat="1" applyFont="1" applyFill="1" applyBorder="1" applyAlignment="1" applyProtection="1">
      <alignment horizontal="center" vertical="top"/>
    </xf>
    <xf numFmtId="169" fontId="21" fillId="5" borderId="19" xfId="16" applyNumberFormat="1" applyFont="1" applyFill="1" applyBorder="1" applyAlignment="1" applyProtection="1">
      <alignment horizontal="center" vertical="top"/>
    </xf>
    <xf numFmtId="4" fontId="22" fillId="5" borderId="22" xfId="16" applyNumberFormat="1" applyFont="1" applyFill="1" applyBorder="1" applyAlignment="1" applyProtection="1">
      <alignment horizontal="center" vertical="top"/>
    </xf>
    <xf numFmtId="4" fontId="22" fillId="5" borderId="23" xfId="16" applyNumberFormat="1" applyFont="1" applyFill="1" applyBorder="1" applyAlignment="1" applyProtection="1">
      <alignment horizontal="right" vertical="top"/>
    </xf>
    <xf numFmtId="169" fontId="22" fillId="5" borderId="19" xfId="16" applyNumberFormat="1" applyFont="1" applyFill="1" applyBorder="1" applyAlignment="1" applyProtection="1">
      <alignment horizontal="right" vertical="center"/>
    </xf>
    <xf numFmtId="169" fontId="21" fillId="5" borderId="19" xfId="16" applyNumberFormat="1" applyFont="1" applyFill="1" applyBorder="1" applyAlignment="1" applyProtection="1">
      <alignment horizontal="right" vertical="center"/>
    </xf>
    <xf numFmtId="169" fontId="26" fillId="5" borderId="19" xfId="16" applyNumberFormat="1" applyFont="1" applyFill="1" applyBorder="1" applyAlignment="1" applyProtection="1">
      <alignment horizontal="right" vertical="center"/>
    </xf>
    <xf numFmtId="169" fontId="22" fillId="5" borderId="22" xfId="16" applyNumberFormat="1" applyFont="1" applyFill="1" applyBorder="1" applyAlignment="1" applyProtection="1">
      <alignment horizontal="right" vertical="center"/>
    </xf>
    <xf numFmtId="0" fontId="22" fillId="5" borderId="0" xfId="16" applyNumberFormat="1" applyFont="1" applyFill="1" applyBorder="1" applyAlignment="1" applyProtection="1">
      <alignment horizontal="left" vertical="top"/>
    </xf>
    <xf numFmtId="0" fontId="21" fillId="5" borderId="0" xfId="16" applyNumberFormat="1" applyFont="1" applyFill="1" applyBorder="1" applyAlignment="1" applyProtection="1">
      <alignment horizontal="left" vertical="top" wrapText="1"/>
    </xf>
    <xf numFmtId="171" fontId="22" fillId="5" borderId="19" xfId="16" applyNumberFormat="1" applyFont="1" applyFill="1" applyBorder="1" applyAlignment="1" applyProtection="1">
      <alignment horizontal="right" vertical="top"/>
    </xf>
    <xf numFmtId="171" fontId="21" fillId="5" borderId="19" xfId="16" applyNumberFormat="1" applyFont="1" applyFill="1" applyBorder="1" applyAlignment="1" applyProtection="1">
      <alignment horizontal="right" vertical="top"/>
    </xf>
    <xf numFmtId="172" fontId="21" fillId="5" borderId="19" xfId="16" applyNumberFormat="1" applyFont="1" applyFill="1" applyBorder="1" applyAlignment="1" applyProtection="1">
      <alignment horizontal="right" vertical="top"/>
    </xf>
    <xf numFmtId="172" fontId="26" fillId="5" borderId="19" xfId="16" applyNumberFormat="1" applyFont="1" applyFill="1" applyBorder="1" applyAlignment="1" applyProtection="1">
      <alignment horizontal="right" vertical="top"/>
    </xf>
    <xf numFmtId="173" fontId="26" fillId="5" borderId="19" xfId="16" applyNumberFormat="1" applyFont="1" applyFill="1" applyBorder="1" applyAlignment="1" applyProtection="1">
      <alignment horizontal="right" vertical="top"/>
    </xf>
    <xf numFmtId="0" fontId="22" fillId="6" borderId="47" xfId="16" applyNumberFormat="1" applyFont="1" applyFill="1" applyBorder="1" applyAlignment="1" applyProtection="1">
      <alignment horizontal="center" vertical="center" wrapText="1"/>
    </xf>
    <xf numFmtId="0" fontId="21" fillId="5" borderId="49" xfId="16" applyNumberFormat="1" applyFont="1" applyFill="1" applyBorder="1" applyAlignment="1" applyProtection="1">
      <alignment horizontal="center" vertical="top"/>
    </xf>
    <xf numFmtId="171" fontId="22" fillId="5" borderId="50" xfId="16" applyNumberFormat="1" applyFont="1" applyFill="1" applyBorder="1" applyAlignment="1" applyProtection="1">
      <alignment vertical="top"/>
    </xf>
    <xf numFmtId="171" fontId="22" fillId="5" borderId="51" xfId="16" applyNumberFormat="1" applyFont="1" applyFill="1" applyBorder="1" applyAlignment="1" applyProtection="1">
      <alignment vertical="top"/>
    </xf>
    <xf numFmtId="171" fontId="21" fillId="5" borderId="51" xfId="16" applyNumberFormat="1" applyFont="1" applyFill="1" applyBorder="1" applyAlignment="1" applyProtection="1">
      <alignment vertical="top"/>
    </xf>
    <xf numFmtId="172" fontId="21" fillId="5" borderId="51" xfId="16" applyNumberFormat="1" applyFont="1" applyFill="1" applyBorder="1" applyAlignment="1" applyProtection="1">
      <alignment vertical="top"/>
    </xf>
    <xf numFmtId="172" fontId="26" fillId="5" borderId="51" xfId="16" applyNumberFormat="1" applyFont="1" applyFill="1" applyBorder="1" applyAlignment="1" applyProtection="1">
      <alignment vertical="top"/>
    </xf>
    <xf numFmtId="173" fontId="26" fillId="5" borderId="51" xfId="16" applyNumberFormat="1" applyFont="1" applyFill="1" applyBorder="1" applyAlignment="1" applyProtection="1">
      <alignment vertical="top"/>
    </xf>
    <xf numFmtId="0" fontId="21" fillId="5" borderId="52" xfId="16" applyNumberFormat="1" applyFont="1" applyFill="1" applyBorder="1" applyAlignment="1" applyProtection="1">
      <alignment horizontal="center" vertical="top"/>
    </xf>
    <xf numFmtId="0" fontId="21" fillId="5" borderId="55" xfId="16" applyNumberFormat="1" applyFont="1" applyFill="1" applyBorder="1" applyAlignment="1" applyProtection="1">
      <alignment horizontal="center" vertical="top"/>
    </xf>
    <xf numFmtId="172" fontId="26" fillId="5" borderId="55" xfId="16" applyNumberFormat="1" applyFont="1" applyFill="1" applyBorder="1" applyAlignment="1" applyProtection="1">
      <alignment horizontal="right" vertical="top"/>
    </xf>
    <xf numFmtId="172" fontId="26" fillId="5" borderId="54" xfId="16" applyNumberFormat="1" applyFont="1" applyFill="1" applyBorder="1" applyAlignment="1" applyProtection="1">
      <alignment vertical="top"/>
    </xf>
    <xf numFmtId="0" fontId="21" fillId="5" borderId="14" xfId="16" applyNumberFormat="1" applyFont="1" applyFill="1" applyBorder="1" applyAlignment="1" applyProtection="1">
      <alignment vertical="top"/>
    </xf>
    <xf numFmtId="0" fontId="21" fillId="5" borderId="33" xfId="16" applyNumberFormat="1" applyFont="1" applyFill="1" applyBorder="1" applyAlignment="1" applyProtection="1">
      <alignment vertical="top" wrapText="1"/>
    </xf>
    <xf numFmtId="168" fontId="22" fillId="5" borderId="35" xfId="16" applyNumberFormat="1" applyFont="1" applyFill="1" applyBorder="1" applyAlignment="1" applyProtection="1">
      <alignment vertical="top"/>
    </xf>
    <xf numFmtId="168" fontId="21" fillId="5" borderId="33" xfId="16" applyNumberFormat="1" applyFont="1" applyFill="1" applyBorder="1" applyAlignment="1" applyProtection="1">
      <alignment vertical="top"/>
    </xf>
    <xf numFmtId="168" fontId="26" fillId="5" borderId="33" xfId="16" applyNumberFormat="1" applyFont="1" applyFill="1" applyBorder="1" applyAlignment="1" applyProtection="1">
      <alignment vertical="top"/>
    </xf>
    <xf numFmtId="168" fontId="22" fillId="5" borderId="33" xfId="16" applyNumberFormat="1" applyFont="1" applyFill="1" applyBorder="1" applyAlignment="1" applyProtection="1">
      <alignment vertical="top"/>
    </xf>
    <xf numFmtId="168" fontId="22" fillId="5" borderId="32" xfId="16" applyNumberFormat="1" applyFont="1" applyFill="1" applyBorder="1" applyAlignment="1" applyProtection="1">
      <alignment vertical="top"/>
    </xf>
    <xf numFmtId="0" fontId="22" fillId="6" borderId="16" xfId="16" applyNumberFormat="1" applyFont="1" applyFill="1" applyBorder="1" applyAlignment="1" applyProtection="1">
      <alignment horizontal="center" vertical="center" wrapText="1"/>
    </xf>
    <xf numFmtId="0" fontId="23" fillId="0" borderId="0" xfId="16" applyFont="1" applyAlignment="1">
      <alignment vertical="center"/>
    </xf>
    <xf numFmtId="0" fontId="23" fillId="0" borderId="0" xfId="16" applyFont="1" applyAlignment="1">
      <alignment horizontal="center" vertical="center"/>
    </xf>
    <xf numFmtId="0" fontId="26" fillId="5" borderId="0" xfId="16" applyNumberFormat="1" applyFont="1" applyFill="1" applyBorder="1" applyAlignment="1" applyProtection="1">
      <alignment vertical="top"/>
    </xf>
    <xf numFmtId="0" fontId="21" fillId="5" borderId="40" xfId="16" applyNumberFormat="1" applyFont="1" applyFill="1" applyBorder="1" applyAlignment="1" applyProtection="1">
      <alignment vertical="top"/>
    </xf>
    <xf numFmtId="169" fontId="22" fillId="5" borderId="35" xfId="16" applyNumberFormat="1" applyFont="1" applyFill="1" applyBorder="1" applyAlignment="1" applyProtection="1">
      <alignment vertical="top"/>
    </xf>
    <xf numFmtId="169" fontId="21" fillId="5" borderId="33" xfId="16" applyNumberFormat="1" applyFont="1" applyFill="1" applyBorder="1" applyAlignment="1" applyProtection="1">
      <alignment vertical="top"/>
    </xf>
    <xf numFmtId="169" fontId="26" fillId="5" borderId="33" xfId="16" applyNumberFormat="1" applyFont="1" applyFill="1" applyBorder="1" applyAlignment="1" applyProtection="1">
      <alignment vertical="top"/>
    </xf>
    <xf numFmtId="169" fontId="22" fillId="5" borderId="33" xfId="16" applyNumberFormat="1" applyFont="1" applyFill="1" applyBorder="1" applyAlignment="1" applyProtection="1">
      <alignment vertical="top"/>
    </xf>
    <xf numFmtId="169" fontId="21" fillId="5" borderId="32" xfId="16" applyNumberFormat="1" applyFont="1" applyFill="1" applyBorder="1" applyAlignment="1" applyProtection="1">
      <alignment vertical="top"/>
    </xf>
    <xf numFmtId="169" fontId="22" fillId="5" borderId="35" xfId="16" applyNumberFormat="1" applyFont="1" applyFill="1" applyBorder="1" applyAlignment="1" applyProtection="1">
      <alignment vertical="top" wrapText="1"/>
    </xf>
    <xf numFmtId="169" fontId="21" fillId="5" borderId="33" xfId="16" applyNumberFormat="1" applyFont="1" applyFill="1" applyBorder="1" applyAlignment="1" applyProtection="1">
      <alignment vertical="top" wrapText="1"/>
    </xf>
    <xf numFmtId="169" fontId="26" fillId="5" borderId="33" xfId="16" applyNumberFormat="1" applyFont="1" applyFill="1" applyBorder="1" applyAlignment="1" applyProtection="1">
      <alignment vertical="top" wrapText="1"/>
    </xf>
    <xf numFmtId="169" fontId="22" fillId="5" borderId="33" xfId="16" applyNumberFormat="1" applyFont="1" applyFill="1" applyBorder="1" applyAlignment="1" applyProtection="1">
      <alignment vertical="top" wrapText="1"/>
    </xf>
    <xf numFmtId="169" fontId="21" fillId="5" borderId="32" xfId="16" applyNumberFormat="1" applyFont="1" applyFill="1" applyBorder="1" applyAlignment="1" applyProtection="1">
      <alignment vertical="top" wrapText="1"/>
    </xf>
    <xf numFmtId="0" fontId="22" fillId="6" borderId="56" xfId="16" applyNumberFormat="1" applyFont="1" applyFill="1" applyBorder="1" applyAlignment="1" applyProtection="1">
      <alignment horizontal="center" vertical="center" wrapText="1"/>
    </xf>
    <xf numFmtId="0" fontId="23" fillId="0" borderId="0" xfId="16" applyFont="1" applyAlignment="1">
      <alignment horizontal="center"/>
    </xf>
    <xf numFmtId="169" fontId="22" fillId="5" borderId="43" xfId="16" applyNumberFormat="1" applyFont="1" applyFill="1" applyBorder="1" applyAlignment="1" applyProtection="1">
      <alignment horizontal="center" vertical="top"/>
    </xf>
    <xf numFmtId="169" fontId="21" fillId="5" borderId="42" xfId="16" applyNumberFormat="1" applyFont="1" applyFill="1" applyBorder="1" applyAlignment="1" applyProtection="1">
      <alignment horizontal="center" vertical="top"/>
    </xf>
    <xf numFmtId="169" fontId="26" fillId="5" borderId="42" xfId="16" applyNumberFormat="1" applyFont="1" applyFill="1" applyBorder="1" applyAlignment="1" applyProtection="1">
      <alignment horizontal="center" vertical="top"/>
    </xf>
    <xf numFmtId="169" fontId="22" fillId="5" borderId="42" xfId="16" applyNumberFormat="1" applyFont="1" applyFill="1" applyBorder="1" applyAlignment="1" applyProtection="1">
      <alignment horizontal="center" vertical="top"/>
    </xf>
    <xf numFmtId="169" fontId="21" fillId="5" borderId="44" xfId="16" applyNumberFormat="1" applyFont="1" applyFill="1" applyBorder="1" applyAlignment="1" applyProtection="1">
      <alignment horizontal="center" vertical="top"/>
    </xf>
    <xf numFmtId="0" fontId="26" fillId="5" borderId="40" xfId="16" applyNumberFormat="1" applyFont="1" applyFill="1" applyBorder="1" applyAlignment="1" applyProtection="1"/>
    <xf numFmtId="169" fontId="26" fillId="5" borderId="40" xfId="16" applyNumberFormat="1" applyFont="1" applyFill="1" applyBorder="1" applyAlignment="1" applyProtection="1"/>
    <xf numFmtId="0" fontId="22" fillId="6" borderId="58" xfId="16" applyNumberFormat="1" applyFont="1" applyFill="1" applyBorder="1" applyAlignment="1" applyProtection="1">
      <alignment vertical="center" wrapText="1"/>
    </xf>
    <xf numFmtId="0" fontId="21" fillId="5" borderId="14" xfId="16" applyNumberFormat="1" applyFont="1" applyFill="1" applyBorder="1" applyAlignment="1" applyProtection="1">
      <alignment horizontal="center" vertical="top"/>
    </xf>
    <xf numFmtId="0" fontId="22" fillId="6" borderId="57" xfId="16" applyNumberFormat="1" applyFont="1" applyFill="1" applyBorder="1" applyAlignment="1" applyProtection="1">
      <alignment horizontal="center" vertical="center" wrapText="1"/>
    </xf>
    <xf numFmtId="4" fontId="21" fillId="5" borderId="19" xfId="16" applyNumberFormat="1" applyFont="1" applyFill="1" applyBorder="1" applyAlignment="1" applyProtection="1">
      <alignment horizontal="right" vertical="center"/>
    </xf>
    <xf numFmtId="168" fontId="21" fillId="5" borderId="20" xfId="16" applyNumberFormat="1" applyFont="1" applyFill="1" applyBorder="1" applyAlignment="1" applyProtection="1">
      <alignment horizontal="right" vertical="center"/>
    </xf>
    <xf numFmtId="0" fontId="23" fillId="3" borderId="0" xfId="12" applyFont="1" applyFill="1"/>
    <xf numFmtId="0" fontId="19" fillId="3" borderId="0" xfId="12" applyFont="1" applyFill="1" applyAlignment="1">
      <alignment horizontal="center"/>
    </xf>
    <xf numFmtId="0" fontId="31" fillId="3" borderId="0" xfId="12" applyFont="1" applyFill="1" applyAlignment="1">
      <alignment horizontal="center"/>
    </xf>
    <xf numFmtId="165" fontId="31" fillId="3" borderId="0" xfId="13" applyNumberFormat="1" applyFont="1" applyFill="1" applyAlignment="1">
      <alignment horizontal="center"/>
    </xf>
    <xf numFmtId="0" fontId="31" fillId="3" borderId="0" xfId="12" applyFont="1" applyFill="1" applyAlignment="1">
      <alignment horizontal="center" vertical="center" wrapText="1"/>
    </xf>
    <xf numFmtId="0" fontId="31" fillId="3" borderId="0" xfId="12" applyFont="1" applyFill="1" applyAlignment="1">
      <alignment horizontal="left" vertical="center"/>
    </xf>
    <xf numFmtId="0" fontId="30" fillId="3" borderId="0" xfId="12" applyFont="1" applyFill="1" applyAlignment="1">
      <alignment horizontal="left" vertical="center"/>
    </xf>
    <xf numFmtId="165" fontId="30" fillId="3" borderId="0" xfId="13" applyNumberFormat="1" applyFont="1" applyFill="1" applyAlignment="1">
      <alignment horizontal="center"/>
    </xf>
    <xf numFmtId="0" fontId="30" fillId="3" borderId="0" xfId="12" applyFont="1" applyFill="1" applyAlignment="1">
      <alignment horizontal="center"/>
    </xf>
    <xf numFmtId="0" fontId="31" fillId="3" borderId="0" xfId="12" applyFont="1" applyFill="1" applyAlignment="1">
      <alignment horizontal="center" vertical="center"/>
    </xf>
    <xf numFmtId="0" fontId="31" fillId="3" borderId="0" xfId="12" applyFont="1" applyFill="1" applyAlignment="1">
      <alignment horizontal="left" wrapText="1"/>
    </xf>
    <xf numFmtId="0" fontId="31" fillId="3" borderId="0" xfId="12" applyFont="1" applyFill="1" applyAlignment="1">
      <alignment vertical="center"/>
    </xf>
    <xf numFmtId="48" fontId="30" fillId="3" borderId="0" xfId="12" applyNumberFormat="1" applyFont="1" applyFill="1" applyAlignment="1" applyProtection="1">
      <alignment horizontal="left" vertical="center" wrapText="1"/>
      <protection locked="0"/>
    </xf>
    <xf numFmtId="0" fontId="30" fillId="3" borderId="0" xfId="12" applyFont="1" applyFill="1" applyAlignment="1">
      <alignment horizontal="left" wrapText="1"/>
    </xf>
    <xf numFmtId="0" fontId="30" fillId="3" borderId="0" xfId="12" applyFont="1" applyFill="1" applyAlignment="1">
      <alignment vertical="center"/>
    </xf>
    <xf numFmtId="3" fontId="30" fillId="3" borderId="0" xfId="12" applyNumberFormat="1" applyFont="1" applyFill="1" applyAlignment="1">
      <alignment horizontal="left" vertical="center" wrapText="1"/>
    </xf>
    <xf numFmtId="48" fontId="31" fillId="3" borderId="0" xfId="12" applyNumberFormat="1" applyFont="1" applyFill="1" applyAlignment="1" applyProtection="1">
      <alignment horizontal="left" vertical="center" wrapText="1"/>
      <protection locked="0"/>
    </xf>
    <xf numFmtId="48" fontId="30" fillId="3" borderId="0" xfId="12" applyNumberFormat="1" applyFont="1" applyFill="1" applyAlignment="1" applyProtection="1">
      <alignment vertical="center" wrapText="1"/>
      <protection locked="0"/>
    </xf>
    <xf numFmtId="0" fontId="34" fillId="3" borderId="0" xfId="0" applyFont="1" applyFill="1" applyAlignment="1">
      <alignment vertical="center"/>
    </xf>
    <xf numFmtId="43" fontId="30" fillId="3" borderId="0" xfId="12" applyNumberFormat="1" applyFont="1" applyFill="1" applyAlignment="1">
      <alignment horizontal="left" vertical="center" wrapText="1"/>
    </xf>
    <xf numFmtId="0" fontId="30" fillId="3" borderId="0" xfId="12" applyFont="1" applyFill="1" applyAlignment="1">
      <alignment horizontal="left" vertical="center" wrapText="1"/>
    </xf>
    <xf numFmtId="0" fontId="23" fillId="3" borderId="0" xfId="12" applyFont="1" applyFill="1" applyAlignment="1">
      <alignment horizontal="left"/>
    </xf>
    <xf numFmtId="3" fontId="30" fillId="3" borderId="0" xfId="12" applyNumberFormat="1" applyFont="1" applyFill="1" applyAlignment="1">
      <alignment wrapText="1"/>
    </xf>
    <xf numFmtId="3" fontId="31" fillId="3" borderId="0" xfId="12" applyNumberFormat="1" applyFont="1" applyFill="1" applyAlignment="1">
      <alignment wrapText="1"/>
    </xf>
    <xf numFmtId="0" fontId="35" fillId="3" borderId="0" xfId="12" applyFont="1" applyFill="1"/>
    <xf numFmtId="0" fontId="34" fillId="4" borderId="9" xfId="12" applyFont="1" applyFill="1" applyBorder="1" applyAlignment="1">
      <alignment horizontal="center" vertical="center" wrapText="1"/>
    </xf>
    <xf numFmtId="0" fontId="23" fillId="0" borderId="9" xfId="12" applyFont="1" applyFill="1" applyBorder="1" applyAlignment="1">
      <alignment horizontal="center" vertical="center"/>
    </xf>
    <xf numFmtId="49" fontId="23" fillId="0" borderId="9" xfId="12" applyNumberFormat="1" applyFont="1" applyFill="1" applyBorder="1" applyAlignment="1" applyProtection="1">
      <alignment horizontal="left" vertical="center" wrapText="1"/>
    </xf>
    <xf numFmtId="49" fontId="35" fillId="0" borderId="9" xfId="12" applyNumberFormat="1" applyFont="1" applyFill="1" applyBorder="1" applyAlignment="1" applyProtection="1">
      <alignment horizontal="center" vertical="center" wrapText="1"/>
    </xf>
    <xf numFmtId="49" fontId="35" fillId="0" borderId="9" xfId="12" applyNumberFormat="1" applyFont="1" applyFill="1" applyBorder="1" applyAlignment="1" applyProtection="1">
      <alignment horizontal="left" vertical="center" wrapText="1"/>
    </xf>
    <xf numFmtId="49" fontId="23" fillId="0" borderId="9" xfId="12" applyNumberFormat="1" applyFont="1" applyFill="1" applyBorder="1" applyAlignment="1" applyProtection="1">
      <alignment horizontal="center" vertical="center" wrapText="1"/>
    </xf>
    <xf numFmtId="0" fontId="19" fillId="3" borderId="0" xfId="12" applyFont="1" applyFill="1"/>
    <xf numFmtId="166" fontId="36" fillId="3" borderId="0" xfId="14" applyNumberFormat="1" applyFont="1" applyFill="1" applyAlignment="1">
      <alignment vertical="center" wrapText="1"/>
    </xf>
    <xf numFmtId="0" fontId="35" fillId="3" borderId="0" xfId="14" applyFont="1" applyFill="1" applyBorder="1" applyAlignment="1">
      <alignment vertical="center"/>
    </xf>
    <xf numFmtId="165" fontId="36" fillId="3" borderId="0" xfId="13" applyNumberFormat="1" applyFont="1" applyFill="1" applyBorder="1" applyAlignment="1">
      <alignment vertical="center" wrapText="1"/>
    </xf>
    <xf numFmtId="0" fontId="36" fillId="3" borderId="0" xfId="14" applyFont="1" applyFill="1" applyBorder="1" applyAlignment="1">
      <alignment vertical="center"/>
    </xf>
    <xf numFmtId="0" fontId="36" fillId="3" borderId="0" xfId="14" applyFont="1" applyFill="1" applyBorder="1" applyAlignment="1">
      <alignment vertical="center" wrapText="1"/>
    </xf>
    <xf numFmtId="165" fontId="36" fillId="3" borderId="0" xfId="13" applyNumberFormat="1" applyFont="1" applyFill="1" applyBorder="1" applyAlignment="1">
      <alignment horizontal="right" vertical="center" wrapText="1"/>
    </xf>
    <xf numFmtId="165" fontId="36" fillId="3" borderId="0" xfId="13" applyNumberFormat="1" applyFont="1" applyFill="1" applyBorder="1" applyAlignment="1">
      <alignment horizontal="left" vertical="center"/>
    </xf>
    <xf numFmtId="2" fontId="35" fillId="3" borderId="0" xfId="14" applyNumberFormat="1" applyFont="1" applyFill="1" applyAlignment="1">
      <alignment vertical="center"/>
    </xf>
    <xf numFmtId="165" fontId="36" fillId="3" borderId="0" xfId="13" applyNumberFormat="1" applyFont="1" applyFill="1" applyBorder="1" applyAlignment="1">
      <alignment horizontal="right" vertical="center"/>
    </xf>
    <xf numFmtId="165" fontId="36" fillId="3" borderId="0" xfId="13" applyNumberFormat="1" applyFont="1" applyFill="1" applyAlignment="1">
      <alignment horizontal="right" vertical="center"/>
    </xf>
    <xf numFmtId="2" fontId="35" fillId="3" borderId="0" xfId="14" applyNumberFormat="1" applyFont="1" applyFill="1" applyAlignment="1">
      <alignment horizontal="right" vertical="center"/>
    </xf>
    <xf numFmtId="165" fontId="35" fillId="3" borderId="0" xfId="13" applyNumberFormat="1" applyFont="1" applyFill="1" applyAlignment="1">
      <alignment horizontal="right" vertical="center"/>
    </xf>
    <xf numFmtId="2" fontId="36" fillId="3" borderId="0" xfId="14" applyNumberFormat="1" applyFont="1" applyFill="1" applyAlignment="1">
      <alignment vertical="center"/>
    </xf>
    <xf numFmtId="2" fontId="35" fillId="3" borderId="8" xfId="14" applyNumberFormat="1" applyFont="1" applyFill="1" applyBorder="1" applyAlignment="1">
      <alignment vertical="center"/>
    </xf>
    <xf numFmtId="165" fontId="35" fillId="3" borderId="8" xfId="13" applyNumberFormat="1" applyFont="1" applyFill="1" applyBorder="1" applyAlignment="1">
      <alignment horizontal="right" vertical="center"/>
    </xf>
    <xf numFmtId="2" fontId="35" fillId="3" borderId="0" xfId="14" applyNumberFormat="1" applyFont="1" applyFill="1" applyBorder="1" applyAlignment="1">
      <alignment horizontal="right" vertical="center"/>
    </xf>
    <xf numFmtId="0" fontId="23" fillId="3" borderId="0" xfId="12" applyFont="1" applyFill="1" applyBorder="1"/>
    <xf numFmtId="2" fontId="35" fillId="3" borderId="0" xfId="14" applyNumberFormat="1" applyFont="1" applyFill="1" applyBorder="1" applyAlignment="1">
      <alignment vertical="center"/>
    </xf>
    <xf numFmtId="0" fontId="23" fillId="3" borderId="0" xfId="12" applyFont="1" applyFill="1" applyAlignment="1">
      <alignment vertical="center"/>
    </xf>
    <xf numFmtId="2" fontId="23" fillId="3" borderId="0" xfId="14" applyNumberFormat="1" applyFont="1" applyFill="1" applyAlignment="1">
      <alignment vertical="center"/>
    </xf>
    <xf numFmtId="0" fontId="36" fillId="0" borderId="0" xfId="12" applyFont="1" applyFill="1" applyAlignment="1">
      <alignment vertical="center"/>
    </xf>
    <xf numFmtId="0" fontId="36" fillId="3" borderId="0" xfId="12" applyFont="1" applyFill="1" applyAlignment="1">
      <alignment vertical="center"/>
    </xf>
    <xf numFmtId="4" fontId="23" fillId="0" borderId="0" xfId="16" applyNumberFormat="1" applyFont="1"/>
    <xf numFmtId="0" fontId="31" fillId="7" borderId="0" xfId="17" applyNumberFormat="1" applyFont="1" applyFill="1" applyBorder="1" applyAlignment="1" applyProtection="1">
      <alignment vertical="top" wrapText="1"/>
    </xf>
    <xf numFmtId="0" fontId="31" fillId="7" borderId="0" xfId="17" applyNumberFormat="1" applyFont="1" applyFill="1" applyBorder="1" applyAlignment="1" applyProtection="1">
      <alignment vertical="top"/>
    </xf>
    <xf numFmtId="0" fontId="31" fillId="7" borderId="35" xfId="17" applyNumberFormat="1" applyFont="1" applyFill="1" applyBorder="1" applyAlignment="1" applyProtection="1">
      <alignment vertical="top" wrapText="1"/>
    </xf>
    <xf numFmtId="0" fontId="30" fillId="7" borderId="33" xfId="17" applyNumberFormat="1" applyFont="1" applyFill="1" applyBorder="1" applyAlignment="1" applyProtection="1">
      <alignment vertical="top" wrapText="1"/>
    </xf>
    <xf numFmtId="0" fontId="31" fillId="7" borderId="33" xfId="17" applyNumberFormat="1" applyFont="1" applyFill="1" applyBorder="1" applyAlignment="1" applyProtection="1">
      <alignment vertical="top" wrapText="1"/>
    </xf>
    <xf numFmtId="0" fontId="30" fillId="7" borderId="60" xfId="17" applyNumberFormat="1" applyFont="1" applyFill="1" applyBorder="1" applyAlignment="1" applyProtection="1">
      <alignment vertical="top" wrapText="1"/>
    </xf>
    <xf numFmtId="0" fontId="30" fillId="7" borderId="0" xfId="17" applyNumberFormat="1" applyFont="1" applyFill="1" applyBorder="1" applyAlignment="1" applyProtection="1">
      <alignment vertical="top"/>
    </xf>
    <xf numFmtId="3" fontId="31" fillId="7" borderId="35" xfId="17" applyNumberFormat="1" applyFont="1" applyFill="1" applyBorder="1" applyAlignment="1" applyProtection="1">
      <alignment vertical="top"/>
    </xf>
    <xf numFmtId="168" fontId="30" fillId="7" borderId="33" xfId="17" applyNumberFormat="1" applyFont="1" applyFill="1" applyBorder="1" applyAlignment="1" applyProtection="1">
      <alignment vertical="top"/>
    </xf>
    <xf numFmtId="3" fontId="31" fillId="7" borderId="33" xfId="17" applyNumberFormat="1" applyFont="1" applyFill="1" applyBorder="1" applyAlignment="1" applyProtection="1">
      <alignment vertical="top"/>
    </xf>
    <xf numFmtId="3" fontId="30" fillId="7" borderId="33" xfId="17" applyNumberFormat="1" applyFont="1" applyFill="1" applyBorder="1" applyAlignment="1" applyProtection="1">
      <alignment vertical="top"/>
    </xf>
    <xf numFmtId="4" fontId="30" fillId="7" borderId="33" xfId="17" applyNumberFormat="1" applyFont="1" applyFill="1" applyBorder="1" applyAlignment="1" applyProtection="1">
      <alignment vertical="top"/>
    </xf>
    <xf numFmtId="3" fontId="30" fillId="7" borderId="60" xfId="17" applyNumberFormat="1" applyFont="1" applyFill="1" applyBorder="1" applyAlignment="1" applyProtection="1">
      <alignment vertical="top"/>
    </xf>
    <xf numFmtId="0" fontId="31" fillId="6" borderId="59" xfId="17" applyNumberFormat="1" applyFont="1" applyFill="1" applyBorder="1" applyAlignment="1" applyProtection="1">
      <alignment horizontal="center" vertical="center" wrapText="1"/>
    </xf>
    <xf numFmtId="0" fontId="30" fillId="0" borderId="0" xfId="17" applyFont="1" applyAlignment="1">
      <alignment horizontal="center" vertical="center"/>
    </xf>
    <xf numFmtId="0" fontId="30" fillId="7" borderId="61" xfId="17" applyNumberFormat="1" applyFont="1" applyFill="1" applyBorder="1" applyAlignment="1" applyProtection="1">
      <alignment vertical="top"/>
    </xf>
    <xf numFmtId="3" fontId="30" fillId="7" borderId="61" xfId="17" applyNumberFormat="1" applyFont="1" applyFill="1" applyBorder="1" applyAlignment="1" applyProtection="1">
      <alignment vertical="top"/>
    </xf>
    <xf numFmtId="10" fontId="30" fillId="0" borderId="0" xfId="17" applyNumberFormat="1" applyFont="1">
      <alignment vertical="center"/>
    </xf>
    <xf numFmtId="0" fontId="21" fillId="5" borderId="33" xfId="0" applyNumberFormat="1" applyFont="1" applyFill="1" applyBorder="1" applyAlignment="1" applyProtection="1">
      <alignment vertical="top" wrapText="1"/>
    </xf>
    <xf numFmtId="0" fontId="31" fillId="7" borderId="35" xfId="17" applyNumberFormat="1" applyFont="1" applyFill="1" applyBorder="1" applyAlignment="1" applyProtection="1">
      <alignment horizontal="center" vertical="top"/>
    </xf>
    <xf numFmtId="0" fontId="30" fillId="7" borderId="33" xfId="17" applyNumberFormat="1" applyFont="1" applyFill="1" applyBorder="1" applyAlignment="1" applyProtection="1">
      <alignment horizontal="center" vertical="top"/>
    </xf>
    <xf numFmtId="0" fontId="31" fillId="7" borderId="33" xfId="17" applyNumberFormat="1" applyFont="1" applyFill="1" applyBorder="1" applyAlignment="1" applyProtection="1">
      <alignment horizontal="center" vertical="top"/>
    </xf>
    <xf numFmtId="0" fontId="30" fillId="7" borderId="60" xfId="17" applyNumberFormat="1" applyFont="1" applyFill="1" applyBorder="1" applyAlignment="1" applyProtection="1">
      <alignment horizontal="center" vertical="top"/>
    </xf>
    <xf numFmtId="0" fontId="31" fillId="7" borderId="0" xfId="17" applyNumberFormat="1" applyFont="1" applyFill="1" applyBorder="1" applyAlignment="1" applyProtection="1">
      <alignment horizontal="left" vertical="top"/>
    </xf>
    <xf numFmtId="0" fontId="22" fillId="6" borderId="39" xfId="16" applyNumberFormat="1" applyFont="1" applyFill="1" applyBorder="1" applyAlignment="1" applyProtection="1">
      <alignment vertical="center" wrapText="1"/>
    </xf>
    <xf numFmtId="0" fontId="22" fillId="6" borderId="41" xfId="16" applyNumberFormat="1" applyFont="1" applyFill="1" applyBorder="1" applyAlignment="1" applyProtection="1">
      <alignment vertical="center" wrapText="1"/>
    </xf>
    <xf numFmtId="0" fontId="22" fillId="5" borderId="43" xfId="16" applyNumberFormat="1" applyFont="1" applyFill="1" applyBorder="1" applyAlignment="1" applyProtection="1">
      <alignment vertical="top" wrapText="1"/>
    </xf>
    <xf numFmtId="0" fontId="21" fillId="5" borderId="42" xfId="16" applyNumberFormat="1" applyFont="1" applyFill="1" applyBorder="1" applyAlignment="1" applyProtection="1">
      <alignment vertical="top" wrapText="1"/>
    </xf>
    <xf numFmtId="0" fontId="26" fillId="5" borderId="42" xfId="16" applyNumberFormat="1" applyFont="1" applyFill="1" applyBorder="1" applyAlignment="1" applyProtection="1">
      <alignment vertical="top" wrapText="1"/>
    </xf>
    <xf numFmtId="0" fontId="22" fillId="5" borderId="42" xfId="16" applyNumberFormat="1" applyFont="1" applyFill="1" applyBorder="1" applyAlignment="1" applyProtection="1">
      <alignment vertical="top" wrapText="1"/>
    </xf>
    <xf numFmtId="0" fontId="22" fillId="5" borderId="44" xfId="16" applyNumberFormat="1" applyFont="1" applyFill="1" applyBorder="1" applyAlignment="1" applyProtection="1">
      <alignment vertical="top" wrapText="1"/>
    </xf>
    <xf numFmtId="169" fontId="21" fillId="5" borderId="40" xfId="16" applyNumberFormat="1" applyFont="1" applyFill="1" applyBorder="1" applyAlignment="1" applyProtection="1">
      <alignment vertical="top"/>
    </xf>
    <xf numFmtId="170" fontId="22" fillId="5" borderId="35" xfId="16" applyNumberFormat="1" applyFont="1" applyFill="1" applyBorder="1" applyAlignment="1" applyProtection="1">
      <alignment vertical="top" wrapText="1"/>
    </xf>
    <xf numFmtId="170" fontId="22" fillId="5" borderId="33" xfId="16" applyNumberFormat="1" applyFont="1" applyFill="1" applyBorder="1" applyAlignment="1" applyProtection="1">
      <alignment vertical="top" wrapText="1"/>
    </xf>
    <xf numFmtId="170" fontId="21" fillId="5" borderId="33" xfId="16" applyNumberFormat="1" applyFont="1" applyFill="1" applyBorder="1" applyAlignment="1" applyProtection="1">
      <alignment vertical="top" wrapText="1"/>
    </xf>
    <xf numFmtId="170" fontId="26" fillId="5" borderId="33" xfId="16" applyNumberFormat="1" applyFont="1" applyFill="1" applyBorder="1" applyAlignment="1" applyProtection="1">
      <alignment vertical="top" wrapText="1"/>
    </xf>
    <xf numFmtId="4" fontId="22" fillId="5" borderId="33" xfId="16" applyNumberFormat="1" applyFont="1" applyFill="1" applyBorder="1" applyAlignment="1" applyProtection="1">
      <alignment vertical="top" wrapText="1"/>
    </xf>
    <xf numFmtId="170" fontId="21" fillId="5" borderId="53" xfId="16" applyNumberFormat="1" applyFont="1" applyFill="1" applyBorder="1" applyAlignment="1" applyProtection="1">
      <alignment vertical="top" wrapText="1"/>
    </xf>
    <xf numFmtId="0" fontId="26" fillId="5" borderId="0" xfId="16" applyNumberFormat="1" applyFont="1" applyFill="1" applyBorder="1" applyAlignment="1" applyProtection="1">
      <alignment vertical="center"/>
    </xf>
    <xf numFmtId="0" fontId="22" fillId="6" borderId="48" xfId="16" applyNumberFormat="1" applyFont="1" applyFill="1" applyBorder="1" applyAlignment="1" applyProtection="1">
      <alignment horizontal="center" vertical="center" wrapText="1"/>
    </xf>
    <xf numFmtId="170" fontId="21" fillId="5" borderId="0" xfId="16" applyNumberFormat="1" applyFont="1" applyFill="1" applyBorder="1" applyAlignment="1" applyProtection="1">
      <alignment horizontal="left" vertical="top"/>
    </xf>
    <xf numFmtId="4" fontId="22" fillId="5" borderId="32" xfId="16" applyNumberFormat="1" applyFont="1" applyFill="1" applyBorder="1" applyAlignment="1" applyProtection="1">
      <alignment vertical="top" wrapText="1"/>
    </xf>
    <xf numFmtId="0" fontId="21" fillId="5" borderId="35" xfId="16" applyNumberFormat="1" applyFont="1" applyFill="1" applyBorder="1" applyAlignment="1" applyProtection="1">
      <alignment vertical="top" wrapText="1"/>
    </xf>
    <xf numFmtId="0" fontId="21" fillId="5" borderId="53" xfId="16" applyNumberFormat="1" applyFont="1" applyFill="1" applyBorder="1" applyAlignment="1" applyProtection="1">
      <alignment vertical="top" wrapText="1"/>
    </xf>
    <xf numFmtId="0" fontId="21" fillId="5" borderId="5" xfId="16" applyNumberFormat="1" applyFont="1" applyFill="1" applyBorder="1" applyAlignment="1" applyProtection="1">
      <alignment vertical="top"/>
    </xf>
    <xf numFmtId="171" fontId="21" fillId="5" borderId="5" xfId="16" applyNumberFormat="1" applyFont="1" applyFill="1" applyBorder="1" applyAlignment="1" applyProtection="1">
      <alignment vertical="top"/>
    </xf>
    <xf numFmtId="3" fontId="30" fillId="0" borderId="0" xfId="17" applyNumberFormat="1" applyFont="1">
      <alignment vertical="center"/>
    </xf>
    <xf numFmtId="14" fontId="30" fillId="0" borderId="0" xfId="17" applyNumberFormat="1" applyFont="1">
      <alignment vertical="center"/>
    </xf>
    <xf numFmtId="10" fontId="30" fillId="0" borderId="0" xfId="18" applyNumberFormat="1" applyFont="1" applyAlignment="1">
      <alignment vertical="center"/>
    </xf>
    <xf numFmtId="0" fontId="22" fillId="6" borderId="16" xfId="16" applyNumberFormat="1" applyFont="1" applyFill="1" applyBorder="1" applyAlignment="1" applyProtection="1">
      <alignment horizontal="center" vertical="center" wrapText="1"/>
    </xf>
    <xf numFmtId="0" fontId="21" fillId="5" borderId="0" xfId="16" applyNumberFormat="1" applyFont="1" applyFill="1" applyBorder="1" applyAlignment="1" applyProtection="1">
      <alignment horizontal="right" vertical="top"/>
    </xf>
    <xf numFmtId="169" fontId="21" fillId="5" borderId="19" xfId="16" applyNumberFormat="1" applyFont="1" applyFill="1" applyBorder="1" applyAlignment="1" applyProtection="1">
      <alignment horizontal="center" vertical="center"/>
    </xf>
    <xf numFmtId="169" fontId="22" fillId="5" borderId="22" xfId="16" applyNumberFormat="1" applyFont="1" applyFill="1" applyBorder="1" applyAlignment="1" applyProtection="1">
      <alignment horizontal="center" vertical="top"/>
    </xf>
    <xf numFmtId="169" fontId="22" fillId="5" borderId="19" xfId="16" applyNumberFormat="1" applyFont="1" applyFill="1" applyBorder="1" applyAlignment="1" applyProtection="1">
      <alignment horizontal="left" vertical="top" wrapText="1"/>
    </xf>
    <xf numFmtId="169" fontId="21" fillId="5" borderId="19" xfId="16" applyNumberFormat="1" applyFont="1" applyFill="1" applyBorder="1" applyAlignment="1" applyProtection="1">
      <alignment horizontal="left" vertical="center" wrapText="1"/>
    </xf>
    <xf numFmtId="169" fontId="21" fillId="5" borderId="19" xfId="16" applyNumberFormat="1" applyFont="1" applyFill="1" applyBorder="1" applyAlignment="1" applyProtection="1">
      <alignment horizontal="left" vertical="top" wrapText="1"/>
    </xf>
    <xf numFmtId="169" fontId="22" fillId="5" borderId="22" xfId="16" applyNumberFormat="1" applyFont="1" applyFill="1" applyBorder="1" applyAlignment="1" applyProtection="1">
      <alignment horizontal="left" vertical="top" wrapText="1"/>
    </xf>
    <xf numFmtId="49" fontId="22" fillId="5" borderId="19" xfId="16" applyNumberFormat="1" applyFont="1" applyFill="1" applyBorder="1" applyAlignment="1" applyProtection="1">
      <alignment horizontal="left" vertical="top" wrapText="1"/>
    </xf>
    <xf numFmtId="49" fontId="21" fillId="5" borderId="19" xfId="16" applyNumberFormat="1" applyFont="1" applyFill="1" applyBorder="1" applyAlignment="1" applyProtection="1">
      <alignment horizontal="left" vertical="top" wrapText="1"/>
    </xf>
    <xf numFmtId="49" fontId="26" fillId="5" borderId="19" xfId="16" applyNumberFormat="1" applyFont="1" applyFill="1" applyBorder="1" applyAlignment="1" applyProtection="1">
      <alignment horizontal="left" vertical="top" wrapText="1"/>
    </xf>
    <xf numFmtId="49" fontId="22" fillId="5" borderId="22" xfId="16" applyNumberFormat="1" applyFont="1" applyFill="1" applyBorder="1" applyAlignment="1" applyProtection="1">
      <alignment horizontal="left" vertical="top" wrapText="1"/>
    </xf>
    <xf numFmtId="3" fontId="22" fillId="5" borderId="19" xfId="16" applyNumberFormat="1" applyFont="1" applyFill="1" applyBorder="1" applyAlignment="1" applyProtection="1">
      <alignment horizontal="center" vertical="top"/>
    </xf>
    <xf numFmtId="3" fontId="21" fillId="5" borderId="19" xfId="16" applyNumberFormat="1" applyFont="1" applyFill="1" applyBorder="1" applyAlignment="1" applyProtection="1">
      <alignment horizontal="center" vertical="top"/>
    </xf>
    <xf numFmtId="3" fontId="26" fillId="5" borderId="19" xfId="16" applyNumberFormat="1" applyFont="1" applyFill="1" applyBorder="1" applyAlignment="1" applyProtection="1">
      <alignment horizontal="center" vertical="top"/>
    </xf>
    <xf numFmtId="0" fontId="22" fillId="0" borderId="18" xfId="16" applyNumberFormat="1" applyFont="1" applyFill="1" applyBorder="1" applyAlignment="1" applyProtection="1">
      <alignment horizontal="center" vertical="top"/>
    </xf>
    <xf numFmtId="49" fontId="22" fillId="0" borderId="19" xfId="16" applyNumberFormat="1" applyFont="1" applyFill="1" applyBorder="1" applyAlignment="1" applyProtection="1">
      <alignment horizontal="left" vertical="top" wrapText="1"/>
    </xf>
    <xf numFmtId="3" fontId="22" fillId="0" borderId="19" xfId="16" applyNumberFormat="1" applyFont="1" applyFill="1" applyBorder="1" applyAlignment="1" applyProtection="1">
      <alignment horizontal="center" vertical="top"/>
    </xf>
    <xf numFmtId="3" fontId="22" fillId="0" borderId="19" xfId="16" applyNumberFormat="1" applyFont="1" applyFill="1" applyBorder="1" applyAlignment="1" applyProtection="1">
      <alignment horizontal="right" vertical="top"/>
    </xf>
    <xf numFmtId="168" fontId="22" fillId="0" borderId="33" xfId="16" applyNumberFormat="1" applyFont="1" applyFill="1" applyBorder="1" applyAlignment="1" applyProtection="1">
      <alignment vertical="top"/>
    </xf>
    <xf numFmtId="3" fontId="23" fillId="0" borderId="0" xfId="16" applyNumberFormat="1" applyFont="1"/>
    <xf numFmtId="169" fontId="23" fillId="0" borderId="0" xfId="16" applyNumberFormat="1" applyFont="1"/>
    <xf numFmtId="168" fontId="30" fillId="0" borderId="0" xfId="17" applyNumberFormat="1" applyFont="1">
      <alignment vertical="center"/>
    </xf>
    <xf numFmtId="43" fontId="30" fillId="0" borderId="0" xfId="19" applyNumberFormat="1" applyFont="1" applyAlignment="1">
      <alignment vertical="center"/>
    </xf>
    <xf numFmtId="165" fontId="30" fillId="0" borderId="0" xfId="19" applyNumberFormat="1" applyFont="1" applyAlignment="1">
      <alignment vertical="center"/>
    </xf>
    <xf numFmtId="4" fontId="22" fillId="0" borderId="22" xfId="16" applyNumberFormat="1" applyFont="1" applyFill="1" applyBorder="1" applyAlignment="1" applyProtection="1">
      <alignment horizontal="right" vertical="top"/>
    </xf>
    <xf numFmtId="14" fontId="31" fillId="3" borderId="0" xfId="12" applyNumberFormat="1" applyFont="1" applyFill="1" applyAlignment="1">
      <alignment horizontal="left" vertical="center"/>
    </xf>
    <xf numFmtId="4" fontId="22" fillId="0" borderId="33" xfId="16" applyNumberFormat="1" applyFont="1" applyFill="1" applyBorder="1" applyAlignment="1" applyProtection="1">
      <alignment vertical="top"/>
    </xf>
    <xf numFmtId="172" fontId="21" fillId="0" borderId="19" xfId="16" applyNumberFormat="1" applyFont="1" applyFill="1" applyBorder="1" applyAlignment="1" applyProtection="1">
      <alignment horizontal="right" vertical="top"/>
    </xf>
    <xf numFmtId="14" fontId="7" fillId="3" borderId="0" xfId="0" applyNumberFormat="1" applyFont="1" applyFill="1" applyBorder="1" applyAlignment="1">
      <alignment horizontal="left" vertical="center"/>
    </xf>
    <xf numFmtId="164" fontId="8" fillId="3" borderId="8" xfId="0" applyNumberFormat="1" applyFont="1" applyFill="1" applyBorder="1" applyAlignment="1">
      <alignment horizontal="left"/>
    </xf>
    <xf numFmtId="4" fontId="30" fillId="0" borderId="33" xfId="17" applyNumberFormat="1" applyFont="1" applyFill="1" applyBorder="1" applyAlignment="1" applyProtection="1">
      <alignment vertical="top"/>
    </xf>
    <xf numFmtId="0" fontId="7" fillId="2" borderId="9" xfId="0" applyFont="1" applyFill="1" applyBorder="1" applyAlignment="1">
      <alignment horizontal="left" wrapText="1"/>
    </xf>
    <xf numFmtId="0" fontId="7" fillId="2" borderId="9" xfId="0" applyFont="1" applyFill="1" applyBorder="1" applyAlignment="1">
      <alignment horizontal="left" vertical="center"/>
    </xf>
    <xf numFmtId="0" fontId="7" fillId="3" borderId="1" xfId="0" applyFont="1" applyFill="1" applyBorder="1" applyAlignment="1">
      <alignment horizontal="left" vertical="center" wrapText="1"/>
    </xf>
    <xf numFmtId="0" fontId="7"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0"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0" xfId="0" applyFont="1" applyFill="1" applyBorder="1" applyAlignment="1">
      <alignment horizontal="left" vertical="center" wrapText="1"/>
    </xf>
    <xf numFmtId="0" fontId="8" fillId="3" borderId="3" xfId="0" applyFont="1" applyFill="1" applyBorder="1" applyAlignment="1">
      <alignment horizontal="left"/>
    </xf>
    <xf numFmtId="0" fontId="8" fillId="3" borderId="8" xfId="0" applyFont="1" applyFill="1" applyBorder="1" applyAlignment="1">
      <alignment horizontal="left"/>
    </xf>
    <xf numFmtId="0" fontId="8" fillId="2" borderId="9" xfId="0" applyFont="1" applyFill="1" applyBorder="1" applyAlignment="1">
      <alignment horizontal="left" vertical="center"/>
    </xf>
    <xf numFmtId="0" fontId="11" fillId="3" borderId="6" xfId="1" applyFont="1" applyFill="1" applyBorder="1" applyAlignment="1">
      <alignment horizontal="center" vertical="center"/>
    </xf>
    <xf numFmtId="0" fontId="11" fillId="3" borderId="0" xfId="1" applyFont="1" applyFill="1" applyBorder="1" applyAlignment="1">
      <alignment horizontal="center" vertical="center"/>
    </xf>
    <xf numFmtId="0" fontId="11" fillId="3" borderId="7" xfId="1" applyFont="1" applyFill="1" applyBorder="1" applyAlignment="1">
      <alignment horizontal="center" vertical="center"/>
    </xf>
    <xf numFmtId="0" fontId="15" fillId="3" borderId="6" xfId="1" applyFont="1" applyFill="1" applyBorder="1" applyAlignment="1">
      <alignment horizontal="center" vertical="center"/>
    </xf>
    <xf numFmtId="0" fontId="15" fillId="3" borderId="0" xfId="1" applyFont="1" applyFill="1" applyBorder="1" applyAlignment="1">
      <alignment horizontal="center" vertical="center"/>
    </xf>
    <xf numFmtId="0" fontId="15" fillId="3" borderId="7" xfId="1" applyFont="1" applyFill="1" applyBorder="1" applyAlignment="1">
      <alignment horizontal="center" vertical="center"/>
    </xf>
    <xf numFmtId="0" fontId="13" fillId="3" borderId="1"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2" xfId="0" applyFont="1" applyFill="1" applyBorder="1" applyAlignment="1">
      <alignment horizontal="center" vertical="center"/>
    </xf>
    <xf numFmtId="0" fontId="14" fillId="3" borderId="6" xfId="1" applyFont="1" applyFill="1" applyBorder="1" applyAlignment="1">
      <alignment horizontal="center" vertical="center"/>
    </xf>
    <xf numFmtId="0" fontId="14" fillId="3" borderId="0" xfId="1" applyFont="1" applyFill="1" applyBorder="1" applyAlignment="1">
      <alignment horizontal="center" vertical="center"/>
    </xf>
    <xf numFmtId="0" fontId="14" fillId="3" borderId="7" xfId="1" applyFont="1" applyFill="1" applyBorder="1" applyAlignment="1">
      <alignment horizontal="center" vertical="center"/>
    </xf>
    <xf numFmtId="0" fontId="15" fillId="3" borderId="3" xfId="1" applyFont="1" applyFill="1" applyBorder="1" applyAlignment="1">
      <alignment horizontal="center" vertical="center"/>
    </xf>
    <xf numFmtId="0" fontId="15" fillId="3" borderId="8" xfId="1" applyFont="1" applyFill="1" applyBorder="1" applyAlignment="1">
      <alignment horizontal="center" vertical="center"/>
    </xf>
    <xf numFmtId="0" fontId="15" fillId="3" borderId="4" xfId="1" applyFont="1" applyFill="1" applyBorder="1" applyAlignment="1">
      <alignment horizontal="center" vertical="center"/>
    </xf>
    <xf numFmtId="0" fontId="11" fillId="3" borderId="3" xfId="1" applyFont="1" applyFill="1" applyBorder="1" applyAlignment="1">
      <alignment horizontal="center" vertical="center"/>
    </xf>
    <xf numFmtId="0" fontId="11" fillId="3" borderId="8" xfId="1" applyFont="1" applyFill="1" applyBorder="1" applyAlignment="1">
      <alignment horizontal="center" vertical="center"/>
    </xf>
    <xf numFmtId="0" fontId="11" fillId="3" borderId="4" xfId="1" applyFont="1" applyFill="1" applyBorder="1" applyAlignment="1">
      <alignment horizontal="center" vertical="center"/>
    </xf>
    <xf numFmtId="0" fontId="8" fillId="3" borderId="1" xfId="0" applyFont="1" applyFill="1" applyBorder="1" applyAlignment="1">
      <alignment horizontal="left" wrapText="1"/>
    </xf>
    <xf numFmtId="0" fontId="8" fillId="3" borderId="5" xfId="0" applyFont="1" applyFill="1" applyBorder="1" applyAlignment="1">
      <alignment horizontal="left"/>
    </xf>
    <xf numFmtId="0" fontId="8" fillId="3" borderId="2" xfId="0" applyFont="1" applyFill="1" applyBorder="1" applyAlignment="1">
      <alignment horizontal="left"/>
    </xf>
    <xf numFmtId="0" fontId="8" fillId="3" borderId="3" xfId="0" applyFont="1" applyFill="1" applyBorder="1" applyAlignment="1">
      <alignment horizontal="left" wrapText="1"/>
    </xf>
    <xf numFmtId="0" fontId="8" fillId="3" borderId="4" xfId="0" applyFont="1" applyFill="1" applyBorder="1" applyAlignment="1">
      <alignment horizontal="left"/>
    </xf>
    <xf numFmtId="0" fontId="7" fillId="2" borderId="0" xfId="0" applyFont="1" applyFill="1" applyBorder="1" applyAlignment="1">
      <alignment horizontal="left"/>
    </xf>
    <xf numFmtId="0" fontId="7" fillId="2" borderId="0" xfId="0" applyFont="1" applyFill="1" applyAlignment="1">
      <alignment horizontal="left"/>
    </xf>
    <xf numFmtId="0" fontId="22" fillId="5" borderId="0" xfId="16" applyNumberFormat="1" applyFont="1" applyFill="1" applyBorder="1" applyAlignment="1" applyProtection="1">
      <alignment horizontal="center" vertical="center" wrapText="1"/>
    </xf>
    <xf numFmtId="0" fontId="24" fillId="5" borderId="0" xfId="16" applyNumberFormat="1" applyFont="1" applyFill="1" applyBorder="1" applyAlignment="1" applyProtection="1">
      <alignment horizontal="center" vertical="top" wrapText="1"/>
    </xf>
    <xf numFmtId="0" fontId="26" fillId="5" borderId="0" xfId="16" applyNumberFormat="1" applyFont="1" applyFill="1" applyBorder="1" applyAlignment="1" applyProtection="1">
      <alignment horizontal="center" vertical="top" wrapText="1"/>
    </xf>
    <xf numFmtId="0" fontId="25" fillId="5" borderId="0" xfId="16" applyNumberFormat="1" applyFont="1" applyFill="1" applyBorder="1" applyAlignment="1" applyProtection="1">
      <alignment horizontal="center" wrapText="1"/>
    </xf>
    <xf numFmtId="0" fontId="22" fillId="5" borderId="0" xfId="16" applyNumberFormat="1" applyFont="1" applyFill="1" applyBorder="1" applyAlignment="1" applyProtection="1">
      <alignment horizontal="left" vertical="top" wrapText="1"/>
    </xf>
    <xf numFmtId="0" fontId="22" fillId="5" borderId="0" xfId="16" applyNumberFormat="1" applyFont="1" applyFill="1" applyBorder="1" applyAlignment="1" applyProtection="1">
      <alignment horizontal="left" vertical="top"/>
    </xf>
    <xf numFmtId="0" fontId="21" fillId="5" borderId="0" xfId="16" applyNumberFormat="1" applyFont="1" applyFill="1" applyBorder="1" applyAlignment="1" applyProtection="1">
      <alignment horizontal="left" vertical="top"/>
    </xf>
    <xf numFmtId="14" fontId="22" fillId="5" borderId="0" xfId="16" applyNumberFormat="1" applyFont="1" applyFill="1" applyBorder="1" applyAlignment="1" applyProtection="1">
      <alignment horizontal="left" vertical="top"/>
    </xf>
    <xf numFmtId="0" fontId="21" fillId="5" borderId="0" xfId="16" applyNumberFormat="1" applyFont="1" applyFill="1" applyBorder="1" applyAlignment="1" applyProtection="1">
      <alignment horizontal="left" vertical="top" wrapText="1"/>
    </xf>
    <xf numFmtId="0" fontId="22" fillId="5" borderId="0" xfId="16" applyNumberFormat="1" applyFont="1" applyFill="1" applyBorder="1" applyAlignment="1" applyProtection="1">
      <alignment horizontal="center" vertical="top"/>
    </xf>
    <xf numFmtId="0" fontId="21" fillId="5" borderId="0" xfId="16" applyNumberFormat="1" applyFont="1" applyFill="1" applyBorder="1" applyAlignment="1" applyProtection="1">
      <alignment horizontal="center" vertical="top"/>
    </xf>
    <xf numFmtId="0" fontId="22" fillId="5" borderId="0" xfId="16" applyNumberFormat="1" applyFont="1" applyFill="1" applyBorder="1" applyAlignment="1" applyProtection="1">
      <alignment horizontal="center" vertical="center"/>
    </xf>
    <xf numFmtId="0" fontId="26" fillId="5" borderId="0" xfId="16" applyNumberFormat="1" applyFont="1" applyFill="1" applyBorder="1" applyAlignment="1" applyProtection="1">
      <alignment horizontal="right" vertical="top"/>
    </xf>
    <xf numFmtId="0" fontId="24" fillId="5" borderId="0" xfId="16" applyNumberFormat="1" applyFont="1" applyFill="1" applyBorder="1" applyAlignment="1" applyProtection="1">
      <alignment horizontal="center" vertical="center" wrapText="1"/>
    </xf>
    <xf numFmtId="0" fontId="28" fillId="5" borderId="0" xfId="16" applyNumberFormat="1" applyFont="1" applyFill="1" applyBorder="1" applyAlignment="1" applyProtection="1">
      <alignment horizontal="center" vertical="center" wrapText="1"/>
    </xf>
    <xf numFmtId="0" fontId="22" fillId="5" borderId="0" xfId="16" applyNumberFormat="1" applyFont="1" applyFill="1" applyBorder="1" applyAlignment="1" applyProtection="1">
      <alignment horizontal="right" vertical="center" wrapText="1"/>
    </xf>
    <xf numFmtId="0" fontId="28" fillId="5" borderId="0" xfId="16" applyNumberFormat="1" applyFont="1" applyFill="1" applyBorder="1" applyAlignment="1" applyProtection="1">
      <alignment horizontal="center" vertical="top"/>
    </xf>
    <xf numFmtId="0" fontId="33" fillId="0" borderId="0" xfId="0" applyFont="1" applyAlignment="1">
      <alignment horizontal="left" vertical="center" wrapText="1"/>
    </xf>
    <xf numFmtId="0" fontId="26" fillId="5" borderId="40" xfId="16" applyNumberFormat="1" applyFont="1" applyFill="1" applyBorder="1" applyAlignment="1" applyProtection="1">
      <alignment horizontal="left" vertical="top" wrapText="1"/>
    </xf>
    <xf numFmtId="0" fontId="31" fillId="7" borderId="0" xfId="17" applyNumberFormat="1" applyFont="1" applyFill="1" applyBorder="1" applyAlignment="1" applyProtection="1">
      <alignment horizontal="center" vertical="center"/>
    </xf>
    <xf numFmtId="0" fontId="30" fillId="7" borderId="0" xfId="17" applyNumberFormat="1" applyFont="1" applyFill="1" applyBorder="1" applyAlignment="1" applyProtection="1">
      <alignment horizontal="center" vertical="center"/>
    </xf>
    <xf numFmtId="0" fontId="30" fillId="7" borderId="0" xfId="17" applyNumberFormat="1" applyFont="1" applyFill="1" applyBorder="1" applyAlignment="1" applyProtection="1">
      <alignment horizontal="left" vertical="top"/>
    </xf>
    <xf numFmtId="0" fontId="31" fillId="7" borderId="0" xfId="17" applyNumberFormat="1" applyFont="1" applyFill="1" applyBorder="1" applyAlignment="1" applyProtection="1">
      <alignment horizontal="center" vertical="top"/>
    </xf>
    <xf numFmtId="0" fontId="31" fillId="7" borderId="0" xfId="17" applyNumberFormat="1" applyFont="1" applyFill="1" applyBorder="1" applyAlignment="1" applyProtection="1">
      <alignment horizontal="left" vertical="top" wrapText="1"/>
    </xf>
    <xf numFmtId="0" fontId="19" fillId="7" borderId="0" xfId="17" applyNumberFormat="1" applyFont="1" applyFill="1" applyBorder="1" applyAlignment="1" applyProtection="1">
      <alignment horizontal="center"/>
    </xf>
    <xf numFmtId="0" fontId="30" fillId="7" borderId="0" xfId="17" applyNumberFormat="1" applyFont="1" applyFill="1" applyBorder="1" applyAlignment="1" applyProtection="1">
      <alignment horizontal="left" vertical="top" wrapText="1"/>
    </xf>
    <xf numFmtId="0" fontId="17" fillId="7" borderId="0" xfId="17" applyNumberFormat="1" applyFont="1" applyFill="1" applyBorder="1" applyAlignment="1" applyProtection="1">
      <alignment horizontal="center" vertical="center" wrapText="1"/>
    </xf>
    <xf numFmtId="0" fontId="31" fillId="7" borderId="0" xfId="17" applyNumberFormat="1" applyFont="1" applyFill="1" applyBorder="1" applyAlignment="1" applyProtection="1">
      <alignment horizontal="center" vertical="center" wrapText="1"/>
    </xf>
    <xf numFmtId="0" fontId="31" fillId="7" borderId="0" xfId="17" applyNumberFormat="1" applyFont="1" applyFill="1" applyBorder="1" applyAlignment="1" applyProtection="1">
      <alignment horizontal="center" wrapText="1"/>
    </xf>
    <xf numFmtId="0" fontId="30" fillId="7" borderId="0" xfId="17" applyNumberFormat="1" applyFont="1" applyFill="1" applyBorder="1" applyAlignment="1" applyProtection="1">
      <alignment horizontal="center" vertical="top"/>
    </xf>
    <xf numFmtId="0" fontId="19" fillId="7" borderId="0" xfId="17" applyNumberFormat="1" applyFont="1" applyFill="1" applyBorder="1" applyAlignment="1" applyProtection="1">
      <alignment horizontal="right" vertical="top"/>
    </xf>
    <xf numFmtId="0" fontId="36" fillId="3" borderId="0" xfId="14" applyFont="1" applyFill="1" applyBorder="1" applyAlignment="1">
      <alignment horizontal="center" vertical="center"/>
    </xf>
    <xf numFmtId="166" fontId="36" fillId="3" borderId="0" xfId="14" applyNumberFormat="1" applyFont="1" applyFill="1" applyAlignment="1">
      <alignment horizontal="center" vertical="center"/>
    </xf>
    <xf numFmtId="165" fontId="36" fillId="3" borderId="0" xfId="13" applyNumberFormat="1" applyFont="1" applyFill="1" applyBorder="1" applyAlignment="1">
      <alignment horizontal="center" vertical="center"/>
    </xf>
    <xf numFmtId="0" fontId="36" fillId="3" borderId="5" xfId="14" applyFont="1" applyFill="1" applyBorder="1" applyAlignment="1">
      <alignment horizontal="center" vertical="center"/>
    </xf>
    <xf numFmtId="0" fontId="36" fillId="0" borderId="0" xfId="12" applyFont="1" applyFill="1" applyAlignment="1">
      <alignment horizontal="center" vertical="center"/>
    </xf>
    <xf numFmtId="0" fontId="23" fillId="3" borderId="0" xfId="12" applyFont="1" applyFill="1" applyAlignment="1">
      <alignment horizontal="center" vertical="center"/>
    </xf>
    <xf numFmtId="2" fontId="36" fillId="3" borderId="0" xfId="14" applyNumberFormat="1" applyFont="1" applyFill="1" applyAlignment="1">
      <alignment horizontal="right" vertical="center" wrapText="1"/>
    </xf>
    <xf numFmtId="0" fontId="36" fillId="3" borderId="0" xfId="14" applyFont="1" applyFill="1" applyAlignment="1">
      <alignment horizontal="center" vertical="center"/>
    </xf>
    <xf numFmtId="0" fontId="34" fillId="4" borderId="10" xfId="12" applyFont="1" applyFill="1" applyBorder="1" applyAlignment="1">
      <alignment horizontal="center" vertical="center" wrapText="1"/>
    </xf>
    <xf numFmtId="0" fontId="34" fillId="4" borderId="11" xfId="12" applyFont="1" applyFill="1" applyBorder="1" applyAlignment="1">
      <alignment horizontal="center" vertical="center" wrapText="1"/>
    </xf>
    <xf numFmtId="0" fontId="34" fillId="4" borderId="12" xfId="12" applyFont="1" applyFill="1" applyBorder="1" applyAlignment="1">
      <alignment horizontal="center" vertical="center" wrapText="1"/>
    </xf>
    <xf numFmtId="0" fontId="34" fillId="4" borderId="13" xfId="12" applyFont="1" applyFill="1" applyBorder="1" applyAlignment="1">
      <alignment horizontal="center" vertical="center" wrapText="1"/>
    </xf>
    <xf numFmtId="0" fontId="23" fillId="0" borderId="1" xfId="12" applyFont="1" applyBorder="1" applyAlignment="1">
      <alignment horizontal="center" vertical="center" wrapText="1"/>
    </xf>
    <xf numFmtId="0" fontId="23" fillId="0" borderId="5" xfId="12" applyFont="1" applyBorder="1" applyAlignment="1">
      <alignment horizontal="center" vertical="center" wrapText="1"/>
    </xf>
    <xf numFmtId="0" fontId="23" fillId="0" borderId="2" xfId="12" applyFont="1" applyBorder="1" applyAlignment="1">
      <alignment horizontal="center" vertical="center" wrapText="1"/>
    </xf>
    <xf numFmtId="0" fontId="23" fillId="0" borderId="6" xfId="12" applyFont="1" applyBorder="1" applyAlignment="1">
      <alignment horizontal="center" vertical="center" wrapText="1"/>
    </xf>
    <xf numFmtId="0" fontId="23" fillId="0" borderId="0" xfId="12" applyFont="1" applyBorder="1" applyAlignment="1">
      <alignment horizontal="center" vertical="center" wrapText="1"/>
    </xf>
    <xf numFmtId="0" fontId="23" fillId="0" borderId="7" xfId="12" applyFont="1" applyBorder="1" applyAlignment="1">
      <alignment horizontal="center" vertical="center" wrapText="1"/>
    </xf>
    <xf numFmtId="0" fontId="23" fillId="0" borderId="3" xfId="12" applyFont="1" applyBorder="1" applyAlignment="1">
      <alignment horizontal="center" vertical="center" wrapText="1"/>
    </xf>
    <xf numFmtId="0" fontId="23" fillId="0" borderId="8" xfId="12" applyFont="1" applyBorder="1" applyAlignment="1">
      <alignment horizontal="center" vertical="center" wrapText="1"/>
    </xf>
    <xf numFmtId="0" fontId="23" fillId="0" borderId="4" xfId="12" applyFont="1" applyBorder="1" applyAlignment="1">
      <alignment horizontal="center" vertical="center" wrapText="1"/>
    </xf>
    <xf numFmtId="0" fontId="34" fillId="4" borderId="9" xfId="12" applyFont="1" applyFill="1" applyBorder="1" applyAlignment="1">
      <alignment horizontal="center" vertical="center" wrapText="1"/>
    </xf>
    <xf numFmtId="0" fontId="36" fillId="4" borderId="10" xfId="12" applyFont="1" applyFill="1" applyBorder="1" applyAlignment="1" applyProtection="1">
      <alignment horizontal="center" vertical="center" wrapText="1"/>
    </xf>
    <xf numFmtId="0" fontId="36" fillId="4" borderId="11" xfId="12" applyFont="1" applyFill="1" applyBorder="1" applyAlignment="1" applyProtection="1">
      <alignment horizontal="center" vertical="center" wrapText="1"/>
    </xf>
    <xf numFmtId="0" fontId="18" fillId="3" borderId="0" xfId="12" applyFont="1" applyFill="1" applyAlignment="1">
      <alignment horizontal="center" wrapText="1"/>
    </xf>
    <xf numFmtId="0" fontId="17" fillId="3" borderId="0" xfId="12" applyFont="1" applyFill="1" applyAlignment="1">
      <alignment horizontal="center" vertical="center" wrapText="1"/>
    </xf>
    <xf numFmtId="0" fontId="20" fillId="3" borderId="0" xfId="12" applyFont="1" applyFill="1" applyAlignment="1">
      <alignment horizontal="center" vertical="center" wrapText="1"/>
    </xf>
    <xf numFmtId="3" fontId="18" fillId="3" borderId="0" xfId="12" applyNumberFormat="1" applyFont="1" applyFill="1" applyAlignment="1">
      <alignment horizontal="center" vertical="center" wrapText="1"/>
    </xf>
    <xf numFmtId="0" fontId="18" fillId="3" borderId="0" xfId="12" applyFont="1" applyFill="1" applyAlignment="1">
      <alignment horizontal="center" vertical="center"/>
    </xf>
    <xf numFmtId="167" fontId="30" fillId="3" borderId="0" xfId="12" applyNumberFormat="1" applyFont="1" applyFill="1" applyAlignment="1">
      <alignment horizontal="left" vertical="center" wrapText="1"/>
    </xf>
    <xf numFmtId="0" fontId="23" fillId="3" borderId="0" xfId="12" applyFont="1" applyFill="1" applyAlignment="1">
      <alignment horizontal="left"/>
    </xf>
    <xf numFmtId="0" fontId="28" fillId="5" borderId="0" xfId="16" applyNumberFormat="1" applyFont="1" applyFill="1" applyBorder="1" applyAlignment="1" applyProtection="1">
      <alignment horizontal="center" vertical="center"/>
    </xf>
    <xf numFmtId="0" fontId="21" fillId="5" borderId="0" xfId="16" applyNumberFormat="1" applyFont="1" applyFill="1" applyBorder="1" applyAlignment="1" applyProtection="1">
      <alignment horizontal="center" vertical="center"/>
    </xf>
    <xf numFmtId="0" fontId="22" fillId="6" borderId="37" xfId="16" applyNumberFormat="1" applyFont="1" applyFill="1" applyBorder="1" applyAlignment="1" applyProtection="1">
      <alignment horizontal="center" vertical="center" wrapText="1"/>
    </xf>
    <xf numFmtId="0" fontId="22" fillId="6" borderId="38" xfId="16" applyNumberFormat="1" applyFont="1" applyFill="1" applyBorder="1" applyAlignment="1" applyProtection="1">
      <alignment horizontal="center" vertical="center" wrapText="1"/>
    </xf>
    <xf numFmtId="0" fontId="22" fillId="6" borderId="36" xfId="16" applyNumberFormat="1" applyFont="1" applyFill="1" applyBorder="1" applyAlignment="1" applyProtection="1">
      <alignment horizontal="center" vertical="center" wrapText="1"/>
    </xf>
    <xf numFmtId="0" fontId="22" fillId="6" borderId="17" xfId="16" applyNumberFormat="1" applyFont="1" applyFill="1" applyBorder="1" applyAlignment="1" applyProtection="1">
      <alignment horizontal="center" vertical="center" wrapText="1"/>
    </xf>
    <xf numFmtId="0" fontId="22" fillId="6" borderId="16" xfId="16" applyNumberFormat="1" applyFont="1" applyFill="1" applyBorder="1" applyAlignment="1" applyProtection="1">
      <alignment horizontal="center" vertical="center" wrapText="1"/>
    </xf>
    <xf numFmtId="0" fontId="26" fillId="5" borderId="0" xfId="16" applyNumberFormat="1" applyFont="1" applyFill="1" applyBorder="1" applyAlignment="1" applyProtection="1">
      <alignment horizontal="center" vertical="center"/>
    </xf>
    <xf numFmtId="0" fontId="26" fillId="5" borderId="0" xfId="16" applyNumberFormat="1" applyFont="1" applyFill="1" applyBorder="1" applyAlignment="1" applyProtection="1">
      <alignment horizontal="center"/>
    </xf>
    <xf numFmtId="0" fontId="21" fillId="5" borderId="40" xfId="16" applyNumberFormat="1" applyFont="1" applyFill="1" applyBorder="1" applyAlignment="1" applyProtection="1">
      <alignment horizontal="left" vertical="top"/>
    </xf>
    <xf numFmtId="0" fontId="22" fillId="5" borderId="0" xfId="16" applyNumberFormat="1" applyFont="1" applyFill="1" applyBorder="1" applyAlignment="1" applyProtection="1">
      <alignment horizontal="center"/>
    </xf>
    <xf numFmtId="0" fontId="37" fillId="5" borderId="0" xfId="0" applyNumberFormat="1" applyFont="1" applyFill="1" applyBorder="1" applyAlignment="1" applyProtection="1">
      <alignment horizontal="right" vertical="center" wrapText="1"/>
    </xf>
    <xf numFmtId="0" fontId="21" fillId="5" borderId="14" xfId="16" applyNumberFormat="1" applyFont="1" applyFill="1" applyBorder="1" applyAlignment="1" applyProtection="1">
      <alignment horizontal="left" vertical="top"/>
    </xf>
    <xf numFmtId="0" fontId="21" fillId="5" borderId="0" xfId="16" applyNumberFormat="1" applyFont="1" applyFill="1" applyBorder="1" applyAlignment="1" applyProtection="1">
      <alignment horizontal="right" vertical="top"/>
    </xf>
    <xf numFmtId="0" fontId="22" fillId="5" borderId="0" xfId="16" applyNumberFormat="1" applyFont="1" applyFill="1" applyBorder="1" applyAlignment="1" applyProtection="1">
      <alignment horizontal="center" vertical="top" wrapText="1"/>
    </xf>
    <xf numFmtId="0" fontId="32" fillId="5" borderId="0" xfId="16" applyNumberFormat="1" applyFont="1" applyFill="1" applyBorder="1" applyAlignment="1" applyProtection="1">
      <alignment horizontal="right" vertical="center" wrapText="1"/>
    </xf>
    <xf numFmtId="0" fontId="26" fillId="5" borderId="0" xfId="16" applyNumberFormat="1" applyFont="1" applyFill="1" applyBorder="1" applyAlignment="1" applyProtection="1">
      <alignment horizontal="center" vertical="top"/>
    </xf>
  </cellXfs>
  <cellStyles count="20">
    <cellStyle name="Comma" xfId="19" builtinId="3"/>
    <cellStyle name="Comma 13" xfId="3"/>
    <cellStyle name="Comma 2" xfId="4"/>
    <cellStyle name="Comma 4" xfId="13"/>
    <cellStyle name="Currency [0] 2" xfId="5"/>
    <cellStyle name="Hyperlink" xfId="2" builtinId="8"/>
    <cellStyle name="Normal" xfId="0" builtinId="0"/>
    <cellStyle name="Normal 2" xfId="6"/>
    <cellStyle name="Normal 2 2" xfId="8"/>
    <cellStyle name="Normal 3" xfId="9"/>
    <cellStyle name="Normal 3 2" xfId="10"/>
    <cellStyle name="Normal 3 2 2" xfId="11"/>
    <cellStyle name="Normal 3 2 3" xfId="12"/>
    <cellStyle name="Normal 4" xfId="15"/>
    <cellStyle name="Normal 5" xfId="16"/>
    <cellStyle name="Normal 6" xfId="17"/>
    <cellStyle name="Normal_Bao cao tai chinh 280405" xfId="1"/>
    <cellStyle name="Normal_Bao cao tai chinh 280405 2" xfId="14"/>
    <cellStyle name="Percent" xfId="18" builtinId="5"/>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19051</xdr:colOff>
      <xdr:row>0</xdr:row>
      <xdr:rowOff>28576</xdr:rowOff>
    </xdr:from>
    <xdr:ext cx="1371599" cy="490888"/>
    <xdr:pic>
      <xdr:nvPicPr>
        <xdr:cNvPr id="2" name="Picture 1"/>
        <xdr:cNvPicPr>
          <a:picLocks noChangeAspect="1"/>
        </xdr:cNvPicPr>
      </xdr:nvPicPr>
      <xdr:blipFill rotWithShape="1">
        <a:blip xmlns:r="http://schemas.openxmlformats.org/officeDocument/2006/relationships" r:embed="rId1"/>
        <a:srcRect l="7208" t="26255" r="7206" b="21235"/>
        <a:stretch/>
      </xdr:blipFill>
      <xdr:spPr>
        <a:xfrm>
          <a:off x="19051" y="28576"/>
          <a:ext cx="1371599" cy="490888"/>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0</xdr:row>
      <xdr:rowOff>57150</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9525" y="57150"/>
          <a:ext cx="1371599" cy="490888"/>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19050</xdr:colOff>
      <xdr:row>68</xdr:row>
      <xdr:rowOff>371475</xdr:rowOff>
    </xdr:from>
    <xdr:ext cx="6953250" cy="200025"/>
    <xdr:sp macro="" textlink="" fLocksText="0">
      <xdr:nvSpPr>
        <xdr:cNvPr id="3" name="TextBox 2"/>
        <xdr:cNvSpPr txBox="1"/>
      </xdr:nvSpPr>
      <xdr:spPr>
        <a:xfrm>
          <a:off x="19050" y="19164300"/>
          <a:ext cx="69532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endParaRPr lang="en-US" sz="800" b="0" i="1" u="none" baseline="0">
            <a:solidFill>
              <a:srgbClr val="000000"/>
            </a:solidFill>
            <a:latin typeface="Tahoma"/>
            <a:ea typeface="Tahoma"/>
            <a:cs typeface="Tahoma"/>
          </a:endParaRPr>
        </a:p>
      </xdr:txBody>
    </xdr:sp>
    <xdr:clientData/>
  </xdr:oneCellAnchor>
  <xdr:oneCellAnchor>
    <xdr:from>
      <xdr:col>0</xdr:col>
      <xdr:colOff>76200</xdr:colOff>
      <xdr:row>0</xdr:row>
      <xdr:rowOff>76200</xdr:rowOff>
    </xdr:from>
    <xdr:ext cx="1371599" cy="490888"/>
    <xdr:pic>
      <xdr:nvPicPr>
        <xdr:cNvPr id="5" name="Picture 4"/>
        <xdr:cNvPicPr>
          <a:picLocks noChangeAspect="1"/>
        </xdr:cNvPicPr>
      </xdr:nvPicPr>
      <xdr:blipFill rotWithShape="1">
        <a:blip xmlns:r="http://schemas.openxmlformats.org/officeDocument/2006/relationships" r:embed="rId1"/>
        <a:srcRect l="7208" t="26255" r="7206" b="21235"/>
        <a:stretch/>
      </xdr:blipFill>
      <xdr:spPr>
        <a:xfrm>
          <a:off x="76200" y="76200"/>
          <a:ext cx="1371599" cy="490888"/>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57150</xdr:colOff>
      <xdr:row>0</xdr:row>
      <xdr:rowOff>66675</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57150" y="66675"/>
          <a:ext cx="1371599" cy="490888"/>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15240</xdr:colOff>
      <xdr:row>0</xdr:row>
      <xdr:rowOff>13854</xdr:rowOff>
    </xdr:from>
    <xdr:to>
      <xdr:col>1</xdr:col>
      <xdr:colOff>878747</xdr:colOff>
      <xdr:row>1</xdr:row>
      <xdr:rowOff>262890</xdr:rowOff>
    </xdr:to>
    <xdr:pic>
      <xdr:nvPicPr>
        <xdr:cNvPr id="2" name="Picture 1" descr="vfm-logo_915970.jpg">
          <a:extLst>
            <a:ext uri="{FF2B5EF4-FFF2-40B4-BE49-F238E27FC236}">
              <a16:creationId xmlns:a16="http://schemas.microsoft.com/office/drawing/2014/main" xmlns="" id="{6704F3B3-D67F-4BB5-8EEA-F4A9FC809CE9}"/>
            </a:ext>
          </a:extLst>
        </xdr:cNvPr>
        <xdr:cNvPicPr>
          <a:picLocks noChangeAspect="1"/>
        </xdr:cNvPicPr>
      </xdr:nvPicPr>
      <xdr:blipFill>
        <a:blip xmlns:r="http://schemas.openxmlformats.org/officeDocument/2006/relationships" r:embed="rId1" cstate="print"/>
        <a:stretch>
          <a:fillRect/>
        </a:stretch>
      </xdr:blipFill>
      <xdr:spPr>
        <a:xfrm>
          <a:off x="15240" y="13854"/>
          <a:ext cx="1730282" cy="6300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85725</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0" y="85725"/>
          <a:ext cx="1371599" cy="490888"/>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57150</xdr:colOff>
      <xdr:row>0</xdr:row>
      <xdr:rowOff>38100</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57150" y="38100"/>
          <a:ext cx="1371599" cy="490888"/>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66675</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0" y="66675"/>
          <a:ext cx="1371599" cy="490888"/>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38100</xdr:rowOff>
    </xdr:from>
    <xdr:ext cx="1371599" cy="490888"/>
    <xdr:pic>
      <xdr:nvPicPr>
        <xdr:cNvPr id="3" name="Picture 2"/>
        <xdr:cNvPicPr>
          <a:picLocks noChangeAspect="1"/>
        </xdr:cNvPicPr>
      </xdr:nvPicPr>
      <xdr:blipFill rotWithShape="1">
        <a:blip xmlns:r="http://schemas.openxmlformats.org/officeDocument/2006/relationships" r:embed="rId1"/>
        <a:srcRect l="7208" t="26255" r="7206" b="21235"/>
        <a:stretch/>
      </xdr:blipFill>
      <xdr:spPr>
        <a:xfrm>
          <a:off x="0" y="38100"/>
          <a:ext cx="1371599" cy="490888"/>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zoomScale="80" zoomScaleNormal="50" zoomScaleSheetLayoutView="80" workbookViewId="0">
      <selection activeCell="G16" sqref="G16:I16"/>
    </sheetView>
  </sheetViews>
  <sheetFormatPr defaultRowHeight="15" x14ac:dyDescent="0.25"/>
  <cols>
    <col min="1" max="2" width="13.140625" style="21" customWidth="1"/>
    <col min="3" max="3" width="11.42578125" style="21" customWidth="1"/>
    <col min="4" max="4" width="30.5703125" style="21" customWidth="1"/>
    <col min="5" max="5" width="33.140625" style="21" customWidth="1"/>
    <col min="6" max="6" width="8" style="21" customWidth="1"/>
    <col min="7" max="9" width="24.5703125" style="21" customWidth="1"/>
    <col min="10" max="16384" width="9.140625" style="21"/>
  </cols>
  <sheetData>
    <row r="1" spans="1:10" ht="15.75" x14ac:dyDescent="0.25">
      <c r="A1" s="360" t="s">
        <v>0</v>
      </c>
      <c r="B1" s="360"/>
    </row>
    <row r="2" spans="1:10" ht="15.75" x14ac:dyDescent="0.25">
      <c r="C2" s="355" t="s">
        <v>1097</v>
      </c>
      <c r="D2" s="356"/>
      <c r="E2" s="357"/>
    </row>
    <row r="3" spans="1:10" ht="15.75" x14ac:dyDescent="0.25">
      <c r="A3" s="8"/>
      <c r="B3" s="8"/>
      <c r="C3" s="358" t="s">
        <v>93</v>
      </c>
      <c r="D3" s="335"/>
      <c r="E3" s="359"/>
    </row>
    <row r="4" spans="1:10" x14ac:dyDescent="0.25">
      <c r="A4" s="22"/>
      <c r="B4" s="22"/>
    </row>
    <row r="5" spans="1:10" ht="15.75" x14ac:dyDescent="0.25">
      <c r="A5" s="361" t="s">
        <v>1</v>
      </c>
      <c r="B5" s="361"/>
      <c r="C5" s="1"/>
      <c r="D5" s="2"/>
      <c r="E5" s="1"/>
      <c r="F5" s="1"/>
      <c r="G5" s="1"/>
      <c r="H5" s="1"/>
      <c r="I5" s="1"/>
    </row>
    <row r="6" spans="1:10" ht="15.75" x14ac:dyDescent="0.25">
      <c r="A6" s="8"/>
      <c r="B6" s="8"/>
      <c r="C6" s="328" t="s">
        <v>2</v>
      </c>
      <c r="D6" s="329"/>
      <c r="E6" s="17" t="s">
        <v>3</v>
      </c>
      <c r="F6" s="9"/>
      <c r="G6" s="9"/>
      <c r="H6" s="9"/>
      <c r="I6" s="10"/>
    </row>
    <row r="7" spans="1:10" ht="15.75" x14ac:dyDescent="0.25">
      <c r="A7" s="8"/>
      <c r="B7" s="8"/>
      <c r="C7" s="330" t="s">
        <v>4</v>
      </c>
      <c r="D7" s="331"/>
      <c r="E7" s="18" t="s">
        <v>5</v>
      </c>
      <c r="F7" s="11"/>
      <c r="G7" s="11"/>
      <c r="H7" s="11"/>
      <c r="I7" s="12"/>
      <c r="J7" s="3"/>
    </row>
    <row r="8" spans="1:10" ht="15.75" x14ac:dyDescent="0.25">
      <c r="A8" s="8"/>
      <c r="B8" s="8"/>
      <c r="C8" s="332" t="s">
        <v>6</v>
      </c>
      <c r="D8" s="333"/>
      <c r="E8" s="19" t="s">
        <v>44</v>
      </c>
      <c r="F8" s="13"/>
      <c r="G8" s="13"/>
      <c r="H8" s="13"/>
      <c r="I8" s="14"/>
      <c r="J8" s="3"/>
    </row>
    <row r="9" spans="1:10" ht="15.75" x14ac:dyDescent="0.25">
      <c r="A9" s="8"/>
      <c r="B9" s="8"/>
      <c r="C9" s="330" t="s">
        <v>7</v>
      </c>
      <c r="D9" s="331"/>
      <c r="E9" s="18" t="s">
        <v>45</v>
      </c>
      <c r="F9" s="11"/>
      <c r="G9" s="11"/>
      <c r="H9" s="11"/>
      <c r="I9" s="12"/>
      <c r="J9" s="3"/>
    </row>
    <row r="10" spans="1:10" ht="15.75" x14ac:dyDescent="0.25">
      <c r="A10" s="8"/>
      <c r="B10" s="8"/>
      <c r="C10" s="332" t="s">
        <v>8</v>
      </c>
      <c r="D10" s="333"/>
      <c r="E10" s="19" t="s">
        <v>46</v>
      </c>
      <c r="F10" s="13"/>
      <c r="G10" s="13"/>
      <c r="H10" s="13"/>
      <c r="I10" s="14"/>
      <c r="J10" s="3"/>
    </row>
    <row r="11" spans="1:10" ht="15.75" x14ac:dyDescent="0.25">
      <c r="A11" s="8"/>
      <c r="B11" s="8"/>
      <c r="C11" s="330" t="s">
        <v>9</v>
      </c>
      <c r="D11" s="331"/>
      <c r="E11" s="18" t="s">
        <v>47</v>
      </c>
      <c r="F11" s="11"/>
      <c r="G11" s="11"/>
      <c r="H11" s="11"/>
      <c r="I11" s="12"/>
      <c r="J11" s="3"/>
    </row>
    <row r="12" spans="1:10" ht="15.75" x14ac:dyDescent="0.25">
      <c r="A12" s="8"/>
      <c r="B12" s="8"/>
      <c r="C12" s="332" t="s">
        <v>10</v>
      </c>
      <c r="D12" s="333"/>
      <c r="E12" s="323">
        <v>43926</v>
      </c>
      <c r="F12" s="13"/>
      <c r="G12" s="13"/>
      <c r="H12" s="13"/>
      <c r="I12" s="14"/>
      <c r="J12" s="3"/>
    </row>
    <row r="13" spans="1:10" ht="15.75" x14ac:dyDescent="0.25">
      <c r="A13" s="8"/>
      <c r="B13" s="8"/>
      <c r="C13" s="334" t="s">
        <v>11</v>
      </c>
      <c r="D13" s="335"/>
      <c r="E13" s="324">
        <v>43955</v>
      </c>
      <c r="F13" s="15"/>
      <c r="G13" s="15"/>
      <c r="H13" s="15"/>
      <c r="I13" s="16"/>
      <c r="J13" s="3"/>
    </row>
    <row r="14" spans="1:10" ht="15.75" x14ac:dyDescent="0.25">
      <c r="C14" s="1"/>
      <c r="D14" s="2"/>
      <c r="E14" s="1"/>
      <c r="F14" s="1"/>
      <c r="G14" s="1"/>
      <c r="H14" s="1"/>
      <c r="I14" s="1"/>
      <c r="J14" s="1"/>
    </row>
    <row r="15" spans="1:10" ht="15.75" x14ac:dyDescent="0.25">
      <c r="A15" s="361" t="s">
        <v>12</v>
      </c>
      <c r="B15" s="361"/>
      <c r="C15" s="1"/>
      <c r="D15" s="2"/>
      <c r="E15" s="1"/>
      <c r="F15" s="1"/>
      <c r="G15" s="1"/>
      <c r="H15" s="1"/>
      <c r="I15" s="1"/>
      <c r="J15" s="1"/>
    </row>
    <row r="16" spans="1:10" ht="15.75" x14ac:dyDescent="0.25">
      <c r="C16" s="343" t="s">
        <v>13</v>
      </c>
      <c r="D16" s="344"/>
      <c r="E16" s="345"/>
      <c r="G16" s="343" t="s">
        <v>14</v>
      </c>
      <c r="H16" s="344"/>
      <c r="I16" s="345"/>
    </row>
    <row r="17" spans="1:9" ht="15.75" x14ac:dyDescent="0.25">
      <c r="A17" s="1"/>
      <c r="B17" s="1"/>
      <c r="C17" s="346" t="s">
        <v>15</v>
      </c>
      <c r="D17" s="347"/>
      <c r="E17" s="348"/>
      <c r="G17" s="346" t="s">
        <v>16</v>
      </c>
      <c r="H17" s="347"/>
      <c r="I17" s="348"/>
    </row>
    <row r="18" spans="1:9" ht="15.75" x14ac:dyDescent="0.25">
      <c r="A18" s="1"/>
      <c r="B18" s="1"/>
      <c r="C18" s="346"/>
      <c r="D18" s="347"/>
      <c r="E18" s="348"/>
      <c r="G18" s="337"/>
      <c r="H18" s="338"/>
      <c r="I18" s="339"/>
    </row>
    <row r="19" spans="1:9" ht="15.75" x14ac:dyDescent="0.25">
      <c r="A19" s="1"/>
      <c r="B19" s="1"/>
      <c r="C19" s="346"/>
      <c r="D19" s="347"/>
      <c r="E19" s="348"/>
      <c r="G19" s="337"/>
      <c r="H19" s="338"/>
      <c r="I19" s="339"/>
    </row>
    <row r="20" spans="1:9" ht="15.75" x14ac:dyDescent="0.25">
      <c r="A20" s="1"/>
      <c r="B20" s="1"/>
      <c r="C20" s="346"/>
      <c r="D20" s="347"/>
      <c r="E20" s="348"/>
      <c r="G20" s="337"/>
      <c r="H20" s="338"/>
      <c r="I20" s="339"/>
    </row>
    <row r="21" spans="1:9" ht="15.75" x14ac:dyDescent="0.25">
      <c r="A21" s="1"/>
      <c r="B21" s="1"/>
      <c r="C21" s="346"/>
      <c r="D21" s="347"/>
      <c r="E21" s="348"/>
      <c r="G21" s="337"/>
      <c r="H21" s="338"/>
      <c r="I21" s="339"/>
    </row>
    <row r="22" spans="1:9" ht="15.75" x14ac:dyDescent="0.25">
      <c r="A22" s="1"/>
      <c r="B22" s="1"/>
      <c r="C22" s="346"/>
      <c r="D22" s="347"/>
      <c r="E22" s="348"/>
      <c r="G22" s="337"/>
      <c r="H22" s="338"/>
      <c r="I22" s="339"/>
    </row>
    <row r="23" spans="1:9" ht="15.75" x14ac:dyDescent="0.25">
      <c r="A23" s="1"/>
      <c r="B23" s="1"/>
      <c r="C23" s="346"/>
      <c r="D23" s="347"/>
      <c r="E23" s="348"/>
      <c r="G23" s="337"/>
      <c r="H23" s="338"/>
      <c r="I23" s="339"/>
    </row>
    <row r="24" spans="1:9" ht="15.75" x14ac:dyDescent="0.25">
      <c r="A24" s="1"/>
      <c r="B24" s="1"/>
      <c r="C24" s="340" t="s">
        <v>44</v>
      </c>
      <c r="D24" s="341"/>
      <c r="E24" s="342"/>
      <c r="G24" s="340" t="s">
        <v>3</v>
      </c>
      <c r="H24" s="341"/>
      <c r="I24" s="342"/>
    </row>
    <row r="25" spans="1:9" ht="15.75" x14ac:dyDescent="0.25">
      <c r="A25" s="1"/>
      <c r="B25" s="1"/>
      <c r="C25" s="340"/>
      <c r="D25" s="341"/>
      <c r="E25" s="342"/>
      <c r="G25" s="340"/>
      <c r="H25" s="341"/>
      <c r="I25" s="342"/>
    </row>
    <row r="26" spans="1:9" ht="15.75" x14ac:dyDescent="0.25">
      <c r="A26" s="1"/>
      <c r="B26" s="1"/>
      <c r="C26" s="349"/>
      <c r="D26" s="350"/>
      <c r="E26" s="351"/>
      <c r="G26" s="352"/>
      <c r="H26" s="353"/>
      <c r="I26" s="354"/>
    </row>
    <row r="27" spans="1:9" ht="15.75" x14ac:dyDescent="0.25">
      <c r="A27" s="1"/>
      <c r="B27" s="1"/>
      <c r="C27" s="23"/>
      <c r="D27" s="23"/>
      <c r="E27" s="23"/>
      <c r="G27" s="24"/>
      <c r="H27" s="24"/>
      <c r="I27" s="24"/>
    </row>
    <row r="28" spans="1:9" ht="15.75" x14ac:dyDescent="0.25">
      <c r="A28" s="1"/>
      <c r="B28" s="1"/>
      <c r="C28" s="23"/>
      <c r="D28" s="23"/>
      <c r="E28" s="23"/>
      <c r="G28" s="24"/>
      <c r="H28" s="24"/>
      <c r="I28" s="24"/>
    </row>
    <row r="29" spans="1:9" ht="15.75" x14ac:dyDescent="0.25">
      <c r="A29" s="1"/>
      <c r="B29" s="1"/>
      <c r="C29" s="6" t="s">
        <v>18</v>
      </c>
      <c r="D29" s="327" t="s">
        <v>19</v>
      </c>
      <c r="E29" s="327"/>
      <c r="F29" s="327"/>
      <c r="G29" s="327"/>
      <c r="H29" s="20" t="s">
        <v>20</v>
      </c>
      <c r="I29" s="24"/>
    </row>
    <row r="30" spans="1:9" ht="15.75" x14ac:dyDescent="0.25">
      <c r="A30" s="1"/>
      <c r="B30" s="1"/>
      <c r="C30" s="6" t="s">
        <v>21</v>
      </c>
      <c r="D30" s="327" t="s">
        <v>22</v>
      </c>
      <c r="E30" s="327"/>
      <c r="F30" s="327"/>
      <c r="G30" s="327"/>
      <c r="H30" s="20"/>
      <c r="I30" s="24"/>
    </row>
    <row r="31" spans="1:9" ht="15.75" x14ac:dyDescent="0.25">
      <c r="A31" s="1"/>
      <c r="B31" s="1"/>
      <c r="C31" s="7">
        <v>1</v>
      </c>
      <c r="D31" s="336" t="s">
        <v>23</v>
      </c>
      <c r="E31" s="336"/>
      <c r="F31" s="336"/>
      <c r="G31" s="336"/>
      <c r="H31" s="26" t="s">
        <v>24</v>
      </c>
      <c r="I31" s="24"/>
    </row>
    <row r="32" spans="1:9" ht="15.75" x14ac:dyDescent="0.25">
      <c r="A32" s="1"/>
      <c r="B32" s="1"/>
      <c r="C32" s="7">
        <v>2</v>
      </c>
      <c r="D32" s="336" t="s">
        <v>25</v>
      </c>
      <c r="E32" s="336"/>
      <c r="F32" s="336"/>
      <c r="G32" s="336"/>
      <c r="H32" s="26" t="s">
        <v>26</v>
      </c>
      <c r="I32" s="24"/>
    </row>
    <row r="33" spans="1:9" ht="15.75" x14ac:dyDescent="0.25">
      <c r="A33" s="1"/>
      <c r="B33" s="1"/>
      <c r="C33" s="7">
        <v>3</v>
      </c>
      <c r="D33" s="336" t="s">
        <v>27</v>
      </c>
      <c r="E33" s="336"/>
      <c r="F33" s="336"/>
      <c r="G33" s="336"/>
      <c r="H33" s="26" t="s">
        <v>28</v>
      </c>
      <c r="I33" s="24"/>
    </row>
    <row r="34" spans="1:9" ht="15.75" x14ac:dyDescent="0.25">
      <c r="A34" s="1"/>
      <c r="B34" s="1"/>
      <c r="C34" s="7">
        <v>4</v>
      </c>
      <c r="D34" s="336" t="s">
        <v>29</v>
      </c>
      <c r="E34" s="336"/>
      <c r="F34" s="336"/>
      <c r="G34" s="336"/>
      <c r="H34" s="26" t="s">
        <v>30</v>
      </c>
      <c r="I34" s="24"/>
    </row>
    <row r="35" spans="1:9" ht="15.75" x14ac:dyDescent="0.25">
      <c r="A35" s="1"/>
      <c r="B35" s="1"/>
      <c r="C35" s="7">
        <v>5</v>
      </c>
      <c r="D35" s="336" t="s">
        <v>31</v>
      </c>
      <c r="E35" s="336"/>
      <c r="F35" s="336"/>
      <c r="G35" s="336"/>
      <c r="H35" s="26" t="s">
        <v>32</v>
      </c>
      <c r="I35" s="24"/>
    </row>
    <row r="36" spans="1:9" ht="15.75" x14ac:dyDescent="0.25">
      <c r="A36" s="1"/>
      <c r="B36" s="1"/>
      <c r="C36" s="7">
        <v>6</v>
      </c>
      <c r="D36" s="336" t="s">
        <v>35</v>
      </c>
      <c r="E36" s="336"/>
      <c r="F36" s="336"/>
      <c r="G36" s="336"/>
      <c r="H36" s="26" t="s">
        <v>36</v>
      </c>
      <c r="I36" s="24"/>
    </row>
    <row r="37" spans="1:9" ht="15.75" x14ac:dyDescent="0.25">
      <c r="A37" s="1"/>
      <c r="B37" s="1"/>
      <c r="C37" s="7">
        <v>7</v>
      </c>
      <c r="D37" s="336" t="s">
        <v>37</v>
      </c>
      <c r="E37" s="336"/>
      <c r="F37" s="336"/>
      <c r="G37" s="336"/>
      <c r="H37" s="26" t="s">
        <v>38</v>
      </c>
      <c r="I37" s="24"/>
    </row>
    <row r="38" spans="1:9" ht="15.75" x14ac:dyDescent="0.25">
      <c r="A38" s="1"/>
      <c r="B38" s="1"/>
      <c r="C38" s="7">
        <v>8</v>
      </c>
      <c r="D38" s="336" t="s">
        <v>33</v>
      </c>
      <c r="E38" s="336"/>
      <c r="F38" s="336"/>
      <c r="G38" s="336"/>
      <c r="H38" s="26" t="s">
        <v>34</v>
      </c>
      <c r="I38" s="24"/>
    </row>
    <row r="39" spans="1:9" ht="15.75" x14ac:dyDescent="0.25">
      <c r="A39" s="1"/>
      <c r="B39" s="1"/>
      <c r="C39" s="7">
        <v>9</v>
      </c>
      <c r="D39" s="336" t="s">
        <v>39</v>
      </c>
      <c r="E39" s="336"/>
      <c r="F39" s="336"/>
      <c r="G39" s="336"/>
      <c r="H39" s="26" t="s">
        <v>40</v>
      </c>
      <c r="I39" s="24"/>
    </row>
    <row r="40" spans="1:9" ht="15.75" x14ac:dyDescent="0.25">
      <c r="A40" s="1"/>
      <c r="B40" s="1"/>
      <c r="C40" s="6" t="s">
        <v>41</v>
      </c>
      <c r="D40" s="326" t="s">
        <v>42</v>
      </c>
      <c r="E40" s="326"/>
      <c r="F40" s="326"/>
      <c r="G40" s="326"/>
      <c r="H40" s="25" t="s">
        <v>43</v>
      </c>
      <c r="I40" s="24"/>
    </row>
    <row r="41" spans="1:9" ht="15.75" x14ac:dyDescent="0.25">
      <c r="A41" s="1"/>
      <c r="B41" s="1"/>
      <c r="C41" s="23"/>
      <c r="D41" s="23"/>
      <c r="E41" s="23"/>
      <c r="G41" s="24"/>
      <c r="H41" s="24"/>
      <c r="I41" s="24"/>
    </row>
    <row r="42" spans="1:9" ht="15.75" x14ac:dyDescent="0.25">
      <c r="A42" s="1"/>
      <c r="B42" s="1"/>
      <c r="C42" s="23"/>
      <c r="D42" s="23"/>
      <c r="E42" s="23"/>
      <c r="G42" s="24"/>
      <c r="H42" s="24"/>
      <c r="I42" s="24"/>
    </row>
    <row r="43" spans="1:9" ht="15.75" x14ac:dyDescent="0.25">
      <c r="A43" s="1"/>
      <c r="B43" s="1"/>
      <c r="C43" s="23"/>
      <c r="D43" s="23"/>
      <c r="E43" s="23"/>
      <c r="G43" s="24"/>
      <c r="H43" s="24"/>
      <c r="I43" s="24"/>
    </row>
    <row r="44" spans="1:9" ht="15.75" x14ac:dyDescent="0.25">
      <c r="A44" s="1"/>
      <c r="B44" s="1"/>
      <c r="C44" s="23"/>
      <c r="D44" s="23"/>
      <c r="E44" s="23"/>
      <c r="G44" s="24"/>
      <c r="H44" s="24"/>
      <c r="I44" s="24"/>
    </row>
    <row r="45" spans="1:9" ht="15.75" x14ac:dyDescent="0.25">
      <c r="A45" s="1"/>
      <c r="B45" s="1"/>
      <c r="C45" s="23"/>
      <c r="D45" s="23"/>
      <c r="E45" s="23"/>
      <c r="G45" s="24"/>
      <c r="H45" s="24"/>
      <c r="I45" s="24"/>
    </row>
    <row r="46" spans="1:9" ht="15.75" x14ac:dyDescent="0.25">
      <c r="A46" s="1"/>
      <c r="B46" s="1"/>
      <c r="C46" s="23"/>
      <c r="D46" s="23"/>
      <c r="E46" s="23"/>
      <c r="G46" s="24"/>
      <c r="H46" s="24"/>
      <c r="I46" s="24"/>
    </row>
    <row r="47" spans="1:9" ht="15.75" x14ac:dyDescent="0.25">
      <c r="A47" s="1"/>
      <c r="B47" s="1"/>
      <c r="C47" s="23"/>
      <c r="D47" s="23"/>
      <c r="E47" s="23"/>
      <c r="G47" s="24"/>
      <c r="H47" s="24"/>
      <c r="I47" s="24"/>
    </row>
    <row r="48" spans="1:9" ht="15.75" x14ac:dyDescent="0.25">
      <c r="A48" s="1"/>
      <c r="B48" s="1"/>
      <c r="C48" s="23"/>
      <c r="D48" s="23"/>
      <c r="E48" s="23"/>
      <c r="G48" s="24"/>
      <c r="H48" s="24"/>
      <c r="I48" s="24"/>
    </row>
    <row r="49" spans="1:9" ht="15.75" x14ac:dyDescent="0.25">
      <c r="A49" s="1"/>
      <c r="B49" s="1"/>
      <c r="C49" s="23"/>
      <c r="D49" s="23"/>
      <c r="E49" s="23"/>
      <c r="G49" s="24"/>
      <c r="H49" s="24"/>
      <c r="I49" s="24"/>
    </row>
    <row r="50" spans="1:9" ht="15.75" x14ac:dyDescent="0.25">
      <c r="A50" s="1"/>
      <c r="B50" s="1"/>
      <c r="C50" s="23"/>
      <c r="D50" s="23"/>
      <c r="E50" s="23"/>
      <c r="G50" s="24"/>
      <c r="H50" s="24"/>
      <c r="I50" s="24"/>
    </row>
    <row r="51" spans="1:9" ht="15.75" x14ac:dyDescent="0.25">
      <c r="A51" s="1"/>
      <c r="B51" s="1"/>
      <c r="C51" s="23"/>
      <c r="D51" s="23"/>
      <c r="E51" s="23"/>
      <c r="G51" s="24"/>
      <c r="H51" s="24"/>
      <c r="I51" s="24"/>
    </row>
    <row r="52" spans="1:9" ht="15.75" x14ac:dyDescent="0.25">
      <c r="B52" s="4"/>
      <c r="C52" s="5"/>
    </row>
    <row r="69" ht="78.75" customHeight="1" x14ac:dyDescent="0.25"/>
  </sheetData>
  <mergeCells count="37">
    <mergeCell ref="C2:E2"/>
    <mergeCell ref="C3:E3"/>
    <mergeCell ref="A1:B1"/>
    <mergeCell ref="A5:B5"/>
    <mergeCell ref="A15:B15"/>
    <mergeCell ref="D34:G34"/>
    <mergeCell ref="D35:G35"/>
    <mergeCell ref="G18:I23"/>
    <mergeCell ref="C24:E24"/>
    <mergeCell ref="G16:I16"/>
    <mergeCell ref="G17:I17"/>
    <mergeCell ref="G24:I24"/>
    <mergeCell ref="C18:E23"/>
    <mergeCell ref="C16:E16"/>
    <mergeCell ref="C17:E17"/>
    <mergeCell ref="C25:E25"/>
    <mergeCell ref="C26:E26"/>
    <mergeCell ref="G25:I25"/>
    <mergeCell ref="G26:I26"/>
    <mergeCell ref="D33:G33"/>
    <mergeCell ref="D32:G32"/>
    <mergeCell ref="D40:G40"/>
    <mergeCell ref="D30:G30"/>
    <mergeCell ref="C6:D6"/>
    <mergeCell ref="C7:D7"/>
    <mergeCell ref="C8:D8"/>
    <mergeCell ref="C9:D9"/>
    <mergeCell ref="C10:D10"/>
    <mergeCell ref="C11:D11"/>
    <mergeCell ref="C12:D12"/>
    <mergeCell ref="C13:D13"/>
    <mergeCell ref="D29:G29"/>
    <mergeCell ref="D31:G31"/>
    <mergeCell ref="D38:G38"/>
    <mergeCell ref="D37:G37"/>
    <mergeCell ref="D36:G36"/>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B03_181!A1" display="06107"/>
    <hyperlink ref="H39" location="BCThayDoiNAV_PL15.229!A1" display="06182"/>
  </hyperlinks>
  <pageMargins left="0.25" right="0.25" top="0.75" bottom="0.75" header="0.3" footer="0.3"/>
  <pageSetup paperSize="9" scale="5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110"/>
  <sheetViews>
    <sheetView showGridLines="0" showZeros="0" showOutlineSymbols="0" view="pageBreakPreview" zoomScaleNormal="100" zoomScaleSheetLayoutView="100" workbookViewId="0"/>
  </sheetViews>
  <sheetFormatPr defaultRowHeight="12" x14ac:dyDescent="0.2"/>
  <cols>
    <col min="1" max="1" width="6.7109375" style="28" customWidth="1"/>
    <col min="2" max="2" width="45.85546875" style="28" customWidth="1"/>
    <col min="3" max="3" width="11.140625" style="28" customWidth="1"/>
    <col min="4" max="5" width="16.85546875" style="28" customWidth="1"/>
    <col min="6" max="6" width="12.28515625" style="28" customWidth="1"/>
    <col min="7" max="7" width="12.5703125" style="28" bestFit="1" customWidth="1"/>
    <col min="8" max="16384" width="9.140625" style="28"/>
  </cols>
  <sheetData>
    <row r="1" spans="1:9" ht="40.5" customHeight="1" x14ac:dyDescent="0.2">
      <c r="A1" s="27"/>
      <c r="B1" s="27"/>
      <c r="C1" s="362" t="s">
        <v>94</v>
      </c>
      <c r="D1" s="362"/>
      <c r="E1" s="362"/>
      <c r="F1" s="362"/>
      <c r="G1" s="42"/>
      <c r="H1" s="27"/>
      <c r="I1" s="27"/>
    </row>
    <row r="2" spans="1:9" ht="48" customHeight="1" x14ac:dyDescent="0.2">
      <c r="A2" s="363" t="s">
        <v>95</v>
      </c>
      <c r="B2" s="363"/>
      <c r="C2" s="363"/>
      <c r="D2" s="363"/>
      <c r="E2" s="363"/>
      <c r="F2" s="363"/>
      <c r="G2" s="40"/>
      <c r="H2" s="40"/>
      <c r="I2" s="40"/>
    </row>
    <row r="3" spans="1:9" ht="41.25" customHeight="1" x14ac:dyDescent="0.25">
      <c r="A3" s="365" t="s">
        <v>96</v>
      </c>
      <c r="B3" s="365"/>
      <c r="C3" s="365"/>
      <c r="D3" s="365"/>
      <c r="E3" s="365"/>
      <c r="F3" s="365"/>
      <c r="G3" s="43"/>
      <c r="H3" s="43"/>
      <c r="I3" s="43"/>
    </row>
    <row r="4" spans="1:9" x14ac:dyDescent="0.2">
      <c r="A4" s="364" t="s">
        <v>1093</v>
      </c>
      <c r="B4" s="364"/>
      <c r="C4" s="364"/>
      <c r="D4" s="364"/>
      <c r="E4" s="364"/>
      <c r="F4" s="364"/>
      <c r="G4" s="41"/>
      <c r="H4" s="41"/>
      <c r="I4" s="41"/>
    </row>
    <row r="5" spans="1:9" ht="9" customHeight="1" x14ac:dyDescent="0.2">
      <c r="A5" s="45"/>
      <c r="B5" s="45"/>
      <c r="C5" s="27"/>
      <c r="D5" s="45"/>
      <c r="E5" s="45"/>
      <c r="F5" s="45"/>
      <c r="G5" s="45"/>
      <c r="H5" s="27"/>
      <c r="I5" s="27"/>
    </row>
    <row r="6" spans="1:9" ht="15.75" customHeight="1" x14ac:dyDescent="0.2">
      <c r="A6" s="48" t="s">
        <v>98</v>
      </c>
      <c r="B6" s="29" t="s">
        <v>99</v>
      </c>
      <c r="C6" s="367" t="s">
        <v>100</v>
      </c>
      <c r="D6" s="367"/>
      <c r="E6" s="367"/>
      <c r="F6" s="367"/>
      <c r="G6" s="47"/>
      <c r="H6" s="47"/>
      <c r="I6" s="47"/>
    </row>
    <row r="7" spans="1:9" ht="15.75" customHeight="1" x14ac:dyDescent="0.2">
      <c r="A7" s="39"/>
      <c r="B7" s="27" t="s">
        <v>4</v>
      </c>
      <c r="C7" s="368" t="s">
        <v>5</v>
      </c>
      <c r="D7" s="368"/>
      <c r="E7" s="368"/>
      <c r="F7" s="368"/>
      <c r="G7" s="45"/>
      <c r="H7" s="45"/>
      <c r="I7" s="45"/>
    </row>
    <row r="8" spans="1:9" ht="15" customHeight="1" x14ac:dyDescent="0.2">
      <c r="A8" s="48" t="s">
        <v>101</v>
      </c>
      <c r="B8" s="29" t="s">
        <v>102</v>
      </c>
      <c r="C8" s="367" t="s">
        <v>103</v>
      </c>
      <c r="D8" s="367"/>
      <c r="E8" s="367"/>
      <c r="F8" s="367"/>
      <c r="G8" s="47"/>
      <c r="H8" s="47"/>
      <c r="I8" s="47"/>
    </row>
    <row r="9" spans="1:9" ht="13.5" customHeight="1" x14ac:dyDescent="0.2">
      <c r="A9" s="39"/>
      <c r="B9" s="27" t="s">
        <v>7</v>
      </c>
      <c r="C9" s="368" t="s">
        <v>45</v>
      </c>
      <c r="D9" s="368"/>
      <c r="E9" s="368"/>
      <c r="F9" s="368"/>
      <c r="G9" s="45"/>
      <c r="H9" s="45"/>
      <c r="I9" s="45"/>
    </row>
    <row r="10" spans="1:9" ht="13.5" customHeight="1" x14ac:dyDescent="0.2">
      <c r="A10" s="48" t="s">
        <v>79</v>
      </c>
      <c r="B10" s="29" t="s">
        <v>8</v>
      </c>
      <c r="C10" s="367" t="s">
        <v>104</v>
      </c>
      <c r="D10" s="367"/>
      <c r="E10" s="367"/>
      <c r="F10" s="367"/>
      <c r="G10" s="47"/>
      <c r="H10" s="47"/>
      <c r="I10" s="47"/>
    </row>
    <row r="11" spans="1:9" ht="15" customHeight="1" x14ac:dyDescent="0.2">
      <c r="A11" s="39"/>
      <c r="B11" s="27" t="s">
        <v>9</v>
      </c>
      <c r="C11" s="368" t="s">
        <v>105</v>
      </c>
      <c r="D11" s="368"/>
      <c r="E11" s="368"/>
      <c r="F11" s="368"/>
      <c r="G11" s="45"/>
      <c r="H11" s="45"/>
      <c r="I11" s="45"/>
    </row>
    <row r="12" spans="1:9" ht="14.25" customHeight="1" x14ac:dyDescent="0.2">
      <c r="A12" s="48" t="s">
        <v>85</v>
      </c>
      <c r="B12" s="29" t="s">
        <v>10</v>
      </c>
      <c r="C12" s="369">
        <v>43926</v>
      </c>
      <c r="D12" s="367"/>
      <c r="E12" s="367"/>
      <c r="F12" s="367"/>
      <c r="G12" s="47"/>
      <c r="H12" s="47"/>
      <c r="I12" s="47"/>
    </row>
    <row r="13" spans="1:9" ht="14.25" customHeight="1" x14ac:dyDescent="0.2">
      <c r="A13" s="39"/>
      <c r="B13" s="27" t="s">
        <v>11</v>
      </c>
      <c r="C13" s="368" t="s">
        <v>107</v>
      </c>
      <c r="D13" s="368"/>
      <c r="E13" s="368"/>
      <c r="F13" s="368"/>
      <c r="G13" s="45"/>
      <c r="H13" s="45"/>
      <c r="I13" s="45"/>
    </row>
    <row r="14" spans="1:9" ht="14.25" customHeight="1" x14ac:dyDescent="0.2">
      <c r="A14" s="45"/>
      <c r="B14" s="45"/>
      <c r="C14" s="27"/>
      <c r="D14" s="41"/>
      <c r="E14" s="41"/>
      <c r="F14" s="295" t="s">
        <v>1096</v>
      </c>
      <c r="G14" s="41"/>
      <c r="H14" s="41"/>
      <c r="I14" s="41"/>
    </row>
    <row r="15" spans="1:9" ht="16.5" customHeight="1" x14ac:dyDescent="0.2">
      <c r="A15" s="366" t="s">
        <v>108</v>
      </c>
      <c r="B15" s="366"/>
      <c r="C15" s="366"/>
      <c r="D15" s="366"/>
      <c r="E15" s="366"/>
      <c r="F15" s="366"/>
      <c r="G15" s="44"/>
      <c r="H15" s="44"/>
      <c r="I15" s="44"/>
    </row>
    <row r="16" spans="1:9" ht="15.75" customHeight="1" x14ac:dyDescent="0.2">
      <c r="A16" s="366" t="s">
        <v>109</v>
      </c>
      <c r="B16" s="366"/>
      <c r="C16" s="366"/>
      <c r="D16" s="366"/>
      <c r="E16" s="366"/>
      <c r="F16" s="366"/>
      <c r="G16" s="44"/>
      <c r="H16" s="44"/>
      <c r="I16" s="27"/>
    </row>
    <row r="17" spans="1:8" s="163" customFormat="1" ht="48" x14ac:dyDescent="0.25">
      <c r="A17" s="50" t="s">
        <v>111</v>
      </c>
      <c r="B17" s="294" t="s">
        <v>112</v>
      </c>
      <c r="C17" s="294" t="s">
        <v>113</v>
      </c>
      <c r="D17" s="294" t="s">
        <v>97</v>
      </c>
      <c r="E17" s="30" t="s">
        <v>441</v>
      </c>
      <c r="F17" s="104" t="s">
        <v>114</v>
      </c>
    </row>
    <row r="18" spans="1:8" ht="24" x14ac:dyDescent="0.2">
      <c r="A18" s="31" t="s">
        <v>69</v>
      </c>
      <c r="B18" s="302" t="s">
        <v>115</v>
      </c>
      <c r="C18" s="306" t="s">
        <v>116</v>
      </c>
      <c r="D18" s="32">
        <v>0</v>
      </c>
      <c r="E18" s="32">
        <v>0</v>
      </c>
      <c r="F18" s="156">
        <v>0</v>
      </c>
    </row>
    <row r="19" spans="1:8" ht="24" x14ac:dyDescent="0.2">
      <c r="A19" s="33" t="s">
        <v>117</v>
      </c>
      <c r="B19" s="303" t="s">
        <v>118</v>
      </c>
      <c r="C19" s="307" t="s">
        <v>119</v>
      </c>
      <c r="D19" s="34">
        <v>221564400</v>
      </c>
      <c r="E19" s="34">
        <v>0</v>
      </c>
      <c r="F19" s="157">
        <v>0</v>
      </c>
      <c r="G19" s="314"/>
      <c r="H19" s="314"/>
    </row>
    <row r="20" spans="1:8" ht="24" x14ac:dyDescent="0.2">
      <c r="A20" s="33"/>
      <c r="B20" s="303" t="s">
        <v>120</v>
      </c>
      <c r="C20" s="307" t="s">
        <v>121</v>
      </c>
      <c r="D20" s="34">
        <v>0</v>
      </c>
      <c r="E20" s="34">
        <v>0</v>
      </c>
      <c r="F20" s="157">
        <v>0</v>
      </c>
    </row>
    <row r="21" spans="1:8" ht="24" x14ac:dyDescent="0.2">
      <c r="A21" s="33"/>
      <c r="B21" s="303" t="s">
        <v>122</v>
      </c>
      <c r="C21" s="307" t="s">
        <v>123</v>
      </c>
      <c r="D21" s="34">
        <v>221564400</v>
      </c>
      <c r="E21" s="34">
        <v>0</v>
      </c>
      <c r="F21" s="157">
        <v>0</v>
      </c>
    </row>
    <row r="22" spans="1:8" ht="24" x14ac:dyDescent="0.2">
      <c r="A22" s="35"/>
      <c r="B22" s="304" t="s">
        <v>1094</v>
      </c>
      <c r="C22" s="308" t="s">
        <v>124</v>
      </c>
      <c r="D22" s="36">
        <v>0</v>
      </c>
      <c r="E22" s="36">
        <v>0</v>
      </c>
      <c r="F22" s="158">
        <v>0</v>
      </c>
    </row>
    <row r="23" spans="1:8" ht="36" x14ac:dyDescent="0.2">
      <c r="A23" s="35"/>
      <c r="B23" s="304" t="s">
        <v>125</v>
      </c>
      <c r="C23" s="308" t="s">
        <v>126</v>
      </c>
      <c r="D23" s="36">
        <v>0</v>
      </c>
      <c r="E23" s="36">
        <v>0</v>
      </c>
      <c r="F23" s="158">
        <v>0</v>
      </c>
    </row>
    <row r="24" spans="1:8" ht="24" x14ac:dyDescent="0.2">
      <c r="A24" s="35"/>
      <c r="B24" s="304" t="s">
        <v>127</v>
      </c>
      <c r="C24" s="308" t="s">
        <v>128</v>
      </c>
      <c r="D24" s="36">
        <v>221564400</v>
      </c>
      <c r="E24" s="36">
        <v>0</v>
      </c>
      <c r="F24" s="158">
        <v>0</v>
      </c>
    </row>
    <row r="25" spans="1:8" ht="24" x14ac:dyDescent="0.2">
      <c r="A25" s="35"/>
      <c r="B25" s="304" t="s">
        <v>129</v>
      </c>
      <c r="C25" s="308" t="s">
        <v>130</v>
      </c>
      <c r="D25" s="36">
        <v>0</v>
      </c>
      <c r="E25" s="36">
        <v>0</v>
      </c>
      <c r="F25" s="158">
        <v>0</v>
      </c>
    </row>
    <row r="26" spans="1:8" ht="24" x14ac:dyDescent="0.2">
      <c r="A26" s="35"/>
      <c r="B26" s="304" t="s">
        <v>131</v>
      </c>
      <c r="C26" s="308" t="s">
        <v>132</v>
      </c>
      <c r="D26" s="36">
        <v>0</v>
      </c>
      <c r="E26" s="36">
        <v>0</v>
      </c>
      <c r="F26" s="158">
        <v>0</v>
      </c>
    </row>
    <row r="27" spans="1:8" ht="24" x14ac:dyDescent="0.2">
      <c r="A27" s="33"/>
      <c r="B27" s="303" t="s">
        <v>133</v>
      </c>
      <c r="C27" s="307" t="s">
        <v>134</v>
      </c>
      <c r="D27" s="34">
        <v>0</v>
      </c>
      <c r="E27" s="34">
        <v>0</v>
      </c>
      <c r="F27" s="157">
        <v>0</v>
      </c>
    </row>
    <row r="28" spans="1:8" ht="24" x14ac:dyDescent="0.2">
      <c r="A28" s="33" t="s">
        <v>135</v>
      </c>
      <c r="B28" s="303" t="s">
        <v>136</v>
      </c>
      <c r="C28" s="307" t="s">
        <v>137</v>
      </c>
      <c r="D28" s="34">
        <v>104402553200</v>
      </c>
      <c r="E28" s="34">
        <v>0</v>
      </c>
      <c r="F28" s="157">
        <v>0</v>
      </c>
      <c r="G28" s="314"/>
      <c r="H28" s="314"/>
    </row>
    <row r="29" spans="1:8" ht="24" x14ac:dyDescent="0.2">
      <c r="A29" s="33"/>
      <c r="B29" s="303" t="s">
        <v>138</v>
      </c>
      <c r="C29" s="307" t="s">
        <v>139</v>
      </c>
      <c r="D29" s="34">
        <v>104402553200</v>
      </c>
      <c r="E29" s="34">
        <v>0</v>
      </c>
      <c r="F29" s="157">
        <v>0</v>
      </c>
    </row>
    <row r="30" spans="1:8" ht="24" x14ac:dyDescent="0.2">
      <c r="A30" s="33"/>
      <c r="B30" s="303" t="s">
        <v>140</v>
      </c>
      <c r="C30" s="307" t="s">
        <v>141</v>
      </c>
      <c r="D30" s="34">
        <v>0</v>
      </c>
      <c r="E30" s="34">
        <v>0</v>
      </c>
      <c r="F30" s="157">
        <v>0</v>
      </c>
    </row>
    <row r="31" spans="1:8" ht="24" x14ac:dyDescent="0.2">
      <c r="A31" s="33"/>
      <c r="B31" s="303" t="s">
        <v>142</v>
      </c>
      <c r="C31" s="307" t="s">
        <v>143</v>
      </c>
      <c r="D31" s="34">
        <v>0</v>
      </c>
      <c r="E31" s="34">
        <v>0</v>
      </c>
      <c r="F31" s="157">
        <v>0</v>
      </c>
    </row>
    <row r="32" spans="1:8" ht="24" x14ac:dyDescent="0.2">
      <c r="A32" s="33"/>
      <c r="B32" s="303" t="s">
        <v>144</v>
      </c>
      <c r="C32" s="307" t="s">
        <v>145</v>
      </c>
      <c r="D32" s="34">
        <v>0</v>
      </c>
      <c r="E32" s="34">
        <v>0</v>
      </c>
      <c r="F32" s="157">
        <v>0</v>
      </c>
    </row>
    <row r="33" spans="1:8" ht="24" x14ac:dyDescent="0.2">
      <c r="A33" s="33"/>
      <c r="B33" s="303" t="s">
        <v>146</v>
      </c>
      <c r="C33" s="307" t="s">
        <v>147</v>
      </c>
      <c r="D33" s="34">
        <v>0</v>
      </c>
      <c r="E33" s="34">
        <v>0</v>
      </c>
      <c r="F33" s="157">
        <v>0</v>
      </c>
    </row>
    <row r="34" spans="1:8" ht="24" x14ac:dyDescent="0.2">
      <c r="A34" s="33"/>
      <c r="B34" s="303" t="s">
        <v>148</v>
      </c>
      <c r="C34" s="307" t="s">
        <v>149</v>
      </c>
      <c r="D34" s="34">
        <v>0</v>
      </c>
      <c r="E34" s="34">
        <v>0</v>
      </c>
      <c r="F34" s="157">
        <v>0</v>
      </c>
    </row>
    <row r="35" spans="1:8" ht="24" x14ac:dyDescent="0.2">
      <c r="A35" s="33"/>
      <c r="B35" s="303" t="s">
        <v>150</v>
      </c>
      <c r="C35" s="307" t="s">
        <v>151</v>
      </c>
      <c r="D35" s="34">
        <v>0</v>
      </c>
      <c r="E35" s="34">
        <v>0</v>
      </c>
      <c r="F35" s="157">
        <v>0</v>
      </c>
    </row>
    <row r="36" spans="1:8" x14ac:dyDescent="0.2">
      <c r="A36" s="33"/>
      <c r="B36" s="303" t="s">
        <v>152</v>
      </c>
      <c r="C36" s="307" t="s">
        <v>153</v>
      </c>
      <c r="D36" s="34">
        <v>0</v>
      </c>
      <c r="E36" s="34">
        <v>0</v>
      </c>
      <c r="F36" s="157">
        <v>0</v>
      </c>
    </row>
    <row r="37" spans="1:8" ht="24" x14ac:dyDescent="0.2">
      <c r="A37" s="33" t="s">
        <v>154</v>
      </c>
      <c r="B37" s="303" t="s">
        <v>155</v>
      </c>
      <c r="C37" s="307" t="s">
        <v>156</v>
      </c>
      <c r="D37" s="34">
        <v>0</v>
      </c>
      <c r="E37" s="34">
        <v>0</v>
      </c>
      <c r="F37" s="157">
        <v>0</v>
      </c>
    </row>
    <row r="38" spans="1:8" ht="24" x14ac:dyDescent="0.2">
      <c r="A38" s="33"/>
      <c r="B38" s="303" t="s">
        <v>157</v>
      </c>
      <c r="C38" s="307" t="s">
        <v>158</v>
      </c>
      <c r="D38" s="34">
        <v>0</v>
      </c>
      <c r="E38" s="34">
        <v>0</v>
      </c>
      <c r="F38" s="157">
        <v>0</v>
      </c>
    </row>
    <row r="39" spans="1:8" ht="24" x14ac:dyDescent="0.2">
      <c r="A39" s="33"/>
      <c r="B39" s="303" t="s">
        <v>159</v>
      </c>
      <c r="C39" s="307" t="s">
        <v>160</v>
      </c>
      <c r="D39" s="34">
        <v>0</v>
      </c>
      <c r="E39" s="34">
        <v>0</v>
      </c>
      <c r="F39" s="157">
        <v>0</v>
      </c>
    </row>
    <row r="40" spans="1:8" ht="24" x14ac:dyDescent="0.2">
      <c r="A40" s="33" t="s">
        <v>161</v>
      </c>
      <c r="B40" s="303" t="s">
        <v>162</v>
      </c>
      <c r="C40" s="307" t="s">
        <v>163</v>
      </c>
      <c r="D40" s="34">
        <v>0</v>
      </c>
      <c r="E40" s="34">
        <v>0</v>
      </c>
      <c r="F40" s="157">
        <v>0</v>
      </c>
    </row>
    <row r="41" spans="1:8" ht="36" x14ac:dyDescent="0.2">
      <c r="A41" s="33"/>
      <c r="B41" s="303" t="s">
        <v>164</v>
      </c>
      <c r="C41" s="307" t="s">
        <v>165</v>
      </c>
      <c r="D41" s="34">
        <v>0</v>
      </c>
      <c r="E41" s="34">
        <v>0</v>
      </c>
      <c r="F41" s="157">
        <v>0</v>
      </c>
    </row>
    <row r="42" spans="1:8" ht="36" x14ac:dyDescent="0.2">
      <c r="A42" s="33"/>
      <c r="B42" s="303" t="s">
        <v>166</v>
      </c>
      <c r="C42" s="307" t="s">
        <v>167</v>
      </c>
      <c r="D42" s="34">
        <v>0</v>
      </c>
      <c r="E42" s="34">
        <v>0</v>
      </c>
      <c r="F42" s="157">
        <v>0</v>
      </c>
    </row>
    <row r="43" spans="1:8" ht="24" x14ac:dyDescent="0.2">
      <c r="A43" s="33"/>
      <c r="B43" s="303" t="s">
        <v>168</v>
      </c>
      <c r="C43" s="307" t="s">
        <v>169</v>
      </c>
      <c r="D43" s="34">
        <v>0</v>
      </c>
      <c r="E43" s="34">
        <v>0</v>
      </c>
      <c r="F43" s="157">
        <v>0</v>
      </c>
    </row>
    <row r="44" spans="1:8" ht="24" x14ac:dyDescent="0.2">
      <c r="A44" s="33" t="s">
        <v>170</v>
      </c>
      <c r="B44" s="303" t="s">
        <v>171</v>
      </c>
      <c r="C44" s="307" t="s">
        <v>172</v>
      </c>
      <c r="D44" s="34">
        <v>6580824000</v>
      </c>
      <c r="E44" s="34">
        <v>0</v>
      </c>
      <c r="F44" s="157">
        <v>0</v>
      </c>
      <c r="G44" s="314"/>
      <c r="H44" s="314"/>
    </row>
    <row r="45" spans="1:8" ht="24" x14ac:dyDescent="0.2">
      <c r="A45" s="33" t="s">
        <v>173</v>
      </c>
      <c r="B45" s="303" t="s">
        <v>174</v>
      </c>
      <c r="C45" s="307" t="s">
        <v>175</v>
      </c>
      <c r="D45" s="34">
        <v>0</v>
      </c>
      <c r="E45" s="34">
        <v>0</v>
      </c>
      <c r="F45" s="157">
        <v>0</v>
      </c>
    </row>
    <row r="46" spans="1:8" ht="24" x14ac:dyDescent="0.2">
      <c r="A46" s="33"/>
      <c r="B46" s="303" t="s">
        <v>176</v>
      </c>
      <c r="C46" s="307" t="s">
        <v>177</v>
      </c>
      <c r="D46" s="34">
        <v>0</v>
      </c>
      <c r="E46" s="34">
        <v>0</v>
      </c>
      <c r="F46" s="157">
        <v>0</v>
      </c>
    </row>
    <row r="47" spans="1:8" ht="24" x14ac:dyDescent="0.2">
      <c r="A47" s="33"/>
      <c r="B47" s="303" t="s">
        <v>178</v>
      </c>
      <c r="C47" s="307" t="s">
        <v>179</v>
      </c>
      <c r="D47" s="34">
        <v>0</v>
      </c>
      <c r="E47" s="34">
        <v>0</v>
      </c>
      <c r="F47" s="157">
        <v>0</v>
      </c>
    </row>
    <row r="48" spans="1:8" ht="24" x14ac:dyDescent="0.2">
      <c r="A48" s="33"/>
      <c r="B48" s="303" t="s">
        <v>180</v>
      </c>
      <c r="C48" s="307" t="s">
        <v>181</v>
      </c>
      <c r="D48" s="34">
        <v>0</v>
      </c>
      <c r="E48" s="34">
        <v>0</v>
      </c>
      <c r="F48" s="157">
        <v>0</v>
      </c>
    </row>
    <row r="49" spans="1:8" ht="24" x14ac:dyDescent="0.2">
      <c r="A49" s="33" t="s">
        <v>182</v>
      </c>
      <c r="B49" s="303" t="s">
        <v>183</v>
      </c>
      <c r="C49" s="307" t="s">
        <v>184</v>
      </c>
      <c r="D49" s="34">
        <v>0</v>
      </c>
      <c r="E49" s="34">
        <v>0</v>
      </c>
      <c r="F49" s="157">
        <v>0</v>
      </c>
    </row>
    <row r="50" spans="1:8" ht="24" x14ac:dyDescent="0.2">
      <c r="A50" s="33"/>
      <c r="B50" s="303" t="s">
        <v>185</v>
      </c>
      <c r="C50" s="307" t="s">
        <v>186</v>
      </c>
      <c r="D50" s="34">
        <v>0</v>
      </c>
      <c r="E50" s="34">
        <v>0</v>
      </c>
      <c r="F50" s="157">
        <v>0</v>
      </c>
    </row>
    <row r="51" spans="1:8" ht="24" x14ac:dyDescent="0.2">
      <c r="A51" s="33"/>
      <c r="B51" s="303" t="s">
        <v>187</v>
      </c>
      <c r="C51" s="307" t="s">
        <v>188</v>
      </c>
      <c r="D51" s="34">
        <v>0</v>
      </c>
      <c r="E51" s="34">
        <v>0</v>
      </c>
      <c r="F51" s="157">
        <v>0</v>
      </c>
    </row>
    <row r="52" spans="1:8" ht="24" x14ac:dyDescent="0.2">
      <c r="A52" s="33"/>
      <c r="B52" s="303" t="s">
        <v>189</v>
      </c>
      <c r="C52" s="307" t="s">
        <v>190</v>
      </c>
      <c r="D52" s="34">
        <v>0</v>
      </c>
      <c r="E52" s="34">
        <v>0</v>
      </c>
      <c r="F52" s="157">
        <v>0</v>
      </c>
    </row>
    <row r="53" spans="1:8" ht="24" x14ac:dyDescent="0.2">
      <c r="A53" s="33"/>
      <c r="B53" s="303" t="s">
        <v>191</v>
      </c>
      <c r="C53" s="307" t="s">
        <v>192</v>
      </c>
      <c r="D53" s="34">
        <v>0</v>
      </c>
      <c r="E53" s="34">
        <v>0</v>
      </c>
      <c r="F53" s="157">
        <v>0</v>
      </c>
    </row>
    <row r="54" spans="1:8" ht="33" customHeight="1" x14ac:dyDescent="0.2">
      <c r="A54" s="309" t="s">
        <v>193</v>
      </c>
      <c r="B54" s="310" t="s">
        <v>1095</v>
      </c>
      <c r="C54" s="311" t="s">
        <v>194</v>
      </c>
      <c r="D54" s="312">
        <v>111204941600</v>
      </c>
      <c r="E54" s="312">
        <v>0</v>
      </c>
      <c r="F54" s="313">
        <v>0</v>
      </c>
      <c r="G54" s="314"/>
      <c r="H54" s="314"/>
    </row>
    <row r="55" spans="1:8" ht="24" x14ac:dyDescent="0.2">
      <c r="A55" s="31" t="s">
        <v>74</v>
      </c>
      <c r="B55" s="302" t="s">
        <v>195</v>
      </c>
      <c r="C55" s="306" t="s">
        <v>196</v>
      </c>
      <c r="D55" s="32">
        <v>0</v>
      </c>
      <c r="E55" s="32">
        <v>0</v>
      </c>
      <c r="F55" s="159">
        <v>0</v>
      </c>
    </row>
    <row r="56" spans="1:8" ht="24" x14ac:dyDescent="0.2">
      <c r="A56" s="33" t="s">
        <v>197</v>
      </c>
      <c r="B56" s="303" t="s">
        <v>198</v>
      </c>
      <c r="C56" s="307" t="s">
        <v>199</v>
      </c>
      <c r="D56" s="34">
        <v>0</v>
      </c>
      <c r="E56" s="34">
        <v>0</v>
      </c>
      <c r="F56" s="157">
        <v>0</v>
      </c>
    </row>
    <row r="57" spans="1:8" ht="24" x14ac:dyDescent="0.2">
      <c r="A57" s="33" t="s">
        <v>200</v>
      </c>
      <c r="B57" s="303" t="s">
        <v>201</v>
      </c>
      <c r="C57" s="307" t="s">
        <v>202</v>
      </c>
      <c r="D57" s="34">
        <v>98827707</v>
      </c>
      <c r="E57" s="34">
        <v>0</v>
      </c>
      <c r="F57" s="157">
        <v>0</v>
      </c>
      <c r="H57" s="314"/>
    </row>
    <row r="58" spans="1:8" ht="24" x14ac:dyDescent="0.2">
      <c r="A58" s="33"/>
      <c r="B58" s="303" t="s">
        <v>203</v>
      </c>
      <c r="C58" s="307" t="s">
        <v>204</v>
      </c>
      <c r="D58" s="34">
        <v>0</v>
      </c>
      <c r="E58" s="34">
        <v>0</v>
      </c>
      <c r="F58" s="157">
        <v>0</v>
      </c>
    </row>
    <row r="59" spans="1:8" ht="24" x14ac:dyDescent="0.2">
      <c r="A59" s="35"/>
      <c r="B59" s="304" t="s">
        <v>205</v>
      </c>
      <c r="C59" s="308" t="s">
        <v>206</v>
      </c>
      <c r="D59" s="36">
        <v>0</v>
      </c>
      <c r="E59" s="36">
        <v>0</v>
      </c>
      <c r="F59" s="158">
        <v>0</v>
      </c>
    </row>
    <row r="60" spans="1:8" ht="24" x14ac:dyDescent="0.2">
      <c r="A60" s="35"/>
      <c r="B60" s="304" t="s">
        <v>207</v>
      </c>
      <c r="C60" s="308" t="s">
        <v>208</v>
      </c>
      <c r="D60" s="36">
        <v>0</v>
      </c>
      <c r="E60" s="36">
        <v>0</v>
      </c>
      <c r="F60" s="158">
        <v>0</v>
      </c>
    </row>
    <row r="61" spans="1:8" ht="24" x14ac:dyDescent="0.2">
      <c r="A61" s="35"/>
      <c r="B61" s="304" t="s">
        <v>209</v>
      </c>
      <c r="C61" s="308" t="s">
        <v>210</v>
      </c>
      <c r="D61" s="36">
        <v>0</v>
      </c>
      <c r="E61" s="36">
        <v>0</v>
      </c>
      <c r="F61" s="158">
        <v>0</v>
      </c>
    </row>
    <row r="62" spans="1:8" ht="24" x14ac:dyDescent="0.2">
      <c r="A62" s="33"/>
      <c r="B62" s="303" t="s">
        <v>211</v>
      </c>
      <c r="C62" s="307" t="s">
        <v>212</v>
      </c>
      <c r="D62" s="34">
        <v>0</v>
      </c>
      <c r="E62" s="34">
        <v>0</v>
      </c>
      <c r="F62" s="157">
        <v>0</v>
      </c>
    </row>
    <row r="63" spans="1:8" ht="48" x14ac:dyDescent="0.2">
      <c r="A63" s="33"/>
      <c r="B63" s="303" t="s">
        <v>213</v>
      </c>
      <c r="C63" s="307" t="s">
        <v>214</v>
      </c>
      <c r="D63" s="34">
        <v>0</v>
      </c>
      <c r="E63" s="34">
        <v>0</v>
      </c>
      <c r="F63" s="157">
        <v>0</v>
      </c>
    </row>
    <row r="64" spans="1:8" ht="36" x14ac:dyDescent="0.2">
      <c r="A64" s="35"/>
      <c r="B64" s="304" t="s">
        <v>215</v>
      </c>
      <c r="C64" s="308" t="s">
        <v>216</v>
      </c>
      <c r="D64" s="36">
        <v>0</v>
      </c>
      <c r="E64" s="36">
        <v>0</v>
      </c>
      <c r="F64" s="158">
        <v>0</v>
      </c>
    </row>
    <row r="65" spans="1:7" ht="48" x14ac:dyDescent="0.2">
      <c r="A65" s="35"/>
      <c r="B65" s="304" t="s">
        <v>217</v>
      </c>
      <c r="C65" s="308" t="s">
        <v>218</v>
      </c>
      <c r="D65" s="36">
        <v>0</v>
      </c>
      <c r="E65" s="36">
        <v>0</v>
      </c>
      <c r="F65" s="158">
        <v>0</v>
      </c>
    </row>
    <row r="66" spans="1:7" ht="24" x14ac:dyDescent="0.2">
      <c r="A66" s="33"/>
      <c r="B66" s="303" t="s">
        <v>219</v>
      </c>
      <c r="C66" s="307" t="s">
        <v>220</v>
      </c>
      <c r="D66" s="34">
        <v>0</v>
      </c>
      <c r="E66" s="34">
        <v>0</v>
      </c>
      <c r="F66" s="157">
        <v>0</v>
      </c>
    </row>
    <row r="67" spans="1:7" ht="24" x14ac:dyDescent="0.2">
      <c r="A67" s="33"/>
      <c r="B67" s="303" t="s">
        <v>221</v>
      </c>
      <c r="C67" s="307" t="s">
        <v>222</v>
      </c>
      <c r="D67" s="34">
        <v>0</v>
      </c>
      <c r="E67" s="34">
        <v>0</v>
      </c>
      <c r="F67" s="157">
        <v>0</v>
      </c>
    </row>
    <row r="68" spans="1:7" ht="24" x14ac:dyDescent="0.2">
      <c r="A68" s="33"/>
      <c r="B68" s="303" t="s">
        <v>223</v>
      </c>
      <c r="C68" s="307" t="s">
        <v>224</v>
      </c>
      <c r="D68" s="34">
        <v>21820213</v>
      </c>
      <c r="E68" s="34">
        <v>0</v>
      </c>
      <c r="F68" s="157">
        <v>0</v>
      </c>
    </row>
    <row r="69" spans="1:7" ht="24" x14ac:dyDescent="0.2">
      <c r="A69" s="33"/>
      <c r="B69" s="303" t="s">
        <v>225</v>
      </c>
      <c r="C69" s="307" t="s">
        <v>226</v>
      </c>
      <c r="D69" s="34">
        <v>4950000</v>
      </c>
      <c r="E69" s="34">
        <v>0</v>
      </c>
      <c r="F69" s="157">
        <v>0</v>
      </c>
    </row>
    <row r="70" spans="1:7" ht="24" x14ac:dyDescent="0.2">
      <c r="A70" s="33"/>
      <c r="B70" s="303" t="s">
        <v>227</v>
      </c>
      <c r="C70" s="307" t="s">
        <v>228</v>
      </c>
      <c r="D70" s="34">
        <v>4950000</v>
      </c>
      <c r="E70" s="34">
        <v>0</v>
      </c>
      <c r="F70" s="157">
        <v>0</v>
      </c>
    </row>
    <row r="71" spans="1:7" ht="24" x14ac:dyDescent="0.2">
      <c r="A71" s="33"/>
      <c r="B71" s="303" t="s">
        <v>229</v>
      </c>
      <c r="C71" s="307" t="s">
        <v>230</v>
      </c>
      <c r="D71" s="34">
        <v>7051525</v>
      </c>
      <c r="E71" s="34">
        <v>0</v>
      </c>
      <c r="F71" s="157">
        <v>0</v>
      </c>
      <c r="G71" s="314"/>
    </row>
    <row r="72" spans="1:7" ht="24" x14ac:dyDescent="0.2">
      <c r="A72" s="35"/>
      <c r="B72" s="304" t="s">
        <v>231</v>
      </c>
      <c r="C72" s="308" t="s">
        <v>232</v>
      </c>
      <c r="D72" s="36">
        <v>7051525</v>
      </c>
      <c r="E72" s="36">
        <v>0</v>
      </c>
      <c r="F72" s="158">
        <v>0</v>
      </c>
    </row>
    <row r="73" spans="1:7" ht="24" x14ac:dyDescent="0.2">
      <c r="A73" s="35"/>
      <c r="B73" s="304" t="s">
        <v>233</v>
      </c>
      <c r="C73" s="308" t="s">
        <v>234</v>
      </c>
      <c r="D73" s="36">
        <v>0</v>
      </c>
      <c r="E73" s="36">
        <v>0</v>
      </c>
      <c r="F73" s="158">
        <v>0</v>
      </c>
    </row>
    <row r="74" spans="1:7" ht="24" x14ac:dyDescent="0.2">
      <c r="A74" s="33"/>
      <c r="B74" s="303" t="s">
        <v>235</v>
      </c>
      <c r="C74" s="307" t="s">
        <v>236</v>
      </c>
      <c r="D74" s="34">
        <v>3800000</v>
      </c>
      <c r="E74" s="34">
        <v>0</v>
      </c>
      <c r="F74" s="157">
        <v>0</v>
      </c>
    </row>
    <row r="75" spans="1:7" ht="24" x14ac:dyDescent="0.2">
      <c r="A75" s="35"/>
      <c r="B75" s="304" t="s">
        <v>237</v>
      </c>
      <c r="C75" s="308" t="s">
        <v>238</v>
      </c>
      <c r="D75" s="36">
        <v>3000000</v>
      </c>
      <c r="E75" s="36">
        <v>0</v>
      </c>
      <c r="F75" s="158">
        <v>0</v>
      </c>
    </row>
    <row r="76" spans="1:7" ht="24" x14ac:dyDescent="0.2">
      <c r="A76" s="35"/>
      <c r="B76" s="304" t="s">
        <v>239</v>
      </c>
      <c r="C76" s="308" t="s">
        <v>240</v>
      </c>
      <c r="D76" s="36">
        <v>800000</v>
      </c>
      <c r="E76" s="36">
        <v>0</v>
      </c>
      <c r="F76" s="158">
        <v>0</v>
      </c>
    </row>
    <row r="77" spans="1:7" ht="24" x14ac:dyDescent="0.2">
      <c r="A77" s="35"/>
      <c r="B77" s="304" t="s">
        <v>241</v>
      </c>
      <c r="C77" s="308" t="s">
        <v>242</v>
      </c>
      <c r="D77" s="36">
        <v>0</v>
      </c>
      <c r="E77" s="36">
        <v>0</v>
      </c>
      <c r="F77" s="158">
        <v>0</v>
      </c>
    </row>
    <row r="78" spans="1:7" ht="48" x14ac:dyDescent="0.2">
      <c r="A78" s="35"/>
      <c r="B78" s="304" t="s">
        <v>243</v>
      </c>
      <c r="C78" s="308" t="s">
        <v>244</v>
      </c>
      <c r="D78" s="36">
        <v>0</v>
      </c>
      <c r="E78" s="36">
        <v>0</v>
      </c>
      <c r="F78" s="158">
        <v>0</v>
      </c>
    </row>
    <row r="79" spans="1:7" ht="24" x14ac:dyDescent="0.2">
      <c r="A79" s="33"/>
      <c r="B79" s="303" t="s">
        <v>245</v>
      </c>
      <c r="C79" s="307" t="s">
        <v>246</v>
      </c>
      <c r="D79" s="34">
        <v>0</v>
      </c>
      <c r="E79" s="34">
        <v>0</v>
      </c>
      <c r="F79" s="157">
        <v>0</v>
      </c>
    </row>
    <row r="80" spans="1:7" ht="24" x14ac:dyDescent="0.2">
      <c r="A80" s="33"/>
      <c r="B80" s="303" t="s">
        <v>247</v>
      </c>
      <c r="C80" s="307" t="s">
        <v>248</v>
      </c>
      <c r="D80" s="34">
        <v>0</v>
      </c>
      <c r="E80" s="34">
        <v>0</v>
      </c>
      <c r="F80" s="157">
        <v>0</v>
      </c>
    </row>
    <row r="81" spans="1:6" ht="24" x14ac:dyDescent="0.2">
      <c r="A81" s="33"/>
      <c r="B81" s="303" t="s">
        <v>249</v>
      </c>
      <c r="C81" s="307" t="s">
        <v>250</v>
      </c>
      <c r="D81" s="34">
        <v>0</v>
      </c>
      <c r="E81" s="34">
        <v>0</v>
      </c>
      <c r="F81" s="157">
        <v>0</v>
      </c>
    </row>
    <row r="82" spans="1:6" ht="24" x14ac:dyDescent="0.2">
      <c r="A82" s="33"/>
      <c r="B82" s="303" t="s">
        <v>251</v>
      </c>
      <c r="C82" s="307" t="s">
        <v>252</v>
      </c>
      <c r="D82" s="34">
        <v>0</v>
      </c>
      <c r="E82" s="34">
        <v>0</v>
      </c>
      <c r="F82" s="157">
        <v>0</v>
      </c>
    </row>
    <row r="83" spans="1:6" ht="36" x14ac:dyDescent="0.2">
      <c r="A83" s="33"/>
      <c r="B83" s="303" t="s">
        <v>253</v>
      </c>
      <c r="C83" s="307" t="s">
        <v>254</v>
      </c>
      <c r="D83" s="34">
        <v>0</v>
      </c>
      <c r="E83" s="34">
        <v>0</v>
      </c>
      <c r="F83" s="157">
        <v>0</v>
      </c>
    </row>
    <row r="84" spans="1:6" ht="24" x14ac:dyDescent="0.2">
      <c r="A84" s="33"/>
      <c r="B84" s="303" t="s">
        <v>255</v>
      </c>
      <c r="C84" s="307" t="s">
        <v>256</v>
      </c>
      <c r="D84" s="34">
        <v>5901639</v>
      </c>
      <c r="E84" s="34">
        <v>0</v>
      </c>
      <c r="F84" s="157">
        <v>0</v>
      </c>
    </row>
    <row r="85" spans="1:6" ht="24" x14ac:dyDescent="0.2">
      <c r="A85" s="33"/>
      <c r="B85" s="303" t="s">
        <v>257</v>
      </c>
      <c r="C85" s="307" t="s">
        <v>258</v>
      </c>
      <c r="D85" s="34">
        <v>50354330</v>
      </c>
      <c r="E85" s="34">
        <v>0</v>
      </c>
      <c r="F85" s="157">
        <v>0</v>
      </c>
    </row>
    <row r="86" spans="1:6" ht="24" x14ac:dyDescent="0.2">
      <c r="A86" s="35"/>
      <c r="B86" s="304" t="s">
        <v>259</v>
      </c>
      <c r="C86" s="308" t="s">
        <v>260</v>
      </c>
      <c r="D86" s="36">
        <v>0</v>
      </c>
      <c r="E86" s="36">
        <v>0</v>
      </c>
      <c r="F86" s="158">
        <v>0</v>
      </c>
    </row>
    <row r="87" spans="1:6" ht="36" x14ac:dyDescent="0.2">
      <c r="A87" s="35"/>
      <c r="B87" s="304" t="s">
        <v>261</v>
      </c>
      <c r="C87" s="308" t="s">
        <v>262</v>
      </c>
      <c r="D87" s="36">
        <v>0</v>
      </c>
      <c r="E87" s="36">
        <v>0</v>
      </c>
      <c r="F87" s="158">
        <v>0</v>
      </c>
    </row>
    <row r="88" spans="1:6" ht="24" x14ac:dyDescent="0.2">
      <c r="A88" s="35"/>
      <c r="B88" s="304" t="s">
        <v>263</v>
      </c>
      <c r="C88" s="308" t="s">
        <v>264</v>
      </c>
      <c r="D88" s="36">
        <v>354330</v>
      </c>
      <c r="E88" s="36">
        <v>0</v>
      </c>
      <c r="F88" s="158">
        <v>0</v>
      </c>
    </row>
    <row r="89" spans="1:6" ht="24" x14ac:dyDescent="0.2">
      <c r="A89" s="35"/>
      <c r="B89" s="304" t="s">
        <v>265</v>
      </c>
      <c r="C89" s="308" t="s">
        <v>266</v>
      </c>
      <c r="D89" s="36">
        <v>0</v>
      </c>
      <c r="E89" s="36">
        <v>0</v>
      </c>
      <c r="F89" s="158">
        <v>0</v>
      </c>
    </row>
    <row r="90" spans="1:6" ht="24" x14ac:dyDescent="0.2">
      <c r="A90" s="33"/>
      <c r="B90" s="303" t="s">
        <v>257</v>
      </c>
      <c r="C90" s="307" t="s">
        <v>267</v>
      </c>
      <c r="D90" s="34">
        <v>50000000</v>
      </c>
      <c r="E90" s="34">
        <v>0</v>
      </c>
      <c r="F90" s="157">
        <v>0</v>
      </c>
    </row>
    <row r="91" spans="1:6" ht="24" x14ac:dyDescent="0.2">
      <c r="A91" s="33"/>
      <c r="B91" s="303" t="s">
        <v>268</v>
      </c>
      <c r="C91" s="307" t="s">
        <v>269</v>
      </c>
      <c r="D91" s="34">
        <v>50000000</v>
      </c>
      <c r="E91" s="34">
        <v>0</v>
      </c>
      <c r="F91" s="157">
        <v>0</v>
      </c>
    </row>
    <row r="92" spans="1:6" ht="24" x14ac:dyDescent="0.2">
      <c r="A92" s="33"/>
      <c r="B92" s="303" t="s">
        <v>270</v>
      </c>
      <c r="C92" s="307" t="s">
        <v>271</v>
      </c>
      <c r="D92" s="34">
        <v>0</v>
      </c>
      <c r="E92" s="34">
        <v>0</v>
      </c>
      <c r="F92" s="157">
        <v>0</v>
      </c>
    </row>
    <row r="93" spans="1:6" ht="24" x14ac:dyDescent="0.2">
      <c r="A93" s="33"/>
      <c r="B93" s="303" t="s">
        <v>272</v>
      </c>
      <c r="C93" s="307" t="s">
        <v>273</v>
      </c>
      <c r="D93" s="34">
        <v>0</v>
      </c>
      <c r="E93" s="34">
        <v>0</v>
      </c>
      <c r="F93" s="157">
        <v>0</v>
      </c>
    </row>
    <row r="94" spans="1:6" ht="24" x14ac:dyDescent="0.2">
      <c r="A94" s="33"/>
      <c r="B94" s="303" t="s">
        <v>274</v>
      </c>
      <c r="C94" s="307" t="s">
        <v>275</v>
      </c>
      <c r="D94" s="34">
        <v>0</v>
      </c>
      <c r="E94" s="34">
        <v>0</v>
      </c>
      <c r="F94" s="157">
        <v>0</v>
      </c>
    </row>
    <row r="95" spans="1:6" ht="24" x14ac:dyDescent="0.2">
      <c r="A95" s="33"/>
      <c r="B95" s="303" t="s">
        <v>276</v>
      </c>
      <c r="C95" s="307" t="s">
        <v>277</v>
      </c>
      <c r="D95" s="34">
        <v>0</v>
      </c>
      <c r="E95" s="34">
        <v>0</v>
      </c>
      <c r="F95" s="157">
        <v>0</v>
      </c>
    </row>
    <row r="96" spans="1:6" ht="24" x14ac:dyDescent="0.2">
      <c r="A96" s="35"/>
      <c r="B96" s="304" t="s">
        <v>278</v>
      </c>
      <c r="C96" s="308" t="s">
        <v>279</v>
      </c>
      <c r="D96" s="36">
        <v>0</v>
      </c>
      <c r="E96" s="36">
        <v>0</v>
      </c>
      <c r="F96" s="158">
        <v>0</v>
      </c>
    </row>
    <row r="97" spans="1:6" ht="24" x14ac:dyDescent="0.2">
      <c r="A97" s="35"/>
      <c r="B97" s="304" t="s">
        <v>280</v>
      </c>
      <c r="C97" s="308" t="s">
        <v>281</v>
      </c>
      <c r="D97" s="36">
        <v>0</v>
      </c>
      <c r="E97" s="36">
        <v>0</v>
      </c>
      <c r="F97" s="158">
        <v>0</v>
      </c>
    </row>
    <row r="98" spans="1:6" ht="24" x14ac:dyDescent="0.2">
      <c r="A98" s="31" t="s">
        <v>282</v>
      </c>
      <c r="B98" s="302" t="s">
        <v>283</v>
      </c>
      <c r="C98" s="306" t="s">
        <v>284</v>
      </c>
      <c r="D98" s="32">
        <v>98827707</v>
      </c>
      <c r="E98" s="32">
        <v>0</v>
      </c>
      <c r="F98" s="159">
        <v>0</v>
      </c>
    </row>
    <row r="99" spans="1:6" ht="24" x14ac:dyDescent="0.2">
      <c r="A99" s="31"/>
      <c r="B99" s="302" t="s">
        <v>285</v>
      </c>
      <c r="C99" s="306" t="s">
        <v>286</v>
      </c>
      <c r="D99" s="32">
        <v>111106113893</v>
      </c>
      <c r="E99" s="32">
        <v>0</v>
      </c>
      <c r="F99" s="159">
        <v>0</v>
      </c>
    </row>
    <row r="100" spans="1:6" ht="24" x14ac:dyDescent="0.2">
      <c r="A100" s="31"/>
      <c r="B100" s="302" t="s">
        <v>287</v>
      </c>
      <c r="C100" s="306" t="s">
        <v>288</v>
      </c>
      <c r="D100" s="32">
        <v>10200000</v>
      </c>
      <c r="E100" s="32"/>
      <c r="F100" s="159"/>
    </row>
    <row r="101" spans="1:6" ht="24" x14ac:dyDescent="0.2">
      <c r="A101" s="37"/>
      <c r="B101" s="305" t="s">
        <v>289</v>
      </c>
      <c r="C101" s="129" t="s">
        <v>290</v>
      </c>
      <c r="D101" s="319">
        <v>10892.75</v>
      </c>
      <c r="E101" s="38">
        <v>0</v>
      </c>
      <c r="F101" s="160">
        <v>0</v>
      </c>
    </row>
    <row r="102" spans="1:6" ht="8.25" customHeight="1" x14ac:dyDescent="0.2">
      <c r="A102" s="165"/>
      <c r="B102" s="165"/>
      <c r="C102" s="165"/>
      <c r="D102" s="165"/>
      <c r="E102" s="165"/>
      <c r="F102" s="27"/>
    </row>
    <row r="103" spans="1:6" ht="27" customHeight="1" x14ac:dyDescent="0.2">
      <c r="A103" s="370" t="s">
        <v>291</v>
      </c>
      <c r="B103" s="370"/>
      <c r="C103" s="370"/>
      <c r="D103" s="370"/>
      <c r="E103" s="370"/>
      <c r="F103" s="370"/>
    </row>
    <row r="104" spans="1:6" ht="6.75" customHeight="1" x14ac:dyDescent="0.2">
      <c r="A104" s="45"/>
      <c r="B104" s="45"/>
      <c r="C104" s="45"/>
      <c r="D104" s="45"/>
      <c r="E104" s="45"/>
      <c r="F104" s="27"/>
    </row>
    <row r="105" spans="1:6" ht="14.25" customHeight="1" x14ac:dyDescent="0.2">
      <c r="A105" s="371" t="s">
        <v>13</v>
      </c>
      <c r="B105" s="371"/>
      <c r="C105" s="371" t="s">
        <v>91</v>
      </c>
      <c r="D105" s="371"/>
      <c r="E105" s="371"/>
      <c r="F105" s="371"/>
    </row>
    <row r="106" spans="1:6" ht="14.25" customHeight="1" x14ac:dyDescent="0.2">
      <c r="A106" s="372" t="s">
        <v>15</v>
      </c>
      <c r="B106" s="372"/>
      <c r="C106" s="372" t="s">
        <v>16</v>
      </c>
      <c r="D106" s="372"/>
      <c r="E106" s="372"/>
      <c r="F106" s="372"/>
    </row>
    <row r="107" spans="1:6" ht="14.25" customHeight="1" x14ac:dyDescent="0.2">
      <c r="A107" s="39"/>
      <c r="B107" s="39"/>
      <c r="C107" s="368"/>
      <c r="D107" s="368"/>
      <c r="E107" s="368"/>
      <c r="F107" s="368"/>
    </row>
    <row r="108" spans="1:6" ht="21.75" customHeight="1" x14ac:dyDescent="0.2">
      <c r="A108" s="164"/>
      <c r="B108" s="164"/>
      <c r="C108" s="368"/>
      <c r="D108" s="368"/>
      <c r="E108" s="368"/>
      <c r="F108" s="368"/>
    </row>
    <row r="109" spans="1:6" ht="15.75" customHeight="1" x14ac:dyDescent="0.2">
      <c r="A109" s="45"/>
      <c r="B109" s="45"/>
      <c r="C109" s="368"/>
      <c r="D109" s="368"/>
      <c r="E109" s="368"/>
      <c r="F109" s="368"/>
    </row>
    <row r="110" spans="1:6" ht="15.75" customHeight="1" x14ac:dyDescent="0.2">
      <c r="A110" s="371" t="s">
        <v>292</v>
      </c>
      <c r="B110" s="371"/>
      <c r="C110" s="373" t="s">
        <v>293</v>
      </c>
      <c r="D110" s="373"/>
      <c r="E110" s="373"/>
      <c r="F110" s="373"/>
    </row>
  </sheetData>
  <mergeCells count="24">
    <mergeCell ref="A16:F16"/>
    <mergeCell ref="A103:F103"/>
    <mergeCell ref="A105:B105"/>
    <mergeCell ref="A106:B106"/>
    <mergeCell ref="C110:F110"/>
    <mergeCell ref="A110:B110"/>
    <mergeCell ref="C105:F105"/>
    <mergeCell ref="C106:F106"/>
    <mergeCell ref="C107:F107"/>
    <mergeCell ref="C108:F108"/>
    <mergeCell ref="C109:F109"/>
    <mergeCell ref="C1:F1"/>
    <mergeCell ref="A2:F2"/>
    <mergeCell ref="A4:F4"/>
    <mergeCell ref="A3:F3"/>
    <mergeCell ref="A15:F15"/>
    <mergeCell ref="C6:F6"/>
    <mergeCell ref="C7:F7"/>
    <mergeCell ref="C8:F8"/>
    <mergeCell ref="C9:F9"/>
    <mergeCell ref="C10:F10"/>
    <mergeCell ref="C11:F11"/>
    <mergeCell ref="C12:F12"/>
    <mergeCell ref="C13:F13"/>
  </mergeCells>
  <printOptions horizontalCentered="1"/>
  <pageMargins left="0" right="0" top="0.59" bottom="0.59" header="0.5" footer="0.5"/>
  <pageSetup paperSize="9" scale="9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92"/>
  <sheetViews>
    <sheetView showGridLines="0" showZeros="0" showOutlineSymbols="0" view="pageBreakPreview" zoomScaleNormal="100" zoomScaleSheetLayoutView="100" workbookViewId="0"/>
  </sheetViews>
  <sheetFormatPr defaultRowHeight="12" x14ac:dyDescent="0.2"/>
  <cols>
    <col min="1" max="1" width="4.5703125" style="177" customWidth="1"/>
    <col min="2" max="2" width="35.5703125" style="28" customWidth="1"/>
    <col min="3" max="3" width="10" style="28" customWidth="1"/>
    <col min="4" max="6" width="18.140625" style="28" customWidth="1"/>
    <col min="7" max="7" width="12.5703125" style="28" bestFit="1" customWidth="1"/>
    <col min="8" max="8" width="11.7109375" style="28" bestFit="1" customWidth="1"/>
    <col min="9" max="9" width="9.5703125" style="28" bestFit="1" customWidth="1"/>
    <col min="10" max="16384" width="9.140625" style="28"/>
  </cols>
  <sheetData>
    <row r="1" spans="1:7" ht="51.75" customHeight="1" x14ac:dyDescent="0.2">
      <c r="A1" s="39"/>
      <c r="B1" s="27"/>
      <c r="C1" s="377" t="s">
        <v>294</v>
      </c>
      <c r="D1" s="377"/>
      <c r="E1" s="377"/>
      <c r="F1" s="377"/>
      <c r="G1" s="42"/>
    </row>
    <row r="2" spans="1:7" ht="47.25" customHeight="1" x14ac:dyDescent="0.2">
      <c r="A2" s="375" t="s">
        <v>295</v>
      </c>
      <c r="B2" s="375"/>
      <c r="C2" s="375"/>
      <c r="D2" s="375"/>
      <c r="E2" s="375"/>
      <c r="F2" s="375"/>
    </row>
    <row r="3" spans="1:7" ht="29.25" customHeight="1" x14ac:dyDescent="0.2">
      <c r="A3" s="376" t="s">
        <v>96</v>
      </c>
      <c r="B3" s="376"/>
      <c r="C3" s="376"/>
      <c r="D3" s="376"/>
      <c r="E3" s="376"/>
      <c r="F3" s="376"/>
    </row>
    <row r="4" spans="1:7" ht="13.5" customHeight="1" x14ac:dyDescent="0.2">
      <c r="A4" s="372" t="s">
        <v>442</v>
      </c>
      <c r="B4" s="372"/>
      <c r="C4" s="372"/>
      <c r="D4" s="372"/>
      <c r="E4" s="372"/>
      <c r="F4" s="372"/>
    </row>
    <row r="5" spans="1:7" ht="9.75" customHeight="1" x14ac:dyDescent="0.2">
      <c r="A5" s="39"/>
      <c r="B5" s="27"/>
      <c r="C5" s="27"/>
      <c r="D5" s="27"/>
      <c r="E5" s="27"/>
      <c r="F5" s="27"/>
    </row>
    <row r="6" spans="1:7" ht="18" customHeight="1" x14ac:dyDescent="0.2">
      <c r="A6" s="48" t="s">
        <v>98</v>
      </c>
      <c r="B6" s="44" t="s">
        <v>99</v>
      </c>
      <c r="C6" s="47" t="s">
        <v>100</v>
      </c>
      <c r="D6" s="47"/>
      <c r="E6" s="47"/>
      <c r="F6" s="47"/>
    </row>
    <row r="7" spans="1:7" ht="15.75" customHeight="1" x14ac:dyDescent="0.2">
      <c r="A7" s="39"/>
      <c r="B7" s="45" t="s">
        <v>4</v>
      </c>
      <c r="C7" s="45" t="s">
        <v>5</v>
      </c>
      <c r="D7" s="45"/>
      <c r="E7" s="45"/>
      <c r="F7" s="45"/>
    </row>
    <row r="8" spans="1:7" ht="15.75" customHeight="1" x14ac:dyDescent="0.2">
      <c r="A8" s="48" t="s">
        <v>101</v>
      </c>
      <c r="B8" s="44" t="s">
        <v>297</v>
      </c>
      <c r="C8" s="47" t="s">
        <v>103</v>
      </c>
      <c r="D8" s="47"/>
      <c r="E8" s="47"/>
      <c r="F8" s="47"/>
    </row>
    <row r="9" spans="1:7" ht="15.75" customHeight="1" x14ac:dyDescent="0.2">
      <c r="A9" s="39"/>
      <c r="B9" s="45" t="s">
        <v>298</v>
      </c>
      <c r="C9" s="45" t="s">
        <v>45</v>
      </c>
      <c r="D9" s="45"/>
      <c r="E9" s="45"/>
      <c r="F9" s="45"/>
    </row>
    <row r="10" spans="1:7" ht="15.75" customHeight="1" x14ac:dyDescent="0.2">
      <c r="A10" s="48" t="s">
        <v>79</v>
      </c>
      <c r="B10" s="44" t="s">
        <v>8</v>
      </c>
      <c r="C10" s="47" t="s">
        <v>104</v>
      </c>
      <c r="D10" s="47"/>
      <c r="E10" s="47"/>
      <c r="F10" s="47"/>
    </row>
    <row r="11" spans="1:7" ht="15.75" customHeight="1" x14ac:dyDescent="0.2">
      <c r="A11" s="39"/>
      <c r="B11" s="45" t="s">
        <v>299</v>
      </c>
      <c r="C11" s="45" t="s">
        <v>105</v>
      </c>
      <c r="D11" s="45"/>
      <c r="E11" s="45"/>
      <c r="F11" s="45"/>
    </row>
    <row r="12" spans="1:7" ht="15.75" customHeight="1" x14ac:dyDescent="0.2">
      <c r="A12" s="48" t="s">
        <v>85</v>
      </c>
      <c r="B12" s="44" t="s">
        <v>10</v>
      </c>
      <c r="C12" s="47" t="s">
        <v>106</v>
      </c>
      <c r="D12" s="47"/>
      <c r="E12" s="47"/>
      <c r="F12" s="47"/>
    </row>
    <row r="13" spans="1:7" ht="15.75" customHeight="1" x14ac:dyDescent="0.2">
      <c r="A13" s="39"/>
      <c r="B13" s="45" t="s">
        <v>11</v>
      </c>
      <c r="C13" s="45" t="s">
        <v>107</v>
      </c>
      <c r="D13" s="45"/>
      <c r="E13" s="45"/>
      <c r="F13" s="45"/>
    </row>
    <row r="14" spans="1:7" ht="14.25" customHeight="1" x14ac:dyDescent="0.2">
      <c r="A14" s="39"/>
      <c r="B14" s="27"/>
      <c r="C14" s="27"/>
      <c r="D14" s="27"/>
      <c r="E14" s="374"/>
      <c r="F14" s="374"/>
    </row>
    <row r="15" spans="1:7" ht="23.25" customHeight="1" x14ac:dyDescent="0.2">
      <c r="A15" s="366" t="s">
        <v>108</v>
      </c>
      <c r="B15" s="366"/>
      <c r="C15" s="366"/>
      <c r="D15" s="366"/>
      <c r="E15" s="366"/>
      <c r="F15" s="366"/>
    </row>
    <row r="16" spans="1:7" ht="15.75" customHeight="1" x14ac:dyDescent="0.2">
      <c r="A16" s="367" t="s">
        <v>300</v>
      </c>
      <c r="B16" s="367"/>
      <c r="C16" s="367"/>
      <c r="D16" s="367"/>
      <c r="E16" s="367"/>
      <c r="F16" s="367"/>
    </row>
    <row r="17" spans="1:6" ht="15.75" customHeight="1" x14ac:dyDescent="0.2">
      <c r="B17" s="154"/>
      <c r="C17" s="154"/>
      <c r="D17" s="154"/>
      <c r="E17" s="154"/>
      <c r="F17" s="102" t="s">
        <v>110</v>
      </c>
    </row>
    <row r="18" spans="1:6" s="177" customFormat="1" ht="48" x14ac:dyDescent="0.2">
      <c r="A18" s="176" t="s">
        <v>111</v>
      </c>
      <c r="B18" s="104" t="s">
        <v>112</v>
      </c>
      <c r="C18" s="104" t="s">
        <v>113</v>
      </c>
      <c r="D18" s="30" t="s">
        <v>547</v>
      </c>
      <c r="E18" s="30" t="s">
        <v>548</v>
      </c>
      <c r="F18" s="51" t="s">
        <v>301</v>
      </c>
    </row>
    <row r="19" spans="1:6" ht="25.5" customHeight="1" x14ac:dyDescent="0.2">
      <c r="A19" s="178" t="s">
        <v>69</v>
      </c>
      <c r="B19" s="171" t="s">
        <v>302</v>
      </c>
      <c r="C19" s="166" t="s">
        <v>303</v>
      </c>
      <c r="D19" s="52">
        <v>154020000</v>
      </c>
      <c r="E19" s="52">
        <v>0</v>
      </c>
      <c r="F19" s="53">
        <v>154020000</v>
      </c>
    </row>
    <row r="20" spans="1:6" ht="25.5" customHeight="1" x14ac:dyDescent="0.2">
      <c r="A20" s="179" t="s">
        <v>98</v>
      </c>
      <c r="B20" s="172" t="s">
        <v>304</v>
      </c>
      <c r="C20" s="167" t="s">
        <v>305</v>
      </c>
      <c r="D20" s="54">
        <v>154020000</v>
      </c>
      <c r="E20" s="54">
        <v>0</v>
      </c>
      <c r="F20" s="55">
        <v>154020000</v>
      </c>
    </row>
    <row r="21" spans="1:6" ht="25.5" customHeight="1" x14ac:dyDescent="0.2">
      <c r="A21" s="180"/>
      <c r="B21" s="173" t="s">
        <v>306</v>
      </c>
      <c r="C21" s="168" t="s">
        <v>307</v>
      </c>
      <c r="D21" s="56">
        <v>154020000</v>
      </c>
      <c r="E21" s="56">
        <v>0</v>
      </c>
      <c r="F21" s="57">
        <v>154020000</v>
      </c>
    </row>
    <row r="22" spans="1:6" ht="25.5" customHeight="1" x14ac:dyDescent="0.2">
      <c r="A22" s="180"/>
      <c r="B22" s="173" t="s">
        <v>308</v>
      </c>
      <c r="C22" s="168" t="s">
        <v>309</v>
      </c>
      <c r="D22" s="56">
        <v>0</v>
      </c>
      <c r="E22" s="56">
        <v>0</v>
      </c>
      <c r="F22" s="57">
        <v>0</v>
      </c>
    </row>
    <row r="23" spans="1:6" ht="25.5" customHeight="1" x14ac:dyDescent="0.2">
      <c r="A23" s="179" t="s">
        <v>101</v>
      </c>
      <c r="B23" s="172" t="s">
        <v>310</v>
      </c>
      <c r="C23" s="167" t="s">
        <v>311</v>
      </c>
      <c r="D23" s="54">
        <v>0</v>
      </c>
      <c r="E23" s="54">
        <v>0</v>
      </c>
      <c r="F23" s="55">
        <v>0</v>
      </c>
    </row>
    <row r="24" spans="1:6" ht="25.5" customHeight="1" x14ac:dyDescent="0.2">
      <c r="A24" s="180"/>
      <c r="B24" s="173" t="s">
        <v>312</v>
      </c>
      <c r="C24" s="168" t="s">
        <v>313</v>
      </c>
      <c r="D24" s="56">
        <v>0</v>
      </c>
      <c r="E24" s="56">
        <v>0</v>
      </c>
      <c r="F24" s="57">
        <v>0</v>
      </c>
    </row>
    <row r="25" spans="1:6" ht="25.5" customHeight="1" x14ac:dyDescent="0.2">
      <c r="A25" s="180"/>
      <c r="B25" s="173" t="s">
        <v>314</v>
      </c>
      <c r="C25" s="168" t="s">
        <v>315</v>
      </c>
      <c r="D25" s="56">
        <v>0</v>
      </c>
      <c r="E25" s="56">
        <v>0</v>
      </c>
      <c r="F25" s="57">
        <v>0</v>
      </c>
    </row>
    <row r="26" spans="1:6" ht="25.5" customHeight="1" x14ac:dyDescent="0.2">
      <c r="A26" s="179" t="s">
        <v>79</v>
      </c>
      <c r="B26" s="172" t="s">
        <v>316</v>
      </c>
      <c r="C26" s="167" t="s">
        <v>317</v>
      </c>
      <c r="D26" s="54">
        <v>0</v>
      </c>
      <c r="E26" s="54">
        <v>0</v>
      </c>
      <c r="F26" s="55">
        <v>0</v>
      </c>
    </row>
    <row r="27" spans="1:6" ht="25.5" customHeight="1" x14ac:dyDescent="0.2">
      <c r="A27" s="180"/>
      <c r="B27" s="173" t="s">
        <v>318</v>
      </c>
      <c r="C27" s="168" t="s">
        <v>319</v>
      </c>
      <c r="D27" s="56">
        <v>0</v>
      </c>
      <c r="E27" s="56">
        <v>0</v>
      </c>
      <c r="F27" s="57">
        <v>0</v>
      </c>
    </row>
    <row r="28" spans="1:6" ht="25.5" customHeight="1" x14ac:dyDescent="0.2">
      <c r="A28" s="180"/>
      <c r="B28" s="173" t="s">
        <v>320</v>
      </c>
      <c r="C28" s="168" t="s">
        <v>321</v>
      </c>
      <c r="D28" s="56">
        <v>0</v>
      </c>
      <c r="E28" s="56">
        <v>0</v>
      </c>
      <c r="F28" s="57">
        <v>0</v>
      </c>
    </row>
    <row r="29" spans="1:6" ht="73.5" customHeight="1" x14ac:dyDescent="0.2">
      <c r="A29" s="180"/>
      <c r="B29" s="173" t="s">
        <v>322</v>
      </c>
      <c r="C29" s="168" t="s">
        <v>323</v>
      </c>
      <c r="D29" s="56">
        <v>0</v>
      </c>
      <c r="E29" s="56">
        <v>0</v>
      </c>
      <c r="F29" s="57">
        <v>0</v>
      </c>
    </row>
    <row r="30" spans="1:6" ht="25.5" customHeight="1" x14ac:dyDescent="0.2">
      <c r="A30" s="181" t="s">
        <v>74</v>
      </c>
      <c r="B30" s="174" t="s">
        <v>324</v>
      </c>
      <c r="C30" s="169" t="s">
        <v>325</v>
      </c>
      <c r="D30" s="52">
        <v>98827707</v>
      </c>
      <c r="E30" s="52">
        <v>0</v>
      </c>
      <c r="F30" s="53">
        <v>98827707</v>
      </c>
    </row>
    <row r="31" spans="1:6" ht="36" customHeight="1" x14ac:dyDescent="0.2">
      <c r="A31" s="179" t="s">
        <v>98</v>
      </c>
      <c r="B31" s="172" t="s">
        <v>326</v>
      </c>
      <c r="C31" s="167" t="s">
        <v>327</v>
      </c>
      <c r="D31" s="54">
        <v>21820213</v>
      </c>
      <c r="E31" s="54">
        <v>0</v>
      </c>
      <c r="F31" s="55">
        <v>21820213</v>
      </c>
    </row>
    <row r="32" spans="1:6" ht="47.25" customHeight="1" x14ac:dyDescent="0.2">
      <c r="A32" s="179" t="s">
        <v>101</v>
      </c>
      <c r="B32" s="172" t="s">
        <v>328</v>
      </c>
      <c r="C32" s="167" t="s">
        <v>329</v>
      </c>
      <c r="D32" s="54">
        <v>8750000</v>
      </c>
      <c r="E32" s="54">
        <v>0</v>
      </c>
      <c r="F32" s="55">
        <v>8750000</v>
      </c>
    </row>
    <row r="33" spans="1:10" ht="25.5" customHeight="1" x14ac:dyDescent="0.2">
      <c r="A33" s="180"/>
      <c r="B33" s="173" t="s">
        <v>330</v>
      </c>
      <c r="C33" s="168" t="s">
        <v>331</v>
      </c>
      <c r="D33" s="56">
        <v>3000000</v>
      </c>
      <c r="E33" s="56">
        <v>0</v>
      </c>
      <c r="F33" s="57">
        <v>3000000</v>
      </c>
      <c r="J33" s="314"/>
    </row>
    <row r="34" spans="1:10" ht="36" customHeight="1" x14ac:dyDescent="0.2">
      <c r="A34" s="180"/>
      <c r="B34" s="173" t="s">
        <v>332</v>
      </c>
      <c r="C34" s="168" t="s">
        <v>333</v>
      </c>
      <c r="D34" s="56">
        <v>800000</v>
      </c>
      <c r="E34" s="56">
        <v>0</v>
      </c>
      <c r="F34" s="57">
        <v>800000</v>
      </c>
      <c r="J34" s="314"/>
    </row>
    <row r="35" spans="1:10" ht="25.5" customHeight="1" x14ac:dyDescent="0.2">
      <c r="A35" s="180"/>
      <c r="B35" s="173" t="s">
        <v>241</v>
      </c>
      <c r="C35" s="168" t="s">
        <v>334</v>
      </c>
      <c r="D35" s="56">
        <v>0</v>
      </c>
      <c r="E35" s="56">
        <v>0</v>
      </c>
      <c r="F35" s="57">
        <v>0</v>
      </c>
      <c r="J35" s="314"/>
    </row>
    <row r="36" spans="1:10" ht="25.5" customHeight="1" x14ac:dyDescent="0.2">
      <c r="A36" s="180"/>
      <c r="B36" s="173" t="s">
        <v>335</v>
      </c>
      <c r="C36" s="168" t="s">
        <v>336</v>
      </c>
      <c r="D36" s="56">
        <v>4950000</v>
      </c>
      <c r="E36" s="56">
        <v>0</v>
      </c>
      <c r="F36" s="57">
        <v>4950000</v>
      </c>
    </row>
    <row r="37" spans="1:10" ht="69.75" customHeight="1" x14ac:dyDescent="0.2">
      <c r="A37" s="180"/>
      <c r="B37" s="173" t="s">
        <v>243</v>
      </c>
      <c r="C37" s="168" t="s">
        <v>337</v>
      </c>
      <c r="D37" s="56">
        <v>0</v>
      </c>
      <c r="E37" s="56">
        <v>0</v>
      </c>
      <c r="F37" s="57">
        <v>0</v>
      </c>
    </row>
    <row r="38" spans="1:10" ht="63" customHeight="1" x14ac:dyDescent="0.2">
      <c r="A38" s="179" t="s">
        <v>79</v>
      </c>
      <c r="B38" s="172" t="s">
        <v>338</v>
      </c>
      <c r="C38" s="167" t="s">
        <v>339</v>
      </c>
      <c r="D38" s="54">
        <v>10851639</v>
      </c>
      <c r="E38" s="54">
        <v>0</v>
      </c>
      <c r="F38" s="55">
        <v>10851639</v>
      </c>
    </row>
    <row r="39" spans="1:10" ht="25.5" customHeight="1" x14ac:dyDescent="0.2">
      <c r="A39" s="180"/>
      <c r="B39" s="173" t="s">
        <v>340</v>
      </c>
      <c r="C39" s="168" t="s">
        <v>341</v>
      </c>
      <c r="D39" s="56">
        <v>4950000</v>
      </c>
      <c r="E39" s="56">
        <v>0</v>
      </c>
      <c r="F39" s="57">
        <v>4950000</v>
      </c>
    </row>
    <row r="40" spans="1:10" ht="25.5" customHeight="1" x14ac:dyDescent="0.2">
      <c r="A40" s="180"/>
      <c r="B40" s="173" t="s">
        <v>342</v>
      </c>
      <c r="C40" s="168" t="s">
        <v>343</v>
      </c>
      <c r="D40" s="56">
        <v>0</v>
      </c>
      <c r="E40" s="56">
        <v>0</v>
      </c>
      <c r="F40" s="57">
        <v>0</v>
      </c>
    </row>
    <row r="41" spans="1:10" ht="38.25" customHeight="1" x14ac:dyDescent="0.2">
      <c r="A41" s="180"/>
      <c r="B41" s="173" t="s">
        <v>344</v>
      </c>
      <c r="C41" s="168" t="s">
        <v>345</v>
      </c>
      <c r="D41" s="56">
        <v>0</v>
      </c>
      <c r="E41" s="56">
        <v>0</v>
      </c>
      <c r="F41" s="57">
        <v>0</v>
      </c>
    </row>
    <row r="42" spans="1:10" ht="25.5" customHeight="1" x14ac:dyDescent="0.2">
      <c r="A42" s="180"/>
      <c r="B42" s="173" t="s">
        <v>346</v>
      </c>
      <c r="C42" s="168" t="s">
        <v>347</v>
      </c>
      <c r="D42" s="56">
        <v>5901639</v>
      </c>
      <c r="E42" s="56">
        <v>0</v>
      </c>
      <c r="F42" s="57">
        <v>5901639</v>
      </c>
    </row>
    <row r="43" spans="1:10" ht="27.75" customHeight="1" x14ac:dyDescent="0.2">
      <c r="A43" s="179" t="s">
        <v>85</v>
      </c>
      <c r="B43" s="172" t="s">
        <v>348</v>
      </c>
      <c r="C43" s="167" t="s">
        <v>349</v>
      </c>
      <c r="D43" s="54">
        <v>0</v>
      </c>
      <c r="E43" s="54">
        <v>0</v>
      </c>
      <c r="F43" s="55">
        <v>0</v>
      </c>
    </row>
    <row r="44" spans="1:10" ht="72.75" customHeight="1" x14ac:dyDescent="0.2">
      <c r="A44" s="179" t="s">
        <v>350</v>
      </c>
      <c r="B44" s="172" t="s">
        <v>351</v>
      </c>
      <c r="C44" s="167" t="s">
        <v>352</v>
      </c>
      <c r="D44" s="54">
        <v>0</v>
      </c>
      <c r="E44" s="54">
        <v>0</v>
      </c>
      <c r="F44" s="55">
        <v>0</v>
      </c>
    </row>
    <row r="45" spans="1:10" ht="24" customHeight="1" x14ac:dyDescent="0.2">
      <c r="A45" s="180"/>
      <c r="B45" s="173" t="s">
        <v>353</v>
      </c>
      <c r="C45" s="168" t="s">
        <v>354</v>
      </c>
      <c r="D45" s="56">
        <v>0</v>
      </c>
      <c r="E45" s="56">
        <v>0</v>
      </c>
      <c r="F45" s="57">
        <v>0</v>
      </c>
    </row>
    <row r="46" spans="1:10" ht="25.5" customHeight="1" x14ac:dyDescent="0.2">
      <c r="A46" s="180"/>
      <c r="B46" s="173" t="s">
        <v>355</v>
      </c>
      <c r="C46" s="168" t="s">
        <v>356</v>
      </c>
      <c r="D46" s="56">
        <v>0</v>
      </c>
      <c r="E46" s="56">
        <v>0</v>
      </c>
      <c r="F46" s="57">
        <v>0</v>
      </c>
    </row>
    <row r="47" spans="1:10" ht="25.5" customHeight="1" x14ac:dyDescent="0.2">
      <c r="A47" s="180"/>
      <c r="B47" s="173" t="s">
        <v>357</v>
      </c>
      <c r="C47" s="168" t="s">
        <v>358</v>
      </c>
      <c r="D47" s="56">
        <v>0</v>
      </c>
      <c r="E47" s="56">
        <v>0</v>
      </c>
      <c r="F47" s="57">
        <v>0</v>
      </c>
    </row>
    <row r="48" spans="1:10" ht="134.25" customHeight="1" x14ac:dyDescent="0.2">
      <c r="A48" s="179" t="s">
        <v>359</v>
      </c>
      <c r="B48" s="172" t="s">
        <v>360</v>
      </c>
      <c r="C48" s="167" t="s">
        <v>361</v>
      </c>
      <c r="D48" s="54">
        <v>0</v>
      </c>
      <c r="E48" s="54">
        <v>0</v>
      </c>
      <c r="F48" s="55">
        <v>0</v>
      </c>
    </row>
    <row r="49" spans="1:6" ht="25.5" customHeight="1" x14ac:dyDescent="0.2">
      <c r="A49" s="180"/>
      <c r="B49" s="173" t="s">
        <v>362</v>
      </c>
      <c r="C49" s="168" t="s">
        <v>363</v>
      </c>
      <c r="D49" s="56">
        <v>0</v>
      </c>
      <c r="E49" s="56">
        <v>0</v>
      </c>
      <c r="F49" s="57">
        <v>0</v>
      </c>
    </row>
    <row r="50" spans="1:6" ht="25.5" customHeight="1" x14ac:dyDescent="0.2">
      <c r="A50" s="180"/>
      <c r="B50" s="173" t="s">
        <v>364</v>
      </c>
      <c r="C50" s="168" t="s">
        <v>365</v>
      </c>
      <c r="D50" s="56">
        <v>0</v>
      </c>
      <c r="E50" s="56">
        <v>0</v>
      </c>
      <c r="F50" s="57">
        <v>0</v>
      </c>
    </row>
    <row r="51" spans="1:6" ht="36" customHeight="1" x14ac:dyDescent="0.2">
      <c r="A51" s="180"/>
      <c r="B51" s="173" t="s">
        <v>366</v>
      </c>
      <c r="C51" s="168" t="s">
        <v>367</v>
      </c>
      <c r="D51" s="56">
        <v>0</v>
      </c>
      <c r="E51" s="56">
        <v>0</v>
      </c>
      <c r="F51" s="57">
        <v>0</v>
      </c>
    </row>
    <row r="52" spans="1:6" ht="27" customHeight="1" x14ac:dyDescent="0.2">
      <c r="A52" s="180"/>
      <c r="B52" s="173" t="s">
        <v>368</v>
      </c>
      <c r="C52" s="168" t="s">
        <v>369</v>
      </c>
      <c r="D52" s="56">
        <v>0</v>
      </c>
      <c r="E52" s="56">
        <v>0</v>
      </c>
      <c r="F52" s="57">
        <v>0</v>
      </c>
    </row>
    <row r="53" spans="1:6" ht="25.5" customHeight="1" x14ac:dyDescent="0.2">
      <c r="A53" s="180"/>
      <c r="B53" s="173" t="s">
        <v>370</v>
      </c>
      <c r="C53" s="168" t="s">
        <v>371</v>
      </c>
      <c r="D53" s="56">
        <v>0</v>
      </c>
      <c r="E53" s="56">
        <v>0</v>
      </c>
      <c r="F53" s="57">
        <v>0</v>
      </c>
    </row>
    <row r="54" spans="1:6" ht="47.25" customHeight="1" x14ac:dyDescent="0.2">
      <c r="A54" s="179" t="s">
        <v>372</v>
      </c>
      <c r="B54" s="172" t="s">
        <v>373</v>
      </c>
      <c r="C54" s="167" t="s">
        <v>374</v>
      </c>
      <c r="D54" s="54">
        <v>7051525</v>
      </c>
      <c r="E54" s="54">
        <v>0</v>
      </c>
      <c r="F54" s="55">
        <v>7051525</v>
      </c>
    </row>
    <row r="55" spans="1:6" ht="25.5" customHeight="1" x14ac:dyDescent="0.2">
      <c r="A55" s="180"/>
      <c r="B55" s="173" t="s">
        <v>375</v>
      </c>
      <c r="C55" s="168" t="s">
        <v>376</v>
      </c>
      <c r="D55" s="56">
        <v>7051525</v>
      </c>
      <c r="E55" s="56">
        <v>0</v>
      </c>
      <c r="F55" s="57">
        <v>7051525</v>
      </c>
    </row>
    <row r="56" spans="1:6" ht="25.5" customHeight="1" x14ac:dyDescent="0.2">
      <c r="A56" s="180"/>
      <c r="B56" s="173" t="s">
        <v>377</v>
      </c>
      <c r="C56" s="168" t="s">
        <v>378</v>
      </c>
      <c r="D56" s="56">
        <v>0</v>
      </c>
      <c r="E56" s="56">
        <v>0</v>
      </c>
      <c r="F56" s="57">
        <v>0</v>
      </c>
    </row>
    <row r="57" spans="1:6" ht="25.5" customHeight="1" x14ac:dyDescent="0.2">
      <c r="A57" s="179" t="s">
        <v>379</v>
      </c>
      <c r="B57" s="172" t="s">
        <v>380</v>
      </c>
      <c r="C57" s="167" t="s">
        <v>381</v>
      </c>
      <c r="D57" s="54">
        <v>50354330</v>
      </c>
      <c r="E57" s="54">
        <v>0</v>
      </c>
      <c r="F57" s="55">
        <v>50354330</v>
      </c>
    </row>
    <row r="58" spans="1:6" ht="25.5" customHeight="1" x14ac:dyDescent="0.2">
      <c r="A58" s="180"/>
      <c r="B58" s="173" t="s">
        <v>382</v>
      </c>
      <c r="C58" s="168" t="s">
        <v>383</v>
      </c>
      <c r="D58" s="56">
        <v>50000000</v>
      </c>
      <c r="E58" s="56">
        <v>0</v>
      </c>
      <c r="F58" s="57">
        <v>50000000</v>
      </c>
    </row>
    <row r="59" spans="1:6" ht="25.5" customHeight="1" x14ac:dyDescent="0.2">
      <c r="A59" s="180"/>
      <c r="B59" s="173" t="s">
        <v>384</v>
      </c>
      <c r="C59" s="168" t="s">
        <v>385</v>
      </c>
      <c r="D59" s="56">
        <v>0</v>
      </c>
      <c r="E59" s="56">
        <v>0</v>
      </c>
      <c r="F59" s="57">
        <v>0</v>
      </c>
    </row>
    <row r="60" spans="1:6" ht="26.25" customHeight="1" x14ac:dyDescent="0.2">
      <c r="A60" s="180"/>
      <c r="B60" s="173" t="s">
        <v>386</v>
      </c>
      <c r="C60" s="168" t="s">
        <v>387</v>
      </c>
      <c r="D60" s="56">
        <v>354330</v>
      </c>
      <c r="E60" s="56">
        <v>0</v>
      </c>
      <c r="F60" s="57">
        <v>354330</v>
      </c>
    </row>
    <row r="61" spans="1:6" ht="25.5" customHeight="1" x14ac:dyDescent="0.2">
      <c r="A61" s="180"/>
      <c r="B61" s="173" t="s">
        <v>388</v>
      </c>
      <c r="C61" s="168" t="s">
        <v>389</v>
      </c>
      <c r="D61" s="56">
        <v>0</v>
      </c>
      <c r="E61" s="56">
        <v>0</v>
      </c>
      <c r="F61" s="57">
        <v>0</v>
      </c>
    </row>
    <row r="62" spans="1:6" ht="25.5" customHeight="1" x14ac:dyDescent="0.2">
      <c r="A62" s="180"/>
      <c r="B62" s="173" t="s">
        <v>390</v>
      </c>
      <c r="C62" s="168" t="s">
        <v>391</v>
      </c>
      <c r="D62" s="56">
        <v>0</v>
      </c>
      <c r="E62" s="56">
        <v>0</v>
      </c>
      <c r="F62" s="57">
        <v>0</v>
      </c>
    </row>
    <row r="63" spans="1:6" ht="25.5" customHeight="1" x14ac:dyDescent="0.2">
      <c r="A63" s="180"/>
      <c r="B63" s="173" t="s">
        <v>392</v>
      </c>
      <c r="C63" s="168" t="s">
        <v>393</v>
      </c>
      <c r="D63" s="56">
        <v>0</v>
      </c>
      <c r="E63" s="56">
        <v>0</v>
      </c>
      <c r="F63" s="57">
        <v>0</v>
      </c>
    </row>
    <row r="64" spans="1:6" ht="12" customHeight="1" x14ac:dyDescent="0.2">
      <c r="A64" s="180"/>
      <c r="B64" s="173" t="s">
        <v>394</v>
      </c>
      <c r="C64" s="168" t="s">
        <v>395</v>
      </c>
      <c r="D64" s="56">
        <v>0</v>
      </c>
      <c r="E64" s="56">
        <v>0</v>
      </c>
      <c r="F64" s="57">
        <v>0</v>
      </c>
    </row>
    <row r="65" spans="1:11" ht="25.5" customHeight="1" x14ac:dyDescent="0.2">
      <c r="A65" s="180"/>
      <c r="B65" s="173" t="s">
        <v>396</v>
      </c>
      <c r="C65" s="168" t="s">
        <v>397</v>
      </c>
      <c r="D65" s="56">
        <v>0</v>
      </c>
      <c r="E65" s="56">
        <v>0</v>
      </c>
      <c r="F65" s="57">
        <v>0</v>
      </c>
    </row>
    <row r="66" spans="1:11" ht="24.75" customHeight="1" x14ac:dyDescent="0.2">
      <c r="A66" s="181" t="s">
        <v>82</v>
      </c>
      <c r="B66" s="174" t="s">
        <v>398</v>
      </c>
      <c r="C66" s="169" t="s">
        <v>399</v>
      </c>
      <c r="D66" s="52">
        <v>55192293</v>
      </c>
      <c r="E66" s="52">
        <v>0</v>
      </c>
      <c r="F66" s="53">
        <v>55192293</v>
      </c>
    </row>
    <row r="67" spans="1:11" ht="24.75" customHeight="1" x14ac:dyDescent="0.2">
      <c r="A67" s="181" t="s">
        <v>52</v>
      </c>
      <c r="B67" s="174" t="s">
        <v>400</v>
      </c>
      <c r="C67" s="169" t="s">
        <v>401</v>
      </c>
      <c r="D67" s="52">
        <v>9050921600</v>
      </c>
      <c r="E67" s="52">
        <v>0</v>
      </c>
      <c r="F67" s="53">
        <v>9050921600</v>
      </c>
    </row>
    <row r="68" spans="1:11" ht="25.5" customHeight="1" x14ac:dyDescent="0.2">
      <c r="A68" s="179" t="s">
        <v>98</v>
      </c>
      <c r="B68" s="172" t="s">
        <v>402</v>
      </c>
      <c r="C68" s="167" t="s">
        <v>403</v>
      </c>
      <c r="D68" s="54">
        <v>327446000</v>
      </c>
      <c r="E68" s="54">
        <v>0</v>
      </c>
      <c r="F68" s="55">
        <v>327446000</v>
      </c>
      <c r="H68" s="314"/>
    </row>
    <row r="69" spans="1:11" ht="23.25" customHeight="1" x14ac:dyDescent="0.2">
      <c r="A69" s="180"/>
      <c r="B69" s="173" t="s">
        <v>404</v>
      </c>
      <c r="C69" s="168" t="s">
        <v>405</v>
      </c>
      <c r="D69" s="56">
        <v>327446000</v>
      </c>
      <c r="E69" s="56">
        <v>0</v>
      </c>
      <c r="F69" s="57">
        <v>327446000</v>
      </c>
      <c r="H69" s="314"/>
      <c r="I69" s="314"/>
      <c r="J69" s="314"/>
      <c r="K69" s="314"/>
    </row>
    <row r="70" spans="1:11" ht="34.5" customHeight="1" x14ac:dyDescent="0.2">
      <c r="A70" s="180"/>
      <c r="B70" s="173" t="s">
        <v>406</v>
      </c>
      <c r="C70" s="168" t="s">
        <v>407</v>
      </c>
      <c r="D70" s="56">
        <v>0</v>
      </c>
      <c r="E70" s="56">
        <v>0</v>
      </c>
      <c r="F70" s="57">
        <v>0</v>
      </c>
    </row>
    <row r="71" spans="1:11" ht="47.25" customHeight="1" x14ac:dyDescent="0.2">
      <c r="A71" s="180"/>
      <c r="B71" s="173" t="s">
        <v>408</v>
      </c>
      <c r="C71" s="168" t="s">
        <v>409</v>
      </c>
      <c r="D71" s="56">
        <v>0</v>
      </c>
      <c r="E71" s="56">
        <v>0</v>
      </c>
      <c r="F71" s="57">
        <v>0</v>
      </c>
    </row>
    <row r="72" spans="1:11" ht="24" customHeight="1" x14ac:dyDescent="0.2">
      <c r="A72" s="179" t="s">
        <v>101</v>
      </c>
      <c r="B72" s="172" t="s">
        <v>410</v>
      </c>
      <c r="C72" s="167" t="s">
        <v>411</v>
      </c>
      <c r="D72" s="54">
        <v>8723475600</v>
      </c>
      <c r="E72" s="54">
        <v>0</v>
      </c>
      <c r="F72" s="55">
        <v>8723475600</v>
      </c>
      <c r="G72" s="314"/>
      <c r="H72" s="314"/>
    </row>
    <row r="73" spans="1:11" ht="50.25" customHeight="1" x14ac:dyDescent="0.2">
      <c r="A73" s="181" t="s">
        <v>412</v>
      </c>
      <c r="B73" s="174" t="s">
        <v>413</v>
      </c>
      <c r="C73" s="169" t="s">
        <v>414</v>
      </c>
      <c r="D73" s="52">
        <v>9106113893</v>
      </c>
      <c r="E73" s="52">
        <v>0</v>
      </c>
      <c r="F73" s="53">
        <v>9106113893</v>
      </c>
      <c r="H73" s="314"/>
    </row>
    <row r="74" spans="1:11" ht="26.25" customHeight="1" x14ac:dyDescent="0.2">
      <c r="A74" s="181" t="s">
        <v>415</v>
      </c>
      <c r="B74" s="174" t="s">
        <v>416</v>
      </c>
      <c r="C74" s="169" t="s">
        <v>417</v>
      </c>
      <c r="D74" s="52">
        <v>0</v>
      </c>
      <c r="E74" s="52">
        <v>0</v>
      </c>
      <c r="F74" s="53">
        <v>0</v>
      </c>
    </row>
    <row r="75" spans="1:11" ht="36.75" customHeight="1" x14ac:dyDescent="0.2">
      <c r="A75" s="181" t="s">
        <v>418</v>
      </c>
      <c r="B75" s="174" t="s">
        <v>419</v>
      </c>
      <c r="C75" s="169" t="s">
        <v>420</v>
      </c>
      <c r="D75" s="52">
        <v>111106113893</v>
      </c>
      <c r="E75" s="52">
        <v>0</v>
      </c>
      <c r="F75" s="53">
        <v>111106113893</v>
      </c>
    </row>
    <row r="76" spans="1:11" ht="25.5" customHeight="1" x14ac:dyDescent="0.2">
      <c r="A76" s="179"/>
      <c r="B76" s="172" t="s">
        <v>421</v>
      </c>
      <c r="C76" s="167" t="s">
        <v>422</v>
      </c>
      <c r="D76" s="54">
        <v>0</v>
      </c>
      <c r="E76" s="54">
        <v>0</v>
      </c>
      <c r="F76" s="55">
        <v>0</v>
      </c>
      <c r="G76" s="315"/>
    </row>
    <row r="77" spans="1:11" ht="50.25" customHeight="1" x14ac:dyDescent="0.2">
      <c r="A77" s="179" t="s">
        <v>98</v>
      </c>
      <c r="B77" s="172" t="s">
        <v>423</v>
      </c>
      <c r="C77" s="167" t="s">
        <v>424</v>
      </c>
      <c r="D77" s="54">
        <v>9106113893</v>
      </c>
      <c r="E77" s="54">
        <v>0</v>
      </c>
      <c r="F77" s="55">
        <v>9106113893</v>
      </c>
      <c r="G77" s="315"/>
    </row>
    <row r="78" spans="1:11" ht="47.25" customHeight="1" x14ac:dyDescent="0.2">
      <c r="A78" s="179" t="s">
        <v>101</v>
      </c>
      <c r="B78" s="172" t="s">
        <v>425</v>
      </c>
      <c r="C78" s="167" t="s">
        <v>426</v>
      </c>
      <c r="D78" s="54">
        <v>102000000000</v>
      </c>
      <c r="E78" s="54">
        <v>0</v>
      </c>
      <c r="F78" s="55">
        <v>102000000000</v>
      </c>
    </row>
    <row r="79" spans="1:11" ht="49.5" customHeight="1" x14ac:dyDescent="0.2">
      <c r="A79" s="180"/>
      <c r="B79" s="173" t="s">
        <v>427</v>
      </c>
      <c r="C79" s="168" t="s">
        <v>428</v>
      </c>
      <c r="D79" s="56">
        <v>0</v>
      </c>
      <c r="E79" s="56">
        <v>0</v>
      </c>
      <c r="F79" s="57">
        <v>0</v>
      </c>
    </row>
    <row r="80" spans="1:11" ht="39" customHeight="1" x14ac:dyDescent="0.2">
      <c r="A80" s="180"/>
      <c r="B80" s="173" t="s">
        <v>429</v>
      </c>
      <c r="C80" s="168" t="s">
        <v>430</v>
      </c>
      <c r="D80" s="56">
        <v>102000000000</v>
      </c>
      <c r="E80" s="56">
        <v>0</v>
      </c>
      <c r="F80" s="57">
        <v>102000000000</v>
      </c>
    </row>
    <row r="81" spans="1:6" ht="40.5" customHeight="1" x14ac:dyDescent="0.2">
      <c r="A81" s="180"/>
      <c r="B81" s="173" t="s">
        <v>431</v>
      </c>
      <c r="C81" s="168" t="s">
        <v>432</v>
      </c>
      <c r="D81" s="56">
        <v>0</v>
      </c>
      <c r="E81" s="56">
        <v>0</v>
      </c>
      <c r="F81" s="57">
        <v>0</v>
      </c>
    </row>
    <row r="82" spans="1:6" ht="26.25" customHeight="1" x14ac:dyDescent="0.2">
      <c r="A82" s="181" t="s">
        <v>433</v>
      </c>
      <c r="B82" s="174" t="s">
        <v>434</v>
      </c>
      <c r="C82" s="169" t="s">
        <v>435</v>
      </c>
      <c r="D82" s="52">
        <v>111106113893</v>
      </c>
      <c r="E82" s="52">
        <v>0</v>
      </c>
      <c r="F82" s="53">
        <v>111106113893</v>
      </c>
    </row>
    <row r="83" spans="1:6" ht="47.25" customHeight="1" x14ac:dyDescent="0.2">
      <c r="A83" s="181" t="s">
        <v>436</v>
      </c>
      <c r="B83" s="174" t="s">
        <v>437</v>
      </c>
      <c r="C83" s="169" t="s">
        <v>438</v>
      </c>
      <c r="D83" s="52">
        <v>0</v>
      </c>
      <c r="E83" s="52">
        <v>0</v>
      </c>
      <c r="F83" s="53">
        <v>0</v>
      </c>
    </row>
    <row r="84" spans="1:6" ht="47.25" customHeight="1" x14ac:dyDescent="0.2">
      <c r="A84" s="182"/>
      <c r="B84" s="175" t="s">
        <v>439</v>
      </c>
      <c r="C84" s="170" t="s">
        <v>440</v>
      </c>
      <c r="D84" s="58">
        <v>0</v>
      </c>
      <c r="E84" s="58">
        <v>0</v>
      </c>
      <c r="F84" s="59">
        <v>0</v>
      </c>
    </row>
    <row r="85" spans="1:6" ht="8.25" customHeight="1" x14ac:dyDescent="0.2">
      <c r="A85" s="165"/>
      <c r="B85" s="165"/>
      <c r="C85" s="165"/>
      <c r="D85" s="184"/>
      <c r="E85" s="183"/>
      <c r="F85" s="184"/>
    </row>
    <row r="86" spans="1:6" ht="14.25" customHeight="1" x14ac:dyDescent="0.2">
      <c r="A86" s="373" t="s">
        <v>13</v>
      </c>
      <c r="B86" s="373"/>
      <c r="C86" s="373"/>
      <c r="D86" s="371"/>
      <c r="E86" s="371"/>
      <c r="F86" s="371"/>
    </row>
    <row r="87" spans="1:6" ht="21.75" customHeight="1" x14ac:dyDescent="0.2">
      <c r="A87" s="372" t="s">
        <v>15</v>
      </c>
      <c r="B87" s="372"/>
      <c r="C87" s="372"/>
      <c r="D87" s="372"/>
      <c r="E87" s="372"/>
      <c r="F87" s="372"/>
    </row>
    <row r="88" spans="1:6" ht="15.75" customHeight="1" x14ac:dyDescent="0.2">
      <c r="A88" s="368"/>
      <c r="B88" s="368"/>
      <c r="C88" s="368"/>
      <c r="D88" s="368"/>
      <c r="E88" s="368"/>
      <c r="F88" s="368"/>
    </row>
    <row r="89" spans="1:6" ht="15.75" customHeight="1" x14ac:dyDescent="0.2">
      <c r="A89" s="368"/>
      <c r="B89" s="368"/>
      <c r="C89" s="368"/>
      <c r="D89" s="368"/>
      <c r="E89" s="368"/>
      <c r="F89" s="368"/>
    </row>
    <row r="90" spans="1:6" ht="15.75" customHeight="1" x14ac:dyDescent="0.2">
      <c r="A90" s="368"/>
      <c r="B90" s="368"/>
      <c r="C90" s="368"/>
      <c r="D90" s="368"/>
      <c r="E90" s="368"/>
      <c r="F90" s="368"/>
    </row>
    <row r="91" spans="1:6" ht="15.75" customHeight="1" x14ac:dyDescent="0.2">
      <c r="A91" s="368"/>
      <c r="B91" s="368"/>
      <c r="C91" s="368"/>
      <c r="D91" s="368"/>
      <c r="E91" s="368"/>
      <c r="F91" s="368"/>
    </row>
    <row r="92" spans="1:6" ht="15.75" customHeight="1" x14ac:dyDescent="0.2">
      <c r="A92" s="373" t="s">
        <v>292</v>
      </c>
      <c r="B92" s="373"/>
      <c r="C92" s="373"/>
      <c r="D92" s="373"/>
      <c r="E92" s="373"/>
      <c r="F92" s="373"/>
    </row>
  </sheetData>
  <mergeCells count="21">
    <mergeCell ref="A2:F2"/>
    <mergeCell ref="A3:F3"/>
    <mergeCell ref="A4:F4"/>
    <mergeCell ref="C1:F1"/>
    <mergeCell ref="A15:F15"/>
    <mergeCell ref="A16:F16"/>
    <mergeCell ref="E14:F14"/>
    <mergeCell ref="A86:C86"/>
    <mergeCell ref="D86:F86"/>
    <mergeCell ref="A87:C87"/>
    <mergeCell ref="D87:F87"/>
    <mergeCell ref="A91:C91"/>
    <mergeCell ref="D91:F91"/>
    <mergeCell ref="A92:C92"/>
    <mergeCell ref="D92:F92"/>
    <mergeCell ref="A88:C88"/>
    <mergeCell ref="D88:F88"/>
    <mergeCell ref="A89:C89"/>
    <mergeCell ref="D89:F89"/>
    <mergeCell ref="A90:C90"/>
    <mergeCell ref="D90:F90"/>
  </mergeCells>
  <printOptions horizontalCentered="1"/>
  <pageMargins left="0" right="0" top="0.59" bottom="0.59" header="0.5" footer="0.5"/>
  <pageSetup paperSize="9" scale="9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78"/>
  <sheetViews>
    <sheetView showGridLines="0" showZeros="0" showOutlineSymbols="0" view="pageBreakPreview" topLeftCell="A55" zoomScaleNormal="100" zoomScaleSheetLayoutView="100" workbookViewId="0">
      <selection activeCell="A20" sqref="A20:G65"/>
    </sheetView>
  </sheetViews>
  <sheetFormatPr defaultRowHeight="12" x14ac:dyDescent="0.2"/>
  <cols>
    <col min="1" max="1" width="5.42578125" style="177" customWidth="1"/>
    <col min="2" max="2" width="32.28515625" style="28" customWidth="1"/>
    <col min="3" max="3" width="9.140625" style="28"/>
    <col min="4" max="4" width="14.140625" style="28" customWidth="1"/>
    <col min="5" max="5" width="15.28515625" style="28" customWidth="1"/>
    <col min="6" max="6" width="18.140625" style="28" customWidth="1"/>
    <col min="7" max="7" width="13.7109375" style="28" customWidth="1"/>
    <col min="8" max="9" width="12.5703125" style="28" bestFit="1" customWidth="1"/>
    <col min="10" max="16384" width="9.140625" style="28"/>
  </cols>
  <sheetData>
    <row r="1" spans="1:8" ht="49.5" customHeight="1" x14ac:dyDescent="0.2">
      <c r="A1" s="39"/>
      <c r="B1" s="27"/>
      <c r="C1" s="377" t="s">
        <v>294</v>
      </c>
      <c r="D1" s="377"/>
      <c r="E1" s="377"/>
      <c r="F1" s="377"/>
      <c r="G1" s="377"/>
      <c r="H1" s="42"/>
    </row>
    <row r="2" spans="1:8" ht="66" customHeight="1" x14ac:dyDescent="0.2">
      <c r="A2" s="375" t="s">
        <v>295</v>
      </c>
      <c r="B2" s="375"/>
      <c r="C2" s="375"/>
      <c r="D2" s="375"/>
      <c r="E2" s="375"/>
      <c r="F2" s="375"/>
      <c r="G2" s="375"/>
    </row>
    <row r="3" spans="1:8" ht="9.75" customHeight="1" x14ac:dyDescent="0.2">
      <c r="A3" s="39"/>
      <c r="B3" s="27"/>
      <c r="C3" s="368"/>
      <c r="D3" s="368"/>
      <c r="E3" s="368"/>
      <c r="F3" s="368"/>
      <c r="G3" s="368"/>
    </row>
    <row r="4" spans="1:8" ht="16.5" customHeight="1" x14ac:dyDescent="0.2">
      <c r="A4" s="378" t="s">
        <v>443</v>
      </c>
      <c r="B4" s="378"/>
      <c r="C4" s="378"/>
      <c r="D4" s="378"/>
      <c r="E4" s="378"/>
      <c r="F4" s="378"/>
      <c r="G4" s="378"/>
    </row>
    <row r="5" spans="1:8" ht="16.5" customHeight="1" x14ac:dyDescent="0.2">
      <c r="A5" s="378" t="s">
        <v>444</v>
      </c>
      <c r="B5" s="378"/>
      <c r="C5" s="378"/>
      <c r="D5" s="378"/>
      <c r="E5" s="378"/>
      <c r="F5" s="378"/>
      <c r="G5" s="378"/>
    </row>
    <row r="6" spans="1:8" ht="12" customHeight="1" x14ac:dyDescent="0.2">
      <c r="A6" s="372" t="s">
        <v>445</v>
      </c>
      <c r="B6" s="372"/>
      <c r="C6" s="372"/>
      <c r="D6" s="372"/>
      <c r="E6" s="372"/>
      <c r="F6" s="372"/>
      <c r="G6" s="372"/>
    </row>
    <row r="7" spans="1:8" ht="9.75" customHeight="1" x14ac:dyDescent="0.2">
      <c r="A7" s="39"/>
      <c r="B7" s="27"/>
      <c r="C7" s="368"/>
      <c r="D7" s="368"/>
      <c r="E7" s="368"/>
      <c r="F7" s="368"/>
      <c r="G7" s="368"/>
    </row>
    <row r="8" spans="1:8" ht="15.75" customHeight="1" x14ac:dyDescent="0.2">
      <c r="A8" s="48" t="s">
        <v>98</v>
      </c>
      <c r="B8" s="47" t="s">
        <v>2</v>
      </c>
      <c r="D8" s="47" t="s">
        <v>100</v>
      </c>
      <c r="E8" s="47"/>
      <c r="F8" s="47"/>
      <c r="G8" s="47"/>
    </row>
    <row r="9" spans="1:8" ht="15.75" customHeight="1" x14ac:dyDescent="0.2">
      <c r="A9" s="39"/>
      <c r="B9" s="45" t="s">
        <v>4</v>
      </c>
      <c r="D9" s="45" t="s">
        <v>5</v>
      </c>
      <c r="E9" s="45"/>
      <c r="F9" s="45"/>
      <c r="G9" s="45"/>
    </row>
    <row r="10" spans="1:8" ht="15.75" customHeight="1" x14ac:dyDescent="0.2">
      <c r="A10" s="48" t="s">
        <v>101</v>
      </c>
      <c r="B10" s="47" t="s">
        <v>6</v>
      </c>
      <c r="D10" s="47" t="s">
        <v>103</v>
      </c>
      <c r="E10" s="47"/>
      <c r="F10" s="47"/>
      <c r="G10" s="47"/>
    </row>
    <row r="11" spans="1:8" ht="15.75" customHeight="1" x14ac:dyDescent="0.2">
      <c r="A11" s="39"/>
      <c r="B11" s="45" t="s">
        <v>7</v>
      </c>
      <c r="D11" s="45" t="s">
        <v>45</v>
      </c>
      <c r="E11" s="45"/>
      <c r="F11" s="45"/>
      <c r="G11" s="45"/>
    </row>
    <row r="12" spans="1:8" ht="15.75" customHeight="1" x14ac:dyDescent="0.2">
      <c r="A12" s="48" t="s">
        <v>79</v>
      </c>
      <c r="B12" s="47" t="s">
        <v>8</v>
      </c>
      <c r="D12" s="47" t="s">
        <v>104</v>
      </c>
      <c r="E12" s="47"/>
      <c r="F12" s="47"/>
      <c r="G12" s="47"/>
    </row>
    <row r="13" spans="1:8" ht="15.75" customHeight="1" x14ac:dyDescent="0.2">
      <c r="A13" s="39"/>
      <c r="B13" s="45" t="s">
        <v>9</v>
      </c>
      <c r="D13" s="45" t="s">
        <v>105</v>
      </c>
      <c r="E13" s="45"/>
      <c r="F13" s="45"/>
      <c r="G13" s="45"/>
    </row>
    <row r="14" spans="1:8" ht="15.75" customHeight="1" x14ac:dyDescent="0.2">
      <c r="A14" s="48" t="s">
        <v>85</v>
      </c>
      <c r="B14" s="47" t="s">
        <v>10</v>
      </c>
      <c r="D14" s="44" t="s">
        <v>446</v>
      </c>
      <c r="E14" s="44"/>
      <c r="F14" s="44"/>
      <c r="G14" s="44"/>
    </row>
    <row r="15" spans="1:8" ht="15.75" customHeight="1" x14ac:dyDescent="0.2">
      <c r="A15" s="39"/>
      <c r="B15" s="45" t="s">
        <v>11</v>
      </c>
      <c r="D15" s="45" t="s">
        <v>107</v>
      </c>
      <c r="E15" s="45"/>
      <c r="F15" s="45"/>
      <c r="G15" s="45"/>
    </row>
    <row r="16" spans="1:8" ht="12.75" customHeight="1" x14ac:dyDescent="0.2">
      <c r="A16" s="39"/>
      <c r="B16" s="27"/>
      <c r="C16" s="374"/>
      <c r="D16" s="374"/>
      <c r="E16" s="374"/>
      <c r="F16" s="374"/>
      <c r="G16" s="374"/>
    </row>
    <row r="17" spans="1:7" ht="15" customHeight="1" x14ac:dyDescent="0.2">
      <c r="A17" s="366" t="s">
        <v>447</v>
      </c>
      <c r="B17" s="366"/>
      <c r="C17" s="366"/>
      <c r="D17" s="366"/>
      <c r="E17" s="366"/>
      <c r="F17" s="366"/>
      <c r="G17" s="366"/>
    </row>
    <row r="18" spans="1:7" ht="19.5" customHeight="1" x14ac:dyDescent="0.2">
      <c r="A18" s="366" t="s">
        <v>448</v>
      </c>
      <c r="B18" s="366"/>
      <c r="C18" s="366"/>
      <c r="D18" s="366"/>
      <c r="E18" s="366"/>
      <c r="F18" s="366"/>
      <c r="G18" s="366"/>
    </row>
    <row r="19" spans="1:7" ht="15.75" customHeight="1" x14ac:dyDescent="0.2">
      <c r="A19" s="186"/>
      <c r="B19" s="63"/>
      <c r="C19" s="154"/>
      <c r="D19" s="154"/>
      <c r="E19" s="154"/>
      <c r="F19" s="154"/>
      <c r="G19" s="102" t="s">
        <v>110</v>
      </c>
    </row>
    <row r="20" spans="1:7" s="177" customFormat="1" ht="72" x14ac:dyDescent="0.2">
      <c r="A20" s="161" t="s">
        <v>449</v>
      </c>
      <c r="B20" s="161" t="s">
        <v>450</v>
      </c>
      <c r="C20" s="161" t="s">
        <v>113</v>
      </c>
      <c r="D20" s="30" t="s">
        <v>451</v>
      </c>
      <c r="E20" s="30" t="s">
        <v>452</v>
      </c>
      <c r="F20" s="30" t="s">
        <v>453</v>
      </c>
      <c r="G20" s="51" t="s">
        <v>454</v>
      </c>
    </row>
    <row r="21" spans="1:7" ht="24" x14ac:dyDescent="0.2">
      <c r="A21" s="127" t="s">
        <v>69</v>
      </c>
      <c r="B21" s="298" t="s">
        <v>138</v>
      </c>
      <c r="C21" s="127" t="s">
        <v>455</v>
      </c>
      <c r="D21" s="65">
        <v>0</v>
      </c>
      <c r="E21" s="52">
        <v>0</v>
      </c>
      <c r="F21" s="52">
        <v>0</v>
      </c>
      <c r="G21" s="66">
        <v>0</v>
      </c>
    </row>
    <row r="22" spans="1:7" s="162" customFormat="1" x14ac:dyDescent="0.25">
      <c r="A22" s="296" t="s">
        <v>98</v>
      </c>
      <c r="B22" s="299" t="s">
        <v>456</v>
      </c>
      <c r="C22" s="296" t="s">
        <v>457</v>
      </c>
      <c r="D22" s="188">
        <v>29580</v>
      </c>
      <c r="E22" s="132">
        <v>62700</v>
      </c>
      <c r="F22" s="132">
        <v>1854666000</v>
      </c>
      <c r="G22" s="189">
        <v>1.67E-2</v>
      </c>
    </row>
    <row r="23" spans="1:7" s="162" customFormat="1" x14ac:dyDescent="0.25">
      <c r="A23" s="296" t="s">
        <v>101</v>
      </c>
      <c r="B23" s="299" t="s">
        <v>458</v>
      </c>
      <c r="C23" s="296" t="s">
        <v>459</v>
      </c>
      <c r="D23" s="188">
        <v>157080</v>
      </c>
      <c r="E23" s="132">
        <v>20000</v>
      </c>
      <c r="F23" s="132">
        <v>3141600000</v>
      </c>
      <c r="G23" s="189">
        <v>2.8299999999999999E-2</v>
      </c>
    </row>
    <row r="24" spans="1:7" s="162" customFormat="1" x14ac:dyDescent="0.25">
      <c r="A24" s="296" t="s">
        <v>79</v>
      </c>
      <c r="B24" s="299" t="s">
        <v>460</v>
      </c>
      <c r="C24" s="296" t="s">
        <v>461</v>
      </c>
      <c r="D24" s="188">
        <v>355980</v>
      </c>
      <c r="E24" s="132">
        <v>9890</v>
      </c>
      <c r="F24" s="132">
        <v>3520642200</v>
      </c>
      <c r="G24" s="189">
        <v>3.1699999999999999E-2</v>
      </c>
    </row>
    <row r="25" spans="1:7" s="162" customFormat="1" x14ac:dyDescent="0.25">
      <c r="A25" s="296" t="s">
        <v>85</v>
      </c>
      <c r="B25" s="299" t="s">
        <v>462</v>
      </c>
      <c r="C25" s="296" t="s">
        <v>463</v>
      </c>
      <c r="D25" s="188">
        <v>330300</v>
      </c>
      <c r="E25" s="132">
        <v>50800</v>
      </c>
      <c r="F25" s="132">
        <v>16779240000</v>
      </c>
      <c r="G25" s="189">
        <v>0.15090000000000001</v>
      </c>
    </row>
    <row r="26" spans="1:7" s="162" customFormat="1" x14ac:dyDescent="0.25">
      <c r="A26" s="296" t="s">
        <v>350</v>
      </c>
      <c r="B26" s="299" t="s">
        <v>464</v>
      </c>
      <c r="C26" s="296" t="s">
        <v>465</v>
      </c>
      <c r="D26" s="188">
        <v>216240</v>
      </c>
      <c r="E26" s="132">
        <v>18600</v>
      </c>
      <c r="F26" s="132">
        <v>4022064000</v>
      </c>
      <c r="G26" s="189">
        <v>3.6200000000000003E-2</v>
      </c>
    </row>
    <row r="27" spans="1:7" s="162" customFormat="1" x14ac:dyDescent="0.25">
      <c r="A27" s="296" t="s">
        <v>359</v>
      </c>
      <c r="B27" s="299" t="s">
        <v>466</v>
      </c>
      <c r="C27" s="296" t="s">
        <v>467</v>
      </c>
      <c r="D27" s="188">
        <v>326400</v>
      </c>
      <c r="E27" s="132">
        <v>20950</v>
      </c>
      <c r="F27" s="132">
        <v>6838080000</v>
      </c>
      <c r="G27" s="189">
        <v>6.1499999999999999E-2</v>
      </c>
    </row>
    <row r="28" spans="1:7" s="162" customFormat="1" x14ac:dyDescent="0.25">
      <c r="A28" s="296" t="s">
        <v>372</v>
      </c>
      <c r="B28" s="299" t="s">
        <v>468</v>
      </c>
      <c r="C28" s="296" t="s">
        <v>469</v>
      </c>
      <c r="D28" s="188">
        <v>604500</v>
      </c>
      <c r="E28" s="132">
        <v>15950</v>
      </c>
      <c r="F28" s="132">
        <v>9641775000</v>
      </c>
      <c r="G28" s="189">
        <v>8.6699999999999999E-2</v>
      </c>
    </row>
    <row r="29" spans="1:7" s="162" customFormat="1" x14ac:dyDescent="0.25">
      <c r="A29" s="296" t="s">
        <v>379</v>
      </c>
      <c r="B29" s="299" t="s">
        <v>470</v>
      </c>
      <c r="C29" s="296" t="s">
        <v>471</v>
      </c>
      <c r="D29" s="188">
        <v>185640</v>
      </c>
      <c r="E29" s="132">
        <v>81700</v>
      </c>
      <c r="F29" s="132">
        <v>15166788000</v>
      </c>
      <c r="G29" s="189">
        <v>0.13639999999999999</v>
      </c>
    </row>
    <row r="30" spans="1:7" s="162" customFormat="1" x14ac:dyDescent="0.25">
      <c r="A30" s="296" t="s">
        <v>472</v>
      </c>
      <c r="B30" s="299" t="s">
        <v>473</v>
      </c>
      <c r="C30" s="296" t="s">
        <v>474</v>
      </c>
      <c r="D30" s="188">
        <v>128520</v>
      </c>
      <c r="E30" s="132">
        <v>22500</v>
      </c>
      <c r="F30" s="132">
        <v>2891700000</v>
      </c>
      <c r="G30" s="189">
        <v>2.5999999999999999E-2</v>
      </c>
    </row>
    <row r="31" spans="1:7" s="162" customFormat="1" x14ac:dyDescent="0.25">
      <c r="A31" s="296" t="s">
        <v>475</v>
      </c>
      <c r="B31" s="299" t="s">
        <v>476</v>
      </c>
      <c r="C31" s="296" t="s">
        <v>477</v>
      </c>
      <c r="D31" s="188">
        <v>154020</v>
      </c>
      <c r="E31" s="132">
        <v>56900</v>
      </c>
      <c r="F31" s="132">
        <v>8763738000</v>
      </c>
      <c r="G31" s="189">
        <v>7.8799999999999995E-2</v>
      </c>
    </row>
    <row r="32" spans="1:7" s="162" customFormat="1" x14ac:dyDescent="0.25">
      <c r="A32" s="296" t="s">
        <v>478</v>
      </c>
      <c r="B32" s="299" t="s">
        <v>479</v>
      </c>
      <c r="C32" s="296" t="s">
        <v>480</v>
      </c>
      <c r="D32" s="188">
        <v>145860</v>
      </c>
      <c r="E32" s="132">
        <v>30000</v>
      </c>
      <c r="F32" s="132">
        <v>4375800000</v>
      </c>
      <c r="G32" s="189">
        <v>3.9300000000000002E-2</v>
      </c>
    </row>
    <row r="33" spans="1:9" s="162" customFormat="1" x14ac:dyDescent="0.25">
      <c r="A33" s="296" t="s">
        <v>481</v>
      </c>
      <c r="B33" s="299" t="s">
        <v>482</v>
      </c>
      <c r="C33" s="296" t="s">
        <v>483</v>
      </c>
      <c r="D33" s="188">
        <v>697900</v>
      </c>
      <c r="E33" s="132">
        <v>17200</v>
      </c>
      <c r="F33" s="132">
        <v>12003880000</v>
      </c>
      <c r="G33" s="189">
        <v>0.1079</v>
      </c>
    </row>
    <row r="34" spans="1:9" s="162" customFormat="1" x14ac:dyDescent="0.25">
      <c r="A34" s="296" t="s">
        <v>484</v>
      </c>
      <c r="B34" s="299" t="s">
        <v>485</v>
      </c>
      <c r="C34" s="296" t="s">
        <v>486</v>
      </c>
      <c r="D34" s="188">
        <v>204700</v>
      </c>
      <c r="E34" s="132">
        <v>17400</v>
      </c>
      <c r="F34" s="132">
        <v>3561780000</v>
      </c>
      <c r="G34" s="189">
        <v>3.2000000000000001E-2</v>
      </c>
    </row>
    <row r="35" spans="1:9" s="162" customFormat="1" x14ac:dyDescent="0.25">
      <c r="A35" s="296" t="s">
        <v>487</v>
      </c>
      <c r="B35" s="299" t="s">
        <v>488</v>
      </c>
      <c r="C35" s="296" t="s">
        <v>489</v>
      </c>
      <c r="D35" s="188">
        <v>577600</v>
      </c>
      <c r="E35" s="132">
        <v>20500</v>
      </c>
      <c r="F35" s="132">
        <v>11840800000</v>
      </c>
      <c r="G35" s="189">
        <v>0.1065</v>
      </c>
    </row>
    <row r="36" spans="1:9" x14ac:dyDescent="0.2">
      <c r="A36" s="127"/>
      <c r="B36" s="298" t="s">
        <v>490</v>
      </c>
      <c r="C36" s="127" t="s">
        <v>491</v>
      </c>
      <c r="D36" s="65">
        <v>4114320</v>
      </c>
      <c r="E36" s="52">
        <v>0</v>
      </c>
      <c r="F36" s="52">
        <v>104402553200</v>
      </c>
      <c r="G36" s="66">
        <v>0.93879999999999997</v>
      </c>
    </row>
    <row r="37" spans="1:9" ht="24" x14ac:dyDescent="0.2">
      <c r="A37" s="127" t="s">
        <v>74</v>
      </c>
      <c r="B37" s="298" t="s">
        <v>492</v>
      </c>
      <c r="C37" s="127" t="s">
        <v>493</v>
      </c>
      <c r="D37" s="65">
        <v>0</v>
      </c>
      <c r="E37" s="52">
        <v>0</v>
      </c>
      <c r="F37" s="52">
        <v>0</v>
      </c>
      <c r="G37" s="66">
        <v>0</v>
      </c>
    </row>
    <row r="38" spans="1:9" ht="24" x14ac:dyDescent="0.2">
      <c r="A38" s="128"/>
      <c r="B38" s="300" t="s">
        <v>494</v>
      </c>
      <c r="C38" s="128" t="s">
        <v>495</v>
      </c>
      <c r="D38" s="68">
        <v>0</v>
      </c>
      <c r="E38" s="54">
        <v>0</v>
      </c>
      <c r="F38" s="54">
        <v>0</v>
      </c>
      <c r="G38" s="69">
        <v>0</v>
      </c>
    </row>
    <row r="39" spans="1:9" ht="24" x14ac:dyDescent="0.2">
      <c r="A39" s="127"/>
      <c r="B39" s="298" t="s">
        <v>496</v>
      </c>
      <c r="C39" s="127" t="s">
        <v>497</v>
      </c>
      <c r="D39" s="65">
        <v>4114320</v>
      </c>
      <c r="E39" s="52">
        <v>0</v>
      </c>
      <c r="F39" s="52">
        <v>104402553200</v>
      </c>
      <c r="G39" s="66">
        <v>0.93879999999999997</v>
      </c>
      <c r="I39" s="314"/>
    </row>
    <row r="40" spans="1:9" ht="24" x14ac:dyDescent="0.2">
      <c r="A40" s="127" t="s">
        <v>82</v>
      </c>
      <c r="B40" s="298" t="s">
        <v>142</v>
      </c>
      <c r="C40" s="127" t="s">
        <v>498</v>
      </c>
      <c r="D40" s="65">
        <v>0</v>
      </c>
      <c r="E40" s="52">
        <v>0</v>
      </c>
      <c r="F40" s="52">
        <v>0</v>
      </c>
      <c r="G40" s="66">
        <v>0</v>
      </c>
    </row>
    <row r="41" spans="1:9" x14ac:dyDescent="0.2">
      <c r="A41" s="127"/>
      <c r="B41" s="298" t="s">
        <v>490</v>
      </c>
      <c r="C41" s="127" t="s">
        <v>499</v>
      </c>
      <c r="D41" s="65">
        <v>0</v>
      </c>
      <c r="E41" s="52">
        <v>0</v>
      </c>
      <c r="F41" s="52">
        <v>0</v>
      </c>
      <c r="G41" s="66">
        <v>0</v>
      </c>
    </row>
    <row r="42" spans="1:9" ht="24" x14ac:dyDescent="0.2">
      <c r="A42" s="127" t="s">
        <v>52</v>
      </c>
      <c r="B42" s="298" t="s">
        <v>500</v>
      </c>
      <c r="C42" s="127" t="s">
        <v>501</v>
      </c>
      <c r="D42" s="65">
        <v>0</v>
      </c>
      <c r="E42" s="52">
        <v>0</v>
      </c>
      <c r="F42" s="52">
        <v>0</v>
      </c>
      <c r="G42" s="66">
        <v>0</v>
      </c>
    </row>
    <row r="43" spans="1:9" ht="24" x14ac:dyDescent="0.2">
      <c r="A43" s="128" t="s">
        <v>98</v>
      </c>
      <c r="B43" s="300" t="s">
        <v>502</v>
      </c>
      <c r="C43" s="128" t="s">
        <v>503</v>
      </c>
      <c r="D43" s="68">
        <v>0</v>
      </c>
      <c r="E43" s="54">
        <v>0</v>
      </c>
      <c r="F43" s="54">
        <v>0</v>
      </c>
      <c r="G43" s="69">
        <v>0</v>
      </c>
    </row>
    <row r="44" spans="1:9" ht="24" x14ac:dyDescent="0.2">
      <c r="A44" s="128" t="s">
        <v>101</v>
      </c>
      <c r="B44" s="300" t="s">
        <v>504</v>
      </c>
      <c r="C44" s="128" t="s">
        <v>505</v>
      </c>
      <c r="D44" s="68">
        <v>0</v>
      </c>
      <c r="E44" s="54">
        <v>0</v>
      </c>
      <c r="F44" s="54">
        <v>0</v>
      </c>
      <c r="G44" s="69">
        <v>0</v>
      </c>
    </row>
    <row r="45" spans="1:9" ht="24" x14ac:dyDescent="0.2">
      <c r="A45" s="128"/>
      <c r="B45" s="300" t="s">
        <v>494</v>
      </c>
      <c r="C45" s="128" t="s">
        <v>506</v>
      </c>
      <c r="D45" s="68">
        <v>0</v>
      </c>
      <c r="E45" s="54">
        <v>0</v>
      </c>
      <c r="F45" s="54">
        <v>0</v>
      </c>
      <c r="G45" s="69">
        <v>0</v>
      </c>
    </row>
    <row r="46" spans="1:9" ht="24" x14ac:dyDescent="0.2">
      <c r="A46" s="127"/>
      <c r="B46" s="298" t="s">
        <v>507</v>
      </c>
      <c r="C46" s="127" t="s">
        <v>508</v>
      </c>
      <c r="D46" s="65">
        <v>4114320</v>
      </c>
      <c r="E46" s="52">
        <v>0</v>
      </c>
      <c r="F46" s="52">
        <v>104402553200</v>
      </c>
      <c r="G46" s="66">
        <v>0.93879999999999997</v>
      </c>
    </row>
    <row r="47" spans="1:9" ht="24" x14ac:dyDescent="0.2">
      <c r="A47" s="127" t="s">
        <v>412</v>
      </c>
      <c r="B47" s="298" t="s">
        <v>509</v>
      </c>
      <c r="C47" s="127" t="s">
        <v>510</v>
      </c>
      <c r="D47" s="65">
        <v>0</v>
      </c>
      <c r="E47" s="52">
        <v>0</v>
      </c>
      <c r="F47" s="52">
        <v>0</v>
      </c>
      <c r="G47" s="66">
        <v>0</v>
      </c>
    </row>
    <row r="48" spans="1:9" ht="24" x14ac:dyDescent="0.2">
      <c r="A48" s="128" t="s">
        <v>98</v>
      </c>
      <c r="B48" s="300" t="s">
        <v>511</v>
      </c>
      <c r="C48" s="128" t="s">
        <v>512</v>
      </c>
      <c r="D48" s="68">
        <v>0</v>
      </c>
      <c r="E48" s="54">
        <v>0</v>
      </c>
      <c r="F48" s="54">
        <v>0</v>
      </c>
      <c r="G48" s="69">
        <v>0</v>
      </c>
    </row>
    <row r="49" spans="1:7" ht="24" x14ac:dyDescent="0.2">
      <c r="A49" s="128" t="s">
        <v>101</v>
      </c>
      <c r="B49" s="300" t="s">
        <v>513</v>
      </c>
      <c r="C49" s="128" t="s">
        <v>514</v>
      </c>
      <c r="D49" s="68">
        <v>0</v>
      </c>
      <c r="E49" s="54">
        <v>0</v>
      </c>
      <c r="F49" s="54">
        <v>0</v>
      </c>
      <c r="G49" s="69">
        <v>0</v>
      </c>
    </row>
    <row r="50" spans="1:7" ht="24" x14ac:dyDescent="0.2">
      <c r="A50" s="128" t="s">
        <v>79</v>
      </c>
      <c r="B50" s="300" t="s">
        <v>515</v>
      </c>
      <c r="C50" s="128" t="s">
        <v>516</v>
      </c>
      <c r="D50" s="68">
        <v>0</v>
      </c>
      <c r="E50" s="54">
        <v>0</v>
      </c>
      <c r="F50" s="54">
        <v>0</v>
      </c>
      <c r="G50" s="69">
        <v>0</v>
      </c>
    </row>
    <row r="51" spans="1:7" ht="36" x14ac:dyDescent="0.2">
      <c r="A51" s="128" t="s">
        <v>85</v>
      </c>
      <c r="B51" s="300" t="s">
        <v>517</v>
      </c>
      <c r="C51" s="128" t="s">
        <v>518</v>
      </c>
      <c r="D51" s="68">
        <v>0</v>
      </c>
      <c r="E51" s="54">
        <v>0</v>
      </c>
      <c r="F51" s="54">
        <v>6580824000</v>
      </c>
      <c r="G51" s="69">
        <v>5.9200000000000003E-2</v>
      </c>
    </row>
    <row r="52" spans="1:7" ht="48" x14ac:dyDescent="0.2">
      <c r="A52" s="128" t="s">
        <v>350</v>
      </c>
      <c r="B52" s="300" t="s">
        <v>519</v>
      </c>
      <c r="C52" s="128" t="s">
        <v>520</v>
      </c>
      <c r="D52" s="68">
        <v>0</v>
      </c>
      <c r="E52" s="54">
        <v>0</v>
      </c>
      <c r="F52" s="54">
        <v>0</v>
      </c>
      <c r="G52" s="69">
        <v>0</v>
      </c>
    </row>
    <row r="53" spans="1:7" ht="24" x14ac:dyDescent="0.2">
      <c r="A53" s="128" t="s">
        <v>359</v>
      </c>
      <c r="B53" s="300" t="s">
        <v>521</v>
      </c>
      <c r="C53" s="128" t="s">
        <v>522</v>
      </c>
      <c r="D53" s="68">
        <v>0</v>
      </c>
      <c r="E53" s="54">
        <v>0</v>
      </c>
      <c r="F53" s="54">
        <v>0</v>
      </c>
      <c r="G53" s="69">
        <v>0</v>
      </c>
    </row>
    <row r="54" spans="1:7" ht="36" x14ac:dyDescent="0.2">
      <c r="A54" s="128" t="s">
        <v>372</v>
      </c>
      <c r="B54" s="300" t="s">
        <v>187</v>
      </c>
      <c r="C54" s="128" t="s">
        <v>523</v>
      </c>
      <c r="D54" s="68">
        <v>0</v>
      </c>
      <c r="E54" s="54">
        <v>0</v>
      </c>
      <c r="F54" s="54">
        <v>0</v>
      </c>
      <c r="G54" s="69">
        <v>0</v>
      </c>
    </row>
    <row r="55" spans="1:7" ht="36" x14ac:dyDescent="0.2">
      <c r="A55" s="128" t="s">
        <v>379</v>
      </c>
      <c r="B55" s="300" t="s">
        <v>524</v>
      </c>
      <c r="C55" s="128" t="s">
        <v>525</v>
      </c>
      <c r="D55" s="68">
        <v>0</v>
      </c>
      <c r="E55" s="54">
        <v>0</v>
      </c>
      <c r="F55" s="54">
        <v>0</v>
      </c>
      <c r="G55" s="69">
        <v>0</v>
      </c>
    </row>
    <row r="56" spans="1:7" ht="24" x14ac:dyDescent="0.2">
      <c r="A56" s="127"/>
      <c r="B56" s="298" t="s">
        <v>494</v>
      </c>
      <c r="C56" s="127" t="s">
        <v>526</v>
      </c>
      <c r="D56" s="65">
        <v>0</v>
      </c>
      <c r="E56" s="52">
        <v>0</v>
      </c>
      <c r="F56" s="52">
        <v>6580824000</v>
      </c>
      <c r="G56" s="66">
        <v>5.9200000000000003E-2</v>
      </c>
    </row>
    <row r="57" spans="1:7" ht="24" x14ac:dyDescent="0.2">
      <c r="A57" s="127" t="s">
        <v>415</v>
      </c>
      <c r="B57" s="298" t="s">
        <v>120</v>
      </c>
      <c r="C57" s="127" t="s">
        <v>527</v>
      </c>
      <c r="D57" s="65">
        <v>0</v>
      </c>
      <c r="E57" s="52">
        <v>0</v>
      </c>
      <c r="F57" s="52">
        <v>0</v>
      </c>
      <c r="G57" s="66">
        <v>0</v>
      </c>
    </row>
    <row r="58" spans="1:7" ht="24" x14ac:dyDescent="0.2">
      <c r="A58" s="128" t="s">
        <v>98</v>
      </c>
      <c r="B58" s="300" t="s">
        <v>528</v>
      </c>
      <c r="C58" s="128" t="s">
        <v>529</v>
      </c>
      <c r="D58" s="68">
        <v>0</v>
      </c>
      <c r="E58" s="54">
        <v>0</v>
      </c>
      <c r="F58" s="54">
        <v>221564400</v>
      </c>
      <c r="G58" s="69">
        <v>2E-3</v>
      </c>
    </row>
    <row r="59" spans="1:7" ht="24" x14ac:dyDescent="0.2">
      <c r="A59" s="128"/>
      <c r="B59" s="300" t="s">
        <v>122</v>
      </c>
      <c r="C59" s="128" t="s">
        <v>530</v>
      </c>
      <c r="D59" s="68">
        <v>0</v>
      </c>
      <c r="E59" s="54">
        <v>0</v>
      </c>
      <c r="F59" s="54">
        <v>221564400</v>
      </c>
      <c r="G59" s="69">
        <v>2E-3</v>
      </c>
    </row>
    <row r="60" spans="1:7" ht="24" x14ac:dyDescent="0.2">
      <c r="A60" s="128"/>
      <c r="B60" s="300" t="s">
        <v>133</v>
      </c>
      <c r="C60" s="128" t="s">
        <v>531</v>
      </c>
      <c r="D60" s="68">
        <v>0</v>
      </c>
      <c r="E60" s="54">
        <v>0</v>
      </c>
      <c r="F60" s="54">
        <v>0</v>
      </c>
      <c r="G60" s="69">
        <v>0</v>
      </c>
    </row>
    <row r="61" spans="1:7" ht="24" x14ac:dyDescent="0.2">
      <c r="A61" s="128"/>
      <c r="B61" s="300" t="s">
        <v>532</v>
      </c>
      <c r="C61" s="128" t="s">
        <v>533</v>
      </c>
      <c r="D61" s="68">
        <v>0</v>
      </c>
      <c r="E61" s="54">
        <v>0</v>
      </c>
      <c r="F61" s="54">
        <v>0</v>
      </c>
      <c r="G61" s="69">
        <v>0</v>
      </c>
    </row>
    <row r="62" spans="1:7" ht="24" x14ac:dyDescent="0.2">
      <c r="A62" s="128" t="s">
        <v>101</v>
      </c>
      <c r="B62" s="300" t="s">
        <v>534</v>
      </c>
      <c r="C62" s="128" t="s">
        <v>535</v>
      </c>
      <c r="D62" s="68">
        <v>0</v>
      </c>
      <c r="E62" s="54">
        <v>0</v>
      </c>
      <c r="F62" s="54">
        <v>0</v>
      </c>
      <c r="G62" s="69">
        <v>0</v>
      </c>
    </row>
    <row r="63" spans="1:7" ht="24" x14ac:dyDescent="0.2">
      <c r="A63" s="128" t="s">
        <v>79</v>
      </c>
      <c r="B63" s="300" t="s">
        <v>536</v>
      </c>
      <c r="C63" s="128" t="s">
        <v>537</v>
      </c>
      <c r="D63" s="68">
        <v>0</v>
      </c>
      <c r="E63" s="54">
        <v>0</v>
      </c>
      <c r="F63" s="54">
        <v>0</v>
      </c>
      <c r="G63" s="69">
        <v>0</v>
      </c>
    </row>
    <row r="64" spans="1:7" ht="24" x14ac:dyDescent="0.2">
      <c r="A64" s="127"/>
      <c r="B64" s="298" t="s">
        <v>494</v>
      </c>
      <c r="C64" s="127" t="s">
        <v>538</v>
      </c>
      <c r="D64" s="65">
        <v>0</v>
      </c>
      <c r="E64" s="52">
        <v>0</v>
      </c>
      <c r="F64" s="52">
        <v>221564400</v>
      </c>
      <c r="G64" s="66">
        <v>2E-3</v>
      </c>
    </row>
    <row r="65" spans="1:8" ht="24" x14ac:dyDescent="0.2">
      <c r="A65" s="297" t="s">
        <v>418</v>
      </c>
      <c r="B65" s="301" t="s">
        <v>539</v>
      </c>
      <c r="C65" s="297" t="s">
        <v>540</v>
      </c>
      <c r="D65" s="38">
        <v>4114320</v>
      </c>
      <c r="E65" s="71">
        <v>0</v>
      </c>
      <c r="F65" s="71">
        <v>111204941600</v>
      </c>
      <c r="G65" s="72">
        <v>1</v>
      </c>
      <c r="H65" s="315"/>
    </row>
    <row r="66" spans="1:8" ht="15.75" customHeight="1" x14ac:dyDescent="0.2">
      <c r="A66" s="380" t="s">
        <v>1078</v>
      </c>
      <c r="B66" s="380"/>
      <c r="C66" s="380"/>
      <c r="D66" s="380"/>
      <c r="E66" s="380"/>
      <c r="F66" s="380"/>
      <c r="G66" s="380"/>
      <c r="H66" s="315"/>
    </row>
    <row r="67" spans="1:8" ht="29.25" customHeight="1" x14ac:dyDescent="0.2">
      <c r="A67" s="379" t="s">
        <v>1077</v>
      </c>
      <c r="B67" s="379"/>
      <c r="C67" s="379"/>
      <c r="D67" s="379"/>
      <c r="E67" s="379"/>
      <c r="F67" s="379"/>
      <c r="G67" s="379"/>
    </row>
    <row r="68" spans="1:8" ht="9.75" customHeight="1" x14ac:dyDescent="0.2">
      <c r="A68" s="186"/>
      <c r="B68" s="62"/>
    </row>
    <row r="69" spans="1:8" ht="54" customHeight="1" x14ac:dyDescent="0.2">
      <c r="A69" s="187" t="s">
        <v>18</v>
      </c>
      <c r="B69" s="185" t="s">
        <v>541</v>
      </c>
      <c r="C69" s="73" t="s">
        <v>542</v>
      </c>
      <c r="D69" s="73" t="s">
        <v>543</v>
      </c>
      <c r="E69" s="73" t="s">
        <v>544</v>
      </c>
      <c r="F69" s="73" t="s">
        <v>545</v>
      </c>
      <c r="G69" s="74" t="s">
        <v>546</v>
      </c>
    </row>
    <row r="70" spans="1:8" ht="8.25" customHeight="1" x14ac:dyDescent="0.2">
      <c r="A70" s="39"/>
      <c r="B70" s="27"/>
    </row>
    <row r="71" spans="1:8" ht="8.25" customHeight="1" x14ac:dyDescent="0.2">
      <c r="A71" s="39"/>
      <c r="B71" s="27"/>
    </row>
    <row r="72" spans="1:8" ht="14.25" customHeight="1" x14ac:dyDescent="0.2">
      <c r="A72" s="373" t="s">
        <v>13</v>
      </c>
      <c r="B72" s="373"/>
      <c r="C72" s="373"/>
      <c r="D72" s="373"/>
      <c r="E72" s="371" t="s">
        <v>91</v>
      </c>
      <c r="F72" s="371"/>
      <c r="G72" s="371"/>
    </row>
    <row r="73" spans="1:8" ht="21.75" customHeight="1" x14ac:dyDescent="0.2">
      <c r="A73" s="372" t="s">
        <v>15</v>
      </c>
      <c r="B73" s="372"/>
      <c r="C73" s="372"/>
      <c r="D73" s="372"/>
      <c r="E73" s="372" t="s">
        <v>16</v>
      </c>
      <c r="F73" s="372"/>
      <c r="G73" s="372"/>
    </row>
    <row r="74" spans="1:8" ht="15.75" customHeight="1" x14ac:dyDescent="0.2">
      <c r="A74" s="368"/>
      <c r="B74" s="368"/>
      <c r="C74" s="368"/>
      <c r="D74" s="244"/>
      <c r="E74" s="45"/>
      <c r="F74" s="244"/>
      <c r="G74" s="244"/>
    </row>
    <row r="75" spans="1:8" ht="15.75" customHeight="1" x14ac:dyDescent="0.2">
      <c r="A75" s="368"/>
      <c r="B75" s="368"/>
      <c r="C75" s="368"/>
      <c r="E75" s="45"/>
      <c r="F75" s="45"/>
      <c r="G75" s="45"/>
    </row>
    <row r="76" spans="1:8" ht="15.75" customHeight="1" x14ac:dyDescent="0.2">
      <c r="A76" s="368"/>
      <c r="B76" s="368"/>
      <c r="C76" s="368"/>
      <c r="E76" s="45"/>
      <c r="F76" s="45"/>
      <c r="G76" s="45"/>
    </row>
    <row r="77" spans="1:8" ht="15.75" customHeight="1" x14ac:dyDescent="0.2">
      <c r="A77" s="368"/>
      <c r="B77" s="368"/>
      <c r="C77" s="368"/>
      <c r="E77" s="45"/>
      <c r="F77" s="45"/>
      <c r="G77" s="45"/>
    </row>
    <row r="78" spans="1:8" ht="15.75" customHeight="1" x14ac:dyDescent="0.2">
      <c r="A78" s="373" t="s">
        <v>292</v>
      </c>
      <c r="B78" s="373"/>
      <c r="C78" s="373"/>
      <c r="D78" s="373"/>
      <c r="E78" s="373" t="s">
        <v>293</v>
      </c>
      <c r="F78" s="373"/>
      <c r="G78" s="373"/>
    </row>
  </sheetData>
  <mergeCells count="22">
    <mergeCell ref="C1:G1"/>
    <mergeCell ref="A67:G67"/>
    <mergeCell ref="A66:G66"/>
    <mergeCell ref="E72:G72"/>
    <mergeCell ref="E73:G73"/>
    <mergeCell ref="A2:G2"/>
    <mergeCell ref="C3:G3"/>
    <mergeCell ref="A4:G4"/>
    <mergeCell ref="E78:G78"/>
    <mergeCell ref="A72:D72"/>
    <mergeCell ref="A73:D73"/>
    <mergeCell ref="A78:D78"/>
    <mergeCell ref="A5:G5"/>
    <mergeCell ref="A6:G6"/>
    <mergeCell ref="C7:G7"/>
    <mergeCell ref="C16:G16"/>
    <mergeCell ref="A17:G17"/>
    <mergeCell ref="A18:G18"/>
    <mergeCell ref="A75:C75"/>
    <mergeCell ref="A76:C76"/>
    <mergeCell ref="A77:C77"/>
    <mergeCell ref="A74:C74"/>
  </mergeCells>
  <printOptions horizontalCentered="1"/>
  <pageMargins left="0" right="0" top="0.59" bottom="0.59" header="0.5" footer="0.5"/>
  <pageSetup paperSize="9" scale="91" fitToHeight="0" orientation="portrait" r:id="rId1"/>
  <rowBreaks count="1" manualBreakCount="1">
    <brk id="6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0"/>
  <sheetViews>
    <sheetView showGridLines="0" showZeros="0" showOutlineSymbols="0" view="pageBreakPreview" topLeftCell="A40" zoomScaleNormal="100" zoomScaleSheetLayoutView="100" workbookViewId="0">
      <selection activeCell="A50" sqref="A50:E50"/>
    </sheetView>
  </sheetViews>
  <sheetFormatPr defaultRowHeight="12" x14ac:dyDescent="0.25"/>
  <cols>
    <col min="1" max="1" width="6.85546875" style="76" customWidth="1"/>
    <col min="2" max="2" width="45.42578125" style="76" customWidth="1"/>
    <col min="3" max="3" width="11.5703125" style="259" customWidth="1"/>
    <col min="4" max="5" width="21.28515625" style="76" customWidth="1"/>
    <col min="6" max="6" width="9.140625" style="76"/>
    <col min="7" max="7" width="17.42578125" style="76" bestFit="1" customWidth="1"/>
    <col min="8" max="8" width="9.140625" style="76"/>
    <col min="9" max="9" width="12.5703125" style="76" bestFit="1" customWidth="1"/>
    <col min="10" max="252" width="9.140625" style="76"/>
    <col min="253" max="253" width="10" style="76" customWidth="1"/>
    <col min="254" max="254" width="23.5703125" style="76" customWidth="1"/>
    <col min="255" max="255" width="5" style="76" customWidth="1"/>
    <col min="256" max="256" width="10.7109375" style="76" customWidth="1"/>
    <col min="257" max="257" width="3.5703125" style="76" customWidth="1"/>
    <col min="258" max="258" width="11.28515625" style="76" customWidth="1"/>
    <col min="259" max="259" width="8.140625" style="76" customWidth="1"/>
    <col min="260" max="260" width="13" style="76" customWidth="1"/>
    <col min="261" max="261" width="6.42578125" style="76" customWidth="1"/>
    <col min="262" max="508" width="9.140625" style="76"/>
    <col min="509" max="509" width="10" style="76" customWidth="1"/>
    <col min="510" max="510" width="23.5703125" style="76" customWidth="1"/>
    <col min="511" max="511" width="5" style="76" customWidth="1"/>
    <col min="512" max="512" width="10.7109375" style="76" customWidth="1"/>
    <col min="513" max="513" width="3.5703125" style="76" customWidth="1"/>
    <col min="514" max="514" width="11.28515625" style="76" customWidth="1"/>
    <col min="515" max="515" width="8.140625" style="76" customWidth="1"/>
    <col min="516" max="516" width="13" style="76" customWidth="1"/>
    <col min="517" max="517" width="6.42578125" style="76" customWidth="1"/>
    <col min="518" max="764" width="9.140625" style="76"/>
    <col min="765" max="765" width="10" style="76" customWidth="1"/>
    <col min="766" max="766" width="23.5703125" style="76" customWidth="1"/>
    <col min="767" max="767" width="5" style="76" customWidth="1"/>
    <col min="768" max="768" width="10.7109375" style="76" customWidth="1"/>
    <col min="769" max="769" width="3.5703125" style="76" customWidth="1"/>
    <col min="770" max="770" width="11.28515625" style="76" customWidth="1"/>
    <col min="771" max="771" width="8.140625" style="76" customWidth="1"/>
    <col min="772" max="772" width="13" style="76" customWidth="1"/>
    <col min="773" max="773" width="6.42578125" style="76" customWidth="1"/>
    <col min="774" max="1020" width="9.140625" style="76"/>
    <col min="1021" max="1021" width="10" style="76" customWidth="1"/>
    <col min="1022" max="1022" width="23.5703125" style="76" customWidth="1"/>
    <col min="1023" max="1023" width="5" style="76" customWidth="1"/>
    <col min="1024" max="1024" width="10.7109375" style="76" customWidth="1"/>
    <col min="1025" max="1025" width="3.5703125" style="76" customWidth="1"/>
    <col min="1026" max="1026" width="11.28515625" style="76" customWidth="1"/>
    <col min="1027" max="1027" width="8.140625" style="76" customWidth="1"/>
    <col min="1028" max="1028" width="13" style="76" customWidth="1"/>
    <col min="1029" max="1029" width="6.42578125" style="76" customWidth="1"/>
    <col min="1030" max="1276" width="9.140625" style="76"/>
    <col min="1277" max="1277" width="10" style="76" customWidth="1"/>
    <col min="1278" max="1278" width="23.5703125" style="76" customWidth="1"/>
    <col min="1279" max="1279" width="5" style="76" customWidth="1"/>
    <col min="1280" max="1280" width="10.7109375" style="76" customWidth="1"/>
    <col min="1281" max="1281" width="3.5703125" style="76" customWidth="1"/>
    <col min="1282" max="1282" width="11.28515625" style="76" customWidth="1"/>
    <col min="1283" max="1283" width="8.140625" style="76" customWidth="1"/>
    <col min="1284" max="1284" width="13" style="76" customWidth="1"/>
    <col min="1285" max="1285" width="6.42578125" style="76" customWidth="1"/>
    <col min="1286" max="1532" width="9.140625" style="76"/>
    <col min="1533" max="1533" width="10" style="76" customWidth="1"/>
    <col min="1534" max="1534" width="23.5703125" style="76" customWidth="1"/>
    <col min="1535" max="1535" width="5" style="76" customWidth="1"/>
    <col min="1536" max="1536" width="10.7109375" style="76" customWidth="1"/>
    <col min="1537" max="1537" width="3.5703125" style="76" customWidth="1"/>
    <col min="1538" max="1538" width="11.28515625" style="76" customWidth="1"/>
    <col min="1539" max="1539" width="8.140625" style="76" customWidth="1"/>
    <col min="1540" max="1540" width="13" style="76" customWidth="1"/>
    <col min="1541" max="1541" width="6.42578125" style="76" customWidth="1"/>
    <col min="1542" max="1788" width="9.140625" style="76"/>
    <col min="1789" max="1789" width="10" style="76" customWidth="1"/>
    <col min="1790" max="1790" width="23.5703125" style="76" customWidth="1"/>
    <col min="1791" max="1791" width="5" style="76" customWidth="1"/>
    <col min="1792" max="1792" width="10.7109375" style="76" customWidth="1"/>
    <col min="1793" max="1793" width="3.5703125" style="76" customWidth="1"/>
    <col min="1794" max="1794" width="11.28515625" style="76" customWidth="1"/>
    <col min="1795" max="1795" width="8.140625" style="76" customWidth="1"/>
    <col min="1796" max="1796" width="13" style="76" customWidth="1"/>
    <col min="1797" max="1797" width="6.42578125" style="76" customWidth="1"/>
    <col min="1798" max="2044" width="9.140625" style="76"/>
    <col min="2045" max="2045" width="10" style="76" customWidth="1"/>
    <col min="2046" max="2046" width="23.5703125" style="76" customWidth="1"/>
    <col min="2047" max="2047" width="5" style="76" customWidth="1"/>
    <col min="2048" max="2048" width="10.7109375" style="76" customWidth="1"/>
    <col min="2049" max="2049" width="3.5703125" style="76" customWidth="1"/>
    <col min="2050" max="2050" width="11.28515625" style="76" customWidth="1"/>
    <col min="2051" max="2051" width="8.140625" style="76" customWidth="1"/>
    <col min="2052" max="2052" width="13" style="76" customWidth="1"/>
    <col min="2053" max="2053" width="6.42578125" style="76" customWidth="1"/>
    <col min="2054" max="2300" width="9.140625" style="76"/>
    <col min="2301" max="2301" width="10" style="76" customWidth="1"/>
    <col min="2302" max="2302" width="23.5703125" style="76" customWidth="1"/>
    <col min="2303" max="2303" width="5" style="76" customWidth="1"/>
    <col min="2304" max="2304" width="10.7109375" style="76" customWidth="1"/>
    <col min="2305" max="2305" width="3.5703125" style="76" customWidth="1"/>
    <col min="2306" max="2306" width="11.28515625" style="76" customWidth="1"/>
    <col min="2307" max="2307" width="8.140625" style="76" customWidth="1"/>
    <col min="2308" max="2308" width="13" style="76" customWidth="1"/>
    <col min="2309" max="2309" width="6.42578125" style="76" customWidth="1"/>
    <col min="2310" max="2556" width="9.140625" style="76"/>
    <col min="2557" max="2557" width="10" style="76" customWidth="1"/>
    <col min="2558" max="2558" width="23.5703125" style="76" customWidth="1"/>
    <col min="2559" max="2559" width="5" style="76" customWidth="1"/>
    <col min="2560" max="2560" width="10.7109375" style="76" customWidth="1"/>
    <col min="2561" max="2561" width="3.5703125" style="76" customWidth="1"/>
    <col min="2562" max="2562" width="11.28515625" style="76" customWidth="1"/>
    <col min="2563" max="2563" width="8.140625" style="76" customWidth="1"/>
    <col min="2564" max="2564" width="13" style="76" customWidth="1"/>
    <col min="2565" max="2565" width="6.42578125" style="76" customWidth="1"/>
    <col min="2566" max="2812" width="9.140625" style="76"/>
    <col min="2813" max="2813" width="10" style="76" customWidth="1"/>
    <col min="2814" max="2814" width="23.5703125" style="76" customWidth="1"/>
    <col min="2815" max="2815" width="5" style="76" customWidth="1"/>
    <col min="2816" max="2816" width="10.7109375" style="76" customWidth="1"/>
    <col min="2817" max="2817" width="3.5703125" style="76" customWidth="1"/>
    <col min="2818" max="2818" width="11.28515625" style="76" customWidth="1"/>
    <col min="2819" max="2819" width="8.140625" style="76" customWidth="1"/>
    <col min="2820" max="2820" width="13" style="76" customWidth="1"/>
    <col min="2821" max="2821" width="6.42578125" style="76" customWidth="1"/>
    <col min="2822" max="3068" width="9.140625" style="76"/>
    <col min="3069" max="3069" width="10" style="76" customWidth="1"/>
    <col min="3070" max="3070" width="23.5703125" style="76" customWidth="1"/>
    <col min="3071" max="3071" width="5" style="76" customWidth="1"/>
    <col min="3072" max="3072" width="10.7109375" style="76" customWidth="1"/>
    <col min="3073" max="3073" width="3.5703125" style="76" customWidth="1"/>
    <col min="3074" max="3074" width="11.28515625" style="76" customWidth="1"/>
    <col min="3075" max="3075" width="8.140625" style="76" customWidth="1"/>
    <col min="3076" max="3076" width="13" style="76" customWidth="1"/>
    <col min="3077" max="3077" width="6.42578125" style="76" customWidth="1"/>
    <col min="3078" max="3324" width="9.140625" style="76"/>
    <col min="3325" max="3325" width="10" style="76" customWidth="1"/>
    <col min="3326" max="3326" width="23.5703125" style="76" customWidth="1"/>
    <col min="3327" max="3327" width="5" style="76" customWidth="1"/>
    <col min="3328" max="3328" width="10.7109375" style="76" customWidth="1"/>
    <col min="3329" max="3329" width="3.5703125" style="76" customWidth="1"/>
    <col min="3330" max="3330" width="11.28515625" style="76" customWidth="1"/>
    <col min="3331" max="3331" width="8.140625" style="76" customWidth="1"/>
    <col min="3332" max="3332" width="13" style="76" customWidth="1"/>
    <col min="3333" max="3333" width="6.42578125" style="76" customWidth="1"/>
    <col min="3334" max="3580" width="9.140625" style="76"/>
    <col min="3581" max="3581" width="10" style="76" customWidth="1"/>
    <col min="3582" max="3582" width="23.5703125" style="76" customWidth="1"/>
    <col min="3583" max="3583" width="5" style="76" customWidth="1"/>
    <col min="3584" max="3584" width="10.7109375" style="76" customWidth="1"/>
    <col min="3585" max="3585" width="3.5703125" style="76" customWidth="1"/>
    <col min="3586" max="3586" width="11.28515625" style="76" customWidth="1"/>
    <col min="3587" max="3587" width="8.140625" style="76" customWidth="1"/>
    <col min="3588" max="3588" width="13" style="76" customWidth="1"/>
    <col min="3589" max="3589" width="6.42578125" style="76" customWidth="1"/>
    <col min="3590" max="3836" width="9.140625" style="76"/>
    <col min="3837" max="3837" width="10" style="76" customWidth="1"/>
    <col min="3838" max="3838" width="23.5703125" style="76" customWidth="1"/>
    <col min="3839" max="3839" width="5" style="76" customWidth="1"/>
    <col min="3840" max="3840" width="10.7109375" style="76" customWidth="1"/>
    <col min="3841" max="3841" width="3.5703125" style="76" customWidth="1"/>
    <col min="3842" max="3842" width="11.28515625" style="76" customWidth="1"/>
    <col min="3843" max="3843" width="8.140625" style="76" customWidth="1"/>
    <col min="3844" max="3844" width="13" style="76" customWidth="1"/>
    <col min="3845" max="3845" width="6.42578125" style="76" customWidth="1"/>
    <col min="3846" max="4092" width="9.140625" style="76"/>
    <col min="4093" max="4093" width="10" style="76" customWidth="1"/>
    <col min="4094" max="4094" width="23.5703125" style="76" customWidth="1"/>
    <col min="4095" max="4095" width="5" style="76" customWidth="1"/>
    <col min="4096" max="4096" width="10.7109375" style="76" customWidth="1"/>
    <col min="4097" max="4097" width="3.5703125" style="76" customWidth="1"/>
    <col min="4098" max="4098" width="11.28515625" style="76" customWidth="1"/>
    <col min="4099" max="4099" width="8.140625" style="76" customWidth="1"/>
    <col min="4100" max="4100" width="13" style="76" customWidth="1"/>
    <col min="4101" max="4101" width="6.42578125" style="76" customWidth="1"/>
    <col min="4102" max="4348" width="9.140625" style="76"/>
    <col min="4349" max="4349" width="10" style="76" customWidth="1"/>
    <col min="4350" max="4350" width="23.5703125" style="76" customWidth="1"/>
    <col min="4351" max="4351" width="5" style="76" customWidth="1"/>
    <col min="4352" max="4352" width="10.7109375" style="76" customWidth="1"/>
    <col min="4353" max="4353" width="3.5703125" style="76" customWidth="1"/>
    <col min="4354" max="4354" width="11.28515625" style="76" customWidth="1"/>
    <col min="4355" max="4355" width="8.140625" style="76" customWidth="1"/>
    <col min="4356" max="4356" width="13" style="76" customWidth="1"/>
    <col min="4357" max="4357" width="6.42578125" style="76" customWidth="1"/>
    <col min="4358" max="4604" width="9.140625" style="76"/>
    <col min="4605" max="4605" width="10" style="76" customWidth="1"/>
    <col min="4606" max="4606" width="23.5703125" style="76" customWidth="1"/>
    <col min="4607" max="4607" width="5" style="76" customWidth="1"/>
    <col min="4608" max="4608" width="10.7109375" style="76" customWidth="1"/>
    <col min="4609" max="4609" width="3.5703125" style="76" customWidth="1"/>
    <col min="4610" max="4610" width="11.28515625" style="76" customWidth="1"/>
    <col min="4611" max="4611" width="8.140625" style="76" customWidth="1"/>
    <col min="4612" max="4612" width="13" style="76" customWidth="1"/>
    <col min="4613" max="4613" width="6.42578125" style="76" customWidth="1"/>
    <col min="4614" max="4860" width="9.140625" style="76"/>
    <col min="4861" max="4861" width="10" style="76" customWidth="1"/>
    <col min="4862" max="4862" width="23.5703125" style="76" customWidth="1"/>
    <col min="4863" max="4863" width="5" style="76" customWidth="1"/>
    <col min="4864" max="4864" width="10.7109375" style="76" customWidth="1"/>
    <col min="4865" max="4865" width="3.5703125" style="76" customWidth="1"/>
    <col min="4866" max="4866" width="11.28515625" style="76" customWidth="1"/>
    <col min="4867" max="4867" width="8.140625" style="76" customWidth="1"/>
    <col min="4868" max="4868" width="13" style="76" customWidth="1"/>
    <col min="4869" max="4869" width="6.42578125" style="76" customWidth="1"/>
    <col min="4870" max="5116" width="9.140625" style="76"/>
    <col min="5117" max="5117" width="10" style="76" customWidth="1"/>
    <col min="5118" max="5118" width="23.5703125" style="76" customWidth="1"/>
    <col min="5119" max="5119" width="5" style="76" customWidth="1"/>
    <col min="5120" max="5120" width="10.7109375" style="76" customWidth="1"/>
    <col min="5121" max="5121" width="3.5703125" style="76" customWidth="1"/>
    <col min="5122" max="5122" width="11.28515625" style="76" customWidth="1"/>
    <col min="5123" max="5123" width="8.140625" style="76" customWidth="1"/>
    <col min="5124" max="5124" width="13" style="76" customWidth="1"/>
    <col min="5125" max="5125" width="6.42578125" style="76" customWidth="1"/>
    <col min="5126" max="5372" width="9.140625" style="76"/>
    <col min="5373" max="5373" width="10" style="76" customWidth="1"/>
    <col min="5374" max="5374" width="23.5703125" style="76" customWidth="1"/>
    <col min="5375" max="5375" width="5" style="76" customWidth="1"/>
    <col min="5376" max="5376" width="10.7109375" style="76" customWidth="1"/>
    <col min="5377" max="5377" width="3.5703125" style="76" customWidth="1"/>
    <col min="5378" max="5378" width="11.28515625" style="76" customWidth="1"/>
    <col min="5379" max="5379" width="8.140625" style="76" customWidth="1"/>
    <col min="5380" max="5380" width="13" style="76" customWidth="1"/>
    <col min="5381" max="5381" width="6.42578125" style="76" customWidth="1"/>
    <col min="5382" max="5628" width="9.140625" style="76"/>
    <col min="5629" max="5629" width="10" style="76" customWidth="1"/>
    <col min="5630" max="5630" width="23.5703125" style="76" customWidth="1"/>
    <col min="5631" max="5631" width="5" style="76" customWidth="1"/>
    <col min="5632" max="5632" width="10.7109375" style="76" customWidth="1"/>
    <col min="5633" max="5633" width="3.5703125" style="76" customWidth="1"/>
    <col min="5634" max="5634" width="11.28515625" style="76" customWidth="1"/>
    <col min="5635" max="5635" width="8.140625" style="76" customWidth="1"/>
    <col min="5636" max="5636" width="13" style="76" customWidth="1"/>
    <col min="5637" max="5637" width="6.42578125" style="76" customWidth="1"/>
    <col min="5638" max="5884" width="9.140625" style="76"/>
    <col min="5885" max="5885" width="10" style="76" customWidth="1"/>
    <col min="5886" max="5886" width="23.5703125" style="76" customWidth="1"/>
    <col min="5887" max="5887" width="5" style="76" customWidth="1"/>
    <col min="5888" max="5888" width="10.7109375" style="76" customWidth="1"/>
    <col min="5889" max="5889" width="3.5703125" style="76" customWidth="1"/>
    <col min="5890" max="5890" width="11.28515625" style="76" customWidth="1"/>
    <col min="5891" max="5891" width="8.140625" style="76" customWidth="1"/>
    <col min="5892" max="5892" width="13" style="76" customWidth="1"/>
    <col min="5893" max="5893" width="6.42578125" style="76" customWidth="1"/>
    <col min="5894" max="6140" width="9.140625" style="76"/>
    <col min="6141" max="6141" width="10" style="76" customWidth="1"/>
    <col min="6142" max="6142" width="23.5703125" style="76" customWidth="1"/>
    <col min="6143" max="6143" width="5" style="76" customWidth="1"/>
    <col min="6144" max="6144" width="10.7109375" style="76" customWidth="1"/>
    <col min="6145" max="6145" width="3.5703125" style="76" customWidth="1"/>
    <col min="6146" max="6146" width="11.28515625" style="76" customWidth="1"/>
    <col min="6147" max="6147" width="8.140625" style="76" customWidth="1"/>
    <col min="6148" max="6148" width="13" style="76" customWidth="1"/>
    <col min="6149" max="6149" width="6.42578125" style="76" customWidth="1"/>
    <col min="6150" max="6396" width="9.140625" style="76"/>
    <col min="6397" max="6397" width="10" style="76" customWidth="1"/>
    <col min="6398" max="6398" width="23.5703125" style="76" customWidth="1"/>
    <col min="6399" max="6399" width="5" style="76" customWidth="1"/>
    <col min="6400" max="6400" width="10.7109375" style="76" customWidth="1"/>
    <col min="6401" max="6401" width="3.5703125" style="76" customWidth="1"/>
    <col min="6402" max="6402" width="11.28515625" style="76" customWidth="1"/>
    <col min="6403" max="6403" width="8.140625" style="76" customWidth="1"/>
    <col min="6404" max="6404" width="13" style="76" customWidth="1"/>
    <col min="6405" max="6405" width="6.42578125" style="76" customWidth="1"/>
    <col min="6406" max="6652" width="9.140625" style="76"/>
    <col min="6653" max="6653" width="10" style="76" customWidth="1"/>
    <col min="6654" max="6654" width="23.5703125" style="76" customWidth="1"/>
    <col min="6655" max="6655" width="5" style="76" customWidth="1"/>
    <col min="6656" max="6656" width="10.7109375" style="76" customWidth="1"/>
    <col min="6657" max="6657" width="3.5703125" style="76" customWidth="1"/>
    <col min="6658" max="6658" width="11.28515625" style="76" customWidth="1"/>
    <col min="6659" max="6659" width="8.140625" style="76" customWidth="1"/>
    <col min="6660" max="6660" width="13" style="76" customWidth="1"/>
    <col min="6661" max="6661" width="6.42578125" style="76" customWidth="1"/>
    <col min="6662" max="6908" width="9.140625" style="76"/>
    <col min="6909" max="6909" width="10" style="76" customWidth="1"/>
    <col min="6910" max="6910" width="23.5703125" style="76" customWidth="1"/>
    <col min="6911" max="6911" width="5" style="76" customWidth="1"/>
    <col min="6912" max="6912" width="10.7109375" style="76" customWidth="1"/>
    <col min="6913" max="6913" width="3.5703125" style="76" customWidth="1"/>
    <col min="6914" max="6914" width="11.28515625" style="76" customWidth="1"/>
    <col min="6915" max="6915" width="8.140625" style="76" customWidth="1"/>
    <col min="6916" max="6916" width="13" style="76" customWidth="1"/>
    <col min="6917" max="6917" width="6.42578125" style="76" customWidth="1"/>
    <col min="6918" max="7164" width="9.140625" style="76"/>
    <col min="7165" max="7165" width="10" style="76" customWidth="1"/>
    <col min="7166" max="7166" width="23.5703125" style="76" customWidth="1"/>
    <col min="7167" max="7167" width="5" style="76" customWidth="1"/>
    <col min="7168" max="7168" width="10.7109375" style="76" customWidth="1"/>
    <col min="7169" max="7169" width="3.5703125" style="76" customWidth="1"/>
    <col min="7170" max="7170" width="11.28515625" style="76" customWidth="1"/>
    <col min="7171" max="7171" width="8.140625" style="76" customWidth="1"/>
    <col min="7172" max="7172" width="13" style="76" customWidth="1"/>
    <col min="7173" max="7173" width="6.42578125" style="76" customWidth="1"/>
    <col min="7174" max="7420" width="9.140625" style="76"/>
    <col min="7421" max="7421" width="10" style="76" customWidth="1"/>
    <col min="7422" max="7422" width="23.5703125" style="76" customWidth="1"/>
    <col min="7423" max="7423" width="5" style="76" customWidth="1"/>
    <col min="7424" max="7424" width="10.7109375" style="76" customWidth="1"/>
    <col min="7425" max="7425" width="3.5703125" style="76" customWidth="1"/>
    <col min="7426" max="7426" width="11.28515625" style="76" customWidth="1"/>
    <col min="7427" max="7427" width="8.140625" style="76" customWidth="1"/>
    <col min="7428" max="7428" width="13" style="76" customWidth="1"/>
    <col min="7429" max="7429" width="6.42578125" style="76" customWidth="1"/>
    <col min="7430" max="7676" width="9.140625" style="76"/>
    <col min="7677" max="7677" width="10" style="76" customWidth="1"/>
    <col min="7678" max="7678" width="23.5703125" style="76" customWidth="1"/>
    <col min="7679" max="7679" width="5" style="76" customWidth="1"/>
    <col min="7680" max="7680" width="10.7109375" style="76" customWidth="1"/>
    <col min="7681" max="7681" width="3.5703125" style="76" customWidth="1"/>
    <col min="7682" max="7682" width="11.28515625" style="76" customWidth="1"/>
    <col min="7683" max="7683" width="8.140625" style="76" customWidth="1"/>
    <col min="7684" max="7684" width="13" style="76" customWidth="1"/>
    <col min="7685" max="7685" width="6.42578125" style="76" customWidth="1"/>
    <col min="7686" max="7932" width="9.140625" style="76"/>
    <col min="7933" max="7933" width="10" style="76" customWidth="1"/>
    <col min="7934" max="7934" width="23.5703125" style="76" customWidth="1"/>
    <col min="7935" max="7935" width="5" style="76" customWidth="1"/>
    <col min="7936" max="7936" width="10.7109375" style="76" customWidth="1"/>
    <col min="7937" max="7937" width="3.5703125" style="76" customWidth="1"/>
    <col min="7938" max="7938" width="11.28515625" style="76" customWidth="1"/>
    <col min="7939" max="7939" width="8.140625" style="76" customWidth="1"/>
    <col min="7940" max="7940" width="13" style="76" customWidth="1"/>
    <col min="7941" max="7941" width="6.42578125" style="76" customWidth="1"/>
    <col min="7942" max="8188" width="9.140625" style="76"/>
    <col min="8189" max="8189" width="10" style="76" customWidth="1"/>
    <col min="8190" max="8190" width="23.5703125" style="76" customWidth="1"/>
    <col min="8191" max="8191" width="5" style="76" customWidth="1"/>
    <col min="8192" max="8192" width="10.7109375" style="76" customWidth="1"/>
    <col min="8193" max="8193" width="3.5703125" style="76" customWidth="1"/>
    <col min="8194" max="8194" width="11.28515625" style="76" customWidth="1"/>
    <col min="8195" max="8195" width="8.140625" style="76" customWidth="1"/>
    <col min="8196" max="8196" width="13" style="76" customWidth="1"/>
    <col min="8197" max="8197" width="6.42578125" style="76" customWidth="1"/>
    <col min="8198" max="8444" width="9.140625" style="76"/>
    <col min="8445" max="8445" width="10" style="76" customWidth="1"/>
    <col min="8446" max="8446" width="23.5703125" style="76" customWidth="1"/>
    <col min="8447" max="8447" width="5" style="76" customWidth="1"/>
    <col min="8448" max="8448" width="10.7109375" style="76" customWidth="1"/>
    <col min="8449" max="8449" width="3.5703125" style="76" customWidth="1"/>
    <col min="8450" max="8450" width="11.28515625" style="76" customWidth="1"/>
    <col min="8451" max="8451" width="8.140625" style="76" customWidth="1"/>
    <col min="8452" max="8452" width="13" style="76" customWidth="1"/>
    <col min="8453" max="8453" width="6.42578125" style="76" customWidth="1"/>
    <col min="8454" max="8700" width="9.140625" style="76"/>
    <col min="8701" max="8701" width="10" style="76" customWidth="1"/>
    <col min="8702" max="8702" width="23.5703125" style="76" customWidth="1"/>
    <col min="8703" max="8703" width="5" style="76" customWidth="1"/>
    <col min="8704" max="8704" width="10.7109375" style="76" customWidth="1"/>
    <col min="8705" max="8705" width="3.5703125" style="76" customWidth="1"/>
    <col min="8706" max="8706" width="11.28515625" style="76" customWidth="1"/>
    <col min="8707" max="8707" width="8.140625" style="76" customWidth="1"/>
    <col min="8708" max="8708" width="13" style="76" customWidth="1"/>
    <col min="8709" max="8709" width="6.42578125" style="76" customWidth="1"/>
    <col min="8710" max="8956" width="9.140625" style="76"/>
    <col min="8957" max="8957" width="10" style="76" customWidth="1"/>
    <col min="8958" max="8958" width="23.5703125" style="76" customWidth="1"/>
    <col min="8959" max="8959" width="5" style="76" customWidth="1"/>
    <col min="8960" max="8960" width="10.7109375" style="76" customWidth="1"/>
    <col min="8961" max="8961" width="3.5703125" style="76" customWidth="1"/>
    <col min="8962" max="8962" width="11.28515625" style="76" customWidth="1"/>
    <col min="8963" max="8963" width="8.140625" style="76" customWidth="1"/>
    <col min="8964" max="8964" width="13" style="76" customWidth="1"/>
    <col min="8965" max="8965" width="6.42578125" style="76" customWidth="1"/>
    <col min="8966" max="9212" width="9.140625" style="76"/>
    <col min="9213" max="9213" width="10" style="76" customWidth="1"/>
    <col min="9214" max="9214" width="23.5703125" style="76" customWidth="1"/>
    <col min="9215" max="9215" width="5" style="76" customWidth="1"/>
    <col min="9216" max="9216" width="10.7109375" style="76" customWidth="1"/>
    <col min="9217" max="9217" width="3.5703125" style="76" customWidth="1"/>
    <col min="9218" max="9218" width="11.28515625" style="76" customWidth="1"/>
    <col min="9219" max="9219" width="8.140625" style="76" customWidth="1"/>
    <col min="9220" max="9220" width="13" style="76" customWidth="1"/>
    <col min="9221" max="9221" width="6.42578125" style="76" customWidth="1"/>
    <col min="9222" max="9468" width="9.140625" style="76"/>
    <col min="9469" max="9469" width="10" style="76" customWidth="1"/>
    <col min="9470" max="9470" width="23.5703125" style="76" customWidth="1"/>
    <col min="9471" max="9471" width="5" style="76" customWidth="1"/>
    <col min="9472" max="9472" width="10.7109375" style="76" customWidth="1"/>
    <col min="9473" max="9473" width="3.5703125" style="76" customWidth="1"/>
    <col min="9474" max="9474" width="11.28515625" style="76" customWidth="1"/>
    <col min="9475" max="9475" width="8.140625" style="76" customWidth="1"/>
    <col min="9476" max="9476" width="13" style="76" customWidth="1"/>
    <col min="9477" max="9477" width="6.42578125" style="76" customWidth="1"/>
    <col min="9478" max="9724" width="9.140625" style="76"/>
    <col min="9725" max="9725" width="10" style="76" customWidth="1"/>
    <col min="9726" max="9726" width="23.5703125" style="76" customWidth="1"/>
    <col min="9727" max="9727" width="5" style="76" customWidth="1"/>
    <col min="9728" max="9728" width="10.7109375" style="76" customWidth="1"/>
    <col min="9729" max="9729" width="3.5703125" style="76" customWidth="1"/>
    <col min="9730" max="9730" width="11.28515625" style="76" customWidth="1"/>
    <col min="9731" max="9731" width="8.140625" style="76" customWidth="1"/>
    <col min="9732" max="9732" width="13" style="76" customWidth="1"/>
    <col min="9733" max="9733" width="6.42578125" style="76" customWidth="1"/>
    <col min="9734" max="9980" width="9.140625" style="76"/>
    <col min="9981" max="9981" width="10" style="76" customWidth="1"/>
    <col min="9982" max="9982" width="23.5703125" style="76" customWidth="1"/>
    <col min="9983" max="9983" width="5" style="76" customWidth="1"/>
    <col min="9984" max="9984" width="10.7109375" style="76" customWidth="1"/>
    <col min="9985" max="9985" width="3.5703125" style="76" customWidth="1"/>
    <col min="9986" max="9986" width="11.28515625" style="76" customWidth="1"/>
    <col min="9987" max="9987" width="8.140625" style="76" customWidth="1"/>
    <col min="9988" max="9988" width="13" style="76" customWidth="1"/>
    <col min="9989" max="9989" width="6.42578125" style="76" customWidth="1"/>
    <col min="9990" max="10236" width="9.140625" style="76"/>
    <col min="10237" max="10237" width="10" style="76" customWidth="1"/>
    <col min="10238" max="10238" width="23.5703125" style="76" customWidth="1"/>
    <col min="10239" max="10239" width="5" style="76" customWidth="1"/>
    <col min="10240" max="10240" width="10.7109375" style="76" customWidth="1"/>
    <col min="10241" max="10241" width="3.5703125" style="76" customWidth="1"/>
    <col min="10242" max="10242" width="11.28515625" style="76" customWidth="1"/>
    <col min="10243" max="10243" width="8.140625" style="76" customWidth="1"/>
    <col min="10244" max="10244" width="13" style="76" customWidth="1"/>
    <col min="10245" max="10245" width="6.42578125" style="76" customWidth="1"/>
    <col min="10246" max="10492" width="9.140625" style="76"/>
    <col min="10493" max="10493" width="10" style="76" customWidth="1"/>
    <col min="10494" max="10494" width="23.5703125" style="76" customWidth="1"/>
    <col min="10495" max="10495" width="5" style="76" customWidth="1"/>
    <col min="10496" max="10496" width="10.7109375" style="76" customWidth="1"/>
    <col min="10497" max="10497" width="3.5703125" style="76" customWidth="1"/>
    <col min="10498" max="10498" width="11.28515625" style="76" customWidth="1"/>
    <col min="10499" max="10499" width="8.140625" style="76" customWidth="1"/>
    <col min="10500" max="10500" width="13" style="76" customWidth="1"/>
    <col min="10501" max="10501" width="6.42578125" style="76" customWidth="1"/>
    <col min="10502" max="10748" width="9.140625" style="76"/>
    <col min="10749" max="10749" width="10" style="76" customWidth="1"/>
    <col min="10750" max="10750" width="23.5703125" style="76" customWidth="1"/>
    <col min="10751" max="10751" width="5" style="76" customWidth="1"/>
    <col min="10752" max="10752" width="10.7109375" style="76" customWidth="1"/>
    <col min="10753" max="10753" width="3.5703125" style="76" customWidth="1"/>
    <col min="10754" max="10754" width="11.28515625" style="76" customWidth="1"/>
    <col min="10755" max="10755" width="8.140625" style="76" customWidth="1"/>
    <col min="10756" max="10756" width="13" style="76" customWidth="1"/>
    <col min="10757" max="10757" width="6.42578125" style="76" customWidth="1"/>
    <col min="10758" max="11004" width="9.140625" style="76"/>
    <col min="11005" max="11005" width="10" style="76" customWidth="1"/>
    <col min="11006" max="11006" width="23.5703125" style="76" customWidth="1"/>
    <col min="11007" max="11007" width="5" style="76" customWidth="1"/>
    <col min="11008" max="11008" width="10.7109375" style="76" customWidth="1"/>
    <col min="11009" max="11009" width="3.5703125" style="76" customWidth="1"/>
    <col min="11010" max="11010" width="11.28515625" style="76" customWidth="1"/>
    <col min="11011" max="11011" width="8.140625" style="76" customWidth="1"/>
    <col min="11012" max="11012" width="13" style="76" customWidth="1"/>
    <col min="11013" max="11013" width="6.42578125" style="76" customWidth="1"/>
    <col min="11014" max="11260" width="9.140625" style="76"/>
    <col min="11261" max="11261" width="10" style="76" customWidth="1"/>
    <col min="11262" max="11262" width="23.5703125" style="76" customWidth="1"/>
    <col min="11263" max="11263" width="5" style="76" customWidth="1"/>
    <col min="11264" max="11264" width="10.7109375" style="76" customWidth="1"/>
    <col min="11265" max="11265" width="3.5703125" style="76" customWidth="1"/>
    <col min="11266" max="11266" width="11.28515625" style="76" customWidth="1"/>
    <col min="11267" max="11267" width="8.140625" style="76" customWidth="1"/>
    <col min="11268" max="11268" width="13" style="76" customWidth="1"/>
    <col min="11269" max="11269" width="6.42578125" style="76" customWidth="1"/>
    <col min="11270" max="11516" width="9.140625" style="76"/>
    <col min="11517" max="11517" width="10" style="76" customWidth="1"/>
    <col min="11518" max="11518" width="23.5703125" style="76" customWidth="1"/>
    <col min="11519" max="11519" width="5" style="76" customWidth="1"/>
    <col min="11520" max="11520" width="10.7109375" style="76" customWidth="1"/>
    <col min="11521" max="11521" width="3.5703125" style="76" customWidth="1"/>
    <col min="11522" max="11522" width="11.28515625" style="76" customWidth="1"/>
    <col min="11523" max="11523" width="8.140625" style="76" customWidth="1"/>
    <col min="11524" max="11524" width="13" style="76" customWidth="1"/>
    <col min="11525" max="11525" width="6.42578125" style="76" customWidth="1"/>
    <col min="11526" max="11772" width="9.140625" style="76"/>
    <col min="11773" max="11773" width="10" style="76" customWidth="1"/>
    <col min="11774" max="11774" width="23.5703125" style="76" customWidth="1"/>
    <col min="11775" max="11775" width="5" style="76" customWidth="1"/>
    <col min="11776" max="11776" width="10.7109375" style="76" customWidth="1"/>
    <col min="11777" max="11777" width="3.5703125" style="76" customWidth="1"/>
    <col min="11778" max="11778" width="11.28515625" style="76" customWidth="1"/>
    <col min="11779" max="11779" width="8.140625" style="76" customWidth="1"/>
    <col min="11780" max="11780" width="13" style="76" customWidth="1"/>
    <col min="11781" max="11781" width="6.42578125" style="76" customWidth="1"/>
    <col min="11782" max="12028" width="9.140625" style="76"/>
    <col min="12029" max="12029" width="10" style="76" customWidth="1"/>
    <col min="12030" max="12030" width="23.5703125" style="76" customWidth="1"/>
    <col min="12031" max="12031" width="5" style="76" customWidth="1"/>
    <col min="12032" max="12032" width="10.7109375" style="76" customWidth="1"/>
    <col min="12033" max="12033" width="3.5703125" style="76" customWidth="1"/>
    <col min="12034" max="12034" width="11.28515625" style="76" customWidth="1"/>
    <col min="12035" max="12035" width="8.140625" style="76" customWidth="1"/>
    <col min="12036" max="12036" width="13" style="76" customWidth="1"/>
    <col min="12037" max="12037" width="6.42578125" style="76" customWidth="1"/>
    <col min="12038" max="12284" width="9.140625" style="76"/>
    <col min="12285" max="12285" width="10" style="76" customWidth="1"/>
    <col min="12286" max="12286" width="23.5703125" style="76" customWidth="1"/>
    <col min="12287" max="12287" width="5" style="76" customWidth="1"/>
    <col min="12288" max="12288" width="10.7109375" style="76" customWidth="1"/>
    <col min="12289" max="12289" width="3.5703125" style="76" customWidth="1"/>
    <col min="12290" max="12290" width="11.28515625" style="76" customWidth="1"/>
    <col min="12291" max="12291" width="8.140625" style="76" customWidth="1"/>
    <col min="12292" max="12292" width="13" style="76" customWidth="1"/>
    <col min="12293" max="12293" width="6.42578125" style="76" customWidth="1"/>
    <col min="12294" max="12540" width="9.140625" style="76"/>
    <col min="12541" max="12541" width="10" style="76" customWidth="1"/>
    <col min="12542" max="12542" width="23.5703125" style="76" customWidth="1"/>
    <col min="12543" max="12543" width="5" style="76" customWidth="1"/>
    <col min="12544" max="12544" width="10.7109375" style="76" customWidth="1"/>
    <col min="12545" max="12545" width="3.5703125" style="76" customWidth="1"/>
    <col min="12546" max="12546" width="11.28515625" style="76" customWidth="1"/>
    <col min="12547" max="12547" width="8.140625" style="76" customWidth="1"/>
    <col min="12548" max="12548" width="13" style="76" customWidth="1"/>
    <col min="12549" max="12549" width="6.42578125" style="76" customWidth="1"/>
    <col min="12550" max="12796" width="9.140625" style="76"/>
    <col min="12797" max="12797" width="10" style="76" customWidth="1"/>
    <col min="12798" max="12798" width="23.5703125" style="76" customWidth="1"/>
    <col min="12799" max="12799" width="5" style="76" customWidth="1"/>
    <col min="12800" max="12800" width="10.7109375" style="76" customWidth="1"/>
    <col min="12801" max="12801" width="3.5703125" style="76" customWidth="1"/>
    <col min="12802" max="12802" width="11.28515625" style="76" customWidth="1"/>
    <col min="12803" max="12803" width="8.140625" style="76" customWidth="1"/>
    <col min="12804" max="12804" width="13" style="76" customWidth="1"/>
    <col min="12805" max="12805" width="6.42578125" style="76" customWidth="1"/>
    <col min="12806" max="13052" width="9.140625" style="76"/>
    <col min="13053" max="13053" width="10" style="76" customWidth="1"/>
    <col min="13054" max="13054" width="23.5703125" style="76" customWidth="1"/>
    <col min="13055" max="13055" width="5" style="76" customWidth="1"/>
    <col min="13056" max="13056" width="10.7109375" style="76" customWidth="1"/>
    <col min="13057" max="13057" width="3.5703125" style="76" customWidth="1"/>
    <col min="13058" max="13058" width="11.28515625" style="76" customWidth="1"/>
    <col min="13059" max="13059" width="8.140625" style="76" customWidth="1"/>
    <col min="13060" max="13060" width="13" style="76" customWidth="1"/>
    <col min="13061" max="13061" width="6.42578125" style="76" customWidth="1"/>
    <col min="13062" max="13308" width="9.140625" style="76"/>
    <col min="13309" max="13309" width="10" style="76" customWidth="1"/>
    <col min="13310" max="13310" width="23.5703125" style="76" customWidth="1"/>
    <col min="13311" max="13311" width="5" style="76" customWidth="1"/>
    <col min="13312" max="13312" width="10.7109375" style="76" customWidth="1"/>
    <col min="13313" max="13313" width="3.5703125" style="76" customWidth="1"/>
    <col min="13314" max="13314" width="11.28515625" style="76" customWidth="1"/>
    <col min="13315" max="13315" width="8.140625" style="76" customWidth="1"/>
    <col min="13316" max="13316" width="13" style="76" customWidth="1"/>
    <col min="13317" max="13317" width="6.42578125" style="76" customWidth="1"/>
    <col min="13318" max="13564" width="9.140625" style="76"/>
    <col min="13565" max="13565" width="10" style="76" customWidth="1"/>
    <col min="13566" max="13566" width="23.5703125" style="76" customWidth="1"/>
    <col min="13567" max="13567" width="5" style="76" customWidth="1"/>
    <col min="13568" max="13568" width="10.7109375" style="76" customWidth="1"/>
    <col min="13569" max="13569" width="3.5703125" style="76" customWidth="1"/>
    <col min="13570" max="13570" width="11.28515625" style="76" customWidth="1"/>
    <col min="13571" max="13571" width="8.140625" style="76" customWidth="1"/>
    <col min="13572" max="13572" width="13" style="76" customWidth="1"/>
    <col min="13573" max="13573" width="6.42578125" style="76" customWidth="1"/>
    <col min="13574" max="13820" width="9.140625" style="76"/>
    <col min="13821" max="13821" width="10" style="76" customWidth="1"/>
    <col min="13822" max="13822" width="23.5703125" style="76" customWidth="1"/>
    <col min="13823" max="13823" width="5" style="76" customWidth="1"/>
    <col min="13824" max="13824" width="10.7109375" style="76" customWidth="1"/>
    <col min="13825" max="13825" width="3.5703125" style="76" customWidth="1"/>
    <col min="13826" max="13826" width="11.28515625" style="76" customWidth="1"/>
    <col min="13827" max="13827" width="8.140625" style="76" customWidth="1"/>
    <col min="13828" max="13828" width="13" style="76" customWidth="1"/>
    <col min="13829" max="13829" width="6.42578125" style="76" customWidth="1"/>
    <col min="13830" max="14076" width="9.140625" style="76"/>
    <col min="14077" max="14077" width="10" style="76" customWidth="1"/>
    <col min="14078" max="14078" width="23.5703125" style="76" customWidth="1"/>
    <col min="14079" max="14079" width="5" style="76" customWidth="1"/>
    <col min="14080" max="14080" width="10.7109375" style="76" customWidth="1"/>
    <col min="14081" max="14081" width="3.5703125" style="76" customWidth="1"/>
    <col min="14082" max="14082" width="11.28515625" style="76" customWidth="1"/>
    <col min="14083" max="14083" width="8.140625" style="76" customWidth="1"/>
    <col min="14084" max="14084" width="13" style="76" customWidth="1"/>
    <col min="14085" max="14085" width="6.42578125" style="76" customWidth="1"/>
    <col min="14086" max="14332" width="9.140625" style="76"/>
    <col min="14333" max="14333" width="10" style="76" customWidth="1"/>
    <col min="14334" max="14334" width="23.5703125" style="76" customWidth="1"/>
    <col min="14335" max="14335" width="5" style="76" customWidth="1"/>
    <col min="14336" max="14336" width="10.7109375" style="76" customWidth="1"/>
    <col min="14337" max="14337" width="3.5703125" style="76" customWidth="1"/>
    <col min="14338" max="14338" width="11.28515625" style="76" customWidth="1"/>
    <col min="14339" max="14339" width="8.140625" style="76" customWidth="1"/>
    <col min="14340" max="14340" width="13" style="76" customWidth="1"/>
    <col min="14341" max="14341" width="6.42578125" style="76" customWidth="1"/>
    <col min="14342" max="14588" width="9.140625" style="76"/>
    <col min="14589" max="14589" width="10" style="76" customWidth="1"/>
    <col min="14590" max="14590" width="23.5703125" style="76" customWidth="1"/>
    <col min="14591" max="14591" width="5" style="76" customWidth="1"/>
    <col min="14592" max="14592" width="10.7109375" style="76" customWidth="1"/>
    <col min="14593" max="14593" width="3.5703125" style="76" customWidth="1"/>
    <col min="14594" max="14594" width="11.28515625" style="76" customWidth="1"/>
    <col min="14595" max="14595" width="8.140625" style="76" customWidth="1"/>
    <col min="14596" max="14596" width="13" style="76" customWidth="1"/>
    <col min="14597" max="14597" width="6.42578125" style="76" customWidth="1"/>
    <col min="14598" max="14844" width="9.140625" style="76"/>
    <col min="14845" max="14845" width="10" style="76" customWidth="1"/>
    <col min="14846" max="14846" width="23.5703125" style="76" customWidth="1"/>
    <col min="14847" max="14847" width="5" style="76" customWidth="1"/>
    <col min="14848" max="14848" width="10.7109375" style="76" customWidth="1"/>
    <col min="14849" max="14849" width="3.5703125" style="76" customWidth="1"/>
    <col min="14850" max="14850" width="11.28515625" style="76" customWidth="1"/>
    <col min="14851" max="14851" width="8.140625" style="76" customWidth="1"/>
    <col min="14852" max="14852" width="13" style="76" customWidth="1"/>
    <col min="14853" max="14853" width="6.42578125" style="76" customWidth="1"/>
    <col min="14854" max="15100" width="9.140625" style="76"/>
    <col min="15101" max="15101" width="10" style="76" customWidth="1"/>
    <col min="15102" max="15102" width="23.5703125" style="76" customWidth="1"/>
    <col min="15103" max="15103" width="5" style="76" customWidth="1"/>
    <col min="15104" max="15104" width="10.7109375" style="76" customWidth="1"/>
    <col min="15105" max="15105" width="3.5703125" style="76" customWidth="1"/>
    <col min="15106" max="15106" width="11.28515625" style="76" customWidth="1"/>
    <col min="15107" max="15107" width="8.140625" style="76" customWidth="1"/>
    <col min="15108" max="15108" width="13" style="76" customWidth="1"/>
    <col min="15109" max="15109" width="6.42578125" style="76" customWidth="1"/>
    <col min="15110" max="15356" width="9.140625" style="76"/>
    <col min="15357" max="15357" width="10" style="76" customWidth="1"/>
    <col min="15358" max="15358" width="23.5703125" style="76" customWidth="1"/>
    <col min="15359" max="15359" width="5" style="76" customWidth="1"/>
    <col min="15360" max="15360" width="10.7109375" style="76" customWidth="1"/>
    <col min="15361" max="15361" width="3.5703125" style="76" customWidth="1"/>
    <col min="15362" max="15362" width="11.28515625" style="76" customWidth="1"/>
    <col min="15363" max="15363" width="8.140625" style="76" customWidth="1"/>
    <col min="15364" max="15364" width="13" style="76" customWidth="1"/>
    <col min="15365" max="15365" width="6.42578125" style="76" customWidth="1"/>
    <col min="15366" max="15612" width="9.140625" style="76"/>
    <col min="15613" max="15613" width="10" style="76" customWidth="1"/>
    <col min="15614" max="15614" width="23.5703125" style="76" customWidth="1"/>
    <col min="15615" max="15615" width="5" style="76" customWidth="1"/>
    <col min="15616" max="15616" width="10.7109375" style="76" customWidth="1"/>
    <col min="15617" max="15617" width="3.5703125" style="76" customWidth="1"/>
    <col min="15618" max="15618" width="11.28515625" style="76" customWidth="1"/>
    <col min="15619" max="15619" width="8.140625" style="76" customWidth="1"/>
    <col min="15620" max="15620" width="13" style="76" customWidth="1"/>
    <col min="15621" max="15621" width="6.42578125" style="76" customWidth="1"/>
    <col min="15622" max="15868" width="9.140625" style="76"/>
    <col min="15869" max="15869" width="10" style="76" customWidth="1"/>
    <col min="15870" max="15870" width="23.5703125" style="76" customWidth="1"/>
    <col min="15871" max="15871" width="5" style="76" customWidth="1"/>
    <col min="15872" max="15872" width="10.7109375" style="76" customWidth="1"/>
    <col min="15873" max="15873" width="3.5703125" style="76" customWidth="1"/>
    <col min="15874" max="15874" width="11.28515625" style="76" customWidth="1"/>
    <col min="15875" max="15875" width="8.140625" style="76" customWidth="1"/>
    <col min="15876" max="15876" width="13" style="76" customWidth="1"/>
    <col min="15877" max="15877" width="6.42578125" style="76" customWidth="1"/>
    <col min="15878" max="16124" width="9.140625" style="76"/>
    <col min="16125" max="16125" width="10" style="76" customWidth="1"/>
    <col min="16126" max="16126" width="23.5703125" style="76" customWidth="1"/>
    <col min="16127" max="16127" width="5" style="76" customWidth="1"/>
    <col min="16128" max="16128" width="10.7109375" style="76" customWidth="1"/>
    <col min="16129" max="16129" width="3.5703125" style="76" customWidth="1"/>
    <col min="16130" max="16130" width="11.28515625" style="76" customWidth="1"/>
    <col min="16131" max="16131" width="8.140625" style="76" customWidth="1"/>
    <col min="16132" max="16132" width="13" style="76" customWidth="1"/>
    <col min="16133" max="16133" width="6.42578125" style="76" customWidth="1"/>
    <col min="16134" max="16384" width="9.140625" style="76"/>
  </cols>
  <sheetData>
    <row r="1" spans="1:5" ht="46.5" customHeight="1" x14ac:dyDescent="0.25">
      <c r="A1" s="75"/>
      <c r="B1" s="75"/>
      <c r="C1" s="389" t="s">
        <v>549</v>
      </c>
      <c r="D1" s="389"/>
      <c r="E1" s="389"/>
    </row>
    <row r="2" spans="1:5" ht="65.25" customHeight="1" x14ac:dyDescent="0.25">
      <c r="A2" s="388" t="s">
        <v>295</v>
      </c>
      <c r="B2" s="388"/>
      <c r="C2" s="388"/>
      <c r="D2" s="388"/>
      <c r="E2" s="388"/>
    </row>
    <row r="3" spans="1:5" ht="24.75" customHeight="1" x14ac:dyDescent="0.2">
      <c r="A3" s="390" t="s">
        <v>550</v>
      </c>
      <c r="B3" s="390"/>
      <c r="C3" s="390"/>
      <c r="D3" s="390"/>
      <c r="E3" s="390"/>
    </row>
    <row r="4" spans="1:5" ht="16.5" customHeight="1" x14ac:dyDescent="0.25">
      <c r="A4" s="391" t="s">
        <v>442</v>
      </c>
      <c r="B4" s="391"/>
      <c r="C4" s="391"/>
      <c r="D4" s="391"/>
      <c r="E4" s="391"/>
    </row>
    <row r="5" spans="1:5" ht="16.5" customHeight="1" x14ac:dyDescent="0.25">
      <c r="A5" s="80"/>
      <c r="B5" s="77"/>
      <c r="C5" s="77"/>
      <c r="D5" s="77"/>
      <c r="E5" s="77"/>
    </row>
    <row r="6" spans="1:5" ht="15.75" customHeight="1" x14ac:dyDescent="0.25">
      <c r="A6" s="78" t="s">
        <v>98</v>
      </c>
      <c r="B6" s="79" t="s">
        <v>99</v>
      </c>
      <c r="C6" s="268" t="s">
        <v>100</v>
      </c>
      <c r="D6" s="245"/>
      <c r="E6" s="245"/>
    </row>
    <row r="7" spans="1:5" ht="15.75" customHeight="1" x14ac:dyDescent="0.25">
      <c r="A7" s="75"/>
      <c r="B7" s="80" t="s">
        <v>4</v>
      </c>
      <c r="C7" s="80" t="s">
        <v>5</v>
      </c>
      <c r="D7" s="251"/>
      <c r="E7" s="251"/>
    </row>
    <row r="8" spans="1:5" ht="15" customHeight="1" x14ac:dyDescent="0.25">
      <c r="A8" s="78" t="s">
        <v>101</v>
      </c>
      <c r="B8" s="79" t="s">
        <v>102</v>
      </c>
      <c r="C8" s="268" t="s">
        <v>103</v>
      </c>
      <c r="D8" s="245"/>
      <c r="E8" s="245"/>
    </row>
    <row r="9" spans="1:5" ht="14.25" customHeight="1" x14ac:dyDescent="0.25">
      <c r="A9" s="75"/>
      <c r="B9" s="80" t="s">
        <v>7</v>
      </c>
      <c r="C9" s="80" t="s">
        <v>45</v>
      </c>
      <c r="D9" s="251"/>
      <c r="E9" s="251"/>
    </row>
    <row r="10" spans="1:5" ht="15.75" customHeight="1" x14ac:dyDescent="0.25">
      <c r="A10" s="78" t="s">
        <v>79</v>
      </c>
      <c r="B10" s="79" t="s">
        <v>8</v>
      </c>
      <c r="C10" s="268" t="s">
        <v>104</v>
      </c>
      <c r="D10" s="245"/>
      <c r="E10" s="245"/>
    </row>
    <row r="11" spans="1:5" ht="15.75" customHeight="1" x14ac:dyDescent="0.25">
      <c r="A11" s="75"/>
      <c r="B11" s="80" t="s">
        <v>9</v>
      </c>
      <c r="C11" s="80" t="s">
        <v>105</v>
      </c>
      <c r="D11" s="251"/>
      <c r="E11" s="251"/>
    </row>
    <row r="12" spans="1:5" ht="15.75" customHeight="1" x14ac:dyDescent="0.25">
      <c r="A12" s="78" t="s">
        <v>85</v>
      </c>
      <c r="B12" s="79" t="s">
        <v>10</v>
      </c>
      <c r="C12" s="268" t="s">
        <v>106</v>
      </c>
      <c r="D12" s="245"/>
      <c r="E12" s="245"/>
    </row>
    <row r="13" spans="1:5" ht="15.75" customHeight="1" x14ac:dyDescent="0.25">
      <c r="A13" s="75"/>
      <c r="B13" s="80" t="s">
        <v>11</v>
      </c>
      <c r="C13" s="80" t="s">
        <v>107</v>
      </c>
      <c r="D13" s="251"/>
      <c r="E13" s="251"/>
    </row>
    <row r="14" spans="1:5" ht="14.25" customHeight="1" x14ac:dyDescent="0.25">
      <c r="A14" s="75"/>
      <c r="B14" s="75"/>
      <c r="C14" s="392"/>
      <c r="D14" s="392"/>
      <c r="E14" s="392"/>
    </row>
    <row r="15" spans="1:5" ht="26.25" customHeight="1" x14ac:dyDescent="0.25">
      <c r="A15" s="385" t="s">
        <v>108</v>
      </c>
      <c r="B15" s="385"/>
      <c r="C15" s="385"/>
      <c r="D15" s="385"/>
      <c r="E15" s="385"/>
    </row>
    <row r="16" spans="1:5" ht="15.75" customHeight="1" x14ac:dyDescent="0.25">
      <c r="A16" s="246" t="s">
        <v>551</v>
      </c>
      <c r="B16" s="246"/>
      <c r="C16" s="86"/>
      <c r="D16" s="246"/>
      <c r="E16" s="81" t="s">
        <v>110</v>
      </c>
    </row>
    <row r="17" spans="1:9" s="259" customFormat="1" ht="48" customHeight="1" x14ac:dyDescent="0.25">
      <c r="A17" s="82" t="s">
        <v>552</v>
      </c>
      <c r="B17" s="258" t="s">
        <v>112</v>
      </c>
      <c r="C17" s="258" t="s">
        <v>113</v>
      </c>
      <c r="D17" s="258" t="s">
        <v>547</v>
      </c>
      <c r="E17" s="258" t="s">
        <v>613</v>
      </c>
    </row>
    <row r="18" spans="1:9" ht="24" x14ac:dyDescent="0.25">
      <c r="A18" s="83" t="s">
        <v>69</v>
      </c>
      <c r="B18" s="247" t="s">
        <v>553</v>
      </c>
      <c r="C18" s="264" t="s">
        <v>554</v>
      </c>
      <c r="D18" s="252">
        <v>0</v>
      </c>
      <c r="E18" s="252">
        <v>0</v>
      </c>
    </row>
    <row r="19" spans="1:9" ht="36" x14ac:dyDescent="0.25">
      <c r="A19" s="84" t="s">
        <v>98</v>
      </c>
      <c r="B19" s="248" t="s">
        <v>555</v>
      </c>
      <c r="C19" s="265" t="s">
        <v>556</v>
      </c>
      <c r="D19" s="253">
        <v>2.3640000000000002E-3</v>
      </c>
      <c r="E19" s="253">
        <v>0</v>
      </c>
      <c r="F19" s="316">
        <f>+D19+D20+D21+D22+D23</f>
        <v>4.4880000000000007E-3</v>
      </c>
      <c r="G19" s="262"/>
    </row>
    <row r="20" spans="1:9" ht="48" x14ac:dyDescent="0.25">
      <c r="A20" s="84" t="s">
        <v>101</v>
      </c>
      <c r="B20" s="248" t="s">
        <v>557</v>
      </c>
      <c r="C20" s="265" t="s">
        <v>558</v>
      </c>
      <c r="D20" s="253">
        <v>9.4799999999999995E-4</v>
      </c>
      <c r="E20" s="253">
        <v>0</v>
      </c>
      <c r="G20" s="262"/>
    </row>
    <row r="21" spans="1:9" ht="60" x14ac:dyDescent="0.25">
      <c r="A21" s="84" t="s">
        <v>79</v>
      </c>
      <c r="B21" s="248" t="s">
        <v>559</v>
      </c>
      <c r="C21" s="265" t="s">
        <v>560</v>
      </c>
      <c r="D21" s="253">
        <v>1.176E-3</v>
      </c>
      <c r="E21" s="253">
        <v>0</v>
      </c>
      <c r="G21" s="262"/>
    </row>
    <row r="22" spans="1:9" ht="36" x14ac:dyDescent="0.25">
      <c r="A22" s="84" t="s">
        <v>85</v>
      </c>
      <c r="B22" s="248" t="s">
        <v>561</v>
      </c>
      <c r="C22" s="265" t="s">
        <v>562</v>
      </c>
      <c r="D22" s="253">
        <v>0</v>
      </c>
      <c r="E22" s="253">
        <v>0</v>
      </c>
      <c r="G22" s="262"/>
    </row>
    <row r="23" spans="1:9" ht="72" x14ac:dyDescent="0.25">
      <c r="A23" s="84" t="s">
        <v>350</v>
      </c>
      <c r="B23" s="248" t="s">
        <v>563</v>
      </c>
      <c r="C23" s="265" t="s">
        <v>564</v>
      </c>
      <c r="D23" s="253">
        <v>0</v>
      </c>
      <c r="E23" s="253">
        <v>0</v>
      </c>
      <c r="G23" s="262"/>
    </row>
    <row r="24" spans="1:9" ht="36" x14ac:dyDescent="0.25">
      <c r="A24" s="84" t="s">
        <v>359</v>
      </c>
      <c r="B24" s="248" t="s">
        <v>565</v>
      </c>
      <c r="C24" s="265" t="s">
        <v>566</v>
      </c>
      <c r="D24" s="253">
        <v>1.0692E-2</v>
      </c>
      <c r="E24" s="253">
        <v>0</v>
      </c>
      <c r="G24" s="318"/>
    </row>
    <row r="25" spans="1:9" ht="60" x14ac:dyDescent="0.25">
      <c r="A25" s="84" t="s">
        <v>372</v>
      </c>
      <c r="B25" s="248" t="s">
        <v>567</v>
      </c>
      <c r="C25" s="265" t="s">
        <v>568</v>
      </c>
      <c r="D25" s="253">
        <v>0.35604000000000002</v>
      </c>
      <c r="E25" s="253">
        <v>0</v>
      </c>
      <c r="G25" s="318"/>
      <c r="I25" s="291"/>
    </row>
    <row r="26" spans="1:9" ht="17.25" customHeight="1" x14ac:dyDescent="0.25">
      <c r="A26" s="84"/>
      <c r="B26" s="263" t="s">
        <v>1079</v>
      </c>
      <c r="C26" s="265" t="s">
        <v>1081</v>
      </c>
      <c r="D26" s="255"/>
      <c r="E26" s="253"/>
      <c r="G26" s="318"/>
      <c r="I26" s="291"/>
    </row>
    <row r="27" spans="1:9" ht="17.25" customHeight="1" x14ac:dyDescent="0.25">
      <c r="A27" s="84"/>
      <c r="B27" s="263" t="s">
        <v>1080</v>
      </c>
      <c r="C27" s="265" t="s">
        <v>1082</v>
      </c>
      <c r="D27" s="255">
        <v>6580824000</v>
      </c>
      <c r="E27" s="253"/>
      <c r="G27" s="318"/>
      <c r="I27" s="291"/>
    </row>
    <row r="28" spans="1:9" ht="24" x14ac:dyDescent="0.25">
      <c r="A28" s="83" t="s">
        <v>74</v>
      </c>
      <c r="B28" s="249" t="s">
        <v>569</v>
      </c>
      <c r="C28" s="266" t="s">
        <v>570</v>
      </c>
      <c r="D28" s="254">
        <v>0</v>
      </c>
      <c r="E28" s="254">
        <v>0</v>
      </c>
      <c r="G28" s="262"/>
      <c r="I28" s="291"/>
    </row>
    <row r="29" spans="1:9" ht="24" x14ac:dyDescent="0.25">
      <c r="A29" s="84" t="s">
        <v>98</v>
      </c>
      <c r="B29" s="248" t="s">
        <v>571</v>
      </c>
      <c r="C29" s="265" t="s">
        <v>572</v>
      </c>
      <c r="D29" s="255">
        <v>0</v>
      </c>
      <c r="E29" s="255">
        <v>0</v>
      </c>
      <c r="G29" s="262"/>
      <c r="I29" s="291"/>
    </row>
    <row r="30" spans="1:9" ht="36" x14ac:dyDescent="0.25">
      <c r="A30" s="84"/>
      <c r="B30" s="248" t="s">
        <v>573</v>
      </c>
      <c r="C30" s="265" t="s">
        <v>574</v>
      </c>
      <c r="D30" s="255">
        <v>0</v>
      </c>
      <c r="E30" s="255">
        <v>0</v>
      </c>
      <c r="G30" s="262"/>
      <c r="I30" s="291"/>
    </row>
    <row r="31" spans="1:9" ht="36" x14ac:dyDescent="0.25">
      <c r="A31" s="84"/>
      <c r="B31" s="248" t="s">
        <v>575</v>
      </c>
      <c r="C31" s="265" t="s">
        <v>576</v>
      </c>
      <c r="D31" s="255"/>
      <c r="E31" s="255"/>
      <c r="G31" s="262"/>
      <c r="I31" s="291"/>
    </row>
    <row r="32" spans="1:9" ht="24" x14ac:dyDescent="0.25">
      <c r="A32" s="84" t="s">
        <v>101</v>
      </c>
      <c r="B32" s="248" t="s">
        <v>577</v>
      </c>
      <c r="C32" s="265" t="s">
        <v>578</v>
      </c>
      <c r="D32" s="255">
        <v>102000000000</v>
      </c>
      <c r="E32" s="255">
        <v>0</v>
      </c>
      <c r="G32" s="262"/>
      <c r="I32" s="291"/>
    </row>
    <row r="33" spans="1:9" ht="24" x14ac:dyDescent="0.25">
      <c r="A33" s="84"/>
      <c r="B33" s="248" t="s">
        <v>579</v>
      </c>
      <c r="C33" s="265" t="s">
        <v>580</v>
      </c>
      <c r="D33" s="255">
        <v>10200000</v>
      </c>
      <c r="E33" s="255">
        <v>0</v>
      </c>
      <c r="G33" s="262"/>
      <c r="I33" s="291"/>
    </row>
    <row r="34" spans="1:9" ht="27" customHeight="1" x14ac:dyDescent="0.25">
      <c r="A34" s="84"/>
      <c r="B34" s="248" t="s">
        <v>581</v>
      </c>
      <c r="C34" s="265" t="s">
        <v>582</v>
      </c>
      <c r="D34" s="255">
        <v>102000000000</v>
      </c>
      <c r="E34" s="255">
        <v>0</v>
      </c>
      <c r="G34" s="292"/>
      <c r="I34" s="291"/>
    </row>
    <row r="35" spans="1:9" ht="24" x14ac:dyDescent="0.25">
      <c r="A35" s="84"/>
      <c r="B35" s="248" t="s">
        <v>583</v>
      </c>
      <c r="C35" s="265" t="s">
        <v>584</v>
      </c>
      <c r="D35" s="255">
        <v>10200000</v>
      </c>
      <c r="E35" s="255"/>
      <c r="G35" s="292"/>
      <c r="I35" s="291"/>
    </row>
    <row r="36" spans="1:9" ht="24" x14ac:dyDescent="0.25">
      <c r="A36" s="84"/>
      <c r="B36" s="248" t="s">
        <v>585</v>
      </c>
      <c r="C36" s="265" t="s">
        <v>586</v>
      </c>
      <c r="D36" s="255">
        <v>102000000000</v>
      </c>
      <c r="E36" s="255">
        <v>0</v>
      </c>
      <c r="G36" s="292"/>
      <c r="I36" s="291"/>
    </row>
    <row r="37" spans="1:9" ht="24" x14ac:dyDescent="0.25">
      <c r="A37" s="84"/>
      <c r="B37" s="248" t="s">
        <v>587</v>
      </c>
      <c r="C37" s="265" t="s">
        <v>588</v>
      </c>
      <c r="D37" s="255"/>
      <c r="E37" s="255"/>
      <c r="G37" s="292"/>
      <c r="I37" s="291"/>
    </row>
    <row r="38" spans="1:9" ht="36" x14ac:dyDescent="0.25">
      <c r="A38" s="84"/>
      <c r="B38" s="248" t="s">
        <v>589</v>
      </c>
      <c r="C38" s="265" t="s">
        <v>590</v>
      </c>
      <c r="D38" s="255">
        <v>0</v>
      </c>
      <c r="E38" s="255">
        <v>0</v>
      </c>
      <c r="G38" s="262"/>
      <c r="I38" s="291"/>
    </row>
    <row r="39" spans="1:9" ht="24" x14ac:dyDescent="0.25">
      <c r="A39" s="84" t="s">
        <v>79</v>
      </c>
      <c r="B39" s="248" t="s">
        <v>591</v>
      </c>
      <c r="C39" s="265" t="s">
        <v>592</v>
      </c>
      <c r="D39" s="255">
        <v>102000000000</v>
      </c>
      <c r="E39" s="255">
        <v>0</v>
      </c>
      <c r="G39" s="262"/>
      <c r="I39" s="293"/>
    </row>
    <row r="40" spans="1:9" ht="36" x14ac:dyDescent="0.25">
      <c r="A40" s="84"/>
      <c r="B40" s="248" t="s">
        <v>593</v>
      </c>
      <c r="C40" s="265" t="s">
        <v>594</v>
      </c>
      <c r="D40" s="255">
        <v>102000000000</v>
      </c>
      <c r="E40" s="255">
        <v>0</v>
      </c>
      <c r="G40" s="262"/>
    </row>
    <row r="41" spans="1:9" ht="36" x14ac:dyDescent="0.25">
      <c r="A41" s="84"/>
      <c r="B41" s="248" t="s">
        <v>595</v>
      </c>
      <c r="C41" s="265" t="s">
        <v>596</v>
      </c>
      <c r="D41" s="255">
        <v>10200000</v>
      </c>
      <c r="E41" s="255"/>
      <c r="G41" s="262"/>
    </row>
    <row r="42" spans="1:9" ht="48" x14ac:dyDescent="0.25">
      <c r="A42" s="84" t="s">
        <v>85</v>
      </c>
      <c r="B42" s="248" t="s">
        <v>597</v>
      </c>
      <c r="C42" s="265" t="s">
        <v>598</v>
      </c>
      <c r="D42" s="253"/>
      <c r="E42" s="253">
        <v>0</v>
      </c>
      <c r="G42" s="262"/>
    </row>
    <row r="43" spans="1:9" ht="36" x14ac:dyDescent="0.25">
      <c r="A43" s="84" t="s">
        <v>350</v>
      </c>
      <c r="B43" s="248" t="s">
        <v>599</v>
      </c>
      <c r="C43" s="265" t="s">
        <v>600</v>
      </c>
      <c r="D43" s="253">
        <v>1</v>
      </c>
      <c r="E43" s="253">
        <v>0</v>
      </c>
      <c r="G43" s="262"/>
    </row>
    <row r="44" spans="1:9" ht="36" x14ac:dyDescent="0.25">
      <c r="A44" s="84" t="s">
        <v>359</v>
      </c>
      <c r="B44" s="248" t="s">
        <v>601</v>
      </c>
      <c r="C44" s="265" t="s">
        <v>602</v>
      </c>
      <c r="D44" s="253">
        <v>0</v>
      </c>
      <c r="E44" s="253">
        <v>0</v>
      </c>
      <c r="G44" s="262"/>
      <c r="I44" s="293"/>
    </row>
    <row r="45" spans="1:9" ht="24" x14ac:dyDescent="0.25">
      <c r="A45" s="84"/>
      <c r="B45" s="248" t="s">
        <v>603</v>
      </c>
      <c r="C45" s="265" t="s">
        <v>604</v>
      </c>
      <c r="D45" s="255">
        <v>3</v>
      </c>
      <c r="E45" s="255">
        <v>0</v>
      </c>
      <c r="G45" s="262"/>
    </row>
    <row r="46" spans="1:9" ht="24" x14ac:dyDescent="0.25">
      <c r="A46" s="84" t="s">
        <v>372</v>
      </c>
      <c r="B46" s="248" t="s">
        <v>605</v>
      </c>
      <c r="C46" s="265" t="s">
        <v>606</v>
      </c>
      <c r="D46" s="325">
        <v>10892.75</v>
      </c>
      <c r="E46" s="256">
        <v>0</v>
      </c>
      <c r="G46" s="317"/>
    </row>
    <row r="47" spans="1:9" ht="24" x14ac:dyDescent="0.25">
      <c r="A47" s="85" t="s">
        <v>379</v>
      </c>
      <c r="B47" s="250" t="s">
        <v>607</v>
      </c>
      <c r="C47" s="267" t="s">
        <v>608</v>
      </c>
      <c r="D47" s="257">
        <v>0</v>
      </c>
      <c r="E47" s="257">
        <v>0</v>
      </c>
      <c r="G47" s="317"/>
    </row>
    <row r="48" spans="1:9" ht="15.75" customHeight="1" x14ac:dyDescent="0.25">
      <c r="A48" s="383"/>
      <c r="B48" s="383"/>
      <c r="C48" s="383"/>
      <c r="D48" s="261"/>
      <c r="E48" s="260"/>
      <c r="G48" s="262"/>
    </row>
    <row r="49" spans="1:7" ht="15.75" customHeight="1" x14ac:dyDescent="0.25">
      <c r="A49" s="383" t="s">
        <v>609</v>
      </c>
      <c r="B49" s="383"/>
      <c r="C49" s="383"/>
      <c r="D49" s="383"/>
      <c r="E49" s="383"/>
      <c r="G49" s="262"/>
    </row>
    <row r="50" spans="1:7" ht="52.5" customHeight="1" x14ac:dyDescent="0.25">
      <c r="A50" s="387" t="s">
        <v>610</v>
      </c>
      <c r="B50" s="387"/>
      <c r="C50" s="387"/>
      <c r="D50" s="387"/>
      <c r="E50" s="387"/>
      <c r="G50" s="262"/>
    </row>
    <row r="51" spans="1:7" ht="27" customHeight="1" x14ac:dyDescent="0.25">
      <c r="A51" s="387" t="s">
        <v>611</v>
      </c>
      <c r="B51" s="387"/>
      <c r="C51" s="387"/>
      <c r="D51" s="387"/>
      <c r="E51" s="387"/>
      <c r="G51" s="262"/>
    </row>
    <row r="52" spans="1:7" ht="7.5" customHeight="1" x14ac:dyDescent="0.2">
      <c r="A52" s="383"/>
      <c r="B52" s="383"/>
      <c r="C52" s="383"/>
      <c r="D52" s="386"/>
      <c r="E52" s="386"/>
    </row>
    <row r="53" spans="1:7" ht="14.25" customHeight="1" x14ac:dyDescent="0.25">
      <c r="A53" s="381" t="s">
        <v>612</v>
      </c>
      <c r="B53" s="381"/>
      <c r="C53" s="371" t="s">
        <v>91</v>
      </c>
      <c r="D53" s="371"/>
      <c r="E53" s="371"/>
    </row>
    <row r="54" spans="1:7" ht="12" customHeight="1" x14ac:dyDescent="0.25">
      <c r="A54" s="382" t="s">
        <v>15</v>
      </c>
      <c r="B54" s="382"/>
      <c r="C54" s="372" t="s">
        <v>16</v>
      </c>
      <c r="D54" s="372"/>
      <c r="E54" s="372"/>
    </row>
    <row r="55" spans="1:7" ht="12.75" customHeight="1" x14ac:dyDescent="0.2">
      <c r="A55" s="251"/>
      <c r="B55" s="251"/>
      <c r="C55" s="39"/>
      <c r="D55" s="244"/>
      <c r="E55" s="244"/>
    </row>
    <row r="56" spans="1:7" ht="15.75" customHeight="1" x14ac:dyDescent="0.25">
      <c r="A56" s="251"/>
      <c r="B56" s="251"/>
      <c r="C56" s="39"/>
      <c r="D56" s="45"/>
      <c r="E56" s="45"/>
    </row>
    <row r="57" spans="1:7" ht="15.75" customHeight="1" x14ac:dyDescent="0.25">
      <c r="A57" s="251"/>
      <c r="B57" s="251"/>
      <c r="C57" s="39"/>
      <c r="D57" s="45"/>
      <c r="E57" s="45"/>
    </row>
    <row r="58" spans="1:7" ht="15.75" customHeight="1" x14ac:dyDescent="0.25">
      <c r="A58" s="251"/>
      <c r="B58" s="251"/>
      <c r="C58" s="39"/>
      <c r="D58" s="45"/>
      <c r="E58" s="45"/>
    </row>
    <row r="59" spans="1:7" ht="15.75" customHeight="1" x14ac:dyDescent="0.25">
      <c r="A59" s="384" t="s">
        <v>292</v>
      </c>
      <c r="B59" s="384"/>
      <c r="C59" s="373" t="s">
        <v>293</v>
      </c>
      <c r="D59" s="373"/>
      <c r="E59" s="373"/>
    </row>
    <row r="60" spans="1:7" ht="15.75" customHeight="1" x14ac:dyDescent="0.25">
      <c r="A60" s="383"/>
      <c r="B60" s="383"/>
      <c r="C60" s="383"/>
      <c r="D60" s="383"/>
      <c r="E60" s="383"/>
    </row>
  </sheetData>
  <mergeCells count="21">
    <mergeCell ref="A2:E2"/>
    <mergeCell ref="C1:E1"/>
    <mergeCell ref="A3:E3"/>
    <mergeCell ref="A4:E4"/>
    <mergeCell ref="C14:E14"/>
    <mergeCell ref="A15:E15"/>
    <mergeCell ref="A52:C52"/>
    <mergeCell ref="D52:E52"/>
    <mergeCell ref="A48:C48"/>
    <mergeCell ref="A49:C49"/>
    <mergeCell ref="D49:E49"/>
    <mergeCell ref="A50:E50"/>
    <mergeCell ref="A51:E51"/>
    <mergeCell ref="A53:B53"/>
    <mergeCell ref="A54:B54"/>
    <mergeCell ref="C53:E53"/>
    <mergeCell ref="C54:E54"/>
    <mergeCell ref="A60:C60"/>
    <mergeCell ref="D60:E60"/>
    <mergeCell ref="A59:B59"/>
    <mergeCell ref="C59:E59"/>
  </mergeCells>
  <printOptions horizontalCentered="1"/>
  <pageMargins left="0" right="0" top="0.59" bottom="0.59" header="0.5" footer="0.5"/>
  <pageSetup paperSize="9" scale="9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election activeCell="E14" sqref="E14"/>
    </sheetView>
  </sheetViews>
  <sheetFormatPr defaultColWidth="9.28515625" defaultRowHeight="12" x14ac:dyDescent="0.2"/>
  <cols>
    <col min="1" max="1" width="5.42578125" style="190" customWidth="1"/>
    <col min="2" max="2" width="54" style="190" customWidth="1"/>
    <col min="3" max="3" width="10.28515625" style="190" bestFit="1" customWidth="1"/>
    <col min="4" max="4" width="9.28515625" style="190"/>
    <col min="5" max="5" width="18.28515625" style="190" customWidth="1"/>
    <col min="6" max="6" width="8.28515625" style="190" customWidth="1"/>
    <col min="7" max="7" width="15.7109375" style="190" customWidth="1"/>
    <col min="8" max="8" width="11.42578125" style="190" bestFit="1" customWidth="1"/>
    <col min="9" max="9" width="25.28515625" style="190" customWidth="1"/>
    <col min="10" max="10" width="12.28515625" style="190" customWidth="1"/>
    <col min="11" max="11" width="23.28515625" style="190" customWidth="1"/>
    <col min="12" max="16384" width="9.28515625" style="190"/>
  </cols>
  <sheetData>
    <row r="1" spans="1:11" ht="25.5" customHeight="1" x14ac:dyDescent="0.2">
      <c r="A1" s="417" t="s">
        <v>48</v>
      </c>
      <c r="B1" s="417"/>
      <c r="C1" s="417"/>
      <c r="D1" s="417"/>
      <c r="E1" s="417"/>
      <c r="F1" s="417"/>
      <c r="G1" s="417"/>
      <c r="H1" s="417"/>
      <c r="I1" s="417"/>
      <c r="J1" s="417"/>
      <c r="K1" s="417"/>
    </row>
    <row r="2" spans="1:11" ht="63.75" customHeight="1" x14ac:dyDescent="0.2">
      <c r="A2" s="418" t="s">
        <v>49</v>
      </c>
      <c r="B2" s="418"/>
      <c r="C2" s="418"/>
      <c r="D2" s="418"/>
      <c r="E2" s="418"/>
      <c r="F2" s="418"/>
      <c r="G2" s="418"/>
      <c r="H2" s="418"/>
      <c r="I2" s="418"/>
      <c r="J2" s="418"/>
      <c r="K2" s="418"/>
    </row>
    <row r="3" spans="1:11" ht="14.25" x14ac:dyDescent="0.2">
      <c r="A3" s="419" t="s">
        <v>50</v>
      </c>
      <c r="B3" s="419"/>
      <c r="C3" s="419"/>
      <c r="D3" s="419"/>
      <c r="E3" s="419"/>
      <c r="F3" s="419"/>
      <c r="G3" s="419"/>
      <c r="H3" s="419"/>
      <c r="I3" s="419"/>
      <c r="J3" s="419"/>
      <c r="K3" s="419"/>
    </row>
    <row r="4" spans="1:11" x14ac:dyDescent="0.2">
      <c r="A4" s="420" t="s">
        <v>93</v>
      </c>
      <c r="B4" s="421"/>
      <c r="C4" s="421"/>
      <c r="D4" s="421"/>
      <c r="E4" s="421"/>
      <c r="F4" s="421"/>
      <c r="G4" s="421"/>
      <c r="H4" s="421"/>
      <c r="I4" s="421"/>
      <c r="J4" s="421"/>
      <c r="K4" s="421"/>
    </row>
    <row r="5" spans="1:11" x14ac:dyDescent="0.2">
      <c r="A5" s="191"/>
      <c r="B5" s="192"/>
      <c r="C5" s="192"/>
      <c r="D5" s="193"/>
      <c r="E5" s="193"/>
      <c r="F5" s="192"/>
      <c r="G5" s="192"/>
      <c r="H5" s="192"/>
      <c r="I5" s="192"/>
      <c r="J5" s="192"/>
      <c r="K5" s="192"/>
    </row>
    <row r="6" spans="1:11" x14ac:dyDescent="0.2">
      <c r="A6" s="194">
        <v>1</v>
      </c>
      <c r="B6" s="195" t="s">
        <v>2</v>
      </c>
      <c r="C6" s="195" t="s">
        <v>3</v>
      </c>
      <c r="D6" s="193"/>
      <c r="E6" s="193"/>
      <c r="F6" s="192"/>
      <c r="G6" s="192"/>
      <c r="H6" s="192"/>
      <c r="I6" s="192"/>
      <c r="J6" s="192"/>
      <c r="K6" s="192"/>
    </row>
    <row r="7" spans="1:11" x14ac:dyDescent="0.2">
      <c r="A7" s="194"/>
      <c r="B7" s="196" t="s">
        <v>4</v>
      </c>
      <c r="C7" s="196" t="s">
        <v>5</v>
      </c>
      <c r="D7" s="197"/>
      <c r="E7" s="197"/>
      <c r="F7" s="198"/>
      <c r="G7" s="198"/>
      <c r="H7" s="198"/>
      <c r="I7" s="198"/>
      <c r="J7" s="198"/>
      <c r="K7" s="198"/>
    </row>
    <row r="8" spans="1:11" ht="12.75" customHeight="1" x14ac:dyDescent="0.2">
      <c r="A8" s="199">
        <v>2</v>
      </c>
      <c r="B8" s="200" t="s">
        <v>6</v>
      </c>
      <c r="C8" s="201" t="s">
        <v>44</v>
      </c>
      <c r="D8" s="201"/>
      <c r="E8" s="201"/>
      <c r="F8" s="201"/>
      <c r="G8" s="201"/>
      <c r="H8" s="201"/>
      <c r="I8" s="202"/>
      <c r="J8" s="202"/>
      <c r="K8" s="202"/>
    </row>
    <row r="9" spans="1:11" ht="12.75" customHeight="1" x14ac:dyDescent="0.2">
      <c r="A9" s="199"/>
      <c r="B9" s="203" t="s">
        <v>7</v>
      </c>
      <c r="C9" s="45" t="s">
        <v>45</v>
      </c>
      <c r="D9" s="204"/>
      <c r="E9" s="204"/>
      <c r="F9" s="204"/>
      <c r="G9" s="204"/>
      <c r="H9" s="204"/>
      <c r="I9" s="205"/>
      <c r="J9" s="205"/>
      <c r="K9" s="205"/>
    </row>
    <row r="10" spans="1:11" ht="12.75" customHeight="1" x14ac:dyDescent="0.2">
      <c r="A10" s="199">
        <v>3</v>
      </c>
      <c r="B10" s="200" t="s">
        <v>8</v>
      </c>
      <c r="C10" s="201" t="s">
        <v>46</v>
      </c>
      <c r="D10" s="201"/>
      <c r="E10" s="201"/>
      <c r="F10" s="201"/>
      <c r="G10" s="201"/>
      <c r="H10" s="201"/>
      <c r="I10" s="202"/>
      <c r="J10" s="202"/>
      <c r="K10" s="202"/>
    </row>
    <row r="11" spans="1:11" ht="12.75" customHeight="1" x14ac:dyDescent="0.2">
      <c r="A11" s="199"/>
      <c r="B11" s="203" t="s">
        <v>9</v>
      </c>
      <c r="C11" s="204" t="s">
        <v>92</v>
      </c>
      <c r="D11" s="204"/>
      <c r="E11" s="204"/>
      <c r="F11" s="204"/>
      <c r="G11" s="204"/>
      <c r="H11" s="204"/>
      <c r="I11" s="202"/>
      <c r="J11" s="202"/>
      <c r="K11" s="202"/>
    </row>
    <row r="12" spans="1:11" ht="12.75" customHeight="1" x14ac:dyDescent="0.2">
      <c r="A12" s="199">
        <v>4</v>
      </c>
      <c r="B12" s="200" t="s">
        <v>10</v>
      </c>
      <c r="C12" s="320">
        <v>43926</v>
      </c>
      <c r="D12" s="201"/>
      <c r="E12" s="201"/>
      <c r="F12" s="201"/>
      <c r="G12" s="201"/>
      <c r="H12" s="201"/>
      <c r="I12" s="206"/>
      <c r="J12" s="206"/>
      <c r="K12" s="206"/>
    </row>
    <row r="13" spans="1:11" x14ac:dyDescent="0.2">
      <c r="A13" s="204"/>
      <c r="B13" s="203" t="s">
        <v>11</v>
      </c>
      <c r="C13" s="422" t="s">
        <v>107</v>
      </c>
      <c r="D13" s="422"/>
      <c r="E13" s="422"/>
      <c r="F13" s="422"/>
      <c r="G13" s="423"/>
      <c r="H13" s="423"/>
      <c r="I13" s="207"/>
      <c r="J13" s="207"/>
      <c r="K13" s="207"/>
    </row>
    <row r="14" spans="1:11" x14ac:dyDescent="0.2">
      <c r="A14" s="208" t="s">
        <v>21</v>
      </c>
      <c r="B14" s="208" t="s">
        <v>51</v>
      </c>
      <c r="C14" s="209"/>
      <c r="D14" s="210"/>
      <c r="E14" s="210"/>
      <c r="F14" s="210"/>
      <c r="G14" s="211"/>
      <c r="H14" s="211"/>
      <c r="I14" s="207"/>
      <c r="J14" s="207"/>
      <c r="K14" s="207"/>
    </row>
    <row r="15" spans="1:11" x14ac:dyDescent="0.2">
      <c r="A15" s="195" t="s">
        <v>52</v>
      </c>
      <c r="B15" s="195" t="s">
        <v>53</v>
      </c>
      <c r="C15" s="212"/>
      <c r="D15" s="213"/>
      <c r="E15" s="213"/>
      <c r="F15" s="214"/>
      <c r="G15" s="214"/>
      <c r="H15" s="214"/>
      <c r="I15" s="214"/>
      <c r="J15" s="214"/>
      <c r="K15" s="214"/>
    </row>
    <row r="16" spans="1:11" x14ac:dyDescent="0.2">
      <c r="A16" s="414" t="s">
        <v>54</v>
      </c>
      <c r="B16" s="401" t="s">
        <v>55</v>
      </c>
      <c r="C16" s="415" t="s">
        <v>56</v>
      </c>
      <c r="D16" s="401" t="s">
        <v>57</v>
      </c>
      <c r="E16" s="401" t="s">
        <v>58</v>
      </c>
      <c r="F16" s="401" t="s">
        <v>59</v>
      </c>
      <c r="G16" s="401" t="s">
        <v>60</v>
      </c>
      <c r="H16" s="403" t="s">
        <v>61</v>
      </c>
      <c r="I16" s="404"/>
      <c r="J16" s="403" t="s">
        <v>62</v>
      </c>
      <c r="K16" s="404"/>
    </row>
    <row r="17" spans="1:11" ht="36" x14ac:dyDescent="0.2">
      <c r="A17" s="414"/>
      <c r="B17" s="402"/>
      <c r="C17" s="416"/>
      <c r="D17" s="402"/>
      <c r="E17" s="402"/>
      <c r="F17" s="402"/>
      <c r="G17" s="402"/>
      <c r="H17" s="215" t="s">
        <v>63</v>
      </c>
      <c r="I17" s="215" t="s">
        <v>64</v>
      </c>
      <c r="J17" s="215" t="s">
        <v>65</v>
      </c>
      <c r="K17" s="215" t="s">
        <v>66</v>
      </c>
    </row>
    <row r="18" spans="1:11" ht="24" x14ac:dyDescent="0.2">
      <c r="A18" s="216">
        <v>1</v>
      </c>
      <c r="B18" s="217" t="s">
        <v>67</v>
      </c>
      <c r="C18" s="218" t="s">
        <v>68</v>
      </c>
      <c r="D18" s="405"/>
      <c r="E18" s="406"/>
      <c r="F18" s="406"/>
      <c r="G18" s="406"/>
      <c r="H18" s="406"/>
      <c r="I18" s="406"/>
      <c r="J18" s="406"/>
      <c r="K18" s="407"/>
    </row>
    <row r="19" spans="1:11" ht="24" x14ac:dyDescent="0.2">
      <c r="A19" s="216" t="s">
        <v>69</v>
      </c>
      <c r="B19" s="217" t="s">
        <v>70</v>
      </c>
      <c r="C19" s="218" t="s">
        <v>71</v>
      </c>
      <c r="D19" s="408"/>
      <c r="E19" s="409"/>
      <c r="F19" s="409"/>
      <c r="G19" s="409"/>
      <c r="H19" s="409"/>
      <c r="I19" s="409"/>
      <c r="J19" s="409"/>
      <c r="K19" s="410"/>
    </row>
    <row r="20" spans="1:11" ht="24" x14ac:dyDescent="0.2">
      <c r="A20" s="216">
        <v>2</v>
      </c>
      <c r="B20" s="217" t="s">
        <v>72</v>
      </c>
      <c r="C20" s="218" t="s">
        <v>73</v>
      </c>
      <c r="D20" s="408"/>
      <c r="E20" s="409"/>
      <c r="F20" s="409"/>
      <c r="G20" s="409"/>
      <c r="H20" s="409"/>
      <c r="I20" s="409"/>
      <c r="J20" s="409"/>
      <c r="K20" s="410"/>
    </row>
    <row r="21" spans="1:11" ht="24" x14ac:dyDescent="0.2">
      <c r="A21" s="216" t="s">
        <v>74</v>
      </c>
      <c r="B21" s="217" t="s">
        <v>75</v>
      </c>
      <c r="C21" s="218" t="s">
        <v>76</v>
      </c>
      <c r="D21" s="408"/>
      <c r="E21" s="409"/>
      <c r="F21" s="409"/>
      <c r="G21" s="409"/>
      <c r="H21" s="409"/>
      <c r="I21" s="409"/>
      <c r="J21" s="409"/>
      <c r="K21" s="410"/>
    </row>
    <row r="22" spans="1:11" ht="24" x14ac:dyDescent="0.2">
      <c r="A22" s="216" t="s">
        <v>21</v>
      </c>
      <c r="B22" s="219" t="s">
        <v>77</v>
      </c>
      <c r="C22" s="218" t="s">
        <v>78</v>
      </c>
      <c r="D22" s="408"/>
      <c r="E22" s="409"/>
      <c r="F22" s="409"/>
      <c r="G22" s="409"/>
      <c r="H22" s="409"/>
      <c r="I22" s="409"/>
      <c r="J22" s="409"/>
      <c r="K22" s="410"/>
    </row>
    <row r="23" spans="1:11" ht="24" x14ac:dyDescent="0.2">
      <c r="A23" s="220" t="s">
        <v>79</v>
      </c>
      <c r="B23" s="219" t="s">
        <v>80</v>
      </c>
      <c r="C23" s="218" t="s">
        <v>81</v>
      </c>
      <c r="D23" s="408"/>
      <c r="E23" s="409"/>
      <c r="F23" s="409"/>
      <c r="G23" s="409"/>
      <c r="H23" s="409"/>
      <c r="I23" s="409"/>
      <c r="J23" s="409"/>
      <c r="K23" s="410"/>
    </row>
    <row r="24" spans="1:11" ht="24" x14ac:dyDescent="0.2">
      <c r="A24" s="220" t="s">
        <v>82</v>
      </c>
      <c r="B24" s="217" t="s">
        <v>83</v>
      </c>
      <c r="C24" s="218" t="s">
        <v>84</v>
      </c>
      <c r="D24" s="408"/>
      <c r="E24" s="409"/>
      <c r="F24" s="409"/>
      <c r="G24" s="409"/>
      <c r="H24" s="409"/>
      <c r="I24" s="409"/>
      <c r="J24" s="409"/>
      <c r="K24" s="410"/>
    </row>
    <row r="25" spans="1:11" ht="24" x14ac:dyDescent="0.2">
      <c r="A25" s="220" t="s">
        <v>85</v>
      </c>
      <c r="B25" s="217" t="s">
        <v>86</v>
      </c>
      <c r="C25" s="218" t="s">
        <v>87</v>
      </c>
      <c r="D25" s="408"/>
      <c r="E25" s="409"/>
      <c r="F25" s="409"/>
      <c r="G25" s="409"/>
      <c r="H25" s="409"/>
      <c r="I25" s="409"/>
      <c r="J25" s="409"/>
      <c r="K25" s="410"/>
    </row>
    <row r="26" spans="1:11" ht="24" x14ac:dyDescent="0.2">
      <c r="A26" s="220" t="s">
        <v>52</v>
      </c>
      <c r="B26" s="217" t="s">
        <v>83</v>
      </c>
      <c r="C26" s="218" t="s">
        <v>88</v>
      </c>
      <c r="D26" s="408"/>
      <c r="E26" s="409"/>
      <c r="F26" s="409"/>
      <c r="G26" s="409"/>
      <c r="H26" s="409"/>
      <c r="I26" s="409"/>
      <c r="J26" s="409"/>
      <c r="K26" s="410"/>
    </row>
    <row r="27" spans="1:11" ht="24" x14ac:dyDescent="0.2">
      <c r="A27" s="216" t="s">
        <v>41</v>
      </c>
      <c r="B27" s="219" t="s">
        <v>89</v>
      </c>
      <c r="C27" s="218" t="s">
        <v>90</v>
      </c>
      <c r="D27" s="411"/>
      <c r="E27" s="412"/>
      <c r="F27" s="412"/>
      <c r="G27" s="412"/>
      <c r="H27" s="412"/>
      <c r="I27" s="412"/>
      <c r="J27" s="412"/>
      <c r="K27" s="413"/>
    </row>
    <row r="28" spans="1:11" ht="12.75" customHeight="1" x14ac:dyDescent="0.2">
      <c r="A28" s="214"/>
      <c r="B28" s="221"/>
      <c r="C28" s="221"/>
      <c r="D28" s="214"/>
      <c r="E28" s="214"/>
      <c r="F28" s="214"/>
      <c r="G28" s="214"/>
      <c r="H28" s="214"/>
      <c r="I28" s="214"/>
      <c r="J28" s="214"/>
      <c r="K28" s="214"/>
    </row>
    <row r="29" spans="1:11" x14ac:dyDescent="0.2">
      <c r="A29" s="400" t="s">
        <v>13</v>
      </c>
      <c r="B29" s="400"/>
      <c r="C29" s="400"/>
      <c r="E29" s="222"/>
      <c r="F29" s="223"/>
      <c r="G29" s="223"/>
      <c r="H29" s="394" t="s">
        <v>91</v>
      </c>
      <c r="I29" s="394"/>
      <c r="J29" s="394"/>
      <c r="K29" s="394"/>
    </row>
    <row r="30" spans="1:11" x14ac:dyDescent="0.2">
      <c r="A30" s="393" t="s">
        <v>15</v>
      </c>
      <c r="B30" s="393"/>
      <c r="C30" s="393"/>
      <c r="E30" s="224"/>
      <c r="F30" s="225"/>
      <c r="G30" s="225"/>
      <c r="H30" s="395" t="s">
        <v>16</v>
      </c>
      <c r="I30" s="395"/>
      <c r="J30" s="395"/>
      <c r="K30" s="395"/>
    </row>
    <row r="31" spans="1:11" x14ac:dyDescent="0.2">
      <c r="A31" s="225"/>
      <c r="B31" s="226"/>
      <c r="C31" s="227"/>
      <c r="E31" s="224"/>
      <c r="F31" s="225"/>
      <c r="G31" s="225"/>
      <c r="H31" s="228"/>
      <c r="J31" s="229"/>
      <c r="K31" s="230"/>
    </row>
    <row r="32" spans="1:11" x14ac:dyDescent="0.2">
      <c r="A32" s="226"/>
      <c r="B32" s="226"/>
      <c r="C32" s="399"/>
      <c r="D32" s="399"/>
      <c r="E32" s="399"/>
      <c r="F32" s="229"/>
      <c r="G32" s="229"/>
      <c r="H32" s="229"/>
      <c r="J32" s="229"/>
      <c r="K32" s="229"/>
    </row>
    <row r="33" spans="1:11" x14ac:dyDescent="0.2">
      <c r="A33" s="226"/>
      <c r="B33" s="226"/>
      <c r="C33" s="231"/>
      <c r="D33" s="232"/>
      <c r="E33" s="233"/>
      <c r="F33" s="234"/>
      <c r="G33" s="229"/>
      <c r="H33" s="229"/>
      <c r="J33" s="229"/>
      <c r="K33" s="229"/>
    </row>
    <row r="34" spans="1:11" x14ac:dyDescent="0.2">
      <c r="A34" s="235"/>
      <c r="B34" s="235"/>
      <c r="C34" s="236"/>
      <c r="D34" s="237"/>
      <c r="E34" s="238"/>
      <c r="F34" s="234"/>
      <c r="G34" s="239"/>
      <c r="H34" s="235"/>
      <c r="I34" s="235"/>
      <c r="J34" s="236"/>
      <c r="K34" s="229"/>
    </row>
    <row r="35" spans="1:11" s="240" customFormat="1" x14ac:dyDescent="0.25">
      <c r="A35" s="393" t="s">
        <v>292</v>
      </c>
      <c r="B35" s="393"/>
      <c r="C35" s="393"/>
      <c r="E35" s="225"/>
      <c r="F35" s="225"/>
      <c r="G35" s="241"/>
      <c r="H35" s="396" t="s">
        <v>3</v>
      </c>
      <c r="I35" s="396"/>
      <c r="J35" s="396"/>
      <c r="K35" s="396"/>
    </row>
    <row r="36" spans="1:11" s="240" customFormat="1" x14ac:dyDescent="0.25">
      <c r="A36" s="393"/>
      <c r="B36" s="393"/>
      <c r="C36" s="393"/>
      <c r="E36" s="242"/>
      <c r="F36" s="243"/>
      <c r="G36" s="241"/>
      <c r="H36" s="397"/>
      <c r="I36" s="397"/>
      <c r="J36" s="397"/>
      <c r="K36" s="397"/>
    </row>
    <row r="37" spans="1:11" s="240" customFormat="1" x14ac:dyDescent="0.25">
      <c r="A37" s="393"/>
      <c r="B37" s="393"/>
      <c r="C37" s="393"/>
      <c r="H37" s="398"/>
      <c r="I37" s="398"/>
      <c r="J37" s="398"/>
      <c r="K37" s="398"/>
    </row>
  </sheetData>
  <mergeCells count="27">
    <mergeCell ref="A1:K1"/>
    <mergeCell ref="A2:K2"/>
    <mergeCell ref="A3:K3"/>
    <mergeCell ref="A4:K4"/>
    <mergeCell ref="C13:F13"/>
    <mergeCell ref="G13:H13"/>
    <mergeCell ref="A16:A17"/>
    <mergeCell ref="B16:B17"/>
    <mergeCell ref="C16:C17"/>
    <mergeCell ref="D16:D17"/>
    <mergeCell ref="E16:E17"/>
    <mergeCell ref="F16:F17"/>
    <mergeCell ref="G16:G17"/>
    <mergeCell ref="H16:I16"/>
    <mergeCell ref="J16:K16"/>
    <mergeCell ref="D18:K27"/>
    <mergeCell ref="A35:C35"/>
    <mergeCell ref="A36:C36"/>
    <mergeCell ref="A37:C37"/>
    <mergeCell ref="H29:K29"/>
    <mergeCell ref="H30:K30"/>
    <mergeCell ref="H35:K35"/>
    <mergeCell ref="H36:K36"/>
    <mergeCell ref="H37:K37"/>
    <mergeCell ref="C32:E32"/>
    <mergeCell ref="A29:C29"/>
    <mergeCell ref="A30:C30"/>
  </mergeCells>
  <pageMargins left="0.25" right="0.25" top="0.39" bottom="0.3" header="0.3" footer="0.3"/>
  <pageSetup paperSize="9" scale="7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87"/>
  <sheetViews>
    <sheetView showGridLines="0" showZeros="0" showOutlineSymbols="0" view="pageBreakPreview" topLeftCell="A70" zoomScaleNormal="100" zoomScaleSheetLayoutView="100" workbookViewId="0">
      <selection activeCell="G12" sqref="G12"/>
    </sheetView>
  </sheetViews>
  <sheetFormatPr defaultRowHeight="12" x14ac:dyDescent="0.2"/>
  <cols>
    <col min="1" max="1" width="36" style="28" customWidth="1"/>
    <col min="2" max="3" width="9.140625" style="28"/>
    <col min="4" max="5" width="16.5703125" style="28" customWidth="1"/>
    <col min="6" max="7" width="16" style="28" customWidth="1"/>
    <col min="8" max="16384" width="9.140625" style="28"/>
  </cols>
  <sheetData>
    <row r="1" spans="1:8" ht="48" customHeight="1" x14ac:dyDescent="0.2">
      <c r="A1" s="27"/>
      <c r="B1" s="45"/>
      <c r="C1" s="45"/>
      <c r="D1" s="377" t="s">
        <v>614</v>
      </c>
      <c r="E1" s="377"/>
      <c r="F1" s="377"/>
      <c r="G1" s="377"/>
      <c r="H1" s="42"/>
    </row>
    <row r="2" spans="1:8" ht="34.5" customHeight="1" x14ac:dyDescent="0.2">
      <c r="A2" s="375" t="s">
        <v>615</v>
      </c>
      <c r="B2" s="375"/>
      <c r="C2" s="375"/>
      <c r="D2" s="375"/>
      <c r="E2" s="375"/>
      <c r="F2" s="375"/>
      <c r="G2" s="375"/>
      <c r="H2" s="99"/>
    </row>
    <row r="3" spans="1:8" ht="9.75" customHeight="1" x14ac:dyDescent="0.2">
      <c r="A3" s="27"/>
      <c r="B3" s="45"/>
      <c r="C3" s="45"/>
      <c r="D3" s="45"/>
      <c r="E3" s="45"/>
      <c r="F3" s="45"/>
      <c r="G3" s="45"/>
      <c r="H3" s="45"/>
    </row>
    <row r="4" spans="1:8" ht="13.5" customHeight="1" x14ac:dyDescent="0.2">
      <c r="A4" s="424" t="s">
        <v>616</v>
      </c>
      <c r="B4" s="424"/>
      <c r="C4" s="424"/>
      <c r="D4" s="424"/>
      <c r="E4" s="424"/>
      <c r="F4" s="424"/>
      <c r="G4" s="424"/>
      <c r="H4" s="100"/>
    </row>
    <row r="5" spans="1:8" ht="17.25" customHeight="1" x14ac:dyDescent="0.2">
      <c r="A5" s="378" t="s">
        <v>617</v>
      </c>
      <c r="B5" s="378"/>
      <c r="C5" s="378"/>
      <c r="D5" s="378"/>
      <c r="E5" s="378"/>
      <c r="F5" s="378"/>
      <c r="G5" s="378"/>
      <c r="H5" s="101"/>
    </row>
    <row r="6" spans="1:8" ht="12" customHeight="1" x14ac:dyDescent="0.2">
      <c r="A6" s="425" t="s">
        <v>442</v>
      </c>
      <c r="B6" s="425"/>
      <c r="C6" s="425"/>
      <c r="D6" s="425"/>
      <c r="E6" s="425"/>
      <c r="F6" s="425"/>
      <c r="G6" s="425"/>
      <c r="H6" s="98"/>
    </row>
    <row r="7" spans="1:8" ht="9.75" customHeight="1" x14ac:dyDescent="0.2">
      <c r="A7" s="27"/>
      <c r="B7" s="45"/>
      <c r="C7" s="45"/>
      <c r="D7" s="45"/>
      <c r="E7" s="45"/>
      <c r="F7" s="45"/>
      <c r="G7" s="45"/>
      <c r="H7" s="45"/>
    </row>
    <row r="8" spans="1:8" ht="15.75" customHeight="1" x14ac:dyDescent="0.2">
      <c r="A8" s="97" t="s">
        <v>1083</v>
      </c>
      <c r="C8" s="45"/>
      <c r="D8" s="97" t="s">
        <v>100</v>
      </c>
      <c r="E8" s="97"/>
      <c r="F8" s="97"/>
      <c r="G8" s="97"/>
      <c r="H8" s="97"/>
    </row>
    <row r="9" spans="1:8" ht="15.75" customHeight="1" x14ac:dyDescent="0.2">
      <c r="A9" s="98" t="s">
        <v>1084</v>
      </c>
      <c r="C9" s="45"/>
      <c r="D9" s="98" t="s">
        <v>5</v>
      </c>
      <c r="E9" s="98"/>
      <c r="F9" s="98"/>
      <c r="G9" s="98"/>
      <c r="H9" s="98"/>
    </row>
    <row r="10" spans="1:8" ht="15.75" customHeight="1" x14ac:dyDescent="0.2">
      <c r="A10" s="97" t="s">
        <v>1085</v>
      </c>
      <c r="C10" s="45"/>
      <c r="D10" s="97" t="s">
        <v>103</v>
      </c>
      <c r="E10" s="97"/>
      <c r="F10" s="97"/>
      <c r="G10" s="97"/>
      <c r="H10" s="97"/>
    </row>
    <row r="11" spans="1:8" ht="15.75" customHeight="1" x14ac:dyDescent="0.2">
      <c r="A11" s="98" t="s">
        <v>1086</v>
      </c>
      <c r="C11" s="45"/>
      <c r="D11" s="98" t="s">
        <v>618</v>
      </c>
      <c r="E11" s="98"/>
      <c r="F11" s="98"/>
      <c r="G11" s="98"/>
      <c r="H11" s="98"/>
    </row>
    <row r="12" spans="1:8" ht="15.75" customHeight="1" x14ac:dyDescent="0.2">
      <c r="A12" s="97" t="s">
        <v>1087</v>
      </c>
      <c r="C12" s="45"/>
      <c r="D12" s="97" t="s">
        <v>104</v>
      </c>
      <c r="E12" s="97"/>
      <c r="F12" s="97"/>
      <c r="G12" s="97"/>
      <c r="H12" s="97"/>
    </row>
    <row r="13" spans="1:8" ht="15.75" customHeight="1" x14ac:dyDescent="0.2">
      <c r="A13" s="98" t="s">
        <v>1088</v>
      </c>
      <c r="C13" s="45"/>
      <c r="D13" s="98" t="s">
        <v>105</v>
      </c>
      <c r="E13" s="98"/>
      <c r="F13" s="98"/>
      <c r="G13" s="98"/>
      <c r="H13" s="98"/>
    </row>
    <row r="14" spans="1:8" ht="15.75" customHeight="1" x14ac:dyDescent="0.2">
      <c r="A14" s="97" t="s">
        <v>1089</v>
      </c>
      <c r="C14" s="45"/>
      <c r="D14" s="97" t="s">
        <v>106</v>
      </c>
      <c r="E14" s="97"/>
      <c r="F14" s="97"/>
      <c r="G14" s="97"/>
      <c r="H14" s="97"/>
    </row>
    <row r="15" spans="1:8" ht="15.75" customHeight="1" x14ac:dyDescent="0.2">
      <c r="A15" s="98" t="s">
        <v>1090</v>
      </c>
      <c r="C15" s="45"/>
      <c r="D15" s="98" t="s">
        <v>107</v>
      </c>
      <c r="E15" s="98"/>
      <c r="F15" s="98"/>
      <c r="G15" s="98"/>
      <c r="H15" s="98"/>
    </row>
    <row r="16" spans="1:8" ht="16.5" customHeight="1" x14ac:dyDescent="0.2">
      <c r="A16" s="62"/>
      <c r="B16" s="154"/>
      <c r="C16" s="154"/>
      <c r="D16" s="154"/>
      <c r="E16" s="154"/>
      <c r="F16" s="154"/>
      <c r="G16" s="154"/>
      <c r="H16" s="45"/>
    </row>
    <row r="17" spans="1:7" ht="33.75" customHeight="1" x14ac:dyDescent="0.2">
      <c r="A17" s="269" t="s">
        <v>112</v>
      </c>
      <c r="B17" s="426" t="s">
        <v>619</v>
      </c>
      <c r="C17" s="426" t="s">
        <v>620</v>
      </c>
      <c r="D17" s="428" t="s">
        <v>621</v>
      </c>
      <c r="E17" s="430"/>
      <c r="F17" s="428" t="s">
        <v>622</v>
      </c>
      <c r="G17" s="429"/>
    </row>
    <row r="18" spans="1:7" ht="33.75" customHeight="1" x14ac:dyDescent="0.2">
      <c r="A18" s="270"/>
      <c r="B18" s="427"/>
      <c r="C18" s="427"/>
      <c r="D18" s="105" t="s">
        <v>547</v>
      </c>
      <c r="E18" s="88" t="s">
        <v>623</v>
      </c>
      <c r="F18" s="88" t="s">
        <v>752</v>
      </c>
      <c r="G18" s="89" t="s">
        <v>623</v>
      </c>
    </row>
    <row r="19" spans="1:7" ht="36" customHeight="1" x14ac:dyDescent="0.2">
      <c r="A19" s="271" t="s">
        <v>624</v>
      </c>
      <c r="B19" s="64" t="s">
        <v>625</v>
      </c>
      <c r="C19" s="90"/>
      <c r="D19" s="131">
        <f>D20+D23+D26+D30+D31+D32+D33+D34</f>
        <v>9204941600</v>
      </c>
      <c r="E19" s="131">
        <f>E20+E23+E26+E30+E31+E32+E33+E34</f>
        <v>9204941600</v>
      </c>
      <c r="F19" s="52">
        <f>F20+F23+F26+F30+F31+F32+F33+F34</f>
        <v>0</v>
      </c>
      <c r="G19" s="53">
        <f>G20+G23+G26+G30+G31+G32+G33+G34</f>
        <v>0</v>
      </c>
    </row>
    <row r="20" spans="1:7" ht="25.5" customHeight="1" x14ac:dyDescent="0.2">
      <c r="A20" s="272" t="s">
        <v>626</v>
      </c>
      <c r="B20" s="67" t="s">
        <v>627</v>
      </c>
      <c r="C20" s="91"/>
      <c r="D20" s="132">
        <f>D21+D22</f>
        <v>154020000</v>
      </c>
      <c r="E20" s="132">
        <f>E21+E22</f>
        <v>154020000</v>
      </c>
      <c r="F20" s="54">
        <f>F21+F22</f>
        <v>0</v>
      </c>
      <c r="G20" s="55">
        <f>G21+G22</f>
        <v>0</v>
      </c>
    </row>
    <row r="21" spans="1:7" ht="25.5" customHeight="1" x14ac:dyDescent="0.2">
      <c r="A21" s="273" t="s">
        <v>628</v>
      </c>
      <c r="B21" s="92" t="s">
        <v>629</v>
      </c>
      <c r="C21" s="93"/>
      <c r="D21" s="133">
        <v>154020000</v>
      </c>
      <c r="E21" s="133">
        <v>154020000</v>
      </c>
      <c r="F21" s="56">
        <v>0</v>
      </c>
      <c r="G21" s="57">
        <v>0</v>
      </c>
    </row>
    <row r="22" spans="1:7" ht="25.5" customHeight="1" x14ac:dyDescent="0.2">
      <c r="A22" s="273" t="s">
        <v>630</v>
      </c>
      <c r="B22" s="92" t="s">
        <v>631</v>
      </c>
      <c r="C22" s="93"/>
      <c r="D22" s="133">
        <v>0</v>
      </c>
      <c r="E22" s="133">
        <v>0</v>
      </c>
      <c r="F22" s="56">
        <v>0</v>
      </c>
      <c r="G22" s="57">
        <v>0</v>
      </c>
    </row>
    <row r="23" spans="1:7" ht="25.5" customHeight="1" x14ac:dyDescent="0.2">
      <c r="A23" s="272" t="s">
        <v>632</v>
      </c>
      <c r="B23" s="67" t="s">
        <v>633</v>
      </c>
      <c r="C23" s="91"/>
      <c r="D23" s="132">
        <f>D24+D25</f>
        <v>0</v>
      </c>
      <c r="E23" s="132">
        <f>E24+E25</f>
        <v>0</v>
      </c>
      <c r="F23" s="54">
        <f>F24+F25</f>
        <v>0</v>
      </c>
      <c r="G23" s="55">
        <f>G24+G25</f>
        <v>0</v>
      </c>
    </row>
    <row r="24" spans="1:7" ht="25.5" customHeight="1" x14ac:dyDescent="0.2">
      <c r="A24" s="273" t="s">
        <v>634</v>
      </c>
      <c r="B24" s="92" t="s">
        <v>635</v>
      </c>
      <c r="C24" s="93"/>
      <c r="D24" s="133">
        <v>0</v>
      </c>
      <c r="E24" s="133">
        <v>0</v>
      </c>
      <c r="F24" s="56">
        <v>0</v>
      </c>
      <c r="G24" s="57">
        <v>0</v>
      </c>
    </row>
    <row r="25" spans="1:7" ht="25.5" customHeight="1" x14ac:dyDescent="0.2">
      <c r="A25" s="273" t="s">
        <v>636</v>
      </c>
      <c r="B25" s="92" t="s">
        <v>637</v>
      </c>
      <c r="C25" s="93"/>
      <c r="D25" s="133">
        <v>0</v>
      </c>
      <c r="E25" s="133">
        <v>0</v>
      </c>
      <c r="F25" s="56">
        <v>0</v>
      </c>
      <c r="G25" s="57">
        <v>0</v>
      </c>
    </row>
    <row r="26" spans="1:7" ht="25.5" customHeight="1" x14ac:dyDescent="0.2">
      <c r="A26" s="272" t="s">
        <v>638</v>
      </c>
      <c r="B26" s="67" t="s">
        <v>639</v>
      </c>
      <c r="C26" s="91"/>
      <c r="D26" s="132">
        <f>D27+D28+D29</f>
        <v>327446000</v>
      </c>
      <c r="E26" s="132">
        <f>E27+E28+E29</f>
        <v>327446000</v>
      </c>
      <c r="F26" s="54">
        <f>F27+F28+F29</f>
        <v>0</v>
      </c>
      <c r="G26" s="55">
        <f>G27+G28+G29</f>
        <v>0</v>
      </c>
    </row>
    <row r="27" spans="1:7" ht="25.5" customHeight="1" x14ac:dyDescent="0.2">
      <c r="A27" s="273" t="s">
        <v>640</v>
      </c>
      <c r="B27" s="92" t="s">
        <v>641</v>
      </c>
      <c r="C27" s="93"/>
      <c r="D27" s="133">
        <v>327446000</v>
      </c>
      <c r="E27" s="133">
        <v>327446000</v>
      </c>
      <c r="F27" s="56">
        <v>0</v>
      </c>
      <c r="G27" s="57">
        <v>0</v>
      </c>
    </row>
    <row r="28" spans="1:7" ht="47.25" customHeight="1" x14ac:dyDescent="0.2">
      <c r="A28" s="273" t="s">
        <v>642</v>
      </c>
      <c r="B28" s="92" t="s">
        <v>643</v>
      </c>
      <c r="C28" s="93"/>
      <c r="D28" s="133">
        <v>0</v>
      </c>
      <c r="E28" s="133">
        <v>0</v>
      </c>
      <c r="F28" s="56">
        <v>0</v>
      </c>
      <c r="G28" s="57">
        <v>0</v>
      </c>
    </row>
    <row r="29" spans="1:7" ht="47.25" customHeight="1" x14ac:dyDescent="0.2">
      <c r="A29" s="273" t="s">
        <v>644</v>
      </c>
      <c r="B29" s="92" t="s">
        <v>645</v>
      </c>
      <c r="C29" s="93"/>
      <c r="D29" s="133">
        <v>0</v>
      </c>
      <c r="E29" s="133">
        <v>0</v>
      </c>
      <c r="F29" s="56">
        <v>0</v>
      </c>
      <c r="G29" s="57">
        <v>0</v>
      </c>
    </row>
    <row r="30" spans="1:7" ht="47.25" customHeight="1" x14ac:dyDescent="0.2">
      <c r="A30" s="272" t="s">
        <v>646</v>
      </c>
      <c r="B30" s="67" t="s">
        <v>647</v>
      </c>
      <c r="C30" s="91"/>
      <c r="D30" s="132">
        <v>8723475600</v>
      </c>
      <c r="E30" s="132">
        <v>8723475600</v>
      </c>
      <c r="F30" s="54">
        <v>0</v>
      </c>
      <c r="G30" s="55">
        <v>0</v>
      </c>
    </row>
    <row r="31" spans="1:7" ht="25.5" customHeight="1" x14ac:dyDescent="0.2">
      <c r="A31" s="272" t="s">
        <v>648</v>
      </c>
      <c r="B31" s="67" t="s">
        <v>649</v>
      </c>
      <c r="C31" s="91"/>
      <c r="D31" s="132">
        <v>0</v>
      </c>
      <c r="E31" s="132">
        <v>0</v>
      </c>
      <c r="F31" s="54">
        <v>0</v>
      </c>
      <c r="G31" s="55">
        <v>0</v>
      </c>
    </row>
    <row r="32" spans="1:7" ht="47.25" customHeight="1" x14ac:dyDescent="0.2">
      <c r="A32" s="272" t="s">
        <v>650</v>
      </c>
      <c r="B32" s="67" t="s">
        <v>651</v>
      </c>
      <c r="C32" s="91"/>
      <c r="D32" s="132">
        <v>0</v>
      </c>
      <c r="E32" s="132">
        <v>0</v>
      </c>
      <c r="F32" s="54">
        <v>0</v>
      </c>
      <c r="G32" s="55">
        <v>0</v>
      </c>
    </row>
    <row r="33" spans="1:7" ht="25.5" customHeight="1" x14ac:dyDescent="0.2">
      <c r="A33" s="272" t="s">
        <v>652</v>
      </c>
      <c r="B33" s="67" t="s">
        <v>653</v>
      </c>
      <c r="C33" s="91"/>
      <c r="D33" s="132">
        <v>0</v>
      </c>
      <c r="E33" s="132">
        <v>0</v>
      </c>
      <c r="F33" s="54">
        <v>0</v>
      </c>
      <c r="G33" s="55">
        <v>0</v>
      </c>
    </row>
    <row r="34" spans="1:7" ht="72.75" customHeight="1" x14ac:dyDescent="0.2">
      <c r="A34" s="272" t="s">
        <v>654</v>
      </c>
      <c r="B34" s="67" t="s">
        <v>655</v>
      </c>
      <c r="C34" s="91"/>
      <c r="D34" s="132">
        <v>0</v>
      </c>
      <c r="E34" s="132">
        <v>0</v>
      </c>
      <c r="F34" s="54">
        <v>0</v>
      </c>
      <c r="G34" s="55">
        <v>0</v>
      </c>
    </row>
    <row r="35" spans="1:7" ht="25.5" customHeight="1" x14ac:dyDescent="0.2">
      <c r="A35" s="274" t="s">
        <v>656</v>
      </c>
      <c r="B35" s="64" t="s">
        <v>475</v>
      </c>
      <c r="C35" s="90"/>
      <c r="D35" s="131">
        <f>D36+D39+D40+D41+D42</f>
        <v>7051525</v>
      </c>
      <c r="E35" s="131">
        <f>E36+E39+E40+E41+E42</f>
        <v>7051525</v>
      </c>
      <c r="F35" s="52">
        <f>F36+F39+F40+F41+F42</f>
        <v>0</v>
      </c>
      <c r="G35" s="53">
        <f>G36+G39+G40+G41+G42</f>
        <v>0</v>
      </c>
    </row>
    <row r="36" spans="1:7" ht="25.5" customHeight="1" x14ac:dyDescent="0.2">
      <c r="A36" s="272" t="s">
        <v>657</v>
      </c>
      <c r="B36" s="67" t="s">
        <v>478</v>
      </c>
      <c r="C36" s="91"/>
      <c r="D36" s="132">
        <f>D37+D38</f>
        <v>7051525</v>
      </c>
      <c r="E36" s="132">
        <f>E37+E38</f>
        <v>7051525</v>
      </c>
      <c r="F36" s="54">
        <f>F37+F38</f>
        <v>0</v>
      </c>
      <c r="G36" s="55">
        <f>G37+G38</f>
        <v>0</v>
      </c>
    </row>
    <row r="37" spans="1:7" ht="25.5" customHeight="1" x14ac:dyDescent="0.2">
      <c r="A37" s="273" t="s">
        <v>658</v>
      </c>
      <c r="B37" s="92" t="s">
        <v>659</v>
      </c>
      <c r="C37" s="93"/>
      <c r="D37" s="133">
        <v>7051525</v>
      </c>
      <c r="E37" s="133">
        <v>7051525</v>
      </c>
      <c r="F37" s="56">
        <v>0</v>
      </c>
      <c r="G37" s="57">
        <v>0</v>
      </c>
    </row>
    <row r="38" spans="1:7" ht="25.5" customHeight="1" x14ac:dyDescent="0.2">
      <c r="A38" s="273" t="s">
        <v>660</v>
      </c>
      <c r="B38" s="92" t="s">
        <v>661</v>
      </c>
      <c r="C38" s="93"/>
      <c r="D38" s="133">
        <v>0</v>
      </c>
      <c r="E38" s="133">
        <v>0</v>
      </c>
      <c r="F38" s="56">
        <v>0</v>
      </c>
      <c r="G38" s="57">
        <v>0</v>
      </c>
    </row>
    <row r="39" spans="1:7" ht="36" customHeight="1" x14ac:dyDescent="0.2">
      <c r="A39" s="272" t="s">
        <v>662</v>
      </c>
      <c r="B39" s="67" t="s">
        <v>481</v>
      </c>
      <c r="C39" s="91"/>
      <c r="D39" s="132">
        <v>0</v>
      </c>
      <c r="E39" s="132">
        <v>0</v>
      </c>
      <c r="F39" s="54">
        <v>0</v>
      </c>
      <c r="G39" s="55">
        <v>0</v>
      </c>
    </row>
    <row r="40" spans="1:7" ht="25.5" customHeight="1" x14ac:dyDescent="0.2">
      <c r="A40" s="272" t="s">
        <v>663</v>
      </c>
      <c r="B40" s="67" t="s">
        <v>484</v>
      </c>
      <c r="C40" s="91"/>
      <c r="D40" s="132">
        <v>0</v>
      </c>
      <c r="E40" s="132">
        <v>0</v>
      </c>
      <c r="F40" s="54">
        <v>0</v>
      </c>
      <c r="G40" s="55">
        <v>0</v>
      </c>
    </row>
    <row r="41" spans="1:7" ht="58.5" customHeight="1" x14ac:dyDescent="0.2">
      <c r="A41" s="272" t="s">
        <v>664</v>
      </c>
      <c r="B41" s="67" t="s">
        <v>487</v>
      </c>
      <c r="C41" s="91"/>
      <c r="D41" s="132">
        <v>0</v>
      </c>
      <c r="E41" s="132">
        <v>0</v>
      </c>
      <c r="F41" s="54">
        <v>0</v>
      </c>
      <c r="G41" s="55">
        <v>0</v>
      </c>
    </row>
    <row r="42" spans="1:7" ht="25.5" customHeight="1" x14ac:dyDescent="0.2">
      <c r="A42" s="272" t="s">
        <v>665</v>
      </c>
      <c r="B42" s="67" t="s">
        <v>666</v>
      </c>
      <c r="C42" s="91"/>
      <c r="D42" s="132">
        <v>0</v>
      </c>
      <c r="E42" s="132">
        <v>0</v>
      </c>
      <c r="F42" s="54">
        <v>0</v>
      </c>
      <c r="G42" s="55">
        <v>0</v>
      </c>
    </row>
    <row r="43" spans="1:7" ht="25.5" customHeight="1" x14ac:dyDescent="0.2">
      <c r="A43" s="274" t="s">
        <v>667</v>
      </c>
      <c r="B43" s="64" t="s">
        <v>668</v>
      </c>
      <c r="C43" s="90"/>
      <c r="D43" s="131">
        <f>D44+D45+D50+D51+D52+D53+D56+D57+D58+D59</f>
        <v>91776182</v>
      </c>
      <c r="E43" s="131">
        <f>E44+E45+E50+E51+E52+E53+E56+E57+E58+E59</f>
        <v>91776182</v>
      </c>
      <c r="F43" s="52">
        <f>F44+F45+F50+F51+F52+F53+F56+F57+F58+F59</f>
        <v>0</v>
      </c>
      <c r="G43" s="53">
        <f>G44+G45+G50+G51+G52+G53+G56+G57+G58+G59</f>
        <v>0</v>
      </c>
    </row>
    <row r="44" spans="1:7" ht="25.5" customHeight="1" x14ac:dyDescent="0.2">
      <c r="A44" s="272" t="s">
        <v>669</v>
      </c>
      <c r="B44" s="67" t="s">
        <v>670</v>
      </c>
      <c r="C44" s="91"/>
      <c r="D44" s="132">
        <v>21820213</v>
      </c>
      <c r="E44" s="132">
        <v>21820213</v>
      </c>
      <c r="F44" s="54">
        <v>0</v>
      </c>
      <c r="G44" s="55">
        <v>0</v>
      </c>
    </row>
    <row r="45" spans="1:7" ht="25.5" customHeight="1" x14ac:dyDescent="0.2">
      <c r="A45" s="272" t="s">
        <v>671</v>
      </c>
      <c r="B45" s="67" t="s">
        <v>672</v>
      </c>
      <c r="C45" s="91"/>
      <c r="D45" s="132">
        <f>D46+D47+D48+D49</f>
        <v>3800000</v>
      </c>
      <c r="E45" s="132">
        <f>E46+E47+E48+E49</f>
        <v>3800000</v>
      </c>
      <c r="F45" s="54">
        <f>F46+F47+F48+F49</f>
        <v>0</v>
      </c>
      <c r="G45" s="55">
        <f>G46+G47+G48+G49</f>
        <v>0</v>
      </c>
    </row>
    <row r="46" spans="1:7" ht="25.5" customHeight="1" x14ac:dyDescent="0.2">
      <c r="A46" s="273" t="s">
        <v>673</v>
      </c>
      <c r="B46" s="92" t="s">
        <v>674</v>
      </c>
      <c r="C46" s="93"/>
      <c r="D46" s="133">
        <v>3000000</v>
      </c>
      <c r="E46" s="133">
        <v>3000000</v>
      </c>
      <c r="F46" s="56">
        <v>0</v>
      </c>
      <c r="G46" s="57">
        <v>0</v>
      </c>
    </row>
    <row r="47" spans="1:7" ht="25.5" customHeight="1" x14ac:dyDescent="0.2">
      <c r="A47" s="273" t="s">
        <v>675</v>
      </c>
      <c r="B47" s="92" t="s">
        <v>676</v>
      </c>
      <c r="C47" s="93"/>
      <c r="D47" s="133">
        <v>800000</v>
      </c>
      <c r="E47" s="133">
        <v>800000</v>
      </c>
      <c r="F47" s="56">
        <v>0</v>
      </c>
      <c r="G47" s="57">
        <v>0</v>
      </c>
    </row>
    <row r="48" spans="1:7" ht="25.5" customHeight="1" x14ac:dyDescent="0.2">
      <c r="A48" s="273" t="s">
        <v>677</v>
      </c>
      <c r="B48" s="92" t="s">
        <v>678</v>
      </c>
      <c r="C48" s="93"/>
      <c r="D48" s="133">
        <v>0</v>
      </c>
      <c r="E48" s="133">
        <v>0</v>
      </c>
      <c r="F48" s="56">
        <v>0</v>
      </c>
      <c r="G48" s="57">
        <v>0</v>
      </c>
    </row>
    <row r="49" spans="1:7" ht="47.25" customHeight="1" x14ac:dyDescent="0.2">
      <c r="A49" s="273" t="s">
        <v>679</v>
      </c>
      <c r="B49" s="92" t="s">
        <v>680</v>
      </c>
      <c r="C49" s="93"/>
      <c r="D49" s="133">
        <v>0</v>
      </c>
      <c r="E49" s="133">
        <v>0</v>
      </c>
      <c r="F49" s="56">
        <v>0</v>
      </c>
      <c r="G49" s="57">
        <v>0</v>
      </c>
    </row>
    <row r="50" spans="1:7" ht="25.5" customHeight="1" x14ac:dyDescent="0.2">
      <c r="A50" s="272" t="s">
        <v>681</v>
      </c>
      <c r="B50" s="67" t="s">
        <v>682</v>
      </c>
      <c r="C50" s="91"/>
      <c r="D50" s="132">
        <v>4950000</v>
      </c>
      <c r="E50" s="132">
        <v>4950000</v>
      </c>
      <c r="F50" s="54">
        <v>0</v>
      </c>
      <c r="G50" s="55">
        <v>0</v>
      </c>
    </row>
    <row r="51" spans="1:7" ht="25.5" customHeight="1" x14ac:dyDescent="0.2">
      <c r="A51" s="272" t="s">
        <v>683</v>
      </c>
      <c r="B51" s="67" t="s">
        <v>684</v>
      </c>
      <c r="C51" s="91"/>
      <c r="D51" s="132">
        <v>4950000</v>
      </c>
      <c r="E51" s="132">
        <v>4950000</v>
      </c>
      <c r="F51" s="54">
        <v>0</v>
      </c>
      <c r="G51" s="55">
        <v>0</v>
      </c>
    </row>
    <row r="52" spans="1:7" ht="25.5" customHeight="1" x14ac:dyDescent="0.2">
      <c r="A52" s="272" t="s">
        <v>685</v>
      </c>
      <c r="B52" s="67" t="s">
        <v>686</v>
      </c>
      <c r="C52" s="91"/>
      <c r="D52" s="132">
        <v>0</v>
      </c>
      <c r="E52" s="132">
        <v>0</v>
      </c>
      <c r="F52" s="54">
        <v>0</v>
      </c>
      <c r="G52" s="55">
        <v>0</v>
      </c>
    </row>
    <row r="53" spans="1:7" ht="36" customHeight="1" x14ac:dyDescent="0.2">
      <c r="A53" s="272" t="s">
        <v>687</v>
      </c>
      <c r="B53" s="67" t="s">
        <v>688</v>
      </c>
      <c r="C53" s="91"/>
      <c r="D53" s="132">
        <f>D54+D55</f>
        <v>5901639</v>
      </c>
      <c r="E53" s="132">
        <f>E54+E55</f>
        <v>5901639</v>
      </c>
      <c r="F53" s="54">
        <f>F54+F55</f>
        <v>0</v>
      </c>
      <c r="G53" s="55">
        <f>G54+G55</f>
        <v>0</v>
      </c>
    </row>
    <row r="54" spans="1:7" ht="47.25" customHeight="1" x14ac:dyDescent="0.2">
      <c r="A54" s="273" t="s">
        <v>689</v>
      </c>
      <c r="B54" s="92" t="s">
        <v>690</v>
      </c>
      <c r="C54" s="93"/>
      <c r="D54" s="133">
        <v>0</v>
      </c>
      <c r="E54" s="133">
        <v>0</v>
      </c>
      <c r="F54" s="56">
        <v>0</v>
      </c>
      <c r="G54" s="57">
        <v>0</v>
      </c>
    </row>
    <row r="55" spans="1:7" ht="47.25" customHeight="1" x14ac:dyDescent="0.2">
      <c r="A55" s="273" t="s">
        <v>691</v>
      </c>
      <c r="B55" s="92" t="s">
        <v>692</v>
      </c>
      <c r="C55" s="93"/>
      <c r="D55" s="133">
        <v>5901639</v>
      </c>
      <c r="E55" s="133">
        <v>5901639</v>
      </c>
      <c r="F55" s="56">
        <v>0</v>
      </c>
      <c r="G55" s="57">
        <v>0</v>
      </c>
    </row>
    <row r="56" spans="1:7" ht="25.5" customHeight="1" x14ac:dyDescent="0.2">
      <c r="A56" s="272" t="s">
        <v>693</v>
      </c>
      <c r="B56" s="67" t="s">
        <v>694</v>
      </c>
      <c r="C56" s="91"/>
      <c r="D56" s="132">
        <v>0</v>
      </c>
      <c r="E56" s="132">
        <v>0</v>
      </c>
      <c r="F56" s="54">
        <v>0</v>
      </c>
      <c r="G56" s="55">
        <v>0</v>
      </c>
    </row>
    <row r="57" spans="1:7" ht="25.5" customHeight="1" x14ac:dyDescent="0.2">
      <c r="A57" s="272" t="s">
        <v>695</v>
      </c>
      <c r="B57" s="67" t="s">
        <v>696</v>
      </c>
      <c r="C57" s="91"/>
      <c r="D57" s="132">
        <v>0</v>
      </c>
      <c r="E57" s="132">
        <v>0</v>
      </c>
      <c r="F57" s="54">
        <v>0</v>
      </c>
      <c r="G57" s="55">
        <v>0</v>
      </c>
    </row>
    <row r="58" spans="1:7" ht="25.5" customHeight="1" x14ac:dyDescent="0.2">
      <c r="A58" s="272" t="s">
        <v>697</v>
      </c>
      <c r="B58" s="67" t="s">
        <v>698</v>
      </c>
      <c r="C58" s="91"/>
      <c r="D58" s="132">
        <v>0</v>
      </c>
      <c r="E58" s="132">
        <v>0</v>
      </c>
      <c r="F58" s="54">
        <v>0</v>
      </c>
      <c r="G58" s="55">
        <v>0</v>
      </c>
    </row>
    <row r="59" spans="1:7" ht="25.5" customHeight="1" x14ac:dyDescent="0.2">
      <c r="A59" s="272" t="s">
        <v>699</v>
      </c>
      <c r="B59" s="67" t="s">
        <v>700</v>
      </c>
      <c r="C59" s="91"/>
      <c r="D59" s="132">
        <f>D60+D61+D62+D63+D64+D65+D66+D67+D68+D70+D71+D72+D73</f>
        <v>50354330</v>
      </c>
      <c r="E59" s="132">
        <f>E60+E61+E62+E63+E64+E65+E66+E67+E68+E70+E71+E72+E73</f>
        <v>50354330</v>
      </c>
      <c r="F59" s="54">
        <f>F60+F61+F62+F63+F64+F65+F66+F67+F68+F70+F71+F72+F73</f>
        <v>0</v>
      </c>
      <c r="G59" s="55">
        <f>G60+G61+G62+G63+G64+G65+G66+G67+G68+G70+G71+G72+G73</f>
        <v>0</v>
      </c>
    </row>
    <row r="60" spans="1:7" ht="25.5" customHeight="1" x14ac:dyDescent="0.2">
      <c r="A60" s="273" t="s">
        <v>701</v>
      </c>
      <c r="B60" s="92" t="s">
        <v>702</v>
      </c>
      <c r="C60" s="93"/>
      <c r="D60" s="133">
        <v>0</v>
      </c>
      <c r="E60" s="133">
        <v>0</v>
      </c>
      <c r="F60" s="56">
        <v>0</v>
      </c>
      <c r="G60" s="57">
        <v>0</v>
      </c>
    </row>
    <row r="61" spans="1:7" ht="36" customHeight="1" x14ac:dyDescent="0.2">
      <c r="A61" s="273" t="s">
        <v>703</v>
      </c>
      <c r="B61" s="92" t="s">
        <v>704</v>
      </c>
      <c r="C61" s="93"/>
      <c r="D61" s="133">
        <v>0</v>
      </c>
      <c r="E61" s="133">
        <v>0</v>
      </c>
      <c r="F61" s="56">
        <v>0</v>
      </c>
      <c r="G61" s="57">
        <v>0</v>
      </c>
    </row>
    <row r="62" spans="1:7" ht="25.5" customHeight="1" x14ac:dyDescent="0.2">
      <c r="A62" s="273" t="s">
        <v>705</v>
      </c>
      <c r="B62" s="92" t="s">
        <v>706</v>
      </c>
      <c r="C62" s="93"/>
      <c r="D62" s="133">
        <v>0</v>
      </c>
      <c r="E62" s="133">
        <v>0</v>
      </c>
      <c r="F62" s="56">
        <v>0</v>
      </c>
      <c r="G62" s="57">
        <v>0</v>
      </c>
    </row>
    <row r="63" spans="1:7" ht="25.5" customHeight="1" x14ac:dyDescent="0.2">
      <c r="A63" s="273" t="s">
        <v>707</v>
      </c>
      <c r="B63" s="92" t="s">
        <v>708</v>
      </c>
      <c r="C63" s="93"/>
      <c r="D63" s="133">
        <v>0</v>
      </c>
      <c r="E63" s="133">
        <v>0</v>
      </c>
      <c r="F63" s="56">
        <v>0</v>
      </c>
      <c r="G63" s="57">
        <v>0</v>
      </c>
    </row>
    <row r="64" spans="1:7" ht="25.5" customHeight="1" x14ac:dyDescent="0.2">
      <c r="A64" s="273" t="s">
        <v>709</v>
      </c>
      <c r="B64" s="92" t="s">
        <v>710</v>
      </c>
      <c r="C64" s="93"/>
      <c r="D64" s="133">
        <v>0</v>
      </c>
      <c r="E64" s="133">
        <v>0</v>
      </c>
      <c r="F64" s="56">
        <v>0</v>
      </c>
      <c r="G64" s="57">
        <v>0</v>
      </c>
    </row>
    <row r="65" spans="1:7" ht="25.5" customHeight="1" x14ac:dyDescent="0.2">
      <c r="A65" s="273" t="s">
        <v>711</v>
      </c>
      <c r="B65" s="92" t="s">
        <v>712</v>
      </c>
      <c r="C65" s="93"/>
      <c r="D65" s="133">
        <v>50000000</v>
      </c>
      <c r="E65" s="133">
        <v>50000000</v>
      </c>
      <c r="F65" s="56">
        <v>0</v>
      </c>
      <c r="G65" s="57">
        <v>0</v>
      </c>
    </row>
    <row r="66" spans="1:7" ht="25.5" customHeight="1" x14ac:dyDescent="0.2">
      <c r="A66" s="273" t="s">
        <v>713</v>
      </c>
      <c r="B66" s="92" t="s">
        <v>714</v>
      </c>
      <c r="C66" s="93"/>
      <c r="D66" s="133">
        <v>354330</v>
      </c>
      <c r="E66" s="133">
        <v>354330</v>
      </c>
      <c r="F66" s="56">
        <v>0</v>
      </c>
      <c r="G66" s="57">
        <v>0</v>
      </c>
    </row>
    <row r="67" spans="1:7" ht="25.5" customHeight="1" x14ac:dyDescent="0.2">
      <c r="A67" s="273" t="s">
        <v>715</v>
      </c>
      <c r="B67" s="92" t="s">
        <v>716</v>
      </c>
      <c r="C67" s="93"/>
      <c r="D67" s="133">
        <v>0</v>
      </c>
      <c r="E67" s="133">
        <v>0</v>
      </c>
      <c r="F67" s="56">
        <v>0</v>
      </c>
      <c r="G67" s="57">
        <v>0</v>
      </c>
    </row>
    <row r="68" spans="1:7" ht="25.5" customHeight="1" x14ac:dyDescent="0.2">
      <c r="A68" s="273" t="s">
        <v>717</v>
      </c>
      <c r="B68" s="92" t="s">
        <v>718</v>
      </c>
      <c r="C68" s="93"/>
      <c r="D68" s="133">
        <v>0</v>
      </c>
      <c r="E68" s="133">
        <v>0</v>
      </c>
      <c r="F68" s="56">
        <v>0</v>
      </c>
      <c r="G68" s="57">
        <v>0</v>
      </c>
    </row>
    <row r="69" spans="1:7" ht="25.5" customHeight="1" x14ac:dyDescent="0.2">
      <c r="A69" s="273" t="s">
        <v>719</v>
      </c>
      <c r="B69" s="92" t="s">
        <v>720</v>
      </c>
      <c r="C69" s="93"/>
      <c r="D69" s="133">
        <v>0</v>
      </c>
      <c r="E69" s="133">
        <v>0</v>
      </c>
      <c r="F69" s="56">
        <v>0</v>
      </c>
      <c r="G69" s="57">
        <v>0</v>
      </c>
    </row>
    <row r="70" spans="1:7" ht="25.5" customHeight="1" x14ac:dyDescent="0.2">
      <c r="A70" s="273" t="s">
        <v>721</v>
      </c>
      <c r="B70" s="92" t="s">
        <v>722</v>
      </c>
      <c r="C70" s="93"/>
      <c r="D70" s="133">
        <v>0</v>
      </c>
      <c r="E70" s="133">
        <v>0</v>
      </c>
      <c r="F70" s="56">
        <v>0</v>
      </c>
      <c r="G70" s="57">
        <v>0</v>
      </c>
    </row>
    <row r="71" spans="1:7" ht="25.5" customHeight="1" x14ac:dyDescent="0.2">
      <c r="A71" s="273" t="s">
        <v>723</v>
      </c>
      <c r="B71" s="92" t="s">
        <v>724</v>
      </c>
      <c r="C71" s="93"/>
      <c r="D71" s="133">
        <v>0</v>
      </c>
      <c r="E71" s="133">
        <v>0</v>
      </c>
      <c r="F71" s="56">
        <v>0</v>
      </c>
      <c r="G71" s="57">
        <v>0</v>
      </c>
    </row>
    <row r="72" spans="1:7" ht="25.5" customHeight="1" x14ac:dyDescent="0.2">
      <c r="A72" s="273" t="s">
        <v>725</v>
      </c>
      <c r="B72" s="92" t="s">
        <v>726</v>
      </c>
      <c r="C72" s="93"/>
      <c r="D72" s="133">
        <v>0</v>
      </c>
      <c r="E72" s="133">
        <v>0</v>
      </c>
      <c r="F72" s="56">
        <v>0</v>
      </c>
      <c r="G72" s="57">
        <v>0</v>
      </c>
    </row>
    <row r="73" spans="1:7" ht="25.5" customHeight="1" x14ac:dyDescent="0.2">
      <c r="A73" s="273" t="s">
        <v>727</v>
      </c>
      <c r="B73" s="92" t="s">
        <v>728</v>
      </c>
      <c r="C73" s="93"/>
      <c r="D73" s="133">
        <v>0</v>
      </c>
      <c r="E73" s="133">
        <v>0</v>
      </c>
      <c r="F73" s="56">
        <v>0</v>
      </c>
      <c r="G73" s="57">
        <v>0</v>
      </c>
    </row>
    <row r="74" spans="1:7" ht="36" customHeight="1" x14ac:dyDescent="0.2">
      <c r="A74" s="274" t="s">
        <v>729</v>
      </c>
      <c r="B74" s="64" t="s">
        <v>730</v>
      </c>
      <c r="C74" s="90"/>
      <c r="D74" s="131">
        <f>D19-D35-D43</f>
        <v>9106113893</v>
      </c>
      <c r="E74" s="131">
        <f>E19-E35-E43</f>
        <v>9106113893</v>
      </c>
      <c r="F74" s="52">
        <f>F19-F35-F43</f>
        <v>0</v>
      </c>
      <c r="G74" s="53">
        <f>G19-G35-G43</f>
        <v>0</v>
      </c>
    </row>
    <row r="75" spans="1:7" ht="25.5" customHeight="1" x14ac:dyDescent="0.2">
      <c r="A75" s="274" t="s">
        <v>731</v>
      </c>
      <c r="B75" s="64" t="s">
        <v>732</v>
      </c>
      <c r="C75" s="90"/>
      <c r="D75" s="131">
        <f>D76-D77</f>
        <v>0</v>
      </c>
      <c r="E75" s="131">
        <f>E76-E77</f>
        <v>0</v>
      </c>
      <c r="F75" s="52">
        <f>F76-F77</f>
        <v>0</v>
      </c>
      <c r="G75" s="53">
        <f>G76-G77</f>
        <v>0</v>
      </c>
    </row>
    <row r="76" spans="1:7" ht="25.5" customHeight="1" x14ac:dyDescent="0.2">
      <c r="A76" s="272" t="s">
        <v>733</v>
      </c>
      <c r="B76" s="67" t="s">
        <v>734</v>
      </c>
      <c r="C76" s="91"/>
      <c r="D76" s="132">
        <v>0</v>
      </c>
      <c r="E76" s="132">
        <v>0</v>
      </c>
      <c r="F76" s="54">
        <v>0</v>
      </c>
      <c r="G76" s="55">
        <v>0</v>
      </c>
    </row>
    <row r="77" spans="1:7" ht="25.5" customHeight="1" x14ac:dyDescent="0.2">
      <c r="A77" s="272" t="s">
        <v>735</v>
      </c>
      <c r="B77" s="67" t="s">
        <v>736</v>
      </c>
      <c r="C77" s="91"/>
      <c r="D77" s="132">
        <v>0</v>
      </c>
      <c r="E77" s="132">
        <v>0</v>
      </c>
      <c r="F77" s="54">
        <v>0</v>
      </c>
      <c r="G77" s="55">
        <v>0</v>
      </c>
    </row>
    <row r="78" spans="1:7" ht="47.25" customHeight="1" x14ac:dyDescent="0.2">
      <c r="A78" s="274" t="s">
        <v>737</v>
      </c>
      <c r="B78" s="64" t="s">
        <v>738</v>
      </c>
      <c r="C78" s="90"/>
      <c r="D78" s="131">
        <f>D74+D75</f>
        <v>9106113893</v>
      </c>
      <c r="E78" s="131">
        <f>E74+E75</f>
        <v>9106113893</v>
      </c>
      <c r="F78" s="52">
        <f>F74+F75</f>
        <v>0</v>
      </c>
      <c r="G78" s="53">
        <f>G74+G75</f>
        <v>0</v>
      </c>
    </row>
    <row r="79" spans="1:7" ht="25.5" customHeight="1" x14ac:dyDescent="0.2">
      <c r="A79" s="272" t="s">
        <v>739</v>
      </c>
      <c r="B79" s="67" t="s">
        <v>740</v>
      </c>
      <c r="C79" s="91"/>
      <c r="D79" s="132">
        <v>382638293</v>
      </c>
      <c r="E79" s="132">
        <v>382638293</v>
      </c>
      <c r="F79" s="54">
        <v>0</v>
      </c>
      <c r="G79" s="55">
        <v>0</v>
      </c>
    </row>
    <row r="80" spans="1:7" ht="25.5" customHeight="1" x14ac:dyDescent="0.2">
      <c r="A80" s="272" t="s">
        <v>741</v>
      </c>
      <c r="B80" s="67" t="s">
        <v>742</v>
      </c>
      <c r="C80" s="91"/>
      <c r="D80" s="132">
        <v>8723475600</v>
      </c>
      <c r="E80" s="132">
        <v>8723475600</v>
      </c>
      <c r="F80" s="54">
        <v>0</v>
      </c>
      <c r="G80" s="55">
        <v>0</v>
      </c>
    </row>
    <row r="81" spans="1:7" ht="25.5" customHeight="1" x14ac:dyDescent="0.2">
      <c r="A81" s="274" t="s">
        <v>743</v>
      </c>
      <c r="B81" s="64" t="s">
        <v>744</v>
      </c>
      <c r="C81" s="90"/>
      <c r="D81" s="131"/>
      <c r="E81" s="131">
        <v>0</v>
      </c>
      <c r="F81" s="52">
        <v>0</v>
      </c>
      <c r="G81" s="53">
        <v>0</v>
      </c>
    </row>
    <row r="82" spans="1:7" ht="36" customHeight="1" x14ac:dyDescent="0.2">
      <c r="A82" s="275" t="s">
        <v>745</v>
      </c>
      <c r="B82" s="70" t="s">
        <v>746</v>
      </c>
      <c r="C82" s="94"/>
      <c r="D82" s="134">
        <f>D78</f>
        <v>9106113893</v>
      </c>
      <c r="E82" s="134">
        <f>E78</f>
        <v>9106113893</v>
      </c>
      <c r="F82" s="71">
        <f>F78</f>
        <v>0</v>
      </c>
      <c r="G82" s="95">
        <f>G78</f>
        <v>0</v>
      </c>
    </row>
    <row r="83" spans="1:7" ht="10.5" customHeight="1" x14ac:dyDescent="0.2">
      <c r="A83" s="106"/>
      <c r="B83" s="433"/>
      <c r="C83" s="433"/>
      <c r="D83" s="276"/>
      <c r="E83" s="276"/>
      <c r="F83" s="433"/>
      <c r="G83" s="433"/>
    </row>
    <row r="84" spans="1:7" ht="15" customHeight="1" x14ac:dyDescent="0.2">
      <c r="A84" s="48" t="s">
        <v>747</v>
      </c>
      <c r="B84" s="373" t="s">
        <v>748</v>
      </c>
      <c r="C84" s="373"/>
      <c r="D84" s="373"/>
      <c r="E84" s="373"/>
      <c r="F84" s="434" t="s">
        <v>749</v>
      </c>
      <c r="G84" s="434"/>
    </row>
    <row r="85" spans="1:7" ht="15" customHeight="1" x14ac:dyDescent="0.2">
      <c r="A85" s="103" t="s">
        <v>750</v>
      </c>
      <c r="B85" s="431" t="s">
        <v>750</v>
      </c>
      <c r="C85" s="431"/>
      <c r="D85" s="431"/>
      <c r="E85" s="431"/>
      <c r="F85" s="432" t="s">
        <v>751</v>
      </c>
      <c r="G85" s="432"/>
    </row>
    <row r="86" spans="1:7" ht="15.75" customHeight="1" x14ac:dyDescent="0.2">
      <c r="A86" s="45"/>
      <c r="B86" s="368"/>
      <c r="C86" s="368"/>
      <c r="D86" s="368"/>
      <c r="E86" s="368"/>
      <c r="F86" s="368"/>
      <c r="G86" s="368"/>
    </row>
    <row r="87" spans="1:7" ht="15.75" customHeight="1" x14ac:dyDescent="0.2">
      <c r="A87" s="27"/>
      <c r="B87" s="368"/>
      <c r="C87" s="368"/>
      <c r="D87" s="368"/>
      <c r="E87" s="368"/>
      <c r="F87" s="368"/>
      <c r="G87" s="368"/>
    </row>
  </sheetData>
  <mergeCells count="21">
    <mergeCell ref="B87:C87"/>
    <mergeCell ref="D87:E87"/>
    <mergeCell ref="F87:G87"/>
    <mergeCell ref="D17:E17"/>
    <mergeCell ref="A2:G2"/>
    <mergeCell ref="B85:E85"/>
    <mergeCell ref="F85:G85"/>
    <mergeCell ref="B86:C86"/>
    <mergeCell ref="D86:E86"/>
    <mergeCell ref="F86:G86"/>
    <mergeCell ref="B17:B18"/>
    <mergeCell ref="B83:C83"/>
    <mergeCell ref="F83:G83"/>
    <mergeCell ref="B84:E84"/>
    <mergeCell ref="F84:G84"/>
    <mergeCell ref="D1:G1"/>
    <mergeCell ref="A4:G4"/>
    <mergeCell ref="A5:G5"/>
    <mergeCell ref="A6:G6"/>
    <mergeCell ref="C17:C18"/>
    <mergeCell ref="F17:G17"/>
  </mergeCells>
  <printOptions horizontalCentered="1"/>
  <pageMargins left="0" right="0" top="0.59" bottom="0.59" header="0.5" footer="0.5"/>
  <pageSetup paperSize="9" scale="82"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128"/>
  <sheetViews>
    <sheetView showGridLines="0" showZeros="0" showOutlineSymbols="0" view="pageBreakPreview" topLeftCell="A118" zoomScaleNormal="100" zoomScaleSheetLayoutView="100" workbookViewId="0">
      <selection activeCell="F130" sqref="F130"/>
    </sheetView>
  </sheetViews>
  <sheetFormatPr defaultRowHeight="12" x14ac:dyDescent="0.2"/>
  <cols>
    <col min="1" max="1" width="7.7109375" style="28" customWidth="1"/>
    <col min="2" max="2" width="42.85546875" style="28" customWidth="1"/>
    <col min="3" max="4" width="8.85546875" style="28" customWidth="1"/>
    <col min="5" max="6" width="21" style="28" customWidth="1"/>
    <col min="7" max="16384" width="9.140625" style="28"/>
  </cols>
  <sheetData>
    <row r="1" spans="1:6" ht="36.75" customHeight="1" x14ac:dyDescent="0.2">
      <c r="A1" s="45"/>
      <c r="B1" s="45"/>
      <c r="C1" s="435" t="s">
        <v>1091</v>
      </c>
      <c r="D1" s="435"/>
      <c r="E1" s="435"/>
      <c r="F1" s="435"/>
    </row>
    <row r="2" spans="1:6" ht="41.25" customHeight="1" x14ac:dyDescent="0.2">
      <c r="A2" s="375" t="s">
        <v>615</v>
      </c>
      <c r="B2" s="375"/>
      <c r="C2" s="375"/>
      <c r="D2" s="375"/>
      <c r="E2" s="375"/>
      <c r="F2" s="375"/>
    </row>
    <row r="3" spans="1:6" ht="30.75" customHeight="1" x14ac:dyDescent="0.2">
      <c r="A3" s="376" t="s">
        <v>753</v>
      </c>
      <c r="B3" s="376"/>
      <c r="C3" s="376"/>
      <c r="D3" s="376"/>
      <c r="E3" s="376"/>
      <c r="F3" s="376"/>
    </row>
    <row r="4" spans="1:6" ht="5.25" customHeight="1" x14ac:dyDescent="0.2">
      <c r="A4" s="61"/>
      <c r="B4" s="61"/>
      <c r="C4" s="61"/>
      <c r="D4" s="61"/>
      <c r="E4" s="61"/>
      <c r="F4" s="61"/>
    </row>
    <row r="5" spans="1:6" ht="11.25" customHeight="1" x14ac:dyDescent="0.2">
      <c r="A5" s="425" t="s">
        <v>754</v>
      </c>
      <c r="B5" s="425"/>
      <c r="C5" s="425"/>
      <c r="D5" s="425"/>
      <c r="E5" s="425"/>
      <c r="F5" s="425"/>
    </row>
    <row r="6" spans="1:6" ht="5.25" customHeight="1" x14ac:dyDescent="0.2">
      <c r="A6" s="368"/>
      <c r="B6" s="368"/>
      <c r="C6" s="49"/>
      <c r="D6" s="27"/>
      <c r="E6" s="27"/>
      <c r="F6" s="27"/>
    </row>
    <row r="7" spans="1:6" ht="4.5" customHeight="1" x14ac:dyDescent="0.2">
      <c r="A7" s="368"/>
      <c r="B7" s="368"/>
      <c r="C7" s="27"/>
      <c r="D7" s="27"/>
      <c r="E7" s="27"/>
      <c r="F7" s="27"/>
    </row>
    <row r="8" spans="1:6" ht="15.75" customHeight="1" x14ac:dyDescent="0.2">
      <c r="A8" s="78" t="s">
        <v>98</v>
      </c>
      <c r="B8" s="47" t="s">
        <v>2</v>
      </c>
      <c r="C8" s="47" t="s">
        <v>100</v>
      </c>
      <c r="D8" s="47"/>
      <c r="E8" s="47"/>
      <c r="F8" s="47"/>
    </row>
    <row r="9" spans="1:6" ht="15.75" customHeight="1" x14ac:dyDescent="0.2">
      <c r="A9" s="75"/>
      <c r="B9" s="45" t="s">
        <v>4</v>
      </c>
      <c r="C9" s="45" t="s">
        <v>5</v>
      </c>
      <c r="D9" s="45"/>
      <c r="E9" s="45"/>
      <c r="F9" s="45"/>
    </row>
    <row r="10" spans="1:6" ht="15.75" customHeight="1" x14ac:dyDescent="0.2">
      <c r="A10" s="78" t="s">
        <v>101</v>
      </c>
      <c r="B10" s="47" t="s">
        <v>6</v>
      </c>
      <c r="C10" s="47" t="s">
        <v>103</v>
      </c>
      <c r="D10" s="47"/>
      <c r="E10" s="47"/>
      <c r="F10" s="47"/>
    </row>
    <row r="11" spans="1:6" ht="15.75" customHeight="1" x14ac:dyDescent="0.2">
      <c r="A11" s="75"/>
      <c r="B11" s="45" t="s">
        <v>298</v>
      </c>
      <c r="C11" s="45" t="s">
        <v>45</v>
      </c>
      <c r="D11" s="45"/>
      <c r="E11" s="45"/>
      <c r="F11" s="45"/>
    </row>
    <row r="12" spans="1:6" ht="15.75" customHeight="1" x14ac:dyDescent="0.2">
      <c r="A12" s="78" t="s">
        <v>79</v>
      </c>
      <c r="B12" s="47" t="s">
        <v>8</v>
      </c>
      <c r="C12" s="47" t="s">
        <v>104</v>
      </c>
      <c r="D12" s="47"/>
      <c r="E12" s="47"/>
      <c r="F12" s="47"/>
    </row>
    <row r="13" spans="1:6" ht="15.75" customHeight="1" x14ac:dyDescent="0.2">
      <c r="A13" s="75"/>
      <c r="B13" s="45" t="s">
        <v>299</v>
      </c>
      <c r="C13" s="45" t="s">
        <v>105</v>
      </c>
      <c r="D13" s="45"/>
      <c r="E13" s="45"/>
      <c r="F13" s="45"/>
    </row>
    <row r="14" spans="1:6" ht="15.75" customHeight="1" x14ac:dyDescent="0.2">
      <c r="A14" s="78" t="s">
        <v>85</v>
      </c>
      <c r="B14" s="47" t="s">
        <v>10</v>
      </c>
      <c r="C14" s="47" t="s">
        <v>755</v>
      </c>
      <c r="D14" s="47"/>
      <c r="E14" s="47"/>
      <c r="F14" s="47"/>
    </row>
    <row r="15" spans="1:6" ht="15.75" customHeight="1" x14ac:dyDescent="0.2">
      <c r="B15" s="45" t="s">
        <v>11</v>
      </c>
      <c r="C15" s="45" t="s">
        <v>107</v>
      </c>
      <c r="D15" s="45"/>
      <c r="E15" s="45"/>
      <c r="F15" s="45"/>
    </row>
    <row r="16" spans="1:6" ht="15" customHeight="1" x14ac:dyDescent="0.2">
      <c r="A16" s="368"/>
      <c r="B16" s="368"/>
      <c r="C16" s="27"/>
      <c r="D16" s="27"/>
      <c r="E16" s="27"/>
      <c r="F16" s="107"/>
    </row>
    <row r="17" spans="1:6" s="177" customFormat="1" ht="36" customHeight="1" x14ac:dyDescent="0.2">
      <c r="A17" s="108" t="s">
        <v>449</v>
      </c>
      <c r="B17" s="109" t="s">
        <v>756</v>
      </c>
      <c r="C17" s="109" t="s">
        <v>619</v>
      </c>
      <c r="D17" s="109" t="s">
        <v>757</v>
      </c>
      <c r="E17" s="109" t="s">
        <v>97</v>
      </c>
      <c r="F17" s="284" t="s">
        <v>758</v>
      </c>
    </row>
    <row r="18" spans="1:6" ht="24" x14ac:dyDescent="0.2">
      <c r="A18" s="110" t="s">
        <v>69</v>
      </c>
      <c r="B18" s="277" t="s">
        <v>759</v>
      </c>
      <c r="C18" s="111" t="s">
        <v>69</v>
      </c>
      <c r="D18" s="111"/>
      <c r="E18" s="111">
        <v>0</v>
      </c>
      <c r="F18" s="112">
        <v>0</v>
      </c>
    </row>
    <row r="19" spans="1:6" ht="24" x14ac:dyDescent="0.2">
      <c r="A19" s="110" t="s">
        <v>98</v>
      </c>
      <c r="B19" s="278" t="s">
        <v>760</v>
      </c>
      <c r="C19" s="113" t="s">
        <v>761</v>
      </c>
      <c r="D19" s="113"/>
      <c r="E19" s="113">
        <f>E20+E25+E26</f>
        <v>221564400</v>
      </c>
      <c r="F19" s="114">
        <f>F20+F25+F26</f>
        <v>0</v>
      </c>
    </row>
    <row r="20" spans="1:6" ht="24" x14ac:dyDescent="0.2">
      <c r="A20" s="115" t="s">
        <v>762</v>
      </c>
      <c r="B20" s="279" t="s">
        <v>763</v>
      </c>
      <c r="C20" s="116" t="s">
        <v>764</v>
      </c>
      <c r="D20" s="116"/>
      <c r="E20" s="116">
        <f>E21+E22+E23+E24</f>
        <v>221564400</v>
      </c>
      <c r="F20" s="117">
        <f>F21+F22+F23+F24</f>
        <v>0</v>
      </c>
    </row>
    <row r="21" spans="1:6" ht="24" x14ac:dyDescent="0.2">
      <c r="A21" s="118"/>
      <c r="B21" s="280" t="s">
        <v>765</v>
      </c>
      <c r="C21" s="119" t="s">
        <v>766</v>
      </c>
      <c r="D21" s="119"/>
      <c r="E21" s="119">
        <v>0</v>
      </c>
      <c r="F21" s="120">
        <v>0</v>
      </c>
    </row>
    <row r="22" spans="1:6" ht="36" x14ac:dyDescent="0.2">
      <c r="A22" s="118"/>
      <c r="B22" s="280" t="s">
        <v>125</v>
      </c>
      <c r="C22" s="119" t="s">
        <v>767</v>
      </c>
      <c r="D22" s="119"/>
      <c r="E22" s="119">
        <v>0</v>
      </c>
      <c r="F22" s="120">
        <v>0</v>
      </c>
    </row>
    <row r="23" spans="1:6" ht="24" x14ac:dyDescent="0.2">
      <c r="A23" s="118"/>
      <c r="B23" s="280" t="s">
        <v>127</v>
      </c>
      <c r="C23" s="119" t="s">
        <v>768</v>
      </c>
      <c r="D23" s="119"/>
      <c r="E23" s="119">
        <v>221564400</v>
      </c>
      <c r="F23" s="120">
        <v>0</v>
      </c>
    </row>
    <row r="24" spans="1:6" ht="36" x14ac:dyDescent="0.2">
      <c r="A24" s="118"/>
      <c r="B24" s="280" t="s">
        <v>769</v>
      </c>
      <c r="C24" s="119" t="s">
        <v>770</v>
      </c>
      <c r="D24" s="119"/>
      <c r="E24" s="119">
        <v>0</v>
      </c>
      <c r="F24" s="120">
        <v>0</v>
      </c>
    </row>
    <row r="25" spans="1:6" ht="24" x14ac:dyDescent="0.2">
      <c r="A25" s="115" t="s">
        <v>771</v>
      </c>
      <c r="B25" s="279" t="s">
        <v>772</v>
      </c>
      <c r="C25" s="116" t="s">
        <v>773</v>
      </c>
      <c r="D25" s="116"/>
      <c r="E25" s="116">
        <v>0</v>
      </c>
      <c r="F25" s="117">
        <v>0</v>
      </c>
    </row>
    <row r="26" spans="1:6" ht="24" x14ac:dyDescent="0.2">
      <c r="A26" s="115" t="s">
        <v>774</v>
      </c>
      <c r="B26" s="279" t="s">
        <v>775</v>
      </c>
      <c r="C26" s="116" t="s">
        <v>776</v>
      </c>
      <c r="D26" s="116"/>
      <c r="E26" s="116">
        <v>0</v>
      </c>
      <c r="F26" s="117">
        <v>0</v>
      </c>
    </row>
    <row r="27" spans="1:6" ht="24" x14ac:dyDescent="0.2">
      <c r="A27" s="110" t="s">
        <v>101</v>
      </c>
      <c r="B27" s="278" t="s">
        <v>777</v>
      </c>
      <c r="C27" s="113" t="s">
        <v>778</v>
      </c>
      <c r="D27" s="113"/>
      <c r="E27" s="113">
        <f>E28-E38</f>
        <v>104402553200</v>
      </c>
      <c r="F27" s="114">
        <f>F28-F38</f>
        <v>0</v>
      </c>
    </row>
    <row r="28" spans="1:6" ht="24" x14ac:dyDescent="0.2">
      <c r="A28" s="115" t="s">
        <v>779</v>
      </c>
      <c r="B28" s="279" t="s">
        <v>780</v>
      </c>
      <c r="C28" s="116" t="s">
        <v>781</v>
      </c>
      <c r="D28" s="116"/>
      <c r="E28" s="116">
        <f>E29+E30+E31+E32+E33+E34+E35+E36+E37</f>
        <v>104402553200</v>
      </c>
      <c r="F28" s="117">
        <f>F29+F30+F31+F32+F33+F34+F35+F36+F37</f>
        <v>0</v>
      </c>
    </row>
    <row r="29" spans="1:6" ht="24" x14ac:dyDescent="0.2">
      <c r="A29" s="118"/>
      <c r="B29" s="280" t="s">
        <v>782</v>
      </c>
      <c r="C29" s="119" t="s">
        <v>783</v>
      </c>
      <c r="D29" s="119"/>
      <c r="E29" s="119">
        <v>104402553200</v>
      </c>
      <c r="F29" s="120">
        <v>0</v>
      </c>
    </row>
    <row r="30" spans="1:6" ht="24" x14ac:dyDescent="0.2">
      <c r="A30" s="118"/>
      <c r="B30" s="280" t="s">
        <v>784</v>
      </c>
      <c r="C30" s="119" t="s">
        <v>785</v>
      </c>
      <c r="D30" s="119"/>
      <c r="E30" s="119">
        <v>0</v>
      </c>
      <c r="F30" s="120">
        <v>0</v>
      </c>
    </row>
    <row r="31" spans="1:6" ht="24" x14ac:dyDescent="0.2">
      <c r="A31" s="118"/>
      <c r="B31" s="280" t="s">
        <v>786</v>
      </c>
      <c r="C31" s="119" t="s">
        <v>787</v>
      </c>
      <c r="D31" s="119"/>
      <c r="E31" s="119">
        <v>0</v>
      </c>
      <c r="F31" s="120">
        <v>0</v>
      </c>
    </row>
    <row r="32" spans="1:6" ht="24" x14ac:dyDescent="0.2">
      <c r="A32" s="118"/>
      <c r="B32" s="280" t="s">
        <v>788</v>
      </c>
      <c r="C32" s="119" t="s">
        <v>789</v>
      </c>
      <c r="D32" s="119"/>
      <c r="E32" s="119">
        <v>0</v>
      </c>
      <c r="F32" s="120">
        <v>0</v>
      </c>
    </row>
    <row r="33" spans="1:6" ht="24" x14ac:dyDescent="0.2">
      <c r="A33" s="118"/>
      <c r="B33" s="280" t="s">
        <v>790</v>
      </c>
      <c r="C33" s="119" t="s">
        <v>791</v>
      </c>
      <c r="D33" s="119"/>
      <c r="E33" s="119">
        <v>0</v>
      </c>
      <c r="F33" s="120">
        <v>0</v>
      </c>
    </row>
    <row r="34" spans="1:6" ht="24" x14ac:dyDescent="0.2">
      <c r="A34" s="118"/>
      <c r="B34" s="280" t="s">
        <v>146</v>
      </c>
      <c r="C34" s="119" t="s">
        <v>792</v>
      </c>
      <c r="D34" s="119"/>
      <c r="E34" s="119">
        <v>0</v>
      </c>
      <c r="F34" s="120">
        <v>0</v>
      </c>
    </row>
    <row r="35" spans="1:6" ht="24" x14ac:dyDescent="0.2">
      <c r="A35" s="118"/>
      <c r="B35" s="280" t="s">
        <v>793</v>
      </c>
      <c r="C35" s="119" t="s">
        <v>794</v>
      </c>
      <c r="D35" s="119"/>
      <c r="E35" s="119">
        <v>0</v>
      </c>
      <c r="F35" s="120">
        <v>0</v>
      </c>
    </row>
    <row r="36" spans="1:6" ht="24" x14ac:dyDescent="0.2">
      <c r="A36" s="118"/>
      <c r="B36" s="280" t="s">
        <v>150</v>
      </c>
      <c r="C36" s="119" t="s">
        <v>795</v>
      </c>
      <c r="D36" s="119"/>
      <c r="E36" s="119">
        <v>0</v>
      </c>
      <c r="F36" s="120">
        <v>0</v>
      </c>
    </row>
    <row r="37" spans="1:6" ht="24" x14ac:dyDescent="0.2">
      <c r="A37" s="118"/>
      <c r="B37" s="280" t="s">
        <v>796</v>
      </c>
      <c r="C37" s="119" t="s">
        <v>797</v>
      </c>
      <c r="D37" s="119"/>
      <c r="E37" s="119">
        <v>0</v>
      </c>
      <c r="F37" s="120">
        <v>0</v>
      </c>
    </row>
    <row r="38" spans="1:6" ht="24" x14ac:dyDescent="0.2">
      <c r="A38" s="115" t="s">
        <v>798</v>
      </c>
      <c r="B38" s="279" t="s">
        <v>799</v>
      </c>
      <c r="C38" s="116" t="s">
        <v>800</v>
      </c>
      <c r="D38" s="116"/>
      <c r="E38" s="116">
        <v>0</v>
      </c>
      <c r="F38" s="117">
        <v>0</v>
      </c>
    </row>
    <row r="39" spans="1:6" ht="24" x14ac:dyDescent="0.2">
      <c r="A39" s="110" t="s">
        <v>79</v>
      </c>
      <c r="B39" s="278" t="s">
        <v>801</v>
      </c>
      <c r="C39" s="113" t="s">
        <v>802</v>
      </c>
      <c r="D39" s="113"/>
      <c r="E39" s="113">
        <f>E40+E42+E56-E63</f>
        <v>6580824000</v>
      </c>
      <c r="F39" s="114">
        <f>F40+F42+F56-F63</f>
        <v>0</v>
      </c>
    </row>
    <row r="40" spans="1:6" ht="24" x14ac:dyDescent="0.2">
      <c r="A40" s="115" t="s">
        <v>803</v>
      </c>
      <c r="B40" s="279" t="s">
        <v>804</v>
      </c>
      <c r="C40" s="116" t="s">
        <v>805</v>
      </c>
      <c r="D40" s="116"/>
      <c r="E40" s="116">
        <v>6580824000</v>
      </c>
      <c r="F40" s="117">
        <v>0</v>
      </c>
    </row>
    <row r="41" spans="1:6" ht="24" x14ac:dyDescent="0.2">
      <c r="A41" s="115"/>
      <c r="B41" s="279" t="s">
        <v>806</v>
      </c>
      <c r="C41" s="116" t="s">
        <v>807</v>
      </c>
      <c r="D41" s="116"/>
      <c r="E41" s="116">
        <v>0</v>
      </c>
      <c r="F41" s="117">
        <v>0</v>
      </c>
    </row>
    <row r="42" spans="1:6" ht="24" x14ac:dyDescent="0.2">
      <c r="A42" s="115" t="s">
        <v>808</v>
      </c>
      <c r="B42" s="279" t="s">
        <v>809</v>
      </c>
      <c r="C42" s="116" t="s">
        <v>810</v>
      </c>
      <c r="D42" s="116"/>
      <c r="E42" s="116">
        <f>E43+E49+E50</f>
        <v>0</v>
      </c>
      <c r="F42" s="117">
        <f>F43+F49+F50</f>
        <v>0</v>
      </c>
    </row>
    <row r="43" spans="1:6" ht="24" x14ac:dyDescent="0.2">
      <c r="A43" s="115" t="s">
        <v>811</v>
      </c>
      <c r="B43" s="279" t="s">
        <v>812</v>
      </c>
      <c r="C43" s="116" t="s">
        <v>813</v>
      </c>
      <c r="D43" s="116"/>
      <c r="E43" s="116">
        <f>E44+E45+E46+E47+E48</f>
        <v>0</v>
      </c>
      <c r="F43" s="117">
        <f>F44+F45+F46+F47+F48</f>
        <v>0</v>
      </c>
    </row>
    <row r="44" spans="1:6" ht="24" x14ac:dyDescent="0.2">
      <c r="A44" s="118"/>
      <c r="B44" s="280" t="s">
        <v>814</v>
      </c>
      <c r="C44" s="119" t="s">
        <v>815</v>
      </c>
      <c r="D44" s="119"/>
      <c r="E44" s="119">
        <v>0</v>
      </c>
      <c r="F44" s="120">
        <v>0</v>
      </c>
    </row>
    <row r="45" spans="1:6" ht="24" x14ac:dyDescent="0.2">
      <c r="A45" s="118"/>
      <c r="B45" s="280" t="s">
        <v>159</v>
      </c>
      <c r="C45" s="119" t="s">
        <v>816</v>
      </c>
      <c r="D45" s="119"/>
      <c r="E45" s="119">
        <v>0</v>
      </c>
      <c r="F45" s="120">
        <v>0</v>
      </c>
    </row>
    <row r="46" spans="1:6" ht="36" x14ac:dyDescent="0.2">
      <c r="A46" s="118"/>
      <c r="B46" s="280" t="s">
        <v>817</v>
      </c>
      <c r="C46" s="119" t="s">
        <v>818</v>
      </c>
      <c r="D46" s="119"/>
      <c r="E46" s="119">
        <v>0</v>
      </c>
      <c r="F46" s="120">
        <v>0</v>
      </c>
    </row>
    <row r="47" spans="1:6" ht="36" x14ac:dyDescent="0.2">
      <c r="A47" s="118"/>
      <c r="B47" s="280" t="s">
        <v>166</v>
      </c>
      <c r="C47" s="119" t="s">
        <v>819</v>
      </c>
      <c r="D47" s="119"/>
      <c r="E47" s="119">
        <v>0</v>
      </c>
      <c r="F47" s="120">
        <v>0</v>
      </c>
    </row>
    <row r="48" spans="1:6" ht="24" x14ac:dyDescent="0.2">
      <c r="A48" s="118"/>
      <c r="B48" s="280" t="s">
        <v>820</v>
      </c>
      <c r="C48" s="119" t="s">
        <v>821</v>
      </c>
      <c r="D48" s="119"/>
      <c r="E48" s="119">
        <v>0</v>
      </c>
      <c r="F48" s="120">
        <v>0</v>
      </c>
    </row>
    <row r="49" spans="1:6" ht="48" x14ac:dyDescent="0.2">
      <c r="A49" s="115"/>
      <c r="B49" s="279" t="s">
        <v>822</v>
      </c>
      <c r="C49" s="116" t="s">
        <v>823</v>
      </c>
      <c r="D49" s="116"/>
      <c r="E49" s="116">
        <v>0</v>
      </c>
      <c r="F49" s="117">
        <v>0</v>
      </c>
    </row>
    <row r="50" spans="1:6" ht="24" x14ac:dyDescent="0.2">
      <c r="A50" s="115" t="s">
        <v>824</v>
      </c>
      <c r="B50" s="279" t="s">
        <v>825</v>
      </c>
      <c r="C50" s="116" t="s">
        <v>826</v>
      </c>
      <c r="D50" s="116"/>
      <c r="E50" s="116">
        <f>E51+E52+E53+E54+E55</f>
        <v>0</v>
      </c>
      <c r="F50" s="117">
        <f>F51+F52+F53+F54+F55</f>
        <v>0</v>
      </c>
    </row>
    <row r="51" spans="1:6" ht="24" x14ac:dyDescent="0.2">
      <c r="A51" s="118"/>
      <c r="B51" s="280" t="s">
        <v>827</v>
      </c>
      <c r="C51" s="119" t="s">
        <v>828</v>
      </c>
      <c r="D51" s="119"/>
      <c r="E51" s="119">
        <v>0</v>
      </c>
      <c r="F51" s="120">
        <v>0</v>
      </c>
    </row>
    <row r="52" spans="1:6" ht="24" x14ac:dyDescent="0.2">
      <c r="A52" s="118"/>
      <c r="B52" s="280" t="s">
        <v>829</v>
      </c>
      <c r="C52" s="119" t="s">
        <v>830</v>
      </c>
      <c r="D52" s="119"/>
      <c r="E52" s="119">
        <v>0</v>
      </c>
      <c r="F52" s="120">
        <v>0</v>
      </c>
    </row>
    <row r="53" spans="1:6" ht="36" x14ac:dyDescent="0.2">
      <c r="A53" s="118"/>
      <c r="B53" s="280" t="s">
        <v>831</v>
      </c>
      <c r="C53" s="119" t="s">
        <v>832</v>
      </c>
      <c r="D53" s="119"/>
      <c r="E53" s="119">
        <v>0</v>
      </c>
      <c r="F53" s="120">
        <v>0</v>
      </c>
    </row>
    <row r="54" spans="1:6" ht="36" x14ac:dyDescent="0.2">
      <c r="A54" s="118"/>
      <c r="B54" s="280" t="s">
        <v>833</v>
      </c>
      <c r="C54" s="119" t="s">
        <v>834</v>
      </c>
      <c r="D54" s="119"/>
      <c r="E54" s="119">
        <v>0</v>
      </c>
      <c r="F54" s="120">
        <v>0</v>
      </c>
    </row>
    <row r="55" spans="1:6" ht="24" x14ac:dyDescent="0.2">
      <c r="A55" s="118"/>
      <c r="B55" s="280" t="s">
        <v>835</v>
      </c>
      <c r="C55" s="119" t="s">
        <v>836</v>
      </c>
      <c r="D55" s="119"/>
      <c r="E55" s="119">
        <v>0</v>
      </c>
      <c r="F55" s="120">
        <v>0</v>
      </c>
    </row>
    <row r="56" spans="1:6" ht="24" x14ac:dyDescent="0.2">
      <c r="A56" s="115" t="s">
        <v>837</v>
      </c>
      <c r="B56" s="279" t="s">
        <v>838</v>
      </c>
      <c r="C56" s="116" t="s">
        <v>839</v>
      </c>
      <c r="D56" s="116"/>
      <c r="E56" s="116">
        <f>E57+E58+E62</f>
        <v>0</v>
      </c>
      <c r="F56" s="117">
        <f>F57+F58+F62</f>
        <v>0</v>
      </c>
    </row>
    <row r="57" spans="1:6" ht="36" x14ac:dyDescent="0.2">
      <c r="A57" s="118"/>
      <c r="B57" s="280" t="s">
        <v>840</v>
      </c>
      <c r="C57" s="119" t="s">
        <v>841</v>
      </c>
      <c r="D57" s="119"/>
      <c r="E57" s="119">
        <v>0</v>
      </c>
      <c r="F57" s="120">
        <v>0</v>
      </c>
    </row>
    <row r="58" spans="1:6" ht="24" x14ac:dyDescent="0.2">
      <c r="A58" s="118"/>
      <c r="B58" s="280" t="s">
        <v>183</v>
      </c>
      <c r="C58" s="119" t="s">
        <v>842</v>
      </c>
      <c r="D58" s="119"/>
      <c r="E58" s="119">
        <f>E59+E60+E61</f>
        <v>0</v>
      </c>
      <c r="F58" s="120">
        <f>F59+F60+F61</f>
        <v>0</v>
      </c>
    </row>
    <row r="59" spans="1:6" ht="24" x14ac:dyDescent="0.2">
      <c r="A59" s="118"/>
      <c r="B59" s="280" t="s">
        <v>187</v>
      </c>
      <c r="C59" s="119" t="s">
        <v>843</v>
      </c>
      <c r="D59" s="119"/>
      <c r="E59" s="119">
        <v>0</v>
      </c>
      <c r="F59" s="120">
        <v>0</v>
      </c>
    </row>
    <row r="60" spans="1:6" ht="24" x14ac:dyDescent="0.2">
      <c r="A60" s="118"/>
      <c r="B60" s="280" t="s">
        <v>844</v>
      </c>
      <c r="C60" s="119" t="s">
        <v>845</v>
      </c>
      <c r="D60" s="119"/>
      <c r="E60" s="119">
        <v>0</v>
      </c>
      <c r="F60" s="120">
        <v>0</v>
      </c>
    </row>
    <row r="61" spans="1:6" ht="24" x14ac:dyDescent="0.2">
      <c r="A61" s="118"/>
      <c r="B61" s="280" t="s">
        <v>846</v>
      </c>
      <c r="C61" s="119" t="s">
        <v>847</v>
      </c>
      <c r="D61" s="119"/>
      <c r="E61" s="119">
        <v>0</v>
      </c>
      <c r="F61" s="120">
        <v>0</v>
      </c>
    </row>
    <row r="62" spans="1:6" ht="24" x14ac:dyDescent="0.2">
      <c r="A62" s="118"/>
      <c r="B62" s="280" t="s">
        <v>180</v>
      </c>
      <c r="C62" s="119" t="s">
        <v>848</v>
      </c>
      <c r="D62" s="119"/>
      <c r="E62" s="119">
        <v>0</v>
      </c>
      <c r="F62" s="120">
        <v>0</v>
      </c>
    </row>
    <row r="63" spans="1:6" ht="24" x14ac:dyDescent="0.2">
      <c r="A63" s="115" t="s">
        <v>849</v>
      </c>
      <c r="B63" s="279" t="s">
        <v>850</v>
      </c>
      <c r="C63" s="116" t="s">
        <v>851</v>
      </c>
      <c r="D63" s="116"/>
      <c r="E63" s="116">
        <v>0</v>
      </c>
      <c r="F63" s="117">
        <v>0</v>
      </c>
    </row>
    <row r="64" spans="1:6" ht="24" x14ac:dyDescent="0.2">
      <c r="A64" s="110"/>
      <c r="B64" s="278" t="s">
        <v>852</v>
      </c>
      <c r="C64" s="113" t="s">
        <v>853</v>
      </c>
      <c r="D64" s="113"/>
      <c r="E64" s="113">
        <f>E19+E27+E39</f>
        <v>111204941600</v>
      </c>
      <c r="F64" s="114">
        <f>F19+F27+F39</f>
        <v>0</v>
      </c>
    </row>
    <row r="65" spans="1:6" ht="24" x14ac:dyDescent="0.2">
      <c r="A65" s="110" t="s">
        <v>74</v>
      </c>
      <c r="B65" s="278" t="s">
        <v>854</v>
      </c>
      <c r="C65" s="113" t="s">
        <v>74</v>
      </c>
      <c r="D65" s="113"/>
      <c r="E65" s="113">
        <v>0</v>
      </c>
      <c r="F65" s="114">
        <v>0</v>
      </c>
    </row>
    <row r="66" spans="1:6" ht="24" x14ac:dyDescent="0.2">
      <c r="A66" s="115" t="s">
        <v>98</v>
      </c>
      <c r="B66" s="279" t="s">
        <v>855</v>
      </c>
      <c r="C66" s="116" t="s">
        <v>856</v>
      </c>
      <c r="D66" s="116"/>
      <c r="E66" s="116">
        <v>0</v>
      </c>
      <c r="F66" s="117">
        <v>0</v>
      </c>
    </row>
    <row r="67" spans="1:6" ht="24" x14ac:dyDescent="0.2">
      <c r="A67" s="115"/>
      <c r="B67" s="279" t="s">
        <v>857</v>
      </c>
      <c r="C67" s="116" t="s">
        <v>858</v>
      </c>
      <c r="D67" s="116"/>
      <c r="E67" s="116">
        <v>0</v>
      </c>
      <c r="F67" s="117">
        <v>0</v>
      </c>
    </row>
    <row r="68" spans="1:6" ht="24" x14ac:dyDescent="0.2">
      <c r="A68" s="115"/>
      <c r="B68" s="279" t="s">
        <v>859</v>
      </c>
      <c r="C68" s="116" t="s">
        <v>860</v>
      </c>
      <c r="D68" s="116"/>
      <c r="E68" s="116">
        <v>0</v>
      </c>
      <c r="F68" s="117">
        <v>0</v>
      </c>
    </row>
    <row r="69" spans="1:6" ht="24" x14ac:dyDescent="0.2">
      <c r="A69" s="115" t="s">
        <v>101</v>
      </c>
      <c r="B69" s="279" t="s">
        <v>861</v>
      </c>
      <c r="C69" s="116" t="s">
        <v>862</v>
      </c>
      <c r="D69" s="116"/>
      <c r="E69" s="116">
        <v>0</v>
      </c>
      <c r="F69" s="117">
        <v>0</v>
      </c>
    </row>
    <row r="70" spans="1:6" ht="48" x14ac:dyDescent="0.2">
      <c r="A70" s="115" t="s">
        <v>79</v>
      </c>
      <c r="B70" s="279" t="s">
        <v>863</v>
      </c>
      <c r="C70" s="116" t="s">
        <v>864</v>
      </c>
      <c r="D70" s="116"/>
      <c r="E70" s="116">
        <f>E71+E72</f>
        <v>0</v>
      </c>
      <c r="F70" s="117">
        <f>F71+F72</f>
        <v>0</v>
      </c>
    </row>
    <row r="71" spans="1:6" ht="24" x14ac:dyDescent="0.2">
      <c r="A71" s="118"/>
      <c r="B71" s="280" t="s">
        <v>865</v>
      </c>
      <c r="C71" s="119" t="s">
        <v>866</v>
      </c>
      <c r="D71" s="119"/>
      <c r="E71" s="119">
        <v>0</v>
      </c>
      <c r="F71" s="120">
        <v>0</v>
      </c>
    </row>
    <row r="72" spans="1:6" ht="36" x14ac:dyDescent="0.2">
      <c r="A72" s="118"/>
      <c r="B72" s="280" t="s">
        <v>867</v>
      </c>
      <c r="C72" s="119" t="s">
        <v>868</v>
      </c>
      <c r="D72" s="119"/>
      <c r="E72" s="119">
        <v>0</v>
      </c>
      <c r="F72" s="120">
        <v>0</v>
      </c>
    </row>
    <row r="73" spans="1:6" ht="24" x14ac:dyDescent="0.2">
      <c r="A73" s="115" t="s">
        <v>85</v>
      </c>
      <c r="B73" s="279" t="s">
        <v>869</v>
      </c>
      <c r="C73" s="116" t="s">
        <v>870</v>
      </c>
      <c r="D73" s="116"/>
      <c r="E73" s="116">
        <v>0</v>
      </c>
      <c r="F73" s="117">
        <v>0</v>
      </c>
    </row>
    <row r="74" spans="1:6" ht="24" x14ac:dyDescent="0.2">
      <c r="A74" s="115" t="s">
        <v>350</v>
      </c>
      <c r="B74" s="279" t="s">
        <v>871</v>
      </c>
      <c r="C74" s="116" t="s">
        <v>872</v>
      </c>
      <c r="D74" s="116"/>
      <c r="E74" s="116">
        <v>0</v>
      </c>
      <c r="F74" s="117">
        <v>0</v>
      </c>
    </row>
    <row r="75" spans="1:6" ht="24" x14ac:dyDescent="0.2">
      <c r="A75" s="115" t="s">
        <v>359</v>
      </c>
      <c r="B75" s="279" t="s">
        <v>873</v>
      </c>
      <c r="C75" s="116" t="s">
        <v>874</v>
      </c>
      <c r="D75" s="116"/>
      <c r="E75" s="116">
        <f>E76+E77+E78+E79+E80+E81+E82</f>
        <v>7405855</v>
      </c>
      <c r="F75" s="117">
        <f>F76+F77+F78+F79+F80+F81+F82</f>
        <v>0</v>
      </c>
    </row>
    <row r="76" spans="1:6" ht="24" x14ac:dyDescent="0.2">
      <c r="A76" s="118"/>
      <c r="B76" s="280" t="s">
        <v>875</v>
      </c>
      <c r="C76" s="119" t="s">
        <v>876</v>
      </c>
      <c r="D76" s="119"/>
      <c r="E76" s="119">
        <v>7051525</v>
      </c>
      <c r="F76" s="120">
        <v>0</v>
      </c>
    </row>
    <row r="77" spans="1:6" ht="24" x14ac:dyDescent="0.2">
      <c r="A77" s="118"/>
      <c r="B77" s="280" t="s">
        <v>877</v>
      </c>
      <c r="C77" s="119" t="s">
        <v>878</v>
      </c>
      <c r="D77" s="119"/>
      <c r="E77" s="119">
        <v>0</v>
      </c>
      <c r="F77" s="120">
        <v>0</v>
      </c>
    </row>
    <row r="78" spans="1:6" ht="24" x14ac:dyDescent="0.2">
      <c r="A78" s="118"/>
      <c r="B78" s="280" t="s">
        <v>879</v>
      </c>
      <c r="C78" s="119" t="s">
        <v>880</v>
      </c>
      <c r="D78" s="119"/>
      <c r="E78" s="119">
        <v>0</v>
      </c>
      <c r="F78" s="120">
        <v>0</v>
      </c>
    </row>
    <row r="79" spans="1:6" ht="24" x14ac:dyDescent="0.2">
      <c r="A79" s="118"/>
      <c r="B79" s="280" t="s">
        <v>881</v>
      </c>
      <c r="C79" s="119" t="s">
        <v>882</v>
      </c>
      <c r="D79" s="119"/>
      <c r="E79" s="119">
        <v>0</v>
      </c>
      <c r="F79" s="120">
        <v>0</v>
      </c>
    </row>
    <row r="80" spans="1:6" ht="36" x14ac:dyDescent="0.2">
      <c r="A80" s="118"/>
      <c r="B80" s="280" t="s">
        <v>883</v>
      </c>
      <c r="C80" s="119" t="s">
        <v>884</v>
      </c>
      <c r="D80" s="119"/>
      <c r="E80" s="119">
        <v>0</v>
      </c>
      <c r="F80" s="120">
        <v>0</v>
      </c>
    </row>
    <row r="81" spans="1:6" ht="24" x14ac:dyDescent="0.2">
      <c r="A81" s="118"/>
      <c r="B81" s="280" t="s">
        <v>885</v>
      </c>
      <c r="C81" s="119" t="s">
        <v>886</v>
      </c>
      <c r="D81" s="119"/>
      <c r="E81" s="119">
        <v>0</v>
      </c>
      <c r="F81" s="120">
        <v>0</v>
      </c>
    </row>
    <row r="82" spans="1:6" ht="24" x14ac:dyDescent="0.2">
      <c r="A82" s="118"/>
      <c r="B82" s="280" t="s">
        <v>887</v>
      </c>
      <c r="C82" s="119" t="s">
        <v>888</v>
      </c>
      <c r="D82" s="119"/>
      <c r="E82" s="119">
        <v>354330</v>
      </c>
      <c r="F82" s="120">
        <v>0</v>
      </c>
    </row>
    <row r="83" spans="1:6" ht="24" x14ac:dyDescent="0.2">
      <c r="A83" s="115" t="s">
        <v>372</v>
      </c>
      <c r="B83" s="279" t="s">
        <v>889</v>
      </c>
      <c r="C83" s="116" t="s">
        <v>890</v>
      </c>
      <c r="D83" s="116"/>
      <c r="E83" s="116">
        <v>0</v>
      </c>
      <c r="F83" s="117">
        <v>0</v>
      </c>
    </row>
    <row r="84" spans="1:6" ht="24" x14ac:dyDescent="0.2">
      <c r="A84" s="115" t="s">
        <v>379</v>
      </c>
      <c r="B84" s="279" t="s">
        <v>891</v>
      </c>
      <c r="C84" s="116" t="s">
        <v>892</v>
      </c>
      <c r="D84" s="116"/>
      <c r="E84" s="116">
        <v>0</v>
      </c>
      <c r="F84" s="117">
        <v>0</v>
      </c>
    </row>
    <row r="85" spans="1:6" ht="24" x14ac:dyDescent="0.2">
      <c r="A85" s="115" t="s">
        <v>472</v>
      </c>
      <c r="B85" s="279" t="s">
        <v>893</v>
      </c>
      <c r="C85" s="116" t="s">
        <v>894</v>
      </c>
      <c r="D85" s="116"/>
      <c r="E85" s="116">
        <f>E86+E87+E92+E93+E94+E95+E96</f>
        <v>41421852</v>
      </c>
      <c r="F85" s="117">
        <f>F86+F87+F92+F93+F94+F95+F96</f>
        <v>0</v>
      </c>
    </row>
    <row r="86" spans="1:6" ht="24" x14ac:dyDescent="0.2">
      <c r="A86" s="118" t="s">
        <v>895</v>
      </c>
      <c r="B86" s="280" t="s">
        <v>896</v>
      </c>
      <c r="C86" s="119" t="s">
        <v>897</v>
      </c>
      <c r="D86" s="119"/>
      <c r="E86" s="119">
        <v>21820213</v>
      </c>
      <c r="F86" s="120">
        <v>0</v>
      </c>
    </row>
    <row r="87" spans="1:6" ht="24" x14ac:dyDescent="0.2">
      <c r="A87" s="118" t="s">
        <v>898</v>
      </c>
      <c r="B87" s="280" t="s">
        <v>899</v>
      </c>
      <c r="C87" s="119" t="s">
        <v>900</v>
      </c>
      <c r="D87" s="119"/>
      <c r="E87" s="119">
        <f>E88+E89+E90</f>
        <v>3800000</v>
      </c>
      <c r="F87" s="120">
        <f>F88+F89+F90</f>
        <v>0</v>
      </c>
    </row>
    <row r="88" spans="1:6" ht="24" x14ac:dyDescent="0.2">
      <c r="A88" s="118"/>
      <c r="B88" s="280" t="s">
        <v>901</v>
      </c>
      <c r="C88" s="119" t="s">
        <v>902</v>
      </c>
      <c r="D88" s="119"/>
      <c r="E88" s="119">
        <v>3000000</v>
      </c>
      <c r="F88" s="120">
        <v>0</v>
      </c>
    </row>
    <row r="89" spans="1:6" ht="24" x14ac:dyDescent="0.2">
      <c r="A89" s="118"/>
      <c r="B89" s="280" t="s">
        <v>903</v>
      </c>
      <c r="C89" s="119" t="s">
        <v>904</v>
      </c>
      <c r="D89" s="119"/>
      <c r="E89" s="119">
        <v>800000</v>
      </c>
      <c r="F89" s="120">
        <v>0</v>
      </c>
    </row>
    <row r="90" spans="1:6" ht="24" x14ac:dyDescent="0.2">
      <c r="A90" s="118"/>
      <c r="B90" s="280" t="s">
        <v>905</v>
      </c>
      <c r="C90" s="119" t="s">
        <v>906</v>
      </c>
      <c r="D90" s="119"/>
      <c r="E90" s="119">
        <v>0</v>
      </c>
      <c r="F90" s="120">
        <v>0</v>
      </c>
    </row>
    <row r="91" spans="1:6" ht="48" x14ac:dyDescent="0.2">
      <c r="A91" s="118"/>
      <c r="B91" s="280" t="s">
        <v>907</v>
      </c>
      <c r="C91" s="119" t="s">
        <v>908</v>
      </c>
      <c r="D91" s="119"/>
      <c r="E91" s="119">
        <v>0</v>
      </c>
      <c r="F91" s="120">
        <v>0</v>
      </c>
    </row>
    <row r="92" spans="1:6" ht="24" x14ac:dyDescent="0.2">
      <c r="A92" s="118" t="s">
        <v>909</v>
      </c>
      <c r="B92" s="280" t="s">
        <v>910</v>
      </c>
      <c r="C92" s="119" t="s">
        <v>911</v>
      </c>
      <c r="D92" s="119"/>
      <c r="E92" s="119">
        <v>4950000</v>
      </c>
      <c r="F92" s="120">
        <v>0</v>
      </c>
    </row>
    <row r="93" spans="1:6" ht="24" x14ac:dyDescent="0.2">
      <c r="A93" s="118" t="s">
        <v>912</v>
      </c>
      <c r="B93" s="280" t="s">
        <v>913</v>
      </c>
      <c r="C93" s="119" t="s">
        <v>914</v>
      </c>
      <c r="D93" s="119"/>
      <c r="E93" s="119">
        <v>4950000</v>
      </c>
      <c r="F93" s="120">
        <v>0</v>
      </c>
    </row>
    <row r="94" spans="1:6" ht="24" x14ac:dyDescent="0.2">
      <c r="A94" s="118" t="s">
        <v>915</v>
      </c>
      <c r="B94" s="280" t="s">
        <v>916</v>
      </c>
      <c r="C94" s="119" t="s">
        <v>917</v>
      </c>
      <c r="D94" s="119"/>
      <c r="E94" s="119">
        <v>0</v>
      </c>
      <c r="F94" s="120">
        <v>0</v>
      </c>
    </row>
    <row r="95" spans="1:6" ht="36" x14ac:dyDescent="0.2">
      <c r="A95" s="118" t="s">
        <v>918</v>
      </c>
      <c r="B95" s="280" t="s">
        <v>919</v>
      </c>
      <c r="C95" s="119" t="s">
        <v>920</v>
      </c>
      <c r="D95" s="119"/>
      <c r="E95" s="119">
        <v>0</v>
      </c>
      <c r="F95" s="120">
        <v>0</v>
      </c>
    </row>
    <row r="96" spans="1:6" ht="24" x14ac:dyDescent="0.2">
      <c r="A96" s="118" t="s">
        <v>921</v>
      </c>
      <c r="B96" s="280" t="s">
        <v>922</v>
      </c>
      <c r="C96" s="119" t="s">
        <v>923</v>
      </c>
      <c r="D96" s="119"/>
      <c r="E96" s="119">
        <v>5901639</v>
      </c>
      <c r="F96" s="120">
        <v>0</v>
      </c>
    </row>
    <row r="97" spans="1:6" ht="24" x14ac:dyDescent="0.2">
      <c r="A97" s="115" t="s">
        <v>475</v>
      </c>
      <c r="B97" s="279" t="s">
        <v>924</v>
      </c>
      <c r="C97" s="116" t="s">
        <v>925</v>
      </c>
      <c r="D97" s="116"/>
      <c r="E97" s="116">
        <f>E98+E99+E100</f>
        <v>50000000</v>
      </c>
      <c r="F97" s="117">
        <f>F98+F99+F100</f>
        <v>0</v>
      </c>
    </row>
    <row r="98" spans="1:6" ht="24" x14ac:dyDescent="0.2">
      <c r="A98" s="118" t="s">
        <v>926</v>
      </c>
      <c r="B98" s="280" t="s">
        <v>927</v>
      </c>
      <c r="C98" s="119" t="s">
        <v>928</v>
      </c>
      <c r="D98" s="119"/>
      <c r="E98" s="119">
        <v>0</v>
      </c>
      <c r="F98" s="120">
        <v>0</v>
      </c>
    </row>
    <row r="99" spans="1:6" ht="36" x14ac:dyDescent="0.2">
      <c r="A99" s="118" t="s">
        <v>929</v>
      </c>
      <c r="B99" s="280" t="s">
        <v>930</v>
      </c>
      <c r="C99" s="119" t="s">
        <v>931</v>
      </c>
      <c r="D99" s="119"/>
      <c r="E99" s="119">
        <v>0</v>
      </c>
      <c r="F99" s="120">
        <v>0</v>
      </c>
    </row>
    <row r="100" spans="1:6" ht="24" x14ac:dyDescent="0.2">
      <c r="A100" s="118" t="s">
        <v>932</v>
      </c>
      <c r="B100" s="280" t="s">
        <v>933</v>
      </c>
      <c r="C100" s="119" t="s">
        <v>934</v>
      </c>
      <c r="D100" s="119"/>
      <c r="E100" s="119">
        <f>E101+E102+E103+E104+E105</f>
        <v>50000000</v>
      </c>
      <c r="F100" s="120">
        <f>F101+F102+F103+F104+F105</f>
        <v>0</v>
      </c>
    </row>
    <row r="101" spans="1:6" ht="36" x14ac:dyDescent="0.2">
      <c r="A101" s="118"/>
      <c r="B101" s="280" t="s">
        <v>268</v>
      </c>
      <c r="C101" s="119" t="s">
        <v>935</v>
      </c>
      <c r="D101" s="119"/>
      <c r="E101" s="119">
        <v>50000000</v>
      </c>
      <c r="F101" s="120">
        <v>0</v>
      </c>
    </row>
    <row r="102" spans="1:6" ht="24" x14ac:dyDescent="0.2">
      <c r="A102" s="118"/>
      <c r="B102" s="280" t="s">
        <v>270</v>
      </c>
      <c r="C102" s="119" t="s">
        <v>936</v>
      </c>
      <c r="D102" s="119"/>
      <c r="E102" s="119">
        <v>0</v>
      </c>
      <c r="F102" s="120">
        <v>0</v>
      </c>
    </row>
    <row r="103" spans="1:6" ht="24" x14ac:dyDescent="0.2">
      <c r="A103" s="115"/>
      <c r="B103" s="279" t="s">
        <v>937</v>
      </c>
      <c r="C103" s="116" t="s">
        <v>938</v>
      </c>
      <c r="D103" s="116"/>
      <c r="E103" s="116">
        <v>0</v>
      </c>
      <c r="F103" s="117">
        <v>0</v>
      </c>
    </row>
    <row r="104" spans="1:6" ht="24" x14ac:dyDescent="0.2">
      <c r="A104" s="118"/>
      <c r="B104" s="280" t="s">
        <v>272</v>
      </c>
      <c r="C104" s="119" t="s">
        <v>939</v>
      </c>
      <c r="D104" s="119"/>
      <c r="E104" s="119">
        <v>0</v>
      </c>
      <c r="F104" s="120">
        <v>0</v>
      </c>
    </row>
    <row r="105" spans="1:6" ht="24" x14ac:dyDescent="0.2">
      <c r="A105" s="118"/>
      <c r="B105" s="280" t="s">
        <v>940</v>
      </c>
      <c r="C105" s="119" t="s">
        <v>941</v>
      </c>
      <c r="D105" s="119"/>
      <c r="E105" s="119">
        <v>0</v>
      </c>
      <c r="F105" s="120">
        <v>0</v>
      </c>
    </row>
    <row r="106" spans="1:6" ht="24" x14ac:dyDescent="0.2">
      <c r="A106" s="110"/>
      <c r="B106" s="278" t="s">
        <v>942</v>
      </c>
      <c r="C106" s="113" t="s">
        <v>943</v>
      </c>
      <c r="D106" s="113"/>
      <c r="E106" s="113">
        <f>E66+E69+E70+E73+E74+E75+E83+E84+E85+E97</f>
        <v>98827707</v>
      </c>
      <c r="F106" s="114">
        <f>F66+F69+F70+F73+F74+F75+F83+F84+F85+F97</f>
        <v>0</v>
      </c>
    </row>
    <row r="107" spans="1:6" ht="48" x14ac:dyDescent="0.2">
      <c r="A107" s="110" t="s">
        <v>82</v>
      </c>
      <c r="B107" s="278" t="s">
        <v>944</v>
      </c>
      <c r="C107" s="113" t="s">
        <v>945</v>
      </c>
      <c r="D107" s="113"/>
      <c r="E107" s="113">
        <f>E64-E106</f>
        <v>111106113893</v>
      </c>
      <c r="F107" s="114">
        <f>F64-F106</f>
        <v>0</v>
      </c>
    </row>
    <row r="108" spans="1:6" ht="24" x14ac:dyDescent="0.2">
      <c r="A108" s="115" t="s">
        <v>98</v>
      </c>
      <c r="B108" s="279" t="s">
        <v>946</v>
      </c>
      <c r="C108" s="116" t="s">
        <v>947</v>
      </c>
      <c r="D108" s="116"/>
      <c r="E108" s="116">
        <f>E109+E110</f>
        <v>102000000000</v>
      </c>
      <c r="F108" s="117">
        <f>F109+F110</f>
        <v>0</v>
      </c>
    </row>
    <row r="109" spans="1:6" ht="24" x14ac:dyDescent="0.2">
      <c r="A109" s="115" t="s">
        <v>762</v>
      </c>
      <c r="B109" s="279" t="s">
        <v>948</v>
      </c>
      <c r="C109" s="116" t="s">
        <v>949</v>
      </c>
      <c r="D109" s="116"/>
      <c r="E109" s="116">
        <v>102000000000</v>
      </c>
      <c r="F109" s="117">
        <v>0</v>
      </c>
    </row>
    <row r="110" spans="1:6" ht="24" x14ac:dyDescent="0.2">
      <c r="A110" s="115" t="s">
        <v>771</v>
      </c>
      <c r="B110" s="279" t="s">
        <v>950</v>
      </c>
      <c r="C110" s="116" t="s">
        <v>951</v>
      </c>
      <c r="D110" s="116"/>
      <c r="E110" s="116">
        <v>0</v>
      </c>
      <c r="F110" s="117">
        <v>0</v>
      </c>
    </row>
    <row r="111" spans="1:6" ht="24" x14ac:dyDescent="0.2">
      <c r="A111" s="115" t="s">
        <v>101</v>
      </c>
      <c r="B111" s="279" t="s">
        <v>952</v>
      </c>
      <c r="C111" s="116" t="s">
        <v>953</v>
      </c>
      <c r="D111" s="116"/>
      <c r="E111" s="116">
        <v>0</v>
      </c>
      <c r="F111" s="117">
        <v>0</v>
      </c>
    </row>
    <row r="112" spans="1:6" ht="24" x14ac:dyDescent="0.2">
      <c r="A112" s="115" t="s">
        <v>79</v>
      </c>
      <c r="B112" s="279" t="s">
        <v>954</v>
      </c>
      <c r="C112" s="116" t="s">
        <v>955</v>
      </c>
      <c r="D112" s="116"/>
      <c r="E112" s="116">
        <v>9106113893</v>
      </c>
      <c r="F112" s="117">
        <f>F113+F114</f>
        <v>0</v>
      </c>
    </row>
    <row r="113" spans="1:7" ht="24" x14ac:dyDescent="0.2">
      <c r="A113" s="115" t="s">
        <v>803</v>
      </c>
      <c r="B113" s="279" t="s">
        <v>956</v>
      </c>
      <c r="C113" s="116" t="s">
        <v>957</v>
      </c>
      <c r="D113" s="116"/>
      <c r="E113" s="116">
        <v>0</v>
      </c>
      <c r="F113" s="117">
        <v>0</v>
      </c>
    </row>
    <row r="114" spans="1:7" ht="24" x14ac:dyDescent="0.2">
      <c r="A114" s="115" t="s">
        <v>808</v>
      </c>
      <c r="B114" s="279" t="s">
        <v>958</v>
      </c>
      <c r="C114" s="116" t="s">
        <v>959</v>
      </c>
      <c r="D114" s="116"/>
      <c r="E114" s="116">
        <v>9106113893</v>
      </c>
      <c r="F114" s="117">
        <v>0</v>
      </c>
    </row>
    <row r="115" spans="1:7" ht="36" x14ac:dyDescent="0.2">
      <c r="A115" s="121" t="s">
        <v>52</v>
      </c>
      <c r="B115" s="281" t="s">
        <v>960</v>
      </c>
      <c r="C115" s="122" t="s">
        <v>961</v>
      </c>
      <c r="D115" s="122"/>
      <c r="E115" s="321">
        <v>10892.75</v>
      </c>
      <c r="F115" s="123">
        <v>0</v>
      </c>
    </row>
    <row r="116" spans="1:7" ht="24" x14ac:dyDescent="0.2">
      <c r="A116" s="110" t="s">
        <v>412</v>
      </c>
      <c r="B116" s="278" t="s">
        <v>962</v>
      </c>
      <c r="C116" s="113" t="s">
        <v>963</v>
      </c>
      <c r="D116" s="113"/>
      <c r="E116" s="113">
        <f>E117+E118</f>
        <v>0</v>
      </c>
      <c r="F116" s="114">
        <f>F117+F118</f>
        <v>0</v>
      </c>
    </row>
    <row r="117" spans="1:7" ht="36" x14ac:dyDescent="0.2">
      <c r="A117" s="115" t="s">
        <v>98</v>
      </c>
      <c r="B117" s="279" t="s">
        <v>964</v>
      </c>
      <c r="C117" s="116" t="s">
        <v>965</v>
      </c>
      <c r="D117" s="116"/>
      <c r="E117" s="116">
        <v>0</v>
      </c>
      <c r="F117" s="117">
        <v>0</v>
      </c>
    </row>
    <row r="118" spans="1:7" ht="36" x14ac:dyDescent="0.2">
      <c r="A118" s="115" t="s">
        <v>101</v>
      </c>
      <c r="B118" s="279" t="s">
        <v>966</v>
      </c>
      <c r="C118" s="116" t="s">
        <v>967</v>
      </c>
      <c r="D118" s="116"/>
      <c r="E118" s="116">
        <v>0</v>
      </c>
      <c r="F118" s="117">
        <v>0</v>
      </c>
    </row>
    <row r="119" spans="1:7" ht="36" x14ac:dyDescent="0.2">
      <c r="A119" s="110" t="s">
        <v>415</v>
      </c>
      <c r="B119" s="278" t="s">
        <v>968</v>
      </c>
      <c r="C119" s="113" t="s">
        <v>415</v>
      </c>
      <c r="D119" s="113"/>
      <c r="E119" s="113">
        <v>0</v>
      </c>
      <c r="F119" s="114">
        <v>0</v>
      </c>
    </row>
    <row r="120" spans="1:7" ht="24" x14ac:dyDescent="0.2">
      <c r="A120" s="115" t="s">
        <v>98</v>
      </c>
      <c r="B120" s="279" t="s">
        <v>969</v>
      </c>
      <c r="C120" s="116" t="s">
        <v>970</v>
      </c>
      <c r="D120" s="116"/>
      <c r="E120" s="116">
        <v>0</v>
      </c>
      <c r="F120" s="117">
        <v>0</v>
      </c>
    </row>
    <row r="121" spans="1:7" ht="24" x14ac:dyDescent="0.2">
      <c r="A121" s="115" t="s">
        <v>101</v>
      </c>
      <c r="B121" s="279" t="s">
        <v>971</v>
      </c>
      <c r="C121" s="116" t="s">
        <v>972</v>
      </c>
      <c r="D121" s="116"/>
      <c r="E121" s="116">
        <v>0</v>
      </c>
      <c r="F121" s="117">
        <v>0</v>
      </c>
    </row>
    <row r="122" spans="1:7" ht="24" x14ac:dyDescent="0.2">
      <c r="A122" s="115" t="s">
        <v>79</v>
      </c>
      <c r="B122" s="279" t="s">
        <v>973</v>
      </c>
      <c r="C122" s="116" t="s">
        <v>974</v>
      </c>
      <c r="D122" s="116"/>
      <c r="E122" s="116">
        <v>0</v>
      </c>
      <c r="F122" s="117">
        <v>0</v>
      </c>
    </row>
    <row r="123" spans="1:7" ht="24" x14ac:dyDescent="0.2">
      <c r="A123" s="124" t="s">
        <v>85</v>
      </c>
      <c r="B123" s="282" t="s">
        <v>975</v>
      </c>
      <c r="C123" s="125" t="s">
        <v>976</v>
      </c>
      <c r="D123" s="125"/>
      <c r="E123" s="125">
        <v>10200000</v>
      </c>
      <c r="F123" s="126">
        <v>0</v>
      </c>
    </row>
    <row r="124" spans="1:7" x14ac:dyDescent="0.2">
      <c r="A124" s="27"/>
      <c r="B124" s="27"/>
      <c r="C124" s="368"/>
      <c r="D124" s="368"/>
      <c r="E124" s="285"/>
      <c r="F124" s="45"/>
      <c r="G124" s="45"/>
    </row>
    <row r="125" spans="1:7" x14ac:dyDescent="0.2">
      <c r="A125" s="373" t="s">
        <v>747</v>
      </c>
      <c r="B125" s="373"/>
      <c r="C125" s="97" t="s">
        <v>748</v>
      </c>
      <c r="D125" s="97"/>
      <c r="E125" s="373" t="s">
        <v>749</v>
      </c>
      <c r="F125" s="373"/>
      <c r="G125" s="97"/>
    </row>
    <row r="126" spans="1:7" x14ac:dyDescent="0.2">
      <c r="A126" s="431" t="s">
        <v>750</v>
      </c>
      <c r="B126" s="431"/>
      <c r="C126" s="283" t="s">
        <v>750</v>
      </c>
      <c r="D126" s="283"/>
      <c r="E126" s="431" t="s">
        <v>751</v>
      </c>
      <c r="F126" s="431"/>
      <c r="G126" s="283"/>
    </row>
    <row r="127" spans="1:7" x14ac:dyDescent="0.2">
      <c r="A127" s="27"/>
      <c r="B127" s="27"/>
      <c r="C127" s="368"/>
      <c r="D127" s="368"/>
      <c r="E127" s="27"/>
      <c r="F127" s="45"/>
      <c r="G127" s="45"/>
    </row>
    <row r="128" spans="1:7" x14ac:dyDescent="0.2">
      <c r="A128" s="27"/>
      <c r="B128" s="27"/>
      <c r="C128" s="368"/>
      <c r="D128" s="368"/>
      <c r="E128" s="27"/>
      <c r="F128" s="45"/>
      <c r="G128" s="45"/>
    </row>
  </sheetData>
  <mergeCells count="14">
    <mergeCell ref="C1:F1"/>
    <mergeCell ref="A2:F2"/>
    <mergeCell ref="C128:D128"/>
    <mergeCell ref="A125:B125"/>
    <mergeCell ref="A126:B126"/>
    <mergeCell ref="A7:B7"/>
    <mergeCell ref="A3:F3"/>
    <mergeCell ref="A5:F5"/>
    <mergeCell ref="A6:B6"/>
    <mergeCell ref="E125:F125"/>
    <mergeCell ref="E126:F126"/>
    <mergeCell ref="A16:B16"/>
    <mergeCell ref="C124:D124"/>
    <mergeCell ref="C127:D127"/>
  </mergeCells>
  <printOptions horizontalCentered="1"/>
  <pageMargins left="0" right="0" top="0.59" bottom="0.59" header="0.5" footer="0.5"/>
  <pageSetup paperSize="9" scale="8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30"/>
  <sheetViews>
    <sheetView showGridLines="0" showZeros="0" showOutlineSymbols="0" view="pageBreakPreview" topLeftCell="A22" zoomScaleNormal="100" zoomScaleSheetLayoutView="100" workbookViewId="0">
      <selection activeCell="D26" sqref="D26"/>
    </sheetView>
  </sheetViews>
  <sheetFormatPr defaultRowHeight="12" x14ac:dyDescent="0.2"/>
  <cols>
    <col min="1" max="1" width="7.85546875" style="28" customWidth="1"/>
    <col min="2" max="2" width="46.85546875" style="28" customWidth="1"/>
    <col min="3" max="3" width="11.85546875" style="28" customWidth="1"/>
    <col min="4" max="5" width="23.7109375" style="28" customWidth="1"/>
    <col min="6" max="16384" width="9.140625" style="28"/>
  </cols>
  <sheetData>
    <row r="1" spans="1:6" ht="46.5" customHeight="1" x14ac:dyDescent="0.2">
      <c r="A1" s="27"/>
      <c r="B1" s="377" t="s">
        <v>1076</v>
      </c>
      <c r="C1" s="377"/>
      <c r="D1" s="377"/>
      <c r="E1" s="377"/>
    </row>
    <row r="2" spans="1:6" ht="35.25" customHeight="1" x14ac:dyDescent="0.2">
      <c r="A2" s="363" t="s">
        <v>615</v>
      </c>
      <c r="B2" s="363"/>
      <c r="C2" s="363"/>
      <c r="D2" s="363"/>
      <c r="E2" s="363"/>
    </row>
    <row r="3" spans="1:6" ht="6" customHeight="1" x14ac:dyDescent="0.2">
      <c r="A3" s="27"/>
      <c r="B3" s="27"/>
      <c r="C3" s="368"/>
      <c r="D3" s="368"/>
      <c r="E3" s="27"/>
    </row>
    <row r="4" spans="1:6" ht="38.25" customHeight="1" x14ac:dyDescent="0.2">
      <c r="A4" s="376" t="s">
        <v>977</v>
      </c>
      <c r="B4" s="376"/>
      <c r="C4" s="376"/>
      <c r="D4" s="376"/>
      <c r="E4" s="376"/>
    </row>
    <row r="5" spans="1:6" ht="15.75" customHeight="1" x14ac:dyDescent="0.2">
      <c r="A5" s="372" t="s">
        <v>296</v>
      </c>
      <c r="B5" s="372"/>
      <c r="C5" s="372"/>
      <c r="D5" s="372"/>
      <c r="E5" s="372"/>
    </row>
    <row r="6" spans="1:6" ht="3.75" customHeight="1" x14ac:dyDescent="0.2">
      <c r="A6" s="27"/>
      <c r="B6" s="27"/>
      <c r="C6" s="368"/>
      <c r="D6" s="368"/>
      <c r="E6" s="27"/>
    </row>
    <row r="7" spans="1:6" ht="15.75" customHeight="1" x14ac:dyDescent="0.2">
      <c r="A7" s="78" t="s">
        <v>98</v>
      </c>
      <c r="B7" s="47" t="s">
        <v>978</v>
      </c>
      <c r="C7" s="47" t="s">
        <v>100</v>
      </c>
      <c r="D7" s="47"/>
      <c r="E7" s="47"/>
    </row>
    <row r="8" spans="1:6" ht="15.75" customHeight="1" x14ac:dyDescent="0.2">
      <c r="A8" s="75"/>
      <c r="B8" s="45" t="s">
        <v>4</v>
      </c>
      <c r="C8" s="45" t="s">
        <v>5</v>
      </c>
      <c r="D8" s="45"/>
      <c r="E8" s="45"/>
    </row>
    <row r="9" spans="1:6" ht="15.75" customHeight="1" x14ac:dyDescent="0.2">
      <c r="A9" s="78" t="s">
        <v>101</v>
      </c>
      <c r="B9" s="47" t="s">
        <v>297</v>
      </c>
      <c r="C9" s="47" t="s">
        <v>103</v>
      </c>
      <c r="D9" s="47"/>
      <c r="E9" s="47"/>
    </row>
    <row r="10" spans="1:6" ht="15.75" customHeight="1" x14ac:dyDescent="0.2">
      <c r="A10" s="75"/>
      <c r="B10" s="45" t="s">
        <v>979</v>
      </c>
      <c r="C10" s="45" t="s">
        <v>45</v>
      </c>
      <c r="D10" s="45"/>
      <c r="E10" s="45"/>
    </row>
    <row r="11" spans="1:6" ht="15" customHeight="1" x14ac:dyDescent="0.2">
      <c r="A11" s="78" t="s">
        <v>79</v>
      </c>
      <c r="B11" s="47" t="s">
        <v>8</v>
      </c>
      <c r="C11" s="47" t="s">
        <v>104</v>
      </c>
      <c r="D11" s="47"/>
      <c r="E11" s="47"/>
      <c r="F11" s="47"/>
    </row>
    <row r="12" spans="1:6" ht="15.75" customHeight="1" x14ac:dyDescent="0.2">
      <c r="A12" s="75"/>
      <c r="B12" s="45" t="s">
        <v>299</v>
      </c>
      <c r="C12" s="45" t="s">
        <v>105</v>
      </c>
      <c r="D12" s="45"/>
      <c r="E12" s="45"/>
      <c r="F12" s="45"/>
    </row>
    <row r="13" spans="1:6" ht="15.75" customHeight="1" x14ac:dyDescent="0.2">
      <c r="A13" s="78" t="s">
        <v>85</v>
      </c>
      <c r="B13" s="47" t="s">
        <v>980</v>
      </c>
      <c r="C13" s="47" t="s">
        <v>106</v>
      </c>
      <c r="D13" s="47"/>
      <c r="E13" s="47"/>
    </row>
    <row r="14" spans="1:6" ht="15.75" customHeight="1" x14ac:dyDescent="0.2">
      <c r="A14" s="75"/>
      <c r="B14" s="45" t="s">
        <v>981</v>
      </c>
      <c r="C14" s="45" t="s">
        <v>107</v>
      </c>
      <c r="D14" s="45"/>
      <c r="E14" s="45"/>
    </row>
    <row r="15" spans="1:6" ht="15.75" customHeight="1" x14ac:dyDescent="0.2">
      <c r="B15" s="63"/>
      <c r="C15" s="436"/>
      <c r="D15" s="436"/>
      <c r="E15" s="102"/>
    </row>
    <row r="16" spans="1:6" ht="59.25" customHeight="1" x14ac:dyDescent="0.2">
      <c r="A16" s="30" t="s">
        <v>982</v>
      </c>
      <c r="B16" s="30" t="s">
        <v>983</v>
      </c>
      <c r="C16" s="30" t="s">
        <v>984</v>
      </c>
      <c r="D16" s="30" t="s">
        <v>547</v>
      </c>
      <c r="E16" s="51" t="s">
        <v>548</v>
      </c>
    </row>
    <row r="17" spans="1:5" ht="24" x14ac:dyDescent="0.2">
      <c r="A17" s="127" t="s">
        <v>69</v>
      </c>
      <c r="B17" s="171" t="s">
        <v>985</v>
      </c>
      <c r="C17" s="127" t="s">
        <v>986</v>
      </c>
      <c r="D17" s="52">
        <v>0</v>
      </c>
      <c r="E17" s="53">
        <v>0</v>
      </c>
    </row>
    <row r="18" spans="1:5" ht="24" x14ac:dyDescent="0.2">
      <c r="A18" s="127" t="s">
        <v>74</v>
      </c>
      <c r="B18" s="174" t="s">
        <v>987</v>
      </c>
      <c r="C18" s="127" t="s">
        <v>988</v>
      </c>
      <c r="D18" s="52">
        <v>9106113893</v>
      </c>
      <c r="E18" s="53">
        <v>0</v>
      </c>
    </row>
    <row r="19" spans="1:5" x14ac:dyDescent="0.2">
      <c r="A19" s="128"/>
      <c r="B19" s="172" t="s">
        <v>989</v>
      </c>
      <c r="C19" s="128"/>
      <c r="D19" s="54">
        <v>0</v>
      </c>
      <c r="E19" s="55">
        <v>0</v>
      </c>
    </row>
    <row r="20" spans="1:5" ht="48" x14ac:dyDescent="0.2">
      <c r="A20" s="128" t="s">
        <v>197</v>
      </c>
      <c r="B20" s="172" t="s">
        <v>990</v>
      </c>
      <c r="C20" s="128" t="s">
        <v>991</v>
      </c>
      <c r="D20" s="54">
        <v>9106113893</v>
      </c>
      <c r="E20" s="55">
        <v>0</v>
      </c>
    </row>
    <row r="21" spans="1:5" ht="48" x14ac:dyDescent="0.2">
      <c r="A21" s="128" t="s">
        <v>200</v>
      </c>
      <c r="B21" s="172" t="s">
        <v>992</v>
      </c>
      <c r="C21" s="128" t="s">
        <v>993</v>
      </c>
      <c r="D21" s="54">
        <v>0</v>
      </c>
      <c r="E21" s="55">
        <v>0</v>
      </c>
    </row>
    <row r="22" spans="1:5" ht="48" x14ac:dyDescent="0.2">
      <c r="A22" s="127" t="s">
        <v>82</v>
      </c>
      <c r="B22" s="174" t="s">
        <v>994</v>
      </c>
      <c r="C22" s="127" t="s">
        <v>995</v>
      </c>
      <c r="D22" s="52">
        <v>102000000000</v>
      </c>
      <c r="E22" s="53">
        <v>0</v>
      </c>
    </row>
    <row r="23" spans="1:5" ht="24" x14ac:dyDescent="0.2">
      <c r="A23" s="128" t="s">
        <v>996</v>
      </c>
      <c r="B23" s="172" t="s">
        <v>997</v>
      </c>
      <c r="C23" s="128" t="s">
        <v>998</v>
      </c>
      <c r="D23" s="54">
        <v>102000000000</v>
      </c>
      <c r="E23" s="55">
        <v>0</v>
      </c>
    </row>
    <row r="24" spans="1:5" ht="24" x14ac:dyDescent="0.2">
      <c r="A24" s="128" t="s">
        <v>999</v>
      </c>
      <c r="B24" s="172" t="s">
        <v>1000</v>
      </c>
      <c r="C24" s="128" t="s">
        <v>1001</v>
      </c>
      <c r="D24" s="54">
        <v>0</v>
      </c>
      <c r="E24" s="55">
        <v>0</v>
      </c>
    </row>
    <row r="25" spans="1:5" ht="24" x14ac:dyDescent="0.2">
      <c r="A25" s="127" t="s">
        <v>52</v>
      </c>
      <c r="B25" s="174" t="s">
        <v>1002</v>
      </c>
      <c r="C25" s="127" t="s">
        <v>1003</v>
      </c>
      <c r="D25" s="52">
        <v>111106113893</v>
      </c>
      <c r="E25" s="53">
        <v>0</v>
      </c>
    </row>
    <row r="26" spans="1:5" ht="24" x14ac:dyDescent="0.2">
      <c r="A26" s="129" t="s">
        <v>412</v>
      </c>
      <c r="B26" s="286" t="s">
        <v>1004</v>
      </c>
      <c r="C26" s="129" t="s">
        <v>1005</v>
      </c>
      <c r="D26" s="319">
        <v>10892.75</v>
      </c>
      <c r="E26" s="130">
        <v>0</v>
      </c>
    </row>
    <row r="27" spans="1:5" ht="15.75" customHeight="1" x14ac:dyDescent="0.2">
      <c r="A27" s="368"/>
      <c r="B27" s="368"/>
      <c r="C27" s="27"/>
      <c r="D27" s="368"/>
      <c r="E27" s="368"/>
    </row>
    <row r="28" spans="1:5" ht="14.25" customHeight="1" x14ac:dyDescent="0.2">
      <c r="B28" s="60" t="s">
        <v>1006</v>
      </c>
      <c r="C28" s="60" t="s">
        <v>748</v>
      </c>
      <c r="D28" s="373" t="s">
        <v>17</v>
      </c>
      <c r="E28" s="373"/>
    </row>
    <row r="29" spans="1:5" ht="14.25" customHeight="1" x14ac:dyDescent="0.2">
      <c r="B29" s="96" t="s">
        <v>750</v>
      </c>
      <c r="C29" s="87" t="s">
        <v>750</v>
      </c>
      <c r="D29" s="431" t="s">
        <v>751</v>
      </c>
      <c r="E29" s="431"/>
    </row>
    <row r="30" spans="1:5" ht="45" customHeight="1" x14ac:dyDescent="0.2">
      <c r="A30" s="368"/>
      <c r="B30" s="368"/>
      <c r="C30" s="27"/>
      <c r="D30" s="368"/>
      <c r="E30" s="368"/>
    </row>
  </sheetData>
  <mergeCells count="13">
    <mergeCell ref="B1:E1"/>
    <mergeCell ref="A2:E2"/>
    <mergeCell ref="C3:D3"/>
    <mergeCell ref="A4:E4"/>
    <mergeCell ref="A5:E5"/>
    <mergeCell ref="C6:D6"/>
    <mergeCell ref="D28:E28"/>
    <mergeCell ref="A27:B27"/>
    <mergeCell ref="D27:E27"/>
    <mergeCell ref="A30:B30"/>
    <mergeCell ref="D30:E30"/>
    <mergeCell ref="D29:E29"/>
    <mergeCell ref="C15:D15"/>
  </mergeCells>
  <printOptions horizontalCentered="1"/>
  <pageMargins left="0" right="0" top="0.59" bottom="0.59" header="0.5" footer="0.5"/>
  <pageSetup paperSize="9" scale="86"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0"/>
  <sheetViews>
    <sheetView showGridLines="0" showZeros="0" showOutlineSymbols="0" view="pageBreakPreview" topLeftCell="A19" zoomScaleNormal="100" zoomScaleSheetLayoutView="100" workbookViewId="0">
      <selection activeCell="D26" sqref="D26"/>
    </sheetView>
  </sheetViews>
  <sheetFormatPr defaultRowHeight="12" x14ac:dyDescent="0.2"/>
  <cols>
    <col min="1" max="1" width="5.85546875" style="28" customWidth="1"/>
    <col min="2" max="2" width="46.5703125" style="28" customWidth="1"/>
    <col min="3" max="3" width="11.42578125" style="28" customWidth="1"/>
    <col min="4" max="5" width="22" style="28" customWidth="1"/>
    <col min="6" max="16384" width="9.140625" style="28"/>
  </cols>
  <sheetData>
    <row r="1" spans="1:5" ht="42" customHeight="1" x14ac:dyDescent="0.2">
      <c r="A1" s="27"/>
      <c r="B1" s="439" t="s">
        <v>1007</v>
      </c>
      <c r="C1" s="439"/>
      <c r="D1" s="439"/>
      <c r="E1" s="439"/>
    </row>
    <row r="2" spans="1:5" ht="24.75" customHeight="1" x14ac:dyDescent="0.2">
      <c r="A2" s="363" t="s">
        <v>1008</v>
      </c>
      <c r="B2" s="363"/>
      <c r="C2" s="363"/>
      <c r="D2" s="363"/>
      <c r="E2" s="363"/>
    </row>
    <row r="3" spans="1:5" ht="36" customHeight="1" x14ac:dyDescent="0.2">
      <c r="A3" s="376" t="s">
        <v>1009</v>
      </c>
      <c r="B3" s="376"/>
      <c r="C3" s="376"/>
      <c r="D3" s="376"/>
      <c r="E3" s="376"/>
    </row>
    <row r="4" spans="1:5" ht="12.75" customHeight="1" x14ac:dyDescent="0.2">
      <c r="A4" s="372" t="s">
        <v>442</v>
      </c>
      <c r="B4" s="372"/>
      <c r="C4" s="372"/>
      <c r="D4" s="372"/>
      <c r="E4" s="372"/>
    </row>
    <row r="5" spans="1:5" ht="6.75" customHeight="1" x14ac:dyDescent="0.2">
      <c r="A5" s="27"/>
      <c r="B5" s="440"/>
      <c r="C5" s="440"/>
      <c r="D5" s="440"/>
      <c r="E5" s="440"/>
    </row>
    <row r="6" spans="1:5" ht="13.5" customHeight="1" x14ac:dyDescent="0.2">
      <c r="A6" s="48" t="s">
        <v>98</v>
      </c>
      <c r="B6" s="135" t="s">
        <v>978</v>
      </c>
      <c r="C6" s="47" t="s">
        <v>100</v>
      </c>
      <c r="D6" s="47"/>
      <c r="E6" s="47"/>
    </row>
    <row r="7" spans="1:5" ht="13.5" customHeight="1" x14ac:dyDescent="0.2">
      <c r="A7" s="27"/>
      <c r="B7" s="136" t="s">
        <v>1010</v>
      </c>
      <c r="C7" s="45" t="s">
        <v>5</v>
      </c>
      <c r="D7" s="46"/>
      <c r="E7" s="46"/>
    </row>
    <row r="8" spans="1:5" ht="13.5" customHeight="1" x14ac:dyDescent="0.2">
      <c r="A8" s="48" t="s">
        <v>101</v>
      </c>
      <c r="B8" s="135" t="s">
        <v>297</v>
      </c>
      <c r="C8" s="47" t="s">
        <v>103</v>
      </c>
      <c r="D8" s="47"/>
      <c r="E8" s="47"/>
    </row>
    <row r="9" spans="1:5" ht="13.5" customHeight="1" x14ac:dyDescent="0.2">
      <c r="A9" s="27"/>
      <c r="B9" s="136" t="s">
        <v>1011</v>
      </c>
      <c r="C9" s="45" t="s">
        <v>45</v>
      </c>
      <c r="D9" s="46"/>
      <c r="E9" s="46"/>
    </row>
    <row r="10" spans="1:5" ht="13.5" customHeight="1" x14ac:dyDescent="0.2">
      <c r="A10" s="48" t="s">
        <v>79</v>
      </c>
      <c r="B10" s="29" t="s">
        <v>1012</v>
      </c>
      <c r="C10" s="47" t="s">
        <v>104</v>
      </c>
      <c r="D10" s="44"/>
      <c r="E10" s="44"/>
    </row>
    <row r="11" spans="1:5" ht="13.5" customHeight="1" x14ac:dyDescent="0.2">
      <c r="A11" s="27"/>
      <c r="B11" s="136" t="s">
        <v>9</v>
      </c>
      <c r="C11" s="45" t="s">
        <v>105</v>
      </c>
      <c r="D11" s="46"/>
      <c r="E11" s="46"/>
    </row>
    <row r="12" spans="1:5" ht="13.5" customHeight="1" x14ac:dyDescent="0.2">
      <c r="A12" s="48" t="s">
        <v>85</v>
      </c>
      <c r="B12" s="29" t="s">
        <v>980</v>
      </c>
      <c r="C12" s="47" t="s">
        <v>755</v>
      </c>
      <c r="D12" s="44"/>
      <c r="E12" s="44"/>
    </row>
    <row r="13" spans="1:5" ht="13.5" customHeight="1" x14ac:dyDescent="0.2">
      <c r="A13" s="27"/>
      <c r="B13" s="136" t="s">
        <v>11</v>
      </c>
      <c r="C13" s="45" t="s">
        <v>107</v>
      </c>
      <c r="D13" s="46"/>
      <c r="E13" s="46"/>
    </row>
    <row r="14" spans="1:5" ht="10.5" customHeight="1" x14ac:dyDescent="0.2">
      <c r="A14" s="27"/>
      <c r="B14" s="27"/>
      <c r="C14" s="437"/>
      <c r="D14" s="437"/>
      <c r="E14" s="437"/>
    </row>
    <row r="15" spans="1:5" s="177" customFormat="1" ht="42" customHeight="1" x14ac:dyDescent="0.2">
      <c r="A15" s="108" t="s">
        <v>1013</v>
      </c>
      <c r="B15" s="142" t="s">
        <v>1014</v>
      </c>
      <c r="C15" s="142" t="s">
        <v>984</v>
      </c>
      <c r="D15" s="142" t="s">
        <v>1015</v>
      </c>
      <c r="E15" s="284" t="s">
        <v>1016</v>
      </c>
    </row>
    <row r="16" spans="1:5" ht="15" customHeight="1" x14ac:dyDescent="0.2">
      <c r="A16" s="143" t="s">
        <v>21</v>
      </c>
      <c r="B16" s="287" t="s">
        <v>1017</v>
      </c>
      <c r="C16" s="67" t="s">
        <v>1018</v>
      </c>
      <c r="D16" s="137">
        <v>0</v>
      </c>
      <c r="E16" s="144">
        <v>0</v>
      </c>
    </row>
    <row r="17" spans="1:5" ht="15" customHeight="1" x14ac:dyDescent="0.2">
      <c r="A17" s="143" t="s">
        <v>1019</v>
      </c>
      <c r="B17" s="155" t="s">
        <v>1020</v>
      </c>
      <c r="C17" s="67" t="s">
        <v>1021</v>
      </c>
      <c r="D17" s="137">
        <v>0</v>
      </c>
      <c r="E17" s="145">
        <v>0</v>
      </c>
    </row>
    <row r="18" spans="1:5" ht="15" customHeight="1" x14ac:dyDescent="0.2">
      <c r="A18" s="143"/>
      <c r="B18" s="155" t="s">
        <v>1022</v>
      </c>
      <c r="C18" s="67" t="s">
        <v>1023</v>
      </c>
      <c r="D18" s="138">
        <v>0</v>
      </c>
      <c r="E18" s="146">
        <v>0</v>
      </c>
    </row>
    <row r="19" spans="1:5" ht="15" customHeight="1" x14ac:dyDescent="0.2">
      <c r="A19" s="143"/>
      <c r="B19" s="155" t="s">
        <v>1024</v>
      </c>
      <c r="C19" s="67" t="s">
        <v>1025</v>
      </c>
      <c r="D19" s="138">
        <v>0</v>
      </c>
      <c r="E19" s="146">
        <v>0</v>
      </c>
    </row>
    <row r="20" spans="1:5" ht="15" customHeight="1" x14ac:dyDescent="0.2">
      <c r="A20" s="143"/>
      <c r="B20" s="155" t="s">
        <v>1026</v>
      </c>
      <c r="C20" s="67" t="s">
        <v>1027</v>
      </c>
      <c r="D20" s="139">
        <v>0</v>
      </c>
      <c r="E20" s="147">
        <v>0</v>
      </c>
    </row>
    <row r="21" spans="1:5" ht="15" customHeight="1" x14ac:dyDescent="0.2">
      <c r="A21" s="143" t="s">
        <v>1028</v>
      </c>
      <c r="B21" s="155" t="s">
        <v>1029</v>
      </c>
      <c r="C21" s="67" t="s">
        <v>1030</v>
      </c>
      <c r="D21" s="137">
        <v>0</v>
      </c>
      <c r="E21" s="145">
        <v>0</v>
      </c>
    </row>
    <row r="22" spans="1:5" ht="15" customHeight="1" x14ac:dyDescent="0.2">
      <c r="A22" s="143"/>
      <c r="B22" s="155" t="s">
        <v>1022</v>
      </c>
      <c r="C22" s="67" t="s">
        <v>1031</v>
      </c>
      <c r="D22" s="138">
        <v>111106113893</v>
      </c>
      <c r="E22" s="146">
        <v>0</v>
      </c>
    </row>
    <row r="23" spans="1:5" ht="15" customHeight="1" x14ac:dyDescent="0.2">
      <c r="A23" s="143"/>
      <c r="B23" s="155" t="s">
        <v>1024</v>
      </c>
      <c r="C23" s="67" t="s">
        <v>1032</v>
      </c>
      <c r="D23" s="138">
        <v>1089275626</v>
      </c>
      <c r="E23" s="146">
        <v>0</v>
      </c>
    </row>
    <row r="24" spans="1:5" ht="15" customHeight="1" x14ac:dyDescent="0.2">
      <c r="A24" s="143"/>
      <c r="B24" s="155" t="s">
        <v>1026</v>
      </c>
      <c r="C24" s="67" t="s">
        <v>1033</v>
      </c>
      <c r="D24" s="139">
        <v>10892.75</v>
      </c>
      <c r="E24" s="147">
        <v>0</v>
      </c>
    </row>
    <row r="25" spans="1:5" ht="22.5" customHeight="1" x14ac:dyDescent="0.2">
      <c r="A25" s="143" t="s">
        <v>1034</v>
      </c>
      <c r="B25" s="155" t="s">
        <v>1035</v>
      </c>
      <c r="C25" s="67" t="s">
        <v>1036</v>
      </c>
      <c r="D25" s="137">
        <v>0</v>
      </c>
      <c r="E25" s="145">
        <v>0</v>
      </c>
    </row>
    <row r="26" spans="1:5" ht="27" customHeight="1" x14ac:dyDescent="0.2">
      <c r="A26" s="143"/>
      <c r="B26" s="155" t="s">
        <v>1037</v>
      </c>
      <c r="C26" s="67" t="s">
        <v>1038</v>
      </c>
      <c r="D26" s="322">
        <v>892.75</v>
      </c>
      <c r="E26" s="147">
        <v>0</v>
      </c>
    </row>
    <row r="27" spans="1:5" ht="24.75" customHeight="1" x14ac:dyDescent="0.2">
      <c r="A27" s="143"/>
      <c r="B27" s="155" t="s">
        <v>1039</v>
      </c>
      <c r="C27" s="67" t="s">
        <v>1040</v>
      </c>
      <c r="D27" s="139">
        <v>10000</v>
      </c>
      <c r="E27" s="147">
        <v>0</v>
      </c>
    </row>
    <row r="28" spans="1:5" ht="39" customHeight="1" x14ac:dyDescent="0.2">
      <c r="A28" s="143"/>
      <c r="B28" s="155" t="s">
        <v>1041</v>
      </c>
      <c r="C28" s="67" t="s">
        <v>1042</v>
      </c>
      <c r="D28" s="138">
        <v>0</v>
      </c>
      <c r="E28" s="146">
        <v>0</v>
      </c>
    </row>
    <row r="29" spans="1:5" ht="25.5" customHeight="1" x14ac:dyDescent="0.2">
      <c r="A29" s="143"/>
      <c r="B29" s="155" t="s">
        <v>1043</v>
      </c>
      <c r="C29" s="67" t="s">
        <v>1044</v>
      </c>
      <c r="D29" s="140">
        <v>10000</v>
      </c>
      <c r="E29" s="148">
        <v>0</v>
      </c>
    </row>
    <row r="30" spans="1:5" ht="22.5" customHeight="1" x14ac:dyDescent="0.2">
      <c r="A30" s="143" t="s">
        <v>1045</v>
      </c>
      <c r="B30" s="155" t="s">
        <v>1046</v>
      </c>
      <c r="C30" s="67" t="s">
        <v>1047</v>
      </c>
      <c r="D30" s="137">
        <v>0</v>
      </c>
      <c r="E30" s="145">
        <v>0</v>
      </c>
    </row>
    <row r="31" spans="1:5" ht="15" customHeight="1" x14ac:dyDescent="0.2">
      <c r="A31" s="143"/>
      <c r="B31" s="155" t="s">
        <v>1048</v>
      </c>
      <c r="C31" s="67" t="s">
        <v>1049</v>
      </c>
      <c r="D31" s="138">
        <v>111106113893</v>
      </c>
      <c r="E31" s="146">
        <v>0</v>
      </c>
    </row>
    <row r="32" spans="1:5" ht="15" customHeight="1" x14ac:dyDescent="0.2">
      <c r="A32" s="143"/>
      <c r="B32" s="155" t="s">
        <v>1050</v>
      </c>
      <c r="C32" s="67" t="s">
        <v>1051</v>
      </c>
      <c r="D32" s="138">
        <v>110839519643</v>
      </c>
      <c r="E32" s="146">
        <v>0</v>
      </c>
    </row>
    <row r="33" spans="1:5" ht="52.5" customHeight="1" x14ac:dyDescent="0.2">
      <c r="A33" s="143" t="s">
        <v>41</v>
      </c>
      <c r="B33" s="155" t="s">
        <v>1052</v>
      </c>
      <c r="C33" s="67" t="s">
        <v>1053</v>
      </c>
      <c r="D33" s="137">
        <v>0</v>
      </c>
      <c r="E33" s="145">
        <v>0</v>
      </c>
    </row>
    <row r="34" spans="1:5" ht="15" customHeight="1" x14ac:dyDescent="0.2">
      <c r="A34" s="143" t="s">
        <v>1054</v>
      </c>
      <c r="B34" s="155" t="s">
        <v>1020</v>
      </c>
      <c r="C34" s="67" t="s">
        <v>1055</v>
      </c>
      <c r="D34" s="139">
        <v>0</v>
      </c>
      <c r="E34" s="147">
        <v>0</v>
      </c>
    </row>
    <row r="35" spans="1:5" ht="15" customHeight="1" x14ac:dyDescent="0.2">
      <c r="A35" s="143" t="s">
        <v>1056</v>
      </c>
      <c r="B35" s="155" t="s">
        <v>1057</v>
      </c>
      <c r="C35" s="67" t="s">
        <v>1058</v>
      </c>
      <c r="D35" s="139">
        <v>0</v>
      </c>
      <c r="E35" s="147">
        <v>0</v>
      </c>
    </row>
    <row r="36" spans="1:5" ht="22.5" customHeight="1" x14ac:dyDescent="0.2">
      <c r="A36" s="143" t="s">
        <v>1059</v>
      </c>
      <c r="B36" s="155" t="s">
        <v>1060</v>
      </c>
      <c r="C36" s="67" t="s">
        <v>1061</v>
      </c>
      <c r="D36" s="139">
        <v>0</v>
      </c>
      <c r="E36" s="147">
        <v>0</v>
      </c>
    </row>
    <row r="37" spans="1:5" ht="32.25" customHeight="1" x14ac:dyDescent="0.2">
      <c r="A37" s="143" t="s">
        <v>1062</v>
      </c>
      <c r="B37" s="155" t="s">
        <v>1063</v>
      </c>
      <c r="C37" s="67" t="s">
        <v>1064</v>
      </c>
      <c r="D37" s="139">
        <v>0</v>
      </c>
      <c r="E37" s="147">
        <v>0</v>
      </c>
    </row>
    <row r="38" spans="1:5" ht="15" customHeight="1" x14ac:dyDescent="0.2">
      <c r="A38" s="143"/>
      <c r="B38" s="155" t="s">
        <v>1065</v>
      </c>
      <c r="C38" s="67" t="s">
        <v>1066</v>
      </c>
      <c r="D38" s="140">
        <v>0</v>
      </c>
      <c r="E38" s="148">
        <v>0</v>
      </c>
    </row>
    <row r="39" spans="1:5" ht="22.5" customHeight="1" x14ac:dyDescent="0.2">
      <c r="A39" s="143"/>
      <c r="B39" s="155" t="s">
        <v>1067</v>
      </c>
      <c r="C39" s="67" t="s">
        <v>1068</v>
      </c>
      <c r="D39" s="141">
        <v>0</v>
      </c>
      <c r="E39" s="149">
        <v>0</v>
      </c>
    </row>
    <row r="40" spans="1:5" ht="22.5" customHeight="1" x14ac:dyDescent="0.2">
      <c r="A40" s="143" t="s">
        <v>1069</v>
      </c>
      <c r="B40" s="155" t="s">
        <v>1070</v>
      </c>
      <c r="C40" s="67" t="s">
        <v>1071</v>
      </c>
      <c r="D40" s="139">
        <v>0</v>
      </c>
      <c r="E40" s="147">
        <v>0</v>
      </c>
    </row>
    <row r="41" spans="1:5" ht="15" customHeight="1" x14ac:dyDescent="0.2">
      <c r="A41" s="143"/>
      <c r="B41" s="155" t="s">
        <v>1072</v>
      </c>
      <c r="C41" s="67" t="s">
        <v>1073</v>
      </c>
      <c r="D41" s="140">
        <v>0</v>
      </c>
      <c r="E41" s="148">
        <v>0</v>
      </c>
    </row>
    <row r="42" spans="1:5" ht="15" customHeight="1" x14ac:dyDescent="0.2">
      <c r="A42" s="150"/>
      <c r="B42" s="288" t="s">
        <v>1074</v>
      </c>
      <c r="C42" s="151" t="s">
        <v>1075</v>
      </c>
      <c r="D42" s="152">
        <v>0</v>
      </c>
      <c r="E42" s="153">
        <v>0</v>
      </c>
    </row>
    <row r="43" spans="1:5" ht="9.75" customHeight="1" x14ac:dyDescent="0.2">
      <c r="A43" s="368"/>
      <c r="B43" s="368"/>
      <c r="C43" s="289"/>
      <c r="D43" s="290"/>
      <c r="E43" s="289"/>
    </row>
    <row r="44" spans="1:5" ht="12.75" customHeight="1" x14ac:dyDescent="0.2">
      <c r="A44" s="362" t="s">
        <v>612</v>
      </c>
      <c r="B44" s="362"/>
      <c r="C44" s="362" t="s">
        <v>91</v>
      </c>
      <c r="D44" s="362"/>
      <c r="E44" s="362"/>
    </row>
    <row r="45" spans="1:5" ht="14.25" customHeight="1" x14ac:dyDescent="0.2">
      <c r="A45" s="425" t="s">
        <v>15</v>
      </c>
      <c r="B45" s="425"/>
      <c r="C45" s="425" t="s">
        <v>16</v>
      </c>
      <c r="D45" s="425"/>
      <c r="E45" s="425"/>
    </row>
    <row r="46" spans="1:5" ht="15.75" customHeight="1" x14ac:dyDescent="0.2">
      <c r="A46" s="368"/>
      <c r="B46" s="368"/>
      <c r="C46" s="45"/>
      <c r="D46" s="45"/>
      <c r="E46" s="45"/>
    </row>
    <row r="47" spans="1:5" ht="15.75" customHeight="1" x14ac:dyDescent="0.2">
      <c r="A47" s="368"/>
      <c r="B47" s="368"/>
      <c r="C47" s="45"/>
      <c r="D47" s="45"/>
      <c r="E47" s="45"/>
    </row>
    <row r="48" spans="1:5" ht="15.75" customHeight="1" x14ac:dyDescent="0.2">
      <c r="A48" s="368"/>
      <c r="B48" s="368"/>
      <c r="C48" s="45"/>
      <c r="D48" s="45"/>
      <c r="E48" s="45"/>
    </row>
    <row r="49" spans="1:5" ht="33.75" customHeight="1" x14ac:dyDescent="0.2">
      <c r="A49" s="438" t="s">
        <v>1092</v>
      </c>
      <c r="B49" s="438"/>
      <c r="C49" s="438" t="s">
        <v>293</v>
      </c>
      <c r="D49" s="438"/>
      <c r="E49" s="438"/>
    </row>
    <row r="50" spans="1:5" ht="15" customHeight="1" x14ac:dyDescent="0.2">
      <c r="A50" s="368"/>
      <c r="B50" s="368"/>
      <c r="C50" s="368"/>
      <c r="D50" s="368"/>
      <c r="E50" s="368"/>
    </row>
  </sheetData>
  <mergeCells count="18">
    <mergeCell ref="B1:E1"/>
    <mergeCell ref="A2:E2"/>
    <mergeCell ref="A3:E3"/>
    <mergeCell ref="A4:E4"/>
    <mergeCell ref="B5:E5"/>
    <mergeCell ref="C14:E14"/>
    <mergeCell ref="A43:B43"/>
    <mergeCell ref="A50:B50"/>
    <mergeCell ref="C50:E50"/>
    <mergeCell ref="A44:B44"/>
    <mergeCell ref="A45:B45"/>
    <mergeCell ref="A49:B49"/>
    <mergeCell ref="C49:E49"/>
    <mergeCell ref="C45:E45"/>
    <mergeCell ref="C44:E44"/>
    <mergeCell ref="A47:B47"/>
    <mergeCell ref="A48:B48"/>
    <mergeCell ref="A46:B46"/>
  </mergeCells>
  <printOptions horizontalCentered="1"/>
  <pageMargins left="0" right="0" top="0.59" bottom="0.59" header="0.5" footer="0.5"/>
  <pageSetup paperSize="9" scale="91"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PfroVB3+zTiHoh1JFFCa2WJfKr0=</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Swx2PnEyNMbwHbB+hsuRKK74JL0=</DigestValue>
    </Reference>
  </SignedInfo>
  <SignatureValue>CvqP8GxTzVCgKFTiV4iTAOrrPocThX91DY3YGNORfJuS2qGtUYOvWAtTZLK2OOEhkufj5fXUk3nR
c7azd6tqLZ5n1kQOcORz//YAoouwNBIHF+k9KvdS3ZeUj8wXqw1RK6sl29yAA6LngKvUCOc8Xjn9
74FlMt6+9QnccOeyKaE=</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printerSettings/printerSettings8.bin?ContentType=application/vnd.openxmlformats-officedocument.spreadsheetml.printerSettings">
        <DigestMethod Algorithm="http://www.w3.org/2000/09/xmldsig#sha1"/>
        <DigestValue>FAYOUqXVzxPADaXDPmRfCWiLBTU=</DigestValue>
      </Reference>
      <Reference URI="/xl/drawings/drawing3.xml?ContentType=application/vnd.openxmlformats-officedocument.drawing+xml">
        <DigestMethod Algorithm="http://www.w3.org/2000/09/xmldsig#sha1"/>
        <DigestValue>tVSlRAxcOOK6+256ueIl5vFjUpo=</DigestValue>
      </Reference>
      <Reference URI="/xl/media/image2.png?ContentType=image/png">
        <DigestMethod Algorithm="http://www.w3.org/2000/09/xmldsig#sha1"/>
        <DigestValue>Ofd1bS7Jxz2UH5umQlaSfGEr80g=</DigestValue>
      </Reference>
      <Reference URI="/xl/drawings/drawing2.xml?ContentType=application/vnd.openxmlformats-officedocument.drawing+xml">
        <DigestMethod Algorithm="http://www.w3.org/2000/09/xmldsig#sha1"/>
        <DigestValue>UB6C1JF6SXY2/CPlXm7aTH88z+U=</DigestValue>
      </Reference>
      <Reference URI="/xl/media/image1.png?ContentType=image/png">
        <DigestMethod Algorithm="http://www.w3.org/2000/09/xmldsig#sha1"/>
        <DigestValue>3Px1CAIaHSve3zVEhzwW7yN1uSk=</DigestValue>
      </Reference>
      <Reference URI="/xl/worksheets/sheet5.xml?ContentType=application/vnd.openxmlformats-officedocument.spreadsheetml.worksheet+xml">
        <DigestMethod Algorithm="http://www.w3.org/2000/09/xmldsig#sha1"/>
        <DigestValue>K8pO3c7xkjT7BEokFi/Zq1D+oa0=</DigestValue>
      </Reference>
      <Reference URI="/xl/worksheets/sheet6.xml?ContentType=application/vnd.openxmlformats-officedocument.spreadsheetml.worksheet+xml">
        <DigestMethod Algorithm="http://www.w3.org/2000/09/xmldsig#sha1"/>
        <DigestValue>gMQUM5tMflgGq71LXsadtWIfrfg=</DigestValue>
      </Reference>
      <Reference URI="/xl/worksheets/sheet7.xml?ContentType=application/vnd.openxmlformats-officedocument.spreadsheetml.worksheet+xml">
        <DigestMethod Algorithm="http://www.w3.org/2000/09/xmldsig#sha1"/>
        <DigestValue>7oHcG3LmdOQFjgKzV3bKvp7aDgk=</DigestValue>
      </Reference>
      <Reference URI="/xl/printerSettings/printerSettings5.bin?ContentType=application/vnd.openxmlformats-officedocument.spreadsheetml.printerSettings">
        <DigestMethod Algorithm="http://www.w3.org/2000/09/xmldsig#sha1"/>
        <DigestValue>FAYOUqXVzxPADaXDPmRfCWiLBTU=</DigestValue>
      </Reference>
      <Reference URI="/xl/worksheets/sheet9.xml?ContentType=application/vnd.openxmlformats-officedocument.spreadsheetml.worksheet+xml">
        <DigestMethod Algorithm="http://www.w3.org/2000/09/xmldsig#sha1"/>
        <DigestValue>W9WRRK5kkP7IQChwYJlUPq2kkos=</DigestValue>
      </Reference>
      <Reference URI="/xl/drawings/drawing4.xml?ContentType=application/vnd.openxmlformats-officedocument.drawing+xml">
        <DigestMethod Algorithm="http://www.w3.org/2000/09/xmldsig#sha1"/>
        <DigestValue>sRUiXuEqkHxIcQwLRHmVOnDbJdQ=</DigestValue>
      </Reference>
      <Reference URI="/xl/drawings/drawing5.xml?ContentType=application/vnd.openxmlformats-officedocument.drawing+xml">
        <DigestMethod Algorithm="http://www.w3.org/2000/09/xmldsig#sha1"/>
        <DigestValue>oepdRIxXUSUmfYu+AOV+KxXlMEc=</DigestValue>
      </Reference>
      <Reference URI="/xl/printerSettings/printerSettings3.bin?ContentType=application/vnd.openxmlformats-officedocument.spreadsheetml.printerSettings">
        <DigestMethod Algorithm="http://www.w3.org/2000/09/xmldsig#sha1"/>
        <DigestValue>FAYOUqXVzxPADaXDPmRfCWiLBTU=</DigestValue>
      </Reference>
      <Reference URI="/xl/printerSettings/printerSettings6.bin?ContentType=application/vnd.openxmlformats-officedocument.spreadsheetml.printerSettings">
        <DigestMethod Algorithm="http://www.w3.org/2000/09/xmldsig#sha1"/>
        <DigestValue>K0X+ECkiWFM0L0ahoQbD//KgLLg=</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printerSettings/printerSettings2.bin?ContentType=application/vnd.openxmlformats-officedocument.spreadsheetml.printerSettings">
        <DigestMethod Algorithm="http://www.w3.org/2000/09/xmldsig#sha1"/>
        <DigestValue>FAYOUqXVzxPADaXDPmRfCWiLBTU=</DigestValue>
      </Reference>
      <Reference URI="/xl/calcChain.xml?ContentType=application/vnd.openxmlformats-officedocument.spreadsheetml.calcChain+xml">
        <DigestMethod Algorithm="http://www.w3.org/2000/09/xmldsig#sha1"/>
        <DigestValue>d2qJPo3bfzQEqQZ953N1UbfuwSo=</DigestValue>
      </Reference>
      <Reference URI="/xl/printerSettings/printerSettings9.bin?ContentType=application/vnd.openxmlformats-officedocument.spreadsheetml.printerSettings">
        <DigestMethod Algorithm="http://www.w3.org/2000/09/xmldsig#sha1"/>
        <DigestValue>FAYOUqXVzxPADaXDPmRfCWiLBTU=</DigestValue>
      </Reference>
      <Reference URI="/xl/printerSettings/printerSettings7.bin?ContentType=application/vnd.openxmlformats-officedocument.spreadsheetml.printerSettings">
        <DigestMethod Algorithm="http://www.w3.org/2000/09/xmldsig#sha1"/>
        <DigestValue>FAYOUqXVzxPADaXDPmRfCWiLBTU=</DigestValue>
      </Reference>
      <Reference URI="/xl/printerSettings/printerSettings10.bin?ContentType=application/vnd.openxmlformats-officedocument.spreadsheetml.printerSettings">
        <DigestMethod Algorithm="http://www.w3.org/2000/09/xmldsig#sha1"/>
        <DigestValue>FAYOUqXVzxPADaXDPmRfCWiLBTU=</DigestValue>
      </Reference>
      <Reference URI="/xl/printerSettings/printerSettings4.bin?ContentType=application/vnd.openxmlformats-officedocument.spreadsheetml.printerSettings">
        <DigestMethod Algorithm="http://www.w3.org/2000/09/xmldsig#sha1"/>
        <DigestValue>FAYOUqXVzxPADaXDPmRfCWiLBTU=</DigestValue>
      </Reference>
      <Reference URI="/xl/worksheets/sheet10.xml?ContentType=application/vnd.openxmlformats-officedocument.spreadsheetml.worksheet+xml">
        <DigestMethod Algorithm="http://www.w3.org/2000/09/xmldsig#sha1"/>
        <DigestValue>B9+V3TO6wL1wd6IDZBh6kyzaZTs=</DigestValue>
      </Reference>
      <Reference URI="/xl/worksheets/sheet8.xml?ContentType=application/vnd.openxmlformats-officedocument.spreadsheetml.worksheet+xml">
        <DigestMethod Algorithm="http://www.w3.org/2000/09/xmldsig#sha1"/>
        <DigestValue>2GNTugrBtGqhmWjNmI+mwoYWEOw=</DigestValue>
      </Reference>
      <Reference URI="/xl/workbook.xml?ContentType=application/vnd.openxmlformats-officedocument.spreadsheetml.sheet.main+xml">
        <DigestMethod Algorithm="http://www.w3.org/2000/09/xmldsig#sha1"/>
        <DigestValue>Tf2Al6D7UKP+1dXrJvjzwbMibwI=</DigestValue>
      </Reference>
      <Reference URI="/xl/worksheets/sheet1.xml?ContentType=application/vnd.openxmlformats-officedocument.spreadsheetml.worksheet+xml">
        <DigestMethod Algorithm="http://www.w3.org/2000/09/xmldsig#sha1"/>
        <DigestValue>VrHva33EcgxBexRQAxdkS/ATlDg=</DigestValue>
      </Reference>
      <Reference URI="/xl/drawings/drawing1.xml?ContentType=application/vnd.openxmlformats-officedocument.drawing+xml">
        <DigestMethod Algorithm="http://www.w3.org/2000/09/xmldsig#sha1"/>
        <DigestValue>eOShDN39DCkB3zwRrH/q/flFsJo=</DigestValue>
      </Reference>
      <Reference URI="/xl/drawings/drawing8.xml?ContentType=application/vnd.openxmlformats-officedocument.drawing+xml">
        <DigestMethod Algorithm="http://www.w3.org/2000/09/xmldsig#sha1"/>
        <DigestValue>HQLda9Nl/8MyQbJ/x+c1gryGcNE=</DigestValue>
      </Reference>
      <Reference URI="/xl/drawings/drawing9.xml?ContentType=application/vnd.openxmlformats-officedocument.drawing+xml">
        <DigestMethod Algorithm="http://www.w3.org/2000/09/xmldsig#sha1"/>
        <DigestValue>cBDMadL5TdjbBC0EIj4vo28VFQ4=</DigestValue>
      </Reference>
      <Reference URI="/xl/worksheets/sheet3.xml?ContentType=application/vnd.openxmlformats-officedocument.spreadsheetml.worksheet+xml">
        <DigestMethod Algorithm="http://www.w3.org/2000/09/xmldsig#sha1"/>
        <DigestValue>G6D5HVCBRZoWswVq7YTLSCyj15s=</DigestValue>
      </Reference>
      <Reference URI="/xl/worksheets/sheet2.xml?ContentType=application/vnd.openxmlformats-officedocument.spreadsheetml.worksheet+xml">
        <DigestMethod Algorithm="http://www.w3.org/2000/09/xmldsig#sha1"/>
        <DigestValue>vjKN5AhGwbjc97zk++RIRkgs9yc=</DigestValue>
      </Reference>
      <Reference URI="/xl/worksheets/sheet4.xml?ContentType=application/vnd.openxmlformats-officedocument.spreadsheetml.worksheet+xml">
        <DigestMethod Algorithm="http://www.w3.org/2000/09/xmldsig#sha1"/>
        <DigestValue>3C17TCUpwppUh+SH6thptllgkYA=</DigestValue>
      </Reference>
      <Reference URI="/xl/drawings/drawing6.xml?ContentType=application/vnd.openxmlformats-officedocument.drawing+xml">
        <DigestMethod Algorithm="http://www.w3.org/2000/09/xmldsig#sha1"/>
        <DigestValue>ae4GBga5qTlwck4G2zugJgdtMRc=</DigestValue>
      </Reference>
      <Reference URI="/xl/drawings/drawing7.xml?ContentType=application/vnd.openxmlformats-officedocument.drawing+xml">
        <DigestMethod Algorithm="http://www.w3.org/2000/09/xmldsig#sha1"/>
        <DigestValue>nNYKzn6dbz6L0BGLzkfK0QWPa9E=</DigestValue>
      </Reference>
      <Reference URI="/xl/sharedStrings.xml?ContentType=application/vnd.openxmlformats-officedocument.spreadsheetml.sharedStrings+xml">
        <DigestMethod Algorithm="http://www.w3.org/2000/09/xmldsig#sha1"/>
        <DigestValue>wtuMUnspuRgGiDollgI+7fYE1ZY=</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Vf/XlLLDDNNkuoSkMNNudG1n6ZA=</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2020-05-06T07:21:07Z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2020-05-06T07:21:07Z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TONGQUAN</vt:lpstr>
      <vt:lpstr>BCTaiSan_06134</vt:lpstr>
      <vt:lpstr>BCKetQuaHoatDong_06135</vt:lpstr>
      <vt:lpstr>BCDanhMucDauTu_06136</vt:lpstr>
      <vt:lpstr>Khac_06137</vt:lpstr>
      <vt:lpstr>BCGiaodichTaiSan_06141</vt:lpstr>
      <vt:lpstr>BCThuNhap_06203</vt:lpstr>
      <vt:lpstr>BCTinhHinhTaiChinh_06105</vt:lpstr>
      <vt:lpstr>B03_181</vt:lpstr>
      <vt:lpstr>BCThayDoiNAV_PL15.229</vt:lpstr>
      <vt:lpstr>B03_181!Print_Area</vt:lpstr>
      <vt:lpstr>BCDanhMucDauTu_06136!Print_Area</vt:lpstr>
      <vt:lpstr>BCGiaodichTaiSan_06141!Print_Area</vt:lpstr>
      <vt:lpstr>BCKetQuaHoatDong_06135!Print_Area</vt:lpstr>
      <vt:lpstr>BCTaiSan_06134!Print_Area</vt:lpstr>
      <vt:lpstr>BCThayDoiNAV_PL15.229!Print_Area</vt:lpstr>
      <vt:lpstr>BCThuNhap_06203!Print_Area</vt:lpstr>
      <vt:lpstr>BCTinhHinhTaiChinh_06105!Print_Area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2020-05-05T02:34:28Z</cp:lastPrinted>
  <dcterms:created xsi:type="dcterms:W3CDTF">2020-04-23T06:45:40Z</dcterms:created>
  <dcterms:modified xsi:type="dcterms:W3CDTF">2020-05-06T07:20:53Z</dcterms:modified>
</cp:coreProperties>
</file>