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und Services\VNFS\Reporting\VFMVFB - DCBF\22122022\"/>
    </mc:Choice>
  </mc:AlternateContent>
  <xr:revisionPtr revIDLastSave="0" documentId="13_ncr:1_{2BE2EB0C-4BD7-40C5-B05B-B0CB53AF896D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5" i="1" l="1"/>
  <c r="F26" i="1"/>
</calcChain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<sst xmlns="http://schemas.openxmlformats.org/spreadsheetml/2006/main" count="76" uniqueCount="73">
  <si>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</si>
  <si>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</si>
  <si>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</si>
  <si>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</si>
  <si>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</si>
  <si>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</si>
  <si>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</si>
  <si>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</si>
  <si>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</si>
  <si>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</si>
  <si>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</si>
  <si>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</si>
  <si>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</si>
  <si>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</si>
  <si>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</si>
  <si>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</si>
  <si>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</si>
  <si>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</si>
  <si>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</si>
  <si>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</si>
  <si>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</si>
  <si>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</si>
  <si>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</si>
  <si>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</si>
  <si>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</si>
  <si>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</si>
  <si>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</si>
  <si>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</si>
  <si>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</si>
  <si>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</si>
  <si>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</si>
  <si>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</si>
  <si>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</si>
  <si>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</si>
  <si>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</si>
  <si>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</si>
  <si>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</si>
  <si>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</si>
  <si>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</si>
  <si>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</si>
  <si>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</si>
  <si>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</si>
  <si>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</si>
  <si>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</si>
  <si>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</si>
  <si>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</si>
  <si>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</si>
  <si>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</si>
  <si>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</si>
  <si>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</si>
  <si>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</si>
  <si>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</si>
  <si>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</si>
  <si>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</si>
  <si>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</si>
  <si>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</si>
  <si>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</si>
  <si>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</si>
  <si>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</si>
  <si>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</si>
  <si>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</si>
  <si>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</si>
  <si>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</si>
  <si>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</si>
  <si>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</si>
  <si>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</si>
  <si>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Phó Phòng Dịch vụ Quản trị và Giám sát Quỹ</t>
  </si>
  <si>
    <t>Trịnh Hoài Nam</t>
  </si>
  <si>
    <t>Từ ngày 16 tháng 12 năm 2022 đến 22 tháng 12 năm 2022</t>
  </si>
  <si>
    <t>From 16 Dec 2022 to 22 Dec 2022</t>
  </si>
  <si>
    <t>Ngày 23 tháng 12 năm 2022</t>
  </si>
  <si>
    <t>Kỳ trước
Last period
15/12/2022</t>
  </si>
  <si>
    <t>Kỳ báo cáo
This period
22/12/2022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</si>
</sst>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6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14" fillId="2" borderId="1" xfId="2" applyFont="1" applyFill="1" applyBorder="1" applyAlignment="1">
      <alignment horizontal="right" vertical="center" wrapText="1"/>
    </xf>
    <xf numFmtId="164" fontId="10" fillId="2" borderId="1" xfId="2" applyNumberFormat="1" applyFont="1" applyFill="1" applyBorder="1" applyAlignment="1">
      <alignment horizontal="center" vertical="center" wrapText="1"/>
    </xf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4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43" fontId="21" fillId="2" borderId="1" xfId="2" applyFont="1" applyFill="1" applyBorder="1" applyAlignment="1">
      <alignment horizontal="right" vertical="center" wrapText="1"/>
    </xf>
    <xf numFmtId="165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664733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I30" sqref="I30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19" t="s">
        <v>0</v>
      </c>
      <c r="B1" s="120"/>
      <c r="C1" s="120"/>
      <c r="D1" s="120"/>
      <c r="E1" s="120"/>
      <c r="F1" s="120"/>
      <c r="G1" s="12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21" t="s">
        <v>1</v>
      </c>
      <c r="B2" s="121"/>
      <c r="C2" s="121"/>
      <c r="D2" s="121"/>
      <c r="E2" s="121"/>
      <c r="F2" s="121"/>
      <c r="G2" s="121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2" t="s">
        <v>2</v>
      </c>
      <c r="B4" s="123"/>
      <c r="C4" s="123"/>
      <c r="D4" s="123"/>
      <c r="E4" s="123"/>
      <c r="F4" s="123"/>
      <c r="G4" s="123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18" t="s">
        <v>62</v>
      </c>
      <c r="E6" s="118"/>
      <c r="F6" s="118"/>
      <c r="G6" s="118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4" t="s">
        <v>61</v>
      </c>
      <c r="E7" s="124"/>
      <c r="F7" s="124"/>
      <c r="G7" s="124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3" t="s">
        <v>4</v>
      </c>
      <c r="D8" s="118" t="s">
        <v>65</v>
      </c>
      <c r="E8" s="118"/>
      <c r="F8" s="118"/>
      <c r="G8" s="104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5" t="s">
        <v>68</v>
      </c>
      <c r="E9" s="105"/>
      <c r="F9" s="106"/>
      <c r="G9" s="107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3" t="s">
        <v>69</v>
      </c>
      <c r="E10" s="24"/>
      <c r="F10" s="25"/>
      <c r="G10" s="104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10" t="s">
        <v>70</v>
      </c>
      <c r="E11" s="108"/>
      <c r="F11" s="25"/>
      <c r="G11" s="104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6">
        <v>44918</v>
      </c>
      <c r="E12" s="24"/>
      <c r="F12" s="25"/>
      <c r="G12" s="104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6" t="s">
        <v>11</v>
      </c>
      <c r="C14" s="127"/>
      <c r="D14" s="128"/>
      <c r="E14" s="29" t="s">
        <v>12</v>
      </c>
      <c r="F14" s="30" t="s">
        <v>72</v>
      </c>
      <c r="G14" s="30" t="s">
        <v>71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9" t="s">
        <v>14</v>
      </c>
      <c r="C15" s="13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1" t="s">
        <v>16</v>
      </c>
      <c r="C16" s="132"/>
      <c r="D16" s="132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5" t="s">
        <v>18</v>
      </c>
      <c r="D17" s="125"/>
      <c r="E17" s="45"/>
      <c r="F17" s="46">
        <v>461776852160</v>
      </c>
      <c r="G17" s="46">
        <v>479205082952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5" t="s">
        <v>20</v>
      </c>
      <c r="D18" s="125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5" t="s">
        <v>22</v>
      </c>
      <c r="D19" s="125"/>
      <c r="E19" s="45"/>
      <c r="F19" s="51">
        <v>23167.5</v>
      </c>
      <c r="G19" s="51">
        <v>23133.93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1" t="s">
        <v>24</v>
      </c>
      <c r="C20" s="132"/>
      <c r="D20" s="132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46">
        <v>448562282771</v>
      </c>
      <c r="G21" s="46">
        <v>461776852160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3" t="s">
        <v>20</v>
      </c>
      <c r="D22" s="133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51">
        <v>23219.5</v>
      </c>
      <c r="G23" s="51">
        <v>23167.5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1" t="s">
        <v>29</v>
      </c>
      <c r="C24" s="132"/>
      <c r="D24" s="132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5" t="s">
        <v>31</v>
      </c>
      <c r="D25" s="125"/>
      <c r="E25" s="43"/>
      <c r="F25" s="109">
        <f>F21-F17-F26</f>
        <v>1004427328</v>
      </c>
      <c r="G25" s="109">
        <v>669203367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3" t="s">
        <v>33</v>
      </c>
      <c r="D26" s="133"/>
      <c r="E26" s="43"/>
      <c r="F26" s="46">
        <f>F27+F28</f>
        <v>-14218996717</v>
      </c>
      <c r="G26" s="46">
        <v>-18097434159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3" t="s">
        <v>35</v>
      </c>
      <c r="D27" s="133"/>
      <c r="E27" s="43"/>
      <c r="F27" s="46">
        <v>237417419</v>
      </c>
      <c r="G27" s="46">
        <v>319620540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3" t="s">
        <v>37</v>
      </c>
      <c r="D28" s="133"/>
      <c r="E28" s="43"/>
      <c r="F28" s="46">
        <v>-14456414136</v>
      </c>
      <c r="G28" s="46">
        <v>-18417054699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33" t="s">
        <v>39</v>
      </c>
      <c r="D29" s="133"/>
      <c r="E29" s="45"/>
      <c r="F29" s="115"/>
      <c r="G29" s="115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1" t="s">
        <v>41</v>
      </c>
      <c r="C30" s="132"/>
      <c r="D30" s="132"/>
      <c r="E30" s="60"/>
      <c r="F30" s="115">
        <v>52</v>
      </c>
      <c r="G30" s="115">
        <v>33.57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1" t="s">
        <v>43</v>
      </c>
      <c r="C31" s="132"/>
      <c r="D31" s="132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3" t="s">
        <v>45</v>
      </c>
      <c r="D32" s="133"/>
      <c r="E32" s="45"/>
      <c r="F32" s="51">
        <v>23780.78</v>
      </c>
      <c r="G32" s="51">
        <v>23780.78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3" t="s">
        <v>47</v>
      </c>
      <c r="D33" s="133"/>
      <c r="E33" s="45"/>
      <c r="F33" s="51">
        <v>22230.19</v>
      </c>
      <c r="G33" s="51">
        <v>22177.03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1" t="s">
        <v>48</v>
      </c>
      <c r="C34" s="132"/>
      <c r="D34" s="136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34" t="s">
        <v>49</v>
      </c>
      <c r="D35" s="135"/>
      <c r="E35" s="45"/>
      <c r="F35" s="51">
        <v>2768103.1999999997</v>
      </c>
      <c r="G35" s="51">
        <v>3078511.3499999996</v>
      </c>
      <c r="H35" s="47"/>
      <c r="I35" s="48"/>
      <c r="J35" s="117"/>
      <c r="K35" s="42"/>
      <c r="L35" s="50"/>
    </row>
    <row r="36" spans="1:16" ht="31.5" customHeight="1">
      <c r="A36" s="65">
        <v>6.2</v>
      </c>
      <c r="B36" s="66"/>
      <c r="C36" s="134" t="s">
        <v>50</v>
      </c>
      <c r="D36" s="135"/>
      <c r="E36" s="45"/>
      <c r="F36" s="46">
        <v>64273972252</v>
      </c>
      <c r="G36" s="46">
        <v>71321411701</v>
      </c>
      <c r="H36" s="47"/>
      <c r="I36" s="48"/>
      <c r="J36" s="117"/>
      <c r="K36" s="42"/>
      <c r="L36" s="50"/>
    </row>
    <row r="37" spans="1:16" ht="34.5" customHeight="1">
      <c r="A37" s="65">
        <v>6.3</v>
      </c>
      <c r="B37" s="66"/>
      <c r="C37" s="134" t="s">
        <v>51</v>
      </c>
      <c r="D37" s="135"/>
      <c r="E37" s="45"/>
      <c r="F37" s="67">
        <v>0.14329999999999998</v>
      </c>
      <c r="G37" s="67">
        <v>0.1545</v>
      </c>
      <c r="H37" s="47"/>
      <c r="I37" s="48"/>
      <c r="J37" s="117"/>
      <c r="K37" s="42"/>
      <c r="L37" s="50"/>
    </row>
    <row r="38" spans="1:16" ht="38" customHeight="1">
      <c r="A38" s="34" t="s">
        <v>52</v>
      </c>
      <c r="B38" s="129" t="s">
        <v>53</v>
      </c>
      <c r="C38" s="130"/>
      <c r="D38" s="13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40"/>
      <c r="B39" s="140"/>
      <c r="C39" s="140"/>
      <c r="D39" s="140"/>
      <c r="E39" s="140"/>
      <c r="F39" s="140"/>
      <c r="G39" s="140"/>
      <c r="H39" s="17"/>
      <c r="I39" s="48"/>
      <c r="J39" s="49"/>
      <c r="K39" s="42"/>
      <c r="L39" s="50"/>
    </row>
    <row r="40" spans="1:16" ht="51" customHeight="1">
      <c r="A40" s="141"/>
      <c r="B40" s="141"/>
      <c r="C40" s="141"/>
      <c r="D40" s="141"/>
      <c r="E40" s="141"/>
      <c r="F40" s="141"/>
      <c r="G40" s="141"/>
      <c r="H40" s="17"/>
      <c r="I40" s="48"/>
      <c r="J40" s="49"/>
      <c r="K40" s="42"/>
      <c r="L40" s="50"/>
    </row>
    <row r="41" spans="1:16" ht="21" customHeight="1">
      <c r="A41" s="114"/>
      <c r="B41" s="114"/>
      <c r="C41" s="114"/>
      <c r="D41" s="114"/>
      <c r="E41" s="114"/>
      <c r="F41" s="114"/>
      <c r="G41" s="114"/>
      <c r="H41" s="17"/>
      <c r="I41" s="48"/>
      <c r="J41" s="49"/>
      <c r="K41" s="42"/>
      <c r="L41" s="50"/>
    </row>
    <row r="42" spans="1:16" ht="15.5" customHeight="1">
      <c r="A42" s="142" t="s">
        <v>54</v>
      </c>
      <c r="B42" s="142"/>
      <c r="C42" s="142"/>
      <c r="D42" s="69"/>
      <c r="E42" s="69"/>
      <c r="F42" s="143" t="s">
        <v>55</v>
      </c>
      <c r="G42" s="143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44" t="s">
        <v>56</v>
      </c>
      <c r="B43" s="144"/>
      <c r="C43" s="144"/>
      <c r="D43" s="74"/>
      <c r="E43" s="74"/>
      <c r="F43" s="145" t="s">
        <v>57</v>
      </c>
      <c r="G43" s="145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39" t="s">
        <v>58</v>
      </c>
      <c r="B51" s="139"/>
      <c r="C51" s="139"/>
      <c r="D51" s="88"/>
      <c r="E51" s="88"/>
      <c r="F51" s="139" t="s">
        <v>59</v>
      </c>
      <c r="G51" s="139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1" t="s">
        <v>67</v>
      </c>
      <c r="B52" s="93"/>
      <c r="C52" s="94"/>
      <c r="D52" s="95"/>
      <c r="E52" s="88"/>
      <c r="F52" s="137" t="s">
        <v>60</v>
      </c>
      <c r="G52" s="137"/>
      <c r="H52" s="96"/>
      <c r="I52" s="90"/>
      <c r="J52" s="97"/>
      <c r="K52" s="98"/>
      <c r="L52" s="90"/>
      <c r="M52" s="90"/>
      <c r="N52" s="90"/>
      <c r="O52" s="92"/>
      <c r="P52" s="92"/>
    </row>
    <row r="53" spans="1:16" ht="15.5" customHeight="1">
      <c r="A53" s="112" t="s">
        <v>66</v>
      </c>
      <c r="B53" s="100"/>
      <c r="C53" s="100"/>
      <c r="D53" s="99"/>
      <c r="E53" s="99"/>
      <c r="F53" s="138" t="s">
        <v>64</v>
      </c>
      <c r="G53" s="138"/>
      <c r="H53" s="101"/>
    </row>
    <row r="54" spans="1:16">
      <c r="D54" s="102"/>
      <c r="E54" s="102"/>
      <c r="F54" s="102"/>
      <c r="G54" s="102"/>
    </row>
    <row r="55" spans="1:16">
      <c r="D55" s="102"/>
      <c r="E55" s="102"/>
      <c r="F55" s="102"/>
      <c r="G55" s="102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ywSPWpHO3WcKRcan1T2/NrgFsGI=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vzfDGRgcl6TwwXfSt7DrtXNbPCc=</DigestValue>
    </Reference>
  </SignedInfo>
  <SignatureValue>f5BeRKBEIiPQCQL2giqwSshzbvrjSyuNpMyjEd+azxsKsLsGq9WPACbEb5Oq0V3HtzjACeBQPEFP
GDaAQpLi2c0wxeQs/yd1dvtxPWHV2xzMjGL8GH+DP8lJxBR7ScR4SnGMMeqjaRjFy+MXlAH2E8hQ
SqQ+gutm6x6Z0isb098=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9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oayxNPNUmbq4zn8YDJbgC9+6fWo=</DigestValue>
      </Reference>
      <Reference URI="/xl/calcChain.xml?ContentType=application/vnd.openxmlformats-officedocument.spreadsheetml.calcChain+xml">
        <DigestMethod Algorithm="http://www.w3.org/2000/09/xmldsig#sha1"/>
        <DigestValue>4x6nYfXNmnQuJorBaBSP9MY/A+o=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UlktHT3+LPYzk+HCx9muCojMT8U=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SM9zEd1nAGP2ShiEBDrSsHqvf3M=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iO1+vHuJduJHwxSKxYaETxSCEfw=</DigestValue>
      </Reference>
      <Reference URI="/xl/styles.xml?ContentType=application/vnd.openxmlformats-officedocument.spreadsheetml.styles+xml">
        <DigestMethod Algorithm="http://www.w3.org/2000/09/xmldsig#sha1"/>
        <DigestValue>wi+P90RU29ugGBKFgNGCyECw9do=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ydGXLVUChc/HmkNvPXnMmjskhog=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m/vqzWhNRlbyqRKxMKOW9Tjsp0k=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2022-12-23T04:27:35Z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2022-12-23T04:27:35Z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M, Hemanth</cp:lastModifiedBy>
  <cp:lastPrinted>2021-10-29T02:59:09Z</cp:lastPrinted>
  <dcterms:created xsi:type="dcterms:W3CDTF">2021-01-06T06:37:54Z</dcterms:created>
  <dcterms:modified xsi:type="dcterms:W3CDTF">2022-12-23T04:20:42Z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2022-12-23T04:20:42Z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39ec5c3a-7307-41c3-9b7e-8c3168f0a83a</vt:lpwstr>
  </property>
  <property fmtid="{D5CDD505-2E9C-101B-9397-08002B2CF9AE}" pid="8" name="MSIP_Label_ebbfc019-7f88-4fb6-96d6-94ffadd4b772_ContentBits">
    <vt:lpwstr>1</vt:lpwstr>
  </property>
</Properties>
</file>