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worksheets/sheet1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firstSheet="2" activeTab="5"/>
  </bookViews>
  <sheets>
    <sheet name="TONGQUAN" sheetId="8" r:id="rId1"/>
    <sheet name="BCTaiSan_06134" sheetId="10" r:id="rId2"/>
    <sheet name="BCKetQuaHoatDong_06135" sheetId="11" r:id="rId3"/>
    <sheet name="BCDanhMucDauTu_06136" sheetId="12" r:id="rId4"/>
    <sheet name="Khac_06137" sheetId="13" r:id="rId5"/>
    <sheet name="BCGiaodichTaiSan_06141" sheetId="9" r:id="rId6"/>
    <sheet name="BCThuNhap_06203" sheetId="21" r:id="rId7"/>
    <sheet name="BCTinhHinhTaiChinh_06105" sheetId="16" r:id="rId8"/>
    <sheet name="GTTSRong_06107" sheetId="17" r:id="rId9"/>
    <sheet name="BCThayDoiNAV_PL15.229" sheetId="18" r:id="rId10"/>
    <sheet name="Sheet13" sheetId="19" r:id="rId11"/>
  </sheets>
  <definedNames>
    <definedName name="_xlnm.Print_Area" localSheetId="3">BCDanhMucDauTu_06136!$A$1:$G$79</definedName>
    <definedName name="_xlnm.Print_Area" localSheetId="5">BCGiaodichTaiSan_06141!$A$1:$K$37</definedName>
    <definedName name="_xlnm.Print_Area" localSheetId="2">BCKetQuaHoatDong_06135!$A$1:$F$94</definedName>
    <definedName name="_xlnm.Print_Area" localSheetId="1">BCTaiSan_06134!$A$1:$F$112</definedName>
    <definedName name="_xlnm.Print_Area" localSheetId="7">BCTinhHinhTaiChinh_06105!$A$1:$F$131</definedName>
    <definedName name="_xlnm.Print_Area" localSheetId="9">BCThayDoiNAV_PL15.229!$A$1:$H$51</definedName>
    <definedName name="_xlnm.Print_Area" localSheetId="6">BCThuNhap_06203!$A$1:$G$90</definedName>
    <definedName name="_xlnm.Print_Area" localSheetId="8">GTTSRong_06107!$A$1:$E$28</definedName>
    <definedName name="_xlnm.Print_Area" localSheetId="4">Khac_06137!$A$1:$E$60</definedName>
    <definedName name="_xlnm.Print_Area" localSheetId="0">TONGQUAN!$A$1:$I$48</definedName>
  </definedNames>
  <calcPr calcId="145621"/>
</workbook>
</file>

<file path=xl/calcChain.xml><?xml version="1.0" encoding="utf-8"?>
<calcChain xmlns="http://schemas.openxmlformats.org/spreadsheetml/2006/main">
  <c r="G75" i="21" l="1"/>
  <c r="F75" i="21"/>
  <c r="E75" i="21"/>
  <c r="D75" i="21"/>
  <c r="G59" i="21"/>
  <c r="F59" i="21"/>
  <c r="E59" i="21"/>
  <c r="D59" i="21"/>
  <c r="G53" i="21"/>
  <c r="F53" i="21"/>
  <c r="E53" i="21"/>
  <c r="D53" i="21"/>
  <c r="G45" i="21"/>
  <c r="F45" i="21"/>
  <c r="E45" i="21"/>
  <c r="E43" i="21" s="1"/>
  <c r="D45" i="21"/>
  <c r="G43" i="21"/>
  <c r="D43" i="21"/>
  <c r="G36" i="21"/>
  <c r="F36" i="21"/>
  <c r="E36" i="21"/>
  <c r="D36" i="21"/>
  <c r="D35" i="21" s="1"/>
  <c r="G35" i="21"/>
  <c r="F35" i="21"/>
  <c r="E35" i="21"/>
  <c r="G26" i="21"/>
  <c r="F26" i="21"/>
  <c r="E26" i="21"/>
  <c r="D26" i="21"/>
  <c r="G23" i="21"/>
  <c r="F23" i="21"/>
  <c r="E23" i="21"/>
  <c r="D23" i="21"/>
  <c r="G20" i="21"/>
  <c r="F20" i="21"/>
  <c r="E20" i="21"/>
  <c r="D20" i="21"/>
  <c r="D19" i="21" s="1"/>
  <c r="G19" i="21"/>
  <c r="F19" i="21"/>
  <c r="E19" i="21"/>
  <c r="D74" i="21" l="1"/>
  <c r="D78" i="21" s="1"/>
  <c r="D82" i="21" s="1"/>
  <c r="E74" i="21"/>
  <c r="E78" i="21" s="1"/>
  <c r="E82" i="21" s="1"/>
  <c r="F43" i="21"/>
  <c r="F74" i="21" s="1"/>
  <c r="F78" i="21" s="1"/>
  <c r="F82" i="21" s="1"/>
  <c r="G74" i="21"/>
  <c r="G78" i="21" s="1"/>
  <c r="G82" i="21" s="1"/>
  <c r="F117" i="16"/>
  <c r="E117" i="16"/>
  <c r="F113" i="16"/>
  <c r="F109" i="16"/>
  <c r="E109" i="16"/>
  <c r="F101" i="16"/>
  <c r="E101" i="16"/>
  <c r="F88" i="16"/>
  <c r="E88" i="16"/>
  <c r="F76" i="16"/>
  <c r="E76" i="16"/>
  <c r="F71" i="16"/>
  <c r="E71" i="16"/>
  <c r="F58" i="16"/>
  <c r="E58" i="16"/>
  <c r="E56" i="16"/>
  <c r="F50" i="16"/>
  <c r="E50" i="16"/>
  <c r="F43" i="16"/>
  <c r="E43" i="16"/>
  <c r="F28" i="16"/>
  <c r="E28" i="16"/>
  <c r="E27" i="16" s="1"/>
  <c r="F20" i="16"/>
  <c r="E20" i="16"/>
  <c r="E19" i="16"/>
  <c r="F98" i="16" l="1"/>
  <c r="E42" i="16"/>
  <c r="E107" i="16"/>
  <c r="E86" i="16"/>
  <c r="F19" i="16"/>
  <c r="F27" i="16"/>
  <c r="F42" i="16"/>
  <c r="F56" i="16"/>
  <c r="F86" i="16"/>
  <c r="E98" i="16"/>
  <c r="F39" i="16" l="1"/>
  <c r="E39" i="16"/>
  <c r="F107" i="16"/>
  <c r="E65" i="16" l="1"/>
  <c r="F65" i="16"/>
  <c r="F108" i="16" l="1"/>
  <c r="E108" i="16"/>
</calcChain>
</file>

<file path=xl/sharedStrings.xml><?xml version="1.0" encoding="utf-8"?>
<sst xmlns="http://schemas.openxmlformats.org/spreadsheetml/2006/main" count="1453" uniqueCount="1089">
  <si>
    <t>Kỳ báo cáo:</t>
  </si>
  <si>
    <t>Thông tin chung:</t>
  </si>
  <si>
    <t>Tên Công ty quản lý quỹ:</t>
  </si>
  <si>
    <t>Công ty Cổ phần Quản lý Quỹ Đầu tư Việt Nam</t>
  </si>
  <si>
    <t>Fund Management Company:</t>
  </si>
  <si>
    <t>Vietnam Investment 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</si>
  <si>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</si>
  <si>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</si>
  <si>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</si>
  <si>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</si>
  <si>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</si>
  <si>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</si>
  <si>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</si>
  <si>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</si>
  <si>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</si>
  <si>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</si>
  <si>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</si>
  <si>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</si>
  <si>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</si>
  <si>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</si>
  <si>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</si>
  <si>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</si>
  <si>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</si>
  <si>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</si>
  <si>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</si>
  <si>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</si>
  <si>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</si>
  <si>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</si>
  <si>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</si>
  <si>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</si>
  <si>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</si>
  <si>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</si>
  <si>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</si>
  <si>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</si>
  <si>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</si>
  <si>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</si>
  <si>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</si>
  <si>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</si>
  <si>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</si>
  <si>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</si>
  <si>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</si>
  <si>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</si>
  <si>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</si>
  <si>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</si>
  <si>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</si>
  <si>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</si>
  <si>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</si>
  <si>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số 07. Mẫu báo cáo hoạt động đầu tư của quỹ ETF
Appendix 07. Report on Exchange traded Fund's Investment Activities</t>
  </si>
  <si>
    <t>BÁO CÁO HOẠT ĐỘNG ĐẦU TƯ CỦA QUỸ ETF
REPORT ON EXCHANGE TRADED FUND'S INVESTMENT ACTIVITIES</t>
  </si>
  <si>
    <t>Tháng 05 năm 2020/ May 2020</t>
  </si>
  <si>
    <t>VFMVN Diamond ETF Fund (FUEVFVND)</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</si>
  <si>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</si>
  <si>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</si>
  <si>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</si>
  <si>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</si>
  <si>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</si>
  <si>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</si>
  <si>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</si>
  <si>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</si>
  <si>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</si>
  <si>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</si>
  <si>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</si>
  <si>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</si>
  <si>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</si>
  <si>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</si>
  <si>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</si>
  <si>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</si>
  <si>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</si>
  <si>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</si>
  <si>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</si>
  <si>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</si>
  <si>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</si>
  <si>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</si>
  <si>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</si>
  <si>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</si>
  <si>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</si>
  <si>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</si>
  <si>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</si>
  <si>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</si>
  <si>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</si>
  <si>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</si>
  <si>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</si>
  <si>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</si>
  <si>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</si>
  <si>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</si>
  <si>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</si>
  <si>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</si>
  <si>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</si>
  <si>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</si>
  <si>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</si>
  <si>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</si>
  <si>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</si>
  <si>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</si>
  <si>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BÁO CÁO HOẠT ĐỘNG ĐẦU TƯ CỦA QUỸ ETF_x000D_
REPORT ON ETF FUND'S INVESTMENT ACTIVITIES</t>
  </si>
  <si>
    <t>Tại ngày 31 tháng 05  năm 2020 _x000D_
As at 31 May 2020</t>
  </si>
  <si>
    <t>1</t>
  </si>
  <si>
    <t>Tên Công ty quản lý quỹ:_x000D_</t>
  </si>
  <si>
    <t>Công ty cổ phần Quản lý Quỹ Đầu Tư Việt Nam</t>
  </si>
  <si>
    <t>2</t>
  </si>
  <si>
    <t xml:space="preserve">Ngân hàng giám sát: </t>
  </si>
  <si>
    <t>Ngân hàng TMCP Ngoại Thương Việt Nam-CN TP.HCM</t>
  </si>
  <si>
    <t>Joint Stock Commercial Bank for Foreign Trade of Vietnam-HCMC Branch</t>
  </si>
  <si>
    <t>QUỸ ETF VFMVN DIAMOND</t>
  </si>
  <si>
    <t>VFMVN DIAMOND ETF</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</si>
  <si>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</si>
  <si>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</si>
  <si>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</si>
  <si>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</si>
  <si>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</si>
  <si>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</si>
  <si>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Tại ngày 30 tháng 04  năm 2020 _x000D_
As at 30 Apr 2020</t>
  </si>
  <si>
    <t>%/cùng kỳ năm trước_x000D_
%/against last year (*)</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</si>
  <si>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</si>
  <si>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</si>
  <si>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</si>
  <si>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</si>
  <si>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</si>
  <si>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</si>
  <si>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</si>
  <si>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</si>
  <si>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</si>
  <si>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Tiền gửi của nhà đầu tư cho hoạt động mua chứng chỉ quỹ _x000D_
Cash at bank for Fund's subscription</t>
  </si>
  <si>
    <t>2203.1</t>
  </si>
  <si>
    <t>Tiền phải trả cho Nhà đầu tư về mua lại Chứng chỉ quỹ_x000D_
Cash at bank for Fund's redemption</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</si>
  <si>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</si>
  <si>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</si>
  <si>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</si>
  <si>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</si>
  <si>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</si>
  <si>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</si>
  <si>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</si>
  <si>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</si>
  <si>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</si>
  <si>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</si>
  <si>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</si>
  <si>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</si>
  <si>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</si>
  <si>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</si>
  <si>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</si>
  <si>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</si>
  <si>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</si>
  <si>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</si>
  <si>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</si>
  <si>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</si>
  <si>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</si>
  <si>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</si>
  <si>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</si>
  <si>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</si>
  <si>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</si>
  <si>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</si>
  <si>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</si>
  <si>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</si>
  <si>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</si>
  <si>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</si>
  <si>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</si>
  <si>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</si>
  <si>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</si>
  <si>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</si>
  <si>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</si>
  <si>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</si>
  <si>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</si>
  <si>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</si>
  <si>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</si>
  <si>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</si>
  <si>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</si>
  <si>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</si>
  <si>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</si>
  <si>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</si>
  <si>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</si>
  <si>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</si>
  <si>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</si>
  <si>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</si>
  <si>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</si>
  <si>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</si>
  <si>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</si>
  <si>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</si>
  <si>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</si>
  <si>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</si>
  <si>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</si>
  <si>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</si>
  <si>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</si>
  <si>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</si>
  <si>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</si>
  <si>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</si>
  <si>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</si>
  <si>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</si>
  <si>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</si>
  <si>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</si>
  <si>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</si>
  <si>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</si>
  <si>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</si>
  <si>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Trả trước lệ phí cấp giấy chứng nhận hoạt động Quỹ ETF_x000D_
Prepaid expense for Prepaid expense for Register fee for ETF operation to SSC</t>
  </si>
  <si>
    <t>2211.5</t>
  </si>
  <si>
    <t>I.8</t>
  </si>
  <si>
    <t>Prepaid expense for listed management at HOSE</t>
  </si>
  <si>
    <t>2212</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</si>
  <si>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</si>
  <si>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</si>
  <si>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</si>
  <si>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</si>
  <si>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</si>
  <si>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</si>
  <si>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</si>
  <si>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</si>
  <si>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</si>
  <si>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</si>
  <si>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</si>
  <si>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</si>
  <si>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</si>
  <si>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</si>
  <si>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</si>
  <si>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</si>
  <si>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</si>
  <si>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</si>
  <si>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</si>
  <si>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</si>
  <si>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Phải trả phí cho các Đại lý phân phối về mua bán Chứng chỉ quỹ_x000D_
Subscription and Redemption fee payable to distributors</t>
  </si>
  <si>
    <t>2215.3.1</t>
  </si>
  <si>
    <t>Phải trả phí cho Công ty quản lý quỹ về mua bán Chứng chỉ quỹ_x000D_
Subscription and Redemption fee payable to fund management company</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</si>
  <si>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</si>
  <si>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</si>
  <si>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</si>
  <si>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</si>
  <si>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</si>
  <si>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</si>
  <si>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</si>
  <si>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</si>
  <si>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</si>
  <si>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</si>
  <si>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</si>
  <si>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</si>
  <si>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</si>
  <si>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</si>
  <si>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</si>
  <si>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</si>
  <si>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</si>
  <si>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</si>
  <si>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</si>
  <si>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</si>
  <si>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</si>
  <si>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</si>
  <si>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</si>
  <si>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</si>
  <si>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</si>
  <si>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</si>
  <si>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</si>
  <si>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</si>
  <si>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</si>
  <si>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</si>
  <si>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</si>
  <si>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</si>
  <si>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</si>
  <si>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</si>
  <si>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</si>
  <si>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</si>
  <si>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</si>
  <si>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</si>
  <si>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</si>
  <si>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</si>
  <si>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</si>
  <si>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</si>
  <si>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</si>
  <si>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</si>
  <si>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</si>
  <si>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</si>
  <si>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</si>
  <si>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</si>
  <si>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Lệ phí cấp giấy chứng nhận hoạt động quỹ ETF trả UBCKNN_x000D_
Register fee for ETF operation payable to SSC</t>
  </si>
  <si>
    <t>2215.17.5</t>
  </si>
  <si>
    <t>Phí dịch vụ đăng ký chứng khoán trả VSD_x000D_
Security register fee payable to VSD</t>
  </si>
  <si>
    <t>2215.17.6</t>
  </si>
  <si>
    <t>Phải trả, phải nộp khác_x000D_
Other payables</t>
  </si>
  <si>
    <t>2215.17.7</t>
  </si>
  <si>
    <t>Chi phí phải trả khác của công ty QLQ_x000D_
Other expenses</t>
  </si>
  <si>
    <t>2215.17.8</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</si>
  <si>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</si>
  <si>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</si>
  <si>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</si>
  <si>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</si>
  <si>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</si>
  <si>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</si>
  <si>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</si>
  <si>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</si>
  <si>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</si>
  <si>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</si>
  <si>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</si>
  <si>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</si>
  <si>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</si>
  <si>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</si>
  <si>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</si>
  <si>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Quỹ được cấp phép thành lập ngày 22/04/2020 nên không có số liệu tại năm 2019._x000D_
Fund Registration Certificate was granted on 22/04/2020, so data for 2019 is left blank.</t>
  </si>
  <si>
    <t xml:space="preserve"> Đại diện có thẩm quyền của Công ty quản lý quỹ</t>
  </si>
  <si>
    <t>NGÂN HÀNG TMCP NGOẠI THƯƠNG VIỆT NAM-CN TP.HCM</t>
  </si>
  <si>
    <t>CÔNG TY CỔ PHẦN QUẢN LÝ QUỸ ĐẦU TƯ VIỆT NAM</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</si>
  <si>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</si>
  <si>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</si>
  <si>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Ngân hàng giám sát:</t>
  </si>
  <si>
    <t>Supervising bank:</t>
  </si>
  <si>
    <t>Fund name:</t>
  </si>
  <si>
    <t>II. BÁO CÁO KẾT QUẢ HOẠT ĐỘNG / PROFIT AND LOSS REPORT</t>
  </si>
  <si>
    <t>Lũy kế từ đầu năm_x000D_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</si>
  <si>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</si>
  <si>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</si>
  <si>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</si>
  <si>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</si>
  <si>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</si>
  <si>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</si>
  <si>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</si>
  <si>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</si>
  <si>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</si>
  <si>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</si>
  <si>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</si>
  <si>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</si>
  <si>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</si>
  <si>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</si>
  <si>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</si>
  <si>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</si>
  <si>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</si>
  <si>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</si>
  <si>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</si>
  <si>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</si>
  <si>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</si>
  <si>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</si>
  <si>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</si>
  <si>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</si>
  <si>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</si>
  <si>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</si>
  <si>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</si>
  <si>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</si>
  <si>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</si>
  <si>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</si>
  <si>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</si>
  <si>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</si>
  <si>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</si>
  <si>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</si>
  <si>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</si>
  <si>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</si>
  <si>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</si>
  <si>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</si>
  <si>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</si>
  <si>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</si>
  <si>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</si>
  <si>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</si>
  <si>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</si>
  <si>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</si>
  <si>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</si>
  <si>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</si>
  <si>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</si>
  <si>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</si>
  <si>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</si>
  <si>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</si>
  <si>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</si>
  <si>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</si>
  <si>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</si>
  <si>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</si>
  <si>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</si>
  <si>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</si>
  <si>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</si>
  <si>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</si>
  <si>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</si>
  <si>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</si>
  <si>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</si>
  <si>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</si>
  <si>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</si>
  <si>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</si>
  <si>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</si>
  <si>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</si>
  <si>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</si>
  <si>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</si>
  <si>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</si>
  <si>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</si>
  <si>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</si>
  <si>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</si>
  <si>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</si>
  <si>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</si>
  <si>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</si>
  <si>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</si>
  <si>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</si>
  <si>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</si>
  <si>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</si>
  <si>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</si>
  <si>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</si>
  <si>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</si>
  <si>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</si>
  <si>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</si>
  <si>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</si>
  <si>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</si>
  <si>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</si>
  <si>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</si>
  <si>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</si>
  <si>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</si>
  <si>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</si>
  <si>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</si>
  <si>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</si>
  <si>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</si>
  <si>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</si>
  <si>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</si>
  <si>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</si>
  <si>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</si>
  <si>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</si>
  <si>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</si>
  <si>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</si>
  <si>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</si>
  <si>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</si>
  <si>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</si>
  <si>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</si>
  <si>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</si>
  <si>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</si>
  <si>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</si>
  <si>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</si>
  <si>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</si>
  <si>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</si>
  <si>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</si>
  <si>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</si>
  <si>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</si>
  <si>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</si>
  <si>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</si>
  <si>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</si>
  <si>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</si>
  <si>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</si>
  <si>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</si>
  <si>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</si>
  <si>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</si>
  <si>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</si>
  <si>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</si>
  <si>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</si>
  <si>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</si>
  <si>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</si>
  <si>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</si>
  <si>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</si>
  <si>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</si>
  <si>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</si>
  <si>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</si>
  <si>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</si>
  <si>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</si>
  <si>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</si>
  <si>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</si>
  <si>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</si>
  <si>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</si>
  <si>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</si>
  <si>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REPORT ON ETF FUND'S INVESTMENT ACTIVITIES</t>
  </si>
  <si>
    <t>BÁO CÁO HOẠT ĐỘNG ĐẦU TƯ CỦA QUỸ ETF</t>
  </si>
  <si>
    <t>Tại ngày 31 tháng 05 năm 2020 / As at 31 May 2020</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</si>
  <si>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</si>
  <si>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</si>
  <si>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</si>
  <si>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</si>
  <si>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</si>
  <si>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</si>
  <si>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</si>
  <si>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</si>
  <si>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</si>
  <si>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</si>
  <si>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</si>
  <si>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</si>
  <si>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</si>
  <si>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</si>
  <si>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</si>
  <si>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</si>
  <si>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</si>
  <si>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</si>
  <si>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</si>
  <si>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</si>
  <si>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</si>
  <si>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</si>
  <si>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</si>
  <si>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</si>
  <si>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</si>
  <si>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</si>
  <si>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</si>
  <si>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</si>
  <si>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</si>
  <si>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</si>
  <si>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</si>
  <si>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</si>
  <si>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</si>
  <si>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</si>
  <si>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</si>
  <si>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</si>
  <si>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</si>
  <si>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</si>
  <si>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</si>
  <si>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</si>
  <si>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</si>
  <si>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</si>
  <si>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</si>
  <si>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</si>
  <si>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</si>
  <si>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</si>
  <si>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</si>
  <si>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</si>
  <si>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</si>
  <si>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</si>
  <si>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</si>
  <si>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</si>
  <si>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</si>
  <si>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</si>
  <si>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</si>
  <si>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</si>
  <si>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</si>
  <si>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</si>
  <si>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</si>
  <si>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</si>
  <si>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</si>
  <si>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</si>
  <si>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</si>
  <si>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</si>
  <si>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</si>
  <si>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</si>
  <si>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</si>
  <si>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</si>
  <si>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</si>
  <si>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</si>
  <si>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</si>
  <si>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</si>
  <si>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</si>
  <si>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</si>
  <si>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</si>
  <si>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</si>
  <si>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</si>
  <si>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</si>
  <si>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</si>
  <si>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Trả trước giá dịch quản lý niêm yết cho HOSE_x000D_
Prepaid expense for listed management at HOSE</t>
  </si>
  <si>
    <t>2256.9</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</si>
  <si>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</si>
  <si>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</si>
  <si>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</si>
  <si>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</si>
  <si>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</si>
  <si>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</si>
  <si>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</si>
  <si>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</si>
  <si>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</si>
  <si>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</si>
  <si>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</si>
  <si>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</si>
  <si>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</si>
  <si>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</si>
  <si>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</si>
  <si>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</si>
  <si>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</si>
  <si>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</si>
  <si>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</si>
  <si>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</si>
  <si>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</si>
  <si>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</si>
  <si>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</si>
  <si>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</si>
  <si>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</si>
  <si>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</si>
  <si>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</si>
  <si>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 Giá trị tài sản ròng trung bình</t>
  </si>
  <si>
    <t>TSR_TB</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</si>
  <si>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</si>
  <si>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</si>
  <si>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</si>
  <si>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</si>
  <si>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</si>
  <si>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</si>
  <si>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</si>
  <si>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</si>
  <si>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</si>
  <si>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</si>
  <si>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</si>
  <si>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</si>
  <si>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</si>
  <si>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</si>
  <si>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</si>
  <si>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</si>
  <si>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</si>
  <si>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</si>
  <si>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</si>
  <si>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</si>
  <si>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</si>
  <si>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</si>
  <si>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</si>
  <si>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</si>
  <si>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</si>
  <si>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</si>
  <si>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</si>
  <si>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</si>
  <si>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</si>
  <si>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</si>
  <si>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</si>
  <si>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</si>
  <si>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</si>
  <si>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</si>
  <si>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</si>
  <si>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</si>
  <si>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</si>
  <si>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</si>
  <si>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</si>
  <si>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</si>
  <si>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</si>
  <si>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</si>
  <si>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</si>
  <si>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</si>
  <si>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</si>
  <si>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</si>
  <si>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</si>
  <si>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</si>
  <si>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</si>
  <si>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</si>
  <si>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</si>
  <si>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</si>
  <si>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</si>
  <si>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</si>
  <si>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</si>
  <si>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</si>
  <si>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</si>
  <si>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</si>
  <si>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Mã số_x000D_
Code</t>
  </si>
  <si>
    <t>Thuyết minh_x000D_
Note</t>
  </si>
  <si>
    <t>NĂM 2020_x000D_
YEAR 2020</t>
  </si>
  <si>
    <t>NĂM 2019_x000D_
YEAR 2019</t>
  </si>
  <si>
    <t>Số lũy kế_x000D_
Year-to-date</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</si>
  <si>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</si>
  <si>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</si>
  <si>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</si>
  <si>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</si>
  <si>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</si>
  <si>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</si>
  <si>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</si>
  <si>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</si>
  <si>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</si>
  <si>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</si>
  <si>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</si>
  <si>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</si>
  <si>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</si>
  <si>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</si>
  <si>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</si>
  <si>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</si>
  <si>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</si>
  <si>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</si>
  <si>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</si>
  <si>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</si>
  <si>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</si>
  <si>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</si>
  <si>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</si>
  <si>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</si>
  <si>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</si>
  <si>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</si>
  <si>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</si>
  <si>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</si>
  <si>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</si>
  <si>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</si>
  <si>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</si>
  <si>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</si>
  <si>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</si>
  <si>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</si>
  <si>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</si>
  <si>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</si>
  <si>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</si>
  <si>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</si>
  <si>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</si>
  <si>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</si>
  <si>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</si>
  <si>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</si>
  <si>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</si>
  <si>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</si>
  <si>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</si>
  <si>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</si>
  <si>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</si>
  <si>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</si>
  <si>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</si>
  <si>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</si>
  <si>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</si>
  <si>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</si>
  <si>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</si>
  <si>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</si>
  <si>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</si>
  <si>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</si>
  <si>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</si>
  <si>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</si>
  <si>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</si>
  <si>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</si>
  <si>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</si>
  <si>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</si>
  <si>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</si>
  <si>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</si>
  <si>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</si>
  <si>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</si>
  <si>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</si>
  <si>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</si>
  <si>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</si>
  <si>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</si>
  <si>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</si>
  <si>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</si>
  <si>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</si>
  <si>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</si>
  <si>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</si>
  <si>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</si>
  <si>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</si>
  <si>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</si>
  <si>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</si>
  <si>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</si>
  <si>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</si>
  <si>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</si>
  <si>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</si>
  <si>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</si>
  <si>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</si>
  <si>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</si>
  <si>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</si>
  <si>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</si>
  <si>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</si>
  <si>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</si>
  <si>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</si>
  <si>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</si>
  <si>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</si>
  <si>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</si>
  <si>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</si>
  <si>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</si>
  <si>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</si>
  <si>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</si>
  <si>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</si>
  <si>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</si>
  <si>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</si>
  <si>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</si>
  <si>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</si>
  <si>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</si>
  <si>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</si>
  <si>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</si>
  <si>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</si>
  <si>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</si>
  <si>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</si>
  <si>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</si>
  <si>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</si>
  <si>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</si>
  <si>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</si>
  <si>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</si>
  <si>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</si>
  <si>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</si>
  <si>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</si>
  <si>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</si>
  <si>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</si>
  <si>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</si>
  <si>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</si>
  <si>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</si>
  <si>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</si>
  <si>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</si>
  <si>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</si>
  <si>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</si>
  <si>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Người lập biểu</t>
  </si>
  <si>
    <t>Kế toán trưởng</t>
  </si>
  <si>
    <t>Tổng giám đốc</t>
  </si>
  <si>
    <t>(Ký, họ tên)</t>
  </si>
  <si>
    <t>(Ký, họ tên, đóng dấu)</t>
  </si>
  <si>
    <t>Mẫu số B02 - ETF. Báo cáo tình hình tài chính_x000D_
Template B02 - ETF. Statement of Financial Position</t>
  </si>
  <si>
    <t>BÁO CÁO TÌNH HÌNH TÀI CHÍNH_x000D_
STATEMENT OF FINANCIAL POSITION</t>
  </si>
  <si>
    <t>Tại ngày: 31 tháng 05 năm 2020 / As at 31 May 2020</t>
  </si>
  <si>
    <t>CHỈ TIÊU_x000D_
Indicators</t>
  </si>
  <si>
    <t>Thuyết minh_x000D_
Notes</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</si>
  <si>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</si>
  <si>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</si>
  <si>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</si>
  <si>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</si>
  <si>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</si>
  <si>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</si>
  <si>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</si>
  <si>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</si>
  <si>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</si>
  <si>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</si>
  <si>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</si>
  <si>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</si>
  <si>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</si>
  <si>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</si>
  <si>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</si>
  <si>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</si>
  <si>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</si>
  <si>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</si>
  <si>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</si>
  <si>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</si>
  <si>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</si>
  <si>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</si>
  <si>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</si>
  <si>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</si>
  <si>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</si>
  <si>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</si>
  <si>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</si>
  <si>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</si>
  <si>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</si>
  <si>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</si>
  <si>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</si>
  <si>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</si>
  <si>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</si>
  <si>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</si>
  <si>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</si>
  <si>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</si>
  <si>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</si>
  <si>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</si>
  <si>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</si>
  <si>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</si>
  <si>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</si>
  <si>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</si>
  <si>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</si>
  <si>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</si>
  <si>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</si>
  <si>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</si>
  <si>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</si>
  <si>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</si>
  <si>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</si>
  <si>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</si>
  <si>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</si>
  <si>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</si>
  <si>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</si>
  <si>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</si>
  <si>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</si>
  <si>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</si>
  <si>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</si>
  <si>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</si>
  <si>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</si>
  <si>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</si>
  <si>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</si>
  <si>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</si>
  <si>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</si>
  <si>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</si>
  <si>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</si>
  <si>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</si>
  <si>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</si>
  <si>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</si>
  <si>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</si>
  <si>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</si>
  <si>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</si>
  <si>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</si>
  <si>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</si>
  <si>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</si>
  <si>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</si>
  <si>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</si>
  <si>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</si>
  <si>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</si>
  <si>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</si>
  <si>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</si>
  <si>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</si>
  <si>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</si>
  <si>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</si>
  <si>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</si>
  <si>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</si>
  <si>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</si>
  <si>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</si>
  <si>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137.2.3</t>
  </si>
  <si>
    <t>Trả trước lệ phí cấp giấy chứng nhận hoạt động Quỹ ETF_x000D_
Prepaid expense for Register fee for ETF operation payable to SSC</t>
  </si>
  <si>
    <t>137.2.4</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</si>
  <si>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</si>
  <si>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</si>
  <si>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</si>
  <si>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</si>
  <si>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</si>
  <si>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</si>
  <si>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</si>
  <si>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</si>
  <si>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</si>
  <si>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</si>
  <si>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</si>
  <si>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</si>
  <si>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</si>
  <si>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</si>
  <si>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</si>
  <si>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</si>
  <si>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</si>
  <si>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</si>
  <si>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</si>
  <si>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</si>
  <si>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</si>
  <si>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</si>
  <si>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</si>
  <si>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</si>
  <si>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</si>
  <si>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</si>
  <si>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</si>
  <si>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</si>
  <si>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</si>
  <si>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</si>
  <si>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</si>
  <si>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</si>
  <si>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</si>
  <si>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</si>
  <si>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</si>
  <si>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</si>
  <si>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</si>
  <si>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</si>
  <si>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</si>
  <si>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</si>
  <si>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</si>
  <si>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</si>
  <si>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</si>
  <si>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</si>
  <si>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</si>
  <si>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</si>
  <si>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</si>
  <si>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</si>
  <si>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</si>
  <si>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</si>
  <si>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</si>
  <si>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</si>
  <si>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</si>
  <si>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</si>
  <si>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</si>
  <si>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</si>
  <si>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</si>
  <si>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</si>
  <si>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</si>
  <si>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</si>
  <si>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</si>
  <si>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</si>
  <si>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</si>
  <si>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</si>
  <si>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</si>
  <si>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</si>
  <si>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</si>
  <si>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</si>
  <si>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</si>
  <si>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</si>
  <si>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</si>
  <si>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</si>
  <si>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</si>
  <si>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</si>
  <si>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</si>
  <si>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</si>
  <si>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</si>
  <si>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</si>
  <si>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</si>
  <si>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</si>
  <si>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</si>
  <si>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</si>
  <si>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</si>
  <si>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</si>
  <si>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</si>
  <si>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</si>
  <si>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</si>
  <si>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</si>
  <si>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</si>
  <si>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</si>
  <si>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</si>
  <si>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</si>
  <si>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</si>
  <si>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</si>
  <si>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</si>
  <si>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</si>
  <si>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</si>
  <si>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</si>
  <si>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</si>
  <si>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</si>
  <si>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</si>
  <si>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</si>
  <si>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</si>
  <si>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</si>
  <si>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</si>
  <si>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</si>
  <si>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</si>
  <si>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</si>
  <si>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</si>
  <si>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</si>
  <si>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</si>
  <si>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</si>
  <si>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</si>
  <si>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</si>
  <si>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</si>
  <si>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</si>
  <si>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1. Lợi nhuận/Tài sản đã phân phối cho Nhà đầu tư trong năm_x000D_
Distributed earnings assets in the period</t>
  </si>
  <si>
    <t>441</t>
  </si>
  <si>
    <t>2. Lợi nhuận đã phân phối cho Nhà đầu tư lũy kế từ khi thành lập Quỹ mở đến kỳ lập báo cáo này_x000D_
Accumulated distributed profit/ assets</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</si>
  <si>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</si>
  <si>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</si>
  <si>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</si>
  <si>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</si>
  <si>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</si>
  <si>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</si>
  <si>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</si>
  <si>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</si>
  <si>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</si>
  <si>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</si>
  <si>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Mẫu số B03 - ETF: Mẫu báo cáo thay đổi giá trị tài sản ròng, giao dịch chứng chỉ quỹ_x000D_
Template B03 - ETF: Report on change of Net Asset Value, trading of Fund Certificate</t>
  </si>
  <si>
    <t>BÁO CÁO THAY ĐỔI GIÁ TRỊ TÀI SẢN RÒNG, GIAO DỊCH CHỨNG CHỈ QŨY_x000D_
REPORT ON CHANGE OF NET ASSET VALUE, TRADING OF FUND CERTIFICATE</t>
  </si>
  <si>
    <t>Công ty quản lý quỹ:</t>
  </si>
  <si>
    <t>Supervising Bank</t>
  </si>
  <si>
    <t>Kỳ báo cáo:</t>
  </si>
  <si>
    <t>Reporting date:</t>
  </si>
  <si>
    <t>Đơn vị tính/Curency: VND</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</si>
  <si>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</si>
  <si>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</si>
  <si>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</si>
  <si>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</si>
  <si>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</si>
  <si>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</si>
  <si>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</si>
  <si>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</si>
  <si>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</si>
  <si>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</si>
  <si>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</si>
  <si>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</si>
  <si>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</si>
  <si>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</si>
  <si>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</si>
  <si>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</si>
  <si>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</si>
  <si>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</si>
  <si>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</si>
  <si>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</si>
  <si>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</si>
  <si>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</si>
  <si>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</si>
  <si>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</si>
  <si>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</si>
  <si>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Tổng Giám đốc</t>
  </si>
  <si>
    <t xml:space="preserve">                                             Phụ lục số 15: Báo cáo về thay đổi giá trị tài sản ròng_x000D_
                                              Apppendix 15: Report on change of Net Asset Value</t>
  </si>
  <si>
    <t>(Ban hành kèm theo Thông tư số 229/2012/TT-BTC ngày 27 tháng 12  năm 2012 của Bộ Tài chính hướng dẫn thành lập và quản lý quỹ hoán đổi danh mục)_x000D_
(Issued in association with Circular 229/2012/TT-BTC on 27 December 2012 guiding establishment and management of the Exchange Traded Fund)</t>
  </si>
  <si>
    <t>BÁO CÁO VỀ THAY ĐỔI GIÁ TRỊ TÀI SẢN RÒNG_x000D_
REPORT ON CHANGE OF NET ASSET VALUE CERTIFICATE</t>
  </si>
  <si>
    <t>Fund Management Company:_x000D_</t>
  </si>
  <si>
    <t>Supervising bank: _x000D_</t>
  </si>
  <si>
    <t>Tên Quỹ:_x000D_</t>
  </si>
  <si>
    <t>STT_x000D_
NO</t>
  </si>
  <si>
    <t>CHỈ TIÊU_x000D_
CRITERIA</t>
  </si>
  <si>
    <t>KỲ BÁO CÁO_x000D_
THIS PERIOD_x000D_
31/05/2020</t>
  </si>
  <si>
    <t>KỲ TRƯỚC_x000D_
LAST PERIOD_x000D_
30/04/2020</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</si>
  <si>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</si>
  <si>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</si>
  <si>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</si>
  <si>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</si>
  <si>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</si>
  <si>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</si>
  <si>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</si>
  <si>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</si>
  <si>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</si>
  <si>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</si>
  <si>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</si>
  <si>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</si>
  <si>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</si>
  <si>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</si>
  <si>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</si>
  <si>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</si>
  <si>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</si>
  <si>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</si>
  <si>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</si>
  <si>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</si>
  <si>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</si>
  <si>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</si>
  <si>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</si>
  <si>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</si>
  <si>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</si>
  <si>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</si>
  <si>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</si>
  <si>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</si>
  <si>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</si>
  <si>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</si>
  <si>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</si>
  <si>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</si>
  <si>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</si>
  <si>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</si>
  <si>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</si>
  <si>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</si>
  <si>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</si>
  <si>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</si>
  <si>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</si>
  <si>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</si>
  <si>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</si>
  <si>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</si>
  <si>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</si>
  <si>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</si>
  <si>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</si>
  <si>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</si>
  <si>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</si>
  <si>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</si>
  <si>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</si>
  <si>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</si>
  <si>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</si>
  <si>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</si>
  <si>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</si>
  <si>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</si>
  <si>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</si>
  <si>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</si>
  <si>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</si>
  <si>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</si>
  <si>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</si>
  <si>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Phó Trưởng Phòng DVKHTC2</t>
  </si>
  <si>
    <t>NGÔ THÙY DƯƠNG</t>
  </si>
  <si>
    <t>TRẦN THANH TÂN</t>
  </si>
  <si>
    <t>Tại ngày 31 tháng 05 năm 2020/ As at 31 May 2020</t>
  </si>
  <si>
    <t>Phụ lục số 07. Mẫu Báo cáo hoạt động đầu tư của quỹ ETF
_x000D_Appendix 07. Report on Fund's Investment Activities</t>
  </si>
  <si>
    <t>Tại ngày 31 tháng 05  năm 2020/ As at 31 May 2020</t>
  </si>
  <si>
    <t>01/06/2020 _x000D_</t>
  </si>
  <si>
    <t>Tháng 05 năm 2020 / May 2020</t>
  </si>
  <si>
    <t>Tháng 05 năm 2020_x000D_
May 2020</t>
  </si>
  <si>
    <t>Tháng 04 năm 2020_x000D_
Apr 2020</t>
  </si>
  <si>
    <t>Tháng 05 năm 2019_x000D_
May 2019</t>
  </si>
  <si>
    <t>Mẫu số B01 - ETF. Báo cáo thu nhập_x000D_
Template B01 - ETF. Statement of Comprehensive Income</t>
  </si>
  <si>
    <t>QUỸ ETF VFMVN DIAMOND_x000D_</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</si>
  <si>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</si>
  <si>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_x000D_(Issued in association with Circular 91/2019/TT-BTC dated 31 Dec 2019 amending and supplementing a number of Circulars guiding on reporting  and administration of Fund Management Companies, Securities Investment Funds and  Securities Investment Companies)</t>
  </si>
  <si>
    <t>Trích trước phí lưu ký tài sản Quỹ ETF_x000D_
Accrued expenses for Custodian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</si>
</sst>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 _₫_-;\-* #,##0.00\ _₫_-;_-* &quot;-&quot;??\ _₫_-;_-@_-"/>
    <numFmt numFmtId="164" formatCode="dd/mmm/yyyy"/>
    <numFmt numFmtId="165" formatCode="_(* #,##0_);_(* \(#,##0\);_(* &quot;-&quot;??_);_(@_)"/>
    <numFmt numFmtId="167" formatCode="[$-1010000]d/m/yyyy;@"/>
    <numFmt numFmtId="168" formatCode="#,##0.00%"/>
    <numFmt numFmtId="169" formatCode="#,##0;\(#,##0\);"/>
    <numFmt numFmtId="170" formatCode="&quot;&quot;#,##0"/>
    <numFmt numFmtId="171" formatCode="#,##0;\(#,##0\);\ "/>
    <numFmt numFmtId="172" formatCode="#,##0.00;\(#,##0.00\);\ "/>
    <numFmt numFmtId="173" formatCode="#0.00%;\(#0.00\)%;\ "/>
    <numFmt numFmtId="174" formatCode="[$-409]d\-mmm\-yyyy;@"/>
    <numFmt numFmtId="175" formatCode="0.00000%"/>
  </numFmts>
  <fonts count="40" x14ac:knownFonts="1">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2"/>
      <color theme="1"/>
      <name val="Times New Roman"/>
      <family val="1"/>
    </font>
    <font>
      <sz val="10"/>
      <name val="Arial"/>
      <family val="2"/>
    </font>
    <font>
      <sz val="11"/>
      <name val="Times New Roman"/>
      <family val="1"/>
    </font>
    <font>
      <sz val="10"/>
      <color theme="1"/>
      <name val="Arial"/>
      <family val="2"/>
    </font>
    <font>
      <sz val="10"/>
      <color indexed="8"/>
      <name val="Calibri"/>
      <family val="2"/>
      <scheme val="minor"/>
    </font>
    <font>
      <sz val="9.75"/>
      <color indexed="8"/>
      <name val="Times New Roman"/>
      <family val="2"/>
    </font>
    <font>
      <b/>
      <sz val="8"/>
      <color indexed="8"/>
      <name val="Tahoma"/>
      <family val="2"/>
    </font>
    <font>
      <i/>
      <sz val="7.5"/>
      <color indexed="8"/>
      <name val="Tahoma"/>
      <family val="2"/>
    </font>
    <font>
      <b/>
      <sz val="10"/>
      <color indexed="8"/>
      <name val="Tahoma"/>
      <family val="2"/>
    </font>
    <font>
      <i/>
      <sz val="8"/>
      <color indexed="8"/>
      <name val="Tahoma"/>
      <family val="2"/>
    </font>
    <font>
      <sz val="8"/>
      <color indexed="8"/>
      <name val="Tahoma"/>
      <family val="2"/>
    </font>
    <font>
      <i/>
      <sz val="9.75"/>
      <color indexed="8"/>
      <name val="Tahoma"/>
      <family val="2"/>
    </font>
    <font>
      <i/>
      <sz val="7"/>
      <color indexed="8"/>
      <name val="Tahoma"/>
      <family val="2"/>
    </font>
    <font>
      <i/>
      <sz val="9.75"/>
      <color indexed="8"/>
      <name val="Times New Roman"/>
      <family val="2"/>
    </font>
    <font>
      <b/>
      <sz val="9"/>
      <color indexed="8"/>
      <name val="Tahoma"/>
      <family val="2"/>
    </font>
    <font>
      <sz val="9.75"/>
      <color indexed="8"/>
      <name val="Tahoma"/>
      <family val="2"/>
    </font>
    <font>
      <sz val="7.9"/>
      <color indexed="8"/>
      <name val="Tahoma"/>
      <family val="2"/>
    </font>
    <font>
      <u/>
      <sz val="11"/>
      <color theme="10"/>
      <name val="Times New Roman"/>
      <family val="1"/>
    </font>
    <font>
      <sz val="12"/>
      <color indexed="8"/>
      <name val="Times New Roman"/>
      <family val="1"/>
    </font>
    <font>
      <sz val="10"/>
      <color indexed="8"/>
      <name val="Tahoma"/>
      <family val="2"/>
    </font>
    <font>
      <b/>
      <i/>
      <sz val="8"/>
      <color indexed="8"/>
      <name val="Tahoma"/>
      <family val="2"/>
    </font>
    <font>
      <sz val="8"/>
      <color theme="1"/>
      <name val="Tahoma"/>
      <family val="2"/>
    </font>
    <font>
      <sz val="8"/>
      <color rgb="FF000000"/>
      <name val="Tahoma"/>
      <family val="2"/>
    </font>
    <font>
      <b/>
      <sz val="8"/>
      <color theme="1"/>
      <name val="Tahoma"/>
      <family val="2"/>
    </font>
    <font>
      <sz val="8"/>
      <name val="Tahoma"/>
      <family val="2"/>
    </font>
    <font>
      <b/>
      <sz val="8"/>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indexed="9"/>
        <bgColor indexed="64"/>
      </patternFill>
    </fill>
    <fill>
      <patternFill patternType="solid">
        <fgColor rgb="FFFFC08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s>
  <cellStyleXfs count="19">
    <xf numFmtId="0" fontId="0" fillId="0" borderId="0"/>
    <xf numFmtId="0" fontId="1" fillId="0" borderId="0"/>
    <xf numFmtId="9" fontId="2" fillId="0" borderId="0" applyFont="0" applyFill="0" applyBorder="0" applyAlignment="0" applyProtection="0"/>
    <xf numFmtId="0" fontId="9" fillId="0" borderId="0"/>
    <xf numFmtId="0" fontId="13" fillId="0" borderId="0" applyNumberFormat="0" applyFill="0" applyBorder="0" applyAlignment="0" applyProtection="0"/>
    <xf numFmtId="43" fontId="15" fillId="0" borderId="0" quotePrefix="1" applyFont="0" applyFill="0" applyBorder="0" applyAlignment="0">
      <protection locked="0"/>
    </xf>
    <xf numFmtId="43" fontId="15" fillId="0" borderId="0" applyFont="0" applyFill="0" applyBorder="0" applyAlignment="0" applyProtection="0"/>
    <xf numFmtId="43" fontId="16" fillId="0" borderId="0" applyFont="0" applyFill="0" applyBorder="0" applyAlignment="0" applyProtection="0"/>
    <xf numFmtId="0" fontId="15" fillId="0" borderId="0"/>
    <xf numFmtId="0" fontId="15" fillId="0" borderId="0"/>
    <xf numFmtId="0" fontId="2" fillId="0" borderId="0"/>
    <xf numFmtId="0" fontId="17" fillId="0" borderId="0"/>
    <xf numFmtId="0" fontId="17" fillId="0" borderId="0"/>
    <xf numFmtId="0" fontId="2" fillId="0" borderId="0"/>
    <xf numFmtId="0" fontId="2" fillId="0" borderId="0"/>
    <xf numFmtId="0" fontId="1" fillId="0" borderId="0"/>
    <xf numFmtId="0" fontId="18" fillId="0" borderId="0">
      <alignment vertical="center"/>
    </xf>
    <xf numFmtId="0" fontId="9" fillId="0" borderId="0"/>
    <xf numFmtId="4" fontId="2" fillId="0" borderId="0" applyFont="0" applyFill="0" applyBorder="0" applyAlignment="0" applyProtection="0"/>
  </cellStyleXfs>
  <cellXfs count="347">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4" fontId="5" fillId="3" borderId="6" xfId="0" applyNumberFormat="1" applyFont="1" applyFill="1" applyBorder="1" applyAlignment="1"/>
    <xf numFmtId="0" fontId="7" fillId="2" borderId="0" xfId="0" applyFont="1" applyFill="1"/>
    <xf numFmtId="0" fontId="12" fillId="2" borderId="0" xfId="3" applyFont="1" applyFill="1" applyBorder="1" applyAlignment="1">
      <alignment horizontal="center" vertical="center"/>
    </xf>
    <xf numFmtId="0" fontId="11" fillId="2" borderId="0" xfId="3"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1" fillId="2" borderId="9" xfId="3" applyFont="1" applyFill="1" applyBorder="1" applyAlignment="1">
      <alignment horizontal="center" vertical="center"/>
    </xf>
    <xf numFmtId="0" fontId="14" fillId="2" borderId="0" xfId="0" applyFont="1" applyFill="1" applyBorder="1"/>
    <xf numFmtId="0" fontId="7" fillId="2" borderId="0" xfId="0" applyFont="1" applyFill="1" applyBorder="1" applyAlignment="1">
      <alignment vertical="center"/>
    </xf>
    <xf numFmtId="0" fontId="18" fillId="0" borderId="0" xfId="16" applyFont="1">
      <alignment vertical="center"/>
    </xf>
    <xf numFmtId="0" fontId="19" fillId="6" borderId="0" xfId="16" applyNumberFormat="1" applyFont="1" applyFill="1" applyBorder="1" applyAlignment="1" applyProtection="1">
      <alignment horizontal="left" vertical="top"/>
    </xf>
    <xf numFmtId="0" fontId="20" fillId="6" borderId="0" xfId="16" applyNumberFormat="1" applyFont="1" applyFill="1" applyBorder="1" applyAlignment="1" applyProtection="1">
      <alignment horizontal="center" vertical="center" wrapText="1"/>
    </xf>
    <xf numFmtId="0" fontId="20" fillId="6" borderId="0" xfId="16" applyNumberFormat="1" applyFont="1" applyFill="1" applyBorder="1" applyAlignment="1" applyProtection="1">
      <alignment horizontal="left" vertical="center" wrapText="1"/>
    </xf>
    <xf numFmtId="0" fontId="24" fillId="6" borderId="0" xfId="16" applyNumberFormat="1" applyFont="1" applyFill="1" applyBorder="1" applyAlignment="1" applyProtection="1">
      <alignment horizontal="left" vertical="center"/>
    </xf>
    <xf numFmtId="0" fontId="24" fillId="6" borderId="14" xfId="16" applyNumberFormat="1" applyFont="1" applyFill="1" applyBorder="1" applyAlignment="1" applyProtection="1">
      <alignment horizontal="right" vertical="top"/>
    </xf>
    <xf numFmtId="0" fontId="19" fillId="6" borderId="14" xfId="16" applyNumberFormat="1" applyFont="1" applyFill="1" applyBorder="1" applyAlignment="1" applyProtection="1">
      <alignment horizontal="left" vertical="top"/>
    </xf>
    <xf numFmtId="0" fontId="20" fillId="7" borderId="15" xfId="16" applyNumberFormat="1" applyFont="1" applyFill="1" applyBorder="1" applyAlignment="1" applyProtection="1">
      <alignment horizontal="center" vertical="center" wrapText="1"/>
    </xf>
    <xf numFmtId="0" fontId="20" fillId="7" borderId="16" xfId="16" applyNumberFormat="1" applyFont="1" applyFill="1" applyBorder="1" applyAlignment="1" applyProtection="1">
      <alignment horizontal="center" vertical="center" wrapText="1"/>
    </xf>
    <xf numFmtId="0" fontId="20" fillId="7" borderId="17" xfId="16" applyNumberFormat="1" applyFont="1" applyFill="1" applyBorder="1" applyAlignment="1" applyProtection="1">
      <alignment horizontal="center" vertical="center" wrapText="1"/>
    </xf>
    <xf numFmtId="0" fontId="20" fillId="6" borderId="18" xfId="16" applyNumberFormat="1" applyFont="1" applyFill="1" applyBorder="1" applyAlignment="1" applyProtection="1">
      <alignment horizontal="center" vertical="top"/>
    </xf>
    <xf numFmtId="0" fontId="20" fillId="6" borderId="19" xfId="16" applyNumberFormat="1" applyFont="1" applyFill="1" applyBorder="1" applyAlignment="1" applyProtection="1">
      <alignment horizontal="left" vertical="top" wrapText="1"/>
    </xf>
    <xf numFmtId="0" fontId="20" fillId="6" borderId="19" xfId="16" applyNumberFormat="1" applyFont="1" applyFill="1" applyBorder="1" applyAlignment="1" applyProtection="1">
      <alignment horizontal="center" vertical="top"/>
    </xf>
    <xf numFmtId="3" fontId="20" fillId="6" borderId="19" xfId="16" applyNumberFormat="1" applyFont="1" applyFill="1" applyBorder="1" applyAlignment="1" applyProtection="1">
      <alignment horizontal="right" vertical="top"/>
    </xf>
    <xf numFmtId="168" fontId="20" fillId="6" borderId="20" xfId="16" applyNumberFormat="1" applyFont="1" applyFill="1" applyBorder="1" applyAlignment="1" applyProtection="1">
      <alignment horizontal="right" vertical="top"/>
    </xf>
    <xf numFmtId="0" fontId="24" fillId="6" borderId="18" xfId="16" applyNumberFormat="1" applyFont="1" applyFill="1" applyBorder="1" applyAlignment="1" applyProtection="1">
      <alignment horizontal="center" vertical="top"/>
    </xf>
    <xf numFmtId="0" fontId="24" fillId="6" borderId="19" xfId="16" applyNumberFormat="1" applyFont="1" applyFill="1" applyBorder="1" applyAlignment="1" applyProtection="1">
      <alignment horizontal="left" vertical="top" wrapText="1"/>
    </xf>
    <xf numFmtId="0" fontId="24" fillId="6" borderId="19" xfId="16" applyNumberFormat="1" applyFont="1" applyFill="1" applyBorder="1" applyAlignment="1" applyProtection="1">
      <alignment horizontal="center" vertical="top"/>
    </xf>
    <xf numFmtId="3" fontId="24" fillId="6" borderId="19" xfId="16" applyNumberFormat="1" applyFont="1" applyFill="1" applyBorder="1" applyAlignment="1" applyProtection="1">
      <alignment horizontal="right" vertical="top"/>
    </xf>
    <xf numFmtId="168" fontId="24" fillId="6" borderId="20" xfId="16" applyNumberFormat="1" applyFont="1" applyFill="1" applyBorder="1" applyAlignment="1" applyProtection="1">
      <alignment horizontal="right" vertical="top"/>
    </xf>
    <xf numFmtId="0" fontId="23" fillId="6" borderId="18" xfId="16" applyNumberFormat="1" applyFont="1" applyFill="1" applyBorder="1" applyAlignment="1" applyProtection="1">
      <alignment horizontal="center" vertical="top"/>
    </xf>
    <xf numFmtId="0" fontId="23" fillId="6" borderId="19" xfId="16" applyNumberFormat="1" applyFont="1" applyFill="1" applyBorder="1" applyAlignment="1" applyProtection="1">
      <alignment horizontal="left" vertical="top" wrapText="1"/>
    </xf>
    <xf numFmtId="0" fontId="23" fillId="6" borderId="19" xfId="16" applyNumberFormat="1" applyFont="1" applyFill="1" applyBorder="1" applyAlignment="1" applyProtection="1">
      <alignment horizontal="center" vertical="top"/>
    </xf>
    <xf numFmtId="3" fontId="23" fillId="6" borderId="19" xfId="16" applyNumberFormat="1" applyFont="1" applyFill="1" applyBorder="1" applyAlignment="1" applyProtection="1">
      <alignment horizontal="right" vertical="top"/>
    </xf>
    <xf numFmtId="168" fontId="23" fillId="6" borderId="20" xfId="16" applyNumberFormat="1" applyFont="1" applyFill="1" applyBorder="1" applyAlignment="1" applyProtection="1">
      <alignment horizontal="right" vertical="top"/>
    </xf>
    <xf numFmtId="0" fontId="20" fillId="6" borderId="21" xfId="16" applyNumberFormat="1" applyFont="1" applyFill="1" applyBorder="1" applyAlignment="1" applyProtection="1">
      <alignment horizontal="center" vertical="top"/>
    </xf>
    <xf numFmtId="0" fontId="20" fillId="6" borderId="22" xfId="16" applyNumberFormat="1" applyFont="1" applyFill="1" applyBorder="1" applyAlignment="1" applyProtection="1">
      <alignment horizontal="left" vertical="top" wrapText="1"/>
    </xf>
    <xf numFmtId="0" fontId="20" fillId="6" borderId="22" xfId="16" applyNumberFormat="1" applyFont="1" applyFill="1" applyBorder="1" applyAlignment="1" applyProtection="1">
      <alignment horizontal="center" vertical="top"/>
    </xf>
    <xf numFmtId="4" fontId="20" fillId="6" borderId="22" xfId="16" applyNumberFormat="1" applyFont="1" applyFill="1" applyBorder="1" applyAlignment="1" applyProtection="1">
      <alignment horizontal="right" vertical="top"/>
    </xf>
    <xf numFmtId="168" fontId="20" fillId="6" borderId="23" xfId="16" applyNumberFormat="1" applyFont="1" applyFill="1" applyBorder="1" applyAlignment="1" applyProtection="1">
      <alignment horizontal="right" vertical="top"/>
    </xf>
    <xf numFmtId="0" fontId="20" fillId="6" borderId="0" xfId="16" applyNumberFormat="1" applyFont="1" applyFill="1" applyBorder="1" applyAlignment="1" applyProtection="1">
      <alignment horizontal="center" vertical="top"/>
    </xf>
    <xf numFmtId="0" fontId="20" fillId="6" borderId="0" xfId="16" applyNumberFormat="1" applyFont="1" applyFill="1" applyBorder="1" applyAlignment="1" applyProtection="1">
      <alignment horizontal="left" vertical="top" wrapText="1"/>
    </xf>
    <xf numFmtId="0" fontId="24" fillId="6" borderId="0" xfId="16" applyNumberFormat="1" applyFont="1" applyFill="1" applyBorder="1" applyAlignment="1" applyProtection="1">
      <alignment horizontal="center" vertical="top"/>
    </xf>
    <xf numFmtId="0" fontId="24" fillId="6" borderId="0" xfId="16" applyNumberFormat="1" applyFont="1" applyFill="1" applyBorder="1" applyAlignment="1" applyProtection="1">
      <alignment horizontal="left" vertical="top"/>
    </xf>
    <xf numFmtId="169" fontId="20" fillId="6" borderId="18" xfId="16" applyNumberFormat="1" applyFont="1" applyFill="1" applyBorder="1" applyAlignment="1" applyProtection="1">
      <alignment horizontal="center" vertical="top"/>
    </xf>
    <xf numFmtId="169" fontId="20" fillId="6" borderId="19" xfId="16" applyNumberFormat="1" applyFont="1" applyFill="1" applyBorder="1" applyAlignment="1" applyProtection="1">
      <alignment horizontal="left" vertical="top" wrapText="1"/>
    </xf>
    <xf numFmtId="169" fontId="20" fillId="6" borderId="19" xfId="16" applyNumberFormat="1" applyFont="1" applyFill="1" applyBorder="1" applyAlignment="1" applyProtection="1">
      <alignment horizontal="center" vertical="top"/>
    </xf>
    <xf numFmtId="169" fontId="20" fillId="6" borderId="19" xfId="16" applyNumberFormat="1" applyFont="1" applyFill="1" applyBorder="1" applyAlignment="1" applyProtection="1">
      <alignment horizontal="right" vertical="top"/>
    </xf>
    <xf numFmtId="169" fontId="20" fillId="6" borderId="20" xfId="16" applyNumberFormat="1" applyFont="1" applyFill="1" applyBorder="1" applyAlignment="1" applyProtection="1">
      <alignment horizontal="right" vertical="top"/>
    </xf>
    <xf numFmtId="169" fontId="24" fillId="6" borderId="18" xfId="16" applyNumberFormat="1" applyFont="1" applyFill="1" applyBorder="1" applyAlignment="1" applyProtection="1">
      <alignment horizontal="center" vertical="top"/>
    </xf>
    <xf numFmtId="169" fontId="24" fillId="6" borderId="19" xfId="16" applyNumberFormat="1" applyFont="1" applyFill="1" applyBorder="1" applyAlignment="1" applyProtection="1">
      <alignment horizontal="left" vertical="top" wrapText="1"/>
    </xf>
    <xf numFmtId="169" fontId="24" fillId="6" borderId="19" xfId="16" applyNumberFormat="1" applyFont="1" applyFill="1" applyBorder="1" applyAlignment="1" applyProtection="1">
      <alignment horizontal="center" vertical="top"/>
    </xf>
    <xf numFmtId="169" fontId="24" fillId="6" borderId="19" xfId="16" applyNumberFormat="1" applyFont="1" applyFill="1" applyBorder="1" applyAlignment="1" applyProtection="1">
      <alignment horizontal="right" vertical="top"/>
    </xf>
    <xf numFmtId="169" fontId="24" fillId="6" borderId="20" xfId="16" applyNumberFormat="1" applyFont="1" applyFill="1" applyBorder="1" applyAlignment="1" applyProtection="1">
      <alignment horizontal="right" vertical="top"/>
    </xf>
    <xf numFmtId="169" fontId="23" fillId="6" borderId="18" xfId="16" applyNumberFormat="1" applyFont="1" applyFill="1" applyBorder="1" applyAlignment="1" applyProtection="1">
      <alignment horizontal="center" vertical="top"/>
    </xf>
    <xf numFmtId="169" fontId="23" fillId="6" borderId="19" xfId="16" applyNumberFormat="1" applyFont="1" applyFill="1" applyBorder="1" applyAlignment="1" applyProtection="1">
      <alignment horizontal="left" vertical="top" wrapText="1"/>
    </xf>
    <xf numFmtId="169" fontId="23" fillId="6" borderId="19" xfId="16" applyNumberFormat="1" applyFont="1" applyFill="1" applyBorder="1" applyAlignment="1" applyProtection="1">
      <alignment horizontal="center" vertical="top"/>
    </xf>
    <xf numFmtId="169" fontId="23" fillId="6" borderId="19" xfId="16" applyNumberFormat="1" applyFont="1" applyFill="1" applyBorder="1" applyAlignment="1" applyProtection="1">
      <alignment horizontal="right" vertical="top"/>
    </xf>
    <xf numFmtId="169" fontId="23" fillId="6" borderId="20" xfId="16" applyNumberFormat="1" applyFont="1" applyFill="1" applyBorder="1" applyAlignment="1" applyProtection="1">
      <alignment horizontal="right" vertical="top"/>
    </xf>
    <xf numFmtId="169" fontId="24" fillId="6" borderId="21" xfId="16" applyNumberFormat="1" applyFont="1" applyFill="1" applyBorder="1" applyAlignment="1" applyProtection="1">
      <alignment horizontal="center" vertical="top"/>
    </xf>
    <xf numFmtId="169" fontId="24" fillId="6" borderId="22" xfId="16" applyNumberFormat="1" applyFont="1" applyFill="1" applyBorder="1" applyAlignment="1" applyProtection="1">
      <alignment horizontal="left" vertical="top" wrapText="1"/>
    </xf>
    <xf numFmtId="169" fontId="24" fillId="6" borderId="22" xfId="16" applyNumberFormat="1" applyFont="1" applyFill="1" applyBorder="1" applyAlignment="1" applyProtection="1">
      <alignment horizontal="center" vertical="top"/>
    </xf>
    <xf numFmtId="169" fontId="24" fillId="6" borderId="22" xfId="16" applyNumberFormat="1" applyFont="1" applyFill="1" applyBorder="1" applyAlignment="1" applyProtection="1">
      <alignment horizontal="right" vertical="top"/>
    </xf>
    <xf numFmtId="169" fontId="24" fillId="6" borderId="23" xfId="16" applyNumberFormat="1" applyFont="1" applyFill="1" applyBorder="1" applyAlignment="1" applyProtection="1">
      <alignment horizontal="right" vertical="top"/>
    </xf>
    <xf numFmtId="0" fontId="20" fillId="6" borderId="0" xfId="16" applyNumberFormat="1" applyFont="1" applyFill="1" applyBorder="1" applyAlignment="1" applyProtection="1">
      <alignment horizontal="left" vertical="top"/>
    </xf>
    <xf numFmtId="4" fontId="20" fillId="6" borderId="19" xfId="16" applyNumberFormat="1" applyFont="1" applyFill="1" applyBorder="1" applyAlignment="1" applyProtection="1">
      <alignment horizontal="right" vertical="top"/>
    </xf>
    <xf numFmtId="4" fontId="24" fillId="6" borderId="19" xfId="16" applyNumberFormat="1" applyFont="1" applyFill="1" applyBorder="1" applyAlignment="1" applyProtection="1">
      <alignment horizontal="right" vertical="top"/>
    </xf>
    <xf numFmtId="169" fontId="20" fillId="6" borderId="22" xfId="16" applyNumberFormat="1" applyFont="1" applyFill="1" applyBorder="1" applyAlignment="1" applyProtection="1">
      <alignment horizontal="right" vertical="top"/>
    </xf>
    <xf numFmtId="0" fontId="23" fillId="6" borderId="0" xfId="16" applyNumberFormat="1" applyFont="1" applyFill="1" applyBorder="1" applyAlignment="1" applyProtection="1">
      <alignment horizontal="left" vertical="top"/>
    </xf>
    <xf numFmtId="0" fontId="23" fillId="6" borderId="0" xfId="16" applyNumberFormat="1" applyFont="1" applyFill="1" applyBorder="1" applyAlignment="1" applyProtection="1">
      <alignment horizontal="left" vertical="top" wrapText="1"/>
    </xf>
    <xf numFmtId="0" fontId="20" fillId="7" borderId="24" xfId="16" applyNumberFormat="1" applyFont="1" applyFill="1" applyBorder="1" applyAlignment="1" applyProtection="1">
      <alignment horizontal="center" vertical="center" wrapText="1"/>
    </xf>
    <xf numFmtId="0" fontId="20" fillId="7" borderId="25" xfId="16" applyNumberFormat="1" applyFont="1" applyFill="1" applyBorder="1" applyAlignment="1" applyProtection="1">
      <alignment horizontal="center" vertical="center" wrapText="1"/>
    </xf>
    <xf numFmtId="0" fontId="20" fillId="7" borderId="26" xfId="16" applyNumberFormat="1" applyFont="1" applyFill="1" applyBorder="1" applyAlignment="1" applyProtection="1">
      <alignment horizontal="center" vertical="center" wrapText="1"/>
    </xf>
    <xf numFmtId="3" fontId="20" fillId="6" borderId="20" xfId="16" applyNumberFormat="1" applyFont="1" applyFill="1" applyBorder="1" applyAlignment="1" applyProtection="1">
      <alignment horizontal="right" vertical="top"/>
    </xf>
    <xf numFmtId="3" fontId="24" fillId="6" borderId="20" xfId="16" applyNumberFormat="1" applyFont="1" applyFill="1" applyBorder="1" applyAlignment="1" applyProtection="1">
      <alignment horizontal="right" vertical="top"/>
    </xf>
    <xf numFmtId="168" fontId="24" fillId="6" borderId="19" xfId="16" applyNumberFormat="1" applyFont="1" applyFill="1" applyBorder="1" applyAlignment="1" applyProtection="1">
      <alignment horizontal="right" vertical="top"/>
    </xf>
    <xf numFmtId="4" fontId="24" fillId="6" borderId="20" xfId="16" applyNumberFormat="1" applyFont="1" applyFill="1" applyBorder="1" applyAlignment="1" applyProtection="1">
      <alignment horizontal="right" vertical="top"/>
    </xf>
    <xf numFmtId="0" fontId="24" fillId="6" borderId="21" xfId="16" applyNumberFormat="1" applyFont="1" applyFill="1" applyBorder="1" applyAlignment="1" applyProtection="1">
      <alignment horizontal="center" vertical="top"/>
    </xf>
    <xf numFmtId="0" fontId="24" fillId="6" borderId="22" xfId="16" applyNumberFormat="1" applyFont="1" applyFill="1" applyBorder="1" applyAlignment="1" applyProtection="1">
      <alignment horizontal="left" vertical="top" wrapText="1"/>
    </xf>
    <xf numFmtId="0" fontId="24" fillId="6" borderId="22" xfId="16" applyNumberFormat="1" applyFont="1" applyFill="1" applyBorder="1" applyAlignment="1" applyProtection="1">
      <alignment horizontal="center" vertical="top"/>
    </xf>
    <xf numFmtId="3" fontId="24" fillId="6" borderId="22" xfId="16" applyNumberFormat="1" applyFont="1" applyFill="1" applyBorder="1" applyAlignment="1" applyProtection="1">
      <alignment horizontal="right" vertical="top"/>
    </xf>
    <xf numFmtId="3" fontId="24" fillId="6" borderId="23" xfId="16" applyNumberFormat="1" applyFont="1" applyFill="1" applyBorder="1" applyAlignment="1" applyProtection="1">
      <alignment horizontal="right" vertical="top"/>
    </xf>
    <xf numFmtId="0" fontId="20" fillId="6" borderId="0" xfId="16" applyNumberFormat="1" applyFont="1" applyFill="1" applyBorder="1" applyAlignment="1" applyProtection="1">
      <alignment horizontal="center" vertical="center"/>
    </xf>
    <xf numFmtId="0" fontId="20" fillId="6" borderId="0" xfId="16" applyNumberFormat="1" applyFont="1" applyFill="1" applyBorder="1" applyAlignment="1" applyProtection="1">
      <alignment horizontal="left" vertical="center"/>
    </xf>
    <xf numFmtId="0" fontId="20" fillId="7" borderId="28" xfId="16" applyNumberFormat="1" applyFont="1" applyFill="1" applyBorder="1" applyAlignment="1" applyProtection="1">
      <alignment horizontal="center" vertical="center" wrapText="1"/>
    </xf>
    <xf numFmtId="0" fontId="20" fillId="7" borderId="29" xfId="16" applyNumberFormat="1" applyFont="1" applyFill="1" applyBorder="1" applyAlignment="1" applyProtection="1">
      <alignment horizontal="center" vertical="center" wrapText="1"/>
    </xf>
    <xf numFmtId="0" fontId="20" fillId="6" borderId="18" xfId="16" applyNumberFormat="1" applyFont="1" applyFill="1" applyBorder="1" applyAlignment="1" applyProtection="1">
      <alignment horizontal="left" vertical="top" wrapText="1"/>
    </xf>
    <xf numFmtId="0" fontId="20" fillId="6" borderId="19" xfId="16" applyNumberFormat="1" applyFont="1" applyFill="1" applyBorder="1" applyAlignment="1" applyProtection="1">
      <alignment horizontal="center" vertical="center"/>
    </xf>
    <xf numFmtId="0" fontId="24" fillId="6" borderId="18" xfId="16" applyNumberFormat="1" applyFont="1" applyFill="1" applyBorder="1" applyAlignment="1" applyProtection="1">
      <alignment horizontal="left" vertical="top" wrapText="1"/>
    </xf>
    <xf numFmtId="0" fontId="24" fillId="6" borderId="19" xfId="16" applyNumberFormat="1" applyFont="1" applyFill="1" applyBorder="1" applyAlignment="1" applyProtection="1">
      <alignment horizontal="center" vertical="center"/>
    </xf>
    <xf numFmtId="0" fontId="23" fillId="6" borderId="18" xfId="16" applyNumberFormat="1" applyFont="1" applyFill="1" applyBorder="1" applyAlignment="1" applyProtection="1">
      <alignment horizontal="left" vertical="top" wrapText="1"/>
    </xf>
    <xf numFmtId="0" fontId="23" fillId="6" borderId="19" xfId="16" applyNumberFormat="1" applyFont="1" applyFill="1" applyBorder="1" applyAlignment="1" applyProtection="1">
      <alignment horizontal="center" vertical="center"/>
    </xf>
    <xf numFmtId="0" fontId="20" fillId="6" borderId="21" xfId="16" applyNumberFormat="1" applyFont="1" applyFill="1" applyBorder="1" applyAlignment="1" applyProtection="1">
      <alignment horizontal="left" vertical="top" wrapText="1"/>
    </xf>
    <xf numFmtId="0" fontId="20" fillId="6" borderId="22" xfId="16" applyNumberFormat="1" applyFont="1" applyFill="1" applyBorder="1" applyAlignment="1" applyProtection="1">
      <alignment horizontal="center" vertical="center"/>
    </xf>
    <xf numFmtId="169" fontId="20" fillId="6" borderId="23" xfId="16" applyNumberFormat="1" applyFont="1" applyFill="1" applyBorder="1" applyAlignment="1" applyProtection="1">
      <alignment horizontal="right" vertical="top"/>
    </xf>
    <xf numFmtId="0" fontId="23" fillId="6" borderId="0" xfId="16" applyNumberFormat="1" applyFont="1" applyFill="1" applyBorder="1" applyAlignment="1" applyProtection="1">
      <alignment horizontal="center" vertical="top"/>
    </xf>
    <xf numFmtId="0" fontId="23" fillId="6" borderId="0" xfId="16" applyNumberFormat="1" applyFont="1" applyFill="1" applyBorder="1" applyAlignment="1" applyProtection="1">
      <alignment horizontal="center" vertical="center"/>
    </xf>
    <xf numFmtId="0" fontId="25" fillId="6" borderId="0" xfId="16" applyNumberFormat="1" applyFont="1" applyFill="1" applyBorder="1" applyAlignment="1" applyProtection="1">
      <alignment horizontal="right" vertical="top"/>
    </xf>
    <xf numFmtId="0" fontId="29" fillId="6" borderId="14" xfId="16" applyNumberFormat="1" applyFont="1" applyFill="1" applyBorder="1" applyAlignment="1" applyProtection="1">
      <alignment horizontal="left" vertical="top"/>
    </xf>
    <xf numFmtId="14" fontId="20" fillId="7" borderId="16" xfId="16" applyNumberFormat="1" applyFont="1" applyFill="1" applyBorder="1" applyAlignment="1" applyProtection="1">
      <alignment horizontal="center" vertical="center" wrapText="1"/>
    </xf>
    <xf numFmtId="170" fontId="20" fillId="6" borderId="18" xfId="16" applyNumberFormat="1" applyFont="1" applyFill="1" applyBorder="1" applyAlignment="1" applyProtection="1">
      <alignment horizontal="center" vertical="top"/>
    </xf>
    <xf numFmtId="170" fontId="20" fillId="6" borderId="19" xfId="16" applyNumberFormat="1" applyFont="1" applyFill="1" applyBorder="1" applyAlignment="1" applyProtection="1">
      <alignment horizontal="left" vertical="top" wrapText="1"/>
    </xf>
    <xf numFmtId="170" fontId="20" fillId="6" borderId="19" xfId="16" applyNumberFormat="1" applyFont="1" applyFill="1" applyBorder="1" applyAlignment="1" applyProtection="1">
      <alignment horizontal="center" vertical="top"/>
    </xf>
    <xf numFmtId="170" fontId="20" fillId="6" borderId="19" xfId="16" applyNumberFormat="1" applyFont="1" applyFill="1" applyBorder="1" applyAlignment="1" applyProtection="1">
      <alignment horizontal="right" vertical="top"/>
    </xf>
    <xf numFmtId="170" fontId="20" fillId="6" borderId="20" xfId="16" applyNumberFormat="1" applyFont="1" applyFill="1" applyBorder="1" applyAlignment="1" applyProtection="1">
      <alignment horizontal="right" vertical="top"/>
    </xf>
    <xf numFmtId="170" fontId="24" fillId="6" borderId="18" xfId="16" applyNumberFormat="1" applyFont="1" applyFill="1" applyBorder="1" applyAlignment="1" applyProtection="1">
      <alignment horizontal="center" vertical="top"/>
    </xf>
    <xf numFmtId="170" fontId="24" fillId="6" borderId="19" xfId="16" applyNumberFormat="1" applyFont="1" applyFill="1" applyBorder="1" applyAlignment="1" applyProtection="1">
      <alignment horizontal="left" vertical="top" wrapText="1"/>
    </xf>
    <xf numFmtId="170" fontId="24" fillId="6" borderId="19" xfId="16" applyNumberFormat="1" applyFont="1" applyFill="1" applyBorder="1" applyAlignment="1" applyProtection="1">
      <alignment horizontal="center" vertical="top"/>
    </xf>
    <xf numFmtId="170" fontId="24" fillId="6" borderId="19" xfId="16" applyNumberFormat="1" applyFont="1" applyFill="1" applyBorder="1" applyAlignment="1" applyProtection="1">
      <alignment horizontal="right" vertical="top"/>
    </xf>
    <xf numFmtId="170" fontId="24" fillId="6" borderId="20" xfId="16" applyNumberFormat="1" applyFont="1" applyFill="1" applyBorder="1" applyAlignment="1" applyProtection="1">
      <alignment horizontal="right" vertical="top"/>
    </xf>
    <xf numFmtId="170" fontId="23" fillId="6" borderId="18" xfId="16" applyNumberFormat="1" applyFont="1" applyFill="1" applyBorder="1" applyAlignment="1" applyProtection="1">
      <alignment horizontal="center" vertical="top"/>
    </xf>
    <xf numFmtId="170" fontId="23" fillId="6" borderId="19" xfId="16" applyNumberFormat="1" applyFont="1" applyFill="1" applyBorder="1" applyAlignment="1" applyProtection="1">
      <alignment horizontal="left" vertical="top" wrapText="1"/>
    </xf>
    <xf numFmtId="170" fontId="23" fillId="6" borderId="19" xfId="16" applyNumberFormat="1" applyFont="1" applyFill="1" applyBorder="1" applyAlignment="1" applyProtection="1">
      <alignment horizontal="center" vertical="top"/>
    </xf>
    <xf numFmtId="170" fontId="23" fillId="6" borderId="19" xfId="16" applyNumberFormat="1" applyFont="1" applyFill="1" applyBorder="1" applyAlignment="1" applyProtection="1">
      <alignment horizontal="right" vertical="top"/>
    </xf>
    <xf numFmtId="170" fontId="23" fillId="6" borderId="20" xfId="16" applyNumberFormat="1" applyFont="1" applyFill="1" applyBorder="1" applyAlignment="1" applyProtection="1">
      <alignment horizontal="right" vertical="top"/>
    </xf>
    <xf numFmtId="4" fontId="20" fillId="6" borderId="18" xfId="16" applyNumberFormat="1" applyFont="1" applyFill="1" applyBorder="1" applyAlignment="1" applyProtection="1">
      <alignment horizontal="center" vertical="top"/>
    </xf>
    <xf numFmtId="4" fontId="20" fillId="6" borderId="19" xfId="16" applyNumberFormat="1" applyFont="1" applyFill="1" applyBorder="1" applyAlignment="1" applyProtection="1">
      <alignment horizontal="left" vertical="top" wrapText="1"/>
    </xf>
    <xf numFmtId="4" fontId="20" fillId="6" borderId="19" xfId="16" applyNumberFormat="1" applyFont="1" applyFill="1" applyBorder="1" applyAlignment="1" applyProtection="1">
      <alignment horizontal="center" vertical="top"/>
    </xf>
    <xf numFmtId="4" fontId="20" fillId="6" borderId="20" xfId="16" applyNumberFormat="1" applyFont="1" applyFill="1" applyBorder="1" applyAlignment="1" applyProtection="1">
      <alignment horizontal="right" vertical="top"/>
    </xf>
    <xf numFmtId="170" fontId="24" fillId="6" borderId="21" xfId="16" applyNumberFormat="1" applyFont="1" applyFill="1" applyBorder="1" applyAlignment="1" applyProtection="1">
      <alignment horizontal="center" vertical="top"/>
    </xf>
    <xf numFmtId="170" fontId="24" fillId="6" borderId="22" xfId="16" applyNumberFormat="1" applyFont="1" applyFill="1" applyBorder="1" applyAlignment="1" applyProtection="1">
      <alignment horizontal="left" vertical="top" wrapText="1"/>
    </xf>
    <xf numFmtId="170" fontId="24" fillId="6" borderId="22" xfId="16" applyNumberFormat="1" applyFont="1" applyFill="1" applyBorder="1" applyAlignment="1" applyProtection="1">
      <alignment horizontal="center" vertical="top"/>
    </xf>
    <xf numFmtId="170" fontId="24" fillId="6" borderId="22" xfId="16" applyNumberFormat="1" applyFont="1" applyFill="1" applyBorder="1" applyAlignment="1" applyProtection="1">
      <alignment horizontal="right" vertical="top"/>
    </xf>
    <xf numFmtId="170" fontId="24" fillId="6" borderId="23" xfId="16" applyNumberFormat="1" applyFont="1" applyFill="1" applyBorder="1" applyAlignment="1" applyProtection="1">
      <alignment horizontal="right" vertical="top"/>
    </xf>
    <xf numFmtId="4" fontId="20" fillId="6" borderId="21" xfId="16" applyNumberFormat="1" applyFont="1" applyFill="1" applyBorder="1" applyAlignment="1" applyProtection="1">
      <alignment horizontal="center" vertical="top"/>
    </xf>
    <xf numFmtId="4" fontId="20" fillId="6" borderId="22" xfId="16" applyNumberFormat="1" applyFont="1" applyFill="1" applyBorder="1" applyAlignment="1" applyProtection="1">
      <alignment horizontal="left" vertical="top" wrapText="1"/>
    </xf>
    <xf numFmtId="4" fontId="20" fillId="6" borderId="22" xfId="16" applyNumberFormat="1" applyFont="1" applyFill="1" applyBorder="1" applyAlignment="1" applyProtection="1">
      <alignment horizontal="center" vertical="top"/>
    </xf>
    <xf numFmtId="4" fontId="20" fillId="6" borderId="23" xfId="16" applyNumberFormat="1" applyFont="1" applyFill="1" applyBorder="1" applyAlignment="1" applyProtection="1">
      <alignment horizontal="right" vertical="top"/>
    </xf>
    <xf numFmtId="0" fontId="31" fillId="2" borderId="9" xfId="4" applyFont="1" applyFill="1" applyBorder="1" applyAlignment="1">
      <alignment horizontal="center" vertical="center"/>
    </xf>
    <xf numFmtId="0" fontId="20" fillId="6" borderId="0" xfId="16" applyNumberFormat="1" applyFont="1" applyFill="1" applyBorder="1" applyAlignment="1" applyProtection="1">
      <alignment vertical="center" wrapText="1"/>
    </xf>
    <xf numFmtId="171" fontId="20" fillId="6" borderId="19" xfId="16" applyNumberFormat="1" applyFont="1" applyFill="1" applyBorder="1" applyAlignment="1" applyProtection="1">
      <alignment horizontal="right" vertical="top"/>
    </xf>
    <xf numFmtId="171" fontId="24" fillId="6" borderId="19" xfId="16" applyNumberFormat="1" applyFont="1" applyFill="1" applyBorder="1" applyAlignment="1" applyProtection="1">
      <alignment horizontal="right" vertical="top"/>
    </xf>
    <xf numFmtId="172" fontId="24" fillId="6" borderId="19" xfId="16" applyNumberFormat="1" applyFont="1" applyFill="1" applyBorder="1" applyAlignment="1" applyProtection="1">
      <alignment horizontal="right" vertical="top"/>
    </xf>
    <xf numFmtId="172" fontId="23" fillId="6" borderId="19" xfId="16" applyNumberFormat="1" applyFont="1" applyFill="1" applyBorder="1" applyAlignment="1" applyProtection="1">
      <alignment horizontal="right" vertical="top"/>
    </xf>
    <xf numFmtId="173" fontId="23" fillId="6" borderId="19" xfId="16" applyNumberFormat="1" applyFont="1" applyFill="1" applyBorder="1" applyAlignment="1" applyProtection="1">
      <alignment horizontal="right" vertical="top"/>
    </xf>
    <xf numFmtId="172" fontId="23" fillId="6" borderId="22" xfId="16" applyNumberFormat="1" applyFont="1" applyFill="1" applyBorder="1" applyAlignment="1" applyProtection="1">
      <alignment horizontal="right" vertical="top"/>
    </xf>
    <xf numFmtId="0" fontId="29" fillId="6" borderId="0" xfId="16" applyNumberFormat="1" applyFont="1" applyFill="1" applyBorder="1" applyAlignment="1" applyProtection="1">
      <alignment horizontal="left" vertical="top"/>
    </xf>
    <xf numFmtId="0" fontId="33" fillId="0" borderId="0" xfId="16" applyFont="1">
      <alignment vertical="center"/>
    </xf>
    <xf numFmtId="0" fontId="24" fillId="0" borderId="0" xfId="16" applyFont="1">
      <alignment vertical="center"/>
    </xf>
    <xf numFmtId="0" fontId="24" fillId="6" borderId="0" xfId="16" applyNumberFormat="1" applyFont="1" applyFill="1" applyBorder="1" applyAlignment="1" applyProtection="1">
      <alignment horizontal="left" vertical="top" wrapText="1"/>
    </xf>
    <xf numFmtId="0" fontId="24" fillId="6" borderId="14" xfId="16" applyNumberFormat="1" applyFont="1" applyFill="1" applyBorder="1" applyAlignment="1" applyProtection="1">
      <alignment horizontal="left" vertical="top"/>
    </xf>
    <xf numFmtId="0" fontId="29" fillId="6" borderId="0" xfId="16" applyNumberFormat="1" applyFont="1" applyFill="1" applyBorder="1" applyAlignment="1" applyProtection="1">
      <alignment vertical="top"/>
    </xf>
    <xf numFmtId="0" fontId="35" fillId="3" borderId="0" xfId="13" applyFont="1" applyFill="1"/>
    <xf numFmtId="0" fontId="23" fillId="3" borderId="0" xfId="13" applyFont="1" applyFill="1" applyAlignment="1">
      <alignment horizontal="center"/>
    </xf>
    <xf numFmtId="0" fontId="20" fillId="3" borderId="0" xfId="13" applyFont="1" applyFill="1" applyAlignment="1">
      <alignment horizontal="center"/>
    </xf>
    <xf numFmtId="165" fontId="20" fillId="3" borderId="0" xfId="7" applyNumberFormat="1" applyFont="1" applyFill="1" applyAlignment="1">
      <alignment horizontal="center"/>
    </xf>
    <xf numFmtId="0" fontId="20" fillId="3" borderId="0" xfId="13" applyFont="1" applyFill="1" applyAlignment="1">
      <alignment horizontal="center" vertical="center" wrapText="1"/>
    </xf>
    <xf numFmtId="0" fontId="20" fillId="3" borderId="0" xfId="13" applyFont="1" applyFill="1" applyAlignment="1">
      <alignment horizontal="left" vertical="center"/>
    </xf>
    <xf numFmtId="0" fontId="24" fillId="3" borderId="0" xfId="13" applyFont="1" applyFill="1" applyAlignment="1">
      <alignment horizontal="left" vertical="center"/>
    </xf>
    <xf numFmtId="165" fontId="24" fillId="3" borderId="0" xfId="7" applyNumberFormat="1" applyFont="1" applyFill="1" applyAlignment="1">
      <alignment horizontal="center"/>
    </xf>
    <xf numFmtId="0" fontId="24" fillId="3" borderId="0" xfId="13" applyFont="1" applyFill="1" applyAlignment="1">
      <alignment horizontal="center"/>
    </xf>
    <xf numFmtId="0" fontId="20" fillId="3" borderId="0" xfId="13" applyFont="1" applyFill="1" applyAlignment="1">
      <alignment horizontal="center" vertical="center"/>
    </xf>
    <xf numFmtId="0" fontId="20" fillId="3" borderId="0" xfId="13" applyFont="1" applyFill="1" applyAlignment="1">
      <alignment horizontal="left" wrapText="1"/>
    </xf>
    <xf numFmtId="0" fontId="20" fillId="3" borderId="0" xfId="13" applyFont="1" applyFill="1" applyAlignment="1">
      <alignment vertical="center"/>
    </xf>
    <xf numFmtId="48" fontId="24" fillId="3" borderId="0" xfId="13" applyNumberFormat="1" applyFont="1" applyFill="1" applyAlignment="1" applyProtection="1">
      <alignment horizontal="left" vertical="center" wrapText="1"/>
      <protection locked="0"/>
    </xf>
    <xf numFmtId="0" fontId="24" fillId="3" borderId="0" xfId="13" applyFont="1" applyFill="1" applyAlignment="1">
      <alignment horizontal="left" wrapText="1"/>
    </xf>
    <xf numFmtId="0" fontId="36" fillId="4" borderId="0" xfId="15" applyNumberFormat="1" applyFont="1" applyFill="1" applyBorder="1" applyAlignment="1" applyProtection="1">
      <alignment vertical="top"/>
    </xf>
    <xf numFmtId="0" fontId="24" fillId="3" borderId="0" xfId="13" applyFont="1" applyFill="1" applyAlignment="1">
      <alignment vertical="center"/>
    </xf>
    <xf numFmtId="3" fontId="24" fillId="3" borderId="0" xfId="13" applyNumberFormat="1" applyFont="1" applyFill="1" applyAlignment="1">
      <alignment horizontal="left" vertical="center" wrapText="1"/>
    </xf>
    <xf numFmtId="14" fontId="20" fillId="3" borderId="0" xfId="13" applyNumberFormat="1" applyFont="1" applyFill="1" applyAlignment="1">
      <alignment horizontal="left" vertical="center"/>
    </xf>
    <xf numFmtId="48" fontId="20" fillId="3" borderId="0" xfId="13" applyNumberFormat="1" applyFont="1" applyFill="1" applyAlignment="1" applyProtection="1">
      <alignment horizontal="left" vertical="center" wrapText="1"/>
      <protection locked="0"/>
    </xf>
    <xf numFmtId="48" fontId="24" fillId="3" borderId="0" xfId="13" applyNumberFormat="1" applyFont="1" applyFill="1" applyAlignment="1" applyProtection="1">
      <alignment vertical="center" wrapText="1"/>
      <protection locked="0"/>
    </xf>
    <xf numFmtId="0" fontId="37" fillId="3" borderId="0" xfId="0" applyFont="1" applyFill="1" applyAlignment="1">
      <alignment vertical="center"/>
    </xf>
    <xf numFmtId="43" fontId="24" fillId="3" borderId="0" xfId="13" applyNumberFormat="1" applyFont="1" applyFill="1" applyAlignment="1">
      <alignment horizontal="left" vertical="center" wrapText="1"/>
    </xf>
    <xf numFmtId="0" fontId="24" fillId="3" borderId="0" xfId="13" applyFont="1" applyFill="1" applyAlignment="1">
      <alignment horizontal="left" vertical="center" wrapText="1"/>
    </xf>
    <xf numFmtId="0" fontId="35" fillId="3" borderId="0" xfId="13" applyFont="1" applyFill="1" applyAlignment="1">
      <alignment horizontal="left"/>
    </xf>
    <xf numFmtId="3" fontId="24" fillId="3" borderId="0" xfId="13" applyNumberFormat="1" applyFont="1" applyFill="1" applyAlignment="1">
      <alignment wrapText="1"/>
    </xf>
    <xf numFmtId="3" fontId="20" fillId="3" borderId="0" xfId="13" applyNumberFormat="1" applyFont="1" applyFill="1" applyAlignment="1">
      <alignment wrapText="1"/>
    </xf>
    <xf numFmtId="0" fontId="38" fillId="3" borderId="0" xfId="13" applyFont="1" applyFill="1"/>
    <xf numFmtId="0" fontId="37" fillId="5" borderId="9" xfId="13" applyFont="1" applyFill="1" applyBorder="1" applyAlignment="1">
      <alignment horizontal="center" vertical="center" wrapText="1"/>
    </xf>
    <xf numFmtId="0" fontId="35" fillId="0" borderId="9" xfId="13" applyFont="1" applyFill="1" applyBorder="1" applyAlignment="1">
      <alignment horizontal="center" vertical="center"/>
    </xf>
    <xf numFmtId="49" fontId="35" fillId="0" borderId="9" xfId="13" applyNumberFormat="1" applyFont="1" applyFill="1" applyBorder="1" applyAlignment="1" applyProtection="1">
      <alignment horizontal="left" vertical="center" wrapText="1"/>
    </xf>
    <xf numFmtId="49" fontId="38" fillId="0" borderId="9" xfId="13" applyNumberFormat="1" applyFont="1" applyFill="1" applyBorder="1" applyAlignment="1" applyProtection="1">
      <alignment horizontal="center" vertical="center" wrapText="1"/>
    </xf>
    <xf numFmtId="49" fontId="38" fillId="0" borderId="9" xfId="13" applyNumberFormat="1" applyFont="1" applyFill="1" applyBorder="1" applyAlignment="1" applyProtection="1">
      <alignment horizontal="left" vertical="center" wrapText="1"/>
    </xf>
    <xf numFmtId="49" fontId="35" fillId="0" borderId="9" xfId="13" applyNumberFormat="1" applyFont="1" applyFill="1" applyBorder="1" applyAlignment="1" applyProtection="1">
      <alignment horizontal="center" vertical="center" wrapText="1"/>
    </xf>
    <xf numFmtId="0" fontId="23" fillId="3" borderId="0" xfId="13" applyFont="1" applyFill="1"/>
    <xf numFmtId="167" fontId="39" fillId="3" borderId="0" xfId="17" applyNumberFormat="1" applyFont="1" applyFill="1" applyAlignment="1">
      <alignment vertical="center" wrapText="1"/>
    </xf>
    <xf numFmtId="0" fontId="38" fillId="3" borderId="0" xfId="17" applyFont="1" applyFill="1" applyBorder="1" applyAlignment="1">
      <alignment vertical="center"/>
    </xf>
    <xf numFmtId="165" fontId="39" fillId="3" borderId="0" xfId="7" applyNumberFormat="1" applyFont="1" applyFill="1" applyBorder="1" applyAlignment="1">
      <alignment vertical="center" wrapText="1"/>
    </xf>
    <xf numFmtId="0" fontId="39" fillId="3" borderId="0" xfId="17" applyFont="1" applyFill="1" applyBorder="1" applyAlignment="1">
      <alignment vertical="center"/>
    </xf>
    <xf numFmtId="0" fontId="39" fillId="3" borderId="0" xfId="17" applyFont="1" applyFill="1" applyBorder="1" applyAlignment="1">
      <alignment vertical="center" wrapText="1"/>
    </xf>
    <xf numFmtId="165" fontId="39" fillId="3" borderId="0" xfId="7" applyNumberFormat="1" applyFont="1" applyFill="1" applyBorder="1" applyAlignment="1">
      <alignment horizontal="right" vertical="center" wrapText="1"/>
    </xf>
    <xf numFmtId="165" fontId="39" fillId="3" borderId="0" xfId="7" applyNumberFormat="1" applyFont="1" applyFill="1" applyBorder="1" applyAlignment="1">
      <alignment horizontal="left" vertical="center"/>
    </xf>
    <xf numFmtId="2" fontId="38" fillId="3" borderId="0" xfId="17" applyNumberFormat="1" applyFont="1" applyFill="1" applyAlignment="1">
      <alignment vertical="center"/>
    </xf>
    <xf numFmtId="165" fontId="39" fillId="3" borderId="0" xfId="7" applyNumberFormat="1" applyFont="1" applyFill="1" applyBorder="1" applyAlignment="1">
      <alignment horizontal="right" vertical="center"/>
    </xf>
    <xf numFmtId="165" fontId="39" fillId="3" borderId="0" xfId="7" applyNumberFormat="1" applyFont="1" applyFill="1" applyAlignment="1">
      <alignment horizontal="right" vertical="center"/>
    </xf>
    <xf numFmtId="2" fontId="38" fillId="3" borderId="0" xfId="17" applyNumberFormat="1" applyFont="1" applyFill="1" applyAlignment="1">
      <alignment horizontal="right" vertical="center"/>
    </xf>
    <xf numFmtId="165" fontId="38" fillId="3" borderId="0" xfId="7" applyNumberFormat="1" applyFont="1" applyFill="1" applyAlignment="1">
      <alignment horizontal="right" vertical="center"/>
    </xf>
    <xf numFmtId="2" fontId="39" fillId="3" borderId="0" xfId="17" applyNumberFormat="1" applyFont="1" applyFill="1" applyAlignment="1">
      <alignment vertical="center"/>
    </xf>
    <xf numFmtId="2" fontId="38" fillId="3" borderId="5" xfId="17" applyNumberFormat="1" applyFont="1" applyFill="1" applyBorder="1" applyAlignment="1">
      <alignment vertical="center"/>
    </xf>
    <xf numFmtId="165" fontId="38" fillId="3" borderId="5" xfId="7" applyNumberFormat="1" applyFont="1" applyFill="1" applyBorder="1" applyAlignment="1">
      <alignment horizontal="right" vertical="center"/>
    </xf>
    <xf numFmtId="2" fontId="38" fillId="3" borderId="0" xfId="17" applyNumberFormat="1" applyFont="1" applyFill="1" applyBorder="1" applyAlignment="1">
      <alignment horizontal="right" vertical="center"/>
    </xf>
    <xf numFmtId="0" fontId="35" fillId="3" borderId="0" xfId="13" applyFont="1" applyFill="1" applyBorder="1"/>
    <xf numFmtId="2" fontId="38" fillId="3" borderId="0" xfId="17" applyNumberFormat="1" applyFont="1" applyFill="1" applyBorder="1" applyAlignment="1">
      <alignment vertical="center"/>
    </xf>
    <xf numFmtId="0" fontId="35" fillId="3" borderId="0" xfId="13" applyFont="1" applyFill="1" applyAlignment="1">
      <alignment vertical="center"/>
    </xf>
    <xf numFmtId="2" fontId="35" fillId="3" borderId="0" xfId="17" applyNumberFormat="1" applyFont="1" applyFill="1" applyAlignment="1">
      <alignment vertical="center"/>
    </xf>
    <xf numFmtId="0" fontId="39" fillId="0" borderId="0" xfId="13" applyFont="1" applyFill="1" applyAlignment="1">
      <alignment vertical="center"/>
    </xf>
    <xf numFmtId="0" fontId="39" fillId="3" borderId="0" xfId="13" applyFont="1" applyFill="1" applyAlignment="1">
      <alignment vertical="center"/>
    </xf>
    <xf numFmtId="0" fontId="34" fillId="3" borderId="0" xfId="13" applyFont="1" applyFill="1" applyAlignment="1">
      <alignment wrapText="1"/>
    </xf>
    <xf numFmtId="3" fontId="18" fillId="0" borderId="0" xfId="16" applyNumberFormat="1" applyFont="1">
      <alignment vertical="center"/>
    </xf>
    <xf numFmtId="175" fontId="18" fillId="0" borderId="0" xfId="2" applyNumberFormat="1" applyFont="1" applyAlignment="1">
      <alignment vertical="center"/>
    </xf>
    <xf numFmtId="3" fontId="33" fillId="0" borderId="0" xfId="16" applyNumberFormat="1" applyFont="1">
      <alignment vertical="center"/>
    </xf>
    <xf numFmtId="169" fontId="33" fillId="0" borderId="0" xfId="16" applyNumberFormat="1" applyFont="1">
      <alignment vertical="center"/>
    </xf>
    <xf numFmtId="169" fontId="18" fillId="0" borderId="0" xfId="16" applyNumberFormat="1" applyFont="1">
      <alignment vertical="center"/>
    </xf>
    <xf numFmtId="174" fontId="24" fillId="6" borderId="0" xfId="16" applyNumberFormat="1" applyFont="1" applyFill="1" applyBorder="1" applyAlignment="1" applyProtection="1">
      <alignment horizontal="left" vertical="top"/>
    </xf>
    <xf numFmtId="0" fontId="3" fillId="2" borderId="9" xfId="0" applyFont="1" applyFill="1" applyBorder="1" applyAlignment="1">
      <alignment horizontal="left" wrapText="1"/>
    </xf>
    <xf numFmtId="0" fontId="3" fillId="2" borderId="9" xfId="0" applyFont="1" applyFill="1" applyBorder="1" applyAlignment="1">
      <alignment horizontal="left" vertical="center"/>
    </xf>
    <xf numFmtId="0" fontId="5" fillId="2" borderId="9" xfId="0" applyFont="1" applyFill="1" applyBorder="1" applyAlignment="1">
      <alignment horizontal="left" vertical="center"/>
    </xf>
    <xf numFmtId="0" fontId="12" fillId="3" borderId="7" xfId="3" applyFont="1" applyFill="1" applyBorder="1" applyAlignment="1">
      <alignment horizontal="center" vertical="center"/>
    </xf>
    <xf numFmtId="0" fontId="12" fillId="3" borderId="0" xfId="3" applyFont="1" applyFill="1" applyBorder="1" applyAlignment="1">
      <alignment horizontal="center" vertical="center"/>
    </xf>
    <xf numFmtId="0" fontId="12" fillId="3" borderId="8" xfId="3" applyFont="1" applyFill="1" applyBorder="1" applyAlignment="1">
      <alignment horizontal="center" vertical="center"/>
    </xf>
    <xf numFmtId="0" fontId="12" fillId="3" borderId="4" xfId="3" applyFont="1" applyFill="1" applyBorder="1" applyAlignment="1">
      <alignment horizontal="center" vertical="center"/>
    </xf>
    <xf numFmtId="0" fontId="12" fillId="3" borderId="5" xfId="3" applyFont="1" applyFill="1" applyBorder="1" applyAlignment="1">
      <alignment horizontal="center" vertical="center"/>
    </xf>
    <xf numFmtId="0" fontId="12" fillId="3" borderId="6" xfId="3" applyFont="1" applyFill="1" applyBorder="1" applyAlignment="1">
      <alignment horizontal="center" vertical="center"/>
    </xf>
    <xf numFmtId="0" fontId="3" fillId="2" borderId="0" xfId="0" applyFont="1" applyFill="1" applyAlignment="1">
      <alignment horizontal="left"/>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10" fillId="3" borderId="7" xfId="3" applyFont="1" applyFill="1" applyBorder="1" applyAlignment="1">
      <alignment horizontal="center" vertical="center"/>
    </xf>
    <xf numFmtId="0" fontId="10" fillId="3" borderId="0" xfId="3" applyFont="1" applyFill="1" applyBorder="1" applyAlignment="1">
      <alignment horizontal="center" vertical="center"/>
    </xf>
    <xf numFmtId="0" fontId="10" fillId="3" borderId="8" xfId="3" applyFont="1" applyFill="1" applyBorder="1" applyAlignment="1">
      <alignment horizontal="center" vertical="center"/>
    </xf>
    <xf numFmtId="0" fontId="11" fillId="3" borderId="7" xfId="3" applyFont="1" applyFill="1" applyBorder="1" applyAlignment="1">
      <alignment horizontal="center" vertical="center"/>
    </xf>
    <xf numFmtId="0" fontId="11" fillId="3" borderId="0" xfId="3" applyFont="1" applyFill="1" applyBorder="1" applyAlignment="1">
      <alignment horizontal="center" vertical="center"/>
    </xf>
    <xf numFmtId="0" fontId="11" fillId="3" borderId="8" xfId="3" applyFont="1" applyFill="1" applyBorder="1" applyAlignment="1">
      <alignment horizontal="center" vertical="center"/>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4" xfId="0" applyFont="1" applyFill="1" applyBorder="1" applyAlignment="1">
      <alignment horizontal="left"/>
    </xf>
    <xf numFmtId="0" fontId="5" fillId="3" borderId="5" xfId="0" applyFont="1" applyFill="1" applyBorder="1" applyAlignment="1">
      <alignment horizontal="left"/>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0" fillId="6" borderId="0" xfId="16" applyNumberFormat="1" applyFont="1" applyFill="1" applyBorder="1" applyAlignment="1" applyProtection="1">
      <alignment horizontal="center" vertical="top"/>
    </xf>
    <xf numFmtId="0" fontId="25" fillId="6" borderId="0" xfId="16" applyNumberFormat="1" applyFont="1" applyFill="1" applyBorder="1" applyAlignment="1" applyProtection="1">
      <alignment horizontal="center" vertical="top"/>
    </xf>
    <xf numFmtId="0" fontId="29" fillId="6" borderId="0" xfId="16" applyNumberFormat="1" applyFont="1" applyFill="1" applyBorder="1" applyAlignment="1" applyProtection="1">
      <alignment horizontal="left" vertical="top"/>
    </xf>
    <xf numFmtId="0" fontId="24" fillId="6" borderId="0" xfId="16" applyNumberFormat="1" applyFont="1" applyFill="1" applyBorder="1" applyAlignment="1" applyProtection="1">
      <alignment horizontal="center" vertical="top"/>
    </xf>
    <xf numFmtId="0" fontId="24" fillId="6" borderId="0" xfId="16" applyNumberFormat="1" applyFont="1" applyFill="1" applyBorder="1" applyAlignment="1" applyProtection="1">
      <alignment horizontal="center" vertical="top" wrapText="1"/>
    </xf>
    <xf numFmtId="174" fontId="24" fillId="6" borderId="0" xfId="16" applyNumberFormat="1" applyFont="1" applyFill="1" applyBorder="1" applyAlignment="1" applyProtection="1">
      <alignment horizontal="left" vertical="top"/>
    </xf>
    <xf numFmtId="0" fontId="23" fillId="6" borderId="0" xfId="16" applyNumberFormat="1" applyFont="1" applyFill="1" applyBorder="1" applyAlignment="1" applyProtection="1">
      <alignment horizontal="center" vertical="top" wrapText="1"/>
    </xf>
    <xf numFmtId="0" fontId="20" fillId="6" borderId="0" xfId="16" applyNumberFormat="1" applyFont="1" applyFill="1" applyBorder="1" applyAlignment="1" applyProtection="1">
      <alignment horizontal="left" vertical="top"/>
    </xf>
    <xf numFmtId="0" fontId="24" fillId="6" borderId="14" xfId="16" applyNumberFormat="1" applyFont="1" applyFill="1" applyBorder="1" applyAlignment="1" applyProtection="1">
      <alignment horizontal="left" vertical="top"/>
    </xf>
    <xf numFmtId="0" fontId="24" fillId="6" borderId="0" xfId="16" applyNumberFormat="1" applyFont="1" applyFill="1" applyBorder="1" applyAlignment="1" applyProtection="1">
      <alignment horizontal="left" vertical="top" wrapText="1"/>
    </xf>
    <xf numFmtId="14" fontId="20" fillId="6" borderId="0" xfId="16" applyNumberFormat="1" applyFont="1" applyFill="1" applyBorder="1" applyAlignment="1" applyProtection="1">
      <alignment horizontal="left" vertical="center" wrapText="1"/>
    </xf>
    <xf numFmtId="0" fontId="20" fillId="6" borderId="0" xfId="16" applyNumberFormat="1" applyFont="1" applyFill="1" applyBorder="1" applyAlignment="1" applyProtection="1">
      <alignment horizontal="left" vertical="center" wrapText="1"/>
    </xf>
    <xf numFmtId="0" fontId="20" fillId="6" borderId="0" xfId="16" applyNumberFormat="1" applyFont="1" applyFill="1" applyBorder="1" applyAlignment="1" applyProtection="1">
      <alignment horizontal="center" vertical="center" wrapText="1"/>
    </xf>
    <xf numFmtId="0" fontId="26" fillId="6" borderId="0" xfId="16" applyNumberFormat="1" applyFont="1" applyFill="1" applyBorder="1" applyAlignment="1" applyProtection="1">
      <alignment horizontal="center" vertical="center" wrapText="1"/>
    </xf>
    <xf numFmtId="0" fontId="22" fillId="6" borderId="0" xfId="16" applyNumberFormat="1" applyFont="1" applyFill="1" applyBorder="1" applyAlignment="1" applyProtection="1">
      <alignment horizontal="center" wrapText="1"/>
    </xf>
    <xf numFmtId="0" fontId="24" fillId="6" borderId="0" xfId="16" applyNumberFormat="1" applyFont="1" applyFill="1" applyBorder="1" applyAlignment="1" applyProtection="1">
      <alignment horizontal="left" vertical="center"/>
    </xf>
    <xf numFmtId="0" fontId="24" fillId="6" borderId="0" xfId="16" applyNumberFormat="1" applyFont="1" applyFill="1" applyBorder="1" applyAlignment="1" applyProtection="1">
      <alignment horizontal="left" vertical="center" wrapText="1"/>
    </xf>
    <xf numFmtId="0" fontId="23" fillId="6" borderId="0" xfId="16" applyNumberFormat="1" applyFont="1" applyFill="1" applyBorder="1" applyAlignment="1" applyProtection="1">
      <alignment horizontal="center"/>
    </xf>
    <xf numFmtId="0" fontId="24" fillId="6" borderId="0" xfId="16" applyNumberFormat="1" applyFont="1" applyFill="1" applyBorder="1" applyAlignment="1" applyProtection="1">
      <alignment horizontal="left" vertical="top"/>
    </xf>
    <xf numFmtId="0" fontId="20" fillId="6" borderId="0" xfId="16" applyNumberFormat="1" applyFont="1" applyFill="1" applyBorder="1" applyAlignment="1" applyProtection="1">
      <alignment horizontal="left" vertical="top" wrapText="1"/>
    </xf>
    <xf numFmtId="14" fontId="20" fillId="6" borderId="0" xfId="16" applyNumberFormat="1" applyFont="1" applyFill="1" applyBorder="1" applyAlignment="1" applyProtection="1">
      <alignment horizontal="left" vertical="top" wrapText="1"/>
    </xf>
    <xf numFmtId="0" fontId="23" fillId="6" borderId="0" xfId="16" applyNumberFormat="1" applyFont="1" applyFill="1" applyBorder="1" applyAlignment="1" applyProtection="1">
      <alignment horizontal="right" vertical="top"/>
    </xf>
    <xf numFmtId="0" fontId="24" fillId="6" borderId="14" xfId="16" applyNumberFormat="1" applyFont="1" applyFill="1" applyBorder="1" applyAlignment="1" applyProtection="1">
      <alignment horizontal="right" vertical="top"/>
    </xf>
    <xf numFmtId="0" fontId="22" fillId="6" borderId="0" xfId="16" applyNumberFormat="1" applyFont="1" applyFill="1" applyBorder="1" applyAlignment="1" applyProtection="1">
      <alignment horizontal="center" vertical="center" wrapText="1"/>
    </xf>
    <xf numFmtId="0" fontId="19" fillId="6" borderId="0" xfId="16" applyNumberFormat="1" applyFont="1" applyFill="1" applyBorder="1" applyAlignment="1" applyProtection="1">
      <alignment horizontal="left" vertical="top"/>
    </xf>
    <xf numFmtId="0" fontId="23" fillId="6" borderId="0" xfId="16" applyNumberFormat="1" applyFont="1" applyFill="1" applyBorder="1" applyAlignment="1" applyProtection="1">
      <alignment horizontal="center" vertical="center" wrapText="1"/>
    </xf>
    <xf numFmtId="0" fontId="22" fillId="6" borderId="0" xfId="16" applyNumberFormat="1" applyFont="1" applyFill="1" applyBorder="1" applyAlignment="1" applyProtection="1">
      <alignment horizontal="center" vertical="top"/>
    </xf>
    <xf numFmtId="0" fontId="24" fillId="6" borderId="0" xfId="16" applyNumberFormat="1" applyFont="1" applyFill="1" applyBorder="1" applyAlignment="1" applyProtection="1">
      <alignment horizontal="center" vertical="center"/>
    </xf>
    <xf numFmtId="0" fontId="27" fillId="6" borderId="0" xfId="16" applyNumberFormat="1" applyFont="1" applyFill="1" applyBorder="1" applyAlignment="1" applyProtection="1">
      <alignment horizontal="center"/>
    </xf>
    <xf numFmtId="0" fontId="39" fillId="3" borderId="0" xfId="17" applyFont="1" applyFill="1" applyBorder="1" applyAlignment="1">
      <alignment horizontal="center" vertical="center"/>
    </xf>
    <xf numFmtId="0" fontId="39" fillId="0" borderId="0" xfId="13" applyFont="1" applyFill="1" applyAlignment="1">
      <alignment horizontal="center" vertical="center"/>
    </xf>
    <xf numFmtId="0" fontId="34" fillId="3" borderId="0" xfId="13" applyFont="1" applyFill="1" applyAlignment="1">
      <alignment horizontal="center" wrapText="1"/>
    </xf>
    <xf numFmtId="165" fontId="39" fillId="3" borderId="0" xfId="7" applyNumberFormat="1" applyFont="1" applyFill="1" applyBorder="1" applyAlignment="1">
      <alignment horizontal="center" vertical="center"/>
    </xf>
    <xf numFmtId="2" fontId="39" fillId="3" borderId="0" xfId="17" applyNumberFormat="1" applyFont="1" applyFill="1" applyAlignment="1">
      <alignment horizontal="right" vertical="center" wrapText="1"/>
    </xf>
    <xf numFmtId="0" fontId="39" fillId="3" borderId="2" xfId="17" applyFont="1" applyFill="1" applyBorder="1" applyAlignment="1">
      <alignment horizontal="center" vertical="center"/>
    </xf>
    <xf numFmtId="0" fontId="37" fillId="5" borderId="10" xfId="13" applyFont="1" applyFill="1" applyBorder="1" applyAlignment="1">
      <alignment horizontal="center" vertical="center" wrapText="1"/>
    </xf>
    <xf numFmtId="0" fontId="37" fillId="5" borderId="13" xfId="13" applyFont="1" applyFill="1" applyBorder="1" applyAlignment="1">
      <alignment horizontal="center" vertical="center" wrapText="1"/>
    </xf>
    <xf numFmtId="0" fontId="37" fillId="5" borderId="11" xfId="13" applyFont="1" applyFill="1" applyBorder="1" applyAlignment="1">
      <alignment horizontal="center" vertical="center" wrapText="1"/>
    </xf>
    <xf numFmtId="0" fontId="37" fillId="5" borderId="12" xfId="13" applyFont="1" applyFill="1" applyBorder="1" applyAlignment="1">
      <alignment horizontal="center" vertical="center" wrapText="1"/>
    </xf>
    <xf numFmtId="0" fontId="35" fillId="0" borderId="1" xfId="13" applyFont="1" applyBorder="1" applyAlignment="1">
      <alignment horizontal="center" vertical="center" wrapText="1"/>
    </xf>
    <xf numFmtId="0" fontId="35" fillId="0" borderId="2" xfId="13" applyFont="1" applyBorder="1" applyAlignment="1">
      <alignment horizontal="center" vertical="center" wrapText="1"/>
    </xf>
    <xf numFmtId="0" fontId="35" fillId="0" borderId="3" xfId="13" applyFont="1" applyBorder="1" applyAlignment="1">
      <alignment horizontal="center" vertical="center" wrapText="1"/>
    </xf>
    <xf numFmtId="0" fontId="35" fillId="0" borderId="7" xfId="13" applyFont="1" applyBorder="1" applyAlignment="1">
      <alignment horizontal="center" vertical="center" wrapText="1"/>
    </xf>
    <xf numFmtId="0" fontId="35" fillId="0" borderId="0" xfId="13" applyFont="1" applyBorder="1" applyAlignment="1">
      <alignment horizontal="center" vertical="center" wrapText="1"/>
    </xf>
    <xf numFmtId="0" fontId="35" fillId="0" borderId="8" xfId="13" applyFont="1" applyBorder="1" applyAlignment="1">
      <alignment horizontal="center" vertical="center" wrapText="1"/>
    </xf>
    <xf numFmtId="0" fontId="35" fillId="0" borderId="4" xfId="13" applyFont="1" applyBorder="1" applyAlignment="1">
      <alignment horizontal="center" vertical="center" wrapText="1"/>
    </xf>
    <xf numFmtId="0" fontId="35" fillId="0" borderId="5" xfId="13" applyFont="1" applyBorder="1" applyAlignment="1">
      <alignment horizontal="center" vertical="center" wrapText="1"/>
    </xf>
    <xf numFmtId="0" fontId="35" fillId="0" borderId="6" xfId="13" applyFont="1" applyBorder="1" applyAlignment="1">
      <alignment horizontal="center" vertical="center" wrapText="1"/>
    </xf>
    <xf numFmtId="0" fontId="39" fillId="3" borderId="0" xfId="17" applyFont="1" applyFill="1" applyAlignment="1">
      <alignment horizontal="center" vertical="center"/>
    </xf>
    <xf numFmtId="167" fontId="39" fillId="3" borderId="0" xfId="17" applyNumberFormat="1" applyFont="1" applyFill="1" applyAlignment="1">
      <alignment horizontal="center" vertical="center"/>
    </xf>
    <xf numFmtId="0" fontId="26" fillId="3" borderId="0" xfId="13" applyFont="1" applyFill="1" applyAlignment="1">
      <alignment horizontal="center" vertical="center" wrapText="1"/>
    </xf>
    <xf numFmtId="0" fontId="20" fillId="3" borderId="0" xfId="13" applyFont="1" applyFill="1" applyAlignment="1">
      <alignment horizontal="center" vertical="center" wrapText="1"/>
    </xf>
    <xf numFmtId="3" fontId="34" fillId="3" borderId="0" xfId="13" applyNumberFormat="1" applyFont="1" applyFill="1" applyAlignment="1">
      <alignment horizontal="center" vertical="center" wrapText="1"/>
    </xf>
    <xf numFmtId="0" fontId="34" fillId="3" borderId="0" xfId="13" applyFont="1" applyFill="1" applyAlignment="1">
      <alignment horizontal="center" vertical="center"/>
    </xf>
    <xf numFmtId="0" fontId="35" fillId="3" borderId="0" xfId="13" applyFont="1" applyFill="1" applyAlignment="1">
      <alignment horizontal="left"/>
    </xf>
    <xf numFmtId="0" fontId="37" fillId="5" borderId="9" xfId="13" applyFont="1" applyFill="1" applyBorder="1" applyAlignment="1">
      <alignment horizontal="center" vertical="center" wrapText="1"/>
    </xf>
    <xf numFmtId="0" fontId="39" fillId="5" borderId="10" xfId="13" applyFont="1" applyFill="1" applyBorder="1" applyAlignment="1" applyProtection="1">
      <alignment horizontal="center" vertical="center" wrapText="1"/>
    </xf>
    <xf numFmtId="0" fontId="39" fillId="5" borderId="13" xfId="13" applyFont="1" applyFill="1" applyBorder="1" applyAlignment="1" applyProtection="1">
      <alignment horizontal="center" vertical="center" wrapText="1"/>
    </xf>
    <xf numFmtId="0" fontId="20" fillId="6" borderId="0" xfId="16" applyNumberFormat="1" applyFont="1" applyFill="1" applyBorder="1" applyAlignment="1" applyProtection="1">
      <alignment horizontal="center"/>
    </xf>
    <xf numFmtId="0" fontId="23" fillId="6" borderId="0" xfId="16" applyNumberFormat="1" applyFont="1" applyFill="1" applyBorder="1" applyAlignment="1" applyProtection="1">
      <alignment horizontal="center" vertical="center"/>
    </xf>
    <xf numFmtId="0" fontId="19" fillId="6" borderId="14" xfId="16" applyNumberFormat="1" applyFont="1" applyFill="1" applyBorder="1" applyAlignment="1" applyProtection="1">
      <alignment horizontal="left" vertical="top"/>
    </xf>
    <xf numFmtId="0" fontId="20" fillId="7" borderId="15" xfId="16" applyNumberFormat="1" applyFont="1" applyFill="1" applyBorder="1" applyAlignment="1" applyProtection="1">
      <alignment horizontal="center" vertical="center" wrapText="1"/>
    </xf>
    <xf numFmtId="0" fontId="20" fillId="7" borderId="27" xfId="16" applyNumberFormat="1" applyFont="1" applyFill="1" applyBorder="1" applyAlignment="1" applyProtection="1">
      <alignment horizontal="center" vertical="center" wrapText="1"/>
    </xf>
    <xf numFmtId="0" fontId="20" fillId="7" borderId="16" xfId="16" applyNumberFormat="1" applyFont="1" applyFill="1" applyBorder="1" applyAlignment="1" applyProtection="1">
      <alignment horizontal="center" vertical="center" wrapText="1"/>
    </xf>
    <xf numFmtId="0" fontId="20" fillId="7" borderId="28" xfId="16" applyNumberFormat="1" applyFont="1" applyFill="1" applyBorder="1" applyAlignment="1" applyProtection="1">
      <alignment horizontal="center" vertical="center" wrapText="1"/>
    </xf>
    <xf numFmtId="0" fontId="20" fillId="7" borderId="17" xfId="16" applyNumberFormat="1" applyFont="1" applyFill="1" applyBorder="1" applyAlignment="1" applyProtection="1">
      <alignment horizontal="center" vertical="center" wrapText="1"/>
    </xf>
    <xf numFmtId="0" fontId="22" fillId="6" borderId="0" xfId="16" applyNumberFormat="1" applyFont="1" applyFill="1" applyBorder="1" applyAlignment="1" applyProtection="1">
      <alignment horizontal="center" vertical="center"/>
    </xf>
    <xf numFmtId="0" fontId="21" fillId="6" borderId="0" xfId="16" applyNumberFormat="1" applyFont="1" applyFill="1" applyBorder="1" applyAlignment="1" applyProtection="1">
      <alignment horizontal="center" vertical="top" wrapText="1"/>
    </xf>
    <xf numFmtId="14" fontId="20" fillId="6" borderId="0" xfId="16" applyNumberFormat="1" applyFont="1" applyFill="1" applyBorder="1" applyAlignment="1" applyProtection="1">
      <alignment horizontal="left" vertical="top"/>
    </xf>
    <xf numFmtId="0" fontId="21" fillId="6" borderId="0" xfId="16" applyNumberFormat="1" applyFont="1" applyFill="1" applyBorder="1" applyAlignment="1" applyProtection="1">
      <alignment horizontal="center" vertical="center" wrapText="1"/>
    </xf>
    <xf numFmtId="0" fontId="20" fillId="6" borderId="0" xfId="16" applyNumberFormat="1" applyFont="1" applyFill="1" applyBorder="1" applyAlignment="1" applyProtection="1">
      <alignment horizontal="center" vertical="center"/>
    </xf>
    <xf numFmtId="0" fontId="30" fillId="6" borderId="0" xfId="16" applyNumberFormat="1" applyFont="1" applyFill="1" applyBorder="1" applyAlignment="1" applyProtection="1">
      <alignment horizontal="left" vertical="top"/>
    </xf>
    <xf numFmtId="0" fontId="20" fillId="6" borderId="0" xfId="16" applyNumberFormat="1" applyFont="1" applyFill="1" applyBorder="1" applyAlignment="1" applyProtection="1">
      <alignment horizontal="right" vertical="center" wrapText="1"/>
    </xf>
    <xf numFmtId="0" fontId="28" fillId="6" borderId="0" xfId="16" applyNumberFormat="1" applyFont="1" applyFill="1" applyBorder="1" applyAlignment="1" applyProtection="1">
      <alignment horizontal="center" vertical="center" wrapText="1"/>
    </xf>
    <xf numFmtId="0" fontId="34" fillId="6" borderId="0" xfId="16" applyNumberFormat="1" applyFont="1" applyFill="1" applyBorder="1" applyAlignment="1" applyProtection="1">
      <alignment horizontal="center" vertical="center" wrapText="1"/>
    </xf>
    <xf numFmtId="0" fontId="24" fillId="6" borderId="19" xfId="16" applyNumberFormat="1" applyFont="1" applyFill="1" applyBorder="1" applyAlignment="1" applyProtection="1">
      <alignment horizontal="left" vertical="top" wrapText="1"/>
    </xf>
    <xf numFmtId="172" fontId="23" fillId="6" borderId="19" xfId="16" applyNumberFormat="1" applyFont="1" applyFill="1" applyBorder="1" applyAlignment="1" applyProtection="1">
      <alignment horizontal="right" vertical="top"/>
    </xf>
    <xf numFmtId="172" fontId="23" fillId="6" borderId="20" xfId="16" applyNumberFormat="1" applyFont="1" applyFill="1" applyBorder="1" applyAlignment="1" applyProtection="1">
      <alignment horizontal="right" vertical="top"/>
    </xf>
    <xf numFmtId="0" fontId="24" fillId="6" borderId="22" xfId="16" applyNumberFormat="1" applyFont="1" applyFill="1" applyBorder="1" applyAlignment="1" applyProtection="1">
      <alignment horizontal="left" vertical="top" wrapText="1"/>
    </xf>
    <xf numFmtId="172" fontId="23" fillId="6" borderId="22" xfId="16" applyNumberFormat="1" applyFont="1" applyFill="1" applyBorder="1" applyAlignment="1" applyProtection="1">
      <alignment horizontal="right" vertical="top"/>
    </xf>
    <xf numFmtId="172" fontId="23" fillId="6" borderId="23" xfId="16" applyNumberFormat="1" applyFont="1" applyFill="1" applyBorder="1" applyAlignment="1" applyProtection="1">
      <alignment horizontal="right" vertical="top"/>
    </xf>
    <xf numFmtId="173" fontId="23" fillId="6" borderId="19" xfId="16" applyNumberFormat="1" applyFont="1" applyFill="1" applyBorder="1" applyAlignment="1" applyProtection="1">
      <alignment horizontal="right" vertical="top"/>
    </xf>
    <xf numFmtId="173" fontId="23" fillId="6" borderId="20" xfId="16" applyNumberFormat="1" applyFont="1" applyFill="1" applyBorder="1" applyAlignment="1" applyProtection="1">
      <alignment horizontal="right" vertical="top"/>
    </xf>
    <xf numFmtId="172" fontId="24" fillId="6" borderId="19" xfId="16" applyNumberFormat="1" applyFont="1" applyFill="1" applyBorder="1" applyAlignment="1" applyProtection="1">
      <alignment horizontal="right" vertical="top"/>
    </xf>
    <xf numFmtId="172" fontId="24" fillId="6" borderId="20" xfId="16" applyNumberFormat="1" applyFont="1" applyFill="1" applyBorder="1" applyAlignment="1" applyProtection="1">
      <alignment horizontal="right" vertical="top"/>
    </xf>
    <xf numFmtId="171" fontId="24" fillId="6" borderId="19" xfId="16" applyNumberFormat="1" applyFont="1" applyFill="1" applyBorder="1" applyAlignment="1" applyProtection="1">
      <alignment horizontal="right" vertical="top"/>
    </xf>
    <xf numFmtId="171" fontId="24" fillId="6" borderId="20" xfId="16" applyNumberFormat="1" applyFont="1" applyFill="1" applyBorder="1" applyAlignment="1" applyProtection="1">
      <alignment horizontal="right" vertical="top"/>
    </xf>
    <xf numFmtId="171" fontId="20" fillId="6" borderId="19" xfId="16" applyNumberFormat="1" applyFont="1" applyFill="1" applyBorder="1" applyAlignment="1" applyProtection="1">
      <alignment horizontal="right" vertical="top"/>
    </xf>
    <xf numFmtId="171" fontId="20" fillId="6" borderId="20" xfId="16" applyNumberFormat="1" applyFont="1" applyFill="1" applyBorder="1" applyAlignment="1" applyProtection="1">
      <alignment horizontal="right" vertical="top"/>
    </xf>
    <xf numFmtId="174" fontId="24" fillId="6" borderId="0" xfId="16" applyNumberFormat="1" applyFont="1" applyFill="1" applyBorder="1" applyAlignment="1" applyProtection="1">
      <alignment horizontal="left" vertical="top" wrapText="1"/>
    </xf>
    <xf numFmtId="0" fontId="26" fillId="6" borderId="0" xfId="16" applyNumberFormat="1" applyFont="1" applyFill="1" applyBorder="1" applyAlignment="1" applyProtection="1">
      <alignment horizontal="center" vertical="top" wrapText="1"/>
    </xf>
    <xf numFmtId="0" fontId="23" fillId="6" borderId="0" xfId="16" applyNumberFormat="1" applyFont="1" applyFill="1" applyBorder="1" applyAlignment="1" applyProtection="1">
      <alignment horizontal="center" vertical="top"/>
    </xf>
    <xf numFmtId="174" fontId="32" fillId="6" borderId="5" xfId="16" applyNumberFormat="1" applyFont="1" applyFill="1" applyBorder="1" applyAlignment="1" applyProtection="1">
      <alignment horizontal="left" vertical="top"/>
    </xf>
  </cellXfs>
  <cellStyles count="19">
    <cellStyle name="Comma 13" xfId="5"/>
    <cellStyle name="Comma 2" xfId="6"/>
    <cellStyle name="Comma 4" xfId="7"/>
    <cellStyle name="Currency [0] 2" xfId="8"/>
    <cellStyle name="Hyperlink" xfId="4" builtinId="8"/>
    <cellStyle name="Normal" xfId="0" builtinId="0"/>
    <cellStyle name="Normal 2" xfId="1"/>
    <cellStyle name="Normal 2 2" xfId="9"/>
    <cellStyle name="Normal 3" xfId="10"/>
    <cellStyle name="Normal 3 2" xfId="11"/>
    <cellStyle name="Normal 3 2 2" xfId="12"/>
    <cellStyle name="Normal 3 2 3" xfId="13"/>
    <cellStyle name="Normal 4" xfId="14"/>
    <cellStyle name="Normal 5" xfId="15"/>
    <cellStyle name="Normal 6" xfId="16"/>
    <cellStyle name="Normal_Bao cao tai chinh 280405" xfId="3"/>
    <cellStyle name="Normal_Bao cao tai chinh 280405 2" xfId="17"/>
    <cellStyle name="Percent" xfId="2" builtinId="5"/>
    <cellStyle name="Percent 2" xfId="1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76199</xdr:colOff>
      <xdr:row>0</xdr:row>
      <xdr:rowOff>38099</xdr:rowOff>
    </xdr:from>
    <xdr:to>
      <xdr:col>1</xdr:col>
      <xdr:colOff>571201</xdr:colOff>
      <xdr:row>0</xdr:row>
      <xdr:rowOff>390524</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76199" y="38099"/>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14102" cy="352425"/>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66</xdr:row>
      <xdr:rowOff>9525</xdr:rowOff>
    </xdr:from>
    <xdr:to>
      <xdr:col>6</xdr:col>
      <xdr:colOff>600075</xdr:colOff>
      <xdr:row>67</xdr:row>
      <xdr:rowOff>9525</xdr:rowOff>
    </xdr:to>
    <xdr:sp macro="" textlink="" fLocksText="0">
      <xdr:nvSpPr>
        <xdr:cNvPr id="3" name="Text Box 2"/>
        <xdr:cNvSpPr txBox="1">
          <a:spLocks noChangeArrowheads="1"/>
        </xdr:cNvSpPr>
      </xdr:nvSpPr>
      <xdr:spPr bwMode="auto">
        <a:xfrm>
          <a:off x="9525" y="172212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67</xdr:row>
      <xdr:rowOff>9525</xdr:rowOff>
    </xdr:from>
    <xdr:to>
      <xdr:col>6</xdr:col>
      <xdr:colOff>600075</xdr:colOff>
      <xdr:row>68</xdr:row>
      <xdr:rowOff>9525</xdr:rowOff>
    </xdr:to>
    <xdr:sp macro="" textlink="" fLocksText="0">
      <xdr:nvSpPr>
        <xdr:cNvPr id="4" name="Text Box 3"/>
        <xdr:cNvSpPr txBox="1">
          <a:spLocks noChangeArrowheads="1"/>
        </xdr:cNvSpPr>
      </xdr:nvSpPr>
      <xdr:spPr bwMode="auto">
        <a:xfrm>
          <a:off x="9525" y="17421225"/>
          <a:ext cx="71628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71</xdr:row>
      <xdr:rowOff>9525</xdr:rowOff>
    </xdr:from>
    <xdr:to>
      <xdr:col>2</xdr:col>
      <xdr:colOff>600075</xdr:colOff>
      <xdr:row>72</xdr:row>
      <xdr:rowOff>9525</xdr:rowOff>
    </xdr:to>
    <xdr:sp macro="" textlink="" fLocksText="0">
      <xdr:nvSpPr>
        <xdr:cNvPr id="5" name="Text Box 4"/>
        <xdr:cNvSpPr txBox="1">
          <a:spLocks noChangeArrowheads="1"/>
        </xdr:cNvSpPr>
      </xdr:nvSpPr>
      <xdr:spPr bwMode="auto">
        <a:xfrm>
          <a:off x="9525" y="187071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71</xdr:row>
      <xdr:rowOff>9525</xdr:rowOff>
    </xdr:from>
    <xdr:to>
      <xdr:col>7</xdr:col>
      <xdr:colOff>9525</xdr:colOff>
      <xdr:row>72</xdr:row>
      <xdr:rowOff>9525</xdr:rowOff>
    </xdr:to>
    <xdr:sp macro="" textlink="" fLocksText="0">
      <xdr:nvSpPr>
        <xdr:cNvPr id="6" name="Text Box 5"/>
        <xdr:cNvSpPr txBox="1">
          <a:spLocks noChangeArrowheads="1"/>
        </xdr:cNvSpPr>
      </xdr:nvSpPr>
      <xdr:spPr bwMode="auto">
        <a:xfrm>
          <a:off x="3362325" y="187071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72</xdr:row>
      <xdr:rowOff>9525</xdr:rowOff>
    </xdr:from>
    <xdr:to>
      <xdr:col>2</xdr:col>
      <xdr:colOff>600075</xdr:colOff>
      <xdr:row>73</xdr:row>
      <xdr:rowOff>9525</xdr:rowOff>
    </xdr:to>
    <xdr:sp macro="" textlink="" fLocksText="0">
      <xdr:nvSpPr>
        <xdr:cNvPr id="7" name="Text Box 6"/>
        <xdr:cNvSpPr txBox="1">
          <a:spLocks noChangeArrowheads="1"/>
        </xdr:cNvSpPr>
      </xdr:nvSpPr>
      <xdr:spPr bwMode="auto">
        <a:xfrm>
          <a:off x="9525" y="1886902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72</xdr:row>
      <xdr:rowOff>9525</xdr:rowOff>
    </xdr:from>
    <xdr:to>
      <xdr:col>7</xdr:col>
      <xdr:colOff>9525</xdr:colOff>
      <xdr:row>73</xdr:row>
      <xdr:rowOff>9525</xdr:rowOff>
    </xdr:to>
    <xdr:sp macro="" textlink="" fLocksText="0">
      <xdr:nvSpPr>
        <xdr:cNvPr id="8" name="Text Box 7"/>
        <xdr:cNvSpPr txBox="1">
          <a:spLocks noChangeArrowheads="1"/>
        </xdr:cNvSpPr>
      </xdr:nvSpPr>
      <xdr:spPr bwMode="auto">
        <a:xfrm>
          <a:off x="3362325" y="1886902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76</xdr:row>
      <xdr:rowOff>9525</xdr:rowOff>
    </xdr:from>
    <xdr:to>
      <xdr:col>2</xdr:col>
      <xdr:colOff>600075</xdr:colOff>
      <xdr:row>77</xdr:row>
      <xdr:rowOff>47625</xdr:rowOff>
    </xdr:to>
    <xdr:sp macro="" textlink="" fLocksText="0">
      <xdr:nvSpPr>
        <xdr:cNvPr id="9" name="Text Box 8"/>
        <xdr:cNvSpPr txBox="1">
          <a:spLocks noChangeArrowheads="1"/>
        </xdr:cNvSpPr>
      </xdr:nvSpPr>
      <xdr:spPr bwMode="auto">
        <a:xfrm>
          <a:off x="9525" y="1966912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76</xdr:row>
      <xdr:rowOff>9525</xdr:rowOff>
    </xdr:from>
    <xdr:to>
      <xdr:col>7</xdr:col>
      <xdr:colOff>9525</xdr:colOff>
      <xdr:row>77</xdr:row>
      <xdr:rowOff>47625</xdr:rowOff>
    </xdr:to>
    <xdr:sp macro="" textlink="" fLocksText="0">
      <xdr:nvSpPr>
        <xdr:cNvPr id="10" name="Text Box 9"/>
        <xdr:cNvSpPr txBox="1">
          <a:spLocks noChangeArrowheads="1"/>
        </xdr:cNvSpPr>
      </xdr:nvSpPr>
      <xdr:spPr bwMode="auto">
        <a:xfrm>
          <a:off x="3362325" y="1966912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oneCellAnchor>
    <xdr:from>
      <xdr:col>0</xdr:col>
      <xdr:colOff>9525</xdr:colOff>
      <xdr:row>77</xdr:row>
      <xdr:rowOff>9525</xdr:rowOff>
    </xdr:from>
    <xdr:ext cx="3352800" cy="200025"/>
    <xdr:sp macro="" textlink="" fLocksText="0">
      <xdr:nvSpPr>
        <xdr:cNvPr id="11" name="Text Box 8"/>
        <xdr:cNvSpPr txBox="1">
          <a:spLocks noChangeArrowheads="1"/>
        </xdr:cNvSpPr>
      </xdr:nvSpPr>
      <xdr:spPr bwMode="auto">
        <a:xfrm>
          <a:off x="9525" y="1966912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vi-VN" sz="800" b="1" i="0" u="none" strike="noStrike" baseline="0">
              <a:solidFill>
                <a:srgbClr val="000000"/>
              </a:solidFill>
              <a:latin typeface="Tahoma"/>
              <a:cs typeface="Tahoma"/>
            </a:rPr>
            <a:t>Phó Trưởng Phòng DVKHTC2</a:t>
          </a:r>
          <a:endParaRPr lang="en-US" sz="800" b="1" i="0" u="none" strike="noStrike" baseline="0">
            <a:solidFill>
              <a:srgbClr val="000000"/>
            </a:solidFill>
            <a:latin typeface="Tahoma"/>
            <a:cs typeface="Tahoma"/>
          </a:endParaRPr>
        </a:p>
      </xdr:txBody>
    </xdr:sp>
    <xdr:clientData/>
  </xdr:oneCellAnchor>
  <xdr:oneCellAnchor>
    <xdr:from>
      <xdr:col>3</xdr:col>
      <xdr:colOff>9525</xdr:colOff>
      <xdr:row>77</xdr:row>
      <xdr:rowOff>9525</xdr:rowOff>
    </xdr:from>
    <xdr:ext cx="3810000" cy="200025"/>
    <xdr:sp macro="" textlink="" fLocksText="0">
      <xdr:nvSpPr>
        <xdr:cNvPr id="12" name="Text Box 9"/>
        <xdr:cNvSpPr txBox="1">
          <a:spLocks noChangeArrowheads="1"/>
        </xdr:cNvSpPr>
      </xdr:nvSpPr>
      <xdr:spPr bwMode="auto">
        <a:xfrm>
          <a:off x="3362325" y="1966912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vi-VN" sz="800" b="1" i="0" u="none" strike="noStrike" baseline="0">
              <a:solidFill>
                <a:srgbClr val="000000"/>
              </a:solidFill>
              <a:latin typeface="Tahoma"/>
              <a:cs typeface="Tahoma"/>
            </a:rPr>
            <a:t>Tổng Giám đốc</a:t>
          </a:r>
          <a:endParaRPr lang="en-US" sz="800" b="1" i="0" u="none" strike="noStrike" baseline="0">
            <a:solidFill>
              <a:srgbClr val="000000"/>
            </a:solidFill>
            <a:latin typeface="Tahoma"/>
            <a:cs typeface="Tahoma"/>
          </a:endParaRPr>
        </a:p>
      </xdr:txBody>
    </xdr:sp>
    <xdr:clientData/>
  </xdr:oneCellAnchor>
  <xdr:oneCellAnchor>
    <xdr:from>
      <xdr:col>0</xdr:col>
      <xdr:colOff>9525</xdr:colOff>
      <xdr:row>78</xdr:row>
      <xdr:rowOff>9525</xdr:rowOff>
    </xdr:from>
    <xdr:ext cx="3352800" cy="200025"/>
    <xdr:sp macro="" textlink="" fLocksText="0">
      <xdr:nvSpPr>
        <xdr:cNvPr id="13" name="Text Box 8"/>
        <xdr:cNvSpPr txBox="1">
          <a:spLocks noChangeArrowheads="1"/>
        </xdr:cNvSpPr>
      </xdr:nvSpPr>
      <xdr:spPr bwMode="auto">
        <a:xfrm>
          <a:off x="9525" y="1966912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vi-VN" sz="800" b="1" i="0" u="none" strike="noStrike" baseline="0">
              <a:solidFill>
                <a:srgbClr val="000000"/>
              </a:solidFill>
              <a:latin typeface="Tahoma"/>
              <a:cs typeface="Tahoma"/>
            </a:rPr>
            <a:t>NGÔ THÙY DƯƠNG</a:t>
          </a:r>
          <a:endParaRPr lang="en-US" sz="800" b="1" i="0" u="none" strike="noStrike" baseline="0">
            <a:solidFill>
              <a:srgbClr val="000000"/>
            </a:solidFill>
            <a:latin typeface="Tahoma"/>
            <a:cs typeface="Tahoma"/>
          </a:endParaRPr>
        </a:p>
      </xdr:txBody>
    </xdr:sp>
    <xdr:clientData/>
  </xdr:oneCellAnchor>
  <xdr:oneCellAnchor>
    <xdr:from>
      <xdr:col>3</xdr:col>
      <xdr:colOff>9525</xdr:colOff>
      <xdr:row>78</xdr:row>
      <xdr:rowOff>9525</xdr:rowOff>
    </xdr:from>
    <xdr:ext cx="3810000" cy="200025"/>
    <xdr:sp macro="" textlink="" fLocksText="0">
      <xdr:nvSpPr>
        <xdr:cNvPr id="14" name="Text Box 9"/>
        <xdr:cNvSpPr txBox="1">
          <a:spLocks noChangeArrowheads="1"/>
        </xdr:cNvSpPr>
      </xdr:nvSpPr>
      <xdr:spPr bwMode="auto">
        <a:xfrm>
          <a:off x="3362325" y="1966912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TRẦN THANH TÂN</a:t>
          </a:r>
        </a:p>
      </xdr:txBody>
    </xdr:sp>
    <xdr:clientData/>
  </xdr:oneCellAnchor>
  <xdr:twoCellAnchor editAs="oneCell">
    <xdr:from>
      <xdr:col>0</xdr:col>
      <xdr:colOff>0</xdr:colOff>
      <xdr:row>0</xdr:row>
      <xdr:rowOff>0</xdr:rowOff>
    </xdr:from>
    <xdr:to>
      <xdr:col>1</xdr:col>
      <xdr:colOff>495002</xdr:colOff>
      <xdr:row>0</xdr:row>
      <xdr:rowOff>352425</xdr:rowOff>
    </xdr:to>
    <xdr:pic>
      <xdr:nvPicPr>
        <xdr:cNvPr id="16" name="Picture 15"/>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495002</xdr:colOff>
      <xdr:row>1</xdr:row>
      <xdr:rowOff>19050</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3" name="Straight Connector 2"/>
        <xdr:cNvCxnSpPr/>
      </xdr:nvCxnSpPr>
      <xdr:spPr>
        <a:xfrm>
          <a:off x="4660106" y="3876675"/>
          <a:ext cx="8270081" cy="30408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914102</xdr:colOff>
      <xdr:row>0</xdr:row>
      <xdr:rowOff>352425</xdr:rowOff>
    </xdr:to>
    <xdr:pic>
      <xdr:nvPicPr>
        <xdr:cNvPr id="4" name="Picture 3"/>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495002</xdr:colOff>
      <xdr:row>0</xdr:row>
      <xdr:rowOff>352425</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495002</xdr:colOff>
      <xdr:row>0</xdr:row>
      <xdr:rowOff>352425</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390227</xdr:colOff>
      <xdr:row>1</xdr:row>
      <xdr:rowOff>0</xdr:rowOff>
    </xdr:to>
    <xdr:pic>
      <xdr:nvPicPr>
        <xdr:cNvPr id="3" name="Picture 2"/>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84" t="22806" r="6123" b="21053"/>
        <a:stretch/>
      </xdr:blipFill>
      <xdr:spPr bwMode="auto">
        <a:xfrm>
          <a:off x="0" y="38100"/>
          <a:ext cx="914102"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view="pageBreakPreview" topLeftCell="A19" zoomScale="80" zoomScaleNormal="50" zoomScaleSheetLayoutView="80" workbookViewId="0">
      <selection activeCell="I1" sqref="A1:I48"/>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46" t="s">
        <v>0</v>
      </c>
      <c r="B1" s="246"/>
    </row>
    <row r="2" spans="1:10" ht="15.75" x14ac:dyDescent="0.25">
      <c r="C2" s="247" t="s">
        <v>1076</v>
      </c>
      <c r="D2" s="248"/>
      <c r="E2" s="249"/>
    </row>
    <row r="3" spans="1:10" ht="15.75" x14ac:dyDescent="0.25">
      <c r="A3" s="2"/>
      <c r="B3" s="2"/>
      <c r="C3" s="250" t="s">
        <v>49</v>
      </c>
      <c r="D3" s="245"/>
      <c r="E3" s="251"/>
    </row>
    <row r="4" spans="1:10" x14ac:dyDescent="0.25">
      <c r="A4" s="3"/>
      <c r="B4" s="3"/>
    </row>
    <row r="5" spans="1:10" ht="15.75" x14ac:dyDescent="0.25">
      <c r="A5" s="230" t="s">
        <v>1</v>
      </c>
      <c r="B5" s="230"/>
      <c r="E5" s="4"/>
      <c r="F5" s="4"/>
      <c r="G5" s="4"/>
      <c r="H5" s="4"/>
      <c r="I5" s="4"/>
    </row>
    <row r="6" spans="1:10" ht="15.75" x14ac:dyDescent="0.25">
      <c r="A6" s="2"/>
      <c r="B6" s="2"/>
      <c r="C6" s="252" t="s">
        <v>2</v>
      </c>
      <c r="D6" s="253"/>
      <c r="E6" s="5" t="s">
        <v>3</v>
      </c>
      <c r="F6" s="6"/>
      <c r="G6" s="6"/>
      <c r="H6" s="6"/>
      <c r="I6" s="7"/>
    </row>
    <row r="7" spans="1:10" ht="15.75" x14ac:dyDescent="0.25">
      <c r="A7" s="2"/>
      <c r="B7" s="2"/>
      <c r="C7" s="242" t="s">
        <v>4</v>
      </c>
      <c r="D7" s="243"/>
      <c r="E7" s="8" t="s">
        <v>5</v>
      </c>
      <c r="F7" s="9"/>
      <c r="G7" s="9"/>
      <c r="H7" s="9"/>
      <c r="I7" s="10"/>
      <c r="J7" s="11"/>
    </row>
    <row r="8" spans="1:10" ht="15.75" x14ac:dyDescent="0.25">
      <c r="A8" s="2"/>
      <c r="B8" s="2"/>
      <c r="C8" s="240" t="s">
        <v>6</v>
      </c>
      <c r="D8" s="241"/>
      <c r="E8" s="12" t="s">
        <v>7</v>
      </c>
      <c r="F8" s="13"/>
      <c r="G8" s="13"/>
      <c r="H8" s="13"/>
      <c r="I8" s="14"/>
      <c r="J8" s="11"/>
    </row>
    <row r="9" spans="1:10" ht="15.75" x14ac:dyDescent="0.25">
      <c r="A9" s="2"/>
      <c r="B9" s="2"/>
      <c r="C9" s="242" t="s">
        <v>8</v>
      </c>
      <c r="D9" s="243"/>
      <c r="E9" s="8" t="s">
        <v>9</v>
      </c>
      <c r="F9" s="9"/>
      <c r="G9" s="9"/>
      <c r="H9" s="9"/>
      <c r="I9" s="10"/>
      <c r="J9" s="11"/>
    </row>
    <row r="10" spans="1:10" ht="15.75" x14ac:dyDescent="0.25">
      <c r="A10" s="2"/>
      <c r="B10" s="2"/>
      <c r="C10" s="240" t="s">
        <v>10</v>
      </c>
      <c r="D10" s="241"/>
      <c r="E10" s="12" t="s">
        <v>11</v>
      </c>
      <c r="F10" s="13"/>
      <c r="G10" s="13"/>
      <c r="H10" s="13"/>
      <c r="I10" s="14"/>
      <c r="J10" s="11"/>
    </row>
    <row r="11" spans="1:10" ht="15.75" x14ac:dyDescent="0.25">
      <c r="A11" s="2"/>
      <c r="B11" s="2"/>
      <c r="C11" s="242" t="s">
        <v>12</v>
      </c>
      <c r="D11" s="243"/>
      <c r="E11" s="8" t="s">
        <v>13</v>
      </c>
      <c r="F11" s="9"/>
      <c r="G11" s="9"/>
      <c r="H11" s="9"/>
      <c r="I11" s="10"/>
      <c r="J11" s="11"/>
    </row>
    <row r="12" spans="1:10" ht="15.75" x14ac:dyDescent="0.25">
      <c r="A12" s="2"/>
      <c r="B12" s="2"/>
      <c r="C12" s="240" t="s">
        <v>14</v>
      </c>
      <c r="D12" s="241"/>
      <c r="E12" s="15">
        <v>43983</v>
      </c>
      <c r="F12" s="13"/>
      <c r="G12" s="13"/>
      <c r="H12" s="13"/>
      <c r="I12" s="14"/>
      <c r="J12" s="11"/>
    </row>
    <row r="13" spans="1:10" ht="15.75" x14ac:dyDescent="0.25">
      <c r="A13" s="2"/>
      <c r="B13" s="2"/>
      <c r="C13" s="244" t="s">
        <v>15</v>
      </c>
      <c r="D13" s="245"/>
      <c r="E13" s="346">
        <v>43983</v>
      </c>
      <c r="F13" s="346"/>
      <c r="G13" s="346"/>
      <c r="H13" s="346"/>
      <c r="I13" s="16"/>
      <c r="J13" s="11"/>
    </row>
    <row r="14" spans="1:10" ht="15.75" x14ac:dyDescent="0.25">
      <c r="C14" s="4"/>
      <c r="D14" s="17"/>
      <c r="E14" s="4"/>
      <c r="F14" s="4"/>
      <c r="G14" s="4"/>
      <c r="H14" s="4"/>
      <c r="I14" s="4"/>
      <c r="J14" s="4"/>
    </row>
    <row r="15" spans="1:10" ht="15.75" x14ac:dyDescent="0.25">
      <c r="A15" s="230" t="s">
        <v>16</v>
      </c>
      <c r="B15" s="230"/>
      <c r="E15" s="4"/>
      <c r="F15" s="4"/>
      <c r="G15" s="4"/>
      <c r="H15" s="4"/>
      <c r="I15" s="4"/>
      <c r="J15" s="4"/>
    </row>
    <row r="16" spans="1:10" ht="15.75" x14ac:dyDescent="0.25">
      <c r="C16" s="231" t="s">
        <v>17</v>
      </c>
      <c r="D16" s="232"/>
      <c r="E16" s="233"/>
      <c r="G16" s="231" t="s">
        <v>18</v>
      </c>
      <c r="H16" s="232"/>
      <c r="I16" s="233"/>
    </row>
    <row r="17" spans="1:9" ht="15.75" x14ac:dyDescent="0.25">
      <c r="A17" s="4"/>
      <c r="B17" s="4"/>
      <c r="C17" s="234" t="s">
        <v>19</v>
      </c>
      <c r="D17" s="235"/>
      <c r="E17" s="236"/>
      <c r="G17" s="234" t="s">
        <v>20</v>
      </c>
      <c r="H17" s="235"/>
      <c r="I17" s="236"/>
    </row>
    <row r="18" spans="1:9" ht="15.75" x14ac:dyDescent="0.25">
      <c r="A18" s="4"/>
      <c r="B18" s="4"/>
      <c r="C18" s="234"/>
      <c r="D18" s="235"/>
      <c r="E18" s="236"/>
      <c r="G18" s="237"/>
      <c r="H18" s="238"/>
      <c r="I18" s="239"/>
    </row>
    <row r="19" spans="1:9" ht="15.75" x14ac:dyDescent="0.25">
      <c r="A19" s="4"/>
      <c r="B19" s="4"/>
      <c r="C19" s="234"/>
      <c r="D19" s="235"/>
      <c r="E19" s="236"/>
      <c r="G19" s="237"/>
      <c r="H19" s="238"/>
      <c r="I19" s="239"/>
    </row>
    <row r="20" spans="1:9" ht="15.75" x14ac:dyDescent="0.25">
      <c r="A20" s="4"/>
      <c r="B20" s="4"/>
      <c r="C20" s="234"/>
      <c r="D20" s="235"/>
      <c r="E20" s="236"/>
      <c r="G20" s="237"/>
      <c r="H20" s="238"/>
      <c r="I20" s="239"/>
    </row>
    <row r="21" spans="1:9" ht="15.75" x14ac:dyDescent="0.25">
      <c r="A21" s="4"/>
      <c r="B21" s="4"/>
      <c r="C21" s="234"/>
      <c r="D21" s="235"/>
      <c r="E21" s="236"/>
      <c r="G21" s="237"/>
      <c r="H21" s="238"/>
      <c r="I21" s="239"/>
    </row>
    <row r="22" spans="1:9" ht="15.75" x14ac:dyDescent="0.25">
      <c r="A22" s="4"/>
      <c r="B22" s="4"/>
      <c r="C22" s="234"/>
      <c r="D22" s="235"/>
      <c r="E22" s="236"/>
      <c r="G22" s="237"/>
      <c r="H22" s="238"/>
      <c r="I22" s="239"/>
    </row>
    <row r="23" spans="1:9" ht="15.75" x14ac:dyDescent="0.25">
      <c r="A23" s="4"/>
      <c r="B23" s="4"/>
      <c r="C23" s="234"/>
      <c r="D23" s="235"/>
      <c r="E23" s="236"/>
      <c r="G23" s="237"/>
      <c r="H23" s="238"/>
      <c r="I23" s="239"/>
    </row>
    <row r="24" spans="1:9" ht="15.75" x14ac:dyDescent="0.25">
      <c r="A24" s="4"/>
      <c r="B24" s="4"/>
      <c r="C24" s="224" t="s">
        <v>7</v>
      </c>
      <c r="D24" s="225"/>
      <c r="E24" s="226"/>
      <c r="G24" s="224" t="s">
        <v>3</v>
      </c>
      <c r="H24" s="225"/>
      <c r="I24" s="226"/>
    </row>
    <row r="25" spans="1:9" ht="15.75" x14ac:dyDescent="0.25">
      <c r="A25" s="4"/>
      <c r="B25" s="4"/>
      <c r="C25" s="224" t="s">
        <v>1073</v>
      </c>
      <c r="D25" s="225"/>
      <c r="E25" s="226"/>
      <c r="G25" s="224" t="s">
        <v>1003</v>
      </c>
      <c r="H25" s="225"/>
      <c r="I25" s="226"/>
    </row>
    <row r="26" spans="1:9" ht="15.75" x14ac:dyDescent="0.25">
      <c r="A26" s="4"/>
      <c r="B26" s="4"/>
      <c r="C26" s="227" t="s">
        <v>1074</v>
      </c>
      <c r="D26" s="228"/>
      <c r="E26" s="229"/>
      <c r="G26" s="227" t="s">
        <v>1075</v>
      </c>
      <c r="H26" s="228"/>
      <c r="I26" s="229"/>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21</v>
      </c>
      <c r="D29" s="222" t="s">
        <v>22</v>
      </c>
      <c r="E29" s="222"/>
      <c r="F29" s="222"/>
      <c r="G29" s="222"/>
      <c r="H29" s="21" t="s">
        <v>23</v>
      </c>
      <c r="I29" s="19"/>
    </row>
    <row r="30" spans="1:9" ht="15.75" x14ac:dyDescent="0.25">
      <c r="A30" s="4"/>
      <c r="B30" s="4"/>
      <c r="C30" s="20" t="s">
        <v>24</v>
      </c>
      <c r="D30" s="222" t="s">
        <v>25</v>
      </c>
      <c r="E30" s="222"/>
      <c r="F30" s="222"/>
      <c r="G30" s="222"/>
      <c r="H30" s="21"/>
      <c r="I30" s="19"/>
    </row>
    <row r="31" spans="1:9" ht="15.75" x14ac:dyDescent="0.25">
      <c r="A31" s="4"/>
      <c r="B31" s="4"/>
      <c r="C31" s="22">
        <v>1</v>
      </c>
      <c r="D31" s="223" t="s">
        <v>26</v>
      </c>
      <c r="E31" s="223"/>
      <c r="F31" s="223"/>
      <c r="G31" s="223"/>
      <c r="H31" s="144" t="s">
        <v>27</v>
      </c>
      <c r="I31" s="19"/>
    </row>
    <row r="32" spans="1:9" ht="15.75" x14ac:dyDescent="0.25">
      <c r="A32" s="4"/>
      <c r="B32" s="4"/>
      <c r="C32" s="22">
        <v>2</v>
      </c>
      <c r="D32" s="223" t="s">
        <v>28</v>
      </c>
      <c r="E32" s="223"/>
      <c r="F32" s="223"/>
      <c r="G32" s="223"/>
      <c r="H32" s="144" t="s">
        <v>29</v>
      </c>
      <c r="I32" s="19"/>
    </row>
    <row r="33" spans="1:9" ht="15.75" x14ac:dyDescent="0.25">
      <c r="A33" s="4"/>
      <c r="B33" s="4"/>
      <c r="C33" s="22">
        <v>3</v>
      </c>
      <c r="D33" s="223" t="s">
        <v>30</v>
      </c>
      <c r="E33" s="223"/>
      <c r="F33" s="223"/>
      <c r="G33" s="223"/>
      <c r="H33" s="144" t="s">
        <v>31</v>
      </c>
      <c r="I33" s="19"/>
    </row>
    <row r="34" spans="1:9" ht="15.75" x14ac:dyDescent="0.25">
      <c r="A34" s="4"/>
      <c r="B34" s="4"/>
      <c r="C34" s="22">
        <v>4</v>
      </c>
      <c r="D34" s="223" t="s">
        <v>32</v>
      </c>
      <c r="E34" s="223"/>
      <c r="F34" s="223"/>
      <c r="G34" s="223"/>
      <c r="H34" s="144" t="s">
        <v>33</v>
      </c>
      <c r="I34" s="19"/>
    </row>
    <row r="35" spans="1:9" ht="15.75" x14ac:dyDescent="0.25">
      <c r="A35" s="4"/>
      <c r="B35" s="4"/>
      <c r="C35" s="22">
        <v>5</v>
      </c>
      <c r="D35" s="223" t="s">
        <v>34</v>
      </c>
      <c r="E35" s="223"/>
      <c r="F35" s="223"/>
      <c r="G35" s="223"/>
      <c r="H35" s="144" t="s">
        <v>35</v>
      </c>
      <c r="I35" s="19"/>
    </row>
    <row r="36" spans="1:9" ht="15.75" x14ac:dyDescent="0.25">
      <c r="A36" s="4"/>
      <c r="B36" s="4"/>
      <c r="C36" s="22">
        <v>6</v>
      </c>
      <c r="D36" s="223" t="s">
        <v>36</v>
      </c>
      <c r="E36" s="223"/>
      <c r="F36" s="223"/>
      <c r="G36" s="223"/>
      <c r="H36" s="144" t="s">
        <v>37</v>
      </c>
      <c r="I36" s="19"/>
    </row>
    <row r="37" spans="1:9" ht="15.75" x14ac:dyDescent="0.25">
      <c r="A37" s="4"/>
      <c r="B37" s="4"/>
      <c r="C37" s="22">
        <v>7</v>
      </c>
      <c r="D37" s="223" t="s">
        <v>38</v>
      </c>
      <c r="E37" s="223"/>
      <c r="F37" s="223"/>
      <c r="G37" s="223"/>
      <c r="H37" s="144" t="s">
        <v>39</v>
      </c>
      <c r="I37" s="19"/>
    </row>
    <row r="38" spans="1:9" ht="15.75" x14ac:dyDescent="0.25">
      <c r="A38" s="4"/>
      <c r="B38" s="4"/>
      <c r="C38" s="22">
        <v>8</v>
      </c>
      <c r="D38" s="223" t="s">
        <v>40</v>
      </c>
      <c r="E38" s="223"/>
      <c r="F38" s="223"/>
      <c r="G38" s="223"/>
      <c r="H38" s="144" t="s">
        <v>41</v>
      </c>
      <c r="I38" s="19"/>
    </row>
    <row r="39" spans="1:9" ht="15.75" x14ac:dyDescent="0.25">
      <c r="A39" s="4"/>
      <c r="B39" s="4"/>
      <c r="C39" s="22">
        <v>9</v>
      </c>
      <c r="D39" s="223" t="s">
        <v>42</v>
      </c>
      <c r="E39" s="223"/>
      <c r="F39" s="223"/>
      <c r="G39" s="223"/>
      <c r="H39" s="144" t="s">
        <v>43</v>
      </c>
      <c r="I39" s="19"/>
    </row>
    <row r="40" spans="1:9" ht="15.75" x14ac:dyDescent="0.25">
      <c r="A40" s="4"/>
      <c r="B40" s="4"/>
      <c r="C40" s="20" t="s">
        <v>44</v>
      </c>
      <c r="D40" s="221" t="s">
        <v>45</v>
      </c>
      <c r="E40" s="221"/>
      <c r="F40" s="221"/>
      <c r="G40" s="221"/>
      <c r="H40" s="23" t="s">
        <v>46</v>
      </c>
      <c r="I40" s="19"/>
    </row>
    <row r="41" spans="1:9" ht="15.75" x14ac:dyDescent="0.25">
      <c r="A41" s="4"/>
      <c r="B41" s="4"/>
      <c r="C41" s="18"/>
      <c r="D41" s="18"/>
      <c r="E41" s="18"/>
      <c r="G41" s="19"/>
      <c r="H41" s="19"/>
      <c r="I41" s="19"/>
    </row>
    <row r="42" spans="1:9" ht="15.75" x14ac:dyDescent="0.25">
      <c r="A42" s="4"/>
      <c r="B42" s="4"/>
      <c r="C42" s="18"/>
      <c r="D42" s="18"/>
      <c r="E42" s="18"/>
      <c r="G42" s="19"/>
      <c r="H42" s="19"/>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B52" s="24"/>
      <c r="C52" s="25"/>
    </row>
    <row r="69" ht="78.75" customHeight="1" x14ac:dyDescent="0.25"/>
  </sheetData>
  <mergeCells count="38">
    <mergeCell ref="C7:D7"/>
    <mergeCell ref="A1:B1"/>
    <mergeCell ref="C2:E2"/>
    <mergeCell ref="C3:E3"/>
    <mergeCell ref="A5:B5"/>
    <mergeCell ref="C6:D6"/>
    <mergeCell ref="C18:E23"/>
    <mergeCell ref="G18:I23"/>
    <mergeCell ref="C8:D8"/>
    <mergeCell ref="C9:D9"/>
    <mergeCell ref="C10:D10"/>
    <mergeCell ref="C11:D11"/>
    <mergeCell ref="C12:D12"/>
    <mergeCell ref="C13:D13"/>
    <mergeCell ref="E13:H13"/>
    <mergeCell ref="A15:B15"/>
    <mergeCell ref="C16:E16"/>
    <mergeCell ref="G16:I16"/>
    <mergeCell ref="C17:E17"/>
    <mergeCell ref="G17:I17"/>
    <mergeCell ref="C24:E24"/>
    <mergeCell ref="G24:I24"/>
    <mergeCell ref="C25:E25"/>
    <mergeCell ref="G25:I25"/>
    <mergeCell ref="C26:E26"/>
    <mergeCell ref="G26:I26"/>
    <mergeCell ref="D40:G40"/>
    <mergeCell ref="D29:G29"/>
    <mergeCell ref="D30:G30"/>
    <mergeCell ref="D31:G31"/>
    <mergeCell ref="D32:G32"/>
    <mergeCell ref="D33:G33"/>
    <mergeCell ref="D34:G34"/>
    <mergeCell ref="D35:G35"/>
    <mergeCell ref="D36:G36"/>
    <mergeCell ref="D37:G37"/>
    <mergeCell ref="D38:G38"/>
    <mergeCell ref="D39:G39"/>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B03_181!A1" display="06107"/>
    <hyperlink ref="H39" location="BCThayDoiNAV_PL15.229!A1" display="06182"/>
  </hyperlinks>
  <pageMargins left="0.71"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112"/>
  <sheetViews>
    <sheetView showGridLines="0" showZeros="0" showOutlineSymbols="0" view="pageBreakPreview" zoomScaleNormal="100" zoomScaleSheetLayoutView="100" workbookViewId="0">
      <selection activeCell="C1" sqref="A1:F112"/>
    </sheetView>
  </sheetViews>
  <sheetFormatPr defaultRowHeight="12.75" x14ac:dyDescent="0.25"/>
  <cols>
    <col min="1" max="1" width="6.28515625" style="153" customWidth="1"/>
    <col min="2" max="2" width="45.85546875" style="153" customWidth="1"/>
    <col min="3" max="3" width="9.28515625" style="153" customWidth="1"/>
    <col min="4" max="5" width="17.140625" style="153" customWidth="1"/>
    <col min="6" max="6" width="11.7109375" style="153" customWidth="1"/>
    <col min="7" max="256" width="9.140625" style="153"/>
    <col min="257" max="257" width="6.28515625" style="153" customWidth="1"/>
    <col min="258" max="258" width="45.85546875" style="153" customWidth="1"/>
    <col min="259" max="259" width="9.28515625" style="153" customWidth="1"/>
    <col min="260" max="261" width="17.140625" style="153" customWidth="1"/>
    <col min="262" max="262" width="11.7109375" style="153" customWidth="1"/>
    <col min="263" max="512" width="9.140625" style="153"/>
    <col min="513" max="513" width="6.28515625" style="153" customWidth="1"/>
    <col min="514" max="514" width="45.85546875" style="153" customWidth="1"/>
    <col min="515" max="515" width="9.28515625" style="153" customWidth="1"/>
    <col min="516" max="517" width="17.140625" style="153" customWidth="1"/>
    <col min="518" max="518" width="11.7109375" style="153" customWidth="1"/>
    <col min="519" max="768" width="9.140625" style="153"/>
    <col min="769" max="769" width="6.28515625" style="153" customWidth="1"/>
    <col min="770" max="770" width="45.85546875" style="153" customWidth="1"/>
    <col min="771" max="771" width="9.28515625" style="153" customWidth="1"/>
    <col min="772" max="773" width="17.140625" style="153" customWidth="1"/>
    <col min="774" max="774" width="11.7109375" style="153" customWidth="1"/>
    <col min="775" max="1024" width="9.140625" style="153"/>
    <col min="1025" max="1025" width="6.28515625" style="153" customWidth="1"/>
    <col min="1026" max="1026" width="45.85546875" style="153" customWidth="1"/>
    <col min="1027" max="1027" width="9.28515625" style="153" customWidth="1"/>
    <col min="1028" max="1029" width="17.140625" style="153" customWidth="1"/>
    <col min="1030" max="1030" width="11.7109375" style="153" customWidth="1"/>
    <col min="1031" max="1280" width="9.140625" style="153"/>
    <col min="1281" max="1281" width="6.28515625" style="153" customWidth="1"/>
    <col min="1282" max="1282" width="45.85546875" style="153" customWidth="1"/>
    <col min="1283" max="1283" width="9.28515625" style="153" customWidth="1"/>
    <col min="1284" max="1285" width="17.140625" style="153" customWidth="1"/>
    <col min="1286" max="1286" width="11.7109375" style="153" customWidth="1"/>
    <col min="1287" max="1536" width="9.140625" style="153"/>
    <col min="1537" max="1537" width="6.28515625" style="153" customWidth="1"/>
    <col min="1538" max="1538" width="45.85546875" style="153" customWidth="1"/>
    <col min="1539" max="1539" width="9.28515625" style="153" customWidth="1"/>
    <col min="1540" max="1541" width="17.140625" style="153" customWidth="1"/>
    <col min="1542" max="1542" width="11.7109375" style="153" customWidth="1"/>
    <col min="1543" max="1792" width="9.140625" style="153"/>
    <col min="1793" max="1793" width="6.28515625" style="153" customWidth="1"/>
    <col min="1794" max="1794" width="45.85546875" style="153" customWidth="1"/>
    <col min="1795" max="1795" width="9.28515625" style="153" customWidth="1"/>
    <col min="1796" max="1797" width="17.140625" style="153" customWidth="1"/>
    <col min="1798" max="1798" width="11.7109375" style="153" customWidth="1"/>
    <col min="1799" max="2048" width="9.140625" style="153"/>
    <col min="2049" max="2049" width="6.28515625" style="153" customWidth="1"/>
    <col min="2050" max="2050" width="45.85546875" style="153" customWidth="1"/>
    <col min="2051" max="2051" width="9.28515625" style="153" customWidth="1"/>
    <col min="2052" max="2053" width="17.140625" style="153" customWidth="1"/>
    <col min="2054" max="2054" width="11.7109375" style="153" customWidth="1"/>
    <col min="2055" max="2304" width="9.140625" style="153"/>
    <col min="2305" max="2305" width="6.28515625" style="153" customWidth="1"/>
    <col min="2306" max="2306" width="45.85546875" style="153" customWidth="1"/>
    <col min="2307" max="2307" width="9.28515625" style="153" customWidth="1"/>
    <col min="2308" max="2309" width="17.140625" style="153" customWidth="1"/>
    <col min="2310" max="2310" width="11.7109375" style="153" customWidth="1"/>
    <col min="2311" max="2560" width="9.140625" style="153"/>
    <col min="2561" max="2561" width="6.28515625" style="153" customWidth="1"/>
    <col min="2562" max="2562" width="45.85546875" style="153" customWidth="1"/>
    <col min="2563" max="2563" width="9.28515625" style="153" customWidth="1"/>
    <col min="2564" max="2565" width="17.140625" style="153" customWidth="1"/>
    <col min="2566" max="2566" width="11.7109375" style="153" customWidth="1"/>
    <col min="2567" max="2816" width="9.140625" style="153"/>
    <col min="2817" max="2817" width="6.28515625" style="153" customWidth="1"/>
    <col min="2818" max="2818" width="45.85546875" style="153" customWidth="1"/>
    <col min="2819" max="2819" width="9.28515625" style="153" customWidth="1"/>
    <col min="2820" max="2821" width="17.140625" style="153" customWidth="1"/>
    <col min="2822" max="2822" width="11.7109375" style="153" customWidth="1"/>
    <col min="2823" max="3072" width="9.140625" style="153"/>
    <col min="3073" max="3073" width="6.28515625" style="153" customWidth="1"/>
    <col min="3074" max="3074" width="45.85546875" style="153" customWidth="1"/>
    <col min="3075" max="3075" width="9.28515625" style="153" customWidth="1"/>
    <col min="3076" max="3077" width="17.140625" style="153" customWidth="1"/>
    <col min="3078" max="3078" width="11.7109375" style="153" customWidth="1"/>
    <col min="3079" max="3328" width="9.140625" style="153"/>
    <col min="3329" max="3329" width="6.28515625" style="153" customWidth="1"/>
    <col min="3330" max="3330" width="45.85546875" style="153" customWidth="1"/>
    <col min="3331" max="3331" width="9.28515625" style="153" customWidth="1"/>
    <col min="3332" max="3333" width="17.140625" style="153" customWidth="1"/>
    <col min="3334" max="3334" width="11.7109375" style="153" customWidth="1"/>
    <col min="3335" max="3584" width="9.140625" style="153"/>
    <col min="3585" max="3585" width="6.28515625" style="153" customWidth="1"/>
    <col min="3586" max="3586" width="45.85546875" style="153" customWidth="1"/>
    <col min="3587" max="3587" width="9.28515625" style="153" customWidth="1"/>
    <col min="3588" max="3589" width="17.140625" style="153" customWidth="1"/>
    <col min="3590" max="3590" width="11.7109375" style="153" customWidth="1"/>
    <col min="3591" max="3840" width="9.140625" style="153"/>
    <col min="3841" max="3841" width="6.28515625" style="153" customWidth="1"/>
    <col min="3842" max="3842" width="45.85546875" style="153" customWidth="1"/>
    <col min="3843" max="3843" width="9.28515625" style="153" customWidth="1"/>
    <col min="3844" max="3845" width="17.140625" style="153" customWidth="1"/>
    <col min="3846" max="3846" width="11.7109375" style="153" customWidth="1"/>
    <col min="3847" max="4096" width="9.140625" style="153"/>
    <col min="4097" max="4097" width="6.28515625" style="153" customWidth="1"/>
    <col min="4098" max="4098" width="45.85546875" style="153" customWidth="1"/>
    <col min="4099" max="4099" width="9.28515625" style="153" customWidth="1"/>
    <col min="4100" max="4101" width="17.140625" style="153" customWidth="1"/>
    <col min="4102" max="4102" width="11.7109375" style="153" customWidth="1"/>
    <col min="4103" max="4352" width="9.140625" style="153"/>
    <col min="4353" max="4353" width="6.28515625" style="153" customWidth="1"/>
    <col min="4354" max="4354" width="45.85546875" style="153" customWidth="1"/>
    <col min="4355" max="4355" width="9.28515625" style="153" customWidth="1"/>
    <col min="4356" max="4357" width="17.140625" style="153" customWidth="1"/>
    <col min="4358" max="4358" width="11.7109375" style="153" customWidth="1"/>
    <col min="4359" max="4608" width="9.140625" style="153"/>
    <col min="4609" max="4609" width="6.28515625" style="153" customWidth="1"/>
    <col min="4610" max="4610" width="45.85546875" style="153" customWidth="1"/>
    <col min="4611" max="4611" width="9.28515625" style="153" customWidth="1"/>
    <col min="4612" max="4613" width="17.140625" style="153" customWidth="1"/>
    <col min="4614" max="4614" width="11.7109375" style="153" customWidth="1"/>
    <col min="4615" max="4864" width="9.140625" style="153"/>
    <col min="4865" max="4865" width="6.28515625" style="153" customWidth="1"/>
    <col min="4866" max="4866" width="45.85546875" style="153" customWidth="1"/>
    <col min="4867" max="4867" width="9.28515625" style="153" customWidth="1"/>
    <col min="4868" max="4869" width="17.140625" style="153" customWidth="1"/>
    <col min="4870" max="4870" width="11.7109375" style="153" customWidth="1"/>
    <col min="4871" max="5120" width="9.140625" style="153"/>
    <col min="5121" max="5121" width="6.28515625" style="153" customWidth="1"/>
    <col min="5122" max="5122" width="45.85546875" style="153" customWidth="1"/>
    <col min="5123" max="5123" width="9.28515625" style="153" customWidth="1"/>
    <col min="5124" max="5125" width="17.140625" style="153" customWidth="1"/>
    <col min="5126" max="5126" width="11.7109375" style="153" customWidth="1"/>
    <col min="5127" max="5376" width="9.140625" style="153"/>
    <col min="5377" max="5377" width="6.28515625" style="153" customWidth="1"/>
    <col min="5378" max="5378" width="45.85546875" style="153" customWidth="1"/>
    <col min="5379" max="5379" width="9.28515625" style="153" customWidth="1"/>
    <col min="5380" max="5381" width="17.140625" style="153" customWidth="1"/>
    <col min="5382" max="5382" width="11.7109375" style="153" customWidth="1"/>
    <col min="5383" max="5632" width="9.140625" style="153"/>
    <col min="5633" max="5633" width="6.28515625" style="153" customWidth="1"/>
    <col min="5634" max="5634" width="45.85546875" style="153" customWidth="1"/>
    <col min="5635" max="5635" width="9.28515625" style="153" customWidth="1"/>
    <col min="5636" max="5637" width="17.140625" style="153" customWidth="1"/>
    <col min="5638" max="5638" width="11.7109375" style="153" customWidth="1"/>
    <col min="5639" max="5888" width="9.140625" style="153"/>
    <col min="5889" max="5889" width="6.28515625" style="153" customWidth="1"/>
    <col min="5890" max="5890" width="45.85546875" style="153" customWidth="1"/>
    <col min="5891" max="5891" width="9.28515625" style="153" customWidth="1"/>
    <col min="5892" max="5893" width="17.140625" style="153" customWidth="1"/>
    <col min="5894" max="5894" width="11.7109375" style="153" customWidth="1"/>
    <col min="5895" max="6144" width="9.140625" style="153"/>
    <col min="6145" max="6145" width="6.28515625" style="153" customWidth="1"/>
    <col min="6146" max="6146" width="45.85546875" style="153" customWidth="1"/>
    <col min="6147" max="6147" width="9.28515625" style="153" customWidth="1"/>
    <col min="6148" max="6149" width="17.140625" style="153" customWidth="1"/>
    <col min="6150" max="6150" width="11.7109375" style="153" customWidth="1"/>
    <col min="6151" max="6400" width="9.140625" style="153"/>
    <col min="6401" max="6401" width="6.28515625" style="153" customWidth="1"/>
    <col min="6402" max="6402" width="45.85546875" style="153" customWidth="1"/>
    <col min="6403" max="6403" width="9.28515625" style="153" customWidth="1"/>
    <col min="6404" max="6405" width="17.140625" style="153" customWidth="1"/>
    <col min="6406" max="6406" width="11.7109375" style="153" customWidth="1"/>
    <col min="6407" max="6656" width="9.140625" style="153"/>
    <col min="6657" max="6657" width="6.28515625" style="153" customWidth="1"/>
    <col min="6658" max="6658" width="45.85546875" style="153" customWidth="1"/>
    <col min="6659" max="6659" width="9.28515625" style="153" customWidth="1"/>
    <col min="6660" max="6661" width="17.140625" style="153" customWidth="1"/>
    <col min="6662" max="6662" width="11.7109375" style="153" customWidth="1"/>
    <col min="6663" max="6912" width="9.140625" style="153"/>
    <col min="6913" max="6913" width="6.28515625" style="153" customWidth="1"/>
    <col min="6914" max="6914" width="45.85546875" style="153" customWidth="1"/>
    <col min="6915" max="6915" width="9.28515625" style="153" customWidth="1"/>
    <col min="6916" max="6917" width="17.140625" style="153" customWidth="1"/>
    <col min="6918" max="6918" width="11.7109375" style="153" customWidth="1"/>
    <col min="6919" max="7168" width="9.140625" style="153"/>
    <col min="7169" max="7169" width="6.28515625" style="153" customWidth="1"/>
    <col min="7170" max="7170" width="45.85546875" style="153" customWidth="1"/>
    <col min="7171" max="7171" width="9.28515625" style="153" customWidth="1"/>
    <col min="7172" max="7173" width="17.140625" style="153" customWidth="1"/>
    <col min="7174" max="7174" width="11.7109375" style="153" customWidth="1"/>
    <col min="7175" max="7424" width="9.140625" style="153"/>
    <col min="7425" max="7425" width="6.28515625" style="153" customWidth="1"/>
    <col min="7426" max="7426" width="45.85546875" style="153" customWidth="1"/>
    <col min="7427" max="7427" width="9.28515625" style="153" customWidth="1"/>
    <col min="7428" max="7429" width="17.140625" style="153" customWidth="1"/>
    <col min="7430" max="7430" width="11.7109375" style="153" customWidth="1"/>
    <col min="7431" max="7680" width="9.140625" style="153"/>
    <col min="7681" max="7681" width="6.28515625" style="153" customWidth="1"/>
    <col min="7682" max="7682" width="45.85546875" style="153" customWidth="1"/>
    <col min="7683" max="7683" width="9.28515625" style="153" customWidth="1"/>
    <col min="7684" max="7685" width="17.140625" style="153" customWidth="1"/>
    <col min="7686" max="7686" width="11.7109375" style="153" customWidth="1"/>
    <col min="7687" max="7936" width="9.140625" style="153"/>
    <col min="7937" max="7937" width="6.28515625" style="153" customWidth="1"/>
    <col min="7938" max="7938" width="45.85546875" style="153" customWidth="1"/>
    <col min="7939" max="7939" width="9.28515625" style="153" customWidth="1"/>
    <col min="7940" max="7941" width="17.140625" style="153" customWidth="1"/>
    <col min="7942" max="7942" width="11.7109375" style="153" customWidth="1"/>
    <col min="7943" max="8192" width="9.140625" style="153"/>
    <col min="8193" max="8193" width="6.28515625" style="153" customWidth="1"/>
    <col min="8194" max="8194" width="45.85546875" style="153" customWidth="1"/>
    <col min="8195" max="8195" width="9.28515625" style="153" customWidth="1"/>
    <col min="8196" max="8197" width="17.140625" style="153" customWidth="1"/>
    <col min="8198" max="8198" width="11.7109375" style="153" customWidth="1"/>
    <col min="8199" max="8448" width="9.140625" style="153"/>
    <col min="8449" max="8449" width="6.28515625" style="153" customWidth="1"/>
    <col min="8450" max="8450" width="45.85546875" style="153" customWidth="1"/>
    <col min="8451" max="8451" width="9.28515625" style="153" customWidth="1"/>
    <col min="8452" max="8453" width="17.140625" style="153" customWidth="1"/>
    <col min="8454" max="8454" width="11.7109375" style="153" customWidth="1"/>
    <col min="8455" max="8704" width="9.140625" style="153"/>
    <col min="8705" max="8705" width="6.28515625" style="153" customWidth="1"/>
    <col min="8706" max="8706" width="45.85546875" style="153" customWidth="1"/>
    <col min="8707" max="8707" width="9.28515625" style="153" customWidth="1"/>
    <col min="8708" max="8709" width="17.140625" style="153" customWidth="1"/>
    <col min="8710" max="8710" width="11.7109375" style="153" customWidth="1"/>
    <col min="8711" max="8960" width="9.140625" style="153"/>
    <col min="8961" max="8961" width="6.28515625" style="153" customWidth="1"/>
    <col min="8962" max="8962" width="45.85546875" style="153" customWidth="1"/>
    <col min="8963" max="8963" width="9.28515625" style="153" customWidth="1"/>
    <col min="8964" max="8965" width="17.140625" style="153" customWidth="1"/>
    <col min="8966" max="8966" width="11.7109375" style="153" customWidth="1"/>
    <col min="8967" max="9216" width="9.140625" style="153"/>
    <col min="9217" max="9217" width="6.28515625" style="153" customWidth="1"/>
    <col min="9218" max="9218" width="45.85546875" style="153" customWidth="1"/>
    <col min="9219" max="9219" width="9.28515625" style="153" customWidth="1"/>
    <col min="9220" max="9221" width="17.140625" style="153" customWidth="1"/>
    <col min="9222" max="9222" width="11.7109375" style="153" customWidth="1"/>
    <col min="9223" max="9472" width="9.140625" style="153"/>
    <col min="9473" max="9473" width="6.28515625" style="153" customWidth="1"/>
    <col min="9474" max="9474" width="45.85546875" style="153" customWidth="1"/>
    <col min="9475" max="9475" width="9.28515625" style="153" customWidth="1"/>
    <col min="9476" max="9477" width="17.140625" style="153" customWidth="1"/>
    <col min="9478" max="9478" width="11.7109375" style="153" customWidth="1"/>
    <col min="9479" max="9728" width="9.140625" style="153"/>
    <col min="9729" max="9729" width="6.28515625" style="153" customWidth="1"/>
    <col min="9730" max="9730" width="45.85546875" style="153" customWidth="1"/>
    <col min="9731" max="9731" width="9.28515625" style="153" customWidth="1"/>
    <col min="9732" max="9733" width="17.140625" style="153" customWidth="1"/>
    <col min="9734" max="9734" width="11.7109375" style="153" customWidth="1"/>
    <col min="9735" max="9984" width="9.140625" style="153"/>
    <col min="9985" max="9985" width="6.28515625" style="153" customWidth="1"/>
    <col min="9986" max="9986" width="45.85546875" style="153" customWidth="1"/>
    <col min="9987" max="9987" width="9.28515625" style="153" customWidth="1"/>
    <col min="9988" max="9989" width="17.140625" style="153" customWidth="1"/>
    <col min="9990" max="9990" width="11.7109375" style="153" customWidth="1"/>
    <col min="9991" max="10240" width="9.140625" style="153"/>
    <col min="10241" max="10241" width="6.28515625" style="153" customWidth="1"/>
    <col min="10242" max="10242" width="45.85546875" style="153" customWidth="1"/>
    <col min="10243" max="10243" width="9.28515625" style="153" customWidth="1"/>
    <col min="10244" max="10245" width="17.140625" style="153" customWidth="1"/>
    <col min="10246" max="10246" width="11.7109375" style="153" customWidth="1"/>
    <col min="10247" max="10496" width="9.140625" style="153"/>
    <col min="10497" max="10497" width="6.28515625" style="153" customWidth="1"/>
    <col min="10498" max="10498" width="45.85546875" style="153" customWidth="1"/>
    <col min="10499" max="10499" width="9.28515625" style="153" customWidth="1"/>
    <col min="10500" max="10501" width="17.140625" style="153" customWidth="1"/>
    <col min="10502" max="10502" width="11.7109375" style="153" customWidth="1"/>
    <col min="10503" max="10752" width="9.140625" style="153"/>
    <col min="10753" max="10753" width="6.28515625" style="153" customWidth="1"/>
    <col min="10754" max="10754" width="45.85546875" style="153" customWidth="1"/>
    <col min="10755" max="10755" width="9.28515625" style="153" customWidth="1"/>
    <col min="10756" max="10757" width="17.140625" style="153" customWidth="1"/>
    <col min="10758" max="10758" width="11.7109375" style="153" customWidth="1"/>
    <col min="10759" max="11008" width="9.140625" style="153"/>
    <col min="11009" max="11009" width="6.28515625" style="153" customWidth="1"/>
    <col min="11010" max="11010" width="45.85546875" style="153" customWidth="1"/>
    <col min="11011" max="11011" width="9.28515625" style="153" customWidth="1"/>
    <col min="11012" max="11013" width="17.140625" style="153" customWidth="1"/>
    <col min="11014" max="11014" width="11.7109375" style="153" customWidth="1"/>
    <col min="11015" max="11264" width="9.140625" style="153"/>
    <col min="11265" max="11265" width="6.28515625" style="153" customWidth="1"/>
    <col min="11266" max="11266" width="45.85546875" style="153" customWidth="1"/>
    <col min="11267" max="11267" width="9.28515625" style="153" customWidth="1"/>
    <col min="11268" max="11269" width="17.140625" style="153" customWidth="1"/>
    <col min="11270" max="11270" width="11.7109375" style="153" customWidth="1"/>
    <col min="11271" max="11520" width="9.140625" style="153"/>
    <col min="11521" max="11521" width="6.28515625" style="153" customWidth="1"/>
    <col min="11522" max="11522" width="45.85546875" style="153" customWidth="1"/>
    <col min="11523" max="11523" width="9.28515625" style="153" customWidth="1"/>
    <col min="11524" max="11525" width="17.140625" style="153" customWidth="1"/>
    <col min="11526" max="11526" width="11.7109375" style="153" customWidth="1"/>
    <col min="11527" max="11776" width="9.140625" style="153"/>
    <col min="11777" max="11777" width="6.28515625" style="153" customWidth="1"/>
    <col min="11778" max="11778" width="45.85546875" style="153" customWidth="1"/>
    <col min="11779" max="11779" width="9.28515625" style="153" customWidth="1"/>
    <col min="11780" max="11781" width="17.140625" style="153" customWidth="1"/>
    <col min="11782" max="11782" width="11.7109375" style="153" customWidth="1"/>
    <col min="11783" max="12032" width="9.140625" style="153"/>
    <col min="12033" max="12033" width="6.28515625" style="153" customWidth="1"/>
    <col min="12034" max="12034" width="45.85546875" style="153" customWidth="1"/>
    <col min="12035" max="12035" width="9.28515625" style="153" customWidth="1"/>
    <col min="12036" max="12037" width="17.140625" style="153" customWidth="1"/>
    <col min="12038" max="12038" width="11.7109375" style="153" customWidth="1"/>
    <col min="12039" max="12288" width="9.140625" style="153"/>
    <col min="12289" max="12289" width="6.28515625" style="153" customWidth="1"/>
    <col min="12290" max="12290" width="45.85546875" style="153" customWidth="1"/>
    <col min="12291" max="12291" width="9.28515625" style="153" customWidth="1"/>
    <col min="12292" max="12293" width="17.140625" style="153" customWidth="1"/>
    <col min="12294" max="12294" width="11.7109375" style="153" customWidth="1"/>
    <col min="12295" max="12544" width="9.140625" style="153"/>
    <col min="12545" max="12545" width="6.28515625" style="153" customWidth="1"/>
    <col min="12546" max="12546" width="45.85546875" style="153" customWidth="1"/>
    <col min="12547" max="12547" width="9.28515625" style="153" customWidth="1"/>
    <col min="12548" max="12549" width="17.140625" style="153" customWidth="1"/>
    <col min="12550" max="12550" width="11.7109375" style="153" customWidth="1"/>
    <col min="12551" max="12800" width="9.140625" style="153"/>
    <col min="12801" max="12801" width="6.28515625" style="153" customWidth="1"/>
    <col min="12802" max="12802" width="45.85546875" style="153" customWidth="1"/>
    <col min="12803" max="12803" width="9.28515625" style="153" customWidth="1"/>
    <col min="12804" max="12805" width="17.140625" style="153" customWidth="1"/>
    <col min="12806" max="12806" width="11.7109375" style="153" customWidth="1"/>
    <col min="12807" max="13056" width="9.140625" style="153"/>
    <col min="13057" max="13057" width="6.28515625" style="153" customWidth="1"/>
    <col min="13058" max="13058" width="45.85546875" style="153" customWidth="1"/>
    <col min="13059" max="13059" width="9.28515625" style="153" customWidth="1"/>
    <col min="13060" max="13061" width="17.140625" style="153" customWidth="1"/>
    <col min="13062" max="13062" width="11.7109375" style="153" customWidth="1"/>
    <col min="13063" max="13312" width="9.140625" style="153"/>
    <col min="13313" max="13313" width="6.28515625" style="153" customWidth="1"/>
    <col min="13314" max="13314" width="45.85546875" style="153" customWidth="1"/>
    <col min="13315" max="13315" width="9.28515625" style="153" customWidth="1"/>
    <col min="13316" max="13317" width="17.140625" style="153" customWidth="1"/>
    <col min="13318" max="13318" width="11.7109375" style="153" customWidth="1"/>
    <col min="13319" max="13568" width="9.140625" style="153"/>
    <col min="13569" max="13569" width="6.28515625" style="153" customWidth="1"/>
    <col min="13570" max="13570" width="45.85546875" style="153" customWidth="1"/>
    <col min="13571" max="13571" width="9.28515625" style="153" customWidth="1"/>
    <col min="13572" max="13573" width="17.140625" style="153" customWidth="1"/>
    <col min="13574" max="13574" width="11.7109375" style="153" customWidth="1"/>
    <col min="13575" max="13824" width="9.140625" style="153"/>
    <col min="13825" max="13825" width="6.28515625" style="153" customWidth="1"/>
    <col min="13826" max="13826" width="45.85546875" style="153" customWidth="1"/>
    <col min="13827" max="13827" width="9.28515625" style="153" customWidth="1"/>
    <col min="13828" max="13829" width="17.140625" style="153" customWidth="1"/>
    <col min="13830" max="13830" width="11.7109375" style="153" customWidth="1"/>
    <col min="13831" max="14080" width="9.140625" style="153"/>
    <col min="14081" max="14081" width="6.28515625" style="153" customWidth="1"/>
    <col min="14082" max="14082" width="45.85546875" style="153" customWidth="1"/>
    <col min="14083" max="14083" width="9.28515625" style="153" customWidth="1"/>
    <col min="14084" max="14085" width="17.140625" style="153" customWidth="1"/>
    <col min="14086" max="14086" width="11.7109375" style="153" customWidth="1"/>
    <col min="14087" max="14336" width="9.140625" style="153"/>
    <col min="14337" max="14337" width="6.28515625" style="153" customWidth="1"/>
    <col min="14338" max="14338" width="45.85546875" style="153" customWidth="1"/>
    <col min="14339" max="14339" width="9.28515625" style="153" customWidth="1"/>
    <col min="14340" max="14341" width="17.140625" style="153" customWidth="1"/>
    <col min="14342" max="14342" width="11.7109375" style="153" customWidth="1"/>
    <col min="14343" max="14592" width="9.140625" style="153"/>
    <col min="14593" max="14593" width="6.28515625" style="153" customWidth="1"/>
    <col min="14594" max="14594" width="45.85546875" style="153" customWidth="1"/>
    <col min="14595" max="14595" width="9.28515625" style="153" customWidth="1"/>
    <col min="14596" max="14597" width="17.140625" style="153" customWidth="1"/>
    <col min="14598" max="14598" width="11.7109375" style="153" customWidth="1"/>
    <col min="14599" max="14848" width="9.140625" style="153"/>
    <col min="14849" max="14849" width="6.28515625" style="153" customWidth="1"/>
    <col min="14850" max="14850" width="45.85546875" style="153" customWidth="1"/>
    <col min="14851" max="14851" width="9.28515625" style="153" customWidth="1"/>
    <col min="14852" max="14853" width="17.140625" style="153" customWidth="1"/>
    <col min="14854" max="14854" width="11.7109375" style="153" customWidth="1"/>
    <col min="14855" max="15104" width="9.140625" style="153"/>
    <col min="15105" max="15105" width="6.28515625" style="153" customWidth="1"/>
    <col min="15106" max="15106" width="45.85546875" style="153" customWidth="1"/>
    <col min="15107" max="15107" width="9.28515625" style="153" customWidth="1"/>
    <col min="15108" max="15109" width="17.140625" style="153" customWidth="1"/>
    <col min="15110" max="15110" width="11.7109375" style="153" customWidth="1"/>
    <col min="15111" max="15360" width="9.140625" style="153"/>
    <col min="15361" max="15361" width="6.28515625" style="153" customWidth="1"/>
    <col min="15362" max="15362" width="45.85546875" style="153" customWidth="1"/>
    <col min="15363" max="15363" width="9.28515625" style="153" customWidth="1"/>
    <col min="15364" max="15365" width="17.140625" style="153" customWidth="1"/>
    <col min="15366" max="15366" width="11.7109375" style="153" customWidth="1"/>
    <col min="15367" max="15616" width="9.140625" style="153"/>
    <col min="15617" max="15617" width="6.28515625" style="153" customWidth="1"/>
    <col min="15618" max="15618" width="45.85546875" style="153" customWidth="1"/>
    <col min="15619" max="15619" width="9.28515625" style="153" customWidth="1"/>
    <col min="15620" max="15621" width="17.140625" style="153" customWidth="1"/>
    <col min="15622" max="15622" width="11.7109375" style="153" customWidth="1"/>
    <col min="15623" max="15872" width="9.140625" style="153"/>
    <col min="15873" max="15873" width="6.28515625" style="153" customWidth="1"/>
    <col min="15874" max="15874" width="45.85546875" style="153" customWidth="1"/>
    <col min="15875" max="15875" width="9.28515625" style="153" customWidth="1"/>
    <col min="15876" max="15877" width="17.140625" style="153" customWidth="1"/>
    <col min="15878" max="15878" width="11.7109375" style="153" customWidth="1"/>
    <col min="15879" max="16128" width="9.140625" style="153"/>
    <col min="16129" max="16129" width="6.28515625" style="153" customWidth="1"/>
    <col min="16130" max="16130" width="45.85546875" style="153" customWidth="1"/>
    <col min="16131" max="16131" width="9.28515625" style="153" customWidth="1"/>
    <col min="16132" max="16133" width="17.140625" style="153" customWidth="1"/>
    <col min="16134" max="16134" width="11.7109375" style="153" customWidth="1"/>
    <col min="16135" max="16384" width="9.140625" style="153"/>
  </cols>
  <sheetData>
    <row r="1" spans="1:6" ht="32.25" customHeight="1" x14ac:dyDescent="0.25">
      <c r="A1" s="157"/>
      <c r="B1" s="145"/>
      <c r="C1" s="266" t="s">
        <v>1077</v>
      </c>
      <c r="D1" s="266"/>
      <c r="E1" s="266"/>
      <c r="F1" s="266"/>
    </row>
    <row r="2" spans="1:6" ht="48.75" customHeight="1" x14ac:dyDescent="0.25">
      <c r="A2" s="267" t="s">
        <v>1087</v>
      </c>
      <c r="B2" s="267"/>
      <c r="C2" s="267"/>
      <c r="D2" s="267"/>
      <c r="E2" s="267"/>
      <c r="F2" s="267"/>
    </row>
    <row r="3" spans="1:6" ht="33" customHeight="1" x14ac:dyDescent="0.2">
      <c r="A3" s="268" t="s">
        <v>93</v>
      </c>
      <c r="B3" s="268"/>
      <c r="C3" s="268"/>
      <c r="D3" s="268"/>
      <c r="E3" s="268"/>
      <c r="F3" s="268"/>
    </row>
    <row r="4" spans="1:6" x14ac:dyDescent="0.25">
      <c r="A4" s="260" t="s">
        <v>1078</v>
      </c>
      <c r="B4" s="260"/>
      <c r="C4" s="260"/>
      <c r="D4" s="260"/>
      <c r="E4" s="260"/>
      <c r="F4" s="260"/>
    </row>
    <row r="5" spans="1:6" ht="9" customHeight="1" x14ac:dyDescent="0.25">
      <c r="A5" s="152"/>
      <c r="B5" s="152"/>
      <c r="C5" s="152"/>
      <c r="D5" s="152"/>
      <c r="E5" s="152"/>
      <c r="F5" s="152"/>
    </row>
    <row r="6" spans="1:6" ht="12.75" customHeight="1" x14ac:dyDescent="0.25">
      <c r="A6" s="28" t="s">
        <v>95</v>
      </c>
      <c r="B6" s="29" t="s">
        <v>96</v>
      </c>
      <c r="C6" s="265" t="s">
        <v>97</v>
      </c>
      <c r="D6" s="265"/>
      <c r="E6" s="265"/>
      <c r="F6" s="265"/>
    </row>
    <row r="7" spans="1:6" ht="12.75" customHeight="1" x14ac:dyDescent="0.25">
      <c r="A7" s="152"/>
      <c r="B7" s="30" t="s">
        <v>4</v>
      </c>
      <c r="C7" s="269" t="s">
        <v>5</v>
      </c>
      <c r="D7" s="269"/>
      <c r="E7" s="269"/>
      <c r="F7" s="269"/>
    </row>
    <row r="8" spans="1:6" ht="12.75" customHeight="1" x14ac:dyDescent="0.25">
      <c r="A8" s="28" t="s">
        <v>98</v>
      </c>
      <c r="B8" s="29" t="s">
        <v>99</v>
      </c>
      <c r="C8" s="265" t="s">
        <v>100</v>
      </c>
      <c r="D8" s="265"/>
      <c r="E8" s="265"/>
      <c r="F8" s="265"/>
    </row>
    <row r="9" spans="1:6" ht="12.75" customHeight="1" x14ac:dyDescent="0.25">
      <c r="A9" s="152"/>
      <c r="B9" s="30" t="s">
        <v>8</v>
      </c>
      <c r="C9" s="270" t="s">
        <v>101</v>
      </c>
      <c r="D9" s="270"/>
      <c r="E9" s="270"/>
      <c r="F9" s="270"/>
    </row>
    <row r="10" spans="1:6" ht="12.75" customHeight="1" x14ac:dyDescent="0.25">
      <c r="A10" s="28" t="s">
        <v>79</v>
      </c>
      <c r="B10" s="29" t="s">
        <v>10</v>
      </c>
      <c r="C10" s="265" t="s">
        <v>102</v>
      </c>
      <c r="D10" s="265"/>
      <c r="E10" s="265"/>
      <c r="F10" s="265"/>
    </row>
    <row r="11" spans="1:6" ht="12.75" customHeight="1" x14ac:dyDescent="0.25">
      <c r="A11" s="152"/>
      <c r="B11" s="30" t="s">
        <v>12</v>
      </c>
      <c r="C11" s="269" t="s">
        <v>103</v>
      </c>
      <c r="D11" s="269"/>
      <c r="E11" s="269"/>
      <c r="F11" s="269"/>
    </row>
    <row r="12" spans="1:6" ht="12.75" customHeight="1" x14ac:dyDescent="0.25">
      <c r="A12" s="28" t="s">
        <v>85</v>
      </c>
      <c r="B12" s="29" t="s">
        <v>14</v>
      </c>
      <c r="C12" s="264">
        <v>43983</v>
      </c>
      <c r="D12" s="265"/>
      <c r="E12" s="265"/>
      <c r="F12" s="265"/>
    </row>
    <row r="13" spans="1:6" ht="12.75" customHeight="1" x14ac:dyDescent="0.25">
      <c r="A13" s="152"/>
      <c r="B13" s="30" t="s">
        <v>15</v>
      </c>
      <c r="C13" s="259">
        <v>43983</v>
      </c>
      <c r="D13" s="259"/>
      <c r="E13" s="259"/>
      <c r="F13" s="259"/>
    </row>
    <row r="14" spans="1:6" ht="14.25" customHeight="1" x14ac:dyDescent="0.25">
      <c r="A14" s="152"/>
      <c r="B14" s="59"/>
      <c r="C14" s="260"/>
      <c r="D14" s="260"/>
      <c r="E14" s="260"/>
      <c r="F14" s="260"/>
    </row>
    <row r="15" spans="1:6" ht="14.25" customHeight="1" x14ac:dyDescent="0.25">
      <c r="A15" s="261" t="s">
        <v>104</v>
      </c>
      <c r="B15" s="261"/>
      <c r="C15" s="261"/>
      <c r="D15" s="261"/>
      <c r="E15" s="261"/>
      <c r="F15" s="261"/>
    </row>
    <row r="16" spans="1:6" ht="14.25" customHeight="1" x14ac:dyDescent="0.25">
      <c r="A16" s="261" t="s">
        <v>105</v>
      </c>
      <c r="B16" s="261"/>
      <c r="C16" s="261"/>
      <c r="D16" s="261"/>
      <c r="E16" s="261"/>
      <c r="F16" s="152"/>
    </row>
    <row r="17" spans="1:11" ht="15.75" customHeight="1" x14ac:dyDescent="0.25">
      <c r="A17" s="31"/>
      <c r="B17" s="114"/>
      <c r="C17" s="114"/>
      <c r="D17" s="114"/>
      <c r="E17" s="262" t="s">
        <v>106</v>
      </c>
      <c r="F17" s="262"/>
    </row>
    <row r="18" spans="1:11" ht="42" x14ac:dyDescent="0.25">
      <c r="A18" s="33" t="s">
        <v>107</v>
      </c>
      <c r="B18" s="34" t="s">
        <v>108</v>
      </c>
      <c r="C18" s="34" t="s">
        <v>109</v>
      </c>
      <c r="D18" s="34" t="s">
        <v>94</v>
      </c>
      <c r="E18" s="34" t="s">
        <v>110</v>
      </c>
      <c r="F18" s="35" t="s">
        <v>111</v>
      </c>
    </row>
    <row r="19" spans="1:11" ht="21" x14ac:dyDescent="0.25">
      <c r="A19" s="36" t="s">
        <v>69</v>
      </c>
      <c r="B19" s="37" t="s">
        <v>112</v>
      </c>
      <c r="C19" s="38" t="s">
        <v>113</v>
      </c>
      <c r="D19" s="39">
        <v>0</v>
      </c>
      <c r="E19" s="39">
        <v>0</v>
      </c>
      <c r="F19" s="40">
        <v>0</v>
      </c>
      <c r="H19" s="153">
        <v>0</v>
      </c>
      <c r="I19" s="153">
        <v>0</v>
      </c>
    </row>
    <row r="20" spans="1:11" ht="21" x14ac:dyDescent="0.25">
      <c r="A20" s="41" t="s">
        <v>114</v>
      </c>
      <c r="B20" s="42" t="s">
        <v>115</v>
      </c>
      <c r="C20" s="43" t="s">
        <v>116</v>
      </c>
      <c r="D20" s="44">
        <v>3284906075</v>
      </c>
      <c r="E20" s="44">
        <v>221564400</v>
      </c>
      <c r="F20" s="45">
        <v>0</v>
      </c>
      <c r="J20" s="217"/>
      <c r="K20" s="217"/>
    </row>
    <row r="21" spans="1:11" ht="21" x14ac:dyDescent="0.25">
      <c r="A21" s="41"/>
      <c r="B21" s="42" t="s">
        <v>117</v>
      </c>
      <c r="C21" s="43" t="s">
        <v>118</v>
      </c>
      <c r="D21" s="44">
        <v>0</v>
      </c>
      <c r="E21" s="44">
        <v>0</v>
      </c>
      <c r="F21" s="45">
        <v>0</v>
      </c>
      <c r="J21" s="217"/>
      <c r="K21" s="217"/>
    </row>
    <row r="22" spans="1:11" ht="21" x14ac:dyDescent="0.25">
      <c r="A22" s="41"/>
      <c r="B22" s="42" t="s">
        <v>119</v>
      </c>
      <c r="C22" s="43" t="s">
        <v>120</v>
      </c>
      <c r="D22" s="44">
        <v>3284906075</v>
      </c>
      <c r="E22" s="44">
        <v>221564400</v>
      </c>
      <c r="F22" s="45">
        <v>0</v>
      </c>
      <c r="J22" s="217"/>
      <c r="K22" s="217"/>
    </row>
    <row r="23" spans="1:11" ht="31.5" x14ac:dyDescent="0.25">
      <c r="A23" s="46"/>
      <c r="B23" s="47" t="s">
        <v>121</v>
      </c>
      <c r="C23" s="48" t="s">
        <v>122</v>
      </c>
      <c r="D23" s="49">
        <v>0</v>
      </c>
      <c r="E23" s="49">
        <v>0</v>
      </c>
      <c r="F23" s="50">
        <v>0</v>
      </c>
      <c r="J23" s="217"/>
      <c r="K23" s="217"/>
    </row>
    <row r="24" spans="1:11" ht="31.5" x14ac:dyDescent="0.25">
      <c r="A24" s="46"/>
      <c r="B24" s="47" t="s">
        <v>123</v>
      </c>
      <c r="C24" s="48" t="s">
        <v>124</v>
      </c>
      <c r="D24" s="49">
        <v>0</v>
      </c>
      <c r="E24" s="49">
        <v>0</v>
      </c>
      <c r="F24" s="50">
        <v>0</v>
      </c>
      <c r="J24" s="217"/>
      <c r="K24" s="217"/>
    </row>
    <row r="25" spans="1:11" ht="21" x14ac:dyDescent="0.25">
      <c r="A25" s="46"/>
      <c r="B25" s="47" t="s">
        <v>125</v>
      </c>
      <c r="C25" s="48" t="s">
        <v>126</v>
      </c>
      <c r="D25" s="49">
        <v>3245070285</v>
      </c>
      <c r="E25" s="49">
        <v>221564400</v>
      </c>
      <c r="F25" s="50">
        <v>0</v>
      </c>
      <c r="J25" s="217"/>
      <c r="K25" s="217"/>
    </row>
    <row r="26" spans="1:11" ht="21" x14ac:dyDescent="0.25">
      <c r="A26" s="46"/>
      <c r="B26" s="47" t="s">
        <v>127</v>
      </c>
      <c r="C26" s="48" t="s">
        <v>128</v>
      </c>
      <c r="D26" s="49">
        <v>0</v>
      </c>
      <c r="E26" s="49">
        <v>0</v>
      </c>
      <c r="F26" s="50">
        <v>0</v>
      </c>
      <c r="J26" s="217"/>
      <c r="K26" s="217"/>
    </row>
    <row r="27" spans="1:11" ht="21" x14ac:dyDescent="0.25">
      <c r="A27" s="46"/>
      <c r="B27" s="47" t="s">
        <v>129</v>
      </c>
      <c r="C27" s="48" t="s">
        <v>130</v>
      </c>
      <c r="D27" s="49">
        <v>39835790</v>
      </c>
      <c r="E27" s="49">
        <v>0</v>
      </c>
      <c r="F27" s="50">
        <v>0</v>
      </c>
      <c r="J27" s="217"/>
      <c r="K27" s="217"/>
    </row>
    <row r="28" spans="1:11" ht="21" x14ac:dyDescent="0.25">
      <c r="A28" s="41"/>
      <c r="B28" s="42" t="s">
        <v>131</v>
      </c>
      <c r="C28" s="43" t="s">
        <v>132</v>
      </c>
      <c r="D28" s="44">
        <v>0</v>
      </c>
      <c r="E28" s="44">
        <v>0</v>
      </c>
      <c r="F28" s="45">
        <v>0</v>
      </c>
      <c r="J28" s="217"/>
      <c r="K28" s="217"/>
    </row>
    <row r="29" spans="1:11" ht="21" x14ac:dyDescent="0.25">
      <c r="A29" s="41" t="s">
        <v>133</v>
      </c>
      <c r="B29" s="42" t="s">
        <v>134</v>
      </c>
      <c r="C29" s="43" t="s">
        <v>135</v>
      </c>
      <c r="D29" s="44">
        <v>691820736750</v>
      </c>
      <c r="E29" s="44">
        <v>104402553200</v>
      </c>
      <c r="F29" s="45">
        <v>0</v>
      </c>
      <c r="J29" s="217"/>
      <c r="K29" s="217"/>
    </row>
    <row r="30" spans="1:11" ht="21" x14ac:dyDescent="0.25">
      <c r="A30" s="41"/>
      <c r="B30" s="42" t="s">
        <v>136</v>
      </c>
      <c r="C30" s="43" t="s">
        <v>137</v>
      </c>
      <c r="D30" s="44">
        <v>691820736750</v>
      </c>
      <c r="E30" s="44">
        <v>104402553200</v>
      </c>
      <c r="F30" s="45">
        <v>0</v>
      </c>
      <c r="J30" s="217"/>
      <c r="K30" s="217"/>
    </row>
    <row r="31" spans="1:11" ht="21" x14ac:dyDescent="0.25">
      <c r="A31" s="41"/>
      <c r="B31" s="42" t="s">
        <v>138</v>
      </c>
      <c r="C31" s="43" t="s">
        <v>139</v>
      </c>
      <c r="D31" s="44">
        <v>0</v>
      </c>
      <c r="E31" s="44">
        <v>0</v>
      </c>
      <c r="F31" s="45">
        <v>0</v>
      </c>
      <c r="J31" s="217"/>
      <c r="K31" s="217"/>
    </row>
    <row r="32" spans="1:11" ht="21" x14ac:dyDescent="0.25">
      <c r="A32" s="41"/>
      <c r="B32" s="42" t="s">
        <v>140</v>
      </c>
      <c r="C32" s="43" t="s">
        <v>141</v>
      </c>
      <c r="D32" s="44">
        <v>0</v>
      </c>
      <c r="E32" s="44">
        <v>0</v>
      </c>
      <c r="F32" s="45">
        <v>0</v>
      </c>
      <c r="J32" s="217"/>
      <c r="K32" s="217"/>
    </row>
    <row r="33" spans="1:11" ht="21" x14ac:dyDescent="0.25">
      <c r="A33" s="41"/>
      <c r="B33" s="42" t="s">
        <v>142</v>
      </c>
      <c r="C33" s="43" t="s">
        <v>143</v>
      </c>
      <c r="D33" s="44">
        <v>0</v>
      </c>
      <c r="E33" s="44">
        <v>0</v>
      </c>
      <c r="F33" s="45">
        <v>0</v>
      </c>
      <c r="J33" s="217"/>
      <c r="K33" s="217"/>
    </row>
    <row r="34" spans="1:11" ht="21" x14ac:dyDescent="0.25">
      <c r="A34" s="41"/>
      <c r="B34" s="42" t="s">
        <v>144</v>
      </c>
      <c r="C34" s="43" t="s">
        <v>145</v>
      </c>
      <c r="D34" s="44">
        <v>0</v>
      </c>
      <c r="E34" s="44">
        <v>0</v>
      </c>
      <c r="F34" s="45">
        <v>0</v>
      </c>
      <c r="J34" s="217"/>
      <c r="K34" s="217"/>
    </row>
    <row r="35" spans="1:11" ht="21" x14ac:dyDescent="0.25">
      <c r="A35" s="41"/>
      <c r="B35" s="42" t="s">
        <v>146</v>
      </c>
      <c r="C35" s="43" t="s">
        <v>147</v>
      </c>
      <c r="D35" s="44">
        <v>0</v>
      </c>
      <c r="E35" s="44">
        <v>0</v>
      </c>
      <c r="F35" s="45">
        <v>0</v>
      </c>
      <c r="J35" s="217"/>
      <c r="K35" s="217"/>
    </row>
    <row r="36" spans="1:11" ht="21" x14ac:dyDescent="0.25">
      <c r="A36" s="41"/>
      <c r="B36" s="42" t="s">
        <v>148</v>
      </c>
      <c r="C36" s="43" t="s">
        <v>149</v>
      </c>
      <c r="D36" s="44">
        <v>0</v>
      </c>
      <c r="E36" s="44">
        <v>0</v>
      </c>
      <c r="F36" s="45">
        <v>0</v>
      </c>
      <c r="J36" s="217"/>
      <c r="K36" s="217"/>
    </row>
    <row r="37" spans="1:11" ht="15" customHeight="1" x14ac:dyDescent="0.25">
      <c r="A37" s="41"/>
      <c r="B37" s="42" t="s">
        <v>150</v>
      </c>
      <c r="C37" s="43" t="s">
        <v>151</v>
      </c>
      <c r="D37" s="44">
        <v>0</v>
      </c>
      <c r="E37" s="44">
        <v>0</v>
      </c>
      <c r="F37" s="45">
        <v>0</v>
      </c>
      <c r="J37" s="217"/>
      <c r="K37" s="217"/>
    </row>
    <row r="38" spans="1:11" ht="21" x14ac:dyDescent="0.25">
      <c r="A38" s="41" t="s">
        <v>152</v>
      </c>
      <c r="B38" s="42" t="s">
        <v>153</v>
      </c>
      <c r="C38" s="43" t="s">
        <v>154</v>
      </c>
      <c r="D38" s="44">
        <v>573300000</v>
      </c>
      <c r="E38" s="44">
        <v>0</v>
      </c>
      <c r="F38" s="45">
        <v>0</v>
      </c>
      <c r="J38" s="217"/>
      <c r="K38" s="217"/>
    </row>
    <row r="39" spans="1:11" ht="21" x14ac:dyDescent="0.25">
      <c r="A39" s="41"/>
      <c r="B39" s="42" t="s">
        <v>155</v>
      </c>
      <c r="C39" s="43" t="s">
        <v>156</v>
      </c>
      <c r="D39" s="44">
        <v>573300000</v>
      </c>
      <c r="E39" s="44">
        <v>0</v>
      </c>
      <c r="F39" s="45">
        <v>0</v>
      </c>
      <c r="J39" s="217"/>
      <c r="K39" s="217"/>
    </row>
    <row r="40" spans="1:11" ht="21" x14ac:dyDescent="0.25">
      <c r="A40" s="41"/>
      <c r="B40" s="42" t="s">
        <v>157</v>
      </c>
      <c r="C40" s="43" t="s">
        <v>158</v>
      </c>
      <c r="D40" s="44">
        <v>0</v>
      </c>
      <c r="E40" s="44">
        <v>0</v>
      </c>
      <c r="F40" s="45">
        <v>0</v>
      </c>
      <c r="J40" s="217"/>
      <c r="K40" s="217"/>
    </row>
    <row r="41" spans="1:11" ht="21" x14ac:dyDescent="0.25">
      <c r="A41" s="41" t="s">
        <v>159</v>
      </c>
      <c r="B41" s="42" t="s">
        <v>160</v>
      </c>
      <c r="C41" s="43" t="s">
        <v>161</v>
      </c>
      <c r="D41" s="44">
        <v>0</v>
      </c>
      <c r="E41" s="44">
        <v>0</v>
      </c>
      <c r="F41" s="45">
        <v>0</v>
      </c>
      <c r="J41" s="217"/>
      <c r="K41" s="217"/>
    </row>
    <row r="42" spans="1:11" ht="31.5" x14ac:dyDescent="0.25">
      <c r="A42" s="41"/>
      <c r="B42" s="42" t="s">
        <v>162</v>
      </c>
      <c r="C42" s="43" t="s">
        <v>163</v>
      </c>
      <c r="D42" s="44">
        <v>0</v>
      </c>
      <c r="E42" s="44">
        <v>0</v>
      </c>
      <c r="F42" s="45">
        <v>0</v>
      </c>
      <c r="J42" s="217"/>
      <c r="K42" s="217"/>
    </row>
    <row r="43" spans="1:11" ht="31.5" x14ac:dyDescent="0.25">
      <c r="A43" s="41"/>
      <c r="B43" s="42" t="s">
        <v>164</v>
      </c>
      <c r="C43" s="43" t="s">
        <v>165</v>
      </c>
      <c r="D43" s="44">
        <v>0</v>
      </c>
      <c r="E43" s="44">
        <v>0</v>
      </c>
      <c r="F43" s="45">
        <v>0</v>
      </c>
      <c r="J43" s="217"/>
      <c r="K43" s="217"/>
    </row>
    <row r="44" spans="1:11" ht="21" x14ac:dyDescent="0.25">
      <c r="A44" s="41"/>
      <c r="B44" s="42" t="s">
        <v>166</v>
      </c>
      <c r="C44" s="43" t="s">
        <v>167</v>
      </c>
      <c r="D44" s="44">
        <v>0</v>
      </c>
      <c r="E44" s="44">
        <v>0</v>
      </c>
      <c r="F44" s="45">
        <v>0</v>
      </c>
      <c r="J44" s="217"/>
      <c r="K44" s="217"/>
    </row>
    <row r="45" spans="1:11" ht="21" x14ac:dyDescent="0.25">
      <c r="A45" s="41" t="s">
        <v>168</v>
      </c>
      <c r="B45" s="42" t="s">
        <v>169</v>
      </c>
      <c r="C45" s="43" t="s">
        <v>170</v>
      </c>
      <c r="D45" s="44">
        <v>877650000</v>
      </c>
      <c r="E45" s="44">
        <v>6580824000</v>
      </c>
      <c r="F45" s="45">
        <v>0</v>
      </c>
      <c r="J45" s="217"/>
      <c r="K45" s="217"/>
    </row>
    <row r="46" spans="1:11" ht="21" x14ac:dyDescent="0.25">
      <c r="A46" s="41" t="s">
        <v>171</v>
      </c>
      <c r="B46" s="42" t="s">
        <v>172</v>
      </c>
      <c r="C46" s="43" t="s">
        <v>173</v>
      </c>
      <c r="D46" s="44">
        <v>0</v>
      </c>
      <c r="E46" s="44">
        <v>0</v>
      </c>
      <c r="F46" s="45">
        <v>0</v>
      </c>
      <c r="J46" s="217"/>
      <c r="K46" s="217"/>
    </row>
    <row r="47" spans="1:11" ht="21" x14ac:dyDescent="0.25">
      <c r="A47" s="41"/>
      <c r="B47" s="42" t="s">
        <v>174</v>
      </c>
      <c r="C47" s="43" t="s">
        <v>175</v>
      </c>
      <c r="D47" s="44">
        <v>0</v>
      </c>
      <c r="E47" s="44">
        <v>0</v>
      </c>
      <c r="F47" s="45">
        <v>0</v>
      </c>
      <c r="J47" s="217"/>
      <c r="K47" s="217"/>
    </row>
    <row r="48" spans="1:11" ht="21" x14ac:dyDescent="0.25">
      <c r="A48" s="41"/>
      <c r="B48" s="42" t="s">
        <v>176</v>
      </c>
      <c r="C48" s="43" t="s">
        <v>177</v>
      </c>
      <c r="D48" s="44">
        <v>0</v>
      </c>
      <c r="E48" s="44">
        <v>0</v>
      </c>
      <c r="F48" s="45">
        <v>0</v>
      </c>
      <c r="J48" s="217"/>
      <c r="K48" s="217"/>
    </row>
    <row r="49" spans="1:11" ht="21" x14ac:dyDescent="0.25">
      <c r="A49" s="41"/>
      <c r="B49" s="42" t="s">
        <v>178</v>
      </c>
      <c r="C49" s="43" t="s">
        <v>179</v>
      </c>
      <c r="D49" s="44">
        <v>0</v>
      </c>
      <c r="E49" s="44">
        <v>0</v>
      </c>
      <c r="F49" s="45">
        <v>0</v>
      </c>
      <c r="J49" s="217"/>
      <c r="K49" s="217"/>
    </row>
    <row r="50" spans="1:11" ht="21" x14ac:dyDescent="0.25">
      <c r="A50" s="41" t="s">
        <v>180</v>
      </c>
      <c r="B50" s="42" t="s">
        <v>181</v>
      </c>
      <c r="C50" s="43" t="s">
        <v>182</v>
      </c>
      <c r="D50" s="44">
        <v>0</v>
      </c>
      <c r="E50" s="44">
        <v>0</v>
      </c>
      <c r="F50" s="45">
        <v>0</v>
      </c>
      <c r="J50" s="217"/>
      <c r="K50" s="217"/>
    </row>
    <row r="51" spans="1:11" ht="21" x14ac:dyDescent="0.25">
      <c r="A51" s="41"/>
      <c r="B51" s="42" t="s">
        <v>183</v>
      </c>
      <c r="C51" s="43" t="s">
        <v>184</v>
      </c>
      <c r="D51" s="44">
        <v>0</v>
      </c>
      <c r="E51" s="44">
        <v>0</v>
      </c>
      <c r="F51" s="45">
        <v>0</v>
      </c>
      <c r="J51" s="217"/>
      <c r="K51" s="217"/>
    </row>
    <row r="52" spans="1:11" ht="21" x14ac:dyDescent="0.25">
      <c r="A52" s="41"/>
      <c r="B52" s="42" t="s">
        <v>185</v>
      </c>
      <c r="C52" s="43" t="s">
        <v>186</v>
      </c>
      <c r="D52" s="44">
        <v>0</v>
      </c>
      <c r="E52" s="44">
        <v>0</v>
      </c>
      <c r="F52" s="45">
        <v>0</v>
      </c>
      <c r="J52" s="217"/>
      <c r="K52" s="217"/>
    </row>
    <row r="53" spans="1:11" ht="21" x14ac:dyDescent="0.25">
      <c r="A53" s="41"/>
      <c r="B53" s="42" t="s">
        <v>187</v>
      </c>
      <c r="C53" s="43" t="s">
        <v>188</v>
      </c>
      <c r="D53" s="44">
        <v>0</v>
      </c>
      <c r="E53" s="44">
        <v>0</v>
      </c>
      <c r="F53" s="45">
        <v>0</v>
      </c>
      <c r="J53" s="217"/>
      <c r="K53" s="217"/>
    </row>
    <row r="54" spans="1:11" ht="21" x14ac:dyDescent="0.25">
      <c r="A54" s="41"/>
      <c r="B54" s="42" t="s">
        <v>189</v>
      </c>
      <c r="C54" s="43" t="s">
        <v>190</v>
      </c>
      <c r="D54" s="44">
        <v>0</v>
      </c>
      <c r="E54" s="44">
        <v>0</v>
      </c>
      <c r="F54" s="45">
        <v>0</v>
      </c>
      <c r="J54" s="217"/>
      <c r="K54" s="217"/>
    </row>
    <row r="55" spans="1:11" ht="31.5" x14ac:dyDescent="0.25">
      <c r="A55" s="41"/>
      <c r="B55" s="42" t="s">
        <v>191</v>
      </c>
      <c r="C55" s="43" t="s">
        <v>192</v>
      </c>
      <c r="D55" s="44">
        <v>0</v>
      </c>
      <c r="E55" s="44">
        <v>0</v>
      </c>
      <c r="F55" s="45">
        <v>0</v>
      </c>
      <c r="J55" s="217"/>
      <c r="K55" s="217"/>
    </row>
    <row r="56" spans="1:11" ht="15" customHeight="1" x14ac:dyDescent="0.25">
      <c r="A56" s="36" t="s">
        <v>193</v>
      </c>
      <c r="B56" s="37" t="s">
        <v>194</v>
      </c>
      <c r="C56" s="38" t="s">
        <v>195</v>
      </c>
      <c r="D56" s="39">
        <v>696556592825</v>
      </c>
      <c r="E56" s="39">
        <v>111204941600</v>
      </c>
      <c r="F56" s="40">
        <v>0</v>
      </c>
      <c r="J56" s="217"/>
      <c r="K56" s="217"/>
    </row>
    <row r="57" spans="1:11" ht="21" x14ac:dyDescent="0.25">
      <c r="A57" s="36" t="s">
        <v>74</v>
      </c>
      <c r="B57" s="37" t="s">
        <v>196</v>
      </c>
      <c r="C57" s="38" t="s">
        <v>197</v>
      </c>
      <c r="D57" s="39">
        <v>0</v>
      </c>
      <c r="E57" s="39">
        <v>0</v>
      </c>
      <c r="F57" s="40">
        <v>0</v>
      </c>
      <c r="J57" s="217"/>
      <c r="K57" s="217"/>
    </row>
    <row r="58" spans="1:11" ht="21" x14ac:dyDescent="0.25">
      <c r="A58" s="41" t="s">
        <v>198</v>
      </c>
      <c r="B58" s="42" t="s">
        <v>199</v>
      </c>
      <c r="C58" s="43" t="s">
        <v>200</v>
      </c>
      <c r="D58" s="44">
        <v>0</v>
      </c>
      <c r="E58" s="44">
        <v>0</v>
      </c>
      <c r="F58" s="45">
        <v>0</v>
      </c>
      <c r="J58" s="217"/>
      <c r="K58" s="217"/>
    </row>
    <row r="59" spans="1:11" ht="21" x14ac:dyDescent="0.25">
      <c r="A59" s="41" t="s">
        <v>201</v>
      </c>
      <c r="B59" s="42" t="s">
        <v>202</v>
      </c>
      <c r="C59" s="43" t="s">
        <v>203</v>
      </c>
      <c r="D59" s="44">
        <v>425418147</v>
      </c>
      <c r="E59" s="44">
        <v>98827707</v>
      </c>
      <c r="F59" s="45">
        <v>0</v>
      </c>
      <c r="J59" s="217"/>
      <c r="K59" s="217"/>
    </row>
    <row r="60" spans="1:11" ht="21" x14ac:dyDescent="0.25">
      <c r="A60" s="41"/>
      <c r="B60" s="42" t="s">
        <v>204</v>
      </c>
      <c r="C60" s="43" t="s">
        <v>205</v>
      </c>
      <c r="D60" s="44">
        <v>0</v>
      </c>
      <c r="E60" s="44">
        <v>0</v>
      </c>
      <c r="F60" s="45">
        <v>0</v>
      </c>
      <c r="J60" s="217"/>
      <c r="K60" s="217"/>
    </row>
    <row r="61" spans="1:11" ht="21" x14ac:dyDescent="0.25">
      <c r="A61" s="46"/>
      <c r="B61" s="47" t="s">
        <v>206</v>
      </c>
      <c r="C61" s="48" t="s">
        <v>207</v>
      </c>
      <c r="D61" s="49">
        <v>0</v>
      </c>
      <c r="E61" s="49">
        <v>0</v>
      </c>
      <c r="F61" s="50">
        <v>0</v>
      </c>
      <c r="J61" s="217"/>
      <c r="K61" s="217"/>
    </row>
    <row r="62" spans="1:11" ht="21" x14ac:dyDescent="0.25">
      <c r="A62" s="46"/>
      <c r="B62" s="47" t="s">
        <v>208</v>
      </c>
      <c r="C62" s="48" t="s">
        <v>209</v>
      </c>
      <c r="D62" s="49">
        <v>0</v>
      </c>
      <c r="E62" s="49">
        <v>0</v>
      </c>
      <c r="F62" s="50">
        <v>0</v>
      </c>
      <c r="J62" s="217"/>
      <c r="K62" s="217"/>
    </row>
    <row r="63" spans="1:11" ht="21" x14ac:dyDescent="0.25">
      <c r="A63" s="46"/>
      <c r="B63" s="47" t="s">
        <v>210</v>
      </c>
      <c r="C63" s="48" t="s">
        <v>211</v>
      </c>
      <c r="D63" s="49">
        <v>0</v>
      </c>
      <c r="E63" s="49">
        <v>0</v>
      </c>
      <c r="F63" s="50">
        <v>0</v>
      </c>
      <c r="J63" s="217"/>
      <c r="K63" s="217"/>
    </row>
    <row r="64" spans="1:11" ht="21" x14ac:dyDescent="0.25">
      <c r="A64" s="41"/>
      <c r="B64" s="42" t="s">
        <v>212</v>
      </c>
      <c r="C64" s="43" t="s">
        <v>213</v>
      </c>
      <c r="D64" s="44">
        <v>0</v>
      </c>
      <c r="E64" s="44">
        <v>0</v>
      </c>
      <c r="F64" s="45">
        <v>0</v>
      </c>
      <c r="J64" s="217"/>
      <c r="K64" s="217"/>
    </row>
    <row r="65" spans="1:11" ht="42" x14ac:dyDescent="0.25">
      <c r="A65" s="41"/>
      <c r="B65" s="42" t="s">
        <v>214</v>
      </c>
      <c r="C65" s="43" t="s">
        <v>215</v>
      </c>
      <c r="D65" s="44">
        <v>0</v>
      </c>
      <c r="E65" s="44">
        <v>0</v>
      </c>
      <c r="F65" s="45">
        <v>0</v>
      </c>
      <c r="J65" s="217"/>
      <c r="K65" s="217"/>
    </row>
    <row r="66" spans="1:11" ht="31.5" x14ac:dyDescent="0.25">
      <c r="A66" s="46"/>
      <c r="B66" s="47" t="s">
        <v>216</v>
      </c>
      <c r="C66" s="48" t="s">
        <v>217</v>
      </c>
      <c r="D66" s="49">
        <v>0</v>
      </c>
      <c r="E66" s="49">
        <v>0</v>
      </c>
      <c r="F66" s="50">
        <v>0</v>
      </c>
      <c r="J66" s="217"/>
      <c r="K66" s="217"/>
    </row>
    <row r="67" spans="1:11" ht="42" x14ac:dyDescent="0.25">
      <c r="A67" s="46"/>
      <c r="B67" s="47" t="s">
        <v>218</v>
      </c>
      <c r="C67" s="48" t="s">
        <v>219</v>
      </c>
      <c r="D67" s="49">
        <v>0</v>
      </c>
      <c r="E67" s="49">
        <v>0</v>
      </c>
      <c r="F67" s="50">
        <v>0</v>
      </c>
      <c r="J67" s="217"/>
      <c r="K67" s="217"/>
    </row>
    <row r="68" spans="1:11" ht="21" x14ac:dyDescent="0.25">
      <c r="A68" s="41"/>
      <c r="B68" s="42" t="s">
        <v>220</v>
      </c>
      <c r="C68" s="43" t="s">
        <v>221</v>
      </c>
      <c r="D68" s="44">
        <v>0</v>
      </c>
      <c r="E68" s="44">
        <v>0</v>
      </c>
      <c r="F68" s="45">
        <v>0</v>
      </c>
      <c r="J68" s="217"/>
      <c r="K68" s="217"/>
    </row>
    <row r="69" spans="1:11" ht="21" x14ac:dyDescent="0.25">
      <c r="A69" s="41"/>
      <c r="B69" s="42" t="s">
        <v>222</v>
      </c>
      <c r="C69" s="43" t="s">
        <v>223</v>
      </c>
      <c r="D69" s="44">
        <v>0</v>
      </c>
      <c r="E69" s="44">
        <v>0</v>
      </c>
      <c r="F69" s="45">
        <v>0</v>
      </c>
      <c r="J69" s="217"/>
      <c r="K69" s="217"/>
    </row>
    <row r="70" spans="1:11" ht="21" x14ac:dyDescent="0.25">
      <c r="A70" s="41"/>
      <c r="B70" s="42" t="s">
        <v>224</v>
      </c>
      <c r="C70" s="43" t="s">
        <v>225</v>
      </c>
      <c r="D70" s="44">
        <v>270193928</v>
      </c>
      <c r="E70" s="44">
        <v>21820213</v>
      </c>
      <c r="F70" s="45">
        <v>0</v>
      </c>
      <c r="J70" s="217"/>
      <c r="K70" s="217"/>
    </row>
    <row r="71" spans="1:11" ht="21" x14ac:dyDescent="0.25">
      <c r="A71" s="41"/>
      <c r="B71" s="42" t="s">
        <v>226</v>
      </c>
      <c r="C71" s="43" t="s">
        <v>227</v>
      </c>
      <c r="D71" s="44">
        <v>17352250</v>
      </c>
      <c r="E71" s="44">
        <v>4950000</v>
      </c>
      <c r="F71" s="45">
        <v>0</v>
      </c>
      <c r="J71" s="217"/>
      <c r="K71" s="217"/>
    </row>
    <row r="72" spans="1:11" ht="21" x14ac:dyDescent="0.25">
      <c r="A72" s="41"/>
      <c r="B72" s="42" t="s">
        <v>228</v>
      </c>
      <c r="C72" s="43" t="s">
        <v>229</v>
      </c>
      <c r="D72" s="44">
        <v>23060729</v>
      </c>
      <c r="E72" s="44">
        <v>4950000</v>
      </c>
      <c r="F72" s="45">
        <v>0</v>
      </c>
      <c r="J72" s="217"/>
      <c r="K72" s="217"/>
    </row>
    <row r="73" spans="1:11" ht="21" x14ac:dyDescent="0.25">
      <c r="A73" s="41"/>
      <c r="B73" s="42" t="s">
        <v>230</v>
      </c>
      <c r="C73" s="43" t="s">
        <v>231</v>
      </c>
      <c r="D73" s="44">
        <v>1316475</v>
      </c>
      <c r="E73" s="44">
        <v>7051525</v>
      </c>
      <c r="F73" s="45">
        <v>0</v>
      </c>
      <c r="J73" s="217"/>
      <c r="K73" s="217"/>
    </row>
    <row r="74" spans="1:11" ht="21" x14ac:dyDescent="0.25">
      <c r="A74" s="46"/>
      <c r="B74" s="47" t="s">
        <v>232</v>
      </c>
      <c r="C74" s="48" t="s">
        <v>233</v>
      </c>
      <c r="D74" s="49">
        <v>1316475</v>
      </c>
      <c r="E74" s="49">
        <v>7051525</v>
      </c>
      <c r="F74" s="50">
        <v>0</v>
      </c>
      <c r="J74" s="217"/>
      <c r="K74" s="217"/>
    </row>
    <row r="75" spans="1:11" ht="21" x14ac:dyDescent="0.25">
      <c r="A75" s="46"/>
      <c r="B75" s="47" t="s">
        <v>234</v>
      </c>
      <c r="C75" s="48" t="s">
        <v>235</v>
      </c>
      <c r="D75" s="49">
        <v>0</v>
      </c>
      <c r="E75" s="49">
        <v>0</v>
      </c>
      <c r="F75" s="50">
        <v>0</v>
      </c>
      <c r="J75" s="217"/>
      <c r="K75" s="217"/>
    </row>
    <row r="76" spans="1:11" ht="21" x14ac:dyDescent="0.25">
      <c r="A76" s="41"/>
      <c r="B76" s="42" t="s">
        <v>1088</v>
      </c>
      <c r="C76" s="43" t="s">
        <v>236</v>
      </c>
      <c r="D76" s="44">
        <v>11716520</v>
      </c>
      <c r="E76" s="44">
        <v>3800000</v>
      </c>
      <c r="F76" s="45">
        <v>0</v>
      </c>
      <c r="J76" s="217"/>
      <c r="K76" s="217"/>
    </row>
    <row r="77" spans="1:11" ht="21" x14ac:dyDescent="0.25">
      <c r="A77" s="46"/>
      <c r="B77" s="47" t="s">
        <v>237</v>
      </c>
      <c r="C77" s="48" t="s">
        <v>238</v>
      </c>
      <c r="D77" s="49">
        <v>10516520</v>
      </c>
      <c r="E77" s="49">
        <v>3000000</v>
      </c>
      <c r="F77" s="50">
        <v>0</v>
      </c>
      <c r="J77" s="217"/>
      <c r="K77" s="217"/>
    </row>
    <row r="78" spans="1:11" ht="21" x14ac:dyDescent="0.25">
      <c r="A78" s="46"/>
      <c r="B78" s="47" t="s">
        <v>239</v>
      </c>
      <c r="C78" s="48" t="s">
        <v>240</v>
      </c>
      <c r="D78" s="49">
        <v>1200000</v>
      </c>
      <c r="E78" s="49">
        <v>800000</v>
      </c>
      <c r="F78" s="50">
        <v>0</v>
      </c>
      <c r="J78" s="217"/>
      <c r="K78" s="217"/>
    </row>
    <row r="79" spans="1:11" ht="21" x14ac:dyDescent="0.25">
      <c r="A79" s="46"/>
      <c r="B79" s="47" t="s">
        <v>241</v>
      </c>
      <c r="C79" s="48" t="s">
        <v>242</v>
      </c>
      <c r="D79" s="49">
        <v>0</v>
      </c>
      <c r="E79" s="49">
        <v>0</v>
      </c>
      <c r="F79" s="50">
        <v>0</v>
      </c>
      <c r="J79" s="217"/>
      <c r="K79" s="217"/>
    </row>
    <row r="80" spans="1:11" ht="42" x14ac:dyDescent="0.25">
      <c r="A80" s="46"/>
      <c r="B80" s="47" t="s">
        <v>243</v>
      </c>
      <c r="C80" s="48" t="s">
        <v>244</v>
      </c>
      <c r="D80" s="49">
        <v>0</v>
      </c>
      <c r="E80" s="49">
        <v>0</v>
      </c>
      <c r="F80" s="50">
        <v>0</v>
      </c>
      <c r="J80" s="217"/>
      <c r="K80" s="217"/>
    </row>
    <row r="81" spans="1:11" ht="21" x14ac:dyDescent="0.25">
      <c r="A81" s="41"/>
      <c r="B81" s="42" t="s">
        <v>245</v>
      </c>
      <c r="C81" s="43" t="s">
        <v>246</v>
      </c>
      <c r="D81" s="44">
        <v>0</v>
      </c>
      <c r="E81" s="44">
        <v>0</v>
      </c>
      <c r="F81" s="45">
        <v>0</v>
      </c>
      <c r="J81" s="217"/>
      <c r="K81" s="217"/>
    </row>
    <row r="82" spans="1:11" ht="21" x14ac:dyDescent="0.25">
      <c r="A82" s="41"/>
      <c r="B82" s="42" t="s">
        <v>247</v>
      </c>
      <c r="C82" s="43" t="s">
        <v>248</v>
      </c>
      <c r="D82" s="44">
        <v>0</v>
      </c>
      <c r="E82" s="44">
        <v>0</v>
      </c>
      <c r="F82" s="45">
        <v>0</v>
      </c>
      <c r="J82" s="217"/>
      <c r="K82" s="217"/>
    </row>
    <row r="83" spans="1:11" ht="21" x14ac:dyDescent="0.25">
      <c r="A83" s="41"/>
      <c r="B83" s="42" t="s">
        <v>249</v>
      </c>
      <c r="C83" s="43" t="s">
        <v>250</v>
      </c>
      <c r="D83" s="44">
        <v>0</v>
      </c>
      <c r="E83" s="44">
        <v>0</v>
      </c>
      <c r="F83" s="45">
        <v>0</v>
      </c>
      <c r="J83" s="217"/>
      <c r="K83" s="217"/>
    </row>
    <row r="84" spans="1:11" ht="21" x14ac:dyDescent="0.25">
      <c r="A84" s="41"/>
      <c r="B84" s="42" t="s">
        <v>251</v>
      </c>
      <c r="C84" s="43" t="s">
        <v>252</v>
      </c>
      <c r="D84" s="44">
        <v>3548383</v>
      </c>
      <c r="E84" s="44">
        <v>0</v>
      </c>
      <c r="F84" s="45">
        <v>0</v>
      </c>
      <c r="J84" s="217"/>
      <c r="K84" s="217"/>
    </row>
    <row r="85" spans="1:11" ht="31.5" x14ac:dyDescent="0.25">
      <c r="A85" s="41"/>
      <c r="B85" s="42" t="s">
        <v>253</v>
      </c>
      <c r="C85" s="43" t="s">
        <v>254</v>
      </c>
      <c r="D85" s="44">
        <v>13819731</v>
      </c>
      <c r="E85" s="44">
        <v>0</v>
      </c>
      <c r="F85" s="45">
        <v>0</v>
      </c>
      <c r="J85" s="217"/>
      <c r="K85" s="217"/>
    </row>
    <row r="86" spans="1:11" ht="21" x14ac:dyDescent="0.25">
      <c r="A86" s="41"/>
      <c r="B86" s="42" t="s">
        <v>255</v>
      </c>
      <c r="C86" s="43" t="s">
        <v>256</v>
      </c>
      <c r="D86" s="44">
        <v>33248716</v>
      </c>
      <c r="E86" s="44">
        <v>5901639</v>
      </c>
      <c r="F86" s="45">
        <v>0</v>
      </c>
      <c r="J86" s="217"/>
      <c r="K86" s="217"/>
    </row>
    <row r="87" spans="1:11" ht="21" x14ac:dyDescent="0.25">
      <c r="A87" s="41"/>
      <c r="B87" s="42" t="s">
        <v>257</v>
      </c>
      <c r="C87" s="43" t="s">
        <v>258</v>
      </c>
      <c r="D87" s="44">
        <v>51161415</v>
      </c>
      <c r="E87" s="44">
        <v>50354330</v>
      </c>
      <c r="F87" s="45">
        <v>0</v>
      </c>
      <c r="J87" s="217"/>
      <c r="K87" s="217"/>
    </row>
    <row r="88" spans="1:11" ht="21" x14ac:dyDescent="0.25">
      <c r="A88" s="46"/>
      <c r="B88" s="47" t="s">
        <v>259</v>
      </c>
      <c r="C88" s="48" t="s">
        <v>260</v>
      </c>
      <c r="D88" s="49">
        <v>0</v>
      </c>
      <c r="E88" s="49">
        <v>0</v>
      </c>
      <c r="F88" s="50">
        <v>0</v>
      </c>
      <c r="J88" s="217"/>
      <c r="K88" s="217"/>
    </row>
    <row r="89" spans="1:11" ht="31.5" x14ac:dyDescent="0.25">
      <c r="A89" s="46"/>
      <c r="B89" s="47" t="s">
        <v>261</v>
      </c>
      <c r="C89" s="48" t="s">
        <v>262</v>
      </c>
      <c r="D89" s="49">
        <v>0</v>
      </c>
      <c r="E89" s="49">
        <v>0</v>
      </c>
      <c r="F89" s="50">
        <v>0</v>
      </c>
      <c r="J89" s="217"/>
      <c r="K89" s="217"/>
    </row>
    <row r="90" spans="1:11" ht="21" x14ac:dyDescent="0.25">
      <c r="A90" s="46"/>
      <c r="B90" s="47" t="s">
        <v>263</v>
      </c>
      <c r="C90" s="48" t="s">
        <v>264</v>
      </c>
      <c r="D90" s="49">
        <v>1161415</v>
      </c>
      <c r="E90" s="49">
        <v>354330</v>
      </c>
      <c r="F90" s="50">
        <v>0</v>
      </c>
      <c r="J90" s="217"/>
      <c r="K90" s="217"/>
    </row>
    <row r="91" spans="1:11" ht="21" x14ac:dyDescent="0.25">
      <c r="A91" s="46"/>
      <c r="B91" s="47" t="s">
        <v>265</v>
      </c>
      <c r="C91" s="48" t="s">
        <v>266</v>
      </c>
      <c r="D91" s="49">
        <v>0</v>
      </c>
      <c r="E91" s="49">
        <v>0</v>
      </c>
      <c r="F91" s="50">
        <v>0</v>
      </c>
      <c r="J91" s="217"/>
      <c r="K91" s="217"/>
    </row>
    <row r="92" spans="1:11" ht="21" x14ac:dyDescent="0.25">
      <c r="A92" s="41"/>
      <c r="B92" s="42" t="s">
        <v>267</v>
      </c>
      <c r="C92" s="43" t="s">
        <v>268</v>
      </c>
      <c r="D92" s="44">
        <v>50000000</v>
      </c>
      <c r="E92" s="44">
        <v>50000000</v>
      </c>
      <c r="F92" s="45">
        <v>0</v>
      </c>
      <c r="J92" s="217"/>
      <c r="K92" s="217"/>
    </row>
    <row r="93" spans="1:11" ht="21" x14ac:dyDescent="0.25">
      <c r="A93" s="41"/>
      <c r="B93" s="42" t="s">
        <v>269</v>
      </c>
      <c r="C93" s="43" t="s">
        <v>270</v>
      </c>
      <c r="D93" s="44">
        <v>0</v>
      </c>
      <c r="E93" s="44">
        <v>0</v>
      </c>
      <c r="F93" s="45">
        <v>0</v>
      </c>
      <c r="J93" s="217"/>
      <c r="K93" s="217"/>
    </row>
    <row r="94" spans="1:11" ht="21" x14ac:dyDescent="0.25">
      <c r="A94" s="41"/>
      <c r="B94" s="42" t="s">
        <v>271</v>
      </c>
      <c r="C94" s="43" t="s">
        <v>272</v>
      </c>
      <c r="D94" s="44">
        <v>0</v>
      </c>
      <c r="E94" s="44">
        <v>0</v>
      </c>
      <c r="F94" s="45">
        <v>0</v>
      </c>
      <c r="J94" s="217"/>
      <c r="K94" s="217"/>
    </row>
    <row r="95" spans="1:11" ht="21" x14ac:dyDescent="0.25">
      <c r="A95" s="41"/>
      <c r="B95" s="42" t="s">
        <v>273</v>
      </c>
      <c r="C95" s="43" t="s">
        <v>274</v>
      </c>
      <c r="D95" s="44">
        <v>0</v>
      </c>
      <c r="E95" s="44">
        <v>0</v>
      </c>
      <c r="F95" s="45">
        <v>0</v>
      </c>
      <c r="J95" s="217"/>
      <c r="K95" s="217"/>
    </row>
    <row r="96" spans="1:11" ht="21" x14ac:dyDescent="0.25">
      <c r="A96" s="41"/>
      <c r="B96" s="42" t="s">
        <v>275</v>
      </c>
      <c r="C96" s="43" t="s">
        <v>276</v>
      </c>
      <c r="D96" s="44">
        <v>0</v>
      </c>
      <c r="E96" s="44">
        <v>0</v>
      </c>
      <c r="F96" s="45">
        <v>0</v>
      </c>
      <c r="J96" s="217"/>
      <c r="K96" s="217"/>
    </row>
    <row r="97" spans="1:11" ht="21" x14ac:dyDescent="0.25">
      <c r="A97" s="46"/>
      <c r="B97" s="47" t="s">
        <v>277</v>
      </c>
      <c r="C97" s="48" t="s">
        <v>278</v>
      </c>
      <c r="D97" s="49">
        <v>0</v>
      </c>
      <c r="E97" s="49">
        <v>0</v>
      </c>
      <c r="F97" s="50">
        <v>0</v>
      </c>
      <c r="J97" s="217"/>
      <c r="K97" s="217"/>
    </row>
    <row r="98" spans="1:11" ht="21" x14ac:dyDescent="0.25">
      <c r="A98" s="46"/>
      <c r="B98" s="47" t="s">
        <v>279</v>
      </c>
      <c r="C98" s="48" t="s">
        <v>280</v>
      </c>
      <c r="D98" s="49">
        <v>0</v>
      </c>
      <c r="E98" s="49">
        <v>0</v>
      </c>
      <c r="F98" s="50">
        <v>0</v>
      </c>
      <c r="J98" s="217"/>
      <c r="K98" s="217"/>
    </row>
    <row r="99" spans="1:11" ht="21" x14ac:dyDescent="0.25">
      <c r="A99" s="36" t="s">
        <v>281</v>
      </c>
      <c r="B99" s="37" t="s">
        <v>282</v>
      </c>
      <c r="C99" s="38" t="s">
        <v>283</v>
      </c>
      <c r="D99" s="39">
        <v>425418147</v>
      </c>
      <c r="E99" s="39">
        <v>98827707</v>
      </c>
      <c r="F99" s="40">
        <v>0</v>
      </c>
      <c r="J99" s="217"/>
      <c r="K99" s="217"/>
    </row>
    <row r="100" spans="1:11" ht="21" x14ac:dyDescent="0.25">
      <c r="A100" s="36"/>
      <c r="B100" s="37" t="s">
        <v>284</v>
      </c>
      <c r="C100" s="38" t="s">
        <v>285</v>
      </c>
      <c r="D100" s="39">
        <v>696131174678</v>
      </c>
      <c r="E100" s="39">
        <v>111106113893</v>
      </c>
      <c r="F100" s="40">
        <v>0</v>
      </c>
      <c r="J100" s="217"/>
      <c r="K100" s="217"/>
    </row>
    <row r="101" spans="1:11" ht="21" x14ac:dyDescent="0.25">
      <c r="A101" s="36"/>
      <c r="B101" s="37" t="s">
        <v>286</v>
      </c>
      <c r="C101" s="38" t="s">
        <v>287</v>
      </c>
      <c r="D101" s="39">
        <v>58000000</v>
      </c>
      <c r="E101" s="39">
        <v>10200000</v>
      </c>
      <c r="F101" s="40"/>
      <c r="J101" s="217"/>
      <c r="K101" s="217"/>
    </row>
    <row r="102" spans="1:11" ht="21" x14ac:dyDescent="0.25">
      <c r="A102" s="51"/>
      <c r="B102" s="52" t="s">
        <v>288</v>
      </c>
      <c r="C102" s="53" t="s">
        <v>289</v>
      </c>
      <c r="D102" s="54">
        <v>12002.26</v>
      </c>
      <c r="E102" s="54">
        <v>10892.75</v>
      </c>
      <c r="F102" s="55">
        <v>0</v>
      </c>
      <c r="J102" s="217"/>
      <c r="K102" s="217"/>
    </row>
    <row r="103" spans="1:11" ht="8.25" customHeight="1" x14ac:dyDescent="0.25">
      <c r="A103" s="256"/>
      <c r="B103" s="256"/>
      <c r="C103" s="256"/>
      <c r="D103" s="256"/>
      <c r="E103" s="256"/>
      <c r="F103" s="256"/>
    </row>
    <row r="104" spans="1:11" ht="27" customHeight="1" x14ac:dyDescent="0.25">
      <c r="A104" s="263" t="s">
        <v>290</v>
      </c>
      <c r="B104" s="263"/>
      <c r="C104" s="263"/>
      <c r="D104" s="263"/>
      <c r="E104" s="263"/>
      <c r="F104" s="263"/>
    </row>
    <row r="105" spans="1:11" ht="6.75" customHeight="1" x14ac:dyDescent="0.25">
      <c r="A105" s="256"/>
      <c r="B105" s="256"/>
      <c r="C105" s="256"/>
      <c r="D105" s="256"/>
      <c r="E105" s="256"/>
      <c r="F105" s="256"/>
    </row>
    <row r="106" spans="1:11" x14ac:dyDescent="0.25">
      <c r="A106" s="254" t="s">
        <v>17</v>
      </c>
      <c r="B106" s="254"/>
      <c r="C106" s="254" t="s">
        <v>291</v>
      </c>
      <c r="D106" s="254"/>
      <c r="E106" s="254"/>
      <c r="F106" s="254"/>
    </row>
    <row r="107" spans="1:11" x14ac:dyDescent="0.25">
      <c r="A107" s="257" t="s">
        <v>19</v>
      </c>
      <c r="B107" s="257"/>
      <c r="C107" s="258" t="s">
        <v>20</v>
      </c>
      <c r="D107" s="258"/>
      <c r="E107" s="258"/>
      <c r="F107" s="258"/>
    </row>
    <row r="108" spans="1:11" ht="37.5" customHeight="1" x14ac:dyDescent="0.25">
      <c r="A108" s="255"/>
      <c r="B108" s="255"/>
      <c r="C108" s="255"/>
      <c r="D108" s="255"/>
      <c r="E108" s="255"/>
      <c r="F108" s="255"/>
    </row>
    <row r="109" spans="1:11" ht="37.5" customHeight="1" x14ac:dyDescent="0.25">
      <c r="A109" s="256"/>
      <c r="B109" s="256"/>
      <c r="C109" s="256"/>
      <c r="D109" s="256"/>
      <c r="E109" s="256"/>
      <c r="F109" s="256"/>
    </row>
    <row r="110" spans="1:11" x14ac:dyDescent="0.25">
      <c r="A110" s="254" t="s">
        <v>292</v>
      </c>
      <c r="B110" s="254"/>
      <c r="C110" s="254" t="s">
        <v>293</v>
      </c>
      <c r="D110" s="254"/>
      <c r="E110" s="254"/>
      <c r="F110" s="254"/>
    </row>
    <row r="111" spans="1:11" x14ac:dyDescent="0.25">
      <c r="A111" s="254" t="s">
        <v>1073</v>
      </c>
      <c r="B111" s="254"/>
      <c r="C111" s="254" t="s">
        <v>1003</v>
      </c>
      <c r="D111" s="254"/>
      <c r="E111" s="254"/>
      <c r="F111" s="254"/>
    </row>
    <row r="112" spans="1:11" x14ac:dyDescent="0.25">
      <c r="A112" s="254" t="s">
        <v>1074</v>
      </c>
      <c r="B112" s="254"/>
      <c r="C112" s="254" t="s">
        <v>1075</v>
      </c>
      <c r="D112" s="254"/>
      <c r="E112" s="254"/>
      <c r="F112" s="254"/>
    </row>
  </sheetData>
  <mergeCells count="35">
    <mergeCell ref="C12:F12"/>
    <mergeCell ref="C1:F1"/>
    <mergeCell ref="A2:F2"/>
    <mergeCell ref="A3:F3"/>
    <mergeCell ref="A4:F4"/>
    <mergeCell ref="C6:F6"/>
    <mergeCell ref="C7:F7"/>
    <mergeCell ref="C8:F8"/>
    <mergeCell ref="C9:F9"/>
    <mergeCell ref="C10:F10"/>
    <mergeCell ref="C11:F1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 right="0" top="0.59055118110236227" bottom="0.28000000000000003" header="0.51181102362204722" footer="0.28000000000000003"/>
  <pageSetup paperSize="9" scale="92"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M94"/>
  <sheetViews>
    <sheetView showGridLines="0" showZeros="0" showOutlineSymbols="0" view="pageBreakPreview" zoomScaleNormal="100" zoomScaleSheetLayoutView="100" workbookViewId="0">
      <selection activeCell="D94" sqref="A1:F94"/>
    </sheetView>
  </sheetViews>
  <sheetFormatPr defaultRowHeight="12.75" x14ac:dyDescent="0.25"/>
  <cols>
    <col min="1" max="1" width="6.28515625" style="153" customWidth="1"/>
    <col min="2" max="2" width="40.42578125" style="153" customWidth="1"/>
    <col min="3" max="3" width="9.28515625" style="153" customWidth="1"/>
    <col min="4" max="6" width="17.140625" style="153" customWidth="1"/>
    <col min="7" max="7" width="10.140625" style="153" bestFit="1" customWidth="1"/>
    <col min="8" max="256" width="9.140625" style="153"/>
    <col min="257" max="257" width="6.28515625" style="153" customWidth="1"/>
    <col min="258" max="258" width="40.42578125" style="153" customWidth="1"/>
    <col min="259" max="259" width="9.28515625" style="153" customWidth="1"/>
    <col min="260" max="262" width="17.140625" style="153" customWidth="1"/>
    <col min="263" max="512" width="9.140625" style="153"/>
    <col min="513" max="513" width="6.28515625" style="153" customWidth="1"/>
    <col min="514" max="514" width="40.42578125" style="153" customWidth="1"/>
    <col min="515" max="515" width="9.28515625" style="153" customWidth="1"/>
    <col min="516" max="518" width="17.140625" style="153" customWidth="1"/>
    <col min="519" max="768" width="9.140625" style="153"/>
    <col min="769" max="769" width="6.28515625" style="153" customWidth="1"/>
    <col min="770" max="770" width="40.42578125" style="153" customWidth="1"/>
    <col min="771" max="771" width="9.28515625" style="153" customWidth="1"/>
    <col min="772" max="774" width="17.140625" style="153" customWidth="1"/>
    <col min="775" max="1024" width="9.140625" style="153"/>
    <col min="1025" max="1025" width="6.28515625" style="153" customWidth="1"/>
    <col min="1026" max="1026" width="40.42578125" style="153" customWidth="1"/>
    <col min="1027" max="1027" width="9.28515625" style="153" customWidth="1"/>
    <col min="1028" max="1030" width="17.140625" style="153" customWidth="1"/>
    <col min="1031" max="1280" width="9.140625" style="153"/>
    <col min="1281" max="1281" width="6.28515625" style="153" customWidth="1"/>
    <col min="1282" max="1282" width="40.42578125" style="153" customWidth="1"/>
    <col min="1283" max="1283" width="9.28515625" style="153" customWidth="1"/>
    <col min="1284" max="1286" width="17.140625" style="153" customWidth="1"/>
    <col min="1287" max="1536" width="9.140625" style="153"/>
    <col min="1537" max="1537" width="6.28515625" style="153" customWidth="1"/>
    <col min="1538" max="1538" width="40.42578125" style="153" customWidth="1"/>
    <col min="1539" max="1539" width="9.28515625" style="153" customWidth="1"/>
    <col min="1540" max="1542" width="17.140625" style="153" customWidth="1"/>
    <col min="1543" max="1792" width="9.140625" style="153"/>
    <col min="1793" max="1793" width="6.28515625" style="153" customWidth="1"/>
    <col min="1794" max="1794" width="40.42578125" style="153" customWidth="1"/>
    <col min="1795" max="1795" width="9.28515625" style="153" customWidth="1"/>
    <col min="1796" max="1798" width="17.140625" style="153" customWidth="1"/>
    <col min="1799" max="2048" width="9.140625" style="153"/>
    <col min="2049" max="2049" width="6.28515625" style="153" customWidth="1"/>
    <col min="2050" max="2050" width="40.42578125" style="153" customWidth="1"/>
    <col min="2051" max="2051" width="9.28515625" style="153" customWidth="1"/>
    <col min="2052" max="2054" width="17.140625" style="153" customWidth="1"/>
    <col min="2055" max="2304" width="9.140625" style="153"/>
    <col min="2305" max="2305" width="6.28515625" style="153" customWidth="1"/>
    <col min="2306" max="2306" width="40.42578125" style="153" customWidth="1"/>
    <col min="2307" max="2307" width="9.28515625" style="153" customWidth="1"/>
    <col min="2308" max="2310" width="17.140625" style="153" customWidth="1"/>
    <col min="2311" max="2560" width="9.140625" style="153"/>
    <col min="2561" max="2561" width="6.28515625" style="153" customWidth="1"/>
    <col min="2562" max="2562" width="40.42578125" style="153" customWidth="1"/>
    <col min="2563" max="2563" width="9.28515625" style="153" customWidth="1"/>
    <col min="2564" max="2566" width="17.140625" style="153" customWidth="1"/>
    <col min="2567" max="2816" width="9.140625" style="153"/>
    <col min="2817" max="2817" width="6.28515625" style="153" customWidth="1"/>
    <col min="2818" max="2818" width="40.42578125" style="153" customWidth="1"/>
    <col min="2819" max="2819" width="9.28515625" style="153" customWidth="1"/>
    <col min="2820" max="2822" width="17.140625" style="153" customWidth="1"/>
    <col min="2823" max="3072" width="9.140625" style="153"/>
    <col min="3073" max="3073" width="6.28515625" style="153" customWidth="1"/>
    <col min="3074" max="3074" width="40.42578125" style="153" customWidth="1"/>
    <col min="3075" max="3075" width="9.28515625" style="153" customWidth="1"/>
    <col min="3076" max="3078" width="17.140625" style="153" customWidth="1"/>
    <col min="3079" max="3328" width="9.140625" style="153"/>
    <col min="3329" max="3329" width="6.28515625" style="153" customWidth="1"/>
    <col min="3330" max="3330" width="40.42578125" style="153" customWidth="1"/>
    <col min="3331" max="3331" width="9.28515625" style="153" customWidth="1"/>
    <col min="3332" max="3334" width="17.140625" style="153" customWidth="1"/>
    <col min="3335" max="3584" width="9.140625" style="153"/>
    <col min="3585" max="3585" width="6.28515625" style="153" customWidth="1"/>
    <col min="3586" max="3586" width="40.42578125" style="153" customWidth="1"/>
    <col min="3587" max="3587" width="9.28515625" style="153" customWidth="1"/>
    <col min="3588" max="3590" width="17.140625" style="153" customWidth="1"/>
    <col min="3591" max="3840" width="9.140625" style="153"/>
    <col min="3841" max="3841" width="6.28515625" style="153" customWidth="1"/>
    <col min="3842" max="3842" width="40.42578125" style="153" customWidth="1"/>
    <col min="3843" max="3843" width="9.28515625" style="153" customWidth="1"/>
    <col min="3844" max="3846" width="17.140625" style="153" customWidth="1"/>
    <col min="3847" max="4096" width="9.140625" style="153"/>
    <col min="4097" max="4097" width="6.28515625" style="153" customWidth="1"/>
    <col min="4098" max="4098" width="40.42578125" style="153" customWidth="1"/>
    <col min="4099" max="4099" width="9.28515625" style="153" customWidth="1"/>
    <col min="4100" max="4102" width="17.140625" style="153" customWidth="1"/>
    <col min="4103" max="4352" width="9.140625" style="153"/>
    <col min="4353" max="4353" width="6.28515625" style="153" customWidth="1"/>
    <col min="4354" max="4354" width="40.42578125" style="153" customWidth="1"/>
    <col min="4355" max="4355" width="9.28515625" style="153" customWidth="1"/>
    <col min="4356" max="4358" width="17.140625" style="153" customWidth="1"/>
    <col min="4359" max="4608" width="9.140625" style="153"/>
    <col min="4609" max="4609" width="6.28515625" style="153" customWidth="1"/>
    <col min="4610" max="4610" width="40.42578125" style="153" customWidth="1"/>
    <col min="4611" max="4611" width="9.28515625" style="153" customWidth="1"/>
    <col min="4612" max="4614" width="17.140625" style="153" customWidth="1"/>
    <col min="4615" max="4864" width="9.140625" style="153"/>
    <col min="4865" max="4865" width="6.28515625" style="153" customWidth="1"/>
    <col min="4866" max="4866" width="40.42578125" style="153" customWidth="1"/>
    <col min="4867" max="4867" width="9.28515625" style="153" customWidth="1"/>
    <col min="4868" max="4870" width="17.140625" style="153" customWidth="1"/>
    <col min="4871" max="5120" width="9.140625" style="153"/>
    <col min="5121" max="5121" width="6.28515625" style="153" customWidth="1"/>
    <col min="5122" max="5122" width="40.42578125" style="153" customWidth="1"/>
    <col min="5123" max="5123" width="9.28515625" style="153" customWidth="1"/>
    <col min="5124" max="5126" width="17.140625" style="153" customWidth="1"/>
    <col min="5127" max="5376" width="9.140625" style="153"/>
    <col min="5377" max="5377" width="6.28515625" style="153" customWidth="1"/>
    <col min="5378" max="5378" width="40.42578125" style="153" customWidth="1"/>
    <col min="5379" max="5379" width="9.28515625" style="153" customWidth="1"/>
    <col min="5380" max="5382" width="17.140625" style="153" customWidth="1"/>
    <col min="5383" max="5632" width="9.140625" style="153"/>
    <col min="5633" max="5633" width="6.28515625" style="153" customWidth="1"/>
    <col min="5634" max="5634" width="40.42578125" style="153" customWidth="1"/>
    <col min="5635" max="5635" width="9.28515625" style="153" customWidth="1"/>
    <col min="5636" max="5638" width="17.140625" style="153" customWidth="1"/>
    <col min="5639" max="5888" width="9.140625" style="153"/>
    <col min="5889" max="5889" width="6.28515625" style="153" customWidth="1"/>
    <col min="5890" max="5890" width="40.42578125" style="153" customWidth="1"/>
    <col min="5891" max="5891" width="9.28515625" style="153" customWidth="1"/>
    <col min="5892" max="5894" width="17.140625" style="153" customWidth="1"/>
    <col min="5895" max="6144" width="9.140625" style="153"/>
    <col min="6145" max="6145" width="6.28515625" style="153" customWidth="1"/>
    <col min="6146" max="6146" width="40.42578125" style="153" customWidth="1"/>
    <col min="6147" max="6147" width="9.28515625" style="153" customWidth="1"/>
    <col min="6148" max="6150" width="17.140625" style="153" customWidth="1"/>
    <col min="6151" max="6400" width="9.140625" style="153"/>
    <col min="6401" max="6401" width="6.28515625" style="153" customWidth="1"/>
    <col min="6402" max="6402" width="40.42578125" style="153" customWidth="1"/>
    <col min="6403" max="6403" width="9.28515625" style="153" customWidth="1"/>
    <col min="6404" max="6406" width="17.140625" style="153" customWidth="1"/>
    <col min="6407" max="6656" width="9.140625" style="153"/>
    <col min="6657" max="6657" width="6.28515625" style="153" customWidth="1"/>
    <col min="6658" max="6658" width="40.42578125" style="153" customWidth="1"/>
    <col min="6659" max="6659" width="9.28515625" style="153" customWidth="1"/>
    <col min="6660" max="6662" width="17.140625" style="153" customWidth="1"/>
    <col min="6663" max="6912" width="9.140625" style="153"/>
    <col min="6913" max="6913" width="6.28515625" style="153" customWidth="1"/>
    <col min="6914" max="6914" width="40.42578125" style="153" customWidth="1"/>
    <col min="6915" max="6915" width="9.28515625" style="153" customWidth="1"/>
    <col min="6916" max="6918" width="17.140625" style="153" customWidth="1"/>
    <col min="6919" max="7168" width="9.140625" style="153"/>
    <col min="7169" max="7169" width="6.28515625" style="153" customWidth="1"/>
    <col min="7170" max="7170" width="40.42578125" style="153" customWidth="1"/>
    <col min="7171" max="7171" width="9.28515625" style="153" customWidth="1"/>
    <col min="7172" max="7174" width="17.140625" style="153" customWidth="1"/>
    <col min="7175" max="7424" width="9.140625" style="153"/>
    <col min="7425" max="7425" width="6.28515625" style="153" customWidth="1"/>
    <col min="7426" max="7426" width="40.42578125" style="153" customWidth="1"/>
    <col min="7427" max="7427" width="9.28515625" style="153" customWidth="1"/>
    <col min="7428" max="7430" width="17.140625" style="153" customWidth="1"/>
    <col min="7431" max="7680" width="9.140625" style="153"/>
    <col min="7681" max="7681" width="6.28515625" style="153" customWidth="1"/>
    <col min="7682" max="7682" width="40.42578125" style="153" customWidth="1"/>
    <col min="7683" max="7683" width="9.28515625" style="153" customWidth="1"/>
    <col min="7684" max="7686" width="17.140625" style="153" customWidth="1"/>
    <col min="7687" max="7936" width="9.140625" style="153"/>
    <col min="7937" max="7937" width="6.28515625" style="153" customWidth="1"/>
    <col min="7938" max="7938" width="40.42578125" style="153" customWidth="1"/>
    <col min="7939" max="7939" width="9.28515625" style="153" customWidth="1"/>
    <col min="7940" max="7942" width="17.140625" style="153" customWidth="1"/>
    <col min="7943" max="8192" width="9.140625" style="153"/>
    <col min="8193" max="8193" width="6.28515625" style="153" customWidth="1"/>
    <col min="8194" max="8194" width="40.42578125" style="153" customWidth="1"/>
    <col min="8195" max="8195" width="9.28515625" style="153" customWidth="1"/>
    <col min="8196" max="8198" width="17.140625" style="153" customWidth="1"/>
    <col min="8199" max="8448" width="9.140625" style="153"/>
    <col min="8449" max="8449" width="6.28515625" style="153" customWidth="1"/>
    <col min="8450" max="8450" width="40.42578125" style="153" customWidth="1"/>
    <col min="8451" max="8451" width="9.28515625" style="153" customWidth="1"/>
    <col min="8452" max="8454" width="17.140625" style="153" customWidth="1"/>
    <col min="8455" max="8704" width="9.140625" style="153"/>
    <col min="8705" max="8705" width="6.28515625" style="153" customWidth="1"/>
    <col min="8706" max="8706" width="40.42578125" style="153" customWidth="1"/>
    <col min="8707" max="8707" width="9.28515625" style="153" customWidth="1"/>
    <col min="8708" max="8710" width="17.140625" style="153" customWidth="1"/>
    <col min="8711" max="8960" width="9.140625" style="153"/>
    <col min="8961" max="8961" width="6.28515625" style="153" customWidth="1"/>
    <col min="8962" max="8962" width="40.42578125" style="153" customWidth="1"/>
    <col min="8963" max="8963" width="9.28515625" style="153" customWidth="1"/>
    <col min="8964" max="8966" width="17.140625" style="153" customWidth="1"/>
    <col min="8967" max="9216" width="9.140625" style="153"/>
    <col min="9217" max="9217" width="6.28515625" style="153" customWidth="1"/>
    <col min="9218" max="9218" width="40.42578125" style="153" customWidth="1"/>
    <col min="9219" max="9219" width="9.28515625" style="153" customWidth="1"/>
    <col min="9220" max="9222" width="17.140625" style="153" customWidth="1"/>
    <col min="9223" max="9472" width="9.140625" style="153"/>
    <col min="9473" max="9473" width="6.28515625" style="153" customWidth="1"/>
    <col min="9474" max="9474" width="40.42578125" style="153" customWidth="1"/>
    <col min="9475" max="9475" width="9.28515625" style="153" customWidth="1"/>
    <col min="9476" max="9478" width="17.140625" style="153" customWidth="1"/>
    <col min="9479" max="9728" width="9.140625" style="153"/>
    <col min="9729" max="9729" width="6.28515625" style="153" customWidth="1"/>
    <col min="9730" max="9730" width="40.42578125" style="153" customWidth="1"/>
    <col min="9731" max="9731" width="9.28515625" style="153" customWidth="1"/>
    <col min="9732" max="9734" width="17.140625" style="153" customWidth="1"/>
    <col min="9735" max="9984" width="9.140625" style="153"/>
    <col min="9985" max="9985" width="6.28515625" style="153" customWidth="1"/>
    <col min="9986" max="9986" width="40.42578125" style="153" customWidth="1"/>
    <col min="9987" max="9987" width="9.28515625" style="153" customWidth="1"/>
    <col min="9988" max="9990" width="17.140625" style="153" customWidth="1"/>
    <col min="9991" max="10240" width="9.140625" style="153"/>
    <col min="10241" max="10241" width="6.28515625" style="153" customWidth="1"/>
    <col min="10242" max="10242" width="40.42578125" style="153" customWidth="1"/>
    <col min="10243" max="10243" width="9.28515625" style="153" customWidth="1"/>
    <col min="10244" max="10246" width="17.140625" style="153" customWidth="1"/>
    <col min="10247" max="10496" width="9.140625" style="153"/>
    <col min="10497" max="10497" width="6.28515625" style="153" customWidth="1"/>
    <col min="10498" max="10498" width="40.42578125" style="153" customWidth="1"/>
    <col min="10499" max="10499" width="9.28515625" style="153" customWidth="1"/>
    <col min="10500" max="10502" width="17.140625" style="153" customWidth="1"/>
    <col min="10503" max="10752" width="9.140625" style="153"/>
    <col min="10753" max="10753" width="6.28515625" style="153" customWidth="1"/>
    <col min="10754" max="10754" width="40.42578125" style="153" customWidth="1"/>
    <col min="10755" max="10755" width="9.28515625" style="153" customWidth="1"/>
    <col min="10756" max="10758" width="17.140625" style="153" customWidth="1"/>
    <col min="10759" max="11008" width="9.140625" style="153"/>
    <col min="11009" max="11009" width="6.28515625" style="153" customWidth="1"/>
    <col min="11010" max="11010" width="40.42578125" style="153" customWidth="1"/>
    <col min="11011" max="11011" width="9.28515625" style="153" customWidth="1"/>
    <col min="11012" max="11014" width="17.140625" style="153" customWidth="1"/>
    <col min="11015" max="11264" width="9.140625" style="153"/>
    <col min="11265" max="11265" width="6.28515625" style="153" customWidth="1"/>
    <col min="11266" max="11266" width="40.42578125" style="153" customWidth="1"/>
    <col min="11267" max="11267" width="9.28515625" style="153" customWidth="1"/>
    <col min="11268" max="11270" width="17.140625" style="153" customWidth="1"/>
    <col min="11271" max="11520" width="9.140625" style="153"/>
    <col min="11521" max="11521" width="6.28515625" style="153" customWidth="1"/>
    <col min="11522" max="11522" width="40.42578125" style="153" customWidth="1"/>
    <col min="11523" max="11523" width="9.28515625" style="153" customWidth="1"/>
    <col min="11524" max="11526" width="17.140625" style="153" customWidth="1"/>
    <col min="11527" max="11776" width="9.140625" style="153"/>
    <col min="11777" max="11777" width="6.28515625" style="153" customWidth="1"/>
    <col min="11778" max="11778" width="40.42578125" style="153" customWidth="1"/>
    <col min="11779" max="11779" width="9.28515625" style="153" customWidth="1"/>
    <col min="11780" max="11782" width="17.140625" style="153" customWidth="1"/>
    <col min="11783" max="12032" width="9.140625" style="153"/>
    <col min="12033" max="12033" width="6.28515625" style="153" customWidth="1"/>
    <col min="12034" max="12034" width="40.42578125" style="153" customWidth="1"/>
    <col min="12035" max="12035" width="9.28515625" style="153" customWidth="1"/>
    <col min="12036" max="12038" width="17.140625" style="153" customWidth="1"/>
    <col min="12039" max="12288" width="9.140625" style="153"/>
    <col min="12289" max="12289" width="6.28515625" style="153" customWidth="1"/>
    <col min="12290" max="12290" width="40.42578125" style="153" customWidth="1"/>
    <col min="12291" max="12291" width="9.28515625" style="153" customWidth="1"/>
    <col min="12292" max="12294" width="17.140625" style="153" customWidth="1"/>
    <col min="12295" max="12544" width="9.140625" style="153"/>
    <col min="12545" max="12545" width="6.28515625" style="153" customWidth="1"/>
    <col min="12546" max="12546" width="40.42578125" style="153" customWidth="1"/>
    <col min="12547" max="12547" width="9.28515625" style="153" customWidth="1"/>
    <col min="12548" max="12550" width="17.140625" style="153" customWidth="1"/>
    <col min="12551" max="12800" width="9.140625" style="153"/>
    <col min="12801" max="12801" width="6.28515625" style="153" customWidth="1"/>
    <col min="12802" max="12802" width="40.42578125" style="153" customWidth="1"/>
    <col min="12803" max="12803" width="9.28515625" style="153" customWidth="1"/>
    <col min="12804" max="12806" width="17.140625" style="153" customWidth="1"/>
    <col min="12807" max="13056" width="9.140625" style="153"/>
    <col min="13057" max="13057" width="6.28515625" style="153" customWidth="1"/>
    <col min="13058" max="13058" width="40.42578125" style="153" customWidth="1"/>
    <col min="13059" max="13059" width="9.28515625" style="153" customWidth="1"/>
    <col min="13060" max="13062" width="17.140625" style="153" customWidth="1"/>
    <col min="13063" max="13312" width="9.140625" style="153"/>
    <col min="13313" max="13313" width="6.28515625" style="153" customWidth="1"/>
    <col min="13314" max="13314" width="40.42578125" style="153" customWidth="1"/>
    <col min="13315" max="13315" width="9.28515625" style="153" customWidth="1"/>
    <col min="13316" max="13318" width="17.140625" style="153" customWidth="1"/>
    <col min="13319" max="13568" width="9.140625" style="153"/>
    <col min="13569" max="13569" width="6.28515625" style="153" customWidth="1"/>
    <col min="13570" max="13570" width="40.42578125" style="153" customWidth="1"/>
    <col min="13571" max="13571" width="9.28515625" style="153" customWidth="1"/>
    <col min="13572" max="13574" width="17.140625" style="153" customWidth="1"/>
    <col min="13575" max="13824" width="9.140625" style="153"/>
    <col min="13825" max="13825" width="6.28515625" style="153" customWidth="1"/>
    <col min="13826" max="13826" width="40.42578125" style="153" customWidth="1"/>
    <col min="13827" max="13827" width="9.28515625" style="153" customWidth="1"/>
    <col min="13828" max="13830" width="17.140625" style="153" customWidth="1"/>
    <col min="13831" max="14080" width="9.140625" style="153"/>
    <col min="14081" max="14081" width="6.28515625" style="153" customWidth="1"/>
    <col min="14082" max="14082" width="40.42578125" style="153" customWidth="1"/>
    <col min="14083" max="14083" width="9.28515625" style="153" customWidth="1"/>
    <col min="14084" max="14086" width="17.140625" style="153" customWidth="1"/>
    <col min="14087" max="14336" width="9.140625" style="153"/>
    <col min="14337" max="14337" width="6.28515625" style="153" customWidth="1"/>
    <col min="14338" max="14338" width="40.42578125" style="153" customWidth="1"/>
    <col min="14339" max="14339" width="9.28515625" style="153" customWidth="1"/>
    <col min="14340" max="14342" width="17.140625" style="153" customWidth="1"/>
    <col min="14343" max="14592" width="9.140625" style="153"/>
    <col min="14593" max="14593" width="6.28515625" style="153" customWidth="1"/>
    <col min="14594" max="14594" width="40.42578125" style="153" customWidth="1"/>
    <col min="14595" max="14595" width="9.28515625" style="153" customWidth="1"/>
    <col min="14596" max="14598" width="17.140625" style="153" customWidth="1"/>
    <col min="14599" max="14848" width="9.140625" style="153"/>
    <col min="14849" max="14849" width="6.28515625" style="153" customWidth="1"/>
    <col min="14850" max="14850" width="40.42578125" style="153" customWidth="1"/>
    <col min="14851" max="14851" width="9.28515625" style="153" customWidth="1"/>
    <col min="14852" max="14854" width="17.140625" style="153" customWidth="1"/>
    <col min="14855" max="15104" width="9.140625" style="153"/>
    <col min="15105" max="15105" width="6.28515625" style="153" customWidth="1"/>
    <col min="15106" max="15106" width="40.42578125" style="153" customWidth="1"/>
    <col min="15107" max="15107" width="9.28515625" style="153" customWidth="1"/>
    <col min="15108" max="15110" width="17.140625" style="153" customWidth="1"/>
    <col min="15111" max="15360" width="9.140625" style="153"/>
    <col min="15361" max="15361" width="6.28515625" style="153" customWidth="1"/>
    <col min="15362" max="15362" width="40.42578125" style="153" customWidth="1"/>
    <col min="15363" max="15363" width="9.28515625" style="153" customWidth="1"/>
    <col min="15364" max="15366" width="17.140625" style="153" customWidth="1"/>
    <col min="15367" max="15616" width="9.140625" style="153"/>
    <col min="15617" max="15617" width="6.28515625" style="153" customWidth="1"/>
    <col min="15618" max="15618" width="40.42578125" style="153" customWidth="1"/>
    <col min="15619" max="15619" width="9.28515625" style="153" customWidth="1"/>
    <col min="15620" max="15622" width="17.140625" style="153" customWidth="1"/>
    <col min="15623" max="15872" width="9.140625" style="153"/>
    <col min="15873" max="15873" width="6.28515625" style="153" customWidth="1"/>
    <col min="15874" max="15874" width="40.42578125" style="153" customWidth="1"/>
    <col min="15875" max="15875" width="9.28515625" style="153" customWidth="1"/>
    <col min="15876" max="15878" width="17.140625" style="153" customWidth="1"/>
    <col min="15879" max="16128" width="9.140625" style="153"/>
    <col min="16129" max="16129" width="6.28515625" style="153" customWidth="1"/>
    <col min="16130" max="16130" width="40.42578125" style="153" customWidth="1"/>
    <col min="16131" max="16131" width="9.28515625" style="153" customWidth="1"/>
    <col min="16132" max="16134" width="17.140625" style="153" customWidth="1"/>
    <col min="16135" max="16384" width="9.140625" style="153"/>
  </cols>
  <sheetData>
    <row r="1" spans="1:6" ht="35.25" customHeight="1" x14ac:dyDescent="0.25">
      <c r="A1" s="256"/>
      <c r="B1" s="256"/>
      <c r="C1" s="266" t="s">
        <v>294</v>
      </c>
      <c r="D1" s="266"/>
      <c r="E1" s="266"/>
      <c r="F1" s="266"/>
    </row>
    <row r="2" spans="1:6" ht="47.25" customHeight="1" x14ac:dyDescent="0.25">
      <c r="A2" s="267" t="s">
        <v>295</v>
      </c>
      <c r="B2" s="267"/>
      <c r="C2" s="267"/>
      <c r="D2" s="267"/>
      <c r="E2" s="267"/>
      <c r="F2" s="267"/>
    </row>
    <row r="3" spans="1:6" ht="27" customHeight="1" x14ac:dyDescent="0.25">
      <c r="A3" s="277" t="s">
        <v>93</v>
      </c>
      <c r="B3" s="277"/>
      <c r="C3" s="277"/>
      <c r="D3" s="277"/>
      <c r="E3" s="277"/>
      <c r="F3" s="277"/>
    </row>
    <row r="4" spans="1:6" ht="13.5" customHeight="1" x14ac:dyDescent="0.25">
      <c r="A4" s="257" t="s">
        <v>1080</v>
      </c>
      <c r="B4" s="257"/>
      <c r="C4" s="257"/>
      <c r="D4" s="257"/>
      <c r="E4" s="257"/>
      <c r="F4" s="257"/>
    </row>
    <row r="5" spans="1:6" ht="9.75" customHeight="1" x14ac:dyDescent="0.25">
      <c r="A5" s="152"/>
      <c r="B5" s="152"/>
      <c r="C5" s="152"/>
      <c r="D5" s="152"/>
      <c r="E5" s="152"/>
      <c r="F5" s="152"/>
    </row>
    <row r="6" spans="1:6" ht="12.75" customHeight="1" x14ac:dyDescent="0.25">
      <c r="A6" s="56" t="s">
        <v>95</v>
      </c>
      <c r="B6" s="57" t="s">
        <v>96</v>
      </c>
      <c r="C6" s="273" t="s">
        <v>97</v>
      </c>
      <c r="D6" s="273"/>
      <c r="E6" s="273"/>
      <c r="F6" s="273"/>
    </row>
    <row r="7" spans="1:6" ht="12.75" customHeight="1" x14ac:dyDescent="0.25">
      <c r="A7" s="58"/>
      <c r="B7" s="59" t="s">
        <v>4</v>
      </c>
      <c r="C7" s="272" t="s">
        <v>5</v>
      </c>
      <c r="D7" s="272"/>
      <c r="E7" s="272"/>
      <c r="F7" s="272"/>
    </row>
    <row r="8" spans="1:6" ht="12.75" customHeight="1" x14ac:dyDescent="0.25">
      <c r="A8" s="56" t="s">
        <v>98</v>
      </c>
      <c r="B8" s="57" t="s">
        <v>296</v>
      </c>
      <c r="C8" s="273" t="s">
        <v>100</v>
      </c>
      <c r="D8" s="273"/>
      <c r="E8" s="273"/>
      <c r="F8" s="273"/>
    </row>
    <row r="9" spans="1:6" ht="12.75" customHeight="1" x14ac:dyDescent="0.25">
      <c r="A9" s="58"/>
      <c r="B9" s="59" t="s">
        <v>297</v>
      </c>
      <c r="C9" s="272" t="s">
        <v>101</v>
      </c>
      <c r="D9" s="272"/>
      <c r="E9" s="272"/>
      <c r="F9" s="272"/>
    </row>
    <row r="10" spans="1:6" ht="12.75" customHeight="1" x14ac:dyDescent="0.25">
      <c r="A10" s="56" t="s">
        <v>79</v>
      </c>
      <c r="B10" s="57" t="s">
        <v>10</v>
      </c>
      <c r="C10" s="273" t="s">
        <v>102</v>
      </c>
      <c r="D10" s="273"/>
      <c r="E10" s="273"/>
      <c r="F10" s="273"/>
    </row>
    <row r="11" spans="1:6" ht="12.75" customHeight="1" x14ac:dyDescent="0.25">
      <c r="A11" s="58"/>
      <c r="B11" s="59" t="s">
        <v>298</v>
      </c>
      <c r="C11" s="272" t="s">
        <v>103</v>
      </c>
      <c r="D11" s="272"/>
      <c r="E11" s="272"/>
      <c r="F11" s="272"/>
    </row>
    <row r="12" spans="1:6" ht="12.75" customHeight="1" x14ac:dyDescent="0.25">
      <c r="A12" s="56" t="s">
        <v>85</v>
      </c>
      <c r="B12" s="57" t="s">
        <v>14</v>
      </c>
      <c r="C12" s="274">
        <v>43983</v>
      </c>
      <c r="D12" s="273"/>
      <c r="E12" s="273"/>
      <c r="F12" s="273"/>
    </row>
    <row r="13" spans="1:6" ht="12.75" customHeight="1" x14ac:dyDescent="0.25">
      <c r="A13" s="58"/>
      <c r="B13" s="59" t="s">
        <v>15</v>
      </c>
      <c r="C13" s="259">
        <v>43983</v>
      </c>
      <c r="D13" s="259"/>
      <c r="E13" s="259"/>
      <c r="F13" s="220"/>
    </row>
    <row r="14" spans="1:6" ht="14.25" customHeight="1" x14ac:dyDescent="0.25">
      <c r="A14" s="152"/>
      <c r="B14" s="59"/>
      <c r="C14" s="59"/>
      <c r="D14" s="59"/>
      <c r="E14" s="275"/>
      <c r="F14" s="275"/>
    </row>
    <row r="15" spans="1:6" ht="12.75" customHeight="1" x14ac:dyDescent="0.25">
      <c r="A15" s="273" t="s">
        <v>104</v>
      </c>
      <c r="B15" s="273"/>
      <c r="C15" s="273"/>
      <c r="D15" s="273"/>
      <c r="E15" s="273"/>
      <c r="F15" s="273"/>
    </row>
    <row r="16" spans="1:6" ht="12.75" customHeight="1" x14ac:dyDescent="0.25">
      <c r="A16" s="261" t="s">
        <v>299</v>
      </c>
      <c r="B16" s="261"/>
      <c r="C16" s="261"/>
      <c r="D16" s="261"/>
      <c r="E16" s="261"/>
      <c r="F16" s="261"/>
    </row>
    <row r="17" spans="1:13" ht="15.75" customHeight="1" x14ac:dyDescent="0.25">
      <c r="A17" s="276" t="s">
        <v>106</v>
      </c>
      <c r="B17" s="276"/>
      <c r="C17" s="276"/>
      <c r="D17" s="276"/>
      <c r="E17" s="276"/>
      <c r="F17" s="276"/>
    </row>
    <row r="18" spans="1:13" ht="54.75" customHeight="1" x14ac:dyDescent="0.25">
      <c r="A18" s="33" t="s">
        <v>107</v>
      </c>
      <c r="B18" s="34" t="s">
        <v>108</v>
      </c>
      <c r="C18" s="34" t="s">
        <v>109</v>
      </c>
      <c r="D18" s="34" t="s">
        <v>1081</v>
      </c>
      <c r="E18" s="34" t="s">
        <v>1082</v>
      </c>
      <c r="F18" s="35" t="s">
        <v>300</v>
      </c>
    </row>
    <row r="19" spans="1:13" ht="21" x14ac:dyDescent="0.25">
      <c r="A19" s="60" t="s">
        <v>69</v>
      </c>
      <c r="B19" s="61" t="s">
        <v>301</v>
      </c>
      <c r="C19" s="62" t="s">
        <v>302</v>
      </c>
      <c r="D19" s="63">
        <v>573539203</v>
      </c>
      <c r="E19" s="63">
        <v>154020000</v>
      </c>
      <c r="F19" s="64">
        <v>727559203</v>
      </c>
      <c r="K19" s="218"/>
      <c r="L19" s="218"/>
      <c r="M19" s="218"/>
    </row>
    <row r="20" spans="1:13" ht="21" x14ac:dyDescent="0.25">
      <c r="A20" s="65" t="s">
        <v>95</v>
      </c>
      <c r="B20" s="66" t="s">
        <v>303</v>
      </c>
      <c r="C20" s="67" t="s">
        <v>304</v>
      </c>
      <c r="D20" s="68">
        <v>573300000</v>
      </c>
      <c r="E20" s="68">
        <v>154020000</v>
      </c>
      <c r="F20" s="69">
        <v>727320000</v>
      </c>
      <c r="K20" s="218"/>
      <c r="L20" s="218"/>
      <c r="M20" s="218"/>
    </row>
    <row r="21" spans="1:13" ht="21" x14ac:dyDescent="0.25">
      <c r="A21" s="70"/>
      <c r="B21" s="71" t="s">
        <v>305</v>
      </c>
      <c r="C21" s="72" t="s">
        <v>306</v>
      </c>
      <c r="D21" s="73">
        <v>573300000</v>
      </c>
      <c r="E21" s="73">
        <v>154020000</v>
      </c>
      <c r="F21" s="74">
        <v>727320000</v>
      </c>
      <c r="K21" s="218"/>
      <c r="L21" s="218"/>
      <c r="M21" s="218"/>
    </row>
    <row r="22" spans="1:13" ht="21" x14ac:dyDescent="0.25">
      <c r="A22" s="70"/>
      <c r="B22" s="71" t="s">
        <v>307</v>
      </c>
      <c r="C22" s="72" t="s">
        <v>308</v>
      </c>
      <c r="D22" s="73">
        <v>0</v>
      </c>
      <c r="E22" s="73">
        <v>0</v>
      </c>
      <c r="F22" s="74">
        <v>0</v>
      </c>
      <c r="K22" s="218"/>
      <c r="L22" s="218"/>
      <c r="M22" s="218"/>
    </row>
    <row r="23" spans="1:13" ht="21" x14ac:dyDescent="0.25">
      <c r="A23" s="65" t="s">
        <v>98</v>
      </c>
      <c r="B23" s="66" t="s">
        <v>309</v>
      </c>
      <c r="C23" s="67" t="s">
        <v>310</v>
      </c>
      <c r="D23" s="68">
        <v>239203</v>
      </c>
      <c r="E23" s="68">
        <v>0</v>
      </c>
      <c r="F23" s="69">
        <v>239203</v>
      </c>
      <c r="K23" s="218"/>
      <c r="L23" s="218"/>
      <c r="M23" s="218"/>
    </row>
    <row r="24" spans="1:13" ht="21" x14ac:dyDescent="0.25">
      <c r="A24" s="70"/>
      <c r="B24" s="71" t="s">
        <v>311</v>
      </c>
      <c r="C24" s="72" t="s">
        <v>312</v>
      </c>
      <c r="D24" s="73">
        <v>239203</v>
      </c>
      <c r="E24" s="73">
        <v>0</v>
      </c>
      <c r="F24" s="74">
        <v>239203</v>
      </c>
      <c r="K24" s="218"/>
      <c r="L24" s="218"/>
      <c r="M24" s="218"/>
    </row>
    <row r="25" spans="1:13" ht="21" x14ac:dyDescent="0.25">
      <c r="A25" s="70"/>
      <c r="B25" s="71" t="s">
        <v>313</v>
      </c>
      <c r="C25" s="72" t="s">
        <v>314</v>
      </c>
      <c r="D25" s="73">
        <v>0</v>
      </c>
      <c r="E25" s="73">
        <v>0</v>
      </c>
      <c r="F25" s="74">
        <v>0</v>
      </c>
      <c r="K25" s="218"/>
      <c r="L25" s="218"/>
      <c r="M25" s="218"/>
    </row>
    <row r="26" spans="1:13" ht="21" x14ac:dyDescent="0.25">
      <c r="A26" s="65" t="s">
        <v>79</v>
      </c>
      <c r="B26" s="66" t="s">
        <v>315</v>
      </c>
      <c r="C26" s="67" t="s">
        <v>316</v>
      </c>
      <c r="D26" s="68">
        <v>0</v>
      </c>
      <c r="E26" s="68">
        <v>0</v>
      </c>
      <c r="F26" s="69">
        <v>0</v>
      </c>
      <c r="K26" s="218"/>
      <c r="L26" s="218"/>
      <c r="M26" s="218"/>
    </row>
    <row r="27" spans="1:13" ht="21" x14ac:dyDescent="0.25">
      <c r="A27" s="70"/>
      <c r="B27" s="71" t="s">
        <v>317</v>
      </c>
      <c r="C27" s="72" t="s">
        <v>318</v>
      </c>
      <c r="D27" s="73">
        <v>0</v>
      </c>
      <c r="E27" s="73">
        <v>0</v>
      </c>
      <c r="F27" s="74">
        <v>0</v>
      </c>
      <c r="K27" s="218"/>
      <c r="L27" s="218"/>
      <c r="M27" s="218"/>
    </row>
    <row r="28" spans="1:13" ht="21" x14ac:dyDescent="0.25">
      <c r="A28" s="70"/>
      <c r="B28" s="71" t="s">
        <v>319</v>
      </c>
      <c r="C28" s="72" t="s">
        <v>320</v>
      </c>
      <c r="D28" s="73">
        <v>0</v>
      </c>
      <c r="E28" s="73">
        <v>0</v>
      </c>
      <c r="F28" s="74">
        <v>0</v>
      </c>
      <c r="K28" s="218"/>
      <c r="L28" s="218"/>
      <c r="M28" s="218"/>
    </row>
    <row r="29" spans="1:13" ht="52.5" x14ac:dyDescent="0.25">
      <c r="A29" s="70"/>
      <c r="B29" s="71" t="s">
        <v>321</v>
      </c>
      <c r="C29" s="72" t="s">
        <v>322</v>
      </c>
      <c r="D29" s="73">
        <v>0</v>
      </c>
      <c r="E29" s="73">
        <v>0</v>
      </c>
      <c r="F29" s="74">
        <v>0</v>
      </c>
      <c r="K29" s="218"/>
      <c r="L29" s="218"/>
      <c r="M29" s="218"/>
    </row>
    <row r="30" spans="1:13" ht="21" x14ac:dyDescent="0.25">
      <c r="A30" s="60" t="s">
        <v>74</v>
      </c>
      <c r="B30" s="61" t="s">
        <v>323</v>
      </c>
      <c r="C30" s="62" t="s">
        <v>324</v>
      </c>
      <c r="D30" s="63">
        <v>358713675</v>
      </c>
      <c r="E30" s="63">
        <v>98827707</v>
      </c>
      <c r="F30" s="64">
        <v>457541382</v>
      </c>
      <c r="K30" s="218"/>
      <c r="L30" s="218"/>
      <c r="M30" s="218"/>
    </row>
    <row r="31" spans="1:13" ht="21" x14ac:dyDescent="0.25">
      <c r="A31" s="65" t="s">
        <v>95</v>
      </c>
      <c r="B31" s="66" t="s">
        <v>325</v>
      </c>
      <c r="C31" s="67" t="s">
        <v>326</v>
      </c>
      <c r="D31" s="68">
        <v>248373715</v>
      </c>
      <c r="E31" s="68">
        <v>21820213</v>
      </c>
      <c r="F31" s="69">
        <v>270193928</v>
      </c>
      <c r="K31" s="218"/>
      <c r="L31" s="218"/>
      <c r="M31" s="218"/>
    </row>
    <row r="32" spans="1:13" ht="22.5" customHeight="1" x14ac:dyDescent="0.25">
      <c r="A32" s="65" t="s">
        <v>98</v>
      </c>
      <c r="B32" s="66" t="s">
        <v>327</v>
      </c>
      <c r="C32" s="67" t="s">
        <v>328</v>
      </c>
      <c r="D32" s="68">
        <v>34935623</v>
      </c>
      <c r="E32" s="68">
        <v>8750000</v>
      </c>
      <c r="F32" s="69">
        <v>43685623</v>
      </c>
      <c r="K32" s="218"/>
      <c r="L32" s="218"/>
      <c r="M32" s="218"/>
    </row>
    <row r="33" spans="1:13" ht="21" x14ac:dyDescent="0.25">
      <c r="A33" s="70"/>
      <c r="B33" s="71" t="s">
        <v>329</v>
      </c>
      <c r="C33" s="72" t="s">
        <v>330</v>
      </c>
      <c r="D33" s="73">
        <v>10516520</v>
      </c>
      <c r="E33" s="73">
        <v>3000000</v>
      </c>
      <c r="F33" s="74">
        <v>13516520</v>
      </c>
      <c r="K33" s="218"/>
      <c r="L33" s="218"/>
      <c r="M33" s="218"/>
    </row>
    <row r="34" spans="1:13" ht="21" x14ac:dyDescent="0.25">
      <c r="A34" s="70"/>
      <c r="B34" s="71" t="s">
        <v>331</v>
      </c>
      <c r="C34" s="72" t="s">
        <v>332</v>
      </c>
      <c r="D34" s="73">
        <v>1200000</v>
      </c>
      <c r="E34" s="73">
        <v>800000</v>
      </c>
      <c r="F34" s="74">
        <v>2000000</v>
      </c>
      <c r="K34" s="218"/>
      <c r="L34" s="218"/>
      <c r="M34" s="218"/>
    </row>
    <row r="35" spans="1:13" ht="21" x14ac:dyDescent="0.25">
      <c r="A35" s="70"/>
      <c r="B35" s="71" t="s">
        <v>241</v>
      </c>
      <c r="C35" s="72" t="s">
        <v>333</v>
      </c>
      <c r="D35" s="73">
        <v>158374</v>
      </c>
      <c r="E35" s="73">
        <v>0</v>
      </c>
      <c r="F35" s="74">
        <v>158374</v>
      </c>
      <c r="K35" s="218"/>
      <c r="L35" s="218"/>
      <c r="M35" s="218"/>
    </row>
    <row r="36" spans="1:13" ht="21" x14ac:dyDescent="0.25">
      <c r="A36" s="70"/>
      <c r="B36" s="71" t="s">
        <v>334</v>
      </c>
      <c r="C36" s="72" t="s">
        <v>335</v>
      </c>
      <c r="D36" s="73">
        <v>23060729</v>
      </c>
      <c r="E36" s="73">
        <v>4950000</v>
      </c>
      <c r="F36" s="74">
        <v>28010729</v>
      </c>
      <c r="K36" s="218"/>
      <c r="L36" s="218"/>
      <c r="M36" s="218"/>
    </row>
    <row r="37" spans="1:13" ht="42" x14ac:dyDescent="0.25">
      <c r="A37" s="70"/>
      <c r="B37" s="71" t="s">
        <v>243</v>
      </c>
      <c r="C37" s="72" t="s">
        <v>336</v>
      </c>
      <c r="D37" s="73">
        <v>0</v>
      </c>
      <c r="E37" s="73">
        <v>0</v>
      </c>
      <c r="F37" s="74">
        <v>0</v>
      </c>
      <c r="K37" s="218"/>
      <c r="L37" s="218"/>
      <c r="M37" s="218"/>
    </row>
    <row r="38" spans="1:13" ht="52.5" x14ac:dyDescent="0.25">
      <c r="A38" s="65" t="s">
        <v>79</v>
      </c>
      <c r="B38" s="66" t="s">
        <v>337</v>
      </c>
      <c r="C38" s="67" t="s">
        <v>338</v>
      </c>
      <c r="D38" s="68">
        <v>62067441</v>
      </c>
      <c r="E38" s="68">
        <v>10851639</v>
      </c>
      <c r="F38" s="69">
        <v>72919080</v>
      </c>
      <c r="K38" s="218"/>
      <c r="L38" s="218"/>
      <c r="M38" s="218"/>
    </row>
    <row r="39" spans="1:13" ht="21" x14ac:dyDescent="0.25">
      <c r="A39" s="70"/>
      <c r="B39" s="71" t="s">
        <v>339</v>
      </c>
      <c r="C39" s="72" t="s">
        <v>340</v>
      </c>
      <c r="D39" s="73">
        <v>17352250</v>
      </c>
      <c r="E39" s="73">
        <v>4950000</v>
      </c>
      <c r="F39" s="74">
        <v>22302250</v>
      </c>
      <c r="G39" s="218"/>
      <c r="K39" s="218"/>
      <c r="L39" s="218"/>
      <c r="M39" s="218"/>
    </row>
    <row r="40" spans="1:13" ht="21" x14ac:dyDescent="0.25">
      <c r="A40" s="70"/>
      <c r="B40" s="71" t="s">
        <v>341</v>
      </c>
      <c r="C40" s="72" t="s">
        <v>342</v>
      </c>
      <c r="D40" s="73">
        <v>3548383</v>
      </c>
      <c r="E40" s="73">
        <v>0</v>
      </c>
      <c r="F40" s="74">
        <v>3548383</v>
      </c>
      <c r="K40" s="218"/>
      <c r="L40" s="218"/>
      <c r="M40" s="218"/>
    </row>
    <row r="41" spans="1:13" ht="31.5" x14ac:dyDescent="0.25">
      <c r="A41" s="70"/>
      <c r="B41" s="71" t="s">
        <v>343</v>
      </c>
      <c r="C41" s="72" t="s">
        <v>344</v>
      </c>
      <c r="D41" s="73">
        <v>13819731</v>
      </c>
      <c r="E41" s="73">
        <v>0</v>
      </c>
      <c r="F41" s="74">
        <v>13819731</v>
      </c>
      <c r="K41" s="218"/>
      <c r="L41" s="218"/>
      <c r="M41" s="218"/>
    </row>
    <row r="42" spans="1:13" ht="21" x14ac:dyDescent="0.25">
      <c r="A42" s="70"/>
      <c r="B42" s="71" t="s">
        <v>345</v>
      </c>
      <c r="C42" s="72" t="s">
        <v>346</v>
      </c>
      <c r="D42" s="73">
        <v>27347077</v>
      </c>
      <c r="E42" s="73">
        <v>5901639</v>
      </c>
      <c r="F42" s="74">
        <v>33248716</v>
      </c>
      <c r="K42" s="218"/>
      <c r="L42" s="218"/>
      <c r="M42" s="218"/>
    </row>
    <row r="43" spans="1:13" ht="21" x14ac:dyDescent="0.25">
      <c r="A43" s="65" t="s">
        <v>85</v>
      </c>
      <c r="B43" s="66" t="s">
        <v>347</v>
      </c>
      <c r="C43" s="67" t="s">
        <v>348</v>
      </c>
      <c r="D43" s="68">
        <v>0</v>
      </c>
      <c r="E43" s="68">
        <v>0</v>
      </c>
      <c r="F43" s="69">
        <v>0</v>
      </c>
      <c r="K43" s="218"/>
      <c r="L43" s="218"/>
      <c r="M43" s="218"/>
    </row>
    <row r="44" spans="1:13" ht="52.5" x14ac:dyDescent="0.25">
      <c r="A44" s="65" t="s">
        <v>349</v>
      </c>
      <c r="B44" s="66" t="s">
        <v>350</v>
      </c>
      <c r="C44" s="67" t="s">
        <v>351</v>
      </c>
      <c r="D44" s="68">
        <v>0</v>
      </c>
      <c r="E44" s="68">
        <v>0</v>
      </c>
      <c r="F44" s="69">
        <v>0</v>
      </c>
      <c r="K44" s="218"/>
      <c r="L44" s="218"/>
      <c r="M44" s="218"/>
    </row>
    <row r="45" spans="1:13" ht="21" x14ac:dyDescent="0.25">
      <c r="A45" s="70"/>
      <c r="B45" s="71" t="s">
        <v>352</v>
      </c>
      <c r="C45" s="72" t="s">
        <v>353</v>
      </c>
      <c r="D45" s="73">
        <v>0</v>
      </c>
      <c r="E45" s="73">
        <v>0</v>
      </c>
      <c r="F45" s="74">
        <v>0</v>
      </c>
      <c r="K45" s="218"/>
      <c r="L45" s="218"/>
      <c r="M45" s="218"/>
    </row>
    <row r="46" spans="1:13" ht="21" x14ac:dyDescent="0.25">
      <c r="A46" s="70"/>
      <c r="B46" s="71" t="s">
        <v>354</v>
      </c>
      <c r="C46" s="72" t="s">
        <v>355</v>
      </c>
      <c r="D46" s="73">
        <v>0</v>
      </c>
      <c r="E46" s="73">
        <v>0</v>
      </c>
      <c r="F46" s="74">
        <v>0</v>
      </c>
      <c r="K46" s="218"/>
      <c r="L46" s="218"/>
      <c r="M46" s="218"/>
    </row>
    <row r="47" spans="1:13" ht="21" x14ac:dyDescent="0.25">
      <c r="A47" s="70"/>
      <c r="B47" s="71" t="s">
        <v>356</v>
      </c>
      <c r="C47" s="72" t="s">
        <v>357</v>
      </c>
      <c r="D47" s="73">
        <v>0</v>
      </c>
      <c r="E47" s="73">
        <v>0</v>
      </c>
      <c r="F47" s="74">
        <v>0</v>
      </c>
      <c r="K47" s="218"/>
      <c r="L47" s="218"/>
      <c r="M47" s="218"/>
    </row>
    <row r="48" spans="1:13" ht="115.5" x14ac:dyDescent="0.25">
      <c r="A48" s="65" t="s">
        <v>358</v>
      </c>
      <c r="B48" s="66" t="s">
        <v>359</v>
      </c>
      <c r="C48" s="67" t="s">
        <v>360</v>
      </c>
      <c r="D48" s="68">
        <v>0</v>
      </c>
      <c r="E48" s="68">
        <v>0</v>
      </c>
      <c r="F48" s="69">
        <v>0</v>
      </c>
      <c r="K48" s="218"/>
      <c r="L48" s="218"/>
      <c r="M48" s="218"/>
    </row>
    <row r="49" spans="1:13" ht="21" x14ac:dyDescent="0.25">
      <c r="A49" s="70"/>
      <c r="B49" s="71" t="s">
        <v>361</v>
      </c>
      <c r="C49" s="72" t="s">
        <v>362</v>
      </c>
      <c r="D49" s="73">
        <v>0</v>
      </c>
      <c r="E49" s="73">
        <v>0</v>
      </c>
      <c r="F49" s="74">
        <v>0</v>
      </c>
      <c r="K49" s="218"/>
      <c r="L49" s="218"/>
      <c r="M49" s="218"/>
    </row>
    <row r="50" spans="1:13" ht="21" x14ac:dyDescent="0.25">
      <c r="A50" s="70"/>
      <c r="B50" s="71" t="s">
        <v>363</v>
      </c>
      <c r="C50" s="72" t="s">
        <v>364</v>
      </c>
      <c r="D50" s="73">
        <v>0</v>
      </c>
      <c r="E50" s="73">
        <v>0</v>
      </c>
      <c r="F50" s="74">
        <v>0</v>
      </c>
      <c r="K50" s="218"/>
      <c r="L50" s="218"/>
      <c r="M50" s="218"/>
    </row>
    <row r="51" spans="1:13" ht="31.5" x14ac:dyDescent="0.25">
      <c r="A51" s="70"/>
      <c r="B51" s="71" t="s">
        <v>365</v>
      </c>
      <c r="C51" s="72" t="s">
        <v>366</v>
      </c>
      <c r="D51" s="73">
        <v>0</v>
      </c>
      <c r="E51" s="73">
        <v>0</v>
      </c>
      <c r="F51" s="74">
        <v>0</v>
      </c>
      <c r="K51" s="218"/>
      <c r="L51" s="218"/>
      <c r="M51" s="218"/>
    </row>
    <row r="52" spans="1:13" ht="21" x14ac:dyDescent="0.25">
      <c r="A52" s="70"/>
      <c r="B52" s="71" t="s">
        <v>367</v>
      </c>
      <c r="C52" s="72" t="s">
        <v>368</v>
      </c>
      <c r="D52" s="73">
        <v>0</v>
      </c>
      <c r="E52" s="73">
        <v>0</v>
      </c>
      <c r="F52" s="74">
        <v>0</v>
      </c>
      <c r="K52" s="218"/>
      <c r="L52" s="218"/>
      <c r="M52" s="218"/>
    </row>
    <row r="53" spans="1:13" ht="21" x14ac:dyDescent="0.25">
      <c r="A53" s="70"/>
      <c r="B53" s="71" t="s">
        <v>369</v>
      </c>
      <c r="C53" s="72" t="s">
        <v>370</v>
      </c>
      <c r="D53" s="73">
        <v>0</v>
      </c>
      <c r="E53" s="73">
        <v>0</v>
      </c>
      <c r="F53" s="74">
        <v>0</v>
      </c>
      <c r="K53" s="218"/>
      <c r="L53" s="218"/>
      <c r="M53" s="218"/>
    </row>
    <row r="54" spans="1:13" ht="42" x14ac:dyDescent="0.25">
      <c r="A54" s="65" t="s">
        <v>371</v>
      </c>
      <c r="B54" s="66" t="s">
        <v>372</v>
      </c>
      <c r="C54" s="67" t="s">
        <v>373</v>
      </c>
      <c r="D54" s="68">
        <v>12253711</v>
      </c>
      <c r="E54" s="68">
        <v>7051525</v>
      </c>
      <c r="F54" s="69">
        <v>19305236</v>
      </c>
      <c r="K54" s="218"/>
      <c r="L54" s="218"/>
      <c r="M54" s="218"/>
    </row>
    <row r="55" spans="1:13" ht="21" x14ac:dyDescent="0.25">
      <c r="A55" s="70"/>
      <c r="B55" s="71" t="s">
        <v>374</v>
      </c>
      <c r="C55" s="72" t="s">
        <v>375</v>
      </c>
      <c r="D55" s="73">
        <v>12253711</v>
      </c>
      <c r="E55" s="73">
        <v>7051525</v>
      </c>
      <c r="F55" s="74">
        <v>19305236</v>
      </c>
      <c r="K55" s="218"/>
      <c r="L55" s="218"/>
      <c r="M55" s="218"/>
    </row>
    <row r="56" spans="1:13" ht="21" x14ac:dyDescent="0.25">
      <c r="A56" s="70"/>
      <c r="B56" s="71" t="s">
        <v>376</v>
      </c>
      <c r="C56" s="72" t="s">
        <v>377</v>
      </c>
      <c r="D56" s="73">
        <v>0</v>
      </c>
      <c r="E56" s="73">
        <v>0</v>
      </c>
      <c r="F56" s="74">
        <v>0</v>
      </c>
      <c r="K56" s="218"/>
      <c r="L56" s="218"/>
      <c r="M56" s="218"/>
    </row>
    <row r="57" spans="1:13" ht="21" x14ac:dyDescent="0.25">
      <c r="A57" s="65" t="s">
        <v>378</v>
      </c>
      <c r="B57" s="66" t="s">
        <v>379</v>
      </c>
      <c r="C57" s="67" t="s">
        <v>380</v>
      </c>
      <c r="D57" s="68">
        <v>1083185</v>
      </c>
      <c r="E57" s="68">
        <v>50354330</v>
      </c>
      <c r="F57" s="69">
        <v>51437515</v>
      </c>
      <c r="K57" s="218"/>
      <c r="L57" s="218"/>
      <c r="M57" s="218"/>
    </row>
    <row r="58" spans="1:13" ht="21" x14ac:dyDescent="0.25">
      <c r="A58" s="70"/>
      <c r="B58" s="71" t="s">
        <v>381</v>
      </c>
      <c r="C58" s="72" t="s">
        <v>382</v>
      </c>
      <c r="D58" s="73">
        <v>0</v>
      </c>
      <c r="E58" s="73">
        <v>50000000</v>
      </c>
      <c r="F58" s="74">
        <v>50000000</v>
      </c>
      <c r="K58" s="218"/>
      <c r="L58" s="218"/>
      <c r="M58" s="218"/>
    </row>
    <row r="59" spans="1:13" ht="21" x14ac:dyDescent="0.25">
      <c r="A59" s="70"/>
      <c r="B59" s="71" t="s">
        <v>383</v>
      </c>
      <c r="C59" s="72" t="s">
        <v>384</v>
      </c>
      <c r="D59" s="73">
        <v>0</v>
      </c>
      <c r="E59" s="73">
        <v>0</v>
      </c>
      <c r="F59" s="74">
        <v>0</v>
      </c>
      <c r="K59" s="218"/>
      <c r="L59" s="218"/>
      <c r="M59" s="218"/>
    </row>
    <row r="60" spans="1:13" ht="21" x14ac:dyDescent="0.25">
      <c r="A60" s="70"/>
      <c r="B60" s="71" t="s">
        <v>385</v>
      </c>
      <c r="C60" s="72" t="s">
        <v>386</v>
      </c>
      <c r="D60" s="73">
        <v>807085</v>
      </c>
      <c r="E60" s="73">
        <v>354330</v>
      </c>
      <c r="F60" s="74">
        <v>1161415</v>
      </c>
      <c r="K60" s="218"/>
      <c r="L60" s="218"/>
      <c r="M60" s="218"/>
    </row>
    <row r="61" spans="1:13" ht="21" x14ac:dyDescent="0.25">
      <c r="A61" s="70"/>
      <c r="B61" s="71" t="s">
        <v>387</v>
      </c>
      <c r="C61" s="72" t="s">
        <v>388</v>
      </c>
      <c r="D61" s="73">
        <v>276100</v>
      </c>
      <c r="E61" s="73">
        <v>0</v>
      </c>
      <c r="F61" s="74">
        <v>276100</v>
      </c>
      <c r="K61" s="218"/>
      <c r="L61" s="218"/>
      <c r="M61" s="218"/>
    </row>
    <row r="62" spans="1:13" ht="21" x14ac:dyDescent="0.25">
      <c r="A62" s="70"/>
      <c r="B62" s="71" t="s">
        <v>389</v>
      </c>
      <c r="C62" s="72" t="s">
        <v>390</v>
      </c>
      <c r="D62" s="73">
        <v>0</v>
      </c>
      <c r="E62" s="73">
        <v>0</v>
      </c>
      <c r="F62" s="74">
        <v>0</v>
      </c>
      <c r="K62" s="218"/>
      <c r="L62" s="218"/>
      <c r="M62" s="218"/>
    </row>
    <row r="63" spans="1:13" ht="21" x14ac:dyDescent="0.25">
      <c r="A63" s="70"/>
      <c r="B63" s="71" t="s">
        <v>391</v>
      </c>
      <c r="C63" s="72" t="s">
        <v>392</v>
      </c>
      <c r="D63" s="73">
        <v>0</v>
      </c>
      <c r="E63" s="73">
        <v>0</v>
      </c>
      <c r="F63" s="74">
        <v>0</v>
      </c>
      <c r="K63" s="218"/>
      <c r="L63" s="218"/>
      <c r="M63" s="218"/>
    </row>
    <row r="64" spans="1:13" ht="21" x14ac:dyDescent="0.25">
      <c r="A64" s="70"/>
      <c r="B64" s="71" t="s">
        <v>393</v>
      </c>
      <c r="C64" s="72" t="s">
        <v>394</v>
      </c>
      <c r="D64" s="73">
        <v>0</v>
      </c>
      <c r="E64" s="73">
        <v>0</v>
      </c>
      <c r="F64" s="74">
        <v>0</v>
      </c>
      <c r="K64" s="218"/>
      <c r="L64" s="218"/>
      <c r="M64" s="218"/>
    </row>
    <row r="65" spans="1:13" ht="21" x14ac:dyDescent="0.25">
      <c r="A65" s="70"/>
      <c r="B65" s="71" t="s">
        <v>395</v>
      </c>
      <c r="C65" s="72" t="s">
        <v>396</v>
      </c>
      <c r="D65" s="73">
        <v>0</v>
      </c>
      <c r="E65" s="73">
        <v>0</v>
      </c>
      <c r="F65" s="74">
        <v>0</v>
      </c>
      <c r="K65" s="218"/>
      <c r="L65" s="218"/>
      <c r="M65" s="218"/>
    </row>
    <row r="66" spans="1:13" ht="31.5" x14ac:dyDescent="0.25">
      <c r="A66" s="60" t="s">
        <v>82</v>
      </c>
      <c r="B66" s="61" t="s">
        <v>397</v>
      </c>
      <c r="C66" s="62" t="s">
        <v>398</v>
      </c>
      <c r="D66" s="63">
        <v>214825528</v>
      </c>
      <c r="E66" s="63">
        <v>55192293</v>
      </c>
      <c r="F66" s="64">
        <v>270017821</v>
      </c>
      <c r="K66" s="218"/>
      <c r="L66" s="218"/>
      <c r="M66" s="218"/>
    </row>
    <row r="67" spans="1:13" ht="21" x14ac:dyDescent="0.25">
      <c r="A67" s="60" t="s">
        <v>52</v>
      </c>
      <c r="B67" s="61" t="s">
        <v>399</v>
      </c>
      <c r="C67" s="62" t="s">
        <v>400</v>
      </c>
      <c r="D67" s="63">
        <v>8578072050</v>
      </c>
      <c r="E67" s="63">
        <v>9050921600</v>
      </c>
      <c r="F67" s="64">
        <v>17628993650</v>
      </c>
      <c r="K67" s="218"/>
      <c r="L67" s="218"/>
      <c r="M67" s="218"/>
    </row>
    <row r="68" spans="1:13" ht="21" x14ac:dyDescent="0.25">
      <c r="A68" s="65" t="s">
        <v>95</v>
      </c>
      <c r="B68" s="66" t="s">
        <v>401</v>
      </c>
      <c r="C68" s="67" t="s">
        <v>402</v>
      </c>
      <c r="D68" s="68">
        <v>36562320</v>
      </c>
      <c r="E68" s="68">
        <v>327446000</v>
      </c>
      <c r="F68" s="69">
        <v>364008320</v>
      </c>
      <c r="K68" s="218"/>
      <c r="L68" s="218"/>
      <c r="M68" s="218"/>
    </row>
    <row r="69" spans="1:13" ht="21" x14ac:dyDescent="0.25">
      <c r="A69" s="70"/>
      <c r="B69" s="71" t="s">
        <v>403</v>
      </c>
      <c r="C69" s="72" t="s">
        <v>404</v>
      </c>
      <c r="D69" s="73">
        <v>36562320</v>
      </c>
      <c r="E69" s="73">
        <v>327446000</v>
      </c>
      <c r="F69" s="74">
        <v>364008320</v>
      </c>
      <c r="K69" s="218"/>
      <c r="L69" s="218"/>
      <c r="M69" s="218"/>
    </row>
    <row r="70" spans="1:13" ht="31.5" x14ac:dyDescent="0.25">
      <c r="A70" s="70"/>
      <c r="B70" s="71" t="s">
        <v>405</v>
      </c>
      <c r="C70" s="72" t="s">
        <v>406</v>
      </c>
      <c r="D70" s="73">
        <v>0</v>
      </c>
      <c r="E70" s="73">
        <v>0</v>
      </c>
      <c r="F70" s="74">
        <v>0</v>
      </c>
      <c r="K70" s="218"/>
      <c r="L70" s="218"/>
      <c r="M70" s="218"/>
    </row>
    <row r="71" spans="1:13" ht="42" x14ac:dyDescent="0.25">
      <c r="A71" s="70"/>
      <c r="B71" s="71" t="s">
        <v>407</v>
      </c>
      <c r="C71" s="72" t="s">
        <v>408</v>
      </c>
      <c r="D71" s="73">
        <v>0</v>
      </c>
      <c r="E71" s="73">
        <v>0</v>
      </c>
      <c r="F71" s="74">
        <v>0</v>
      </c>
      <c r="K71" s="218"/>
      <c r="L71" s="218"/>
      <c r="M71" s="218"/>
    </row>
    <row r="72" spans="1:13" ht="21" x14ac:dyDescent="0.25">
      <c r="A72" s="65" t="s">
        <v>98</v>
      </c>
      <c r="B72" s="66" t="s">
        <v>409</v>
      </c>
      <c r="C72" s="67" t="s">
        <v>410</v>
      </c>
      <c r="D72" s="68">
        <v>8541509730</v>
      </c>
      <c r="E72" s="68">
        <v>8723475600</v>
      </c>
      <c r="F72" s="69">
        <v>17264985330</v>
      </c>
      <c r="K72" s="218"/>
      <c r="L72" s="218"/>
      <c r="M72" s="218"/>
    </row>
    <row r="73" spans="1:13" ht="52.5" x14ac:dyDescent="0.25">
      <c r="A73" s="60" t="s">
        <v>411</v>
      </c>
      <c r="B73" s="61" t="s">
        <v>412</v>
      </c>
      <c r="C73" s="62" t="s">
        <v>413</v>
      </c>
      <c r="D73" s="63">
        <v>8792897578</v>
      </c>
      <c r="E73" s="63">
        <v>9106113893</v>
      </c>
      <c r="F73" s="64">
        <v>17899011471</v>
      </c>
      <c r="K73" s="218"/>
      <c r="L73" s="218"/>
      <c r="M73" s="218"/>
    </row>
    <row r="74" spans="1:13" ht="21" x14ac:dyDescent="0.25">
      <c r="A74" s="60" t="s">
        <v>414</v>
      </c>
      <c r="B74" s="61" t="s">
        <v>415</v>
      </c>
      <c r="C74" s="62" t="s">
        <v>416</v>
      </c>
      <c r="D74" s="63">
        <v>111106113893</v>
      </c>
      <c r="E74" s="63">
        <v>0</v>
      </c>
      <c r="F74" s="64">
        <v>0</v>
      </c>
      <c r="K74" s="218"/>
      <c r="L74" s="218"/>
      <c r="M74" s="218"/>
    </row>
    <row r="75" spans="1:13" ht="31.5" x14ac:dyDescent="0.25">
      <c r="A75" s="60" t="s">
        <v>417</v>
      </c>
      <c r="B75" s="61" t="s">
        <v>418</v>
      </c>
      <c r="C75" s="62" t="s">
        <v>419</v>
      </c>
      <c r="D75" s="63">
        <v>585025060785</v>
      </c>
      <c r="E75" s="63">
        <v>111106113893</v>
      </c>
      <c r="F75" s="64">
        <v>696131174678</v>
      </c>
      <c r="K75" s="218"/>
      <c r="L75" s="218"/>
      <c r="M75" s="218"/>
    </row>
    <row r="76" spans="1:13" ht="21" x14ac:dyDescent="0.25">
      <c r="A76" s="65"/>
      <c r="B76" s="66" t="s">
        <v>420</v>
      </c>
      <c r="C76" s="67" t="s">
        <v>421</v>
      </c>
      <c r="D76" s="68">
        <v>0</v>
      </c>
      <c r="E76" s="68">
        <v>0</v>
      </c>
      <c r="F76" s="69">
        <v>0</v>
      </c>
      <c r="K76" s="218"/>
      <c r="L76" s="218"/>
      <c r="M76" s="218"/>
    </row>
    <row r="77" spans="1:13" ht="42" x14ac:dyDescent="0.25">
      <c r="A77" s="65" t="s">
        <v>95</v>
      </c>
      <c r="B77" s="66" t="s">
        <v>422</v>
      </c>
      <c r="C77" s="67" t="s">
        <v>423</v>
      </c>
      <c r="D77" s="68">
        <v>8792897578</v>
      </c>
      <c r="E77" s="68">
        <v>9106113893</v>
      </c>
      <c r="F77" s="69">
        <v>17899011471</v>
      </c>
      <c r="K77" s="218"/>
      <c r="L77" s="218"/>
      <c r="M77" s="218"/>
    </row>
    <row r="78" spans="1:13" ht="42" x14ac:dyDescent="0.25">
      <c r="A78" s="65" t="s">
        <v>98</v>
      </c>
      <c r="B78" s="66" t="s">
        <v>424</v>
      </c>
      <c r="C78" s="67" t="s">
        <v>425</v>
      </c>
      <c r="D78" s="68">
        <v>576232163207</v>
      </c>
      <c r="E78" s="68">
        <v>102000000000</v>
      </c>
      <c r="F78" s="69">
        <v>678232163207</v>
      </c>
      <c r="K78" s="218"/>
      <c r="L78" s="218"/>
      <c r="M78" s="218"/>
    </row>
    <row r="79" spans="1:13" ht="42" x14ac:dyDescent="0.25">
      <c r="A79" s="70"/>
      <c r="B79" s="71" t="s">
        <v>426</v>
      </c>
      <c r="C79" s="72" t="s">
        <v>427</v>
      </c>
      <c r="D79" s="73">
        <v>0</v>
      </c>
      <c r="E79" s="73">
        <v>0</v>
      </c>
      <c r="F79" s="74">
        <v>0</v>
      </c>
      <c r="K79" s="218"/>
      <c r="L79" s="218"/>
      <c r="M79" s="218"/>
    </row>
    <row r="80" spans="1:13" ht="31.5" x14ac:dyDescent="0.25">
      <c r="A80" s="70"/>
      <c r="B80" s="71" t="s">
        <v>428</v>
      </c>
      <c r="C80" s="72" t="s">
        <v>429</v>
      </c>
      <c r="D80" s="73">
        <v>576232163207</v>
      </c>
      <c r="E80" s="73">
        <v>102000000000</v>
      </c>
      <c r="F80" s="74">
        <v>678232163207</v>
      </c>
      <c r="K80" s="218"/>
      <c r="L80" s="218"/>
      <c r="M80" s="218"/>
    </row>
    <row r="81" spans="1:13" ht="31.5" x14ac:dyDescent="0.25">
      <c r="A81" s="70"/>
      <c r="B81" s="71" t="s">
        <v>430</v>
      </c>
      <c r="C81" s="72" t="s">
        <v>431</v>
      </c>
      <c r="D81" s="73">
        <v>0</v>
      </c>
      <c r="E81" s="73">
        <v>0</v>
      </c>
      <c r="F81" s="74">
        <v>0</v>
      </c>
      <c r="K81" s="218"/>
      <c r="L81" s="218"/>
      <c r="M81" s="218"/>
    </row>
    <row r="82" spans="1:13" ht="21" x14ac:dyDescent="0.25">
      <c r="A82" s="60" t="s">
        <v>432</v>
      </c>
      <c r="B82" s="61" t="s">
        <v>433</v>
      </c>
      <c r="C82" s="62" t="s">
        <v>434</v>
      </c>
      <c r="D82" s="63">
        <v>696131174678</v>
      </c>
      <c r="E82" s="63">
        <v>111106113893</v>
      </c>
      <c r="F82" s="64">
        <v>696131174678</v>
      </c>
      <c r="K82" s="218"/>
      <c r="L82" s="218"/>
      <c r="M82" s="218"/>
    </row>
    <row r="83" spans="1:13" ht="42" x14ac:dyDescent="0.25">
      <c r="A83" s="60" t="s">
        <v>435</v>
      </c>
      <c r="B83" s="61" t="s">
        <v>436</v>
      </c>
      <c r="C83" s="62" t="s">
        <v>437</v>
      </c>
      <c r="D83" s="63">
        <v>0</v>
      </c>
      <c r="E83" s="63">
        <v>0</v>
      </c>
      <c r="F83" s="64">
        <v>0</v>
      </c>
      <c r="K83" s="218"/>
      <c r="L83" s="218"/>
      <c r="M83" s="218"/>
    </row>
    <row r="84" spans="1:13" ht="42" x14ac:dyDescent="0.25">
      <c r="A84" s="75"/>
      <c r="B84" s="76" t="s">
        <v>438</v>
      </c>
      <c r="C84" s="77" t="s">
        <v>439</v>
      </c>
      <c r="D84" s="78">
        <v>0</v>
      </c>
      <c r="E84" s="78">
        <v>0</v>
      </c>
      <c r="F84" s="79">
        <v>0</v>
      </c>
      <c r="K84" s="218"/>
      <c r="L84" s="218"/>
      <c r="M84" s="218"/>
    </row>
    <row r="85" spans="1:13" ht="8.25" customHeight="1" x14ac:dyDescent="0.15">
      <c r="A85" s="256"/>
      <c r="B85" s="256"/>
      <c r="C85" s="256"/>
      <c r="D85" s="271"/>
      <c r="E85" s="271"/>
      <c r="F85" s="271"/>
    </row>
    <row r="86" spans="1:13" ht="14.25" customHeight="1" x14ac:dyDescent="0.25">
      <c r="A86" s="266" t="s">
        <v>17</v>
      </c>
      <c r="B86" s="266"/>
      <c r="C86" s="266"/>
      <c r="D86" s="254" t="s">
        <v>91</v>
      </c>
      <c r="E86" s="254"/>
      <c r="F86" s="254"/>
    </row>
    <row r="87" spans="1:13" ht="21.75" customHeight="1" x14ac:dyDescent="0.25">
      <c r="A87" s="257" t="s">
        <v>19</v>
      </c>
      <c r="B87" s="257"/>
      <c r="C87" s="257"/>
      <c r="D87" s="257" t="s">
        <v>20</v>
      </c>
      <c r="E87" s="257"/>
      <c r="F87" s="257"/>
    </row>
    <row r="88" spans="1:13" ht="15.75" customHeight="1" x14ac:dyDescent="0.25">
      <c r="A88" s="256"/>
      <c r="B88" s="256"/>
      <c r="C88" s="256"/>
      <c r="D88" s="256"/>
      <c r="E88" s="256"/>
      <c r="F88" s="256"/>
    </row>
    <row r="89" spans="1:13" ht="15.75" customHeight="1" x14ac:dyDescent="0.25">
      <c r="A89" s="256"/>
      <c r="B89" s="256"/>
      <c r="C89" s="256"/>
      <c r="D89" s="256"/>
      <c r="E89" s="256"/>
      <c r="F89" s="256"/>
    </row>
    <row r="90" spans="1:13" ht="15.75" customHeight="1" x14ac:dyDescent="0.25">
      <c r="A90" s="256"/>
      <c r="B90" s="256"/>
      <c r="C90" s="256"/>
      <c r="D90" s="256"/>
      <c r="E90" s="256"/>
      <c r="F90" s="256"/>
    </row>
    <row r="91" spans="1:13" ht="15.75" customHeight="1" x14ac:dyDescent="0.25">
      <c r="A91" s="256"/>
      <c r="B91" s="256"/>
      <c r="C91" s="256"/>
      <c r="D91" s="256"/>
      <c r="E91" s="256"/>
      <c r="F91" s="256"/>
    </row>
    <row r="92" spans="1:13" ht="15.75" customHeight="1" x14ac:dyDescent="0.25">
      <c r="A92" s="266" t="s">
        <v>292</v>
      </c>
      <c r="B92" s="266"/>
      <c r="C92" s="266"/>
      <c r="D92" s="266" t="s">
        <v>293</v>
      </c>
      <c r="E92" s="266"/>
      <c r="F92" s="266"/>
    </row>
    <row r="93" spans="1:13" ht="15.75" customHeight="1" x14ac:dyDescent="0.25">
      <c r="A93" s="266" t="s">
        <v>1073</v>
      </c>
      <c r="B93" s="266"/>
      <c r="C93" s="266"/>
      <c r="D93" s="266" t="s">
        <v>1003</v>
      </c>
      <c r="E93" s="266"/>
      <c r="F93" s="266"/>
    </row>
    <row r="94" spans="1:13" ht="15.75" customHeight="1" x14ac:dyDescent="0.25">
      <c r="A94" s="266" t="s">
        <v>1074</v>
      </c>
      <c r="B94" s="266"/>
      <c r="C94" s="266"/>
      <c r="D94" s="266" t="s">
        <v>1075</v>
      </c>
      <c r="E94" s="266"/>
      <c r="F94" s="266"/>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E14:F14"/>
    <mergeCell ref="A15:F15"/>
    <mergeCell ref="A16:F16"/>
    <mergeCell ref="A17:F17"/>
    <mergeCell ref="C13:E13"/>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 right="0" top="0.59055118110236227" bottom="0.32" header="0.51181102362204722" footer="0.28000000000000003"/>
  <pageSetup paperSize="9" scale="92"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9"/>
  <sheetViews>
    <sheetView showGridLines="0" showZeros="0" showOutlineSymbols="0" view="pageBreakPreview" zoomScaleNormal="100" zoomScaleSheetLayoutView="100" workbookViewId="0">
      <selection activeCell="G79" sqref="A1:G79"/>
    </sheetView>
  </sheetViews>
  <sheetFormatPr defaultRowHeight="12.75" x14ac:dyDescent="0.25"/>
  <cols>
    <col min="1" max="1" width="6.28515625" style="26" customWidth="1"/>
    <col min="2" max="2" width="35.140625" style="26" customWidth="1"/>
    <col min="3" max="3" width="11.42578125" style="26" customWidth="1"/>
    <col min="4" max="5" width="14.28515625" style="26" customWidth="1"/>
    <col min="6" max="6" width="17.140625" style="26" customWidth="1"/>
    <col min="7" max="7" width="11.42578125" style="26" customWidth="1"/>
    <col min="8" max="256" width="9.140625" style="26"/>
    <col min="257" max="257" width="6.28515625" style="26" customWidth="1"/>
    <col min="258" max="258" width="32.5703125" style="26" customWidth="1"/>
    <col min="259" max="259" width="11.42578125" style="26" customWidth="1"/>
    <col min="260" max="261" width="14.28515625" style="26" customWidth="1"/>
    <col min="262" max="262" width="17.140625" style="26" customWidth="1"/>
    <col min="263" max="263" width="11.42578125" style="26" customWidth="1"/>
    <col min="264" max="512" width="9.140625" style="26"/>
    <col min="513" max="513" width="6.28515625" style="26" customWidth="1"/>
    <col min="514" max="514" width="32.5703125" style="26" customWidth="1"/>
    <col min="515" max="515" width="11.42578125" style="26" customWidth="1"/>
    <col min="516" max="517" width="14.28515625" style="26" customWidth="1"/>
    <col min="518" max="518" width="17.140625" style="26" customWidth="1"/>
    <col min="519" max="519" width="11.42578125" style="26" customWidth="1"/>
    <col min="520" max="768" width="9.140625" style="26"/>
    <col min="769" max="769" width="6.28515625" style="26" customWidth="1"/>
    <col min="770" max="770" width="32.5703125" style="26" customWidth="1"/>
    <col min="771" max="771" width="11.42578125" style="26" customWidth="1"/>
    <col min="772" max="773" width="14.28515625" style="26" customWidth="1"/>
    <col min="774" max="774" width="17.140625" style="26" customWidth="1"/>
    <col min="775" max="775" width="11.42578125" style="26" customWidth="1"/>
    <col min="776" max="1024" width="9.140625" style="26"/>
    <col min="1025" max="1025" width="6.28515625" style="26" customWidth="1"/>
    <col min="1026" max="1026" width="32.5703125" style="26" customWidth="1"/>
    <col min="1027" max="1027" width="11.42578125" style="26" customWidth="1"/>
    <col min="1028" max="1029" width="14.28515625" style="26" customWidth="1"/>
    <col min="1030" max="1030" width="17.140625" style="26" customWidth="1"/>
    <col min="1031" max="1031" width="11.42578125" style="26" customWidth="1"/>
    <col min="1032" max="1280" width="9.140625" style="26"/>
    <col min="1281" max="1281" width="6.28515625" style="26" customWidth="1"/>
    <col min="1282" max="1282" width="32.5703125" style="26" customWidth="1"/>
    <col min="1283" max="1283" width="11.42578125" style="26" customWidth="1"/>
    <col min="1284" max="1285" width="14.28515625" style="26" customWidth="1"/>
    <col min="1286" max="1286" width="17.140625" style="26" customWidth="1"/>
    <col min="1287" max="1287" width="11.42578125" style="26" customWidth="1"/>
    <col min="1288" max="1536" width="9.140625" style="26"/>
    <col min="1537" max="1537" width="6.28515625" style="26" customWidth="1"/>
    <col min="1538" max="1538" width="32.5703125" style="26" customWidth="1"/>
    <col min="1539" max="1539" width="11.42578125" style="26" customWidth="1"/>
    <col min="1540" max="1541" width="14.28515625" style="26" customWidth="1"/>
    <col min="1542" max="1542" width="17.140625" style="26" customWidth="1"/>
    <col min="1543" max="1543" width="11.42578125" style="26" customWidth="1"/>
    <col min="1544" max="1792" width="9.140625" style="26"/>
    <col min="1793" max="1793" width="6.28515625" style="26" customWidth="1"/>
    <col min="1794" max="1794" width="32.5703125" style="26" customWidth="1"/>
    <col min="1795" max="1795" width="11.42578125" style="26" customWidth="1"/>
    <col min="1796" max="1797" width="14.28515625" style="26" customWidth="1"/>
    <col min="1798" max="1798" width="17.140625" style="26" customWidth="1"/>
    <col min="1799" max="1799" width="11.42578125" style="26" customWidth="1"/>
    <col min="1800" max="2048" width="9.140625" style="26"/>
    <col min="2049" max="2049" width="6.28515625" style="26" customWidth="1"/>
    <col min="2050" max="2050" width="32.5703125" style="26" customWidth="1"/>
    <col min="2051" max="2051" width="11.42578125" style="26" customWidth="1"/>
    <col min="2052" max="2053" width="14.28515625" style="26" customWidth="1"/>
    <col min="2054" max="2054" width="17.140625" style="26" customWidth="1"/>
    <col min="2055" max="2055" width="11.42578125" style="26" customWidth="1"/>
    <col min="2056" max="2304" width="9.140625" style="26"/>
    <col min="2305" max="2305" width="6.28515625" style="26" customWidth="1"/>
    <col min="2306" max="2306" width="32.5703125" style="26" customWidth="1"/>
    <col min="2307" max="2307" width="11.42578125" style="26" customWidth="1"/>
    <col min="2308" max="2309" width="14.28515625" style="26" customWidth="1"/>
    <col min="2310" max="2310" width="17.140625" style="26" customWidth="1"/>
    <col min="2311" max="2311" width="11.42578125" style="26" customWidth="1"/>
    <col min="2312" max="2560" width="9.140625" style="26"/>
    <col min="2561" max="2561" width="6.28515625" style="26" customWidth="1"/>
    <col min="2562" max="2562" width="32.5703125" style="26" customWidth="1"/>
    <col min="2563" max="2563" width="11.42578125" style="26" customWidth="1"/>
    <col min="2564" max="2565" width="14.28515625" style="26" customWidth="1"/>
    <col min="2566" max="2566" width="17.140625" style="26" customWidth="1"/>
    <col min="2567" max="2567" width="11.42578125" style="26" customWidth="1"/>
    <col min="2568" max="2816" width="9.140625" style="26"/>
    <col min="2817" max="2817" width="6.28515625" style="26" customWidth="1"/>
    <col min="2818" max="2818" width="32.5703125" style="26" customWidth="1"/>
    <col min="2819" max="2819" width="11.42578125" style="26" customWidth="1"/>
    <col min="2820" max="2821" width="14.28515625" style="26" customWidth="1"/>
    <col min="2822" max="2822" width="17.140625" style="26" customWidth="1"/>
    <col min="2823" max="2823" width="11.42578125" style="26" customWidth="1"/>
    <col min="2824" max="3072" width="9.140625" style="26"/>
    <col min="3073" max="3073" width="6.28515625" style="26" customWidth="1"/>
    <col min="3074" max="3074" width="32.5703125" style="26" customWidth="1"/>
    <col min="3075" max="3075" width="11.42578125" style="26" customWidth="1"/>
    <col min="3076" max="3077" width="14.28515625" style="26" customWidth="1"/>
    <col min="3078" max="3078" width="17.140625" style="26" customWidth="1"/>
    <col min="3079" max="3079" width="11.42578125" style="26" customWidth="1"/>
    <col min="3080" max="3328" width="9.140625" style="26"/>
    <col min="3329" max="3329" width="6.28515625" style="26" customWidth="1"/>
    <col min="3330" max="3330" width="32.5703125" style="26" customWidth="1"/>
    <col min="3331" max="3331" width="11.42578125" style="26" customWidth="1"/>
    <col min="3332" max="3333" width="14.28515625" style="26" customWidth="1"/>
    <col min="3334" max="3334" width="17.140625" style="26" customWidth="1"/>
    <col min="3335" max="3335" width="11.42578125" style="26" customWidth="1"/>
    <col min="3336" max="3584" width="9.140625" style="26"/>
    <col min="3585" max="3585" width="6.28515625" style="26" customWidth="1"/>
    <col min="3586" max="3586" width="32.5703125" style="26" customWidth="1"/>
    <col min="3587" max="3587" width="11.42578125" style="26" customWidth="1"/>
    <col min="3588" max="3589" width="14.28515625" style="26" customWidth="1"/>
    <col min="3590" max="3590" width="17.140625" style="26" customWidth="1"/>
    <col min="3591" max="3591" width="11.42578125" style="26" customWidth="1"/>
    <col min="3592" max="3840" width="9.140625" style="26"/>
    <col min="3841" max="3841" width="6.28515625" style="26" customWidth="1"/>
    <col min="3842" max="3842" width="32.5703125" style="26" customWidth="1"/>
    <col min="3843" max="3843" width="11.42578125" style="26" customWidth="1"/>
    <col min="3844" max="3845" width="14.28515625" style="26" customWidth="1"/>
    <col min="3846" max="3846" width="17.140625" style="26" customWidth="1"/>
    <col min="3847" max="3847" width="11.42578125" style="26" customWidth="1"/>
    <col min="3848" max="4096" width="9.140625" style="26"/>
    <col min="4097" max="4097" width="6.28515625" style="26" customWidth="1"/>
    <col min="4098" max="4098" width="32.5703125" style="26" customWidth="1"/>
    <col min="4099" max="4099" width="11.42578125" style="26" customWidth="1"/>
    <col min="4100" max="4101" width="14.28515625" style="26" customWidth="1"/>
    <col min="4102" max="4102" width="17.140625" style="26" customWidth="1"/>
    <col min="4103" max="4103" width="11.42578125" style="26" customWidth="1"/>
    <col min="4104" max="4352" width="9.140625" style="26"/>
    <col min="4353" max="4353" width="6.28515625" style="26" customWidth="1"/>
    <col min="4354" max="4354" width="32.5703125" style="26" customWidth="1"/>
    <col min="4355" max="4355" width="11.42578125" style="26" customWidth="1"/>
    <col min="4356" max="4357" width="14.28515625" style="26" customWidth="1"/>
    <col min="4358" max="4358" width="17.140625" style="26" customWidth="1"/>
    <col min="4359" max="4359" width="11.42578125" style="26" customWidth="1"/>
    <col min="4360" max="4608" width="9.140625" style="26"/>
    <col min="4609" max="4609" width="6.28515625" style="26" customWidth="1"/>
    <col min="4610" max="4610" width="32.5703125" style="26" customWidth="1"/>
    <col min="4611" max="4611" width="11.42578125" style="26" customWidth="1"/>
    <col min="4612" max="4613" width="14.28515625" style="26" customWidth="1"/>
    <col min="4614" max="4614" width="17.140625" style="26" customWidth="1"/>
    <col min="4615" max="4615" width="11.42578125" style="26" customWidth="1"/>
    <col min="4616" max="4864" width="9.140625" style="26"/>
    <col min="4865" max="4865" width="6.28515625" style="26" customWidth="1"/>
    <col min="4866" max="4866" width="32.5703125" style="26" customWidth="1"/>
    <col min="4867" max="4867" width="11.42578125" style="26" customWidth="1"/>
    <col min="4868" max="4869" width="14.28515625" style="26" customWidth="1"/>
    <col min="4870" max="4870" width="17.140625" style="26" customWidth="1"/>
    <col min="4871" max="4871" width="11.42578125" style="26" customWidth="1"/>
    <col min="4872" max="5120" width="9.140625" style="26"/>
    <col min="5121" max="5121" width="6.28515625" style="26" customWidth="1"/>
    <col min="5122" max="5122" width="32.5703125" style="26" customWidth="1"/>
    <col min="5123" max="5123" width="11.42578125" style="26" customWidth="1"/>
    <col min="5124" max="5125" width="14.28515625" style="26" customWidth="1"/>
    <col min="5126" max="5126" width="17.140625" style="26" customWidth="1"/>
    <col min="5127" max="5127" width="11.42578125" style="26" customWidth="1"/>
    <col min="5128" max="5376" width="9.140625" style="26"/>
    <col min="5377" max="5377" width="6.28515625" style="26" customWidth="1"/>
    <col min="5378" max="5378" width="32.5703125" style="26" customWidth="1"/>
    <col min="5379" max="5379" width="11.42578125" style="26" customWidth="1"/>
    <col min="5380" max="5381" width="14.28515625" style="26" customWidth="1"/>
    <col min="5382" max="5382" width="17.140625" style="26" customWidth="1"/>
    <col min="5383" max="5383" width="11.42578125" style="26" customWidth="1"/>
    <col min="5384" max="5632" width="9.140625" style="26"/>
    <col min="5633" max="5633" width="6.28515625" style="26" customWidth="1"/>
    <col min="5634" max="5634" width="32.5703125" style="26" customWidth="1"/>
    <col min="5635" max="5635" width="11.42578125" style="26" customWidth="1"/>
    <col min="5636" max="5637" width="14.28515625" style="26" customWidth="1"/>
    <col min="5638" max="5638" width="17.140625" style="26" customWidth="1"/>
    <col min="5639" max="5639" width="11.42578125" style="26" customWidth="1"/>
    <col min="5640" max="5888" width="9.140625" style="26"/>
    <col min="5889" max="5889" width="6.28515625" style="26" customWidth="1"/>
    <col min="5890" max="5890" width="32.5703125" style="26" customWidth="1"/>
    <col min="5891" max="5891" width="11.42578125" style="26" customWidth="1"/>
    <col min="5892" max="5893" width="14.28515625" style="26" customWidth="1"/>
    <col min="5894" max="5894" width="17.140625" style="26" customWidth="1"/>
    <col min="5895" max="5895" width="11.42578125" style="26" customWidth="1"/>
    <col min="5896" max="6144" width="9.140625" style="26"/>
    <col min="6145" max="6145" width="6.28515625" style="26" customWidth="1"/>
    <col min="6146" max="6146" width="32.5703125" style="26" customWidth="1"/>
    <col min="6147" max="6147" width="11.42578125" style="26" customWidth="1"/>
    <col min="6148" max="6149" width="14.28515625" style="26" customWidth="1"/>
    <col min="6150" max="6150" width="17.140625" style="26" customWidth="1"/>
    <col min="6151" max="6151" width="11.42578125" style="26" customWidth="1"/>
    <col min="6152" max="6400" width="9.140625" style="26"/>
    <col min="6401" max="6401" width="6.28515625" style="26" customWidth="1"/>
    <col min="6402" max="6402" width="32.5703125" style="26" customWidth="1"/>
    <col min="6403" max="6403" width="11.42578125" style="26" customWidth="1"/>
    <col min="6404" max="6405" width="14.28515625" style="26" customWidth="1"/>
    <col min="6406" max="6406" width="17.140625" style="26" customWidth="1"/>
    <col min="6407" max="6407" width="11.42578125" style="26" customWidth="1"/>
    <col min="6408" max="6656" width="9.140625" style="26"/>
    <col min="6657" max="6657" width="6.28515625" style="26" customWidth="1"/>
    <col min="6658" max="6658" width="32.5703125" style="26" customWidth="1"/>
    <col min="6659" max="6659" width="11.42578125" style="26" customWidth="1"/>
    <col min="6660" max="6661" width="14.28515625" style="26" customWidth="1"/>
    <col min="6662" max="6662" width="17.140625" style="26" customWidth="1"/>
    <col min="6663" max="6663" width="11.42578125" style="26" customWidth="1"/>
    <col min="6664" max="6912" width="9.140625" style="26"/>
    <col min="6913" max="6913" width="6.28515625" style="26" customWidth="1"/>
    <col min="6914" max="6914" width="32.5703125" style="26" customWidth="1"/>
    <col min="6915" max="6915" width="11.42578125" style="26" customWidth="1"/>
    <col min="6916" max="6917" width="14.28515625" style="26" customWidth="1"/>
    <col min="6918" max="6918" width="17.140625" style="26" customWidth="1"/>
    <col min="6919" max="6919" width="11.42578125" style="26" customWidth="1"/>
    <col min="6920" max="7168" width="9.140625" style="26"/>
    <col min="7169" max="7169" width="6.28515625" style="26" customWidth="1"/>
    <col min="7170" max="7170" width="32.5703125" style="26" customWidth="1"/>
    <col min="7171" max="7171" width="11.42578125" style="26" customWidth="1"/>
    <col min="7172" max="7173" width="14.28515625" style="26" customWidth="1"/>
    <col min="7174" max="7174" width="17.140625" style="26" customWidth="1"/>
    <col min="7175" max="7175" width="11.42578125" style="26" customWidth="1"/>
    <col min="7176" max="7424" width="9.140625" style="26"/>
    <col min="7425" max="7425" width="6.28515625" style="26" customWidth="1"/>
    <col min="7426" max="7426" width="32.5703125" style="26" customWidth="1"/>
    <col min="7427" max="7427" width="11.42578125" style="26" customWidth="1"/>
    <col min="7428" max="7429" width="14.28515625" style="26" customWidth="1"/>
    <col min="7430" max="7430" width="17.140625" style="26" customWidth="1"/>
    <col min="7431" max="7431" width="11.42578125" style="26" customWidth="1"/>
    <col min="7432" max="7680" width="9.140625" style="26"/>
    <col min="7681" max="7681" width="6.28515625" style="26" customWidth="1"/>
    <col min="7682" max="7682" width="32.5703125" style="26" customWidth="1"/>
    <col min="7683" max="7683" width="11.42578125" style="26" customWidth="1"/>
    <col min="7684" max="7685" width="14.28515625" style="26" customWidth="1"/>
    <col min="7686" max="7686" width="17.140625" style="26" customWidth="1"/>
    <col min="7687" max="7687" width="11.42578125" style="26" customWidth="1"/>
    <col min="7688" max="7936" width="9.140625" style="26"/>
    <col min="7937" max="7937" width="6.28515625" style="26" customWidth="1"/>
    <col min="7938" max="7938" width="32.5703125" style="26" customWidth="1"/>
    <col min="7939" max="7939" width="11.42578125" style="26" customWidth="1"/>
    <col min="7940" max="7941" width="14.28515625" style="26" customWidth="1"/>
    <col min="7942" max="7942" width="17.140625" style="26" customWidth="1"/>
    <col min="7943" max="7943" width="11.42578125" style="26" customWidth="1"/>
    <col min="7944" max="8192" width="9.140625" style="26"/>
    <col min="8193" max="8193" width="6.28515625" style="26" customWidth="1"/>
    <col min="8194" max="8194" width="32.5703125" style="26" customWidth="1"/>
    <col min="8195" max="8195" width="11.42578125" style="26" customWidth="1"/>
    <col min="8196" max="8197" width="14.28515625" style="26" customWidth="1"/>
    <col min="8198" max="8198" width="17.140625" style="26" customWidth="1"/>
    <col min="8199" max="8199" width="11.42578125" style="26" customWidth="1"/>
    <col min="8200" max="8448" width="9.140625" style="26"/>
    <col min="8449" max="8449" width="6.28515625" style="26" customWidth="1"/>
    <col min="8450" max="8450" width="32.5703125" style="26" customWidth="1"/>
    <col min="8451" max="8451" width="11.42578125" style="26" customWidth="1"/>
    <col min="8452" max="8453" width="14.28515625" style="26" customWidth="1"/>
    <col min="8454" max="8454" width="17.140625" style="26" customWidth="1"/>
    <col min="8455" max="8455" width="11.42578125" style="26" customWidth="1"/>
    <col min="8456" max="8704" width="9.140625" style="26"/>
    <col min="8705" max="8705" width="6.28515625" style="26" customWidth="1"/>
    <col min="8706" max="8706" width="32.5703125" style="26" customWidth="1"/>
    <col min="8707" max="8707" width="11.42578125" style="26" customWidth="1"/>
    <col min="8708" max="8709" width="14.28515625" style="26" customWidth="1"/>
    <col min="8710" max="8710" width="17.140625" style="26" customWidth="1"/>
    <col min="8711" max="8711" width="11.42578125" style="26" customWidth="1"/>
    <col min="8712" max="8960" width="9.140625" style="26"/>
    <col min="8961" max="8961" width="6.28515625" style="26" customWidth="1"/>
    <col min="8962" max="8962" width="32.5703125" style="26" customWidth="1"/>
    <col min="8963" max="8963" width="11.42578125" style="26" customWidth="1"/>
    <col min="8964" max="8965" width="14.28515625" style="26" customWidth="1"/>
    <col min="8966" max="8966" width="17.140625" style="26" customWidth="1"/>
    <col min="8967" max="8967" width="11.42578125" style="26" customWidth="1"/>
    <col min="8968" max="9216" width="9.140625" style="26"/>
    <col min="9217" max="9217" width="6.28515625" style="26" customWidth="1"/>
    <col min="9218" max="9218" width="32.5703125" style="26" customWidth="1"/>
    <col min="9219" max="9219" width="11.42578125" style="26" customWidth="1"/>
    <col min="9220" max="9221" width="14.28515625" style="26" customWidth="1"/>
    <col min="9222" max="9222" width="17.140625" style="26" customWidth="1"/>
    <col min="9223" max="9223" width="11.42578125" style="26" customWidth="1"/>
    <col min="9224" max="9472" width="9.140625" style="26"/>
    <col min="9473" max="9473" width="6.28515625" style="26" customWidth="1"/>
    <col min="9474" max="9474" width="32.5703125" style="26" customWidth="1"/>
    <col min="9475" max="9475" width="11.42578125" style="26" customWidth="1"/>
    <col min="9476" max="9477" width="14.28515625" style="26" customWidth="1"/>
    <col min="9478" max="9478" width="17.140625" style="26" customWidth="1"/>
    <col min="9479" max="9479" width="11.42578125" style="26" customWidth="1"/>
    <col min="9480" max="9728" width="9.140625" style="26"/>
    <col min="9729" max="9729" width="6.28515625" style="26" customWidth="1"/>
    <col min="9730" max="9730" width="32.5703125" style="26" customWidth="1"/>
    <col min="9731" max="9731" width="11.42578125" style="26" customWidth="1"/>
    <col min="9732" max="9733" width="14.28515625" style="26" customWidth="1"/>
    <col min="9734" max="9734" width="17.140625" style="26" customWidth="1"/>
    <col min="9735" max="9735" width="11.42578125" style="26" customWidth="1"/>
    <col min="9736" max="9984" width="9.140625" style="26"/>
    <col min="9985" max="9985" width="6.28515625" style="26" customWidth="1"/>
    <col min="9986" max="9986" width="32.5703125" style="26" customWidth="1"/>
    <col min="9987" max="9987" width="11.42578125" style="26" customWidth="1"/>
    <col min="9988" max="9989" width="14.28515625" style="26" customWidth="1"/>
    <col min="9990" max="9990" width="17.140625" style="26" customWidth="1"/>
    <col min="9991" max="9991" width="11.42578125" style="26" customWidth="1"/>
    <col min="9992" max="10240" width="9.140625" style="26"/>
    <col min="10241" max="10241" width="6.28515625" style="26" customWidth="1"/>
    <col min="10242" max="10242" width="32.5703125" style="26" customWidth="1"/>
    <col min="10243" max="10243" width="11.42578125" style="26" customWidth="1"/>
    <col min="10244" max="10245" width="14.28515625" style="26" customWidth="1"/>
    <col min="10246" max="10246" width="17.140625" style="26" customWidth="1"/>
    <col min="10247" max="10247" width="11.42578125" style="26" customWidth="1"/>
    <col min="10248" max="10496" width="9.140625" style="26"/>
    <col min="10497" max="10497" width="6.28515625" style="26" customWidth="1"/>
    <col min="10498" max="10498" width="32.5703125" style="26" customWidth="1"/>
    <col min="10499" max="10499" width="11.42578125" style="26" customWidth="1"/>
    <col min="10500" max="10501" width="14.28515625" style="26" customWidth="1"/>
    <col min="10502" max="10502" width="17.140625" style="26" customWidth="1"/>
    <col min="10503" max="10503" width="11.42578125" style="26" customWidth="1"/>
    <col min="10504" max="10752" width="9.140625" style="26"/>
    <col min="10753" max="10753" width="6.28515625" style="26" customWidth="1"/>
    <col min="10754" max="10754" width="32.5703125" style="26" customWidth="1"/>
    <col min="10755" max="10755" width="11.42578125" style="26" customWidth="1"/>
    <col min="10756" max="10757" width="14.28515625" style="26" customWidth="1"/>
    <col min="10758" max="10758" width="17.140625" style="26" customWidth="1"/>
    <col min="10759" max="10759" width="11.42578125" style="26" customWidth="1"/>
    <col min="10760" max="11008" width="9.140625" style="26"/>
    <col min="11009" max="11009" width="6.28515625" style="26" customWidth="1"/>
    <col min="11010" max="11010" width="32.5703125" style="26" customWidth="1"/>
    <col min="11011" max="11011" width="11.42578125" style="26" customWidth="1"/>
    <col min="11012" max="11013" width="14.28515625" style="26" customWidth="1"/>
    <col min="11014" max="11014" width="17.140625" style="26" customWidth="1"/>
    <col min="11015" max="11015" width="11.42578125" style="26" customWidth="1"/>
    <col min="11016" max="11264" width="9.140625" style="26"/>
    <col min="11265" max="11265" width="6.28515625" style="26" customWidth="1"/>
    <col min="11266" max="11266" width="32.5703125" style="26" customWidth="1"/>
    <col min="11267" max="11267" width="11.42578125" style="26" customWidth="1"/>
    <col min="11268" max="11269" width="14.28515625" style="26" customWidth="1"/>
    <col min="11270" max="11270" width="17.140625" style="26" customWidth="1"/>
    <col min="11271" max="11271" width="11.42578125" style="26" customWidth="1"/>
    <col min="11272" max="11520" width="9.140625" style="26"/>
    <col min="11521" max="11521" width="6.28515625" style="26" customWidth="1"/>
    <col min="11522" max="11522" width="32.5703125" style="26" customWidth="1"/>
    <col min="11523" max="11523" width="11.42578125" style="26" customWidth="1"/>
    <col min="11524" max="11525" width="14.28515625" style="26" customWidth="1"/>
    <col min="11526" max="11526" width="17.140625" style="26" customWidth="1"/>
    <col min="11527" max="11527" width="11.42578125" style="26" customWidth="1"/>
    <col min="11528" max="11776" width="9.140625" style="26"/>
    <col min="11777" max="11777" width="6.28515625" style="26" customWidth="1"/>
    <col min="11778" max="11778" width="32.5703125" style="26" customWidth="1"/>
    <col min="11779" max="11779" width="11.42578125" style="26" customWidth="1"/>
    <col min="11780" max="11781" width="14.28515625" style="26" customWidth="1"/>
    <col min="11782" max="11782" width="17.140625" style="26" customWidth="1"/>
    <col min="11783" max="11783" width="11.42578125" style="26" customWidth="1"/>
    <col min="11784" max="12032" width="9.140625" style="26"/>
    <col min="12033" max="12033" width="6.28515625" style="26" customWidth="1"/>
    <col min="12034" max="12034" width="32.5703125" style="26" customWidth="1"/>
    <col min="12035" max="12035" width="11.42578125" style="26" customWidth="1"/>
    <col min="12036" max="12037" width="14.28515625" style="26" customWidth="1"/>
    <col min="12038" max="12038" width="17.140625" style="26" customWidth="1"/>
    <col min="12039" max="12039" width="11.42578125" style="26" customWidth="1"/>
    <col min="12040" max="12288" width="9.140625" style="26"/>
    <col min="12289" max="12289" width="6.28515625" style="26" customWidth="1"/>
    <col min="12290" max="12290" width="32.5703125" style="26" customWidth="1"/>
    <col min="12291" max="12291" width="11.42578125" style="26" customWidth="1"/>
    <col min="12292" max="12293" width="14.28515625" style="26" customWidth="1"/>
    <col min="12294" max="12294" width="17.140625" style="26" customWidth="1"/>
    <col min="12295" max="12295" width="11.42578125" style="26" customWidth="1"/>
    <col min="12296" max="12544" width="9.140625" style="26"/>
    <col min="12545" max="12545" width="6.28515625" style="26" customWidth="1"/>
    <col min="12546" max="12546" width="32.5703125" style="26" customWidth="1"/>
    <col min="12547" max="12547" width="11.42578125" style="26" customWidth="1"/>
    <col min="12548" max="12549" width="14.28515625" style="26" customWidth="1"/>
    <col min="12550" max="12550" width="17.140625" style="26" customWidth="1"/>
    <col min="12551" max="12551" width="11.42578125" style="26" customWidth="1"/>
    <col min="12552" max="12800" width="9.140625" style="26"/>
    <col min="12801" max="12801" width="6.28515625" style="26" customWidth="1"/>
    <col min="12802" max="12802" width="32.5703125" style="26" customWidth="1"/>
    <col min="12803" max="12803" width="11.42578125" style="26" customWidth="1"/>
    <col min="12804" max="12805" width="14.28515625" style="26" customWidth="1"/>
    <col min="12806" max="12806" width="17.140625" style="26" customWidth="1"/>
    <col min="12807" max="12807" width="11.42578125" style="26" customWidth="1"/>
    <col min="12808" max="13056" width="9.140625" style="26"/>
    <col min="13057" max="13057" width="6.28515625" style="26" customWidth="1"/>
    <col min="13058" max="13058" width="32.5703125" style="26" customWidth="1"/>
    <col min="13059" max="13059" width="11.42578125" style="26" customWidth="1"/>
    <col min="13060" max="13061" width="14.28515625" style="26" customWidth="1"/>
    <col min="13062" max="13062" width="17.140625" style="26" customWidth="1"/>
    <col min="13063" max="13063" width="11.42578125" style="26" customWidth="1"/>
    <col min="13064" max="13312" width="9.140625" style="26"/>
    <col min="13313" max="13313" width="6.28515625" style="26" customWidth="1"/>
    <col min="13314" max="13314" width="32.5703125" style="26" customWidth="1"/>
    <col min="13315" max="13315" width="11.42578125" style="26" customWidth="1"/>
    <col min="13316" max="13317" width="14.28515625" style="26" customWidth="1"/>
    <col min="13318" max="13318" width="17.140625" style="26" customWidth="1"/>
    <col min="13319" max="13319" width="11.42578125" style="26" customWidth="1"/>
    <col min="13320" max="13568" width="9.140625" style="26"/>
    <col min="13569" max="13569" width="6.28515625" style="26" customWidth="1"/>
    <col min="13570" max="13570" width="32.5703125" style="26" customWidth="1"/>
    <col min="13571" max="13571" width="11.42578125" style="26" customWidth="1"/>
    <col min="13572" max="13573" width="14.28515625" style="26" customWidth="1"/>
    <col min="13574" max="13574" width="17.140625" style="26" customWidth="1"/>
    <col min="13575" max="13575" width="11.42578125" style="26" customWidth="1"/>
    <col min="13576" max="13824" width="9.140625" style="26"/>
    <col min="13825" max="13825" width="6.28515625" style="26" customWidth="1"/>
    <col min="13826" max="13826" width="32.5703125" style="26" customWidth="1"/>
    <col min="13827" max="13827" width="11.42578125" style="26" customWidth="1"/>
    <col min="13828" max="13829" width="14.28515625" style="26" customWidth="1"/>
    <col min="13830" max="13830" width="17.140625" style="26" customWidth="1"/>
    <col min="13831" max="13831" width="11.42578125" style="26" customWidth="1"/>
    <col min="13832" max="14080" width="9.140625" style="26"/>
    <col min="14081" max="14081" width="6.28515625" style="26" customWidth="1"/>
    <col min="14082" max="14082" width="32.5703125" style="26" customWidth="1"/>
    <col min="14083" max="14083" width="11.42578125" style="26" customWidth="1"/>
    <col min="14084" max="14085" width="14.28515625" style="26" customWidth="1"/>
    <col min="14086" max="14086" width="17.140625" style="26" customWidth="1"/>
    <col min="14087" max="14087" width="11.42578125" style="26" customWidth="1"/>
    <col min="14088" max="14336" width="9.140625" style="26"/>
    <col min="14337" max="14337" width="6.28515625" style="26" customWidth="1"/>
    <col min="14338" max="14338" width="32.5703125" style="26" customWidth="1"/>
    <col min="14339" max="14339" width="11.42578125" style="26" customWidth="1"/>
    <col min="14340" max="14341" width="14.28515625" style="26" customWidth="1"/>
    <col min="14342" max="14342" width="17.140625" style="26" customWidth="1"/>
    <col min="14343" max="14343" width="11.42578125" style="26" customWidth="1"/>
    <col min="14344" max="14592" width="9.140625" style="26"/>
    <col min="14593" max="14593" width="6.28515625" style="26" customWidth="1"/>
    <col min="14594" max="14594" width="32.5703125" style="26" customWidth="1"/>
    <col min="14595" max="14595" width="11.42578125" style="26" customWidth="1"/>
    <col min="14596" max="14597" width="14.28515625" style="26" customWidth="1"/>
    <col min="14598" max="14598" width="17.140625" style="26" customWidth="1"/>
    <col min="14599" max="14599" width="11.42578125" style="26" customWidth="1"/>
    <col min="14600" max="14848" width="9.140625" style="26"/>
    <col min="14849" max="14849" width="6.28515625" style="26" customWidth="1"/>
    <col min="14850" max="14850" width="32.5703125" style="26" customWidth="1"/>
    <col min="14851" max="14851" width="11.42578125" style="26" customWidth="1"/>
    <col min="14852" max="14853" width="14.28515625" style="26" customWidth="1"/>
    <col min="14854" max="14854" width="17.140625" style="26" customWidth="1"/>
    <col min="14855" max="14855" width="11.42578125" style="26" customWidth="1"/>
    <col min="14856" max="15104" width="9.140625" style="26"/>
    <col min="15105" max="15105" width="6.28515625" style="26" customWidth="1"/>
    <col min="15106" max="15106" width="32.5703125" style="26" customWidth="1"/>
    <col min="15107" max="15107" width="11.42578125" style="26" customWidth="1"/>
    <col min="15108" max="15109" width="14.28515625" style="26" customWidth="1"/>
    <col min="15110" max="15110" width="17.140625" style="26" customWidth="1"/>
    <col min="15111" max="15111" width="11.42578125" style="26" customWidth="1"/>
    <col min="15112" max="15360" width="9.140625" style="26"/>
    <col min="15361" max="15361" width="6.28515625" style="26" customWidth="1"/>
    <col min="15362" max="15362" width="32.5703125" style="26" customWidth="1"/>
    <col min="15363" max="15363" width="11.42578125" style="26" customWidth="1"/>
    <col min="15364" max="15365" width="14.28515625" style="26" customWidth="1"/>
    <col min="15366" max="15366" width="17.140625" style="26" customWidth="1"/>
    <col min="15367" max="15367" width="11.42578125" style="26" customWidth="1"/>
    <col min="15368" max="15616" width="9.140625" style="26"/>
    <col min="15617" max="15617" width="6.28515625" style="26" customWidth="1"/>
    <col min="15618" max="15618" width="32.5703125" style="26" customWidth="1"/>
    <col min="15619" max="15619" width="11.42578125" style="26" customWidth="1"/>
    <col min="15620" max="15621" width="14.28515625" style="26" customWidth="1"/>
    <col min="15622" max="15622" width="17.140625" style="26" customWidth="1"/>
    <col min="15623" max="15623" width="11.42578125" style="26" customWidth="1"/>
    <col min="15624" max="15872" width="9.140625" style="26"/>
    <col min="15873" max="15873" width="6.28515625" style="26" customWidth="1"/>
    <col min="15874" max="15874" width="32.5703125" style="26" customWidth="1"/>
    <col min="15875" max="15875" width="11.42578125" style="26" customWidth="1"/>
    <col min="15876" max="15877" width="14.28515625" style="26" customWidth="1"/>
    <col min="15878" max="15878" width="17.140625" style="26" customWidth="1"/>
    <col min="15879" max="15879" width="11.42578125" style="26" customWidth="1"/>
    <col min="15880" max="16128" width="9.140625" style="26"/>
    <col min="16129" max="16129" width="6.28515625" style="26" customWidth="1"/>
    <col min="16130" max="16130" width="32.5703125" style="26" customWidth="1"/>
    <col min="16131" max="16131" width="11.42578125" style="26" customWidth="1"/>
    <col min="16132" max="16133" width="14.28515625" style="26" customWidth="1"/>
    <col min="16134" max="16134" width="17.140625" style="26" customWidth="1"/>
    <col min="16135" max="16135" width="11.42578125" style="26" customWidth="1"/>
    <col min="16136" max="16384" width="9.140625" style="26"/>
  </cols>
  <sheetData>
    <row r="1" spans="1:7" ht="29.25" customHeight="1" x14ac:dyDescent="0.25">
      <c r="A1" s="278"/>
      <c r="B1" s="278"/>
      <c r="C1" s="266" t="s">
        <v>294</v>
      </c>
      <c r="D1" s="266"/>
      <c r="E1" s="266"/>
      <c r="F1" s="266"/>
      <c r="G1" s="266"/>
    </row>
    <row r="2" spans="1:7" ht="43.5" customHeight="1" x14ac:dyDescent="0.25">
      <c r="A2" s="279" t="s">
        <v>295</v>
      </c>
      <c r="B2" s="279"/>
      <c r="C2" s="279"/>
      <c r="D2" s="279"/>
      <c r="E2" s="279"/>
      <c r="F2" s="279"/>
      <c r="G2" s="279"/>
    </row>
    <row r="3" spans="1:7" ht="5.25" customHeight="1" x14ac:dyDescent="0.25">
      <c r="A3" s="27"/>
      <c r="B3" s="27"/>
      <c r="C3" s="278"/>
      <c r="D3" s="278"/>
      <c r="E3" s="278"/>
      <c r="F3" s="278"/>
      <c r="G3" s="278"/>
    </row>
    <row r="4" spans="1:7" ht="13.5" customHeight="1" x14ac:dyDescent="0.25">
      <c r="A4" s="280" t="s">
        <v>440</v>
      </c>
      <c r="B4" s="280"/>
      <c r="C4" s="280"/>
      <c r="D4" s="280"/>
      <c r="E4" s="280"/>
      <c r="F4" s="280"/>
      <c r="G4" s="280"/>
    </row>
    <row r="5" spans="1:7" ht="12.75" customHeight="1" x14ac:dyDescent="0.25">
      <c r="A5" s="280" t="s">
        <v>441</v>
      </c>
      <c r="B5" s="280"/>
      <c r="C5" s="280"/>
      <c r="D5" s="280"/>
      <c r="E5" s="280"/>
      <c r="F5" s="280"/>
      <c r="G5" s="280"/>
    </row>
    <row r="6" spans="1:7" ht="12" customHeight="1" x14ac:dyDescent="0.25">
      <c r="A6" s="257" t="s">
        <v>442</v>
      </c>
      <c r="B6" s="257"/>
      <c r="C6" s="257"/>
      <c r="D6" s="257"/>
      <c r="E6" s="257"/>
      <c r="F6" s="257"/>
      <c r="G6" s="257"/>
    </row>
    <row r="7" spans="1:7" ht="10.5" customHeight="1" x14ac:dyDescent="0.25">
      <c r="A7" s="27"/>
      <c r="B7" s="27"/>
      <c r="C7" s="278"/>
      <c r="D7" s="278"/>
      <c r="E7" s="278"/>
      <c r="F7" s="278"/>
      <c r="G7" s="278"/>
    </row>
    <row r="8" spans="1:7" ht="12" customHeight="1" x14ac:dyDescent="0.25">
      <c r="A8" s="56" t="s">
        <v>95</v>
      </c>
      <c r="B8" s="80" t="s">
        <v>2</v>
      </c>
      <c r="C8" s="261" t="s">
        <v>97</v>
      </c>
      <c r="D8" s="261"/>
      <c r="E8" s="261"/>
      <c r="F8" s="261"/>
      <c r="G8" s="261"/>
    </row>
    <row r="9" spans="1:7" ht="12" customHeight="1" x14ac:dyDescent="0.25">
      <c r="A9" s="27"/>
      <c r="B9" s="59" t="s">
        <v>4</v>
      </c>
      <c r="C9" s="272" t="s">
        <v>5</v>
      </c>
      <c r="D9" s="272"/>
      <c r="E9" s="272"/>
      <c r="F9" s="272"/>
      <c r="G9" s="272"/>
    </row>
    <row r="10" spans="1:7" ht="12" customHeight="1" x14ac:dyDescent="0.25">
      <c r="A10" s="56" t="s">
        <v>98</v>
      </c>
      <c r="B10" s="80" t="s">
        <v>6</v>
      </c>
      <c r="C10" s="261" t="s">
        <v>100</v>
      </c>
      <c r="D10" s="261"/>
      <c r="E10" s="261"/>
      <c r="F10" s="261"/>
      <c r="G10" s="261"/>
    </row>
    <row r="11" spans="1:7" ht="12" customHeight="1" x14ac:dyDescent="0.25">
      <c r="A11" s="27"/>
      <c r="B11" s="59" t="s">
        <v>8</v>
      </c>
      <c r="C11" s="272" t="s">
        <v>101</v>
      </c>
      <c r="D11" s="272"/>
      <c r="E11" s="272"/>
      <c r="F11" s="272"/>
      <c r="G11" s="272"/>
    </row>
    <row r="12" spans="1:7" ht="12" customHeight="1" x14ac:dyDescent="0.25">
      <c r="A12" s="56" t="s">
        <v>79</v>
      </c>
      <c r="B12" s="80" t="s">
        <v>10</v>
      </c>
      <c r="C12" s="261" t="s">
        <v>102</v>
      </c>
      <c r="D12" s="261"/>
      <c r="E12" s="261"/>
      <c r="F12" s="261"/>
      <c r="G12" s="261"/>
    </row>
    <row r="13" spans="1:7" ht="12" customHeight="1" x14ac:dyDescent="0.25">
      <c r="A13" s="27"/>
      <c r="B13" s="59" t="s">
        <v>12</v>
      </c>
      <c r="C13" s="272" t="s">
        <v>103</v>
      </c>
      <c r="D13" s="272"/>
      <c r="E13" s="272"/>
      <c r="F13" s="272"/>
      <c r="G13" s="272"/>
    </row>
    <row r="14" spans="1:7" ht="12" customHeight="1" x14ac:dyDescent="0.25">
      <c r="A14" s="56" t="s">
        <v>85</v>
      </c>
      <c r="B14" s="80" t="s">
        <v>14</v>
      </c>
      <c r="C14" s="273" t="s">
        <v>1079</v>
      </c>
      <c r="D14" s="273"/>
      <c r="E14" s="273"/>
      <c r="F14" s="273"/>
      <c r="G14" s="273"/>
    </row>
    <row r="15" spans="1:7" ht="12" customHeight="1" x14ac:dyDescent="0.25">
      <c r="A15" s="27"/>
      <c r="B15" s="59" t="s">
        <v>15</v>
      </c>
      <c r="C15" s="259">
        <v>43983</v>
      </c>
      <c r="D15" s="259"/>
      <c r="E15" s="259"/>
      <c r="F15" s="259"/>
      <c r="G15" s="259"/>
    </row>
    <row r="16" spans="1:7" ht="12.75" customHeight="1" x14ac:dyDescent="0.25">
      <c r="A16" s="27"/>
      <c r="B16" s="27"/>
      <c r="C16" s="275"/>
      <c r="D16" s="275"/>
      <c r="E16" s="275"/>
      <c r="F16" s="275"/>
      <c r="G16" s="275"/>
    </row>
    <row r="17" spans="1:7" ht="13.5" customHeight="1" x14ac:dyDescent="0.25">
      <c r="A17" s="273" t="s">
        <v>443</v>
      </c>
      <c r="B17" s="273"/>
      <c r="C17" s="273"/>
      <c r="D17" s="273"/>
      <c r="E17" s="273"/>
      <c r="F17" s="273"/>
      <c r="G17" s="273"/>
    </row>
    <row r="18" spans="1:7" ht="13.5" customHeight="1" x14ac:dyDescent="0.25">
      <c r="A18" s="273" t="s">
        <v>444</v>
      </c>
      <c r="B18" s="273"/>
      <c r="C18" s="273"/>
      <c r="D18" s="273"/>
      <c r="E18" s="273"/>
      <c r="F18" s="273"/>
      <c r="G18" s="273"/>
    </row>
    <row r="19" spans="1:7" ht="15.75" customHeight="1" x14ac:dyDescent="0.25">
      <c r="A19" s="32"/>
      <c r="B19" s="32"/>
      <c r="C19" s="276" t="s">
        <v>106</v>
      </c>
      <c r="D19" s="276"/>
      <c r="E19" s="276"/>
      <c r="F19" s="276"/>
      <c r="G19" s="276"/>
    </row>
    <row r="20" spans="1:7" ht="81.75" customHeight="1" x14ac:dyDescent="0.25">
      <c r="A20" s="33" t="s">
        <v>445</v>
      </c>
      <c r="B20" s="34" t="s">
        <v>446</v>
      </c>
      <c r="C20" s="34" t="s">
        <v>109</v>
      </c>
      <c r="D20" s="34" t="s">
        <v>447</v>
      </c>
      <c r="E20" s="34" t="s">
        <v>448</v>
      </c>
      <c r="F20" s="34" t="s">
        <v>449</v>
      </c>
      <c r="G20" s="35" t="s">
        <v>450</v>
      </c>
    </row>
    <row r="21" spans="1:7" ht="21" x14ac:dyDescent="0.25">
      <c r="A21" s="36" t="s">
        <v>69</v>
      </c>
      <c r="B21" s="37" t="s">
        <v>136</v>
      </c>
      <c r="C21" s="38" t="s">
        <v>451</v>
      </c>
      <c r="D21" s="81">
        <v>0</v>
      </c>
      <c r="E21" s="63">
        <v>0</v>
      </c>
      <c r="F21" s="63">
        <v>0</v>
      </c>
      <c r="G21" s="40">
        <v>0</v>
      </c>
    </row>
    <row r="22" spans="1:7" ht="15" customHeight="1" x14ac:dyDescent="0.25">
      <c r="A22" s="41" t="s">
        <v>95</v>
      </c>
      <c r="B22" s="42" t="s">
        <v>452</v>
      </c>
      <c r="C22" s="43" t="s">
        <v>453</v>
      </c>
      <c r="D22" s="82">
        <v>172980</v>
      </c>
      <c r="E22" s="68">
        <v>76000</v>
      </c>
      <c r="F22" s="68">
        <v>13146480000</v>
      </c>
      <c r="G22" s="45">
        <v>1.89E-2</v>
      </c>
    </row>
    <row r="23" spans="1:7" ht="15" customHeight="1" x14ac:dyDescent="0.25">
      <c r="A23" s="41" t="s">
        <v>98</v>
      </c>
      <c r="B23" s="42" t="s">
        <v>454</v>
      </c>
      <c r="C23" s="43" t="s">
        <v>455</v>
      </c>
      <c r="D23" s="82">
        <v>1767980</v>
      </c>
      <c r="E23" s="68">
        <v>22500</v>
      </c>
      <c r="F23" s="68">
        <v>39779550000</v>
      </c>
      <c r="G23" s="45">
        <v>5.7099999999999998E-2</v>
      </c>
    </row>
    <row r="24" spans="1:7" ht="15" customHeight="1" x14ac:dyDescent="0.25">
      <c r="A24" s="41" t="s">
        <v>79</v>
      </c>
      <c r="B24" s="42" t="s">
        <v>456</v>
      </c>
      <c r="C24" s="43" t="s">
        <v>457</v>
      </c>
      <c r="D24" s="82">
        <v>2243840</v>
      </c>
      <c r="E24" s="68">
        <v>11300</v>
      </c>
      <c r="F24" s="68">
        <v>25355392000</v>
      </c>
      <c r="G24" s="45">
        <v>3.6400000000000002E-2</v>
      </c>
    </row>
    <row r="25" spans="1:7" ht="15" customHeight="1" x14ac:dyDescent="0.25">
      <c r="A25" s="41" t="s">
        <v>85</v>
      </c>
      <c r="B25" s="42" t="s">
        <v>458</v>
      </c>
      <c r="C25" s="43" t="s">
        <v>459</v>
      </c>
      <c r="D25" s="82">
        <v>2171185</v>
      </c>
      <c r="E25" s="68">
        <v>47950</v>
      </c>
      <c r="F25" s="68">
        <v>104108320750</v>
      </c>
      <c r="G25" s="45">
        <v>0.14949999999999999</v>
      </c>
    </row>
    <row r="26" spans="1:7" ht="15" customHeight="1" x14ac:dyDescent="0.25">
      <c r="A26" s="41" t="s">
        <v>349</v>
      </c>
      <c r="B26" s="42" t="s">
        <v>460</v>
      </c>
      <c r="C26" s="43" t="s">
        <v>461</v>
      </c>
      <c r="D26" s="82">
        <v>1281620</v>
      </c>
      <c r="E26" s="68">
        <v>19600</v>
      </c>
      <c r="F26" s="68">
        <v>25119752000</v>
      </c>
      <c r="G26" s="45">
        <v>3.61E-2</v>
      </c>
    </row>
    <row r="27" spans="1:7" ht="15" customHeight="1" x14ac:dyDescent="0.25">
      <c r="A27" s="41" t="s">
        <v>358</v>
      </c>
      <c r="B27" s="42" t="s">
        <v>462</v>
      </c>
      <c r="C27" s="43" t="s">
        <v>463</v>
      </c>
      <c r="D27" s="82">
        <v>1936920</v>
      </c>
      <c r="E27" s="68">
        <v>22000</v>
      </c>
      <c r="F27" s="68">
        <v>42612240000</v>
      </c>
      <c r="G27" s="45">
        <v>6.1199999999999997E-2</v>
      </c>
    </row>
    <row r="28" spans="1:7" ht="15" customHeight="1" x14ac:dyDescent="0.25">
      <c r="A28" s="41" t="s">
        <v>371</v>
      </c>
      <c r="B28" s="42" t="s">
        <v>464</v>
      </c>
      <c r="C28" s="43" t="s">
        <v>465</v>
      </c>
      <c r="D28" s="82">
        <v>3439040</v>
      </c>
      <c r="E28" s="68">
        <v>17200</v>
      </c>
      <c r="F28" s="68">
        <v>59151488000</v>
      </c>
      <c r="G28" s="45">
        <v>8.4900000000000003E-2</v>
      </c>
    </row>
    <row r="29" spans="1:7" ht="15" customHeight="1" x14ac:dyDescent="0.25">
      <c r="A29" s="41" t="s">
        <v>378</v>
      </c>
      <c r="B29" s="42" t="s">
        <v>466</v>
      </c>
      <c r="C29" s="43" t="s">
        <v>467</v>
      </c>
      <c r="D29" s="82">
        <v>1174100</v>
      </c>
      <c r="E29" s="68">
        <v>84600</v>
      </c>
      <c r="F29" s="68">
        <v>99328860000</v>
      </c>
      <c r="G29" s="45">
        <v>0.1426</v>
      </c>
    </row>
    <row r="30" spans="1:7" ht="15" customHeight="1" x14ac:dyDescent="0.25">
      <c r="A30" s="41" t="s">
        <v>468</v>
      </c>
      <c r="B30" s="42" t="s">
        <v>469</v>
      </c>
      <c r="C30" s="43" t="s">
        <v>470</v>
      </c>
      <c r="D30" s="82">
        <v>759700</v>
      </c>
      <c r="E30" s="68">
        <v>23200</v>
      </c>
      <c r="F30" s="68">
        <v>17625040000</v>
      </c>
      <c r="G30" s="45">
        <v>2.53E-2</v>
      </c>
    </row>
    <row r="31" spans="1:7" ht="15" customHeight="1" x14ac:dyDescent="0.25">
      <c r="A31" s="41" t="s">
        <v>471</v>
      </c>
      <c r="B31" s="42" t="s">
        <v>472</v>
      </c>
      <c r="C31" s="43" t="s">
        <v>473</v>
      </c>
      <c r="D31" s="82">
        <v>916260</v>
      </c>
      <c r="E31" s="68">
        <v>63100</v>
      </c>
      <c r="F31" s="68">
        <v>57816006000</v>
      </c>
      <c r="G31" s="45">
        <v>8.3000000000000004E-2</v>
      </c>
    </row>
    <row r="32" spans="1:7" ht="15" customHeight="1" x14ac:dyDescent="0.25">
      <c r="A32" s="41" t="s">
        <v>474</v>
      </c>
      <c r="B32" s="42" t="s">
        <v>475</v>
      </c>
      <c r="C32" s="43" t="s">
        <v>476</v>
      </c>
      <c r="D32" s="82">
        <v>790860</v>
      </c>
      <c r="E32" s="68">
        <v>31250</v>
      </c>
      <c r="F32" s="68">
        <v>24714375000</v>
      </c>
      <c r="G32" s="45">
        <v>3.5499999999999997E-2</v>
      </c>
    </row>
    <row r="33" spans="1:7" ht="15" customHeight="1" x14ac:dyDescent="0.25">
      <c r="A33" s="41" t="s">
        <v>477</v>
      </c>
      <c r="B33" s="42" t="s">
        <v>478</v>
      </c>
      <c r="C33" s="43" t="s">
        <v>479</v>
      </c>
      <c r="D33" s="82">
        <v>3972200</v>
      </c>
      <c r="E33" s="68">
        <v>20700</v>
      </c>
      <c r="F33" s="68">
        <v>82224540000</v>
      </c>
      <c r="G33" s="45">
        <v>0.11799999999999999</v>
      </c>
    </row>
    <row r="34" spans="1:7" ht="15" customHeight="1" x14ac:dyDescent="0.25">
      <c r="A34" s="41" t="s">
        <v>480</v>
      </c>
      <c r="B34" s="42" t="s">
        <v>481</v>
      </c>
      <c r="C34" s="43" t="s">
        <v>482</v>
      </c>
      <c r="D34" s="82">
        <v>1165480</v>
      </c>
      <c r="E34" s="68">
        <v>20650</v>
      </c>
      <c r="F34" s="68">
        <v>24067162000</v>
      </c>
      <c r="G34" s="45">
        <v>3.4599999999999999E-2</v>
      </c>
    </row>
    <row r="35" spans="1:7" ht="15" customHeight="1" x14ac:dyDescent="0.25">
      <c r="A35" s="41" t="s">
        <v>483</v>
      </c>
      <c r="B35" s="42" t="s">
        <v>484</v>
      </c>
      <c r="C35" s="43" t="s">
        <v>485</v>
      </c>
      <c r="D35" s="82">
        <v>3287860</v>
      </c>
      <c r="E35" s="68">
        <v>23350</v>
      </c>
      <c r="F35" s="68">
        <v>76771531000</v>
      </c>
      <c r="G35" s="45">
        <v>0.11020000000000001</v>
      </c>
    </row>
    <row r="36" spans="1:7" x14ac:dyDescent="0.25">
      <c r="A36" s="36"/>
      <c r="B36" s="37" t="s">
        <v>486</v>
      </c>
      <c r="C36" s="38" t="s">
        <v>487</v>
      </c>
      <c r="D36" s="81"/>
      <c r="E36" s="63">
        <v>0</v>
      </c>
      <c r="F36" s="63">
        <v>691820736750</v>
      </c>
      <c r="G36" s="40">
        <v>0.99319999999999997</v>
      </c>
    </row>
    <row r="37" spans="1:7" ht="21" x14ac:dyDescent="0.25">
      <c r="A37" s="36" t="s">
        <v>74</v>
      </c>
      <c r="B37" s="37" t="s">
        <v>488</v>
      </c>
      <c r="C37" s="38" t="s">
        <v>489</v>
      </c>
      <c r="D37" s="81">
        <v>0</v>
      </c>
      <c r="E37" s="63">
        <v>0</v>
      </c>
      <c r="F37" s="63">
        <v>0</v>
      </c>
      <c r="G37" s="40">
        <v>0</v>
      </c>
    </row>
    <row r="38" spans="1:7" ht="21" x14ac:dyDescent="0.25">
      <c r="A38" s="41"/>
      <c r="B38" s="42" t="s">
        <v>490</v>
      </c>
      <c r="C38" s="43" t="s">
        <v>491</v>
      </c>
      <c r="D38" s="82">
        <v>0</v>
      </c>
      <c r="E38" s="68">
        <v>0</v>
      </c>
      <c r="F38" s="68">
        <v>0</v>
      </c>
      <c r="G38" s="45">
        <v>0</v>
      </c>
    </row>
    <row r="39" spans="1:7" ht="21" x14ac:dyDescent="0.25">
      <c r="A39" s="36"/>
      <c r="B39" s="37" t="s">
        <v>492</v>
      </c>
      <c r="C39" s="38" t="s">
        <v>493</v>
      </c>
      <c r="D39" s="81"/>
      <c r="E39" s="63">
        <v>0</v>
      </c>
      <c r="F39" s="63">
        <v>691820736750</v>
      </c>
      <c r="G39" s="40">
        <v>0.99319999999999997</v>
      </c>
    </row>
    <row r="40" spans="1:7" ht="21" x14ac:dyDescent="0.25">
      <c r="A40" s="36" t="s">
        <v>82</v>
      </c>
      <c r="B40" s="37" t="s">
        <v>140</v>
      </c>
      <c r="C40" s="38" t="s">
        <v>494</v>
      </c>
      <c r="D40" s="81">
        <v>0</v>
      </c>
      <c r="E40" s="63">
        <v>0</v>
      </c>
      <c r="F40" s="63">
        <v>0</v>
      </c>
      <c r="G40" s="40">
        <v>0</v>
      </c>
    </row>
    <row r="41" spans="1:7" x14ac:dyDescent="0.25">
      <c r="A41" s="36"/>
      <c r="B41" s="37" t="s">
        <v>486</v>
      </c>
      <c r="C41" s="38" t="s">
        <v>495</v>
      </c>
      <c r="D41" s="81">
        <v>0</v>
      </c>
      <c r="E41" s="63">
        <v>0</v>
      </c>
      <c r="F41" s="63">
        <v>0</v>
      </c>
      <c r="G41" s="40">
        <v>0</v>
      </c>
    </row>
    <row r="42" spans="1:7" ht="21" x14ac:dyDescent="0.25">
      <c r="A42" s="36" t="s">
        <v>52</v>
      </c>
      <c r="B42" s="37" t="s">
        <v>496</v>
      </c>
      <c r="C42" s="38" t="s">
        <v>497</v>
      </c>
      <c r="D42" s="81">
        <v>0</v>
      </c>
      <c r="E42" s="63">
        <v>0</v>
      </c>
      <c r="F42" s="63">
        <v>0</v>
      </c>
      <c r="G42" s="40">
        <v>0</v>
      </c>
    </row>
    <row r="43" spans="1:7" ht="21" x14ac:dyDescent="0.25">
      <c r="A43" s="41" t="s">
        <v>95</v>
      </c>
      <c r="B43" s="42" t="s">
        <v>498</v>
      </c>
      <c r="C43" s="43" t="s">
        <v>499</v>
      </c>
      <c r="D43" s="82">
        <v>0</v>
      </c>
      <c r="E43" s="68">
        <v>0</v>
      </c>
      <c r="F43" s="68">
        <v>0</v>
      </c>
      <c r="G43" s="45">
        <v>0</v>
      </c>
    </row>
    <row r="44" spans="1:7" ht="21" x14ac:dyDescent="0.25">
      <c r="A44" s="41" t="s">
        <v>98</v>
      </c>
      <c r="B44" s="42" t="s">
        <v>500</v>
      </c>
      <c r="C44" s="43" t="s">
        <v>501</v>
      </c>
      <c r="D44" s="82">
        <v>0</v>
      </c>
      <c r="E44" s="68">
        <v>0</v>
      </c>
      <c r="F44" s="68">
        <v>0</v>
      </c>
      <c r="G44" s="45">
        <v>0</v>
      </c>
    </row>
    <row r="45" spans="1:7" ht="21" x14ac:dyDescent="0.25">
      <c r="A45" s="41"/>
      <c r="B45" s="42" t="s">
        <v>490</v>
      </c>
      <c r="C45" s="43" t="s">
        <v>502</v>
      </c>
      <c r="D45" s="82">
        <v>0</v>
      </c>
      <c r="E45" s="68">
        <v>0</v>
      </c>
      <c r="F45" s="68">
        <v>0</v>
      </c>
      <c r="G45" s="45">
        <v>0</v>
      </c>
    </row>
    <row r="46" spans="1:7" ht="21" x14ac:dyDescent="0.25">
      <c r="A46" s="36"/>
      <c r="B46" s="37" t="s">
        <v>503</v>
      </c>
      <c r="C46" s="38" t="s">
        <v>504</v>
      </c>
      <c r="D46" s="81"/>
      <c r="E46" s="63">
        <v>0</v>
      </c>
      <c r="F46" s="63">
        <v>691820736750</v>
      </c>
      <c r="G46" s="40">
        <v>0.99319999999999997</v>
      </c>
    </row>
    <row r="47" spans="1:7" ht="21" x14ac:dyDescent="0.25">
      <c r="A47" s="36" t="s">
        <v>411</v>
      </c>
      <c r="B47" s="37" t="s">
        <v>505</v>
      </c>
      <c r="C47" s="38" t="s">
        <v>506</v>
      </c>
      <c r="D47" s="81">
        <v>0</v>
      </c>
      <c r="E47" s="63">
        <v>0</v>
      </c>
      <c r="F47" s="63">
        <v>0</v>
      </c>
      <c r="G47" s="40">
        <v>0</v>
      </c>
    </row>
    <row r="48" spans="1:7" ht="21" x14ac:dyDescent="0.25">
      <c r="A48" s="41" t="s">
        <v>95</v>
      </c>
      <c r="B48" s="42" t="s">
        <v>507</v>
      </c>
      <c r="C48" s="43" t="s">
        <v>508</v>
      </c>
      <c r="D48" s="82">
        <v>0</v>
      </c>
      <c r="E48" s="68">
        <v>0</v>
      </c>
      <c r="F48" s="68">
        <v>573300000</v>
      </c>
      <c r="G48" s="45">
        <v>8.0000000000000004E-4</v>
      </c>
    </row>
    <row r="49" spans="1:7" ht="21" x14ac:dyDescent="0.25">
      <c r="A49" s="41" t="s">
        <v>98</v>
      </c>
      <c r="B49" s="42" t="s">
        <v>509</v>
      </c>
      <c r="C49" s="43" t="s">
        <v>510</v>
      </c>
      <c r="D49" s="82">
        <v>0</v>
      </c>
      <c r="E49" s="68">
        <v>0</v>
      </c>
      <c r="F49" s="68">
        <v>0</v>
      </c>
      <c r="G49" s="45">
        <v>0</v>
      </c>
    </row>
    <row r="50" spans="1:7" ht="21" x14ac:dyDescent="0.25">
      <c r="A50" s="41" t="s">
        <v>79</v>
      </c>
      <c r="B50" s="42" t="s">
        <v>511</v>
      </c>
      <c r="C50" s="43" t="s">
        <v>512</v>
      </c>
      <c r="D50" s="82">
        <v>0</v>
      </c>
      <c r="E50" s="68">
        <v>0</v>
      </c>
      <c r="F50" s="68">
        <v>0</v>
      </c>
      <c r="G50" s="45">
        <v>0</v>
      </c>
    </row>
    <row r="51" spans="1:7" ht="31.5" x14ac:dyDescent="0.25">
      <c r="A51" s="41" t="s">
        <v>85</v>
      </c>
      <c r="B51" s="42" t="s">
        <v>513</v>
      </c>
      <c r="C51" s="43" t="s">
        <v>514</v>
      </c>
      <c r="D51" s="82">
        <v>0</v>
      </c>
      <c r="E51" s="68">
        <v>0</v>
      </c>
      <c r="F51" s="68">
        <v>877650000</v>
      </c>
      <c r="G51" s="45">
        <v>1.2999999999999999E-3</v>
      </c>
    </row>
    <row r="52" spans="1:7" ht="31.5" x14ac:dyDescent="0.25">
      <c r="A52" s="41" t="s">
        <v>349</v>
      </c>
      <c r="B52" s="42" t="s">
        <v>515</v>
      </c>
      <c r="C52" s="43" t="s">
        <v>516</v>
      </c>
      <c r="D52" s="82">
        <v>0</v>
      </c>
      <c r="E52" s="68">
        <v>0</v>
      </c>
      <c r="F52" s="68">
        <v>0</v>
      </c>
      <c r="G52" s="45">
        <v>0</v>
      </c>
    </row>
    <row r="53" spans="1:7" ht="21" x14ac:dyDescent="0.25">
      <c r="A53" s="41" t="s">
        <v>358</v>
      </c>
      <c r="B53" s="42" t="s">
        <v>517</v>
      </c>
      <c r="C53" s="43" t="s">
        <v>518</v>
      </c>
      <c r="D53" s="82">
        <v>0</v>
      </c>
      <c r="E53" s="68">
        <v>0</v>
      </c>
      <c r="F53" s="68">
        <v>0</v>
      </c>
      <c r="G53" s="45">
        <v>0</v>
      </c>
    </row>
    <row r="54" spans="1:7" ht="21" x14ac:dyDescent="0.25">
      <c r="A54" s="41" t="s">
        <v>371</v>
      </c>
      <c r="B54" s="42" t="s">
        <v>185</v>
      </c>
      <c r="C54" s="43" t="s">
        <v>519</v>
      </c>
      <c r="D54" s="82">
        <v>0</v>
      </c>
      <c r="E54" s="68">
        <v>0</v>
      </c>
      <c r="F54" s="68">
        <v>0</v>
      </c>
      <c r="G54" s="45">
        <v>0</v>
      </c>
    </row>
    <row r="55" spans="1:7" ht="21" x14ac:dyDescent="0.25">
      <c r="A55" s="41" t="s">
        <v>378</v>
      </c>
      <c r="B55" s="42" t="s">
        <v>520</v>
      </c>
      <c r="C55" s="43" t="s">
        <v>521</v>
      </c>
      <c r="D55" s="82">
        <v>0</v>
      </c>
      <c r="E55" s="68">
        <v>0</v>
      </c>
      <c r="F55" s="68">
        <v>0</v>
      </c>
      <c r="G55" s="45">
        <v>0</v>
      </c>
    </row>
    <row r="56" spans="1:7" ht="21" x14ac:dyDescent="0.25">
      <c r="A56" s="41" t="s">
        <v>468</v>
      </c>
      <c r="B56" s="42" t="s">
        <v>522</v>
      </c>
      <c r="C56" s="43" t="s">
        <v>523</v>
      </c>
      <c r="D56" s="82">
        <v>0</v>
      </c>
      <c r="E56" s="68">
        <v>0</v>
      </c>
      <c r="F56" s="68">
        <v>0</v>
      </c>
      <c r="G56" s="45">
        <v>0</v>
      </c>
    </row>
    <row r="57" spans="1:7" ht="21" x14ac:dyDescent="0.25">
      <c r="A57" s="36"/>
      <c r="B57" s="37" t="s">
        <v>490</v>
      </c>
      <c r="C57" s="38" t="s">
        <v>524</v>
      </c>
      <c r="D57" s="81">
        <v>0</v>
      </c>
      <c r="E57" s="63">
        <v>0</v>
      </c>
      <c r="F57" s="63">
        <v>1450950000</v>
      </c>
      <c r="G57" s="40">
        <v>2.0999999999999999E-3</v>
      </c>
    </row>
    <row r="58" spans="1:7" ht="21" x14ac:dyDescent="0.25">
      <c r="A58" s="36" t="s">
        <v>414</v>
      </c>
      <c r="B58" s="37" t="s">
        <v>117</v>
      </c>
      <c r="C58" s="38" t="s">
        <v>525</v>
      </c>
      <c r="D58" s="81">
        <v>0</v>
      </c>
      <c r="E58" s="63">
        <v>0</v>
      </c>
      <c r="F58" s="63">
        <v>0</v>
      </c>
      <c r="G58" s="40">
        <v>0</v>
      </c>
    </row>
    <row r="59" spans="1:7" ht="21" x14ac:dyDescent="0.25">
      <c r="A59" s="41" t="s">
        <v>95</v>
      </c>
      <c r="B59" s="42" t="s">
        <v>526</v>
      </c>
      <c r="C59" s="43" t="s">
        <v>527</v>
      </c>
      <c r="D59" s="82">
        <v>0</v>
      </c>
      <c r="E59" s="68">
        <v>0</v>
      </c>
      <c r="F59" s="68">
        <v>3284906075</v>
      </c>
      <c r="G59" s="45">
        <v>4.7000000000000002E-3</v>
      </c>
    </row>
    <row r="60" spans="1:7" ht="21" x14ac:dyDescent="0.25">
      <c r="A60" s="41"/>
      <c r="B60" s="42" t="s">
        <v>119</v>
      </c>
      <c r="C60" s="43" t="s">
        <v>528</v>
      </c>
      <c r="D60" s="82">
        <v>0</v>
      </c>
      <c r="E60" s="68">
        <v>0</v>
      </c>
      <c r="F60" s="68">
        <v>3284906075</v>
      </c>
      <c r="G60" s="45">
        <v>4.7000000000000002E-3</v>
      </c>
    </row>
    <row r="61" spans="1:7" ht="21" x14ac:dyDescent="0.25">
      <c r="A61" s="41"/>
      <c r="B61" s="42" t="s">
        <v>131</v>
      </c>
      <c r="C61" s="43" t="s">
        <v>529</v>
      </c>
      <c r="D61" s="82">
        <v>0</v>
      </c>
      <c r="E61" s="68">
        <v>0</v>
      </c>
      <c r="F61" s="68">
        <v>0</v>
      </c>
      <c r="G61" s="45">
        <v>0</v>
      </c>
    </row>
    <row r="62" spans="1:7" ht="21" x14ac:dyDescent="0.25">
      <c r="A62" s="41"/>
      <c r="B62" s="42" t="s">
        <v>530</v>
      </c>
      <c r="C62" s="43" t="s">
        <v>531</v>
      </c>
      <c r="D62" s="82">
        <v>0</v>
      </c>
      <c r="E62" s="68">
        <v>0</v>
      </c>
      <c r="F62" s="68">
        <v>0</v>
      </c>
      <c r="G62" s="45">
        <v>0</v>
      </c>
    </row>
    <row r="63" spans="1:7" ht="21" x14ac:dyDescent="0.25">
      <c r="A63" s="41" t="s">
        <v>98</v>
      </c>
      <c r="B63" s="42" t="s">
        <v>532</v>
      </c>
      <c r="C63" s="43" t="s">
        <v>533</v>
      </c>
      <c r="D63" s="82">
        <v>0</v>
      </c>
      <c r="E63" s="68">
        <v>0</v>
      </c>
      <c r="F63" s="68">
        <v>0</v>
      </c>
      <c r="G63" s="45">
        <v>0</v>
      </c>
    </row>
    <row r="64" spans="1:7" ht="21" x14ac:dyDescent="0.25">
      <c r="A64" s="41" t="s">
        <v>79</v>
      </c>
      <c r="B64" s="42" t="s">
        <v>534</v>
      </c>
      <c r="C64" s="43" t="s">
        <v>535</v>
      </c>
      <c r="D64" s="82">
        <v>0</v>
      </c>
      <c r="E64" s="68">
        <v>0</v>
      </c>
      <c r="F64" s="68">
        <v>0</v>
      </c>
      <c r="G64" s="45">
        <v>0</v>
      </c>
    </row>
    <row r="65" spans="1:7" ht="21" x14ac:dyDescent="0.25">
      <c r="A65" s="36"/>
      <c r="B65" s="37" t="s">
        <v>490</v>
      </c>
      <c r="C65" s="38" t="s">
        <v>536</v>
      </c>
      <c r="D65" s="81">
        <v>0</v>
      </c>
      <c r="E65" s="63">
        <v>0</v>
      </c>
      <c r="F65" s="63">
        <v>3284906075</v>
      </c>
      <c r="G65" s="40">
        <v>4.7000000000000002E-3</v>
      </c>
    </row>
    <row r="66" spans="1:7" ht="21" x14ac:dyDescent="0.25">
      <c r="A66" s="51" t="s">
        <v>417</v>
      </c>
      <c r="B66" s="52" t="s">
        <v>537</v>
      </c>
      <c r="C66" s="53" t="s">
        <v>538</v>
      </c>
      <c r="D66" s="54"/>
      <c r="E66" s="83">
        <v>0</v>
      </c>
      <c r="F66" s="83">
        <v>696556592825</v>
      </c>
      <c r="G66" s="55">
        <v>1</v>
      </c>
    </row>
    <row r="67" spans="1:7" ht="15.75" customHeight="1" x14ac:dyDescent="0.25">
      <c r="A67" s="84"/>
    </row>
    <row r="68" spans="1:7" ht="29.25" customHeight="1" x14ac:dyDescent="0.25">
      <c r="A68" s="85"/>
    </row>
    <row r="69" spans="1:7" ht="9.75" customHeight="1" x14ac:dyDescent="0.25">
      <c r="A69" s="32"/>
      <c r="B69" s="32"/>
      <c r="C69" s="32"/>
    </row>
    <row r="70" spans="1:7" ht="54" customHeight="1" x14ac:dyDescent="0.25">
      <c r="A70" s="86" t="s">
        <v>21</v>
      </c>
      <c r="B70" s="87" t="s">
        <v>539</v>
      </c>
      <c r="C70" s="87" t="s">
        <v>540</v>
      </c>
      <c r="D70" s="87" t="s">
        <v>541</v>
      </c>
      <c r="E70" s="87" t="s">
        <v>542</v>
      </c>
      <c r="F70" s="87" t="s">
        <v>543</v>
      </c>
      <c r="G70" s="88" t="s">
        <v>544</v>
      </c>
    </row>
    <row r="71" spans="1:7" ht="8.25" customHeight="1" x14ac:dyDescent="0.25">
      <c r="A71" s="27"/>
      <c r="B71" s="27"/>
      <c r="C71" s="27"/>
      <c r="D71" s="27"/>
    </row>
    <row r="72" spans="1:7" ht="12.75" customHeight="1" x14ac:dyDescent="0.25">
      <c r="A72" s="56"/>
      <c r="B72" s="56"/>
    </row>
    <row r="73" spans="1:7" ht="15.75" customHeight="1" x14ac:dyDescent="0.25">
      <c r="A73" s="58"/>
      <c r="B73" s="58"/>
    </row>
    <row r="74" spans="1:7" ht="15.75" customHeight="1" x14ac:dyDescent="0.25">
      <c r="A74" s="27"/>
      <c r="B74" s="27"/>
      <c r="C74" s="27"/>
      <c r="D74" s="27"/>
    </row>
    <row r="75" spans="1:7" ht="32.25" customHeight="1" x14ac:dyDescent="0.25">
      <c r="A75" s="27"/>
      <c r="B75" s="27"/>
      <c r="C75" s="27"/>
      <c r="D75" s="27"/>
    </row>
    <row r="76" spans="1:7" ht="15.75" customHeight="1" x14ac:dyDescent="0.25">
      <c r="A76" s="27"/>
      <c r="B76" s="27"/>
      <c r="C76" s="27"/>
      <c r="D76" s="27"/>
    </row>
    <row r="77" spans="1:7" ht="12.75" customHeight="1" x14ac:dyDescent="0.25">
      <c r="A77" s="28"/>
      <c r="B77" s="28"/>
    </row>
    <row r="78" spans="1:7" ht="12.75" customHeight="1" x14ac:dyDescent="0.25">
      <c r="A78" s="28"/>
      <c r="B78" s="28"/>
    </row>
    <row r="79" spans="1:7" ht="12.75" customHeight="1" x14ac:dyDescent="0.25">
      <c r="A79" s="28"/>
      <c r="B79" s="28"/>
    </row>
  </sheetData>
  <mergeCells count="21">
    <mergeCell ref="C11:G11"/>
    <mergeCell ref="A1:B1"/>
    <mergeCell ref="C1:G1"/>
    <mergeCell ref="A2:G2"/>
    <mergeCell ref="C3:G3"/>
    <mergeCell ref="A4:G4"/>
    <mergeCell ref="A5:G5"/>
    <mergeCell ref="A6:G6"/>
    <mergeCell ref="C7:G7"/>
    <mergeCell ref="C8:G8"/>
    <mergeCell ref="C9:G9"/>
    <mergeCell ref="C10:G10"/>
    <mergeCell ref="A18:G18"/>
    <mergeCell ref="C19:G19"/>
    <mergeCell ref="C15:E15"/>
    <mergeCell ref="F15:G15"/>
    <mergeCell ref="C12:G12"/>
    <mergeCell ref="C13:G13"/>
    <mergeCell ref="C14:G14"/>
    <mergeCell ref="C16:G16"/>
    <mergeCell ref="A17:G17"/>
  </mergeCells>
  <printOptions horizontalCentered="1"/>
  <pageMargins left="0" right="0" top="0.59055118110236227" bottom="0.59055118110236227" header="0.51181102362204722" footer="0.51181102362204722"/>
  <pageSetup paperSize="9" scale="90" fitToHeight="2" orientation="portrait" r:id="rId1"/>
  <rowBreaks count="1" manualBreakCount="1">
    <brk id="6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J60"/>
  <sheetViews>
    <sheetView showGridLines="0" showZeros="0" showOutlineSymbols="0" view="pageBreakPreview" topLeftCell="A16" zoomScaleNormal="100" zoomScaleSheetLayoutView="100" workbookViewId="0">
      <selection activeCell="E26" sqref="E26"/>
    </sheetView>
  </sheetViews>
  <sheetFormatPr defaultRowHeight="12.75" x14ac:dyDescent="0.25"/>
  <cols>
    <col min="1" max="1" width="6.28515625" style="26" customWidth="1"/>
    <col min="2" max="2" width="50" style="26" customWidth="1"/>
    <col min="3" max="3" width="11.42578125" style="26" customWidth="1"/>
    <col min="4" max="5" width="19.85546875" style="26" customWidth="1"/>
    <col min="6" max="256" width="9.140625" style="26"/>
    <col min="257" max="257" width="6.28515625" style="26" customWidth="1"/>
    <col min="258" max="258" width="50" style="26" customWidth="1"/>
    <col min="259" max="259" width="11.42578125" style="26" customWidth="1"/>
    <col min="260" max="261" width="19.85546875" style="26" customWidth="1"/>
    <col min="262" max="512" width="9.140625" style="26"/>
    <col min="513" max="513" width="6.28515625" style="26" customWidth="1"/>
    <col min="514" max="514" width="50" style="26" customWidth="1"/>
    <col min="515" max="515" width="11.42578125" style="26" customWidth="1"/>
    <col min="516" max="517" width="19.85546875" style="26" customWidth="1"/>
    <col min="518" max="768" width="9.140625" style="26"/>
    <col min="769" max="769" width="6.28515625" style="26" customWidth="1"/>
    <col min="770" max="770" width="50" style="26" customWidth="1"/>
    <col min="771" max="771" width="11.42578125" style="26" customWidth="1"/>
    <col min="772" max="773" width="19.85546875" style="26" customWidth="1"/>
    <col min="774" max="1024" width="9.140625" style="26"/>
    <col min="1025" max="1025" width="6.28515625" style="26" customWidth="1"/>
    <col min="1026" max="1026" width="50" style="26" customWidth="1"/>
    <col min="1027" max="1027" width="11.42578125" style="26" customWidth="1"/>
    <col min="1028" max="1029" width="19.85546875" style="26" customWidth="1"/>
    <col min="1030" max="1280" width="9.140625" style="26"/>
    <col min="1281" max="1281" width="6.28515625" style="26" customWidth="1"/>
    <col min="1282" max="1282" width="50" style="26" customWidth="1"/>
    <col min="1283" max="1283" width="11.42578125" style="26" customWidth="1"/>
    <col min="1284" max="1285" width="19.85546875" style="26" customWidth="1"/>
    <col min="1286" max="1536" width="9.140625" style="26"/>
    <col min="1537" max="1537" width="6.28515625" style="26" customWidth="1"/>
    <col min="1538" max="1538" width="50" style="26" customWidth="1"/>
    <col min="1539" max="1539" width="11.42578125" style="26" customWidth="1"/>
    <col min="1540" max="1541" width="19.85546875" style="26" customWidth="1"/>
    <col min="1542" max="1792" width="9.140625" style="26"/>
    <col min="1793" max="1793" width="6.28515625" style="26" customWidth="1"/>
    <col min="1794" max="1794" width="50" style="26" customWidth="1"/>
    <col min="1795" max="1795" width="11.42578125" style="26" customWidth="1"/>
    <col min="1796" max="1797" width="19.85546875" style="26" customWidth="1"/>
    <col min="1798" max="2048" width="9.140625" style="26"/>
    <col min="2049" max="2049" width="6.28515625" style="26" customWidth="1"/>
    <col min="2050" max="2050" width="50" style="26" customWidth="1"/>
    <col min="2051" max="2051" width="11.42578125" style="26" customWidth="1"/>
    <col min="2052" max="2053" width="19.85546875" style="26" customWidth="1"/>
    <col min="2054" max="2304" width="9.140625" style="26"/>
    <col min="2305" max="2305" width="6.28515625" style="26" customWidth="1"/>
    <col min="2306" max="2306" width="50" style="26" customWidth="1"/>
    <col min="2307" max="2307" width="11.42578125" style="26" customWidth="1"/>
    <col min="2308" max="2309" width="19.85546875" style="26" customWidth="1"/>
    <col min="2310" max="2560" width="9.140625" style="26"/>
    <col min="2561" max="2561" width="6.28515625" style="26" customWidth="1"/>
    <col min="2562" max="2562" width="50" style="26" customWidth="1"/>
    <col min="2563" max="2563" width="11.42578125" style="26" customWidth="1"/>
    <col min="2564" max="2565" width="19.85546875" style="26" customWidth="1"/>
    <col min="2566" max="2816" width="9.140625" style="26"/>
    <col min="2817" max="2817" width="6.28515625" style="26" customWidth="1"/>
    <col min="2818" max="2818" width="50" style="26" customWidth="1"/>
    <col min="2819" max="2819" width="11.42578125" style="26" customWidth="1"/>
    <col min="2820" max="2821" width="19.85546875" style="26" customWidth="1"/>
    <col min="2822" max="3072" width="9.140625" style="26"/>
    <col min="3073" max="3073" width="6.28515625" style="26" customWidth="1"/>
    <col min="3074" max="3074" width="50" style="26" customWidth="1"/>
    <col min="3075" max="3075" width="11.42578125" style="26" customWidth="1"/>
    <col min="3076" max="3077" width="19.85546875" style="26" customWidth="1"/>
    <col min="3078" max="3328" width="9.140625" style="26"/>
    <col min="3329" max="3329" width="6.28515625" style="26" customWidth="1"/>
    <col min="3330" max="3330" width="50" style="26" customWidth="1"/>
    <col min="3331" max="3331" width="11.42578125" style="26" customWidth="1"/>
    <col min="3332" max="3333" width="19.85546875" style="26" customWidth="1"/>
    <col min="3334" max="3584" width="9.140625" style="26"/>
    <col min="3585" max="3585" width="6.28515625" style="26" customWidth="1"/>
    <col min="3586" max="3586" width="50" style="26" customWidth="1"/>
    <col min="3587" max="3587" width="11.42578125" style="26" customWidth="1"/>
    <col min="3588" max="3589" width="19.85546875" style="26" customWidth="1"/>
    <col min="3590" max="3840" width="9.140625" style="26"/>
    <col min="3841" max="3841" width="6.28515625" style="26" customWidth="1"/>
    <col min="3842" max="3842" width="50" style="26" customWidth="1"/>
    <col min="3843" max="3843" width="11.42578125" style="26" customWidth="1"/>
    <col min="3844" max="3845" width="19.85546875" style="26" customWidth="1"/>
    <col min="3846" max="4096" width="9.140625" style="26"/>
    <col min="4097" max="4097" width="6.28515625" style="26" customWidth="1"/>
    <col min="4098" max="4098" width="50" style="26" customWidth="1"/>
    <col min="4099" max="4099" width="11.42578125" style="26" customWidth="1"/>
    <col min="4100" max="4101" width="19.85546875" style="26" customWidth="1"/>
    <col min="4102" max="4352" width="9.140625" style="26"/>
    <col min="4353" max="4353" width="6.28515625" style="26" customWidth="1"/>
    <col min="4354" max="4354" width="50" style="26" customWidth="1"/>
    <col min="4355" max="4355" width="11.42578125" style="26" customWidth="1"/>
    <col min="4356" max="4357" width="19.85546875" style="26" customWidth="1"/>
    <col min="4358" max="4608" width="9.140625" style="26"/>
    <col min="4609" max="4609" width="6.28515625" style="26" customWidth="1"/>
    <col min="4610" max="4610" width="50" style="26" customWidth="1"/>
    <col min="4611" max="4611" width="11.42578125" style="26" customWidth="1"/>
    <col min="4612" max="4613" width="19.85546875" style="26" customWidth="1"/>
    <col min="4614" max="4864" width="9.140625" style="26"/>
    <col min="4865" max="4865" width="6.28515625" style="26" customWidth="1"/>
    <col min="4866" max="4866" width="50" style="26" customWidth="1"/>
    <col min="4867" max="4867" width="11.42578125" style="26" customWidth="1"/>
    <col min="4868" max="4869" width="19.85546875" style="26" customWidth="1"/>
    <col min="4870" max="5120" width="9.140625" style="26"/>
    <col min="5121" max="5121" width="6.28515625" style="26" customWidth="1"/>
    <col min="5122" max="5122" width="50" style="26" customWidth="1"/>
    <col min="5123" max="5123" width="11.42578125" style="26" customWidth="1"/>
    <col min="5124" max="5125" width="19.85546875" style="26" customWidth="1"/>
    <col min="5126" max="5376" width="9.140625" style="26"/>
    <col min="5377" max="5377" width="6.28515625" style="26" customWidth="1"/>
    <col min="5378" max="5378" width="50" style="26" customWidth="1"/>
    <col min="5379" max="5379" width="11.42578125" style="26" customWidth="1"/>
    <col min="5380" max="5381" width="19.85546875" style="26" customWidth="1"/>
    <col min="5382" max="5632" width="9.140625" style="26"/>
    <col min="5633" max="5633" width="6.28515625" style="26" customWidth="1"/>
    <col min="5634" max="5634" width="50" style="26" customWidth="1"/>
    <col min="5635" max="5635" width="11.42578125" style="26" customWidth="1"/>
    <col min="5636" max="5637" width="19.85546875" style="26" customWidth="1"/>
    <col min="5638" max="5888" width="9.140625" style="26"/>
    <col min="5889" max="5889" width="6.28515625" style="26" customWidth="1"/>
    <col min="5890" max="5890" width="50" style="26" customWidth="1"/>
    <col min="5891" max="5891" width="11.42578125" style="26" customWidth="1"/>
    <col min="5892" max="5893" width="19.85546875" style="26" customWidth="1"/>
    <col min="5894" max="6144" width="9.140625" style="26"/>
    <col min="6145" max="6145" width="6.28515625" style="26" customWidth="1"/>
    <col min="6146" max="6146" width="50" style="26" customWidth="1"/>
    <col min="6147" max="6147" width="11.42578125" style="26" customWidth="1"/>
    <col min="6148" max="6149" width="19.85546875" style="26" customWidth="1"/>
    <col min="6150" max="6400" width="9.140625" style="26"/>
    <col min="6401" max="6401" width="6.28515625" style="26" customWidth="1"/>
    <col min="6402" max="6402" width="50" style="26" customWidth="1"/>
    <col min="6403" max="6403" width="11.42578125" style="26" customWidth="1"/>
    <col min="6404" max="6405" width="19.85546875" style="26" customWidth="1"/>
    <col min="6406" max="6656" width="9.140625" style="26"/>
    <col min="6657" max="6657" width="6.28515625" style="26" customWidth="1"/>
    <col min="6658" max="6658" width="50" style="26" customWidth="1"/>
    <col min="6659" max="6659" width="11.42578125" style="26" customWidth="1"/>
    <col min="6660" max="6661" width="19.85546875" style="26" customWidth="1"/>
    <col min="6662" max="6912" width="9.140625" style="26"/>
    <col min="6913" max="6913" width="6.28515625" style="26" customWidth="1"/>
    <col min="6914" max="6914" width="50" style="26" customWidth="1"/>
    <col min="6915" max="6915" width="11.42578125" style="26" customWidth="1"/>
    <col min="6916" max="6917" width="19.85546875" style="26" customWidth="1"/>
    <col min="6918" max="7168" width="9.140625" style="26"/>
    <col min="7169" max="7169" width="6.28515625" style="26" customWidth="1"/>
    <col min="7170" max="7170" width="50" style="26" customWidth="1"/>
    <col min="7171" max="7171" width="11.42578125" style="26" customWidth="1"/>
    <col min="7172" max="7173" width="19.85546875" style="26" customWidth="1"/>
    <col min="7174" max="7424" width="9.140625" style="26"/>
    <col min="7425" max="7425" width="6.28515625" style="26" customWidth="1"/>
    <col min="7426" max="7426" width="50" style="26" customWidth="1"/>
    <col min="7427" max="7427" width="11.42578125" style="26" customWidth="1"/>
    <col min="7428" max="7429" width="19.85546875" style="26" customWidth="1"/>
    <col min="7430" max="7680" width="9.140625" style="26"/>
    <col min="7681" max="7681" width="6.28515625" style="26" customWidth="1"/>
    <col min="7682" max="7682" width="50" style="26" customWidth="1"/>
    <col min="7683" max="7683" width="11.42578125" style="26" customWidth="1"/>
    <col min="7684" max="7685" width="19.85546875" style="26" customWidth="1"/>
    <col min="7686" max="7936" width="9.140625" style="26"/>
    <col min="7937" max="7937" width="6.28515625" style="26" customWidth="1"/>
    <col min="7938" max="7938" width="50" style="26" customWidth="1"/>
    <col min="7939" max="7939" width="11.42578125" style="26" customWidth="1"/>
    <col min="7940" max="7941" width="19.85546875" style="26" customWidth="1"/>
    <col min="7942" max="8192" width="9.140625" style="26"/>
    <col min="8193" max="8193" width="6.28515625" style="26" customWidth="1"/>
    <col min="8194" max="8194" width="50" style="26" customWidth="1"/>
    <col min="8195" max="8195" width="11.42578125" style="26" customWidth="1"/>
    <col min="8196" max="8197" width="19.85546875" style="26" customWidth="1"/>
    <col min="8198" max="8448" width="9.140625" style="26"/>
    <col min="8449" max="8449" width="6.28515625" style="26" customWidth="1"/>
    <col min="8450" max="8450" width="50" style="26" customWidth="1"/>
    <col min="8451" max="8451" width="11.42578125" style="26" customWidth="1"/>
    <col min="8452" max="8453" width="19.85546875" style="26" customWidth="1"/>
    <col min="8454" max="8704" width="9.140625" style="26"/>
    <col min="8705" max="8705" width="6.28515625" style="26" customWidth="1"/>
    <col min="8706" max="8706" width="50" style="26" customWidth="1"/>
    <col min="8707" max="8707" width="11.42578125" style="26" customWidth="1"/>
    <col min="8708" max="8709" width="19.85546875" style="26" customWidth="1"/>
    <col min="8710" max="8960" width="9.140625" style="26"/>
    <col min="8961" max="8961" width="6.28515625" style="26" customWidth="1"/>
    <col min="8962" max="8962" width="50" style="26" customWidth="1"/>
    <col min="8963" max="8963" width="11.42578125" style="26" customWidth="1"/>
    <col min="8964" max="8965" width="19.85546875" style="26" customWidth="1"/>
    <col min="8966" max="9216" width="9.140625" style="26"/>
    <col min="9217" max="9217" width="6.28515625" style="26" customWidth="1"/>
    <col min="9218" max="9218" width="50" style="26" customWidth="1"/>
    <col min="9219" max="9219" width="11.42578125" style="26" customWidth="1"/>
    <col min="9220" max="9221" width="19.85546875" style="26" customWidth="1"/>
    <col min="9222" max="9472" width="9.140625" style="26"/>
    <col min="9473" max="9473" width="6.28515625" style="26" customWidth="1"/>
    <col min="9474" max="9474" width="50" style="26" customWidth="1"/>
    <col min="9475" max="9475" width="11.42578125" style="26" customWidth="1"/>
    <col min="9476" max="9477" width="19.85546875" style="26" customWidth="1"/>
    <col min="9478" max="9728" width="9.140625" style="26"/>
    <col min="9729" max="9729" width="6.28515625" style="26" customWidth="1"/>
    <col min="9730" max="9730" width="50" style="26" customWidth="1"/>
    <col min="9731" max="9731" width="11.42578125" style="26" customWidth="1"/>
    <col min="9732" max="9733" width="19.85546875" style="26" customWidth="1"/>
    <col min="9734" max="9984" width="9.140625" style="26"/>
    <col min="9985" max="9985" width="6.28515625" style="26" customWidth="1"/>
    <col min="9986" max="9986" width="50" style="26" customWidth="1"/>
    <col min="9987" max="9987" width="11.42578125" style="26" customWidth="1"/>
    <col min="9988" max="9989" width="19.85546875" style="26" customWidth="1"/>
    <col min="9990" max="10240" width="9.140625" style="26"/>
    <col min="10241" max="10241" width="6.28515625" style="26" customWidth="1"/>
    <col min="10242" max="10242" width="50" style="26" customWidth="1"/>
    <col min="10243" max="10243" width="11.42578125" style="26" customWidth="1"/>
    <col min="10244" max="10245" width="19.85546875" style="26" customWidth="1"/>
    <col min="10246" max="10496" width="9.140625" style="26"/>
    <col min="10497" max="10497" width="6.28515625" style="26" customWidth="1"/>
    <col min="10498" max="10498" width="50" style="26" customWidth="1"/>
    <col min="10499" max="10499" width="11.42578125" style="26" customWidth="1"/>
    <col min="10500" max="10501" width="19.85546875" style="26" customWidth="1"/>
    <col min="10502" max="10752" width="9.140625" style="26"/>
    <col min="10753" max="10753" width="6.28515625" style="26" customWidth="1"/>
    <col min="10754" max="10754" width="50" style="26" customWidth="1"/>
    <col min="10755" max="10755" width="11.42578125" style="26" customWidth="1"/>
    <col min="10756" max="10757" width="19.85546875" style="26" customWidth="1"/>
    <col min="10758" max="11008" width="9.140625" style="26"/>
    <col min="11009" max="11009" width="6.28515625" style="26" customWidth="1"/>
    <col min="11010" max="11010" width="50" style="26" customWidth="1"/>
    <col min="11011" max="11011" width="11.42578125" style="26" customWidth="1"/>
    <col min="11012" max="11013" width="19.85546875" style="26" customWidth="1"/>
    <col min="11014" max="11264" width="9.140625" style="26"/>
    <col min="11265" max="11265" width="6.28515625" style="26" customWidth="1"/>
    <col min="11266" max="11266" width="50" style="26" customWidth="1"/>
    <col min="11267" max="11267" width="11.42578125" style="26" customWidth="1"/>
    <col min="11268" max="11269" width="19.85546875" style="26" customWidth="1"/>
    <col min="11270" max="11520" width="9.140625" style="26"/>
    <col min="11521" max="11521" width="6.28515625" style="26" customWidth="1"/>
    <col min="11522" max="11522" width="50" style="26" customWidth="1"/>
    <col min="11523" max="11523" width="11.42578125" style="26" customWidth="1"/>
    <col min="11524" max="11525" width="19.85546875" style="26" customWidth="1"/>
    <col min="11526" max="11776" width="9.140625" style="26"/>
    <col min="11777" max="11777" width="6.28515625" style="26" customWidth="1"/>
    <col min="11778" max="11778" width="50" style="26" customWidth="1"/>
    <col min="11779" max="11779" width="11.42578125" style="26" customWidth="1"/>
    <col min="11780" max="11781" width="19.85546875" style="26" customWidth="1"/>
    <col min="11782" max="12032" width="9.140625" style="26"/>
    <col min="12033" max="12033" width="6.28515625" style="26" customWidth="1"/>
    <col min="12034" max="12034" width="50" style="26" customWidth="1"/>
    <col min="12035" max="12035" width="11.42578125" style="26" customWidth="1"/>
    <col min="12036" max="12037" width="19.85546875" style="26" customWidth="1"/>
    <col min="12038" max="12288" width="9.140625" style="26"/>
    <col min="12289" max="12289" width="6.28515625" style="26" customWidth="1"/>
    <col min="12290" max="12290" width="50" style="26" customWidth="1"/>
    <col min="12291" max="12291" width="11.42578125" style="26" customWidth="1"/>
    <col min="12292" max="12293" width="19.85546875" style="26" customWidth="1"/>
    <col min="12294" max="12544" width="9.140625" style="26"/>
    <col min="12545" max="12545" width="6.28515625" style="26" customWidth="1"/>
    <col min="12546" max="12546" width="50" style="26" customWidth="1"/>
    <col min="12547" max="12547" width="11.42578125" style="26" customWidth="1"/>
    <col min="12548" max="12549" width="19.85546875" style="26" customWidth="1"/>
    <col min="12550" max="12800" width="9.140625" style="26"/>
    <col min="12801" max="12801" width="6.28515625" style="26" customWidth="1"/>
    <col min="12802" max="12802" width="50" style="26" customWidth="1"/>
    <col min="12803" max="12803" width="11.42578125" style="26" customWidth="1"/>
    <col min="12804" max="12805" width="19.85546875" style="26" customWidth="1"/>
    <col min="12806" max="13056" width="9.140625" style="26"/>
    <col min="13057" max="13057" width="6.28515625" style="26" customWidth="1"/>
    <col min="13058" max="13058" width="50" style="26" customWidth="1"/>
    <col min="13059" max="13059" width="11.42578125" style="26" customWidth="1"/>
    <col min="13060" max="13061" width="19.85546875" style="26" customWidth="1"/>
    <col min="13062" max="13312" width="9.140625" style="26"/>
    <col min="13313" max="13313" width="6.28515625" style="26" customWidth="1"/>
    <col min="13314" max="13314" width="50" style="26" customWidth="1"/>
    <col min="13315" max="13315" width="11.42578125" style="26" customWidth="1"/>
    <col min="13316" max="13317" width="19.85546875" style="26" customWidth="1"/>
    <col min="13318" max="13568" width="9.140625" style="26"/>
    <col min="13569" max="13569" width="6.28515625" style="26" customWidth="1"/>
    <col min="13570" max="13570" width="50" style="26" customWidth="1"/>
    <col min="13571" max="13571" width="11.42578125" style="26" customWidth="1"/>
    <col min="13572" max="13573" width="19.85546875" style="26" customWidth="1"/>
    <col min="13574" max="13824" width="9.140625" style="26"/>
    <col min="13825" max="13825" width="6.28515625" style="26" customWidth="1"/>
    <col min="13826" max="13826" width="50" style="26" customWidth="1"/>
    <col min="13827" max="13827" width="11.42578125" style="26" customWidth="1"/>
    <col min="13828" max="13829" width="19.85546875" style="26" customWidth="1"/>
    <col min="13830" max="14080" width="9.140625" style="26"/>
    <col min="14081" max="14081" width="6.28515625" style="26" customWidth="1"/>
    <col min="14082" max="14082" width="50" style="26" customWidth="1"/>
    <col min="14083" max="14083" width="11.42578125" style="26" customWidth="1"/>
    <col min="14084" max="14085" width="19.85546875" style="26" customWidth="1"/>
    <col min="14086" max="14336" width="9.140625" style="26"/>
    <col min="14337" max="14337" width="6.28515625" style="26" customWidth="1"/>
    <col min="14338" max="14338" width="50" style="26" customWidth="1"/>
    <col min="14339" max="14339" width="11.42578125" style="26" customWidth="1"/>
    <col min="14340" max="14341" width="19.85546875" style="26" customWidth="1"/>
    <col min="14342" max="14592" width="9.140625" style="26"/>
    <col min="14593" max="14593" width="6.28515625" style="26" customWidth="1"/>
    <col min="14594" max="14594" width="50" style="26" customWidth="1"/>
    <col min="14595" max="14595" width="11.42578125" style="26" customWidth="1"/>
    <col min="14596" max="14597" width="19.85546875" style="26" customWidth="1"/>
    <col min="14598" max="14848" width="9.140625" style="26"/>
    <col min="14849" max="14849" width="6.28515625" style="26" customWidth="1"/>
    <col min="14850" max="14850" width="50" style="26" customWidth="1"/>
    <col min="14851" max="14851" width="11.42578125" style="26" customWidth="1"/>
    <col min="14852" max="14853" width="19.85546875" style="26" customWidth="1"/>
    <col min="14854" max="15104" width="9.140625" style="26"/>
    <col min="15105" max="15105" width="6.28515625" style="26" customWidth="1"/>
    <col min="15106" max="15106" width="50" style="26" customWidth="1"/>
    <col min="15107" max="15107" width="11.42578125" style="26" customWidth="1"/>
    <col min="15108" max="15109" width="19.85546875" style="26" customWidth="1"/>
    <col min="15110" max="15360" width="9.140625" style="26"/>
    <col min="15361" max="15361" width="6.28515625" style="26" customWidth="1"/>
    <col min="15362" max="15362" width="50" style="26" customWidth="1"/>
    <col min="15363" max="15363" width="11.42578125" style="26" customWidth="1"/>
    <col min="15364" max="15365" width="19.85546875" style="26" customWidth="1"/>
    <col min="15366" max="15616" width="9.140625" style="26"/>
    <col min="15617" max="15617" width="6.28515625" style="26" customWidth="1"/>
    <col min="15618" max="15618" width="50" style="26" customWidth="1"/>
    <col min="15619" max="15619" width="11.42578125" style="26" customWidth="1"/>
    <col min="15620" max="15621" width="19.85546875" style="26" customWidth="1"/>
    <col min="15622" max="15872" width="9.140625" style="26"/>
    <col min="15873" max="15873" width="6.28515625" style="26" customWidth="1"/>
    <col min="15874" max="15874" width="50" style="26" customWidth="1"/>
    <col min="15875" max="15875" width="11.42578125" style="26" customWidth="1"/>
    <col min="15876" max="15877" width="19.85546875" style="26" customWidth="1"/>
    <col min="15878" max="16128" width="9.140625" style="26"/>
    <col min="16129" max="16129" width="6.28515625" style="26" customWidth="1"/>
    <col min="16130" max="16130" width="50" style="26" customWidth="1"/>
    <col min="16131" max="16131" width="11.42578125" style="26" customWidth="1"/>
    <col min="16132" max="16133" width="19.85546875" style="26" customWidth="1"/>
    <col min="16134" max="16384" width="9.140625" style="26"/>
  </cols>
  <sheetData>
    <row r="1" spans="1:5" ht="26.25" customHeight="1" x14ac:dyDescent="0.25">
      <c r="A1" s="278"/>
      <c r="B1" s="278"/>
      <c r="C1" s="266" t="s">
        <v>545</v>
      </c>
      <c r="D1" s="266"/>
      <c r="E1" s="266"/>
    </row>
    <row r="2" spans="1:5" ht="57" customHeight="1" x14ac:dyDescent="0.25">
      <c r="A2" s="279" t="s">
        <v>295</v>
      </c>
      <c r="B2" s="279"/>
      <c r="C2" s="279"/>
      <c r="D2" s="279"/>
      <c r="E2" s="279"/>
    </row>
    <row r="3" spans="1:5" ht="29.25" customHeight="1" x14ac:dyDescent="0.2">
      <c r="A3" s="27"/>
      <c r="B3" s="268" t="s">
        <v>546</v>
      </c>
      <c r="C3" s="268"/>
      <c r="D3" s="268"/>
      <c r="E3" s="268"/>
    </row>
    <row r="4" spans="1:5" ht="16.5" customHeight="1" x14ac:dyDescent="0.25">
      <c r="A4" s="27"/>
      <c r="B4" s="257" t="s">
        <v>1080</v>
      </c>
      <c r="C4" s="257"/>
      <c r="D4" s="257"/>
      <c r="E4" s="257"/>
    </row>
    <row r="5" spans="1:5" ht="12" customHeight="1" x14ac:dyDescent="0.25">
      <c r="A5" s="56" t="s">
        <v>95</v>
      </c>
      <c r="B5" s="57" t="s">
        <v>96</v>
      </c>
      <c r="C5" s="273" t="s">
        <v>97</v>
      </c>
      <c r="D5" s="273"/>
      <c r="E5" s="273"/>
    </row>
    <row r="6" spans="1:5" ht="12" customHeight="1" x14ac:dyDescent="0.25">
      <c r="A6" s="27"/>
      <c r="B6" s="59" t="s">
        <v>4</v>
      </c>
      <c r="C6" s="272" t="s">
        <v>5</v>
      </c>
      <c r="D6" s="272"/>
      <c r="E6" s="272"/>
    </row>
    <row r="7" spans="1:5" ht="12" customHeight="1" x14ac:dyDescent="0.25">
      <c r="A7" s="56" t="s">
        <v>98</v>
      </c>
      <c r="B7" s="57" t="s">
        <v>99</v>
      </c>
      <c r="C7" s="273" t="s">
        <v>100</v>
      </c>
      <c r="D7" s="273"/>
      <c r="E7" s="273"/>
    </row>
    <row r="8" spans="1:5" ht="12" customHeight="1" x14ac:dyDescent="0.25">
      <c r="A8" s="27"/>
      <c r="B8" s="59" t="s">
        <v>8</v>
      </c>
      <c r="C8" s="272" t="s">
        <v>101</v>
      </c>
      <c r="D8" s="272"/>
      <c r="E8" s="272"/>
    </row>
    <row r="9" spans="1:5" ht="12" customHeight="1" x14ac:dyDescent="0.25">
      <c r="A9" s="56" t="s">
        <v>79</v>
      </c>
      <c r="B9" s="57" t="s">
        <v>10</v>
      </c>
      <c r="C9" s="273" t="s">
        <v>102</v>
      </c>
      <c r="D9" s="273"/>
      <c r="E9" s="273"/>
    </row>
    <row r="10" spans="1:5" ht="12" customHeight="1" x14ac:dyDescent="0.25">
      <c r="A10" s="27"/>
      <c r="B10" s="59" t="s">
        <v>12</v>
      </c>
      <c r="C10" s="272" t="s">
        <v>103</v>
      </c>
      <c r="D10" s="272"/>
      <c r="E10" s="272"/>
    </row>
    <row r="11" spans="1:5" ht="12" customHeight="1" x14ac:dyDescent="0.25">
      <c r="A11" s="56" t="s">
        <v>85</v>
      </c>
      <c r="B11" s="57" t="s">
        <v>14</v>
      </c>
      <c r="C11" s="274">
        <v>43983</v>
      </c>
      <c r="D11" s="273"/>
      <c r="E11" s="273"/>
    </row>
    <row r="12" spans="1:5" ht="12" customHeight="1" x14ac:dyDescent="0.25">
      <c r="A12" s="27"/>
      <c r="B12" s="59" t="s">
        <v>15</v>
      </c>
      <c r="C12" s="259">
        <v>43983</v>
      </c>
      <c r="D12" s="259"/>
      <c r="E12" s="259"/>
    </row>
    <row r="13" spans="1:5" ht="14.25" customHeight="1" x14ac:dyDescent="0.25">
      <c r="A13" s="27"/>
      <c r="B13" s="59"/>
      <c r="C13" s="275"/>
      <c r="D13" s="275"/>
      <c r="E13" s="275"/>
    </row>
    <row r="14" spans="1:5" ht="14.25" customHeight="1" x14ac:dyDescent="0.25">
      <c r="A14" s="273" t="s">
        <v>104</v>
      </c>
      <c r="B14" s="273"/>
      <c r="C14" s="273"/>
      <c r="D14" s="273"/>
      <c r="E14" s="273"/>
    </row>
    <row r="15" spans="1:5" ht="15.75" customHeight="1" x14ac:dyDescent="0.25">
      <c r="A15" s="273" t="s">
        <v>547</v>
      </c>
      <c r="B15" s="273"/>
      <c r="C15" s="273"/>
      <c r="D15" s="273"/>
      <c r="E15" s="273"/>
    </row>
    <row r="16" spans="1:5" ht="15.75" customHeight="1" x14ac:dyDescent="0.25">
      <c r="A16" s="276" t="s">
        <v>106</v>
      </c>
      <c r="B16" s="276"/>
      <c r="C16" s="276"/>
      <c r="D16" s="276"/>
      <c r="E16" s="276"/>
    </row>
    <row r="17" spans="1:10" ht="48" customHeight="1" x14ac:dyDescent="0.25">
      <c r="A17" s="33" t="s">
        <v>548</v>
      </c>
      <c r="B17" s="34" t="s">
        <v>108</v>
      </c>
      <c r="C17" s="34" t="s">
        <v>109</v>
      </c>
      <c r="D17" s="34" t="s">
        <v>1081</v>
      </c>
      <c r="E17" s="35" t="s">
        <v>1082</v>
      </c>
    </row>
    <row r="18" spans="1:10" ht="21" x14ac:dyDescent="0.25">
      <c r="A18" s="36" t="s">
        <v>69</v>
      </c>
      <c r="B18" s="37" t="s">
        <v>549</v>
      </c>
      <c r="C18" s="38" t="s">
        <v>550</v>
      </c>
      <c r="D18" s="39">
        <v>0</v>
      </c>
      <c r="E18" s="89">
        <v>0</v>
      </c>
    </row>
    <row r="19" spans="1:10" ht="15" customHeight="1" x14ac:dyDescent="0.25">
      <c r="A19" s="41"/>
      <c r="B19" s="42" t="s">
        <v>551</v>
      </c>
      <c r="C19" s="43" t="s">
        <v>552</v>
      </c>
      <c r="D19" s="44">
        <v>366530091601.52002</v>
      </c>
      <c r="E19" s="90">
        <v>110898857750.33</v>
      </c>
      <c r="I19" s="215"/>
      <c r="J19" s="215"/>
    </row>
    <row r="20" spans="1:10" ht="31.5" x14ac:dyDescent="0.25">
      <c r="A20" s="41" t="s">
        <v>95</v>
      </c>
      <c r="B20" s="42" t="s">
        <v>553</v>
      </c>
      <c r="C20" s="43" t="s">
        <v>554</v>
      </c>
      <c r="D20" s="91">
        <v>8.1359999999999991E-3</v>
      </c>
      <c r="E20" s="45">
        <v>2.3640000000000002E-3</v>
      </c>
      <c r="I20" s="215"/>
      <c r="J20" s="215"/>
    </row>
    <row r="21" spans="1:10" ht="31.5" x14ac:dyDescent="0.25">
      <c r="A21" s="41" t="s">
        <v>98</v>
      </c>
      <c r="B21" s="42" t="s">
        <v>555</v>
      </c>
      <c r="C21" s="43" t="s">
        <v>556</v>
      </c>
      <c r="D21" s="91">
        <v>1.14E-3</v>
      </c>
      <c r="E21" s="45">
        <v>9.4799999999999995E-4</v>
      </c>
      <c r="I21" s="215"/>
      <c r="J21" s="215"/>
    </row>
    <row r="22" spans="1:10" ht="43.5" customHeight="1" x14ac:dyDescent="0.25">
      <c r="A22" s="41" t="s">
        <v>79</v>
      </c>
      <c r="B22" s="42" t="s">
        <v>557</v>
      </c>
      <c r="C22" s="43" t="s">
        <v>558</v>
      </c>
      <c r="D22" s="91">
        <v>2.0279999999999999E-3</v>
      </c>
      <c r="E22" s="45">
        <v>1.176E-3</v>
      </c>
      <c r="G22" s="216"/>
      <c r="I22" s="215"/>
      <c r="J22" s="215"/>
    </row>
    <row r="23" spans="1:10" ht="31.5" x14ac:dyDescent="0.25">
      <c r="A23" s="41" t="s">
        <v>85</v>
      </c>
      <c r="B23" s="42" t="s">
        <v>559</v>
      </c>
      <c r="C23" s="43" t="s">
        <v>560</v>
      </c>
      <c r="D23" s="91">
        <v>0</v>
      </c>
      <c r="E23" s="45">
        <v>0</v>
      </c>
      <c r="I23" s="215"/>
      <c r="J23" s="215"/>
    </row>
    <row r="24" spans="1:10" ht="63" x14ac:dyDescent="0.25">
      <c r="A24" s="41" t="s">
        <v>349</v>
      </c>
      <c r="B24" s="42" t="s">
        <v>561</v>
      </c>
      <c r="C24" s="43" t="s">
        <v>562</v>
      </c>
      <c r="D24" s="91">
        <v>0</v>
      </c>
      <c r="E24" s="45">
        <v>0</v>
      </c>
      <c r="I24" s="215"/>
      <c r="J24" s="215"/>
    </row>
    <row r="25" spans="1:10" ht="21" x14ac:dyDescent="0.25">
      <c r="A25" s="41" t="s">
        <v>358</v>
      </c>
      <c r="B25" s="42" t="s">
        <v>563</v>
      </c>
      <c r="C25" s="43" t="s">
        <v>564</v>
      </c>
      <c r="D25" s="91">
        <v>1.1748E-2</v>
      </c>
      <c r="E25" s="45">
        <v>1.0692E-2</v>
      </c>
      <c r="I25" s="215"/>
      <c r="J25" s="215"/>
    </row>
    <row r="26" spans="1:10" ht="52.5" x14ac:dyDescent="0.25">
      <c r="A26" s="41" t="s">
        <v>371</v>
      </c>
      <c r="B26" s="42" t="s">
        <v>565</v>
      </c>
      <c r="C26" s="43" t="s">
        <v>566</v>
      </c>
      <c r="D26" s="91">
        <v>9.5556000000000001</v>
      </c>
      <c r="E26" s="45">
        <v>5.8708999999999998</v>
      </c>
      <c r="I26" s="215"/>
      <c r="J26" s="215"/>
    </row>
    <row r="27" spans="1:10" ht="21" x14ac:dyDescent="0.25">
      <c r="A27" s="36" t="s">
        <v>74</v>
      </c>
      <c r="B27" s="37" t="s">
        <v>567</v>
      </c>
      <c r="C27" s="38" t="s">
        <v>568</v>
      </c>
      <c r="D27" s="39">
        <v>0</v>
      </c>
      <c r="E27" s="89">
        <v>0</v>
      </c>
      <c r="I27" s="215"/>
      <c r="J27" s="215"/>
    </row>
    <row r="28" spans="1:10" ht="21" x14ac:dyDescent="0.25">
      <c r="A28" s="41" t="s">
        <v>95</v>
      </c>
      <c r="B28" s="42" t="s">
        <v>569</v>
      </c>
      <c r="C28" s="43" t="s">
        <v>570</v>
      </c>
      <c r="D28" s="44">
        <v>102000000000</v>
      </c>
      <c r="E28" s="90">
        <v>0</v>
      </c>
      <c r="I28" s="215"/>
      <c r="J28" s="215"/>
    </row>
    <row r="29" spans="1:10" ht="21" x14ac:dyDescent="0.25">
      <c r="A29" s="41"/>
      <c r="B29" s="42" t="s">
        <v>571</v>
      </c>
      <c r="C29" s="43" t="s">
        <v>572</v>
      </c>
      <c r="D29" s="44">
        <v>102000000000</v>
      </c>
      <c r="E29" s="90">
        <v>0</v>
      </c>
      <c r="I29" s="215"/>
      <c r="J29" s="215"/>
    </row>
    <row r="30" spans="1:10" ht="23.25" customHeight="1" x14ac:dyDescent="0.25">
      <c r="A30" s="41"/>
      <c r="B30" s="42" t="s">
        <v>573</v>
      </c>
      <c r="C30" s="43" t="s">
        <v>574</v>
      </c>
      <c r="D30" s="44">
        <v>10200000</v>
      </c>
      <c r="E30" s="90"/>
      <c r="I30" s="215"/>
      <c r="J30" s="215"/>
    </row>
    <row r="31" spans="1:10" ht="21" x14ac:dyDescent="0.25">
      <c r="A31" s="41" t="s">
        <v>98</v>
      </c>
      <c r="B31" s="42" t="s">
        <v>575</v>
      </c>
      <c r="C31" s="43" t="s">
        <v>576</v>
      </c>
      <c r="D31" s="44">
        <v>478000000000</v>
      </c>
      <c r="E31" s="90">
        <v>102000000000</v>
      </c>
      <c r="I31" s="215"/>
      <c r="J31" s="215"/>
    </row>
    <row r="32" spans="1:10" ht="21" x14ac:dyDescent="0.25">
      <c r="A32" s="41"/>
      <c r="B32" s="42" t="s">
        <v>577</v>
      </c>
      <c r="C32" s="43" t="s">
        <v>578</v>
      </c>
      <c r="D32" s="44">
        <v>47800000</v>
      </c>
      <c r="E32" s="90">
        <v>10200000</v>
      </c>
      <c r="I32" s="215"/>
      <c r="J32" s="215"/>
    </row>
    <row r="33" spans="1:10" ht="21" x14ac:dyDescent="0.25">
      <c r="A33" s="41"/>
      <c r="B33" s="42" t="s">
        <v>579</v>
      </c>
      <c r="C33" s="43" t="s">
        <v>580</v>
      </c>
      <c r="D33" s="44">
        <v>478000000000</v>
      </c>
      <c r="E33" s="90">
        <v>102000000000</v>
      </c>
      <c r="I33" s="215"/>
      <c r="J33" s="215"/>
    </row>
    <row r="34" spans="1:10" ht="21" x14ac:dyDescent="0.25">
      <c r="A34" s="41"/>
      <c r="B34" s="42" t="s">
        <v>581</v>
      </c>
      <c r="C34" s="43" t="s">
        <v>582</v>
      </c>
      <c r="D34" s="44">
        <v>47800000</v>
      </c>
      <c r="E34" s="90">
        <v>10200000</v>
      </c>
      <c r="I34" s="215"/>
      <c r="J34" s="215"/>
    </row>
    <row r="35" spans="1:10" ht="21" x14ac:dyDescent="0.25">
      <c r="A35" s="41"/>
      <c r="B35" s="42" t="s">
        <v>583</v>
      </c>
      <c r="C35" s="43" t="s">
        <v>584</v>
      </c>
      <c r="D35" s="44">
        <v>478000000000</v>
      </c>
      <c r="E35" s="90">
        <v>102000000000</v>
      </c>
      <c r="I35" s="215"/>
      <c r="J35" s="215"/>
    </row>
    <row r="36" spans="1:10" ht="21" x14ac:dyDescent="0.25">
      <c r="A36" s="41"/>
      <c r="B36" s="42" t="s">
        <v>585</v>
      </c>
      <c r="C36" s="43" t="s">
        <v>586</v>
      </c>
      <c r="D36" s="44"/>
      <c r="E36" s="90"/>
      <c r="I36" s="215"/>
      <c r="J36" s="215"/>
    </row>
    <row r="37" spans="1:10" ht="31.5" x14ac:dyDescent="0.25">
      <c r="A37" s="41"/>
      <c r="B37" s="42" t="s">
        <v>587</v>
      </c>
      <c r="C37" s="43" t="s">
        <v>588</v>
      </c>
      <c r="D37" s="44">
        <v>0</v>
      </c>
      <c r="E37" s="90">
        <v>0</v>
      </c>
      <c r="I37" s="215"/>
      <c r="J37" s="215"/>
    </row>
    <row r="38" spans="1:10" ht="21" x14ac:dyDescent="0.25">
      <c r="A38" s="41" t="s">
        <v>79</v>
      </c>
      <c r="B38" s="42" t="s">
        <v>589</v>
      </c>
      <c r="C38" s="43" t="s">
        <v>590</v>
      </c>
      <c r="D38" s="44">
        <v>580000000000</v>
      </c>
      <c r="E38" s="90">
        <v>102000000000</v>
      </c>
      <c r="I38" s="215"/>
      <c r="J38" s="215"/>
    </row>
    <row r="39" spans="1:10" ht="21" x14ac:dyDescent="0.25">
      <c r="A39" s="41"/>
      <c r="B39" s="42" t="s">
        <v>591</v>
      </c>
      <c r="C39" s="43" t="s">
        <v>592</v>
      </c>
      <c r="D39" s="44">
        <v>580000000000</v>
      </c>
      <c r="E39" s="90">
        <v>102000000000</v>
      </c>
      <c r="I39" s="215"/>
      <c r="J39" s="215"/>
    </row>
    <row r="40" spans="1:10" ht="21" x14ac:dyDescent="0.25">
      <c r="A40" s="41"/>
      <c r="B40" s="42" t="s">
        <v>593</v>
      </c>
      <c r="C40" s="43" t="s">
        <v>594</v>
      </c>
      <c r="D40" s="44">
        <v>58000000</v>
      </c>
      <c r="E40" s="90">
        <v>10200000</v>
      </c>
      <c r="I40" s="215"/>
      <c r="J40" s="215"/>
    </row>
    <row r="41" spans="1:10" ht="42" x14ac:dyDescent="0.25">
      <c r="A41" s="41" t="s">
        <v>85</v>
      </c>
      <c r="B41" s="42" t="s">
        <v>595</v>
      </c>
      <c r="C41" s="43" t="s">
        <v>596</v>
      </c>
      <c r="D41" s="91">
        <v>3.1796369999999997E-2</v>
      </c>
      <c r="E41" s="45">
        <v>0</v>
      </c>
      <c r="I41" s="215"/>
      <c r="J41" s="215"/>
    </row>
    <row r="42" spans="1:10" ht="21" x14ac:dyDescent="0.25">
      <c r="A42" s="41" t="s">
        <v>349</v>
      </c>
      <c r="B42" s="42" t="s">
        <v>597</v>
      </c>
      <c r="C42" s="43" t="s">
        <v>598</v>
      </c>
      <c r="D42" s="91">
        <v>739180.17</v>
      </c>
      <c r="E42" s="45">
        <v>1</v>
      </c>
      <c r="I42" s="215"/>
      <c r="J42" s="215"/>
    </row>
    <row r="43" spans="1:10" ht="21" x14ac:dyDescent="0.25">
      <c r="A43" s="41" t="s">
        <v>358</v>
      </c>
      <c r="B43" s="42" t="s">
        <v>599</v>
      </c>
      <c r="C43" s="43" t="s">
        <v>600</v>
      </c>
      <c r="D43" s="91">
        <v>0.96036153999999996</v>
      </c>
      <c r="E43" s="45">
        <v>0</v>
      </c>
      <c r="I43" s="215"/>
      <c r="J43" s="215"/>
    </row>
    <row r="44" spans="1:10" ht="21" x14ac:dyDescent="0.25">
      <c r="A44" s="41"/>
      <c r="B44" s="42" t="s">
        <v>601</v>
      </c>
      <c r="C44" s="43" t="s">
        <v>602</v>
      </c>
      <c r="D44" s="44">
        <v>389</v>
      </c>
      <c r="E44" s="90">
        <v>3</v>
      </c>
      <c r="I44" s="215"/>
      <c r="J44" s="215"/>
    </row>
    <row r="45" spans="1:10" ht="21" x14ac:dyDescent="0.25">
      <c r="A45" s="41" t="s">
        <v>371</v>
      </c>
      <c r="B45" s="42" t="s">
        <v>603</v>
      </c>
      <c r="C45" s="43" t="s">
        <v>604</v>
      </c>
      <c r="D45" s="82">
        <v>12002.26</v>
      </c>
      <c r="E45" s="92">
        <v>10892.76</v>
      </c>
      <c r="I45" s="215"/>
      <c r="J45" s="215"/>
    </row>
    <row r="46" spans="1:10" ht="21" x14ac:dyDescent="0.25">
      <c r="A46" s="93" t="s">
        <v>378</v>
      </c>
      <c r="B46" s="94" t="s">
        <v>605</v>
      </c>
      <c r="C46" s="95" t="s">
        <v>606</v>
      </c>
      <c r="D46" s="96">
        <v>12250</v>
      </c>
      <c r="E46" s="97">
        <v>0</v>
      </c>
      <c r="I46" s="215"/>
      <c r="J46" s="215"/>
    </row>
    <row r="47" spans="1:10" ht="8.25" customHeight="1" x14ac:dyDescent="0.25">
      <c r="A47" s="278"/>
      <c r="B47" s="278"/>
      <c r="C47" s="278"/>
      <c r="D47" s="278"/>
      <c r="E47" s="278"/>
    </row>
    <row r="48" spans="1:10" ht="15.75" customHeight="1" x14ac:dyDescent="0.25">
      <c r="A48" s="272" t="s">
        <v>607</v>
      </c>
      <c r="B48" s="272"/>
      <c r="C48" s="278"/>
      <c r="D48" s="278"/>
      <c r="E48" s="278"/>
    </row>
    <row r="49" spans="1:5" ht="41.25" customHeight="1" x14ac:dyDescent="0.25">
      <c r="A49" s="263" t="s">
        <v>608</v>
      </c>
      <c r="B49" s="263"/>
      <c r="C49" s="263"/>
      <c r="D49" s="263"/>
      <c r="E49" s="263"/>
    </row>
    <row r="50" spans="1:5" ht="27" customHeight="1" x14ac:dyDescent="0.25">
      <c r="A50" s="263" t="s">
        <v>609</v>
      </c>
      <c r="B50" s="263"/>
      <c r="C50" s="263"/>
      <c r="D50" s="263"/>
      <c r="E50" s="263"/>
    </row>
    <row r="51" spans="1:5" ht="7.5" customHeight="1" x14ac:dyDescent="0.2">
      <c r="A51" s="278"/>
      <c r="B51" s="278"/>
      <c r="C51" s="282"/>
      <c r="D51" s="282"/>
      <c r="E51" s="282"/>
    </row>
    <row r="52" spans="1:5" ht="14.25" customHeight="1" x14ac:dyDescent="0.25">
      <c r="A52" s="266" t="s">
        <v>610</v>
      </c>
      <c r="B52" s="266"/>
      <c r="C52" s="266" t="s">
        <v>91</v>
      </c>
      <c r="D52" s="266"/>
      <c r="E52" s="266"/>
    </row>
    <row r="53" spans="1:5" ht="12" customHeight="1" x14ac:dyDescent="0.25">
      <c r="A53" s="281" t="s">
        <v>19</v>
      </c>
      <c r="B53" s="281"/>
      <c r="C53" s="281" t="s">
        <v>20</v>
      </c>
      <c r="D53" s="281"/>
      <c r="E53" s="281"/>
    </row>
    <row r="54" spans="1:5" ht="12.75" customHeight="1" x14ac:dyDescent="0.25">
      <c r="A54" s="278"/>
      <c r="B54" s="278"/>
      <c r="C54" s="278"/>
      <c r="D54" s="278"/>
      <c r="E54" s="278"/>
    </row>
    <row r="55" spans="1:5" ht="15.75" customHeight="1" x14ac:dyDescent="0.25">
      <c r="A55" s="278"/>
      <c r="B55" s="278"/>
      <c r="C55" s="278"/>
      <c r="D55" s="278"/>
      <c r="E55" s="278"/>
    </row>
    <row r="56" spans="1:5" ht="15.75" customHeight="1" x14ac:dyDescent="0.25">
      <c r="A56" s="278"/>
      <c r="B56" s="278"/>
      <c r="C56" s="278"/>
      <c r="D56" s="278"/>
      <c r="E56" s="278"/>
    </row>
    <row r="57" spans="1:5" ht="15.75" customHeight="1" x14ac:dyDescent="0.25">
      <c r="A57" s="278"/>
      <c r="B57" s="278"/>
      <c r="C57" s="278"/>
      <c r="D57" s="278"/>
      <c r="E57" s="278"/>
    </row>
    <row r="58" spans="1:5" x14ac:dyDescent="0.25">
      <c r="A58" s="254" t="s">
        <v>292</v>
      </c>
      <c r="B58" s="254"/>
      <c r="C58" s="254" t="s">
        <v>293</v>
      </c>
      <c r="D58" s="254"/>
      <c r="E58" s="254"/>
    </row>
    <row r="59" spans="1:5" x14ac:dyDescent="0.25">
      <c r="A59" s="254" t="s">
        <v>1073</v>
      </c>
      <c r="B59" s="254"/>
      <c r="C59" s="254" t="s">
        <v>1003</v>
      </c>
      <c r="D59" s="254"/>
      <c r="E59" s="254"/>
    </row>
    <row r="60" spans="1:5" x14ac:dyDescent="0.25">
      <c r="A60" s="254" t="s">
        <v>1074</v>
      </c>
      <c r="B60" s="254"/>
      <c r="C60" s="254" t="s">
        <v>1075</v>
      </c>
      <c r="D60" s="254"/>
      <c r="E60" s="254"/>
    </row>
  </sheetData>
  <mergeCells count="43">
    <mergeCell ref="C5:E5"/>
    <mergeCell ref="A1:B1"/>
    <mergeCell ref="C1:E1"/>
    <mergeCell ref="A2:E2"/>
    <mergeCell ref="B3:E3"/>
    <mergeCell ref="B4:E4"/>
    <mergeCell ref="A47:B47"/>
    <mergeCell ref="C47:E47"/>
    <mergeCell ref="C6:E6"/>
    <mergeCell ref="C7:E7"/>
    <mergeCell ref="C8:E8"/>
    <mergeCell ref="C9:E9"/>
    <mergeCell ref="C10:E10"/>
    <mergeCell ref="C11:E11"/>
    <mergeCell ref="C12:E12"/>
    <mergeCell ref="C13:E13"/>
    <mergeCell ref="A14:E14"/>
    <mergeCell ref="A15:E15"/>
    <mergeCell ref="A16:E16"/>
    <mergeCell ref="A48:B48"/>
    <mergeCell ref="C48:E48"/>
    <mergeCell ref="A49:E49"/>
    <mergeCell ref="A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 ref="A60:B60"/>
    <mergeCell ref="C60:E60"/>
  </mergeCells>
  <printOptions horizontalCentered="1"/>
  <pageMargins left="0" right="0" top="0.59" bottom="0.59" header="0.5" footer="0.5"/>
  <pageSetup paperSize="9" scale="92"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tabSelected="1" view="pageBreakPreview" zoomScale="80" zoomScaleNormal="90" zoomScaleSheetLayoutView="80" workbookViewId="0">
      <selection activeCell="H37" sqref="A1:K37"/>
    </sheetView>
  </sheetViews>
  <sheetFormatPr defaultColWidth="9.28515625" defaultRowHeight="10.5" x14ac:dyDescent="0.15"/>
  <cols>
    <col min="1" max="1" width="5.42578125" style="158" customWidth="1"/>
    <col min="2" max="2" width="47.7109375" style="158" customWidth="1"/>
    <col min="3" max="3" width="15.85546875" style="158" customWidth="1"/>
    <col min="4" max="4" width="9.28515625" style="158"/>
    <col min="5" max="5" width="16.7109375" style="158" customWidth="1"/>
    <col min="6" max="6" width="8.28515625" style="158" customWidth="1"/>
    <col min="7" max="7" width="15.7109375" style="158" customWidth="1"/>
    <col min="8" max="8" width="11.42578125" style="158" bestFit="1" customWidth="1"/>
    <col min="9" max="9" width="22" style="158" customWidth="1"/>
    <col min="10" max="10" width="12.28515625" style="158" customWidth="1"/>
    <col min="11" max="11" width="23.28515625" style="158" customWidth="1"/>
    <col min="12" max="16384" width="9.28515625" style="158"/>
  </cols>
  <sheetData>
    <row r="1" spans="1:11" ht="25.5" customHeight="1" x14ac:dyDescent="0.15">
      <c r="B1" s="214"/>
      <c r="C1" s="214"/>
      <c r="D1" s="214"/>
      <c r="E1" s="285" t="s">
        <v>47</v>
      </c>
      <c r="F1" s="285"/>
      <c r="G1" s="285"/>
      <c r="H1" s="285"/>
      <c r="I1" s="285"/>
      <c r="J1" s="285"/>
      <c r="K1" s="285"/>
    </row>
    <row r="2" spans="1:11" ht="33.75" customHeight="1" x14ac:dyDescent="0.15">
      <c r="A2" s="304" t="s">
        <v>1086</v>
      </c>
      <c r="B2" s="304"/>
      <c r="C2" s="304"/>
      <c r="D2" s="304"/>
      <c r="E2" s="304"/>
      <c r="F2" s="304"/>
      <c r="G2" s="304"/>
      <c r="H2" s="304"/>
      <c r="I2" s="304"/>
      <c r="J2" s="304"/>
      <c r="K2" s="304"/>
    </row>
    <row r="3" spans="1:11" x14ac:dyDescent="0.15">
      <c r="A3" s="305" t="s">
        <v>48</v>
      </c>
      <c r="B3" s="305"/>
      <c r="C3" s="305"/>
      <c r="D3" s="305"/>
      <c r="E3" s="305"/>
      <c r="F3" s="305"/>
      <c r="G3" s="305"/>
      <c r="H3" s="305"/>
      <c r="I3" s="305"/>
      <c r="J3" s="305"/>
      <c r="K3" s="305"/>
    </row>
    <row r="4" spans="1:11" ht="18" customHeight="1" x14ac:dyDescent="0.15">
      <c r="A4" s="306" t="s">
        <v>49</v>
      </c>
      <c r="B4" s="307"/>
      <c r="C4" s="307"/>
      <c r="D4" s="307"/>
      <c r="E4" s="307"/>
      <c r="F4" s="307"/>
      <c r="G4" s="307"/>
      <c r="H4" s="307"/>
      <c r="I4" s="307"/>
      <c r="J4" s="307"/>
      <c r="K4" s="307"/>
    </row>
    <row r="5" spans="1:11" x14ac:dyDescent="0.15">
      <c r="A5" s="159"/>
      <c r="B5" s="160"/>
      <c r="C5" s="160"/>
      <c r="D5" s="161"/>
      <c r="E5" s="161"/>
      <c r="F5" s="160"/>
      <c r="G5" s="160"/>
      <c r="H5" s="160"/>
      <c r="I5" s="160"/>
      <c r="J5" s="160"/>
      <c r="K5" s="160"/>
    </row>
    <row r="6" spans="1:11" x14ac:dyDescent="0.15">
      <c r="A6" s="162">
        <v>1</v>
      </c>
      <c r="B6" s="163" t="s">
        <v>2</v>
      </c>
      <c r="C6" s="163" t="s">
        <v>3</v>
      </c>
      <c r="D6" s="161"/>
      <c r="E6" s="161"/>
      <c r="F6" s="160"/>
      <c r="G6" s="160"/>
      <c r="H6" s="160"/>
      <c r="I6" s="160"/>
      <c r="J6" s="160"/>
      <c r="K6" s="160"/>
    </row>
    <row r="7" spans="1:11" x14ac:dyDescent="0.15">
      <c r="A7" s="162"/>
      <c r="B7" s="164" t="s">
        <v>4</v>
      </c>
      <c r="C7" s="164" t="s">
        <v>5</v>
      </c>
      <c r="D7" s="165"/>
      <c r="E7" s="165"/>
      <c r="F7" s="166"/>
      <c r="G7" s="166"/>
      <c r="H7" s="166"/>
      <c r="I7" s="166"/>
      <c r="J7" s="166"/>
      <c r="K7" s="166"/>
    </row>
    <row r="8" spans="1:11" ht="12.75" customHeight="1" x14ac:dyDescent="0.15">
      <c r="A8" s="167">
        <v>2</v>
      </c>
      <c r="B8" s="168" t="s">
        <v>6</v>
      </c>
      <c r="C8" s="169" t="s">
        <v>7</v>
      </c>
      <c r="D8" s="169"/>
      <c r="E8" s="169"/>
      <c r="F8" s="169"/>
      <c r="G8" s="169"/>
      <c r="H8" s="169"/>
      <c r="I8" s="170"/>
      <c r="J8" s="170"/>
      <c r="K8" s="170"/>
    </row>
    <row r="9" spans="1:11" ht="12.75" customHeight="1" x14ac:dyDescent="0.15">
      <c r="A9" s="167"/>
      <c r="B9" s="171" t="s">
        <v>8</v>
      </c>
      <c r="C9" s="172" t="s">
        <v>9</v>
      </c>
      <c r="D9" s="173"/>
      <c r="E9" s="173"/>
      <c r="F9" s="173"/>
      <c r="G9" s="173"/>
      <c r="H9" s="173"/>
      <c r="I9" s="174"/>
      <c r="J9" s="174"/>
      <c r="K9" s="174"/>
    </row>
    <row r="10" spans="1:11" ht="12.75" customHeight="1" x14ac:dyDescent="0.15">
      <c r="A10" s="167">
        <v>3</v>
      </c>
      <c r="B10" s="168" t="s">
        <v>10</v>
      </c>
      <c r="C10" s="169" t="s">
        <v>11</v>
      </c>
      <c r="D10" s="169"/>
      <c r="E10" s="169"/>
      <c r="F10" s="169"/>
      <c r="G10" s="169"/>
      <c r="H10" s="169"/>
      <c r="I10" s="170"/>
      <c r="J10" s="170"/>
      <c r="K10" s="170"/>
    </row>
    <row r="11" spans="1:11" ht="12.75" customHeight="1" x14ac:dyDescent="0.15">
      <c r="A11" s="167"/>
      <c r="B11" s="171" t="s">
        <v>12</v>
      </c>
      <c r="C11" s="173" t="s">
        <v>50</v>
      </c>
      <c r="D11" s="173"/>
      <c r="E11" s="173"/>
      <c r="F11" s="173"/>
      <c r="G11" s="173"/>
      <c r="H11" s="173"/>
      <c r="I11" s="170"/>
      <c r="J11" s="170"/>
      <c r="K11" s="170"/>
    </row>
    <row r="12" spans="1:11" ht="13.5" customHeight="1" x14ac:dyDescent="0.15">
      <c r="A12" s="167">
        <v>4</v>
      </c>
      <c r="B12" s="168" t="s">
        <v>14</v>
      </c>
      <c r="C12" s="175">
        <v>43983</v>
      </c>
      <c r="D12" s="169"/>
      <c r="E12" s="169"/>
      <c r="F12" s="169"/>
      <c r="G12" s="169"/>
      <c r="H12" s="169"/>
      <c r="I12" s="176"/>
      <c r="J12" s="176"/>
      <c r="K12" s="176"/>
    </row>
    <row r="13" spans="1:11" ht="13.5" customHeight="1" x14ac:dyDescent="0.15">
      <c r="A13" s="173"/>
      <c r="B13" s="171" t="s">
        <v>15</v>
      </c>
      <c r="C13" s="259">
        <v>43983</v>
      </c>
      <c r="D13" s="259"/>
      <c r="E13" s="259"/>
      <c r="F13" s="259"/>
      <c r="G13" s="308"/>
      <c r="H13" s="308"/>
      <c r="I13" s="177"/>
      <c r="J13" s="177"/>
      <c r="K13" s="177"/>
    </row>
    <row r="14" spans="1:11" x14ac:dyDescent="0.15">
      <c r="A14" s="178" t="s">
        <v>24</v>
      </c>
      <c r="B14" s="178" t="s">
        <v>51</v>
      </c>
      <c r="C14" s="179"/>
      <c r="D14" s="180"/>
      <c r="E14" s="180"/>
      <c r="F14" s="180"/>
      <c r="G14" s="181"/>
      <c r="H14" s="181"/>
      <c r="I14" s="177"/>
      <c r="J14" s="177"/>
      <c r="K14" s="177"/>
    </row>
    <row r="15" spans="1:11" x14ac:dyDescent="0.15">
      <c r="A15" s="163" t="s">
        <v>52</v>
      </c>
      <c r="B15" s="163" t="s">
        <v>53</v>
      </c>
      <c r="C15" s="182"/>
      <c r="D15" s="183"/>
      <c r="E15" s="183"/>
      <c r="F15" s="184"/>
      <c r="G15" s="184"/>
      <c r="H15" s="184"/>
      <c r="I15" s="184"/>
      <c r="J15" s="184"/>
      <c r="K15" s="184"/>
    </row>
    <row r="16" spans="1:11" ht="33" customHeight="1" x14ac:dyDescent="0.15">
      <c r="A16" s="309" t="s">
        <v>54</v>
      </c>
      <c r="B16" s="289" t="s">
        <v>55</v>
      </c>
      <c r="C16" s="310" t="s">
        <v>56</v>
      </c>
      <c r="D16" s="289" t="s">
        <v>57</v>
      </c>
      <c r="E16" s="289" t="s">
        <v>58</v>
      </c>
      <c r="F16" s="289" t="s">
        <v>59</v>
      </c>
      <c r="G16" s="289" t="s">
        <v>60</v>
      </c>
      <c r="H16" s="291" t="s">
        <v>61</v>
      </c>
      <c r="I16" s="292"/>
      <c r="J16" s="291" t="s">
        <v>62</v>
      </c>
      <c r="K16" s="292"/>
    </row>
    <row r="17" spans="1:11" ht="42" x14ac:dyDescent="0.15">
      <c r="A17" s="309"/>
      <c r="B17" s="290"/>
      <c r="C17" s="311"/>
      <c r="D17" s="290"/>
      <c r="E17" s="290"/>
      <c r="F17" s="290"/>
      <c r="G17" s="290"/>
      <c r="H17" s="185" t="s">
        <v>63</v>
      </c>
      <c r="I17" s="185" t="s">
        <v>64</v>
      </c>
      <c r="J17" s="185" t="s">
        <v>65</v>
      </c>
      <c r="K17" s="185" t="s">
        <v>66</v>
      </c>
    </row>
    <row r="18" spans="1:11" ht="21" x14ac:dyDescent="0.15">
      <c r="A18" s="186">
        <v>1</v>
      </c>
      <c r="B18" s="187" t="s">
        <v>67</v>
      </c>
      <c r="C18" s="188" t="s">
        <v>68</v>
      </c>
      <c r="D18" s="293"/>
      <c r="E18" s="294"/>
      <c r="F18" s="294"/>
      <c r="G18" s="294"/>
      <c r="H18" s="294"/>
      <c r="I18" s="294"/>
      <c r="J18" s="294"/>
      <c r="K18" s="295"/>
    </row>
    <row r="19" spans="1:11" ht="21" x14ac:dyDescent="0.15">
      <c r="A19" s="186" t="s">
        <v>69</v>
      </c>
      <c r="B19" s="187" t="s">
        <v>70</v>
      </c>
      <c r="C19" s="188" t="s">
        <v>71</v>
      </c>
      <c r="D19" s="296"/>
      <c r="E19" s="297"/>
      <c r="F19" s="297"/>
      <c r="G19" s="297"/>
      <c r="H19" s="297"/>
      <c r="I19" s="297"/>
      <c r="J19" s="297"/>
      <c r="K19" s="298"/>
    </row>
    <row r="20" spans="1:11" ht="21" x14ac:dyDescent="0.15">
      <c r="A20" s="186">
        <v>2</v>
      </c>
      <c r="B20" s="187" t="s">
        <v>72</v>
      </c>
      <c r="C20" s="188" t="s">
        <v>73</v>
      </c>
      <c r="D20" s="296"/>
      <c r="E20" s="297"/>
      <c r="F20" s="297"/>
      <c r="G20" s="297"/>
      <c r="H20" s="297"/>
      <c r="I20" s="297"/>
      <c r="J20" s="297"/>
      <c r="K20" s="298"/>
    </row>
    <row r="21" spans="1:11" ht="21" x14ac:dyDescent="0.15">
      <c r="A21" s="186" t="s">
        <v>74</v>
      </c>
      <c r="B21" s="187" t="s">
        <v>75</v>
      </c>
      <c r="C21" s="188" t="s">
        <v>76</v>
      </c>
      <c r="D21" s="296"/>
      <c r="E21" s="297"/>
      <c r="F21" s="297"/>
      <c r="G21" s="297"/>
      <c r="H21" s="297"/>
      <c r="I21" s="297"/>
      <c r="J21" s="297"/>
      <c r="K21" s="298"/>
    </row>
    <row r="22" spans="1:11" ht="21" x14ac:dyDescent="0.15">
      <c r="A22" s="186" t="s">
        <v>24</v>
      </c>
      <c r="B22" s="189" t="s">
        <v>77</v>
      </c>
      <c r="C22" s="188" t="s">
        <v>78</v>
      </c>
      <c r="D22" s="296"/>
      <c r="E22" s="297"/>
      <c r="F22" s="297"/>
      <c r="G22" s="297"/>
      <c r="H22" s="297"/>
      <c r="I22" s="297"/>
      <c r="J22" s="297"/>
      <c r="K22" s="298"/>
    </row>
    <row r="23" spans="1:11" ht="21" x14ac:dyDescent="0.15">
      <c r="A23" s="190" t="s">
        <v>79</v>
      </c>
      <c r="B23" s="189" t="s">
        <v>80</v>
      </c>
      <c r="C23" s="188" t="s">
        <v>81</v>
      </c>
      <c r="D23" s="296"/>
      <c r="E23" s="297"/>
      <c r="F23" s="297"/>
      <c r="G23" s="297"/>
      <c r="H23" s="297"/>
      <c r="I23" s="297"/>
      <c r="J23" s="297"/>
      <c r="K23" s="298"/>
    </row>
    <row r="24" spans="1:11" ht="21" x14ac:dyDescent="0.15">
      <c r="A24" s="190" t="s">
        <v>82</v>
      </c>
      <c r="B24" s="187" t="s">
        <v>83</v>
      </c>
      <c r="C24" s="188" t="s">
        <v>84</v>
      </c>
      <c r="D24" s="296"/>
      <c r="E24" s="297"/>
      <c r="F24" s="297"/>
      <c r="G24" s="297"/>
      <c r="H24" s="297"/>
      <c r="I24" s="297"/>
      <c r="J24" s="297"/>
      <c r="K24" s="298"/>
    </row>
    <row r="25" spans="1:11" ht="21" x14ac:dyDescent="0.15">
      <c r="A25" s="190" t="s">
        <v>85</v>
      </c>
      <c r="B25" s="187" t="s">
        <v>86</v>
      </c>
      <c r="C25" s="188" t="s">
        <v>87</v>
      </c>
      <c r="D25" s="296"/>
      <c r="E25" s="297"/>
      <c r="F25" s="297"/>
      <c r="G25" s="297"/>
      <c r="H25" s="297"/>
      <c r="I25" s="297"/>
      <c r="J25" s="297"/>
      <c r="K25" s="298"/>
    </row>
    <row r="26" spans="1:11" ht="21" x14ac:dyDescent="0.15">
      <c r="A26" s="190" t="s">
        <v>52</v>
      </c>
      <c r="B26" s="187" t="s">
        <v>83</v>
      </c>
      <c r="C26" s="188" t="s">
        <v>88</v>
      </c>
      <c r="D26" s="296"/>
      <c r="E26" s="297"/>
      <c r="F26" s="297"/>
      <c r="G26" s="297"/>
      <c r="H26" s="297"/>
      <c r="I26" s="297"/>
      <c r="J26" s="297"/>
      <c r="K26" s="298"/>
    </row>
    <row r="27" spans="1:11" ht="21" x14ac:dyDescent="0.15">
      <c r="A27" s="186" t="s">
        <v>44</v>
      </c>
      <c r="B27" s="189" t="s">
        <v>89</v>
      </c>
      <c r="C27" s="188" t="s">
        <v>90</v>
      </c>
      <c r="D27" s="299"/>
      <c r="E27" s="300"/>
      <c r="F27" s="300"/>
      <c r="G27" s="300"/>
      <c r="H27" s="300"/>
      <c r="I27" s="300"/>
      <c r="J27" s="300"/>
      <c r="K27" s="301"/>
    </row>
    <row r="28" spans="1:11" ht="12.75" customHeight="1" x14ac:dyDescent="0.15">
      <c r="A28" s="184"/>
      <c r="B28" s="191"/>
      <c r="C28" s="191"/>
      <c r="D28" s="184"/>
      <c r="E28" s="184"/>
      <c r="F28" s="184"/>
      <c r="G28" s="184"/>
      <c r="H28" s="184"/>
      <c r="I28" s="184"/>
      <c r="J28" s="184"/>
      <c r="K28" s="184"/>
    </row>
    <row r="29" spans="1:11" x14ac:dyDescent="0.15">
      <c r="A29" s="302" t="s">
        <v>17</v>
      </c>
      <c r="B29" s="302"/>
      <c r="C29" s="302"/>
      <c r="E29" s="192"/>
      <c r="F29" s="193"/>
      <c r="G29" s="193"/>
      <c r="H29" s="303" t="s">
        <v>91</v>
      </c>
      <c r="I29" s="303"/>
      <c r="J29" s="303"/>
      <c r="K29" s="303"/>
    </row>
    <row r="30" spans="1:11" x14ac:dyDescent="0.15">
      <c r="A30" s="283" t="s">
        <v>19</v>
      </c>
      <c r="B30" s="283"/>
      <c r="C30" s="283"/>
      <c r="E30" s="194"/>
      <c r="F30" s="195"/>
      <c r="G30" s="195"/>
      <c r="H30" s="286" t="s">
        <v>20</v>
      </c>
      <c r="I30" s="286"/>
      <c r="J30" s="286"/>
      <c r="K30" s="286"/>
    </row>
    <row r="31" spans="1:11" ht="37.5" customHeight="1" x14ac:dyDescent="0.15">
      <c r="A31" s="195"/>
      <c r="B31" s="196"/>
      <c r="C31" s="197"/>
      <c r="E31" s="194"/>
      <c r="F31" s="195"/>
      <c r="G31" s="195"/>
      <c r="H31" s="198"/>
      <c r="J31" s="199"/>
      <c r="K31" s="200"/>
    </row>
    <row r="32" spans="1:11" ht="26.25" customHeight="1" x14ac:dyDescent="0.15">
      <c r="A32" s="196"/>
      <c r="B32" s="196"/>
      <c r="C32" s="287"/>
      <c r="D32" s="287"/>
      <c r="E32" s="287"/>
      <c r="F32" s="199"/>
      <c r="G32" s="199"/>
      <c r="H32" s="199"/>
      <c r="J32" s="199"/>
      <c r="K32" s="199"/>
    </row>
    <row r="33" spans="1:11" ht="23.25" customHeight="1" x14ac:dyDescent="0.15">
      <c r="A33" s="196"/>
      <c r="B33" s="196"/>
      <c r="C33" s="201"/>
      <c r="D33" s="202"/>
      <c r="E33" s="203"/>
      <c r="F33" s="204"/>
      <c r="G33" s="199"/>
      <c r="H33" s="199"/>
      <c r="J33" s="199"/>
      <c r="K33" s="199"/>
    </row>
    <row r="34" spans="1:11" x14ac:dyDescent="0.15">
      <c r="A34" s="205"/>
      <c r="B34" s="205"/>
      <c r="C34" s="206"/>
      <c r="D34" s="207"/>
      <c r="E34" s="208"/>
      <c r="F34" s="204"/>
      <c r="G34" s="209"/>
      <c r="H34" s="205"/>
      <c r="I34" s="205"/>
      <c r="J34" s="206"/>
      <c r="K34" s="199"/>
    </row>
    <row r="35" spans="1:11" s="210" customFormat="1" x14ac:dyDescent="0.25">
      <c r="A35" s="283" t="s">
        <v>92</v>
      </c>
      <c r="B35" s="283"/>
      <c r="C35" s="283"/>
      <c r="E35" s="195"/>
      <c r="F35" s="195"/>
      <c r="G35" s="211"/>
      <c r="H35" s="288" t="s">
        <v>3</v>
      </c>
      <c r="I35" s="288"/>
      <c r="J35" s="288"/>
      <c r="K35" s="288"/>
    </row>
    <row r="36" spans="1:11" s="210" customFormat="1" x14ac:dyDescent="0.25">
      <c r="A36" s="283" t="s">
        <v>1073</v>
      </c>
      <c r="B36" s="283"/>
      <c r="C36" s="283"/>
      <c r="E36" s="212"/>
      <c r="F36" s="213"/>
      <c r="G36" s="211"/>
      <c r="H36" s="284" t="s">
        <v>1003</v>
      </c>
      <c r="I36" s="284"/>
      <c r="J36" s="284"/>
      <c r="K36" s="284"/>
    </row>
    <row r="37" spans="1:11" s="210" customFormat="1" x14ac:dyDescent="0.25">
      <c r="A37" s="283" t="s">
        <v>1074</v>
      </c>
      <c r="B37" s="283"/>
      <c r="C37" s="283"/>
      <c r="H37" s="284" t="s">
        <v>1075</v>
      </c>
      <c r="I37" s="284"/>
      <c r="J37" s="284"/>
      <c r="K37" s="284"/>
    </row>
  </sheetData>
  <mergeCells count="27">
    <mergeCell ref="F16:F17"/>
    <mergeCell ref="A2:K2"/>
    <mergeCell ref="A3:K3"/>
    <mergeCell ref="A4:K4"/>
    <mergeCell ref="C13:F13"/>
    <mergeCell ref="G13:H13"/>
    <mergeCell ref="A16:A17"/>
    <mergeCell ref="B16:B17"/>
    <mergeCell ref="C16:C17"/>
    <mergeCell ref="D16:D17"/>
    <mergeCell ref="E16:E17"/>
    <mergeCell ref="A37:C37"/>
    <mergeCell ref="H37:K37"/>
    <mergeCell ref="E1:K1"/>
    <mergeCell ref="A30:C30"/>
    <mergeCell ref="H30:K30"/>
    <mergeCell ref="C32:E32"/>
    <mergeCell ref="A35:C35"/>
    <mergeCell ref="H35:K35"/>
    <mergeCell ref="A36:C36"/>
    <mergeCell ref="H36:K36"/>
    <mergeCell ref="G16:G17"/>
    <mergeCell ref="H16:I16"/>
    <mergeCell ref="J16:K16"/>
    <mergeCell ref="D18:K27"/>
    <mergeCell ref="A29:C29"/>
    <mergeCell ref="H29:K29"/>
  </mergeCells>
  <pageMargins left="0.25" right="0.25" top="0.39" bottom="0.3" header="0.3" footer="0.3"/>
  <pageSetup paperSize="9" scale="7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L87"/>
  <sheetViews>
    <sheetView showGridLines="0" showZeros="0" showOutlineSymbols="0" view="pageBreakPreview" topLeftCell="A76" zoomScale="80" zoomScaleNormal="100" zoomScaleSheetLayoutView="80" workbookViewId="0">
      <selection activeCell="D1" sqref="A1:G90"/>
    </sheetView>
  </sheetViews>
  <sheetFormatPr defaultRowHeight="12.75" x14ac:dyDescent="0.25"/>
  <cols>
    <col min="1" max="1" width="35.7109375" style="26" customWidth="1"/>
    <col min="2" max="3" width="8.5703125" style="26" customWidth="1"/>
    <col min="4" max="7" width="16.42578125" style="26" customWidth="1"/>
    <col min="8" max="8" width="9.140625" style="26"/>
    <col min="9" max="9" width="13.42578125" style="26" bestFit="1" customWidth="1"/>
    <col min="10" max="10" width="12.42578125" style="26" customWidth="1"/>
    <col min="11" max="12" width="12.28515625" style="26" bestFit="1" customWidth="1"/>
    <col min="13" max="256" width="9.140625" style="26"/>
    <col min="257" max="257" width="35.7109375" style="26" customWidth="1"/>
    <col min="258" max="259" width="8.5703125" style="26" customWidth="1"/>
    <col min="260" max="263" width="16.42578125" style="26" customWidth="1"/>
    <col min="264" max="512" width="9.140625" style="26"/>
    <col min="513" max="513" width="35.7109375" style="26" customWidth="1"/>
    <col min="514" max="515" width="8.5703125" style="26" customWidth="1"/>
    <col min="516" max="519" width="16.42578125" style="26" customWidth="1"/>
    <col min="520" max="768" width="9.140625" style="26"/>
    <col min="769" max="769" width="35.7109375" style="26" customWidth="1"/>
    <col min="770" max="771" width="8.5703125" style="26" customWidth="1"/>
    <col min="772" max="775" width="16.42578125" style="26" customWidth="1"/>
    <col min="776" max="1024" width="9.140625" style="26"/>
    <col min="1025" max="1025" width="35.7109375" style="26" customWidth="1"/>
    <col min="1026" max="1027" width="8.5703125" style="26" customWidth="1"/>
    <col min="1028" max="1031" width="16.42578125" style="26" customWidth="1"/>
    <col min="1032" max="1280" width="9.140625" style="26"/>
    <col min="1281" max="1281" width="35.7109375" style="26" customWidth="1"/>
    <col min="1282" max="1283" width="8.5703125" style="26" customWidth="1"/>
    <col min="1284" max="1287" width="16.42578125" style="26" customWidth="1"/>
    <col min="1288" max="1536" width="9.140625" style="26"/>
    <col min="1537" max="1537" width="35.7109375" style="26" customWidth="1"/>
    <col min="1538" max="1539" width="8.5703125" style="26" customWidth="1"/>
    <col min="1540" max="1543" width="16.42578125" style="26" customWidth="1"/>
    <col min="1544" max="1792" width="9.140625" style="26"/>
    <col min="1793" max="1793" width="35.7109375" style="26" customWidth="1"/>
    <col min="1794" max="1795" width="8.5703125" style="26" customWidth="1"/>
    <col min="1796" max="1799" width="16.42578125" style="26" customWidth="1"/>
    <col min="1800" max="2048" width="9.140625" style="26"/>
    <col min="2049" max="2049" width="35.7109375" style="26" customWidth="1"/>
    <col min="2050" max="2051" width="8.5703125" style="26" customWidth="1"/>
    <col min="2052" max="2055" width="16.42578125" style="26" customWidth="1"/>
    <col min="2056" max="2304" width="9.140625" style="26"/>
    <col min="2305" max="2305" width="35.7109375" style="26" customWidth="1"/>
    <col min="2306" max="2307" width="8.5703125" style="26" customWidth="1"/>
    <col min="2308" max="2311" width="16.42578125" style="26" customWidth="1"/>
    <col min="2312" max="2560" width="9.140625" style="26"/>
    <col min="2561" max="2561" width="35.7109375" style="26" customWidth="1"/>
    <col min="2562" max="2563" width="8.5703125" style="26" customWidth="1"/>
    <col min="2564" max="2567" width="16.42578125" style="26" customWidth="1"/>
    <col min="2568" max="2816" width="9.140625" style="26"/>
    <col min="2817" max="2817" width="35.7109375" style="26" customWidth="1"/>
    <col min="2818" max="2819" width="8.5703125" style="26" customWidth="1"/>
    <col min="2820" max="2823" width="16.42578125" style="26" customWidth="1"/>
    <col min="2824" max="3072" width="9.140625" style="26"/>
    <col min="3073" max="3073" width="35.7109375" style="26" customWidth="1"/>
    <col min="3074" max="3075" width="8.5703125" style="26" customWidth="1"/>
    <col min="3076" max="3079" width="16.42578125" style="26" customWidth="1"/>
    <col min="3080" max="3328" width="9.140625" style="26"/>
    <col min="3329" max="3329" width="35.7109375" style="26" customWidth="1"/>
    <col min="3330" max="3331" width="8.5703125" style="26" customWidth="1"/>
    <col min="3332" max="3335" width="16.42578125" style="26" customWidth="1"/>
    <col min="3336" max="3584" width="9.140625" style="26"/>
    <col min="3585" max="3585" width="35.7109375" style="26" customWidth="1"/>
    <col min="3586" max="3587" width="8.5703125" style="26" customWidth="1"/>
    <col min="3588" max="3591" width="16.42578125" style="26" customWidth="1"/>
    <col min="3592" max="3840" width="9.140625" style="26"/>
    <col min="3841" max="3841" width="35.7109375" style="26" customWidth="1"/>
    <col min="3842" max="3843" width="8.5703125" style="26" customWidth="1"/>
    <col min="3844" max="3847" width="16.42578125" style="26" customWidth="1"/>
    <col min="3848" max="4096" width="9.140625" style="26"/>
    <col min="4097" max="4097" width="35.7109375" style="26" customWidth="1"/>
    <col min="4098" max="4099" width="8.5703125" style="26" customWidth="1"/>
    <col min="4100" max="4103" width="16.42578125" style="26" customWidth="1"/>
    <col min="4104" max="4352" width="9.140625" style="26"/>
    <col min="4353" max="4353" width="35.7109375" style="26" customWidth="1"/>
    <col min="4354" max="4355" width="8.5703125" style="26" customWidth="1"/>
    <col min="4356" max="4359" width="16.42578125" style="26" customWidth="1"/>
    <col min="4360" max="4608" width="9.140625" style="26"/>
    <col min="4609" max="4609" width="35.7109375" style="26" customWidth="1"/>
    <col min="4610" max="4611" width="8.5703125" style="26" customWidth="1"/>
    <col min="4612" max="4615" width="16.42578125" style="26" customWidth="1"/>
    <col min="4616" max="4864" width="9.140625" style="26"/>
    <col min="4865" max="4865" width="35.7109375" style="26" customWidth="1"/>
    <col min="4866" max="4867" width="8.5703125" style="26" customWidth="1"/>
    <col min="4868" max="4871" width="16.42578125" style="26" customWidth="1"/>
    <col min="4872" max="5120" width="9.140625" style="26"/>
    <col min="5121" max="5121" width="35.7109375" style="26" customWidth="1"/>
    <col min="5122" max="5123" width="8.5703125" style="26" customWidth="1"/>
    <col min="5124" max="5127" width="16.42578125" style="26" customWidth="1"/>
    <col min="5128" max="5376" width="9.140625" style="26"/>
    <col min="5377" max="5377" width="35.7109375" style="26" customWidth="1"/>
    <col min="5378" max="5379" width="8.5703125" style="26" customWidth="1"/>
    <col min="5380" max="5383" width="16.42578125" style="26" customWidth="1"/>
    <col min="5384" max="5632" width="9.140625" style="26"/>
    <col min="5633" max="5633" width="35.7109375" style="26" customWidth="1"/>
    <col min="5634" max="5635" width="8.5703125" style="26" customWidth="1"/>
    <col min="5636" max="5639" width="16.42578125" style="26" customWidth="1"/>
    <col min="5640" max="5888" width="9.140625" style="26"/>
    <col min="5889" max="5889" width="35.7109375" style="26" customWidth="1"/>
    <col min="5890" max="5891" width="8.5703125" style="26" customWidth="1"/>
    <col min="5892" max="5895" width="16.42578125" style="26" customWidth="1"/>
    <col min="5896" max="6144" width="9.140625" style="26"/>
    <col min="6145" max="6145" width="35.7109375" style="26" customWidth="1"/>
    <col min="6146" max="6147" width="8.5703125" style="26" customWidth="1"/>
    <col min="6148" max="6151" width="16.42578125" style="26" customWidth="1"/>
    <col min="6152" max="6400" width="9.140625" style="26"/>
    <col min="6401" max="6401" width="35.7109375" style="26" customWidth="1"/>
    <col min="6402" max="6403" width="8.5703125" style="26" customWidth="1"/>
    <col min="6404" max="6407" width="16.42578125" style="26" customWidth="1"/>
    <col min="6408" max="6656" width="9.140625" style="26"/>
    <col min="6657" max="6657" width="35.7109375" style="26" customWidth="1"/>
    <col min="6658" max="6659" width="8.5703125" style="26" customWidth="1"/>
    <col min="6660" max="6663" width="16.42578125" style="26" customWidth="1"/>
    <col min="6664" max="6912" width="9.140625" style="26"/>
    <col min="6913" max="6913" width="35.7109375" style="26" customWidth="1"/>
    <col min="6914" max="6915" width="8.5703125" style="26" customWidth="1"/>
    <col min="6916" max="6919" width="16.42578125" style="26" customWidth="1"/>
    <col min="6920" max="7168" width="9.140625" style="26"/>
    <col min="7169" max="7169" width="35.7109375" style="26" customWidth="1"/>
    <col min="7170" max="7171" width="8.5703125" style="26" customWidth="1"/>
    <col min="7172" max="7175" width="16.42578125" style="26" customWidth="1"/>
    <col min="7176" max="7424" width="9.140625" style="26"/>
    <col min="7425" max="7425" width="35.7109375" style="26" customWidth="1"/>
    <col min="7426" max="7427" width="8.5703125" style="26" customWidth="1"/>
    <col min="7428" max="7431" width="16.42578125" style="26" customWidth="1"/>
    <col min="7432" max="7680" width="9.140625" style="26"/>
    <col min="7681" max="7681" width="35.7109375" style="26" customWidth="1"/>
    <col min="7682" max="7683" width="8.5703125" style="26" customWidth="1"/>
    <col min="7684" max="7687" width="16.42578125" style="26" customWidth="1"/>
    <col min="7688" max="7936" width="9.140625" style="26"/>
    <col min="7937" max="7937" width="35.7109375" style="26" customWidth="1"/>
    <col min="7938" max="7939" width="8.5703125" style="26" customWidth="1"/>
    <col min="7940" max="7943" width="16.42578125" style="26" customWidth="1"/>
    <col min="7944" max="8192" width="9.140625" style="26"/>
    <col min="8193" max="8193" width="35.7109375" style="26" customWidth="1"/>
    <col min="8194" max="8195" width="8.5703125" style="26" customWidth="1"/>
    <col min="8196" max="8199" width="16.42578125" style="26" customWidth="1"/>
    <col min="8200" max="8448" width="9.140625" style="26"/>
    <col min="8449" max="8449" width="35.7109375" style="26" customWidth="1"/>
    <col min="8450" max="8451" width="8.5703125" style="26" customWidth="1"/>
    <col min="8452" max="8455" width="16.42578125" style="26" customWidth="1"/>
    <col min="8456" max="8704" width="9.140625" style="26"/>
    <col min="8705" max="8705" width="35.7109375" style="26" customWidth="1"/>
    <col min="8706" max="8707" width="8.5703125" style="26" customWidth="1"/>
    <col min="8708" max="8711" width="16.42578125" style="26" customWidth="1"/>
    <col min="8712" max="8960" width="9.140625" style="26"/>
    <col min="8961" max="8961" width="35.7109375" style="26" customWidth="1"/>
    <col min="8962" max="8963" width="8.5703125" style="26" customWidth="1"/>
    <col min="8964" max="8967" width="16.42578125" style="26" customWidth="1"/>
    <col min="8968" max="9216" width="9.140625" style="26"/>
    <col min="9217" max="9217" width="35.7109375" style="26" customWidth="1"/>
    <col min="9218" max="9219" width="8.5703125" style="26" customWidth="1"/>
    <col min="9220" max="9223" width="16.42578125" style="26" customWidth="1"/>
    <col min="9224" max="9472" width="9.140625" style="26"/>
    <col min="9473" max="9473" width="35.7109375" style="26" customWidth="1"/>
    <col min="9474" max="9475" width="8.5703125" style="26" customWidth="1"/>
    <col min="9476" max="9479" width="16.42578125" style="26" customWidth="1"/>
    <col min="9480" max="9728" width="9.140625" style="26"/>
    <col min="9729" max="9729" width="35.7109375" style="26" customWidth="1"/>
    <col min="9730" max="9731" width="8.5703125" style="26" customWidth="1"/>
    <col min="9732" max="9735" width="16.42578125" style="26" customWidth="1"/>
    <col min="9736" max="9984" width="9.140625" style="26"/>
    <col min="9985" max="9985" width="35.7109375" style="26" customWidth="1"/>
    <col min="9986" max="9987" width="8.5703125" style="26" customWidth="1"/>
    <col min="9988" max="9991" width="16.42578125" style="26" customWidth="1"/>
    <col min="9992" max="10240" width="9.140625" style="26"/>
    <col min="10241" max="10241" width="35.7109375" style="26" customWidth="1"/>
    <col min="10242" max="10243" width="8.5703125" style="26" customWidth="1"/>
    <col min="10244" max="10247" width="16.42578125" style="26" customWidth="1"/>
    <col min="10248" max="10496" width="9.140625" style="26"/>
    <col min="10497" max="10497" width="35.7109375" style="26" customWidth="1"/>
    <col min="10498" max="10499" width="8.5703125" style="26" customWidth="1"/>
    <col min="10500" max="10503" width="16.42578125" style="26" customWidth="1"/>
    <col min="10504" max="10752" width="9.140625" style="26"/>
    <col min="10753" max="10753" width="35.7109375" style="26" customWidth="1"/>
    <col min="10754" max="10755" width="8.5703125" style="26" customWidth="1"/>
    <col min="10756" max="10759" width="16.42578125" style="26" customWidth="1"/>
    <col min="10760" max="11008" width="9.140625" style="26"/>
    <col min="11009" max="11009" width="35.7109375" style="26" customWidth="1"/>
    <col min="11010" max="11011" width="8.5703125" style="26" customWidth="1"/>
    <col min="11012" max="11015" width="16.42578125" style="26" customWidth="1"/>
    <col min="11016" max="11264" width="9.140625" style="26"/>
    <col min="11265" max="11265" width="35.7109375" style="26" customWidth="1"/>
    <col min="11266" max="11267" width="8.5703125" style="26" customWidth="1"/>
    <col min="11268" max="11271" width="16.42578125" style="26" customWidth="1"/>
    <col min="11272" max="11520" width="9.140625" style="26"/>
    <col min="11521" max="11521" width="35.7109375" style="26" customWidth="1"/>
    <col min="11522" max="11523" width="8.5703125" style="26" customWidth="1"/>
    <col min="11524" max="11527" width="16.42578125" style="26" customWidth="1"/>
    <col min="11528" max="11776" width="9.140625" style="26"/>
    <col min="11777" max="11777" width="35.7109375" style="26" customWidth="1"/>
    <col min="11778" max="11779" width="8.5703125" style="26" customWidth="1"/>
    <col min="11780" max="11783" width="16.42578125" style="26" customWidth="1"/>
    <col min="11784" max="12032" width="9.140625" style="26"/>
    <col min="12033" max="12033" width="35.7109375" style="26" customWidth="1"/>
    <col min="12034" max="12035" width="8.5703125" style="26" customWidth="1"/>
    <col min="12036" max="12039" width="16.42578125" style="26" customWidth="1"/>
    <col min="12040" max="12288" width="9.140625" style="26"/>
    <col min="12289" max="12289" width="35.7109375" style="26" customWidth="1"/>
    <col min="12290" max="12291" width="8.5703125" style="26" customWidth="1"/>
    <col min="12292" max="12295" width="16.42578125" style="26" customWidth="1"/>
    <col min="12296" max="12544" width="9.140625" style="26"/>
    <col min="12545" max="12545" width="35.7109375" style="26" customWidth="1"/>
    <col min="12546" max="12547" width="8.5703125" style="26" customWidth="1"/>
    <col min="12548" max="12551" width="16.42578125" style="26" customWidth="1"/>
    <col min="12552" max="12800" width="9.140625" style="26"/>
    <col min="12801" max="12801" width="35.7109375" style="26" customWidth="1"/>
    <col min="12802" max="12803" width="8.5703125" style="26" customWidth="1"/>
    <col min="12804" max="12807" width="16.42578125" style="26" customWidth="1"/>
    <col min="12808" max="13056" width="9.140625" style="26"/>
    <col min="13057" max="13057" width="35.7109375" style="26" customWidth="1"/>
    <col min="13058" max="13059" width="8.5703125" style="26" customWidth="1"/>
    <col min="13060" max="13063" width="16.42578125" style="26" customWidth="1"/>
    <col min="13064" max="13312" width="9.140625" style="26"/>
    <col min="13313" max="13313" width="35.7109375" style="26" customWidth="1"/>
    <col min="13314" max="13315" width="8.5703125" style="26" customWidth="1"/>
    <col min="13316" max="13319" width="16.42578125" style="26" customWidth="1"/>
    <col min="13320" max="13568" width="9.140625" style="26"/>
    <col min="13569" max="13569" width="35.7109375" style="26" customWidth="1"/>
    <col min="13570" max="13571" width="8.5703125" style="26" customWidth="1"/>
    <col min="13572" max="13575" width="16.42578125" style="26" customWidth="1"/>
    <col min="13576" max="13824" width="9.140625" style="26"/>
    <col min="13825" max="13825" width="35.7109375" style="26" customWidth="1"/>
    <col min="13826" max="13827" width="8.5703125" style="26" customWidth="1"/>
    <col min="13828" max="13831" width="16.42578125" style="26" customWidth="1"/>
    <col min="13832" max="14080" width="9.140625" style="26"/>
    <col min="14081" max="14081" width="35.7109375" style="26" customWidth="1"/>
    <col min="14082" max="14083" width="8.5703125" style="26" customWidth="1"/>
    <col min="14084" max="14087" width="16.42578125" style="26" customWidth="1"/>
    <col min="14088" max="14336" width="9.140625" style="26"/>
    <col min="14337" max="14337" width="35.7109375" style="26" customWidth="1"/>
    <col min="14338" max="14339" width="8.5703125" style="26" customWidth="1"/>
    <col min="14340" max="14343" width="16.42578125" style="26" customWidth="1"/>
    <col min="14344" max="14592" width="9.140625" style="26"/>
    <col min="14593" max="14593" width="35.7109375" style="26" customWidth="1"/>
    <col min="14594" max="14595" width="8.5703125" style="26" customWidth="1"/>
    <col min="14596" max="14599" width="16.42578125" style="26" customWidth="1"/>
    <col min="14600" max="14848" width="9.140625" style="26"/>
    <col min="14849" max="14849" width="35.7109375" style="26" customWidth="1"/>
    <col min="14850" max="14851" width="8.5703125" style="26" customWidth="1"/>
    <col min="14852" max="14855" width="16.42578125" style="26" customWidth="1"/>
    <col min="14856" max="15104" width="9.140625" style="26"/>
    <col min="15105" max="15105" width="35.7109375" style="26" customWidth="1"/>
    <col min="15106" max="15107" width="8.5703125" style="26" customWidth="1"/>
    <col min="15108" max="15111" width="16.42578125" style="26" customWidth="1"/>
    <col min="15112" max="15360" width="9.140625" style="26"/>
    <col min="15361" max="15361" width="35.7109375" style="26" customWidth="1"/>
    <col min="15362" max="15363" width="8.5703125" style="26" customWidth="1"/>
    <col min="15364" max="15367" width="16.42578125" style="26" customWidth="1"/>
    <col min="15368" max="15616" width="9.140625" style="26"/>
    <col min="15617" max="15617" width="35.7109375" style="26" customWidth="1"/>
    <col min="15618" max="15619" width="8.5703125" style="26" customWidth="1"/>
    <col min="15620" max="15623" width="16.42578125" style="26" customWidth="1"/>
    <col min="15624" max="15872" width="9.140625" style="26"/>
    <col min="15873" max="15873" width="35.7109375" style="26" customWidth="1"/>
    <col min="15874" max="15875" width="8.5703125" style="26" customWidth="1"/>
    <col min="15876" max="15879" width="16.42578125" style="26" customWidth="1"/>
    <col min="15880" max="16128" width="9.140625" style="26"/>
    <col min="16129" max="16129" width="35.7109375" style="26" customWidth="1"/>
    <col min="16130" max="16131" width="8.5703125" style="26" customWidth="1"/>
    <col min="16132" max="16135" width="16.42578125" style="26" customWidth="1"/>
    <col min="16136" max="16384" width="9.140625" style="26"/>
  </cols>
  <sheetData>
    <row r="1" spans="1:7" ht="31.5" customHeight="1" x14ac:dyDescent="0.25">
      <c r="A1" s="27"/>
      <c r="B1" s="278"/>
      <c r="C1" s="278"/>
      <c r="D1" s="266" t="s">
        <v>1084</v>
      </c>
      <c r="E1" s="266"/>
      <c r="F1" s="266"/>
      <c r="G1" s="266"/>
    </row>
    <row r="2" spans="1:7" ht="30" customHeight="1" x14ac:dyDescent="0.25">
      <c r="A2" s="321" t="s">
        <v>739</v>
      </c>
      <c r="B2" s="321"/>
      <c r="C2" s="321"/>
      <c r="D2" s="321"/>
      <c r="E2" s="321"/>
      <c r="F2" s="321"/>
      <c r="G2" s="321"/>
    </row>
    <row r="3" spans="1:7" ht="9.75" customHeight="1" x14ac:dyDescent="0.25">
      <c r="A3" s="27"/>
      <c r="B3" s="278"/>
      <c r="C3" s="278"/>
      <c r="D3" s="278"/>
      <c r="E3" s="278"/>
      <c r="F3" s="278"/>
      <c r="G3" s="278"/>
    </row>
    <row r="4" spans="1:7" ht="13.5" customHeight="1" x14ac:dyDescent="0.25">
      <c r="A4" s="320" t="s">
        <v>740</v>
      </c>
      <c r="B4" s="320"/>
      <c r="C4" s="320"/>
      <c r="D4" s="320"/>
      <c r="E4" s="320"/>
      <c r="F4" s="320"/>
      <c r="G4" s="320"/>
    </row>
    <row r="5" spans="1:7" ht="13.5" customHeight="1" x14ac:dyDescent="0.25">
      <c r="A5" s="280" t="s">
        <v>741</v>
      </c>
      <c r="B5" s="280"/>
      <c r="C5" s="280"/>
      <c r="D5" s="280"/>
      <c r="E5" s="280"/>
      <c r="F5" s="280"/>
      <c r="G5" s="280"/>
    </row>
    <row r="6" spans="1:7" ht="12" customHeight="1" x14ac:dyDescent="0.25">
      <c r="A6" s="281" t="s">
        <v>1080</v>
      </c>
      <c r="B6" s="281"/>
      <c r="C6" s="281"/>
      <c r="D6" s="281"/>
      <c r="E6" s="281"/>
      <c r="F6" s="281"/>
      <c r="G6" s="281"/>
    </row>
    <row r="7" spans="1:7" ht="9.75" customHeight="1" x14ac:dyDescent="0.25">
      <c r="A7" s="27"/>
      <c r="B7" s="278"/>
      <c r="C7" s="278"/>
      <c r="D7" s="278"/>
      <c r="E7" s="278"/>
      <c r="F7" s="278"/>
      <c r="G7" s="278"/>
    </row>
    <row r="8" spans="1:7" ht="15.75" customHeight="1" x14ac:dyDescent="0.25">
      <c r="A8" s="99" t="s">
        <v>2</v>
      </c>
      <c r="B8" s="261" t="s">
        <v>97</v>
      </c>
      <c r="C8" s="261"/>
      <c r="D8" s="261"/>
      <c r="E8" s="261"/>
      <c r="F8" s="261"/>
      <c r="G8" s="261"/>
    </row>
    <row r="9" spans="1:7" ht="15.75" customHeight="1" x14ac:dyDescent="0.25">
      <c r="A9" s="30" t="s">
        <v>4</v>
      </c>
      <c r="B9" s="272" t="s">
        <v>5</v>
      </c>
      <c r="C9" s="272"/>
      <c r="D9" s="272"/>
      <c r="E9" s="272"/>
      <c r="F9" s="272"/>
      <c r="G9" s="272"/>
    </row>
    <row r="10" spans="1:7" ht="15.75" customHeight="1" x14ac:dyDescent="0.25">
      <c r="A10" s="99" t="s">
        <v>6</v>
      </c>
      <c r="B10" s="261" t="s">
        <v>100</v>
      </c>
      <c r="C10" s="261"/>
      <c r="D10" s="261"/>
      <c r="E10" s="261"/>
      <c r="F10" s="261"/>
      <c r="G10" s="261"/>
    </row>
    <row r="11" spans="1:7" ht="15.75" customHeight="1" x14ac:dyDescent="0.25">
      <c r="A11" s="30" t="s">
        <v>297</v>
      </c>
      <c r="B11" s="272" t="s">
        <v>9</v>
      </c>
      <c r="C11" s="272"/>
      <c r="D11" s="272"/>
      <c r="E11" s="272"/>
      <c r="F11" s="272"/>
      <c r="G11" s="272"/>
    </row>
    <row r="12" spans="1:7" x14ac:dyDescent="0.25">
      <c r="A12" s="99" t="s">
        <v>10</v>
      </c>
      <c r="B12" s="273" t="s">
        <v>1085</v>
      </c>
      <c r="C12" s="273"/>
      <c r="D12" s="273"/>
      <c r="E12" s="273"/>
      <c r="F12" s="273"/>
      <c r="G12" s="273"/>
    </row>
    <row r="13" spans="1:7" ht="15.75" customHeight="1" x14ac:dyDescent="0.25">
      <c r="A13" s="30" t="s">
        <v>298</v>
      </c>
      <c r="B13" s="272" t="s">
        <v>103</v>
      </c>
      <c r="C13" s="272"/>
      <c r="D13" s="272"/>
      <c r="E13" s="272"/>
      <c r="F13" s="272"/>
      <c r="G13" s="272"/>
    </row>
    <row r="14" spans="1:7" ht="15.75" customHeight="1" x14ac:dyDescent="0.25">
      <c r="A14" s="99" t="s">
        <v>14</v>
      </c>
      <c r="B14" s="274">
        <v>43983</v>
      </c>
      <c r="C14" s="273"/>
      <c r="D14" s="273"/>
      <c r="E14" s="273"/>
      <c r="F14" s="273"/>
      <c r="G14" s="273"/>
    </row>
    <row r="15" spans="1:7" ht="15.75" customHeight="1" x14ac:dyDescent="0.25">
      <c r="A15" s="30" t="s">
        <v>15</v>
      </c>
      <c r="B15" s="259">
        <v>43983</v>
      </c>
      <c r="C15" s="259"/>
      <c r="D15" s="259"/>
      <c r="E15" s="259"/>
      <c r="F15" s="259"/>
      <c r="G15" s="259"/>
    </row>
    <row r="16" spans="1:7" ht="16.5" customHeight="1" x14ac:dyDescent="0.25">
      <c r="A16" s="32"/>
      <c r="B16" s="314"/>
      <c r="C16" s="314"/>
      <c r="D16" s="314"/>
      <c r="E16" s="314"/>
      <c r="F16" s="276" t="s">
        <v>106</v>
      </c>
      <c r="G16" s="276"/>
    </row>
    <row r="17" spans="1:12" ht="33.75" customHeight="1" x14ac:dyDescent="0.25">
      <c r="A17" s="315" t="s">
        <v>108</v>
      </c>
      <c r="B17" s="317" t="s">
        <v>611</v>
      </c>
      <c r="C17" s="317" t="s">
        <v>612</v>
      </c>
      <c r="D17" s="317" t="s">
        <v>613</v>
      </c>
      <c r="E17" s="317"/>
      <c r="F17" s="317" t="s">
        <v>614</v>
      </c>
      <c r="G17" s="319"/>
    </row>
    <row r="18" spans="1:12" ht="33.75" customHeight="1" x14ac:dyDescent="0.25">
      <c r="A18" s="316"/>
      <c r="B18" s="318"/>
      <c r="C18" s="318"/>
      <c r="D18" s="100" t="s">
        <v>1081</v>
      </c>
      <c r="E18" s="100" t="s">
        <v>615</v>
      </c>
      <c r="F18" s="100" t="s">
        <v>1083</v>
      </c>
      <c r="G18" s="101" t="s">
        <v>615</v>
      </c>
    </row>
    <row r="19" spans="1:12" ht="31.5" x14ac:dyDescent="0.25">
      <c r="A19" s="102" t="s">
        <v>616</v>
      </c>
      <c r="B19" s="38" t="s">
        <v>617</v>
      </c>
      <c r="C19" s="103"/>
      <c r="D19" s="63">
        <f>D20+D23+D26+D30+D31+D32+D33+D34</f>
        <v>9151611253</v>
      </c>
      <c r="E19" s="63">
        <f>E20+E23+E26+E30+E31+E32+E33+E34</f>
        <v>18356552853</v>
      </c>
      <c r="F19" s="63">
        <f>F20+F23+F26+F30+F31+F32+F33+F34</f>
        <v>0</v>
      </c>
      <c r="G19" s="64">
        <f>G20+G23+G26+G30+G31+G32+G33+G34</f>
        <v>0</v>
      </c>
      <c r="K19" s="219"/>
      <c r="L19" s="219"/>
    </row>
    <row r="20" spans="1:12" ht="21" x14ac:dyDescent="0.25">
      <c r="A20" s="104" t="s">
        <v>618</v>
      </c>
      <c r="B20" s="43" t="s">
        <v>619</v>
      </c>
      <c r="C20" s="105"/>
      <c r="D20" s="68">
        <f>D21+D22</f>
        <v>573300000</v>
      </c>
      <c r="E20" s="68">
        <f>E21+E22</f>
        <v>727320000</v>
      </c>
      <c r="F20" s="68">
        <f>F21+F22</f>
        <v>0</v>
      </c>
      <c r="G20" s="69">
        <f>G21+G22</f>
        <v>0</v>
      </c>
      <c r="K20" s="219"/>
      <c r="L20" s="219"/>
    </row>
    <row r="21" spans="1:12" ht="21" x14ac:dyDescent="0.25">
      <c r="A21" s="106" t="s">
        <v>620</v>
      </c>
      <c r="B21" s="48" t="s">
        <v>621</v>
      </c>
      <c r="C21" s="107"/>
      <c r="D21" s="73">
        <v>573300000</v>
      </c>
      <c r="E21" s="73">
        <v>727320000</v>
      </c>
      <c r="F21" s="73">
        <v>0</v>
      </c>
      <c r="G21" s="74">
        <v>0</v>
      </c>
      <c r="K21" s="219"/>
      <c r="L21" s="219"/>
    </row>
    <row r="22" spans="1:12" ht="21" x14ac:dyDescent="0.25">
      <c r="A22" s="106" t="s">
        <v>622</v>
      </c>
      <c r="B22" s="48" t="s">
        <v>623</v>
      </c>
      <c r="C22" s="107"/>
      <c r="D22" s="73">
        <v>0</v>
      </c>
      <c r="E22" s="73">
        <v>0</v>
      </c>
      <c r="F22" s="73">
        <v>0</v>
      </c>
      <c r="G22" s="74">
        <v>0</v>
      </c>
      <c r="K22" s="219"/>
      <c r="L22" s="219"/>
    </row>
    <row r="23" spans="1:12" ht="21" x14ac:dyDescent="0.25">
      <c r="A23" s="104" t="s">
        <v>624</v>
      </c>
      <c r="B23" s="43" t="s">
        <v>625</v>
      </c>
      <c r="C23" s="105"/>
      <c r="D23" s="68">
        <f>D24+D25</f>
        <v>239203</v>
      </c>
      <c r="E23" s="68">
        <f>E24+E25</f>
        <v>239203</v>
      </c>
      <c r="F23" s="68">
        <f>F24+F25</f>
        <v>0</v>
      </c>
      <c r="G23" s="69">
        <f>G24+G25</f>
        <v>0</v>
      </c>
      <c r="K23" s="219"/>
      <c r="L23" s="219"/>
    </row>
    <row r="24" spans="1:12" ht="21" x14ac:dyDescent="0.25">
      <c r="A24" s="106" t="s">
        <v>626</v>
      </c>
      <c r="B24" s="48" t="s">
        <v>627</v>
      </c>
      <c r="C24" s="107"/>
      <c r="D24" s="73">
        <v>239203</v>
      </c>
      <c r="E24" s="73">
        <v>239203</v>
      </c>
      <c r="F24" s="73">
        <v>0</v>
      </c>
      <c r="G24" s="74">
        <v>0</v>
      </c>
      <c r="K24" s="219"/>
      <c r="L24" s="219"/>
    </row>
    <row r="25" spans="1:12" ht="21" x14ac:dyDescent="0.25">
      <c r="A25" s="106" t="s">
        <v>628</v>
      </c>
      <c r="B25" s="48" t="s">
        <v>629</v>
      </c>
      <c r="C25" s="107"/>
      <c r="D25" s="73">
        <v>0</v>
      </c>
      <c r="E25" s="73">
        <v>0</v>
      </c>
      <c r="F25" s="73">
        <v>0</v>
      </c>
      <c r="G25" s="74">
        <v>0</v>
      </c>
      <c r="K25" s="219"/>
      <c r="L25" s="219"/>
    </row>
    <row r="26" spans="1:12" ht="31.5" x14ac:dyDescent="0.25">
      <c r="A26" s="104" t="s">
        <v>630</v>
      </c>
      <c r="B26" s="43" t="s">
        <v>631</v>
      </c>
      <c r="C26" s="105"/>
      <c r="D26" s="68">
        <f>D27+D28+D29</f>
        <v>36562320</v>
      </c>
      <c r="E26" s="68">
        <f>E27+E28+E29</f>
        <v>364008320</v>
      </c>
      <c r="F26" s="68">
        <f>F27+F28+F29</f>
        <v>0</v>
      </c>
      <c r="G26" s="69">
        <f>G27+G28+G29</f>
        <v>0</v>
      </c>
      <c r="K26" s="219"/>
      <c r="L26" s="219"/>
    </row>
    <row r="27" spans="1:12" ht="21" x14ac:dyDescent="0.25">
      <c r="A27" s="106" t="s">
        <v>632</v>
      </c>
      <c r="B27" s="48" t="s">
        <v>633</v>
      </c>
      <c r="C27" s="107"/>
      <c r="D27" s="73">
        <v>36562320</v>
      </c>
      <c r="E27" s="73">
        <v>364008320</v>
      </c>
      <c r="F27" s="73">
        <v>0</v>
      </c>
      <c r="G27" s="74">
        <v>0</v>
      </c>
      <c r="K27" s="219"/>
      <c r="L27" s="219"/>
    </row>
    <row r="28" spans="1:12" ht="42" x14ac:dyDescent="0.25">
      <c r="A28" s="106" t="s">
        <v>634</v>
      </c>
      <c r="B28" s="48" t="s">
        <v>635</v>
      </c>
      <c r="C28" s="107"/>
      <c r="D28" s="73">
        <v>0</v>
      </c>
      <c r="E28" s="73">
        <v>0</v>
      </c>
      <c r="F28" s="73">
        <v>0</v>
      </c>
      <c r="G28" s="74">
        <v>0</v>
      </c>
      <c r="K28" s="219"/>
      <c r="L28" s="219"/>
    </row>
    <row r="29" spans="1:12" ht="42" x14ac:dyDescent="0.25">
      <c r="A29" s="106" t="s">
        <v>636</v>
      </c>
      <c r="B29" s="48" t="s">
        <v>637</v>
      </c>
      <c r="C29" s="107"/>
      <c r="D29" s="73">
        <v>0</v>
      </c>
      <c r="E29" s="73">
        <v>0</v>
      </c>
      <c r="F29" s="73">
        <v>0</v>
      </c>
      <c r="G29" s="74">
        <v>0</v>
      </c>
      <c r="K29" s="219"/>
      <c r="L29" s="219"/>
    </row>
    <row r="30" spans="1:12" ht="42" x14ac:dyDescent="0.25">
      <c r="A30" s="104" t="s">
        <v>638</v>
      </c>
      <c r="B30" s="43" t="s">
        <v>639</v>
      </c>
      <c r="C30" s="105"/>
      <c r="D30" s="68">
        <v>8541509730</v>
      </c>
      <c r="E30" s="68">
        <v>17264985330</v>
      </c>
      <c r="F30" s="68">
        <v>0</v>
      </c>
      <c r="G30" s="69">
        <v>0</v>
      </c>
      <c r="K30" s="219"/>
      <c r="L30" s="219"/>
    </row>
    <row r="31" spans="1:12" ht="21" x14ac:dyDescent="0.25">
      <c r="A31" s="104" t="s">
        <v>640</v>
      </c>
      <c r="B31" s="43" t="s">
        <v>641</v>
      </c>
      <c r="C31" s="105"/>
      <c r="D31" s="68">
        <v>0</v>
      </c>
      <c r="E31" s="68">
        <v>0</v>
      </c>
      <c r="F31" s="68">
        <v>0</v>
      </c>
      <c r="G31" s="69">
        <v>0</v>
      </c>
      <c r="K31" s="219"/>
      <c r="L31" s="219"/>
    </row>
    <row r="32" spans="1:12" ht="42" x14ac:dyDescent="0.25">
      <c r="A32" s="104" t="s">
        <v>642</v>
      </c>
      <c r="B32" s="43" t="s">
        <v>643</v>
      </c>
      <c r="C32" s="105"/>
      <c r="D32" s="68">
        <v>0</v>
      </c>
      <c r="E32" s="68">
        <v>0</v>
      </c>
      <c r="F32" s="68">
        <v>0</v>
      </c>
      <c r="G32" s="69">
        <v>0</v>
      </c>
      <c r="K32" s="219"/>
      <c r="L32" s="219"/>
    </row>
    <row r="33" spans="1:12" ht="21" x14ac:dyDescent="0.25">
      <c r="A33" s="104" t="s">
        <v>644</v>
      </c>
      <c r="B33" s="43" t="s">
        <v>645</v>
      </c>
      <c r="C33" s="105"/>
      <c r="D33" s="68">
        <v>0</v>
      </c>
      <c r="E33" s="68">
        <v>0</v>
      </c>
      <c r="F33" s="68">
        <v>0</v>
      </c>
      <c r="G33" s="69">
        <v>0</v>
      </c>
      <c r="K33" s="219"/>
      <c r="L33" s="219"/>
    </row>
    <row r="34" spans="1:12" ht="63" x14ac:dyDescent="0.25">
      <c r="A34" s="104" t="s">
        <v>646</v>
      </c>
      <c r="B34" s="43" t="s">
        <v>647</v>
      </c>
      <c r="C34" s="105"/>
      <c r="D34" s="68">
        <v>0</v>
      </c>
      <c r="E34" s="68">
        <v>0</v>
      </c>
      <c r="F34" s="68">
        <v>0</v>
      </c>
      <c r="G34" s="69">
        <v>0</v>
      </c>
      <c r="K34" s="219"/>
      <c r="L34" s="219"/>
    </row>
    <row r="35" spans="1:12" ht="21" x14ac:dyDescent="0.25">
      <c r="A35" s="102" t="s">
        <v>648</v>
      </c>
      <c r="B35" s="38" t="s">
        <v>471</v>
      </c>
      <c r="C35" s="103"/>
      <c r="D35" s="63">
        <f>D36+D39+D40+D41+D42</f>
        <v>12253711</v>
      </c>
      <c r="E35" s="63">
        <f>E36+E39+E40+E41+E42</f>
        <v>19305236</v>
      </c>
      <c r="F35" s="63">
        <f>F36+F39+F40+F41+F42</f>
        <v>0</v>
      </c>
      <c r="G35" s="64">
        <f>G36+G39+G40+G41+G42</f>
        <v>0</v>
      </c>
      <c r="K35" s="219"/>
      <c r="L35" s="219"/>
    </row>
    <row r="36" spans="1:12" ht="21" x14ac:dyDescent="0.25">
      <c r="A36" s="104" t="s">
        <v>649</v>
      </c>
      <c r="B36" s="43" t="s">
        <v>474</v>
      </c>
      <c r="C36" s="105"/>
      <c r="D36" s="68">
        <f>D37+D38</f>
        <v>12253711</v>
      </c>
      <c r="E36" s="68">
        <f>E37+E38</f>
        <v>19305236</v>
      </c>
      <c r="F36" s="68">
        <f>F37+F38</f>
        <v>0</v>
      </c>
      <c r="G36" s="69">
        <f>G37+G38</f>
        <v>0</v>
      </c>
      <c r="K36" s="219"/>
      <c r="L36" s="219"/>
    </row>
    <row r="37" spans="1:12" ht="21" x14ac:dyDescent="0.25">
      <c r="A37" s="106" t="s">
        <v>650</v>
      </c>
      <c r="B37" s="48" t="s">
        <v>651</v>
      </c>
      <c r="C37" s="107"/>
      <c r="D37" s="73">
        <v>12253711</v>
      </c>
      <c r="E37" s="73">
        <v>19305236</v>
      </c>
      <c r="F37" s="73">
        <v>0</v>
      </c>
      <c r="G37" s="74">
        <v>0</v>
      </c>
      <c r="K37" s="219"/>
      <c r="L37" s="219"/>
    </row>
    <row r="38" spans="1:12" ht="21" x14ac:dyDescent="0.25">
      <c r="A38" s="106" t="s">
        <v>652</v>
      </c>
      <c r="B38" s="48" t="s">
        <v>653</v>
      </c>
      <c r="C38" s="107"/>
      <c r="D38" s="73">
        <v>0</v>
      </c>
      <c r="E38" s="73">
        <v>0</v>
      </c>
      <c r="F38" s="73">
        <v>0</v>
      </c>
      <c r="G38" s="74">
        <v>0</v>
      </c>
      <c r="K38" s="219"/>
      <c r="L38" s="219"/>
    </row>
    <row r="39" spans="1:12" ht="31.5" x14ac:dyDescent="0.25">
      <c r="A39" s="104" t="s">
        <v>654</v>
      </c>
      <c r="B39" s="43" t="s">
        <v>477</v>
      </c>
      <c r="C39" s="105"/>
      <c r="D39" s="68">
        <v>0</v>
      </c>
      <c r="E39" s="68">
        <v>0</v>
      </c>
      <c r="F39" s="68">
        <v>0</v>
      </c>
      <c r="G39" s="69">
        <v>0</v>
      </c>
      <c r="K39" s="219"/>
      <c r="L39" s="219"/>
    </row>
    <row r="40" spans="1:12" ht="21" x14ac:dyDescent="0.25">
      <c r="A40" s="104" t="s">
        <v>655</v>
      </c>
      <c r="B40" s="43" t="s">
        <v>480</v>
      </c>
      <c r="C40" s="105"/>
      <c r="D40" s="68">
        <v>0</v>
      </c>
      <c r="E40" s="68">
        <v>0</v>
      </c>
      <c r="F40" s="68">
        <v>0</v>
      </c>
      <c r="G40" s="69">
        <v>0</v>
      </c>
      <c r="K40" s="219"/>
      <c r="L40" s="219"/>
    </row>
    <row r="41" spans="1:12" ht="52.5" x14ac:dyDescent="0.25">
      <c r="A41" s="104" t="s">
        <v>656</v>
      </c>
      <c r="B41" s="43" t="s">
        <v>483</v>
      </c>
      <c r="C41" s="105"/>
      <c r="D41" s="68">
        <v>0</v>
      </c>
      <c r="E41" s="68">
        <v>0</v>
      </c>
      <c r="F41" s="68">
        <v>0</v>
      </c>
      <c r="G41" s="69">
        <v>0</v>
      </c>
      <c r="K41" s="219"/>
      <c r="L41" s="219"/>
    </row>
    <row r="42" spans="1:12" ht="21" x14ac:dyDescent="0.25">
      <c r="A42" s="104" t="s">
        <v>657</v>
      </c>
      <c r="B42" s="43" t="s">
        <v>658</v>
      </c>
      <c r="C42" s="105"/>
      <c r="D42" s="68">
        <v>0</v>
      </c>
      <c r="E42" s="68">
        <v>0</v>
      </c>
      <c r="F42" s="68">
        <v>0</v>
      </c>
      <c r="G42" s="69">
        <v>0</v>
      </c>
      <c r="K42" s="219"/>
      <c r="L42" s="219"/>
    </row>
    <row r="43" spans="1:12" ht="21" x14ac:dyDescent="0.25">
      <c r="A43" s="102" t="s">
        <v>659</v>
      </c>
      <c r="B43" s="38" t="s">
        <v>660</v>
      </c>
      <c r="C43" s="103"/>
      <c r="D43" s="63">
        <f>D44+D45+D50+D51+D52+D53+D56+D57+D58+D59</f>
        <v>346459964</v>
      </c>
      <c r="E43" s="63">
        <f>E44+E45+E50+E51+E52+E53+E56+E57+E58+E59</f>
        <v>438236146</v>
      </c>
      <c r="F43" s="63">
        <f>F44+F45+F50+F51+F52+F53+F56+F57+F58+F59</f>
        <v>0</v>
      </c>
      <c r="G43" s="64">
        <f>G44+G45+G50+G51+G52+G53+G56+G57+G58+G59</f>
        <v>0</v>
      </c>
      <c r="K43" s="219"/>
      <c r="L43" s="219"/>
    </row>
    <row r="44" spans="1:12" ht="21" x14ac:dyDescent="0.25">
      <c r="A44" s="104" t="s">
        <v>661</v>
      </c>
      <c r="B44" s="43" t="s">
        <v>662</v>
      </c>
      <c r="C44" s="105"/>
      <c r="D44" s="68">
        <v>248373715</v>
      </c>
      <c r="E44" s="68">
        <v>270193928</v>
      </c>
      <c r="F44" s="68">
        <v>0</v>
      </c>
      <c r="G44" s="69">
        <v>0</v>
      </c>
      <c r="K44" s="219"/>
      <c r="L44" s="219"/>
    </row>
    <row r="45" spans="1:12" ht="21" x14ac:dyDescent="0.25">
      <c r="A45" s="104" t="s">
        <v>663</v>
      </c>
      <c r="B45" s="43" t="s">
        <v>664</v>
      </c>
      <c r="C45" s="105"/>
      <c r="D45" s="68">
        <f>D46+D47+D48+D49</f>
        <v>11874894</v>
      </c>
      <c r="E45" s="68">
        <f>E46+E47+E48+E49</f>
        <v>15674894</v>
      </c>
      <c r="F45" s="68">
        <f>F46+F47+F48+F49</f>
        <v>0</v>
      </c>
      <c r="G45" s="69">
        <f>G46+G47+G48+G49</f>
        <v>0</v>
      </c>
      <c r="K45" s="219"/>
      <c r="L45" s="219"/>
    </row>
    <row r="46" spans="1:12" ht="21" x14ac:dyDescent="0.25">
      <c r="A46" s="106" t="s">
        <v>665</v>
      </c>
      <c r="B46" s="48" t="s">
        <v>666</v>
      </c>
      <c r="C46" s="107"/>
      <c r="D46" s="73">
        <v>10516520</v>
      </c>
      <c r="E46" s="73">
        <v>13516520</v>
      </c>
      <c r="F46" s="73">
        <v>0</v>
      </c>
      <c r="G46" s="74">
        <v>0</v>
      </c>
      <c r="K46" s="219"/>
      <c r="L46" s="219"/>
    </row>
    <row r="47" spans="1:12" ht="21" x14ac:dyDescent="0.25">
      <c r="A47" s="106" t="s">
        <v>667</v>
      </c>
      <c r="B47" s="48" t="s">
        <v>668</v>
      </c>
      <c r="C47" s="107"/>
      <c r="D47" s="73">
        <v>1200000</v>
      </c>
      <c r="E47" s="73">
        <v>2000000</v>
      </c>
      <c r="F47" s="73">
        <v>0</v>
      </c>
      <c r="G47" s="74">
        <v>0</v>
      </c>
      <c r="K47" s="219"/>
      <c r="L47" s="219"/>
    </row>
    <row r="48" spans="1:12" ht="21" x14ac:dyDescent="0.25">
      <c r="A48" s="106" t="s">
        <v>669</v>
      </c>
      <c r="B48" s="48" t="s">
        <v>670</v>
      </c>
      <c r="C48" s="107"/>
      <c r="D48" s="73">
        <v>158374</v>
      </c>
      <c r="E48" s="73">
        <v>158374</v>
      </c>
      <c r="F48" s="73">
        <v>0</v>
      </c>
      <c r="G48" s="74">
        <v>0</v>
      </c>
      <c r="K48" s="219"/>
      <c r="L48" s="219"/>
    </row>
    <row r="49" spans="1:12" ht="42" x14ac:dyDescent="0.25">
      <c r="A49" s="106" t="s">
        <v>671</v>
      </c>
      <c r="B49" s="48" t="s">
        <v>672</v>
      </c>
      <c r="C49" s="107"/>
      <c r="D49" s="73">
        <v>0</v>
      </c>
      <c r="E49" s="73">
        <v>0</v>
      </c>
      <c r="F49" s="73">
        <v>0</v>
      </c>
      <c r="G49" s="74">
        <v>0</v>
      </c>
      <c r="K49" s="219"/>
      <c r="L49" s="219"/>
    </row>
    <row r="50" spans="1:12" ht="21" x14ac:dyDescent="0.25">
      <c r="A50" s="104" t="s">
        <v>673</v>
      </c>
      <c r="B50" s="43" t="s">
        <v>674</v>
      </c>
      <c r="C50" s="105"/>
      <c r="D50" s="68">
        <v>23060729</v>
      </c>
      <c r="E50" s="68">
        <v>28010729</v>
      </c>
      <c r="F50" s="68">
        <v>0</v>
      </c>
      <c r="G50" s="69">
        <v>0</v>
      </c>
      <c r="K50" s="219"/>
      <c r="L50" s="219"/>
    </row>
    <row r="51" spans="1:12" ht="21" x14ac:dyDescent="0.25">
      <c r="A51" s="104" t="s">
        <v>675</v>
      </c>
      <c r="B51" s="43" t="s">
        <v>676</v>
      </c>
      <c r="C51" s="105"/>
      <c r="D51" s="68">
        <v>17352250</v>
      </c>
      <c r="E51" s="68">
        <v>22302250</v>
      </c>
      <c r="F51" s="68">
        <v>0</v>
      </c>
      <c r="G51" s="69">
        <v>0</v>
      </c>
      <c r="K51" s="219"/>
      <c r="L51" s="219"/>
    </row>
    <row r="52" spans="1:12" ht="21" x14ac:dyDescent="0.25">
      <c r="A52" s="104" t="s">
        <v>677</v>
      </c>
      <c r="B52" s="43" t="s">
        <v>678</v>
      </c>
      <c r="C52" s="105"/>
      <c r="D52" s="68">
        <v>3548383</v>
      </c>
      <c r="E52" s="68">
        <v>3548383</v>
      </c>
      <c r="F52" s="68">
        <v>0</v>
      </c>
      <c r="G52" s="69">
        <v>0</v>
      </c>
      <c r="K52" s="219"/>
      <c r="L52" s="219"/>
    </row>
    <row r="53" spans="1:12" ht="31.5" x14ac:dyDescent="0.25">
      <c r="A53" s="104" t="s">
        <v>679</v>
      </c>
      <c r="B53" s="43" t="s">
        <v>680</v>
      </c>
      <c r="C53" s="105"/>
      <c r="D53" s="68">
        <f>D54+D55</f>
        <v>41166808</v>
      </c>
      <c r="E53" s="68">
        <f>E54+E55</f>
        <v>47068447</v>
      </c>
      <c r="F53" s="68">
        <f>F54+F55</f>
        <v>0</v>
      </c>
      <c r="G53" s="69">
        <f>G54+G55</f>
        <v>0</v>
      </c>
      <c r="K53" s="219"/>
      <c r="L53" s="219"/>
    </row>
    <row r="54" spans="1:12" ht="42" x14ac:dyDescent="0.25">
      <c r="A54" s="106" t="s">
        <v>681</v>
      </c>
      <c r="B54" s="48" t="s">
        <v>682</v>
      </c>
      <c r="C54" s="107"/>
      <c r="D54" s="73">
        <v>13819731</v>
      </c>
      <c r="E54" s="73">
        <v>13819731</v>
      </c>
      <c r="F54" s="73">
        <v>0</v>
      </c>
      <c r="G54" s="74">
        <v>0</v>
      </c>
      <c r="K54" s="219"/>
      <c r="L54" s="219"/>
    </row>
    <row r="55" spans="1:12" ht="42" x14ac:dyDescent="0.25">
      <c r="A55" s="106" t="s">
        <v>683</v>
      </c>
      <c r="B55" s="48" t="s">
        <v>684</v>
      </c>
      <c r="C55" s="107"/>
      <c r="D55" s="73">
        <v>27347077</v>
      </c>
      <c r="E55" s="73">
        <v>33248716</v>
      </c>
      <c r="F55" s="73">
        <v>0</v>
      </c>
      <c r="G55" s="74">
        <v>0</v>
      </c>
      <c r="K55" s="219"/>
      <c r="L55" s="219"/>
    </row>
    <row r="56" spans="1:12" ht="21" x14ac:dyDescent="0.25">
      <c r="A56" s="104" t="s">
        <v>685</v>
      </c>
      <c r="B56" s="43" t="s">
        <v>686</v>
      </c>
      <c r="C56" s="105"/>
      <c r="D56" s="68">
        <v>0</v>
      </c>
      <c r="E56" s="68">
        <v>0</v>
      </c>
      <c r="F56" s="68">
        <v>0</v>
      </c>
      <c r="G56" s="69">
        <v>0</v>
      </c>
      <c r="K56" s="219"/>
      <c r="L56" s="219"/>
    </row>
    <row r="57" spans="1:12" ht="21" x14ac:dyDescent="0.25">
      <c r="A57" s="104" t="s">
        <v>687</v>
      </c>
      <c r="B57" s="43" t="s">
        <v>688</v>
      </c>
      <c r="C57" s="105"/>
      <c r="D57" s="68">
        <v>0</v>
      </c>
      <c r="E57" s="68">
        <v>0</v>
      </c>
      <c r="F57" s="68">
        <v>0</v>
      </c>
      <c r="G57" s="69">
        <v>0</v>
      </c>
      <c r="K57" s="219"/>
      <c r="L57" s="219"/>
    </row>
    <row r="58" spans="1:12" ht="21" x14ac:dyDescent="0.25">
      <c r="A58" s="104" t="s">
        <v>689</v>
      </c>
      <c r="B58" s="43" t="s">
        <v>690</v>
      </c>
      <c r="C58" s="105"/>
      <c r="D58" s="68">
        <v>0</v>
      </c>
      <c r="E58" s="68">
        <v>0</v>
      </c>
      <c r="F58" s="68">
        <v>0</v>
      </c>
      <c r="G58" s="69">
        <v>0</v>
      </c>
      <c r="K58" s="219"/>
      <c r="L58" s="219"/>
    </row>
    <row r="59" spans="1:12" ht="21" x14ac:dyDescent="0.25">
      <c r="A59" s="104" t="s">
        <v>691</v>
      </c>
      <c r="B59" s="43" t="s">
        <v>692</v>
      </c>
      <c r="C59" s="105"/>
      <c r="D59" s="68">
        <f>D60+D61+D62+D63+D64+D65+D66+D67+D68+D70+D71+D72+D73</f>
        <v>1083185</v>
      </c>
      <c r="E59" s="68">
        <f>E60+E61+E62+E63+E64+E65+E66+E67+E68+E70+E71+E72+E73</f>
        <v>51437515</v>
      </c>
      <c r="F59" s="68">
        <f>F60+F61+F62+F63+F64+F65+F66+F67+F68+F70+F71+F72+F73</f>
        <v>0</v>
      </c>
      <c r="G59" s="69">
        <f>G60+G61+G62+G63+G64+G65+G66+G67+G68+G70+G71+G72+G73</f>
        <v>0</v>
      </c>
      <c r="K59" s="219"/>
      <c r="L59" s="219"/>
    </row>
    <row r="60" spans="1:12" ht="31.5" x14ac:dyDescent="0.25">
      <c r="A60" s="106" t="s">
        <v>693</v>
      </c>
      <c r="B60" s="48" t="s">
        <v>694</v>
      </c>
      <c r="C60" s="107"/>
      <c r="D60" s="73">
        <v>0</v>
      </c>
      <c r="E60" s="73">
        <v>0</v>
      </c>
      <c r="F60" s="73">
        <v>0</v>
      </c>
      <c r="G60" s="74">
        <v>0</v>
      </c>
      <c r="K60" s="219"/>
      <c r="L60" s="219"/>
    </row>
    <row r="61" spans="1:12" ht="31.5" x14ac:dyDescent="0.25">
      <c r="A61" s="106" t="s">
        <v>695</v>
      </c>
      <c r="B61" s="48" t="s">
        <v>696</v>
      </c>
      <c r="C61" s="107"/>
      <c r="D61" s="73">
        <v>0</v>
      </c>
      <c r="E61" s="73">
        <v>0</v>
      </c>
      <c r="F61" s="73">
        <v>0</v>
      </c>
      <c r="G61" s="74">
        <v>0</v>
      </c>
      <c r="K61" s="219"/>
      <c r="L61" s="219"/>
    </row>
    <row r="62" spans="1:12" ht="21" x14ac:dyDescent="0.25">
      <c r="A62" s="106" t="s">
        <v>697</v>
      </c>
      <c r="B62" s="48" t="s">
        <v>698</v>
      </c>
      <c r="C62" s="107"/>
      <c r="D62" s="73">
        <v>0</v>
      </c>
      <c r="E62" s="73">
        <v>0</v>
      </c>
      <c r="F62" s="73">
        <v>0</v>
      </c>
      <c r="G62" s="74">
        <v>0</v>
      </c>
      <c r="K62" s="219"/>
      <c r="L62" s="219"/>
    </row>
    <row r="63" spans="1:12" ht="21" x14ac:dyDescent="0.25">
      <c r="A63" s="106" t="s">
        <v>699</v>
      </c>
      <c r="B63" s="48" t="s">
        <v>700</v>
      </c>
      <c r="C63" s="107"/>
      <c r="D63" s="73">
        <v>0</v>
      </c>
      <c r="E63" s="73">
        <v>0</v>
      </c>
      <c r="F63" s="73">
        <v>0</v>
      </c>
      <c r="G63" s="74">
        <v>0</v>
      </c>
      <c r="K63" s="219"/>
      <c r="L63" s="219"/>
    </row>
    <row r="64" spans="1:12" ht="21" x14ac:dyDescent="0.25">
      <c r="A64" s="106" t="s">
        <v>701</v>
      </c>
      <c r="B64" s="48" t="s">
        <v>702</v>
      </c>
      <c r="C64" s="107"/>
      <c r="D64" s="73">
        <v>0</v>
      </c>
      <c r="E64" s="73">
        <v>0</v>
      </c>
      <c r="F64" s="73">
        <v>0</v>
      </c>
      <c r="G64" s="74">
        <v>0</v>
      </c>
      <c r="K64" s="219"/>
      <c r="L64" s="219"/>
    </row>
    <row r="65" spans="1:12" ht="21" x14ac:dyDescent="0.25">
      <c r="A65" s="106" t="s">
        <v>703</v>
      </c>
      <c r="B65" s="48" t="s">
        <v>704</v>
      </c>
      <c r="C65" s="107"/>
      <c r="D65" s="73">
        <v>0</v>
      </c>
      <c r="E65" s="73">
        <v>50000000</v>
      </c>
      <c r="F65" s="73">
        <v>0</v>
      </c>
      <c r="G65" s="74">
        <v>0</v>
      </c>
      <c r="K65" s="219"/>
      <c r="L65" s="219"/>
    </row>
    <row r="66" spans="1:12" ht="21" x14ac:dyDescent="0.25">
      <c r="A66" s="106" t="s">
        <v>705</v>
      </c>
      <c r="B66" s="48" t="s">
        <v>706</v>
      </c>
      <c r="C66" s="107"/>
      <c r="D66" s="73">
        <v>807085</v>
      </c>
      <c r="E66" s="73">
        <v>1161415</v>
      </c>
      <c r="F66" s="73">
        <v>0</v>
      </c>
      <c r="G66" s="74">
        <v>0</v>
      </c>
      <c r="K66" s="219"/>
      <c r="L66" s="219"/>
    </row>
    <row r="67" spans="1:12" ht="21" x14ac:dyDescent="0.25">
      <c r="A67" s="106" t="s">
        <v>707</v>
      </c>
      <c r="B67" s="48" t="s">
        <v>708</v>
      </c>
      <c r="C67" s="107"/>
      <c r="D67" s="73">
        <v>276100</v>
      </c>
      <c r="E67" s="73">
        <v>276100</v>
      </c>
      <c r="F67" s="73">
        <v>0</v>
      </c>
      <c r="G67" s="74">
        <v>0</v>
      </c>
      <c r="K67" s="219"/>
      <c r="L67" s="219"/>
    </row>
    <row r="68" spans="1:12" ht="21" x14ac:dyDescent="0.25">
      <c r="A68" s="106" t="s">
        <v>709</v>
      </c>
      <c r="B68" s="48" t="s">
        <v>710</v>
      </c>
      <c r="C68" s="107"/>
      <c r="D68" s="73">
        <v>0</v>
      </c>
      <c r="E68" s="73">
        <v>0</v>
      </c>
      <c r="F68" s="73">
        <v>0</v>
      </c>
      <c r="G68" s="74">
        <v>0</v>
      </c>
      <c r="K68" s="219"/>
      <c r="L68" s="219"/>
    </row>
    <row r="69" spans="1:12" ht="21" x14ac:dyDescent="0.25">
      <c r="A69" s="106" t="s">
        <v>711</v>
      </c>
      <c r="B69" s="48" t="s">
        <v>712</v>
      </c>
      <c r="C69" s="107"/>
      <c r="D69" s="73">
        <v>0</v>
      </c>
      <c r="E69" s="73">
        <v>0</v>
      </c>
      <c r="F69" s="73">
        <v>0</v>
      </c>
      <c r="G69" s="74">
        <v>0</v>
      </c>
      <c r="K69" s="219"/>
      <c r="L69" s="219"/>
    </row>
    <row r="70" spans="1:12" ht="21" x14ac:dyDescent="0.25">
      <c r="A70" s="106" t="s">
        <v>713</v>
      </c>
      <c r="B70" s="48" t="s">
        <v>714</v>
      </c>
      <c r="C70" s="107"/>
      <c r="D70" s="73">
        <v>0</v>
      </c>
      <c r="E70" s="73">
        <v>0</v>
      </c>
      <c r="F70" s="73">
        <v>0</v>
      </c>
      <c r="G70" s="74">
        <v>0</v>
      </c>
      <c r="K70" s="219"/>
      <c r="L70" s="219"/>
    </row>
    <row r="71" spans="1:12" ht="21" x14ac:dyDescent="0.25">
      <c r="A71" s="106" t="s">
        <v>715</v>
      </c>
      <c r="B71" s="48" t="s">
        <v>716</v>
      </c>
      <c r="C71" s="107"/>
      <c r="D71" s="73">
        <v>0</v>
      </c>
      <c r="E71" s="73">
        <v>0</v>
      </c>
      <c r="F71" s="73">
        <v>0</v>
      </c>
      <c r="G71" s="74">
        <v>0</v>
      </c>
      <c r="K71" s="219"/>
      <c r="L71" s="219"/>
    </row>
    <row r="72" spans="1:12" ht="21" x14ac:dyDescent="0.25">
      <c r="A72" s="106" t="s">
        <v>717</v>
      </c>
      <c r="B72" s="48" t="s">
        <v>718</v>
      </c>
      <c r="C72" s="107"/>
      <c r="D72" s="73">
        <v>0</v>
      </c>
      <c r="E72" s="73">
        <v>0</v>
      </c>
      <c r="F72" s="73">
        <v>0</v>
      </c>
      <c r="G72" s="74">
        <v>0</v>
      </c>
      <c r="K72" s="219"/>
      <c r="L72" s="219"/>
    </row>
    <row r="73" spans="1:12" ht="21" x14ac:dyDescent="0.25">
      <c r="A73" s="106" t="s">
        <v>719</v>
      </c>
      <c r="B73" s="48" t="s">
        <v>720</v>
      </c>
      <c r="C73" s="107"/>
      <c r="D73" s="73">
        <v>0</v>
      </c>
      <c r="E73" s="73">
        <v>0</v>
      </c>
      <c r="F73" s="73">
        <v>0</v>
      </c>
      <c r="G73" s="74">
        <v>0</v>
      </c>
      <c r="K73" s="219"/>
      <c r="L73" s="219"/>
    </row>
    <row r="74" spans="1:12" ht="31.5" x14ac:dyDescent="0.25">
      <c r="A74" s="102" t="s">
        <v>721</v>
      </c>
      <c r="B74" s="38" t="s">
        <v>722</v>
      </c>
      <c r="C74" s="103"/>
      <c r="D74" s="63">
        <f>D19-D35-D43</f>
        <v>8792897578</v>
      </c>
      <c r="E74" s="63">
        <f>E19-E35-E43</f>
        <v>17899011471</v>
      </c>
      <c r="F74" s="63">
        <f>F19-F35-F43</f>
        <v>0</v>
      </c>
      <c r="G74" s="64">
        <f>G19-G35-G43</f>
        <v>0</v>
      </c>
      <c r="K74" s="219"/>
      <c r="L74" s="219"/>
    </row>
    <row r="75" spans="1:12" ht="21" x14ac:dyDescent="0.25">
      <c r="A75" s="102" t="s">
        <v>723</v>
      </c>
      <c r="B75" s="38" t="s">
        <v>724</v>
      </c>
      <c r="C75" s="103"/>
      <c r="D75" s="63">
        <f>D76-D77</f>
        <v>0</v>
      </c>
      <c r="E75" s="63">
        <f>E76-E77</f>
        <v>0</v>
      </c>
      <c r="F75" s="63">
        <f>F76-F77</f>
        <v>0</v>
      </c>
      <c r="G75" s="64">
        <f>G76-G77</f>
        <v>0</v>
      </c>
      <c r="K75" s="219"/>
      <c r="L75" s="219"/>
    </row>
    <row r="76" spans="1:12" ht="21" x14ac:dyDescent="0.25">
      <c r="A76" s="104" t="s">
        <v>725</v>
      </c>
      <c r="B76" s="43" t="s">
        <v>726</v>
      </c>
      <c r="C76" s="105"/>
      <c r="D76" s="68">
        <v>0</v>
      </c>
      <c r="E76" s="68">
        <v>0</v>
      </c>
      <c r="F76" s="68">
        <v>0</v>
      </c>
      <c r="G76" s="69">
        <v>0</v>
      </c>
      <c r="K76" s="219"/>
      <c r="L76" s="219"/>
    </row>
    <row r="77" spans="1:12" ht="21" x14ac:dyDescent="0.25">
      <c r="A77" s="104" t="s">
        <v>727</v>
      </c>
      <c r="B77" s="43" t="s">
        <v>728</v>
      </c>
      <c r="C77" s="105"/>
      <c r="D77" s="68">
        <v>0</v>
      </c>
      <c r="E77" s="68">
        <v>0</v>
      </c>
      <c r="F77" s="68">
        <v>0</v>
      </c>
      <c r="G77" s="69">
        <v>0</v>
      </c>
      <c r="K77" s="219"/>
      <c r="L77" s="219"/>
    </row>
    <row r="78" spans="1:12" ht="42" x14ac:dyDescent="0.25">
      <c r="A78" s="102" t="s">
        <v>729</v>
      </c>
      <c r="B78" s="38" t="s">
        <v>730</v>
      </c>
      <c r="C78" s="103"/>
      <c r="D78" s="63">
        <f>D74+D75</f>
        <v>8792897578</v>
      </c>
      <c r="E78" s="63">
        <f>E74+E75</f>
        <v>17899011471</v>
      </c>
      <c r="F78" s="63">
        <f>F74+F75</f>
        <v>0</v>
      </c>
      <c r="G78" s="64">
        <f>G74+G75</f>
        <v>0</v>
      </c>
      <c r="K78" s="219"/>
      <c r="L78" s="219"/>
    </row>
    <row r="79" spans="1:12" ht="21" x14ac:dyDescent="0.25">
      <c r="A79" s="104" t="s">
        <v>731</v>
      </c>
      <c r="B79" s="43" t="s">
        <v>732</v>
      </c>
      <c r="C79" s="105"/>
      <c r="D79" s="68">
        <v>251387848</v>
      </c>
      <c r="E79" s="68">
        <v>634026141</v>
      </c>
      <c r="F79" s="68">
        <v>0</v>
      </c>
      <c r="G79" s="69">
        <v>0</v>
      </c>
      <c r="K79" s="219"/>
      <c r="L79" s="219"/>
    </row>
    <row r="80" spans="1:12" ht="21" x14ac:dyDescent="0.25">
      <c r="A80" s="104" t="s">
        <v>733</v>
      </c>
      <c r="B80" s="43" t="s">
        <v>734</v>
      </c>
      <c r="C80" s="105"/>
      <c r="D80" s="68">
        <v>8541509730</v>
      </c>
      <c r="E80" s="68">
        <v>17264985330</v>
      </c>
      <c r="F80" s="68">
        <v>0</v>
      </c>
      <c r="G80" s="69">
        <v>0</v>
      </c>
      <c r="K80" s="219"/>
      <c r="L80" s="219"/>
    </row>
    <row r="81" spans="1:12" ht="21" x14ac:dyDescent="0.25">
      <c r="A81" s="102" t="s">
        <v>735</v>
      </c>
      <c r="B81" s="38" t="s">
        <v>736</v>
      </c>
      <c r="C81" s="103"/>
      <c r="D81" s="63">
        <v>0</v>
      </c>
      <c r="E81" s="63">
        <v>0</v>
      </c>
      <c r="F81" s="63">
        <v>0</v>
      </c>
      <c r="G81" s="64">
        <v>0</v>
      </c>
      <c r="K81" s="219"/>
      <c r="L81" s="219"/>
    </row>
    <row r="82" spans="1:12" ht="31.5" x14ac:dyDescent="0.25">
      <c r="A82" s="108" t="s">
        <v>737</v>
      </c>
      <c r="B82" s="53" t="s">
        <v>738</v>
      </c>
      <c r="C82" s="109"/>
      <c r="D82" s="83">
        <f>D78</f>
        <v>8792897578</v>
      </c>
      <c r="E82" s="83">
        <f>E78</f>
        <v>17899011471</v>
      </c>
      <c r="F82" s="83">
        <f>F78</f>
        <v>0</v>
      </c>
      <c r="G82" s="110">
        <f>G78</f>
        <v>0</v>
      </c>
      <c r="K82" s="219"/>
      <c r="L82" s="219"/>
    </row>
    <row r="83" spans="1:12" ht="10.5" customHeight="1" x14ac:dyDescent="0.25">
      <c r="A83" s="27"/>
      <c r="B83" s="278"/>
      <c r="C83" s="278"/>
      <c r="D83" s="278"/>
      <c r="E83" s="278"/>
      <c r="F83" s="278"/>
      <c r="G83" s="278"/>
      <c r="I83" s="219"/>
      <c r="J83" s="219"/>
    </row>
    <row r="84" spans="1:12" ht="15" customHeight="1" x14ac:dyDescent="0.15">
      <c r="A84" s="56" t="s">
        <v>742</v>
      </c>
      <c r="B84" s="266" t="s">
        <v>743</v>
      </c>
      <c r="C84" s="266"/>
      <c r="D84" s="266"/>
      <c r="E84" s="266"/>
      <c r="F84" s="312" t="s">
        <v>744</v>
      </c>
      <c r="G84" s="312"/>
      <c r="I84" s="219"/>
      <c r="J84" s="219"/>
    </row>
    <row r="85" spans="1:12" ht="15" customHeight="1" x14ac:dyDescent="0.15">
      <c r="A85" s="111" t="s">
        <v>745</v>
      </c>
      <c r="B85" s="313" t="s">
        <v>745</v>
      </c>
      <c r="C85" s="313"/>
      <c r="D85" s="313"/>
      <c r="E85" s="313"/>
      <c r="F85" s="271" t="s">
        <v>746</v>
      </c>
      <c r="G85" s="271"/>
    </row>
    <row r="86" spans="1:12" ht="15.75" customHeight="1" x14ac:dyDescent="0.25">
      <c r="A86" s="27"/>
      <c r="B86" s="278"/>
      <c r="C86" s="278"/>
      <c r="D86" s="278"/>
      <c r="E86" s="278"/>
      <c r="F86" s="278"/>
      <c r="G86" s="278"/>
    </row>
    <row r="87" spans="1:12" ht="15.75" customHeight="1" x14ac:dyDescent="0.25">
      <c r="A87" s="27"/>
      <c r="B87" s="278"/>
      <c r="C87" s="278"/>
      <c r="D87" s="278"/>
      <c r="E87" s="278"/>
      <c r="F87" s="278"/>
      <c r="G87" s="278"/>
    </row>
  </sheetData>
  <mergeCells count="42">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B14:G14"/>
    <mergeCell ref="B16:C16"/>
    <mergeCell ref="D16:E16"/>
    <mergeCell ref="F16:G16"/>
    <mergeCell ref="A17:A18"/>
    <mergeCell ref="B17:B18"/>
    <mergeCell ref="C17:C18"/>
    <mergeCell ref="D17:E17"/>
    <mergeCell ref="F17:G17"/>
    <mergeCell ref="B15:E15"/>
    <mergeCell ref="F15:G15"/>
    <mergeCell ref="B87:C87"/>
    <mergeCell ref="D87:E87"/>
    <mergeCell ref="F87:G87"/>
    <mergeCell ref="B83:C83"/>
    <mergeCell ref="D83:E83"/>
    <mergeCell ref="F83:G83"/>
    <mergeCell ref="B84:E84"/>
    <mergeCell ref="F84:G84"/>
    <mergeCell ref="B85:E85"/>
    <mergeCell ref="F85:G85"/>
    <mergeCell ref="B86:C86"/>
    <mergeCell ref="D86:E86"/>
    <mergeCell ref="F86:G86"/>
  </mergeCells>
  <printOptions horizontalCentered="1"/>
  <pageMargins left="0" right="0" top="0.59" bottom="0.59" header="0.5" footer="0.5"/>
  <pageSetup paperSize="9" scale="8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zoomScale="90" zoomScaleNormal="100" zoomScaleSheetLayoutView="90" workbookViewId="0">
      <selection activeCell="F131" sqref="A1:F131"/>
    </sheetView>
  </sheetViews>
  <sheetFormatPr defaultRowHeight="12.75" x14ac:dyDescent="0.25"/>
  <cols>
    <col min="1" max="1" width="6.28515625" style="26" customWidth="1"/>
    <col min="2" max="2" width="42.85546875" style="26" customWidth="1"/>
    <col min="3" max="4" width="7.85546875" style="26" customWidth="1"/>
    <col min="5" max="6" width="21.140625" style="26" customWidth="1"/>
    <col min="7" max="252" width="9.140625" style="26"/>
    <col min="253" max="253" width="6.28515625" style="26" customWidth="1"/>
    <col min="254" max="254" width="42.85546875" style="26" customWidth="1"/>
    <col min="255" max="256" width="7.85546875" style="26" customWidth="1"/>
    <col min="257" max="258" width="21.140625" style="26" customWidth="1"/>
    <col min="259" max="508" width="9.140625" style="26"/>
    <col min="509" max="509" width="6.28515625" style="26" customWidth="1"/>
    <col min="510" max="510" width="42.85546875" style="26" customWidth="1"/>
    <col min="511" max="512" width="7.85546875" style="26" customWidth="1"/>
    <col min="513" max="514" width="21.140625" style="26" customWidth="1"/>
    <col min="515" max="764" width="9.140625" style="26"/>
    <col min="765" max="765" width="6.28515625" style="26" customWidth="1"/>
    <col min="766" max="766" width="42.85546875" style="26" customWidth="1"/>
    <col min="767" max="768" width="7.85546875" style="26" customWidth="1"/>
    <col min="769" max="770" width="21.140625" style="26" customWidth="1"/>
    <col min="771" max="1020" width="9.140625" style="26"/>
    <col min="1021" max="1021" width="6.28515625" style="26" customWidth="1"/>
    <col min="1022" max="1022" width="42.85546875" style="26" customWidth="1"/>
    <col min="1023" max="1024" width="7.85546875" style="26" customWidth="1"/>
    <col min="1025" max="1026" width="21.140625" style="26" customWidth="1"/>
    <col min="1027" max="1276" width="9.140625" style="26"/>
    <col min="1277" max="1277" width="6.28515625" style="26" customWidth="1"/>
    <col min="1278" max="1278" width="42.85546875" style="26" customWidth="1"/>
    <col min="1279" max="1280" width="7.85546875" style="26" customWidth="1"/>
    <col min="1281" max="1282" width="21.140625" style="26" customWidth="1"/>
    <col min="1283" max="1532" width="9.140625" style="26"/>
    <col min="1533" max="1533" width="6.28515625" style="26" customWidth="1"/>
    <col min="1534" max="1534" width="42.85546875" style="26" customWidth="1"/>
    <col min="1535" max="1536" width="7.85546875" style="26" customWidth="1"/>
    <col min="1537" max="1538" width="21.140625" style="26" customWidth="1"/>
    <col min="1539" max="1788" width="9.140625" style="26"/>
    <col min="1789" max="1789" width="6.28515625" style="26" customWidth="1"/>
    <col min="1790" max="1790" width="42.85546875" style="26" customWidth="1"/>
    <col min="1791" max="1792" width="7.85546875" style="26" customWidth="1"/>
    <col min="1793" max="1794" width="21.140625" style="26" customWidth="1"/>
    <col min="1795" max="2044" width="9.140625" style="26"/>
    <col min="2045" max="2045" width="6.28515625" style="26" customWidth="1"/>
    <col min="2046" max="2046" width="42.85546875" style="26" customWidth="1"/>
    <col min="2047" max="2048" width="7.85546875" style="26" customWidth="1"/>
    <col min="2049" max="2050" width="21.140625" style="26" customWidth="1"/>
    <col min="2051" max="2300" width="9.140625" style="26"/>
    <col min="2301" max="2301" width="6.28515625" style="26" customWidth="1"/>
    <col min="2302" max="2302" width="42.85546875" style="26" customWidth="1"/>
    <col min="2303" max="2304" width="7.85546875" style="26" customWidth="1"/>
    <col min="2305" max="2306" width="21.140625" style="26" customWidth="1"/>
    <col min="2307" max="2556" width="9.140625" style="26"/>
    <col min="2557" max="2557" width="6.28515625" style="26" customWidth="1"/>
    <col min="2558" max="2558" width="42.85546875" style="26" customWidth="1"/>
    <col min="2559" max="2560" width="7.85546875" style="26" customWidth="1"/>
    <col min="2561" max="2562" width="21.140625" style="26" customWidth="1"/>
    <col min="2563" max="2812" width="9.140625" style="26"/>
    <col min="2813" max="2813" width="6.28515625" style="26" customWidth="1"/>
    <col min="2814" max="2814" width="42.85546875" style="26" customWidth="1"/>
    <col min="2815" max="2816" width="7.85546875" style="26" customWidth="1"/>
    <col min="2817" max="2818" width="21.140625" style="26" customWidth="1"/>
    <col min="2819" max="3068" width="9.140625" style="26"/>
    <col min="3069" max="3069" width="6.28515625" style="26" customWidth="1"/>
    <col min="3070" max="3070" width="42.85546875" style="26" customWidth="1"/>
    <col min="3071" max="3072" width="7.85546875" style="26" customWidth="1"/>
    <col min="3073" max="3074" width="21.140625" style="26" customWidth="1"/>
    <col min="3075" max="3324" width="9.140625" style="26"/>
    <col min="3325" max="3325" width="6.28515625" style="26" customWidth="1"/>
    <col min="3326" max="3326" width="42.85546875" style="26" customWidth="1"/>
    <col min="3327" max="3328" width="7.85546875" style="26" customWidth="1"/>
    <col min="3329" max="3330" width="21.140625" style="26" customWidth="1"/>
    <col min="3331" max="3580" width="9.140625" style="26"/>
    <col min="3581" max="3581" width="6.28515625" style="26" customWidth="1"/>
    <col min="3582" max="3582" width="42.85546875" style="26" customWidth="1"/>
    <col min="3583" max="3584" width="7.85546875" style="26" customWidth="1"/>
    <col min="3585" max="3586" width="21.140625" style="26" customWidth="1"/>
    <col min="3587" max="3836" width="9.140625" style="26"/>
    <col min="3837" max="3837" width="6.28515625" style="26" customWidth="1"/>
    <col min="3838" max="3838" width="42.85546875" style="26" customWidth="1"/>
    <col min="3839" max="3840" width="7.85546875" style="26" customWidth="1"/>
    <col min="3841" max="3842" width="21.140625" style="26" customWidth="1"/>
    <col min="3843" max="4092" width="9.140625" style="26"/>
    <col min="4093" max="4093" width="6.28515625" style="26" customWidth="1"/>
    <col min="4094" max="4094" width="42.85546875" style="26" customWidth="1"/>
    <col min="4095" max="4096" width="7.85546875" style="26" customWidth="1"/>
    <col min="4097" max="4098" width="21.140625" style="26" customWidth="1"/>
    <col min="4099" max="4348" width="9.140625" style="26"/>
    <col min="4349" max="4349" width="6.28515625" style="26" customWidth="1"/>
    <col min="4350" max="4350" width="42.85546875" style="26" customWidth="1"/>
    <col min="4351" max="4352" width="7.85546875" style="26" customWidth="1"/>
    <col min="4353" max="4354" width="21.140625" style="26" customWidth="1"/>
    <col min="4355" max="4604" width="9.140625" style="26"/>
    <col min="4605" max="4605" width="6.28515625" style="26" customWidth="1"/>
    <col min="4606" max="4606" width="42.85546875" style="26" customWidth="1"/>
    <col min="4607" max="4608" width="7.85546875" style="26" customWidth="1"/>
    <col min="4609" max="4610" width="21.140625" style="26" customWidth="1"/>
    <col min="4611" max="4860" width="9.140625" style="26"/>
    <col min="4861" max="4861" width="6.28515625" style="26" customWidth="1"/>
    <col min="4862" max="4862" width="42.85546875" style="26" customWidth="1"/>
    <col min="4863" max="4864" width="7.85546875" style="26" customWidth="1"/>
    <col min="4865" max="4866" width="21.140625" style="26" customWidth="1"/>
    <col min="4867" max="5116" width="9.140625" style="26"/>
    <col min="5117" max="5117" width="6.28515625" style="26" customWidth="1"/>
    <col min="5118" max="5118" width="42.85546875" style="26" customWidth="1"/>
    <col min="5119" max="5120" width="7.85546875" style="26" customWidth="1"/>
    <col min="5121" max="5122" width="21.140625" style="26" customWidth="1"/>
    <col min="5123" max="5372" width="9.140625" style="26"/>
    <col min="5373" max="5373" width="6.28515625" style="26" customWidth="1"/>
    <col min="5374" max="5374" width="42.85546875" style="26" customWidth="1"/>
    <col min="5375" max="5376" width="7.85546875" style="26" customWidth="1"/>
    <col min="5377" max="5378" width="21.140625" style="26" customWidth="1"/>
    <col min="5379" max="5628" width="9.140625" style="26"/>
    <col min="5629" max="5629" width="6.28515625" style="26" customWidth="1"/>
    <col min="5630" max="5630" width="42.85546875" style="26" customWidth="1"/>
    <col min="5631" max="5632" width="7.85546875" style="26" customWidth="1"/>
    <col min="5633" max="5634" width="21.140625" style="26" customWidth="1"/>
    <col min="5635" max="5884" width="9.140625" style="26"/>
    <col min="5885" max="5885" width="6.28515625" style="26" customWidth="1"/>
    <col min="5886" max="5886" width="42.85546875" style="26" customWidth="1"/>
    <col min="5887" max="5888" width="7.85546875" style="26" customWidth="1"/>
    <col min="5889" max="5890" width="21.140625" style="26" customWidth="1"/>
    <col min="5891" max="6140" width="9.140625" style="26"/>
    <col min="6141" max="6141" width="6.28515625" style="26" customWidth="1"/>
    <col min="6142" max="6142" width="42.85546875" style="26" customWidth="1"/>
    <col min="6143" max="6144" width="7.85546875" style="26" customWidth="1"/>
    <col min="6145" max="6146" width="21.140625" style="26" customWidth="1"/>
    <col min="6147" max="6396" width="9.140625" style="26"/>
    <col min="6397" max="6397" width="6.28515625" style="26" customWidth="1"/>
    <col min="6398" max="6398" width="42.85546875" style="26" customWidth="1"/>
    <col min="6399" max="6400" width="7.85546875" style="26" customWidth="1"/>
    <col min="6401" max="6402" width="21.140625" style="26" customWidth="1"/>
    <col min="6403" max="6652" width="9.140625" style="26"/>
    <col min="6653" max="6653" width="6.28515625" style="26" customWidth="1"/>
    <col min="6654" max="6654" width="42.85546875" style="26" customWidth="1"/>
    <col min="6655" max="6656" width="7.85546875" style="26" customWidth="1"/>
    <col min="6657" max="6658" width="21.140625" style="26" customWidth="1"/>
    <col min="6659" max="6908" width="9.140625" style="26"/>
    <col min="6909" max="6909" width="6.28515625" style="26" customWidth="1"/>
    <col min="6910" max="6910" width="42.85546875" style="26" customWidth="1"/>
    <col min="6911" max="6912" width="7.85546875" style="26" customWidth="1"/>
    <col min="6913" max="6914" width="21.140625" style="26" customWidth="1"/>
    <col min="6915" max="7164" width="9.140625" style="26"/>
    <col min="7165" max="7165" width="6.28515625" style="26" customWidth="1"/>
    <col min="7166" max="7166" width="42.85546875" style="26" customWidth="1"/>
    <col min="7167" max="7168" width="7.85546875" style="26" customWidth="1"/>
    <col min="7169" max="7170" width="21.140625" style="26" customWidth="1"/>
    <col min="7171" max="7420" width="9.140625" style="26"/>
    <col min="7421" max="7421" width="6.28515625" style="26" customWidth="1"/>
    <col min="7422" max="7422" width="42.85546875" style="26" customWidth="1"/>
    <col min="7423" max="7424" width="7.85546875" style="26" customWidth="1"/>
    <col min="7425" max="7426" width="21.140625" style="26" customWidth="1"/>
    <col min="7427" max="7676" width="9.140625" style="26"/>
    <col min="7677" max="7677" width="6.28515625" style="26" customWidth="1"/>
    <col min="7678" max="7678" width="42.85546875" style="26" customWidth="1"/>
    <col min="7679" max="7680" width="7.85546875" style="26" customWidth="1"/>
    <col min="7681" max="7682" width="21.140625" style="26" customWidth="1"/>
    <col min="7683" max="7932" width="9.140625" style="26"/>
    <col min="7933" max="7933" width="6.28515625" style="26" customWidth="1"/>
    <col min="7934" max="7934" width="42.85546875" style="26" customWidth="1"/>
    <col min="7935" max="7936" width="7.85546875" style="26" customWidth="1"/>
    <col min="7937" max="7938" width="21.140625" style="26" customWidth="1"/>
    <col min="7939" max="8188" width="9.140625" style="26"/>
    <col min="8189" max="8189" width="6.28515625" style="26" customWidth="1"/>
    <col min="8190" max="8190" width="42.85546875" style="26" customWidth="1"/>
    <col min="8191" max="8192" width="7.85546875" style="26" customWidth="1"/>
    <col min="8193" max="8194" width="21.140625" style="26" customWidth="1"/>
    <col min="8195" max="8444" width="9.140625" style="26"/>
    <col min="8445" max="8445" width="6.28515625" style="26" customWidth="1"/>
    <col min="8446" max="8446" width="42.85546875" style="26" customWidth="1"/>
    <col min="8447" max="8448" width="7.85546875" style="26" customWidth="1"/>
    <col min="8449" max="8450" width="21.140625" style="26" customWidth="1"/>
    <col min="8451" max="8700" width="9.140625" style="26"/>
    <col min="8701" max="8701" width="6.28515625" style="26" customWidth="1"/>
    <col min="8702" max="8702" width="42.85546875" style="26" customWidth="1"/>
    <col min="8703" max="8704" width="7.85546875" style="26" customWidth="1"/>
    <col min="8705" max="8706" width="21.140625" style="26" customWidth="1"/>
    <col min="8707" max="8956" width="9.140625" style="26"/>
    <col min="8957" max="8957" width="6.28515625" style="26" customWidth="1"/>
    <col min="8958" max="8958" width="42.85546875" style="26" customWidth="1"/>
    <col min="8959" max="8960" width="7.85546875" style="26" customWidth="1"/>
    <col min="8961" max="8962" width="21.140625" style="26" customWidth="1"/>
    <col min="8963" max="9212" width="9.140625" style="26"/>
    <col min="9213" max="9213" width="6.28515625" style="26" customWidth="1"/>
    <col min="9214" max="9214" width="42.85546875" style="26" customWidth="1"/>
    <col min="9215" max="9216" width="7.85546875" style="26" customWidth="1"/>
    <col min="9217" max="9218" width="21.140625" style="26" customWidth="1"/>
    <col min="9219" max="9468" width="9.140625" style="26"/>
    <col min="9469" max="9469" width="6.28515625" style="26" customWidth="1"/>
    <col min="9470" max="9470" width="42.85546875" style="26" customWidth="1"/>
    <col min="9471" max="9472" width="7.85546875" style="26" customWidth="1"/>
    <col min="9473" max="9474" width="21.140625" style="26" customWidth="1"/>
    <col min="9475" max="9724" width="9.140625" style="26"/>
    <col min="9725" max="9725" width="6.28515625" style="26" customWidth="1"/>
    <col min="9726" max="9726" width="42.85546875" style="26" customWidth="1"/>
    <col min="9727" max="9728" width="7.85546875" style="26" customWidth="1"/>
    <col min="9729" max="9730" width="21.140625" style="26" customWidth="1"/>
    <col min="9731" max="9980" width="9.140625" style="26"/>
    <col min="9981" max="9981" width="6.28515625" style="26" customWidth="1"/>
    <col min="9982" max="9982" width="42.85546875" style="26" customWidth="1"/>
    <col min="9983" max="9984" width="7.85546875" style="26" customWidth="1"/>
    <col min="9985" max="9986" width="21.140625" style="26" customWidth="1"/>
    <col min="9987" max="10236" width="9.140625" style="26"/>
    <col min="10237" max="10237" width="6.28515625" style="26" customWidth="1"/>
    <col min="10238" max="10238" width="42.85546875" style="26" customWidth="1"/>
    <col min="10239" max="10240" width="7.85546875" style="26" customWidth="1"/>
    <col min="10241" max="10242" width="21.140625" style="26" customWidth="1"/>
    <col min="10243" max="10492" width="9.140625" style="26"/>
    <col min="10493" max="10493" width="6.28515625" style="26" customWidth="1"/>
    <col min="10494" max="10494" width="42.85546875" style="26" customWidth="1"/>
    <col min="10495" max="10496" width="7.85546875" style="26" customWidth="1"/>
    <col min="10497" max="10498" width="21.140625" style="26" customWidth="1"/>
    <col min="10499" max="10748" width="9.140625" style="26"/>
    <col min="10749" max="10749" width="6.28515625" style="26" customWidth="1"/>
    <col min="10750" max="10750" width="42.85546875" style="26" customWidth="1"/>
    <col min="10751" max="10752" width="7.85546875" style="26" customWidth="1"/>
    <col min="10753" max="10754" width="21.140625" style="26" customWidth="1"/>
    <col min="10755" max="11004" width="9.140625" style="26"/>
    <col min="11005" max="11005" width="6.28515625" style="26" customWidth="1"/>
    <col min="11006" max="11006" width="42.85546875" style="26" customWidth="1"/>
    <col min="11007" max="11008" width="7.85546875" style="26" customWidth="1"/>
    <col min="11009" max="11010" width="21.140625" style="26" customWidth="1"/>
    <col min="11011" max="11260" width="9.140625" style="26"/>
    <col min="11261" max="11261" width="6.28515625" style="26" customWidth="1"/>
    <col min="11262" max="11262" width="42.85546875" style="26" customWidth="1"/>
    <col min="11263" max="11264" width="7.85546875" style="26" customWidth="1"/>
    <col min="11265" max="11266" width="21.140625" style="26" customWidth="1"/>
    <col min="11267" max="11516" width="9.140625" style="26"/>
    <col min="11517" max="11517" width="6.28515625" style="26" customWidth="1"/>
    <col min="11518" max="11518" width="42.85546875" style="26" customWidth="1"/>
    <col min="11519" max="11520" width="7.85546875" style="26" customWidth="1"/>
    <col min="11521" max="11522" width="21.140625" style="26" customWidth="1"/>
    <col min="11523" max="11772" width="9.140625" style="26"/>
    <col min="11773" max="11773" width="6.28515625" style="26" customWidth="1"/>
    <col min="11774" max="11774" width="42.85546875" style="26" customWidth="1"/>
    <col min="11775" max="11776" width="7.85546875" style="26" customWidth="1"/>
    <col min="11777" max="11778" width="21.140625" style="26" customWidth="1"/>
    <col min="11779" max="12028" width="9.140625" style="26"/>
    <col min="12029" max="12029" width="6.28515625" style="26" customWidth="1"/>
    <col min="12030" max="12030" width="42.85546875" style="26" customWidth="1"/>
    <col min="12031" max="12032" width="7.85546875" style="26" customWidth="1"/>
    <col min="12033" max="12034" width="21.140625" style="26" customWidth="1"/>
    <col min="12035" max="12284" width="9.140625" style="26"/>
    <col min="12285" max="12285" width="6.28515625" style="26" customWidth="1"/>
    <col min="12286" max="12286" width="42.85546875" style="26" customWidth="1"/>
    <col min="12287" max="12288" width="7.85546875" style="26" customWidth="1"/>
    <col min="12289" max="12290" width="21.140625" style="26" customWidth="1"/>
    <col min="12291" max="12540" width="9.140625" style="26"/>
    <col min="12541" max="12541" width="6.28515625" style="26" customWidth="1"/>
    <col min="12542" max="12542" width="42.85546875" style="26" customWidth="1"/>
    <col min="12543" max="12544" width="7.85546875" style="26" customWidth="1"/>
    <col min="12545" max="12546" width="21.140625" style="26" customWidth="1"/>
    <col min="12547" max="12796" width="9.140625" style="26"/>
    <col min="12797" max="12797" width="6.28515625" style="26" customWidth="1"/>
    <col min="12798" max="12798" width="42.85546875" style="26" customWidth="1"/>
    <col min="12799" max="12800" width="7.85546875" style="26" customWidth="1"/>
    <col min="12801" max="12802" width="21.140625" style="26" customWidth="1"/>
    <col min="12803" max="13052" width="9.140625" style="26"/>
    <col min="13053" max="13053" width="6.28515625" style="26" customWidth="1"/>
    <col min="13054" max="13054" width="42.85546875" style="26" customWidth="1"/>
    <col min="13055" max="13056" width="7.85546875" style="26" customWidth="1"/>
    <col min="13057" max="13058" width="21.140625" style="26" customWidth="1"/>
    <col min="13059" max="13308" width="9.140625" style="26"/>
    <col min="13309" max="13309" width="6.28515625" style="26" customWidth="1"/>
    <col min="13310" max="13310" width="42.85546875" style="26" customWidth="1"/>
    <col min="13311" max="13312" width="7.85546875" style="26" customWidth="1"/>
    <col min="13313" max="13314" width="21.140625" style="26" customWidth="1"/>
    <col min="13315" max="13564" width="9.140625" style="26"/>
    <col min="13565" max="13565" width="6.28515625" style="26" customWidth="1"/>
    <col min="13566" max="13566" width="42.85546875" style="26" customWidth="1"/>
    <col min="13567" max="13568" width="7.85546875" style="26" customWidth="1"/>
    <col min="13569" max="13570" width="21.140625" style="26" customWidth="1"/>
    <col min="13571" max="13820" width="9.140625" style="26"/>
    <col min="13821" max="13821" width="6.28515625" style="26" customWidth="1"/>
    <col min="13822" max="13822" width="42.85546875" style="26" customWidth="1"/>
    <col min="13823" max="13824" width="7.85546875" style="26" customWidth="1"/>
    <col min="13825" max="13826" width="21.140625" style="26" customWidth="1"/>
    <col min="13827" max="14076" width="9.140625" style="26"/>
    <col min="14077" max="14077" width="6.28515625" style="26" customWidth="1"/>
    <col min="14078" max="14078" width="42.85546875" style="26" customWidth="1"/>
    <col min="14079" max="14080" width="7.85546875" style="26" customWidth="1"/>
    <col min="14081" max="14082" width="21.140625" style="26" customWidth="1"/>
    <col min="14083" max="14332" width="9.140625" style="26"/>
    <col min="14333" max="14333" width="6.28515625" style="26" customWidth="1"/>
    <col min="14334" max="14334" width="42.85546875" style="26" customWidth="1"/>
    <col min="14335" max="14336" width="7.85546875" style="26" customWidth="1"/>
    <col min="14337" max="14338" width="21.140625" style="26" customWidth="1"/>
    <col min="14339" max="14588" width="9.140625" style="26"/>
    <col min="14589" max="14589" width="6.28515625" style="26" customWidth="1"/>
    <col min="14590" max="14590" width="42.85546875" style="26" customWidth="1"/>
    <col min="14591" max="14592" width="7.85546875" style="26" customWidth="1"/>
    <col min="14593" max="14594" width="21.140625" style="26" customWidth="1"/>
    <col min="14595" max="14844" width="9.140625" style="26"/>
    <col min="14845" max="14845" width="6.28515625" style="26" customWidth="1"/>
    <col min="14846" max="14846" width="42.85546875" style="26" customWidth="1"/>
    <col min="14847" max="14848" width="7.85546875" style="26" customWidth="1"/>
    <col min="14849" max="14850" width="21.140625" style="26" customWidth="1"/>
    <col min="14851" max="15100" width="9.140625" style="26"/>
    <col min="15101" max="15101" width="6.28515625" style="26" customWidth="1"/>
    <col min="15102" max="15102" width="42.85546875" style="26" customWidth="1"/>
    <col min="15103" max="15104" width="7.85546875" style="26" customWidth="1"/>
    <col min="15105" max="15106" width="21.140625" style="26" customWidth="1"/>
    <col min="15107" max="15356" width="9.140625" style="26"/>
    <col min="15357" max="15357" width="6.28515625" style="26" customWidth="1"/>
    <col min="15358" max="15358" width="42.85546875" style="26" customWidth="1"/>
    <col min="15359" max="15360" width="7.85546875" style="26" customWidth="1"/>
    <col min="15361" max="15362" width="21.140625" style="26" customWidth="1"/>
    <col min="15363" max="15612" width="9.140625" style="26"/>
    <col min="15613" max="15613" width="6.28515625" style="26" customWidth="1"/>
    <col min="15614" max="15614" width="42.85546875" style="26" customWidth="1"/>
    <col min="15615" max="15616" width="7.85546875" style="26" customWidth="1"/>
    <col min="15617" max="15618" width="21.140625" style="26" customWidth="1"/>
    <col min="15619" max="15868" width="9.140625" style="26"/>
    <col min="15869" max="15869" width="6.28515625" style="26" customWidth="1"/>
    <col min="15870" max="15870" width="42.85546875" style="26" customWidth="1"/>
    <col min="15871" max="15872" width="7.85546875" style="26" customWidth="1"/>
    <col min="15873" max="15874" width="21.140625" style="26" customWidth="1"/>
    <col min="15875" max="16124" width="9.140625" style="26"/>
    <col min="16125" max="16125" width="6.28515625" style="26" customWidth="1"/>
    <col min="16126" max="16126" width="42.85546875" style="26" customWidth="1"/>
    <col min="16127" max="16128" width="7.85546875" style="26" customWidth="1"/>
    <col min="16129" max="16130" width="21.140625" style="26" customWidth="1"/>
    <col min="16131" max="16384" width="9.140625" style="26"/>
  </cols>
  <sheetData>
    <row r="1" spans="1:6" ht="32.25" customHeight="1" x14ac:dyDescent="0.25">
      <c r="A1" s="278"/>
      <c r="B1" s="278"/>
      <c r="C1" s="266" t="s">
        <v>747</v>
      </c>
      <c r="D1" s="266"/>
      <c r="E1" s="266"/>
      <c r="F1" s="266"/>
    </row>
    <row r="2" spans="1:6" ht="35.25" customHeight="1" x14ac:dyDescent="0.25">
      <c r="A2" s="323" t="s">
        <v>739</v>
      </c>
      <c r="B2" s="323"/>
      <c r="C2" s="323"/>
      <c r="D2" s="323"/>
      <c r="E2" s="323"/>
      <c r="F2" s="323"/>
    </row>
    <row r="3" spans="1:6" ht="3.75" customHeight="1" x14ac:dyDescent="0.25">
      <c r="A3" s="27"/>
      <c r="B3" s="27"/>
      <c r="C3" s="27"/>
      <c r="D3" s="27"/>
      <c r="E3" s="27"/>
      <c r="F3" s="27"/>
    </row>
    <row r="4" spans="1:6" ht="30.75" customHeight="1" x14ac:dyDescent="0.25">
      <c r="A4" s="277" t="s">
        <v>748</v>
      </c>
      <c r="B4" s="277"/>
      <c r="C4" s="277"/>
      <c r="D4" s="277"/>
      <c r="E4" s="277"/>
      <c r="F4" s="277"/>
    </row>
    <row r="5" spans="1:6" ht="11.25" customHeight="1" x14ac:dyDescent="0.25">
      <c r="A5" s="281" t="s">
        <v>749</v>
      </c>
      <c r="B5" s="281"/>
      <c r="C5" s="281"/>
      <c r="D5" s="281"/>
      <c r="E5" s="281"/>
      <c r="F5" s="281"/>
    </row>
    <row r="6" spans="1:6" ht="5.25" customHeight="1" x14ac:dyDescent="0.25">
      <c r="A6" s="27"/>
      <c r="B6" s="27"/>
      <c r="C6" s="113"/>
      <c r="D6" s="27"/>
      <c r="E6" s="27"/>
      <c r="F6" s="27"/>
    </row>
    <row r="7" spans="1:6" ht="4.5" customHeight="1" x14ac:dyDescent="0.25">
      <c r="A7" s="27"/>
      <c r="B7" s="27"/>
      <c r="C7" s="27"/>
      <c r="D7" s="27"/>
      <c r="E7" s="27"/>
      <c r="F7" s="27"/>
    </row>
    <row r="8" spans="1:6" ht="15.75" customHeight="1" x14ac:dyDescent="0.25">
      <c r="A8" s="261" t="s">
        <v>2</v>
      </c>
      <c r="B8" s="261"/>
      <c r="C8" s="261" t="s">
        <v>97</v>
      </c>
      <c r="D8" s="261"/>
      <c r="E8" s="261"/>
      <c r="F8" s="261"/>
    </row>
    <row r="9" spans="1:6" ht="15.75" customHeight="1" x14ac:dyDescent="0.25">
      <c r="A9" s="272" t="s">
        <v>4</v>
      </c>
      <c r="B9" s="272"/>
      <c r="C9" s="272" t="s">
        <v>5</v>
      </c>
      <c r="D9" s="272"/>
      <c r="E9" s="272"/>
      <c r="F9" s="272"/>
    </row>
    <row r="10" spans="1:6" ht="15.75" customHeight="1" x14ac:dyDescent="0.25">
      <c r="A10" s="261" t="s">
        <v>6</v>
      </c>
      <c r="B10" s="261"/>
      <c r="C10" s="261" t="s">
        <v>100</v>
      </c>
      <c r="D10" s="261"/>
      <c r="E10" s="261"/>
      <c r="F10" s="261"/>
    </row>
    <row r="11" spans="1:6" ht="15.75" customHeight="1" x14ac:dyDescent="0.25">
      <c r="A11" s="272" t="s">
        <v>297</v>
      </c>
      <c r="B11" s="272"/>
      <c r="C11" s="272" t="s">
        <v>101</v>
      </c>
      <c r="D11" s="272"/>
      <c r="E11" s="272"/>
      <c r="F11" s="272"/>
    </row>
    <row r="12" spans="1:6" ht="15.75" customHeight="1" x14ac:dyDescent="0.25">
      <c r="A12" s="261" t="s">
        <v>10</v>
      </c>
      <c r="B12" s="261"/>
      <c r="C12" s="261" t="s">
        <v>102</v>
      </c>
      <c r="D12" s="261"/>
      <c r="E12" s="261"/>
      <c r="F12" s="261"/>
    </row>
    <row r="13" spans="1:6" ht="15.75" customHeight="1" x14ac:dyDescent="0.25">
      <c r="A13" s="272" t="s">
        <v>298</v>
      </c>
      <c r="B13" s="272"/>
      <c r="C13" s="272" t="s">
        <v>103</v>
      </c>
      <c r="D13" s="272"/>
      <c r="E13" s="272"/>
      <c r="F13" s="272"/>
    </row>
    <row r="14" spans="1:6" ht="15.75" customHeight="1" x14ac:dyDescent="0.25">
      <c r="A14" s="261" t="s">
        <v>14</v>
      </c>
      <c r="B14" s="261"/>
      <c r="C14" s="322">
        <v>43983</v>
      </c>
      <c r="D14" s="261"/>
      <c r="E14" s="261"/>
      <c r="F14" s="261"/>
    </row>
    <row r="15" spans="1:6" ht="15.75" customHeight="1" x14ac:dyDescent="0.25">
      <c r="A15" s="272" t="s">
        <v>15</v>
      </c>
      <c r="B15" s="272"/>
      <c r="C15" s="259">
        <v>43983</v>
      </c>
      <c r="D15" s="259"/>
      <c r="E15" s="259"/>
      <c r="F15" s="259"/>
    </row>
    <row r="16" spans="1:6" ht="15" customHeight="1" x14ac:dyDescent="0.25">
      <c r="A16" s="32"/>
      <c r="B16" s="114"/>
      <c r="C16" s="32"/>
      <c r="D16" s="32"/>
      <c r="E16" s="32"/>
      <c r="F16" s="31" t="s">
        <v>106</v>
      </c>
    </row>
    <row r="17" spans="1:6" ht="36" customHeight="1" x14ac:dyDescent="0.25">
      <c r="A17" s="33" t="s">
        <v>445</v>
      </c>
      <c r="B17" s="34" t="s">
        <v>750</v>
      </c>
      <c r="C17" s="34" t="s">
        <v>611</v>
      </c>
      <c r="D17" s="34" t="s">
        <v>751</v>
      </c>
      <c r="E17" s="115" t="s">
        <v>94</v>
      </c>
      <c r="F17" s="35" t="s">
        <v>110</v>
      </c>
    </row>
    <row r="18" spans="1:6" ht="21" x14ac:dyDescent="0.25">
      <c r="A18" s="116" t="s">
        <v>69</v>
      </c>
      <c r="B18" s="117" t="s">
        <v>752</v>
      </c>
      <c r="C18" s="118" t="s">
        <v>69</v>
      </c>
      <c r="D18" s="118"/>
      <c r="E18" s="119">
        <v>0</v>
      </c>
      <c r="F18" s="120">
        <v>0</v>
      </c>
    </row>
    <row r="19" spans="1:6" ht="21" x14ac:dyDescent="0.25">
      <c r="A19" s="116" t="s">
        <v>95</v>
      </c>
      <c r="B19" s="117" t="s">
        <v>753</v>
      </c>
      <c r="C19" s="118" t="s">
        <v>754</v>
      </c>
      <c r="D19" s="118"/>
      <c r="E19" s="119">
        <f>E20+E25+E26</f>
        <v>3284906075</v>
      </c>
      <c r="F19" s="120">
        <f>F20+F25+F26</f>
        <v>221564400</v>
      </c>
    </row>
    <row r="20" spans="1:6" ht="21" x14ac:dyDescent="0.25">
      <c r="A20" s="121" t="s">
        <v>755</v>
      </c>
      <c r="B20" s="122" t="s">
        <v>756</v>
      </c>
      <c r="C20" s="123" t="s">
        <v>757</v>
      </c>
      <c r="D20" s="123"/>
      <c r="E20" s="124">
        <f>E21+E22+E23+E24</f>
        <v>3245070285</v>
      </c>
      <c r="F20" s="125">
        <f>F21+F22+F23+F24</f>
        <v>221564400</v>
      </c>
    </row>
    <row r="21" spans="1:6" ht="21" x14ac:dyDescent="0.25">
      <c r="A21" s="126"/>
      <c r="B21" s="127" t="s">
        <v>758</v>
      </c>
      <c r="C21" s="128" t="s">
        <v>759</v>
      </c>
      <c r="D21" s="128"/>
      <c r="E21" s="129">
        <v>0</v>
      </c>
      <c r="F21" s="130">
        <v>0</v>
      </c>
    </row>
    <row r="22" spans="1:6" ht="31.5" x14ac:dyDescent="0.25">
      <c r="A22" s="126"/>
      <c r="B22" s="127" t="s">
        <v>123</v>
      </c>
      <c r="C22" s="128" t="s">
        <v>760</v>
      </c>
      <c r="D22" s="128"/>
      <c r="E22" s="129">
        <v>0</v>
      </c>
      <c r="F22" s="130">
        <v>0</v>
      </c>
    </row>
    <row r="23" spans="1:6" ht="21" x14ac:dyDescent="0.25">
      <c r="A23" s="126"/>
      <c r="B23" s="127" t="s">
        <v>125</v>
      </c>
      <c r="C23" s="128" t="s">
        <v>761</v>
      </c>
      <c r="D23" s="128"/>
      <c r="E23" s="129">
        <v>3245070285</v>
      </c>
      <c r="F23" s="130">
        <v>221564400</v>
      </c>
    </row>
    <row r="24" spans="1:6" ht="31.5" x14ac:dyDescent="0.25">
      <c r="A24" s="126"/>
      <c r="B24" s="127" t="s">
        <v>762</v>
      </c>
      <c r="C24" s="128" t="s">
        <v>763</v>
      </c>
      <c r="D24" s="128"/>
      <c r="E24" s="129">
        <v>0</v>
      </c>
      <c r="F24" s="130">
        <v>0</v>
      </c>
    </row>
    <row r="25" spans="1:6" ht="21" x14ac:dyDescent="0.25">
      <c r="A25" s="121" t="s">
        <v>764</v>
      </c>
      <c r="B25" s="122" t="s">
        <v>765</v>
      </c>
      <c r="C25" s="123" t="s">
        <v>766</v>
      </c>
      <c r="D25" s="123"/>
      <c r="E25" s="124">
        <v>0</v>
      </c>
      <c r="F25" s="125">
        <v>0</v>
      </c>
    </row>
    <row r="26" spans="1:6" ht="21" x14ac:dyDescent="0.25">
      <c r="A26" s="121" t="s">
        <v>767</v>
      </c>
      <c r="B26" s="122" t="s">
        <v>768</v>
      </c>
      <c r="C26" s="123" t="s">
        <v>769</v>
      </c>
      <c r="D26" s="123"/>
      <c r="E26" s="124">
        <v>39835790</v>
      </c>
      <c r="F26" s="125">
        <v>0</v>
      </c>
    </row>
    <row r="27" spans="1:6" ht="21" x14ac:dyDescent="0.25">
      <c r="A27" s="116" t="s">
        <v>98</v>
      </c>
      <c r="B27" s="117" t="s">
        <v>770</v>
      </c>
      <c r="C27" s="118" t="s">
        <v>771</v>
      </c>
      <c r="D27" s="118"/>
      <c r="E27" s="119">
        <f>E28-E38</f>
        <v>691820736750</v>
      </c>
      <c r="F27" s="120">
        <f>F28-F38</f>
        <v>104402553200</v>
      </c>
    </row>
    <row r="28" spans="1:6" ht="21" x14ac:dyDescent="0.25">
      <c r="A28" s="121" t="s">
        <v>772</v>
      </c>
      <c r="B28" s="122" t="s">
        <v>773</v>
      </c>
      <c r="C28" s="123" t="s">
        <v>774</v>
      </c>
      <c r="D28" s="123"/>
      <c r="E28" s="124">
        <f>E29+E30+E31+E32+E33+E34+E35+E36+E37</f>
        <v>691820736750</v>
      </c>
      <c r="F28" s="125">
        <f>F29+F30+F31+F32+F33+F34+F35+F36+F37</f>
        <v>104402553200</v>
      </c>
    </row>
    <row r="29" spans="1:6" ht="21" x14ac:dyDescent="0.25">
      <c r="A29" s="126"/>
      <c r="B29" s="127" t="s">
        <v>775</v>
      </c>
      <c r="C29" s="128" t="s">
        <v>776</v>
      </c>
      <c r="D29" s="128"/>
      <c r="E29" s="129">
        <v>691820736750</v>
      </c>
      <c r="F29" s="130">
        <v>104402553200</v>
      </c>
    </row>
    <row r="30" spans="1:6" ht="21" x14ac:dyDescent="0.25">
      <c r="A30" s="126"/>
      <c r="B30" s="127" t="s">
        <v>777</v>
      </c>
      <c r="C30" s="128" t="s">
        <v>778</v>
      </c>
      <c r="D30" s="128"/>
      <c r="E30" s="129">
        <v>0</v>
      </c>
      <c r="F30" s="130">
        <v>0</v>
      </c>
    </row>
    <row r="31" spans="1:6" ht="21" x14ac:dyDescent="0.25">
      <c r="A31" s="126"/>
      <c r="B31" s="127" t="s">
        <v>779</v>
      </c>
      <c r="C31" s="128" t="s">
        <v>780</v>
      </c>
      <c r="D31" s="128"/>
      <c r="E31" s="129">
        <v>0</v>
      </c>
      <c r="F31" s="130">
        <v>0</v>
      </c>
    </row>
    <row r="32" spans="1:6" ht="21" x14ac:dyDescent="0.25">
      <c r="A32" s="126"/>
      <c r="B32" s="127" t="s">
        <v>781</v>
      </c>
      <c r="C32" s="128" t="s">
        <v>782</v>
      </c>
      <c r="D32" s="128"/>
      <c r="E32" s="129">
        <v>0</v>
      </c>
      <c r="F32" s="130">
        <v>0</v>
      </c>
    </row>
    <row r="33" spans="1:6" ht="21" x14ac:dyDescent="0.25">
      <c r="A33" s="126"/>
      <c r="B33" s="127" t="s">
        <v>783</v>
      </c>
      <c r="C33" s="128" t="s">
        <v>784</v>
      </c>
      <c r="D33" s="128"/>
      <c r="E33" s="129">
        <v>0</v>
      </c>
      <c r="F33" s="130">
        <v>0</v>
      </c>
    </row>
    <row r="34" spans="1:6" ht="21" x14ac:dyDescent="0.25">
      <c r="A34" s="126"/>
      <c r="B34" s="127" t="s">
        <v>144</v>
      </c>
      <c r="C34" s="128" t="s">
        <v>785</v>
      </c>
      <c r="D34" s="128"/>
      <c r="E34" s="129">
        <v>0</v>
      </c>
      <c r="F34" s="130">
        <v>0</v>
      </c>
    </row>
    <row r="35" spans="1:6" ht="21" x14ac:dyDescent="0.25">
      <c r="A35" s="126"/>
      <c r="B35" s="127" t="s">
        <v>786</v>
      </c>
      <c r="C35" s="128" t="s">
        <v>787</v>
      </c>
      <c r="D35" s="128"/>
      <c r="E35" s="129">
        <v>0</v>
      </c>
      <c r="F35" s="130">
        <v>0</v>
      </c>
    </row>
    <row r="36" spans="1:6" ht="21" x14ac:dyDescent="0.25">
      <c r="A36" s="126"/>
      <c r="B36" s="127" t="s">
        <v>148</v>
      </c>
      <c r="C36" s="128" t="s">
        <v>788</v>
      </c>
      <c r="D36" s="128"/>
      <c r="E36" s="129">
        <v>0</v>
      </c>
      <c r="F36" s="130">
        <v>0</v>
      </c>
    </row>
    <row r="37" spans="1:6" ht="21" x14ac:dyDescent="0.25">
      <c r="A37" s="126"/>
      <c r="B37" s="127" t="s">
        <v>789</v>
      </c>
      <c r="C37" s="128" t="s">
        <v>790</v>
      </c>
      <c r="D37" s="128"/>
      <c r="E37" s="129">
        <v>0</v>
      </c>
      <c r="F37" s="130">
        <v>0</v>
      </c>
    </row>
    <row r="38" spans="1:6" ht="21" x14ac:dyDescent="0.25">
      <c r="A38" s="121" t="s">
        <v>791</v>
      </c>
      <c r="B38" s="122" t="s">
        <v>792</v>
      </c>
      <c r="C38" s="123" t="s">
        <v>793</v>
      </c>
      <c r="D38" s="123"/>
      <c r="E38" s="124">
        <v>0</v>
      </c>
      <c r="F38" s="125">
        <v>0</v>
      </c>
    </row>
    <row r="39" spans="1:6" ht="21" x14ac:dyDescent="0.25">
      <c r="A39" s="116" t="s">
        <v>79</v>
      </c>
      <c r="B39" s="117" t="s">
        <v>794</v>
      </c>
      <c r="C39" s="118" t="s">
        <v>795</v>
      </c>
      <c r="D39" s="118"/>
      <c r="E39" s="119">
        <f>E40+E42+E56-E64</f>
        <v>1450950000</v>
      </c>
      <c r="F39" s="120">
        <f>F40+F42+F56-F64</f>
        <v>6580824000</v>
      </c>
    </row>
    <row r="40" spans="1:6" ht="21" x14ac:dyDescent="0.25">
      <c r="A40" s="121" t="s">
        <v>796</v>
      </c>
      <c r="B40" s="122" t="s">
        <v>797</v>
      </c>
      <c r="C40" s="123" t="s">
        <v>798</v>
      </c>
      <c r="D40" s="123"/>
      <c r="E40" s="124">
        <v>877650000</v>
      </c>
      <c r="F40" s="125">
        <v>6580824000</v>
      </c>
    </row>
    <row r="41" spans="1:6" ht="21" x14ac:dyDescent="0.25">
      <c r="A41" s="121"/>
      <c r="B41" s="122" t="s">
        <v>799</v>
      </c>
      <c r="C41" s="123" t="s">
        <v>800</v>
      </c>
      <c r="D41" s="123"/>
      <c r="E41" s="124">
        <v>0</v>
      </c>
      <c r="F41" s="125">
        <v>0</v>
      </c>
    </row>
    <row r="42" spans="1:6" ht="21" x14ac:dyDescent="0.25">
      <c r="A42" s="121" t="s">
        <v>801</v>
      </c>
      <c r="B42" s="122" t="s">
        <v>802</v>
      </c>
      <c r="C42" s="123" t="s">
        <v>803</v>
      </c>
      <c r="D42" s="123"/>
      <c r="E42" s="124">
        <f>E43+E49+E50</f>
        <v>573300000</v>
      </c>
      <c r="F42" s="125">
        <f>F43+F49+F50</f>
        <v>0</v>
      </c>
    </row>
    <row r="43" spans="1:6" ht="21" x14ac:dyDescent="0.25">
      <c r="A43" s="121" t="s">
        <v>804</v>
      </c>
      <c r="B43" s="122" t="s">
        <v>805</v>
      </c>
      <c r="C43" s="123" t="s">
        <v>806</v>
      </c>
      <c r="D43" s="123"/>
      <c r="E43" s="124">
        <f>E44+E45+E46+E47+E48</f>
        <v>573300000</v>
      </c>
      <c r="F43" s="125">
        <f>F44+F45+F46+F47+F48</f>
        <v>0</v>
      </c>
    </row>
    <row r="44" spans="1:6" ht="21" x14ac:dyDescent="0.25">
      <c r="A44" s="126"/>
      <c r="B44" s="127" t="s">
        <v>807</v>
      </c>
      <c r="C44" s="128" t="s">
        <v>808</v>
      </c>
      <c r="D44" s="128"/>
      <c r="E44" s="129">
        <v>573300000</v>
      </c>
      <c r="F44" s="130">
        <v>0</v>
      </c>
    </row>
    <row r="45" spans="1:6" ht="21" x14ac:dyDescent="0.25">
      <c r="A45" s="126"/>
      <c r="B45" s="127" t="s">
        <v>157</v>
      </c>
      <c r="C45" s="128" t="s">
        <v>809</v>
      </c>
      <c r="D45" s="128"/>
      <c r="E45" s="129">
        <v>0</v>
      </c>
      <c r="F45" s="130">
        <v>0</v>
      </c>
    </row>
    <row r="46" spans="1:6" ht="31.5" x14ac:dyDescent="0.25">
      <c r="A46" s="126"/>
      <c r="B46" s="127" t="s">
        <v>810</v>
      </c>
      <c r="C46" s="128" t="s">
        <v>811</v>
      </c>
      <c r="D46" s="128"/>
      <c r="E46" s="129">
        <v>0</v>
      </c>
      <c r="F46" s="130">
        <v>0</v>
      </c>
    </row>
    <row r="47" spans="1:6" ht="31.5" x14ac:dyDescent="0.25">
      <c r="A47" s="126"/>
      <c r="B47" s="127" t="s">
        <v>164</v>
      </c>
      <c r="C47" s="128" t="s">
        <v>812</v>
      </c>
      <c r="D47" s="128"/>
      <c r="E47" s="129">
        <v>0</v>
      </c>
      <c r="F47" s="130">
        <v>0</v>
      </c>
    </row>
    <row r="48" spans="1:6" ht="21" x14ac:dyDescent="0.25">
      <c r="A48" s="126"/>
      <c r="B48" s="127" t="s">
        <v>813</v>
      </c>
      <c r="C48" s="128" t="s">
        <v>814</v>
      </c>
      <c r="D48" s="128"/>
      <c r="E48" s="129">
        <v>0</v>
      </c>
      <c r="F48" s="130">
        <v>0</v>
      </c>
    </row>
    <row r="49" spans="1:6" ht="42" x14ac:dyDescent="0.25">
      <c r="A49" s="121"/>
      <c r="B49" s="122" t="s">
        <v>815</v>
      </c>
      <c r="C49" s="123" t="s">
        <v>816</v>
      </c>
      <c r="D49" s="123"/>
      <c r="E49" s="124">
        <v>0</v>
      </c>
      <c r="F49" s="125">
        <v>0</v>
      </c>
    </row>
    <row r="50" spans="1:6" ht="21" x14ac:dyDescent="0.25">
      <c r="A50" s="121" t="s">
        <v>817</v>
      </c>
      <c r="B50" s="122" t="s">
        <v>818</v>
      </c>
      <c r="C50" s="123" t="s">
        <v>819</v>
      </c>
      <c r="D50" s="123"/>
      <c r="E50" s="124">
        <f>E51+E52+E53+E54+E55</f>
        <v>0</v>
      </c>
      <c r="F50" s="125">
        <f>F51+F52+F53+F54+F55</f>
        <v>0</v>
      </c>
    </row>
    <row r="51" spans="1:6" ht="21" x14ac:dyDescent="0.25">
      <c r="A51" s="126"/>
      <c r="B51" s="127" t="s">
        <v>820</v>
      </c>
      <c r="C51" s="128" t="s">
        <v>821</v>
      </c>
      <c r="D51" s="128"/>
      <c r="E51" s="129">
        <v>0</v>
      </c>
      <c r="F51" s="130">
        <v>0</v>
      </c>
    </row>
    <row r="52" spans="1:6" ht="21" x14ac:dyDescent="0.25">
      <c r="A52" s="126"/>
      <c r="B52" s="127" t="s">
        <v>822</v>
      </c>
      <c r="C52" s="128" t="s">
        <v>823</v>
      </c>
      <c r="D52" s="128"/>
      <c r="E52" s="129">
        <v>0</v>
      </c>
      <c r="F52" s="130">
        <v>0</v>
      </c>
    </row>
    <row r="53" spans="1:6" ht="31.5" x14ac:dyDescent="0.25">
      <c r="A53" s="126"/>
      <c r="B53" s="127" t="s">
        <v>824</v>
      </c>
      <c r="C53" s="128" t="s">
        <v>825</v>
      </c>
      <c r="D53" s="128"/>
      <c r="E53" s="129">
        <v>0</v>
      </c>
      <c r="F53" s="130">
        <v>0</v>
      </c>
    </row>
    <row r="54" spans="1:6" ht="31.5" x14ac:dyDescent="0.25">
      <c r="A54" s="126"/>
      <c r="B54" s="127" t="s">
        <v>826</v>
      </c>
      <c r="C54" s="128" t="s">
        <v>827</v>
      </c>
      <c r="D54" s="128"/>
      <c r="E54" s="129">
        <v>0</v>
      </c>
      <c r="F54" s="130">
        <v>0</v>
      </c>
    </row>
    <row r="55" spans="1:6" ht="21" x14ac:dyDescent="0.25">
      <c r="A55" s="126"/>
      <c r="B55" s="127" t="s">
        <v>828</v>
      </c>
      <c r="C55" s="128" t="s">
        <v>829</v>
      </c>
      <c r="D55" s="128"/>
      <c r="E55" s="129">
        <v>0</v>
      </c>
      <c r="F55" s="130">
        <v>0</v>
      </c>
    </row>
    <row r="56" spans="1:6" ht="21" x14ac:dyDescent="0.25">
      <c r="A56" s="121" t="s">
        <v>830</v>
      </c>
      <c r="B56" s="122" t="s">
        <v>831</v>
      </c>
      <c r="C56" s="123" t="s">
        <v>832</v>
      </c>
      <c r="D56" s="123"/>
      <c r="E56" s="124">
        <f>E57+E58+E63</f>
        <v>0</v>
      </c>
      <c r="F56" s="125">
        <f>F57+F58+F63</f>
        <v>0</v>
      </c>
    </row>
    <row r="57" spans="1:6" ht="31.5" x14ac:dyDescent="0.25">
      <c r="A57" s="126"/>
      <c r="B57" s="127" t="s">
        <v>833</v>
      </c>
      <c r="C57" s="128" t="s">
        <v>834</v>
      </c>
      <c r="D57" s="128"/>
      <c r="E57" s="129">
        <v>0</v>
      </c>
      <c r="F57" s="130">
        <v>0</v>
      </c>
    </row>
    <row r="58" spans="1:6" ht="21" x14ac:dyDescent="0.25">
      <c r="A58" s="126"/>
      <c r="B58" s="127" t="s">
        <v>181</v>
      </c>
      <c r="C58" s="128" t="s">
        <v>835</v>
      </c>
      <c r="D58" s="128"/>
      <c r="E58" s="129">
        <f>E59+E60+E61+E62</f>
        <v>0</v>
      </c>
      <c r="F58" s="130">
        <f>F59+F60+F61+F62</f>
        <v>0</v>
      </c>
    </row>
    <row r="59" spans="1:6" ht="21" x14ac:dyDescent="0.25">
      <c r="A59" s="126"/>
      <c r="B59" s="127" t="s">
        <v>185</v>
      </c>
      <c r="C59" s="128" t="s">
        <v>836</v>
      </c>
      <c r="D59" s="128"/>
      <c r="E59" s="129">
        <v>0</v>
      </c>
      <c r="F59" s="130">
        <v>0</v>
      </c>
    </row>
    <row r="60" spans="1:6" ht="21" x14ac:dyDescent="0.25">
      <c r="A60" s="126"/>
      <c r="B60" s="127" t="s">
        <v>837</v>
      </c>
      <c r="C60" s="128" t="s">
        <v>838</v>
      </c>
      <c r="D60" s="128"/>
      <c r="E60" s="129">
        <v>0</v>
      </c>
      <c r="F60" s="130">
        <v>0</v>
      </c>
    </row>
    <row r="61" spans="1:6" ht="21" x14ac:dyDescent="0.25">
      <c r="A61" s="126"/>
      <c r="B61" s="127" t="s">
        <v>522</v>
      </c>
      <c r="C61" s="128" t="s">
        <v>839</v>
      </c>
      <c r="D61" s="128"/>
      <c r="E61" s="129">
        <v>0</v>
      </c>
      <c r="F61" s="130">
        <v>0</v>
      </c>
    </row>
    <row r="62" spans="1:6" ht="31.5" x14ac:dyDescent="0.25">
      <c r="A62" s="126"/>
      <c r="B62" s="127" t="s">
        <v>840</v>
      </c>
      <c r="C62" s="128" t="s">
        <v>841</v>
      </c>
      <c r="D62" s="128"/>
      <c r="E62" s="129">
        <v>0</v>
      </c>
      <c r="F62" s="130">
        <v>0</v>
      </c>
    </row>
    <row r="63" spans="1:6" ht="21" x14ac:dyDescent="0.25">
      <c r="A63" s="126"/>
      <c r="B63" s="127" t="s">
        <v>178</v>
      </c>
      <c r="C63" s="128" t="s">
        <v>842</v>
      </c>
      <c r="D63" s="128"/>
      <c r="E63" s="129">
        <v>0</v>
      </c>
      <c r="F63" s="130">
        <v>0</v>
      </c>
    </row>
    <row r="64" spans="1:6" ht="21" x14ac:dyDescent="0.25">
      <c r="A64" s="121" t="s">
        <v>843</v>
      </c>
      <c r="B64" s="122" t="s">
        <v>844</v>
      </c>
      <c r="C64" s="123" t="s">
        <v>845</v>
      </c>
      <c r="D64" s="123"/>
      <c r="E64" s="124">
        <v>0</v>
      </c>
      <c r="F64" s="125">
        <v>0</v>
      </c>
    </row>
    <row r="65" spans="1:6" ht="21" x14ac:dyDescent="0.25">
      <c r="A65" s="116"/>
      <c r="B65" s="117" t="s">
        <v>846</v>
      </c>
      <c r="C65" s="118" t="s">
        <v>847</v>
      </c>
      <c r="D65" s="118"/>
      <c r="E65" s="119">
        <f>E19+E27+E39</f>
        <v>696556592825</v>
      </c>
      <c r="F65" s="120">
        <f>F19+F27+F39</f>
        <v>111204941600</v>
      </c>
    </row>
    <row r="66" spans="1:6" ht="21" x14ac:dyDescent="0.25">
      <c r="A66" s="116" t="s">
        <v>74</v>
      </c>
      <c r="B66" s="117" t="s">
        <v>848</v>
      </c>
      <c r="C66" s="118" t="s">
        <v>74</v>
      </c>
      <c r="D66" s="118"/>
      <c r="E66" s="119">
        <v>0</v>
      </c>
      <c r="F66" s="120">
        <v>0</v>
      </c>
    </row>
    <row r="67" spans="1:6" ht="21" x14ac:dyDescent="0.25">
      <c r="A67" s="121" t="s">
        <v>95</v>
      </c>
      <c r="B67" s="122" t="s">
        <v>849</v>
      </c>
      <c r="C67" s="123" t="s">
        <v>850</v>
      </c>
      <c r="D67" s="123"/>
      <c r="E67" s="124">
        <v>0</v>
      </c>
      <c r="F67" s="125">
        <v>0</v>
      </c>
    </row>
    <row r="68" spans="1:6" ht="21" x14ac:dyDescent="0.25">
      <c r="A68" s="121"/>
      <c r="B68" s="122" t="s">
        <v>851</v>
      </c>
      <c r="C68" s="123" t="s">
        <v>852</v>
      </c>
      <c r="D68" s="123"/>
      <c r="E68" s="124">
        <v>0</v>
      </c>
      <c r="F68" s="125">
        <v>0</v>
      </c>
    </row>
    <row r="69" spans="1:6" ht="21" x14ac:dyDescent="0.25">
      <c r="A69" s="121"/>
      <c r="B69" s="122" t="s">
        <v>853</v>
      </c>
      <c r="C69" s="123" t="s">
        <v>854</v>
      </c>
      <c r="D69" s="123"/>
      <c r="E69" s="124">
        <v>0</v>
      </c>
      <c r="F69" s="125">
        <v>0</v>
      </c>
    </row>
    <row r="70" spans="1:6" ht="21" x14ac:dyDescent="0.25">
      <c r="A70" s="121" t="s">
        <v>98</v>
      </c>
      <c r="B70" s="122" t="s">
        <v>855</v>
      </c>
      <c r="C70" s="123" t="s">
        <v>856</v>
      </c>
      <c r="D70" s="123"/>
      <c r="E70" s="124">
        <v>0</v>
      </c>
      <c r="F70" s="125">
        <v>0</v>
      </c>
    </row>
    <row r="71" spans="1:6" ht="42" x14ac:dyDescent="0.25">
      <c r="A71" s="121" t="s">
        <v>79</v>
      </c>
      <c r="B71" s="122" t="s">
        <v>857</v>
      </c>
      <c r="C71" s="123" t="s">
        <v>858</v>
      </c>
      <c r="D71" s="123"/>
      <c r="E71" s="124">
        <f>E72+E73</f>
        <v>0</v>
      </c>
      <c r="F71" s="125">
        <f>F72+F73</f>
        <v>0</v>
      </c>
    </row>
    <row r="72" spans="1:6" ht="21" x14ac:dyDescent="0.25">
      <c r="A72" s="126"/>
      <c r="B72" s="127" t="s">
        <v>859</v>
      </c>
      <c r="C72" s="128" t="s">
        <v>860</v>
      </c>
      <c r="D72" s="128"/>
      <c r="E72" s="129">
        <v>0</v>
      </c>
      <c r="F72" s="130">
        <v>0</v>
      </c>
    </row>
    <row r="73" spans="1:6" ht="31.5" x14ac:dyDescent="0.25">
      <c r="A73" s="126"/>
      <c r="B73" s="127" t="s">
        <v>861</v>
      </c>
      <c r="C73" s="128" t="s">
        <v>862</v>
      </c>
      <c r="D73" s="128"/>
      <c r="E73" s="129">
        <v>0</v>
      </c>
      <c r="F73" s="130">
        <v>0</v>
      </c>
    </row>
    <row r="74" spans="1:6" ht="21" x14ac:dyDescent="0.25">
      <c r="A74" s="121" t="s">
        <v>85</v>
      </c>
      <c r="B74" s="122" t="s">
        <v>863</v>
      </c>
      <c r="C74" s="123" t="s">
        <v>864</v>
      </c>
      <c r="D74" s="123"/>
      <c r="E74" s="124">
        <v>0</v>
      </c>
      <c r="F74" s="125">
        <v>0</v>
      </c>
    </row>
    <row r="75" spans="1:6" ht="21" x14ac:dyDescent="0.25">
      <c r="A75" s="121" t="s">
        <v>349</v>
      </c>
      <c r="B75" s="122" t="s">
        <v>865</v>
      </c>
      <c r="C75" s="123" t="s">
        <v>866</v>
      </c>
      <c r="D75" s="123"/>
      <c r="E75" s="124">
        <v>0</v>
      </c>
      <c r="F75" s="125">
        <v>0</v>
      </c>
    </row>
    <row r="76" spans="1:6" ht="21" x14ac:dyDescent="0.25">
      <c r="A76" s="121" t="s">
        <v>358</v>
      </c>
      <c r="B76" s="122" t="s">
        <v>867</v>
      </c>
      <c r="C76" s="123" t="s">
        <v>868</v>
      </c>
      <c r="D76" s="123"/>
      <c r="E76" s="124">
        <f>E77+E78+E79+E80+E81+E82+E83</f>
        <v>2477890</v>
      </c>
      <c r="F76" s="125">
        <f>F77+F78+F79+F80+F81+F82+F83</f>
        <v>7405855</v>
      </c>
    </row>
    <row r="77" spans="1:6" ht="21" x14ac:dyDescent="0.25">
      <c r="A77" s="126"/>
      <c r="B77" s="127" t="s">
        <v>869</v>
      </c>
      <c r="C77" s="128" t="s">
        <v>870</v>
      </c>
      <c r="D77" s="128"/>
      <c r="E77" s="129">
        <v>1316475</v>
      </c>
      <c r="F77" s="130">
        <v>7051525</v>
      </c>
    </row>
    <row r="78" spans="1:6" ht="21" x14ac:dyDescent="0.25">
      <c r="A78" s="126"/>
      <c r="B78" s="127" t="s">
        <v>871</v>
      </c>
      <c r="C78" s="128" t="s">
        <v>872</v>
      </c>
      <c r="D78" s="128"/>
      <c r="E78" s="129">
        <v>0</v>
      </c>
      <c r="F78" s="130">
        <v>0</v>
      </c>
    </row>
    <row r="79" spans="1:6" ht="21" x14ac:dyDescent="0.25">
      <c r="A79" s="126"/>
      <c r="B79" s="127" t="s">
        <v>873</v>
      </c>
      <c r="C79" s="128" t="s">
        <v>874</v>
      </c>
      <c r="D79" s="128"/>
      <c r="E79" s="129">
        <v>0</v>
      </c>
      <c r="F79" s="130">
        <v>0</v>
      </c>
    </row>
    <row r="80" spans="1:6" ht="21" x14ac:dyDescent="0.25">
      <c r="A80" s="126"/>
      <c r="B80" s="127" t="s">
        <v>875</v>
      </c>
      <c r="C80" s="128" t="s">
        <v>876</v>
      </c>
      <c r="D80" s="128"/>
      <c r="E80" s="129">
        <v>0</v>
      </c>
      <c r="F80" s="130">
        <v>0</v>
      </c>
    </row>
    <row r="81" spans="1:6" ht="31.5" x14ac:dyDescent="0.25">
      <c r="A81" s="126"/>
      <c r="B81" s="127" t="s">
        <v>877</v>
      </c>
      <c r="C81" s="128" t="s">
        <v>878</v>
      </c>
      <c r="D81" s="128"/>
      <c r="E81" s="129">
        <v>0</v>
      </c>
      <c r="F81" s="130">
        <v>0</v>
      </c>
    </row>
    <row r="82" spans="1:6" ht="21" x14ac:dyDescent="0.25">
      <c r="A82" s="126"/>
      <c r="B82" s="127" t="s">
        <v>879</v>
      </c>
      <c r="C82" s="128" t="s">
        <v>880</v>
      </c>
      <c r="D82" s="128"/>
      <c r="E82" s="129">
        <v>0</v>
      </c>
      <c r="F82" s="130">
        <v>0</v>
      </c>
    </row>
    <row r="83" spans="1:6" ht="21" x14ac:dyDescent="0.25">
      <c r="A83" s="126"/>
      <c r="B83" s="127" t="s">
        <v>881</v>
      </c>
      <c r="C83" s="128" t="s">
        <v>882</v>
      </c>
      <c r="D83" s="128"/>
      <c r="E83" s="129">
        <v>1161415</v>
      </c>
      <c r="F83" s="130">
        <v>354330</v>
      </c>
    </row>
    <row r="84" spans="1:6" ht="21" x14ac:dyDescent="0.25">
      <c r="A84" s="121" t="s">
        <v>371</v>
      </c>
      <c r="B84" s="122" t="s">
        <v>883</v>
      </c>
      <c r="C84" s="123" t="s">
        <v>884</v>
      </c>
      <c r="D84" s="123"/>
      <c r="E84" s="124">
        <v>0</v>
      </c>
      <c r="F84" s="125">
        <v>0</v>
      </c>
    </row>
    <row r="85" spans="1:6" ht="21" x14ac:dyDescent="0.25">
      <c r="A85" s="121" t="s">
        <v>378</v>
      </c>
      <c r="B85" s="122" t="s">
        <v>885</v>
      </c>
      <c r="C85" s="123" t="s">
        <v>886</v>
      </c>
      <c r="D85" s="123"/>
      <c r="E85" s="124">
        <v>0</v>
      </c>
      <c r="F85" s="125">
        <v>0</v>
      </c>
    </row>
    <row r="86" spans="1:6" ht="21" x14ac:dyDescent="0.25">
      <c r="A86" s="121" t="s">
        <v>468</v>
      </c>
      <c r="B86" s="122" t="s">
        <v>887</v>
      </c>
      <c r="C86" s="123" t="s">
        <v>888</v>
      </c>
      <c r="D86" s="123"/>
      <c r="E86" s="124">
        <f>E87+E88+E93+E94+E95+E96+E97</f>
        <v>372940257</v>
      </c>
      <c r="F86" s="125">
        <f>F87+F88+F93+F94+F95+F96+F97</f>
        <v>41421852</v>
      </c>
    </row>
    <row r="87" spans="1:6" ht="21" x14ac:dyDescent="0.25">
      <c r="A87" s="126" t="s">
        <v>889</v>
      </c>
      <c r="B87" s="127" t="s">
        <v>890</v>
      </c>
      <c r="C87" s="128" t="s">
        <v>891</v>
      </c>
      <c r="D87" s="128"/>
      <c r="E87" s="129">
        <v>270193928</v>
      </c>
      <c r="F87" s="130">
        <v>21820213</v>
      </c>
    </row>
    <row r="88" spans="1:6" ht="21" x14ac:dyDescent="0.25">
      <c r="A88" s="126" t="s">
        <v>892</v>
      </c>
      <c r="B88" s="127" t="s">
        <v>893</v>
      </c>
      <c r="C88" s="128" t="s">
        <v>894</v>
      </c>
      <c r="D88" s="128"/>
      <c r="E88" s="129">
        <f>E89+E90+E91</f>
        <v>11716520</v>
      </c>
      <c r="F88" s="130">
        <f>F89+F90+F91</f>
        <v>3800000</v>
      </c>
    </row>
    <row r="89" spans="1:6" ht="21" x14ac:dyDescent="0.25">
      <c r="A89" s="126"/>
      <c r="B89" s="127" t="s">
        <v>895</v>
      </c>
      <c r="C89" s="128" t="s">
        <v>896</v>
      </c>
      <c r="D89" s="128"/>
      <c r="E89" s="129">
        <v>10516520</v>
      </c>
      <c r="F89" s="130">
        <v>3000000</v>
      </c>
    </row>
    <row r="90" spans="1:6" ht="21" x14ac:dyDescent="0.25">
      <c r="A90" s="126"/>
      <c r="B90" s="127" t="s">
        <v>897</v>
      </c>
      <c r="C90" s="128" t="s">
        <v>898</v>
      </c>
      <c r="D90" s="128"/>
      <c r="E90" s="129">
        <v>1200000</v>
      </c>
      <c r="F90" s="130">
        <v>800000</v>
      </c>
    </row>
    <row r="91" spans="1:6" ht="21" x14ac:dyDescent="0.25">
      <c r="A91" s="126"/>
      <c r="B91" s="127" t="s">
        <v>899</v>
      </c>
      <c r="C91" s="128" t="s">
        <v>900</v>
      </c>
      <c r="D91" s="128"/>
      <c r="E91" s="129">
        <v>0</v>
      </c>
      <c r="F91" s="130">
        <v>0</v>
      </c>
    </row>
    <row r="92" spans="1:6" ht="42" x14ac:dyDescent="0.25">
      <c r="A92" s="126"/>
      <c r="B92" s="127" t="s">
        <v>901</v>
      </c>
      <c r="C92" s="128" t="s">
        <v>902</v>
      </c>
      <c r="D92" s="128"/>
      <c r="E92" s="129">
        <v>0</v>
      </c>
      <c r="F92" s="130">
        <v>0</v>
      </c>
    </row>
    <row r="93" spans="1:6" ht="21" x14ac:dyDescent="0.25">
      <c r="A93" s="126" t="s">
        <v>903</v>
      </c>
      <c r="B93" s="127" t="s">
        <v>904</v>
      </c>
      <c r="C93" s="128" t="s">
        <v>905</v>
      </c>
      <c r="D93" s="128"/>
      <c r="E93" s="129">
        <v>17352250</v>
      </c>
      <c r="F93" s="130">
        <v>4950000</v>
      </c>
    </row>
    <row r="94" spans="1:6" ht="21" x14ac:dyDescent="0.25">
      <c r="A94" s="126" t="s">
        <v>906</v>
      </c>
      <c r="B94" s="127" t="s">
        <v>907</v>
      </c>
      <c r="C94" s="128" t="s">
        <v>908</v>
      </c>
      <c r="D94" s="128"/>
      <c r="E94" s="129">
        <v>23060729</v>
      </c>
      <c r="F94" s="130">
        <v>4950000</v>
      </c>
    </row>
    <row r="95" spans="1:6" ht="21" x14ac:dyDescent="0.25">
      <c r="A95" s="126" t="s">
        <v>909</v>
      </c>
      <c r="B95" s="127" t="s">
        <v>910</v>
      </c>
      <c r="C95" s="128" t="s">
        <v>911</v>
      </c>
      <c r="D95" s="128"/>
      <c r="E95" s="129">
        <v>3548383</v>
      </c>
      <c r="F95" s="130">
        <v>0</v>
      </c>
    </row>
    <row r="96" spans="1:6" ht="31.5" x14ac:dyDescent="0.25">
      <c r="A96" s="126" t="s">
        <v>912</v>
      </c>
      <c r="B96" s="127" t="s">
        <v>913</v>
      </c>
      <c r="C96" s="128" t="s">
        <v>914</v>
      </c>
      <c r="D96" s="128"/>
      <c r="E96" s="129">
        <v>13819731</v>
      </c>
      <c r="F96" s="130">
        <v>0</v>
      </c>
    </row>
    <row r="97" spans="1:6" ht="21" x14ac:dyDescent="0.25">
      <c r="A97" s="126" t="s">
        <v>915</v>
      </c>
      <c r="B97" s="127" t="s">
        <v>916</v>
      </c>
      <c r="C97" s="128" t="s">
        <v>917</v>
      </c>
      <c r="D97" s="128"/>
      <c r="E97" s="129">
        <v>33248716</v>
      </c>
      <c r="F97" s="130">
        <v>5901639</v>
      </c>
    </row>
    <row r="98" spans="1:6" ht="21" x14ac:dyDescent="0.25">
      <c r="A98" s="121" t="s">
        <v>471</v>
      </c>
      <c r="B98" s="122" t="s">
        <v>918</v>
      </c>
      <c r="C98" s="123" t="s">
        <v>919</v>
      </c>
      <c r="D98" s="123"/>
      <c r="E98" s="124">
        <f>E99+E100+E101</f>
        <v>50000000</v>
      </c>
      <c r="F98" s="125">
        <f>F99+F100+F101</f>
        <v>50000000</v>
      </c>
    </row>
    <row r="99" spans="1:6" ht="21" x14ac:dyDescent="0.25">
      <c r="A99" s="126" t="s">
        <v>920</v>
      </c>
      <c r="B99" s="127" t="s">
        <v>921</v>
      </c>
      <c r="C99" s="128" t="s">
        <v>922</v>
      </c>
      <c r="D99" s="128"/>
      <c r="E99" s="129">
        <v>0</v>
      </c>
      <c r="F99" s="130">
        <v>0</v>
      </c>
    </row>
    <row r="100" spans="1:6" ht="31.5" x14ac:dyDescent="0.25">
      <c r="A100" s="126" t="s">
        <v>923</v>
      </c>
      <c r="B100" s="127" t="s">
        <v>924</v>
      </c>
      <c r="C100" s="128" t="s">
        <v>925</v>
      </c>
      <c r="D100" s="128"/>
      <c r="E100" s="129">
        <v>0</v>
      </c>
      <c r="F100" s="130">
        <v>0</v>
      </c>
    </row>
    <row r="101" spans="1:6" ht="21" x14ac:dyDescent="0.25">
      <c r="A101" s="126" t="s">
        <v>926</v>
      </c>
      <c r="B101" s="127" t="s">
        <v>927</v>
      </c>
      <c r="C101" s="128" t="s">
        <v>928</v>
      </c>
      <c r="D101" s="128"/>
      <c r="E101" s="129">
        <f>E102+E103+E104+E105+E106</f>
        <v>50000000</v>
      </c>
      <c r="F101" s="130">
        <f>F102+F103+F104+F105+F106</f>
        <v>50000000</v>
      </c>
    </row>
    <row r="102" spans="1:6" ht="31.5" x14ac:dyDescent="0.25">
      <c r="A102" s="126"/>
      <c r="B102" s="127" t="s">
        <v>267</v>
      </c>
      <c r="C102" s="128" t="s">
        <v>929</v>
      </c>
      <c r="D102" s="128"/>
      <c r="E102" s="129">
        <v>50000000</v>
      </c>
      <c r="F102" s="130">
        <v>50000000</v>
      </c>
    </row>
    <row r="103" spans="1:6" ht="21" x14ac:dyDescent="0.25">
      <c r="A103" s="126"/>
      <c r="B103" s="127" t="s">
        <v>269</v>
      </c>
      <c r="C103" s="128" t="s">
        <v>930</v>
      </c>
      <c r="D103" s="128"/>
      <c r="E103" s="129">
        <v>0</v>
      </c>
      <c r="F103" s="130">
        <v>0</v>
      </c>
    </row>
    <row r="104" spans="1:6" ht="21" x14ac:dyDescent="0.25">
      <c r="A104" s="121"/>
      <c r="B104" s="122" t="s">
        <v>931</v>
      </c>
      <c r="C104" s="123" t="s">
        <v>932</v>
      </c>
      <c r="D104" s="123"/>
      <c r="E104" s="124">
        <v>0</v>
      </c>
      <c r="F104" s="125">
        <v>0</v>
      </c>
    </row>
    <row r="105" spans="1:6" ht="21" x14ac:dyDescent="0.25">
      <c r="A105" s="126"/>
      <c r="B105" s="127" t="s">
        <v>271</v>
      </c>
      <c r="C105" s="128" t="s">
        <v>933</v>
      </c>
      <c r="D105" s="128"/>
      <c r="E105" s="129">
        <v>0</v>
      </c>
      <c r="F105" s="130">
        <v>0</v>
      </c>
    </row>
    <row r="106" spans="1:6" ht="21" x14ac:dyDescent="0.25">
      <c r="A106" s="126"/>
      <c r="B106" s="127" t="s">
        <v>934</v>
      </c>
      <c r="C106" s="128" t="s">
        <v>935</v>
      </c>
      <c r="D106" s="128"/>
      <c r="E106" s="129">
        <v>0</v>
      </c>
      <c r="F106" s="130">
        <v>0</v>
      </c>
    </row>
    <row r="107" spans="1:6" ht="21" x14ac:dyDescent="0.25">
      <c r="A107" s="116"/>
      <c r="B107" s="117" t="s">
        <v>936</v>
      </c>
      <c r="C107" s="118" t="s">
        <v>937</v>
      </c>
      <c r="D107" s="118"/>
      <c r="E107" s="119">
        <f>E67+E70+E71+E74+E75+E76+E84+E85+E86+E98</f>
        <v>425418147</v>
      </c>
      <c r="F107" s="120">
        <f>F67+F70+F71+F74+F75+F76+F84+F85+F86+F98</f>
        <v>98827707</v>
      </c>
    </row>
    <row r="108" spans="1:6" ht="31.5" x14ac:dyDescent="0.25">
      <c r="A108" s="116" t="s">
        <v>82</v>
      </c>
      <c r="B108" s="117" t="s">
        <v>938</v>
      </c>
      <c r="C108" s="118" t="s">
        <v>939</v>
      </c>
      <c r="D108" s="118"/>
      <c r="E108" s="119">
        <f>E65-E107</f>
        <v>696131174678</v>
      </c>
      <c r="F108" s="120">
        <f>F65-F107</f>
        <v>111106113893</v>
      </c>
    </row>
    <row r="109" spans="1:6" ht="21" x14ac:dyDescent="0.25">
      <c r="A109" s="121" t="s">
        <v>95</v>
      </c>
      <c r="B109" s="122" t="s">
        <v>940</v>
      </c>
      <c r="C109" s="123" t="s">
        <v>941</v>
      </c>
      <c r="D109" s="123"/>
      <c r="E109" s="124">
        <f>E110+E111</f>
        <v>580000000000</v>
      </c>
      <c r="F109" s="125">
        <f>F110+F111</f>
        <v>102000000000</v>
      </c>
    </row>
    <row r="110" spans="1:6" ht="21" x14ac:dyDescent="0.25">
      <c r="A110" s="121" t="s">
        <v>755</v>
      </c>
      <c r="B110" s="122" t="s">
        <v>942</v>
      </c>
      <c r="C110" s="123" t="s">
        <v>943</v>
      </c>
      <c r="D110" s="123"/>
      <c r="E110" s="124">
        <v>580000000000</v>
      </c>
      <c r="F110" s="125">
        <v>102000000000</v>
      </c>
    </row>
    <row r="111" spans="1:6" ht="21" x14ac:dyDescent="0.25">
      <c r="A111" s="121" t="s">
        <v>764</v>
      </c>
      <c r="B111" s="122" t="s">
        <v>944</v>
      </c>
      <c r="C111" s="123" t="s">
        <v>945</v>
      </c>
      <c r="D111" s="123"/>
      <c r="E111" s="124">
        <v>0</v>
      </c>
      <c r="F111" s="125">
        <v>0</v>
      </c>
    </row>
    <row r="112" spans="1:6" ht="21" x14ac:dyDescent="0.25">
      <c r="A112" s="121" t="s">
        <v>98</v>
      </c>
      <c r="B112" s="122" t="s">
        <v>946</v>
      </c>
      <c r="C112" s="123" t="s">
        <v>947</v>
      </c>
      <c r="D112" s="123"/>
      <c r="E112" s="124">
        <v>98232163207</v>
      </c>
      <c r="F112" s="125">
        <v>0</v>
      </c>
    </row>
    <row r="113" spans="1:6" ht="21" x14ac:dyDescent="0.25">
      <c r="A113" s="121" t="s">
        <v>79</v>
      </c>
      <c r="B113" s="122" t="s">
        <v>948</v>
      </c>
      <c r="C113" s="123" t="s">
        <v>949</v>
      </c>
      <c r="D113" s="123"/>
      <c r="E113" s="124">
        <v>17899011471</v>
      </c>
      <c r="F113" s="125">
        <f>F114+F115</f>
        <v>9106113893</v>
      </c>
    </row>
    <row r="114" spans="1:6" ht="21" x14ac:dyDescent="0.25">
      <c r="A114" s="121" t="s">
        <v>796</v>
      </c>
      <c r="B114" s="122" t="s">
        <v>950</v>
      </c>
      <c r="C114" s="123" t="s">
        <v>951</v>
      </c>
      <c r="D114" s="123"/>
      <c r="E114" s="124">
        <v>9106113893</v>
      </c>
      <c r="F114" s="125">
        <v>0</v>
      </c>
    </row>
    <row r="115" spans="1:6" ht="21" x14ac:dyDescent="0.25">
      <c r="A115" s="121" t="s">
        <v>801</v>
      </c>
      <c r="B115" s="122" t="s">
        <v>952</v>
      </c>
      <c r="C115" s="123" t="s">
        <v>953</v>
      </c>
      <c r="D115" s="123"/>
      <c r="E115" s="124">
        <v>8792897578</v>
      </c>
      <c r="F115" s="125">
        <v>9106113893</v>
      </c>
    </row>
    <row r="116" spans="1:6" ht="31.5" x14ac:dyDescent="0.25">
      <c r="A116" s="131" t="s">
        <v>52</v>
      </c>
      <c r="B116" s="132" t="s">
        <v>954</v>
      </c>
      <c r="C116" s="133" t="s">
        <v>955</v>
      </c>
      <c r="D116" s="133"/>
      <c r="E116" s="81">
        <v>12002.26</v>
      </c>
      <c r="F116" s="134">
        <v>10892.75</v>
      </c>
    </row>
    <row r="117" spans="1:6" ht="21" x14ac:dyDescent="0.25">
      <c r="A117" s="116" t="s">
        <v>411</v>
      </c>
      <c r="B117" s="117" t="s">
        <v>956</v>
      </c>
      <c r="C117" s="118" t="s">
        <v>957</v>
      </c>
      <c r="D117" s="118"/>
      <c r="E117" s="119">
        <f>E118+E119</f>
        <v>0</v>
      </c>
      <c r="F117" s="120">
        <f>F118+F119</f>
        <v>0</v>
      </c>
    </row>
    <row r="118" spans="1:6" ht="31.5" x14ac:dyDescent="0.25">
      <c r="A118" s="121" t="s">
        <v>95</v>
      </c>
      <c r="B118" s="122" t="s">
        <v>958</v>
      </c>
      <c r="C118" s="123" t="s">
        <v>959</v>
      </c>
      <c r="D118" s="123"/>
      <c r="E118" s="124">
        <v>0</v>
      </c>
      <c r="F118" s="125">
        <v>0</v>
      </c>
    </row>
    <row r="119" spans="1:6" ht="31.5" x14ac:dyDescent="0.25">
      <c r="A119" s="121" t="s">
        <v>98</v>
      </c>
      <c r="B119" s="122" t="s">
        <v>960</v>
      </c>
      <c r="C119" s="123" t="s">
        <v>961</v>
      </c>
      <c r="D119" s="123"/>
      <c r="E119" s="124">
        <v>0</v>
      </c>
      <c r="F119" s="125">
        <v>0</v>
      </c>
    </row>
    <row r="120" spans="1:6" ht="31.5" x14ac:dyDescent="0.25">
      <c r="A120" s="116" t="s">
        <v>414</v>
      </c>
      <c r="B120" s="117" t="s">
        <v>962</v>
      </c>
      <c r="C120" s="118" t="s">
        <v>414</v>
      </c>
      <c r="D120" s="118"/>
      <c r="E120" s="119">
        <v>0</v>
      </c>
      <c r="F120" s="120">
        <v>0</v>
      </c>
    </row>
    <row r="121" spans="1:6" ht="21" x14ac:dyDescent="0.25">
      <c r="A121" s="121" t="s">
        <v>95</v>
      </c>
      <c r="B121" s="122" t="s">
        <v>963</v>
      </c>
      <c r="C121" s="123" t="s">
        <v>964</v>
      </c>
      <c r="D121" s="123"/>
      <c r="E121" s="124">
        <v>0</v>
      </c>
      <c r="F121" s="125">
        <v>0</v>
      </c>
    </row>
    <row r="122" spans="1:6" ht="21" x14ac:dyDescent="0.25">
      <c r="A122" s="121" t="s">
        <v>98</v>
      </c>
      <c r="B122" s="122" t="s">
        <v>965</v>
      </c>
      <c r="C122" s="123" t="s">
        <v>966</v>
      </c>
      <c r="D122" s="123"/>
      <c r="E122" s="124">
        <v>0</v>
      </c>
      <c r="F122" s="125">
        <v>0</v>
      </c>
    </row>
    <row r="123" spans="1:6" ht="21" x14ac:dyDescent="0.25">
      <c r="A123" s="121" t="s">
        <v>79</v>
      </c>
      <c r="B123" s="122" t="s">
        <v>967</v>
      </c>
      <c r="C123" s="123" t="s">
        <v>968</v>
      </c>
      <c r="D123" s="123"/>
      <c r="E123" s="124">
        <v>0</v>
      </c>
      <c r="F123" s="125">
        <v>0</v>
      </c>
    </row>
    <row r="124" spans="1:6" ht="21" x14ac:dyDescent="0.25">
      <c r="A124" s="135" t="s">
        <v>85</v>
      </c>
      <c r="B124" s="136" t="s">
        <v>969</v>
      </c>
      <c r="C124" s="137" t="s">
        <v>970</v>
      </c>
      <c r="D124" s="137"/>
      <c r="E124" s="138">
        <v>58000000</v>
      </c>
      <c r="F124" s="139">
        <v>10200000</v>
      </c>
    </row>
    <row r="125" spans="1:6" ht="10.5" customHeight="1" x14ac:dyDescent="0.25">
      <c r="A125" s="27"/>
      <c r="B125" s="27"/>
      <c r="C125" s="27"/>
      <c r="D125" s="27"/>
      <c r="E125" s="27"/>
      <c r="F125" s="27"/>
    </row>
    <row r="126" spans="1:6" ht="15" customHeight="1" x14ac:dyDescent="0.25">
      <c r="A126" s="266" t="s">
        <v>742</v>
      </c>
      <c r="B126" s="266"/>
      <c r="C126" s="266" t="s">
        <v>743</v>
      </c>
      <c r="D126" s="266"/>
      <c r="E126" s="266" t="s">
        <v>744</v>
      </c>
      <c r="F126" s="266"/>
    </row>
    <row r="127" spans="1:6" ht="15" customHeight="1" x14ac:dyDescent="0.25">
      <c r="A127" s="313" t="s">
        <v>745</v>
      </c>
      <c r="B127" s="313"/>
      <c r="C127" s="313" t="s">
        <v>745</v>
      </c>
      <c r="D127" s="313"/>
      <c r="E127" s="313" t="s">
        <v>746</v>
      </c>
      <c r="F127" s="313"/>
    </row>
    <row r="128" spans="1:6" ht="15.75" customHeight="1" x14ac:dyDescent="0.25">
      <c r="A128" s="27"/>
      <c r="B128" s="27"/>
      <c r="C128" s="27"/>
      <c r="D128" s="27"/>
      <c r="E128" s="27"/>
      <c r="F128" s="27"/>
    </row>
    <row r="129" spans="1:6" ht="15.75" customHeight="1" x14ac:dyDescent="0.25">
      <c r="A129" s="27"/>
      <c r="B129" s="27"/>
      <c r="C129" s="27"/>
      <c r="D129" s="27"/>
      <c r="E129" s="27"/>
      <c r="F129" s="27"/>
    </row>
  </sheetData>
  <mergeCells count="27">
    <mergeCell ref="A8:B8"/>
    <mergeCell ref="C8:F8"/>
    <mergeCell ref="A1:B1"/>
    <mergeCell ref="C1:F1"/>
    <mergeCell ref="A2:F2"/>
    <mergeCell ref="A4:F4"/>
    <mergeCell ref="A5:F5"/>
    <mergeCell ref="A9:B9"/>
    <mergeCell ref="C9:F9"/>
    <mergeCell ref="A10:B10"/>
    <mergeCell ref="C10:F10"/>
    <mergeCell ref="A11:B11"/>
    <mergeCell ref="C11:F11"/>
    <mergeCell ref="A127:B127"/>
    <mergeCell ref="C127:D127"/>
    <mergeCell ref="E127:F127"/>
    <mergeCell ref="A12:B12"/>
    <mergeCell ref="C12:F12"/>
    <mergeCell ref="A13:B13"/>
    <mergeCell ref="C13:F13"/>
    <mergeCell ref="A14:B14"/>
    <mergeCell ref="C14:F14"/>
    <mergeCell ref="A15:B15"/>
    <mergeCell ref="C15:F15"/>
    <mergeCell ref="A126:B126"/>
    <mergeCell ref="C126:D126"/>
    <mergeCell ref="E126:F126"/>
  </mergeCells>
  <printOptions horizontalCentered="1"/>
  <pageMargins left="0" right="0" top="0.59" bottom="0.59" header="0.5" footer="0.5"/>
  <pageSetup paperSize="9" scale="92"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8"/>
  <sheetViews>
    <sheetView showGridLines="0" showZeros="0" showOutlineSymbols="0" view="pageBreakPreview" topLeftCell="A22" zoomScale="90" zoomScaleNormal="100" zoomScaleSheetLayoutView="90" workbookViewId="0">
      <selection activeCell="F39" sqref="F39"/>
    </sheetView>
  </sheetViews>
  <sheetFormatPr defaultRowHeight="12.75" x14ac:dyDescent="0.25"/>
  <cols>
    <col min="1" max="1" width="6.28515625" style="153" customWidth="1"/>
    <col min="2" max="2" width="45" style="153" customWidth="1"/>
    <col min="3" max="3" width="8.5703125" style="153" customWidth="1"/>
    <col min="4" max="5" width="21.140625" style="153" customWidth="1"/>
    <col min="6" max="256" width="9.140625" style="153"/>
    <col min="257" max="257" width="6.28515625" style="153" customWidth="1"/>
    <col min="258" max="258" width="45" style="153" customWidth="1"/>
    <col min="259" max="259" width="8.5703125" style="153" customWidth="1"/>
    <col min="260" max="261" width="21.140625" style="153" customWidth="1"/>
    <col min="262" max="512" width="9.140625" style="153"/>
    <col min="513" max="513" width="6.28515625" style="153" customWidth="1"/>
    <col min="514" max="514" width="45" style="153" customWidth="1"/>
    <col min="515" max="515" width="8.5703125" style="153" customWidth="1"/>
    <col min="516" max="517" width="21.140625" style="153" customWidth="1"/>
    <col min="518" max="768" width="9.140625" style="153"/>
    <col min="769" max="769" width="6.28515625" style="153" customWidth="1"/>
    <col min="770" max="770" width="45" style="153" customWidth="1"/>
    <col min="771" max="771" width="8.5703125" style="153" customWidth="1"/>
    <col min="772" max="773" width="21.140625" style="153" customWidth="1"/>
    <col min="774" max="1024" width="9.140625" style="153"/>
    <col min="1025" max="1025" width="6.28515625" style="153" customWidth="1"/>
    <col min="1026" max="1026" width="45" style="153" customWidth="1"/>
    <col min="1027" max="1027" width="8.5703125" style="153" customWidth="1"/>
    <col min="1028" max="1029" width="21.140625" style="153" customWidth="1"/>
    <col min="1030" max="1280" width="9.140625" style="153"/>
    <col min="1281" max="1281" width="6.28515625" style="153" customWidth="1"/>
    <col min="1282" max="1282" width="45" style="153" customWidth="1"/>
    <col min="1283" max="1283" width="8.5703125" style="153" customWidth="1"/>
    <col min="1284" max="1285" width="21.140625" style="153" customWidth="1"/>
    <col min="1286" max="1536" width="9.140625" style="153"/>
    <col min="1537" max="1537" width="6.28515625" style="153" customWidth="1"/>
    <col min="1538" max="1538" width="45" style="153" customWidth="1"/>
    <col min="1539" max="1539" width="8.5703125" style="153" customWidth="1"/>
    <col min="1540" max="1541" width="21.140625" style="153" customWidth="1"/>
    <col min="1542" max="1792" width="9.140625" style="153"/>
    <col min="1793" max="1793" width="6.28515625" style="153" customWidth="1"/>
    <col min="1794" max="1794" width="45" style="153" customWidth="1"/>
    <col min="1795" max="1795" width="8.5703125" style="153" customWidth="1"/>
    <col min="1796" max="1797" width="21.140625" style="153" customWidth="1"/>
    <col min="1798" max="2048" width="9.140625" style="153"/>
    <col min="2049" max="2049" width="6.28515625" style="153" customWidth="1"/>
    <col min="2050" max="2050" width="45" style="153" customWidth="1"/>
    <col min="2051" max="2051" width="8.5703125" style="153" customWidth="1"/>
    <col min="2052" max="2053" width="21.140625" style="153" customWidth="1"/>
    <col min="2054" max="2304" width="9.140625" style="153"/>
    <col min="2305" max="2305" width="6.28515625" style="153" customWidth="1"/>
    <col min="2306" max="2306" width="45" style="153" customWidth="1"/>
    <col min="2307" max="2307" width="8.5703125" style="153" customWidth="1"/>
    <col min="2308" max="2309" width="21.140625" style="153" customWidth="1"/>
    <col min="2310" max="2560" width="9.140625" style="153"/>
    <col min="2561" max="2561" width="6.28515625" style="153" customWidth="1"/>
    <col min="2562" max="2562" width="45" style="153" customWidth="1"/>
    <col min="2563" max="2563" width="8.5703125" style="153" customWidth="1"/>
    <col min="2564" max="2565" width="21.140625" style="153" customWidth="1"/>
    <col min="2566" max="2816" width="9.140625" style="153"/>
    <col min="2817" max="2817" width="6.28515625" style="153" customWidth="1"/>
    <col min="2818" max="2818" width="45" style="153" customWidth="1"/>
    <col min="2819" max="2819" width="8.5703125" style="153" customWidth="1"/>
    <col min="2820" max="2821" width="21.140625" style="153" customWidth="1"/>
    <col min="2822" max="3072" width="9.140625" style="153"/>
    <col min="3073" max="3073" width="6.28515625" style="153" customWidth="1"/>
    <col min="3074" max="3074" width="45" style="153" customWidth="1"/>
    <col min="3075" max="3075" width="8.5703125" style="153" customWidth="1"/>
    <col min="3076" max="3077" width="21.140625" style="153" customWidth="1"/>
    <col min="3078" max="3328" width="9.140625" style="153"/>
    <col min="3329" max="3329" width="6.28515625" style="153" customWidth="1"/>
    <col min="3330" max="3330" width="45" style="153" customWidth="1"/>
    <col min="3331" max="3331" width="8.5703125" style="153" customWidth="1"/>
    <col min="3332" max="3333" width="21.140625" style="153" customWidth="1"/>
    <col min="3334" max="3584" width="9.140625" style="153"/>
    <col min="3585" max="3585" width="6.28515625" style="153" customWidth="1"/>
    <col min="3586" max="3586" width="45" style="153" customWidth="1"/>
    <col min="3587" max="3587" width="8.5703125" style="153" customWidth="1"/>
    <col min="3588" max="3589" width="21.140625" style="153" customWidth="1"/>
    <col min="3590" max="3840" width="9.140625" style="153"/>
    <col min="3841" max="3841" width="6.28515625" style="153" customWidth="1"/>
    <col min="3842" max="3842" width="45" style="153" customWidth="1"/>
    <col min="3843" max="3843" width="8.5703125" style="153" customWidth="1"/>
    <col min="3844" max="3845" width="21.140625" style="153" customWidth="1"/>
    <col min="3846" max="4096" width="9.140625" style="153"/>
    <col min="4097" max="4097" width="6.28515625" style="153" customWidth="1"/>
    <col min="4098" max="4098" width="45" style="153" customWidth="1"/>
    <col min="4099" max="4099" width="8.5703125" style="153" customWidth="1"/>
    <col min="4100" max="4101" width="21.140625" style="153" customWidth="1"/>
    <col min="4102" max="4352" width="9.140625" style="153"/>
    <col min="4353" max="4353" width="6.28515625" style="153" customWidth="1"/>
    <col min="4354" max="4354" width="45" style="153" customWidth="1"/>
    <col min="4355" max="4355" width="8.5703125" style="153" customWidth="1"/>
    <col min="4356" max="4357" width="21.140625" style="153" customWidth="1"/>
    <col min="4358" max="4608" width="9.140625" style="153"/>
    <col min="4609" max="4609" width="6.28515625" style="153" customWidth="1"/>
    <col min="4610" max="4610" width="45" style="153" customWidth="1"/>
    <col min="4611" max="4611" width="8.5703125" style="153" customWidth="1"/>
    <col min="4612" max="4613" width="21.140625" style="153" customWidth="1"/>
    <col min="4614" max="4864" width="9.140625" style="153"/>
    <col min="4865" max="4865" width="6.28515625" style="153" customWidth="1"/>
    <col min="4866" max="4866" width="45" style="153" customWidth="1"/>
    <col min="4867" max="4867" width="8.5703125" style="153" customWidth="1"/>
    <col min="4868" max="4869" width="21.140625" style="153" customWidth="1"/>
    <col min="4870" max="5120" width="9.140625" style="153"/>
    <col min="5121" max="5121" width="6.28515625" style="153" customWidth="1"/>
    <col min="5122" max="5122" width="45" style="153" customWidth="1"/>
    <col min="5123" max="5123" width="8.5703125" style="153" customWidth="1"/>
    <col min="5124" max="5125" width="21.140625" style="153" customWidth="1"/>
    <col min="5126" max="5376" width="9.140625" style="153"/>
    <col min="5377" max="5377" width="6.28515625" style="153" customWidth="1"/>
    <col min="5378" max="5378" width="45" style="153" customWidth="1"/>
    <col min="5379" max="5379" width="8.5703125" style="153" customWidth="1"/>
    <col min="5380" max="5381" width="21.140625" style="153" customWidth="1"/>
    <col min="5382" max="5632" width="9.140625" style="153"/>
    <col min="5633" max="5633" width="6.28515625" style="153" customWidth="1"/>
    <col min="5634" max="5634" width="45" style="153" customWidth="1"/>
    <col min="5635" max="5635" width="8.5703125" style="153" customWidth="1"/>
    <col min="5636" max="5637" width="21.140625" style="153" customWidth="1"/>
    <col min="5638" max="5888" width="9.140625" style="153"/>
    <col min="5889" max="5889" width="6.28515625" style="153" customWidth="1"/>
    <col min="5890" max="5890" width="45" style="153" customWidth="1"/>
    <col min="5891" max="5891" width="8.5703125" style="153" customWidth="1"/>
    <col min="5892" max="5893" width="21.140625" style="153" customWidth="1"/>
    <col min="5894" max="6144" width="9.140625" style="153"/>
    <col min="6145" max="6145" width="6.28515625" style="153" customWidth="1"/>
    <col min="6146" max="6146" width="45" style="153" customWidth="1"/>
    <col min="6147" max="6147" width="8.5703125" style="153" customWidth="1"/>
    <col min="6148" max="6149" width="21.140625" style="153" customWidth="1"/>
    <col min="6150" max="6400" width="9.140625" style="153"/>
    <col min="6401" max="6401" width="6.28515625" style="153" customWidth="1"/>
    <col min="6402" max="6402" width="45" style="153" customWidth="1"/>
    <col min="6403" max="6403" width="8.5703125" style="153" customWidth="1"/>
    <col min="6404" max="6405" width="21.140625" style="153" customWidth="1"/>
    <col min="6406" max="6656" width="9.140625" style="153"/>
    <col min="6657" max="6657" width="6.28515625" style="153" customWidth="1"/>
    <col min="6658" max="6658" width="45" style="153" customWidth="1"/>
    <col min="6659" max="6659" width="8.5703125" style="153" customWidth="1"/>
    <col min="6660" max="6661" width="21.140625" style="153" customWidth="1"/>
    <col min="6662" max="6912" width="9.140625" style="153"/>
    <col min="6913" max="6913" width="6.28515625" style="153" customWidth="1"/>
    <col min="6914" max="6914" width="45" style="153" customWidth="1"/>
    <col min="6915" max="6915" width="8.5703125" style="153" customWidth="1"/>
    <col min="6916" max="6917" width="21.140625" style="153" customWidth="1"/>
    <col min="6918" max="7168" width="9.140625" style="153"/>
    <col min="7169" max="7169" width="6.28515625" style="153" customWidth="1"/>
    <col min="7170" max="7170" width="45" style="153" customWidth="1"/>
    <col min="7171" max="7171" width="8.5703125" style="153" customWidth="1"/>
    <col min="7172" max="7173" width="21.140625" style="153" customWidth="1"/>
    <col min="7174" max="7424" width="9.140625" style="153"/>
    <col min="7425" max="7425" width="6.28515625" style="153" customWidth="1"/>
    <col min="7426" max="7426" width="45" style="153" customWidth="1"/>
    <col min="7427" max="7427" width="8.5703125" style="153" customWidth="1"/>
    <col min="7428" max="7429" width="21.140625" style="153" customWidth="1"/>
    <col min="7430" max="7680" width="9.140625" style="153"/>
    <col min="7681" max="7681" width="6.28515625" style="153" customWidth="1"/>
    <col min="7682" max="7682" width="45" style="153" customWidth="1"/>
    <col min="7683" max="7683" width="8.5703125" style="153" customWidth="1"/>
    <col min="7684" max="7685" width="21.140625" style="153" customWidth="1"/>
    <col min="7686" max="7936" width="9.140625" style="153"/>
    <col min="7937" max="7937" width="6.28515625" style="153" customWidth="1"/>
    <col min="7938" max="7938" width="45" style="153" customWidth="1"/>
    <col min="7939" max="7939" width="8.5703125" style="153" customWidth="1"/>
    <col min="7940" max="7941" width="21.140625" style="153" customWidth="1"/>
    <col min="7942" max="8192" width="9.140625" style="153"/>
    <col min="8193" max="8193" width="6.28515625" style="153" customWidth="1"/>
    <col min="8194" max="8194" width="45" style="153" customWidth="1"/>
    <col min="8195" max="8195" width="8.5703125" style="153" customWidth="1"/>
    <col min="8196" max="8197" width="21.140625" style="153" customWidth="1"/>
    <col min="8198" max="8448" width="9.140625" style="153"/>
    <col min="8449" max="8449" width="6.28515625" style="153" customWidth="1"/>
    <col min="8450" max="8450" width="45" style="153" customWidth="1"/>
    <col min="8451" max="8451" width="8.5703125" style="153" customWidth="1"/>
    <col min="8452" max="8453" width="21.140625" style="153" customWidth="1"/>
    <col min="8454" max="8704" width="9.140625" style="153"/>
    <col min="8705" max="8705" width="6.28515625" style="153" customWidth="1"/>
    <col min="8706" max="8706" width="45" style="153" customWidth="1"/>
    <col min="8707" max="8707" width="8.5703125" style="153" customWidth="1"/>
    <col min="8708" max="8709" width="21.140625" style="153" customWidth="1"/>
    <col min="8710" max="8960" width="9.140625" style="153"/>
    <col min="8961" max="8961" width="6.28515625" style="153" customWidth="1"/>
    <col min="8962" max="8962" width="45" style="153" customWidth="1"/>
    <col min="8963" max="8963" width="8.5703125" style="153" customWidth="1"/>
    <col min="8964" max="8965" width="21.140625" style="153" customWidth="1"/>
    <col min="8966" max="9216" width="9.140625" style="153"/>
    <col min="9217" max="9217" width="6.28515625" style="153" customWidth="1"/>
    <col min="9218" max="9218" width="45" style="153" customWidth="1"/>
    <col min="9219" max="9219" width="8.5703125" style="153" customWidth="1"/>
    <col min="9220" max="9221" width="21.140625" style="153" customWidth="1"/>
    <col min="9222" max="9472" width="9.140625" style="153"/>
    <col min="9473" max="9473" width="6.28515625" style="153" customWidth="1"/>
    <col min="9474" max="9474" width="45" style="153" customWidth="1"/>
    <col min="9475" max="9475" width="8.5703125" style="153" customWidth="1"/>
    <col min="9476" max="9477" width="21.140625" style="153" customWidth="1"/>
    <col min="9478" max="9728" width="9.140625" style="153"/>
    <col min="9729" max="9729" width="6.28515625" style="153" customWidth="1"/>
    <col min="9730" max="9730" width="45" style="153" customWidth="1"/>
    <col min="9731" max="9731" width="8.5703125" style="153" customWidth="1"/>
    <col min="9732" max="9733" width="21.140625" style="153" customWidth="1"/>
    <col min="9734" max="9984" width="9.140625" style="153"/>
    <col min="9985" max="9985" width="6.28515625" style="153" customWidth="1"/>
    <col min="9986" max="9986" width="45" style="153" customWidth="1"/>
    <col min="9987" max="9987" width="8.5703125" style="153" customWidth="1"/>
    <col min="9988" max="9989" width="21.140625" style="153" customWidth="1"/>
    <col min="9990" max="10240" width="9.140625" style="153"/>
    <col min="10241" max="10241" width="6.28515625" style="153" customWidth="1"/>
    <col min="10242" max="10242" width="45" style="153" customWidth="1"/>
    <col min="10243" max="10243" width="8.5703125" style="153" customWidth="1"/>
    <col min="10244" max="10245" width="21.140625" style="153" customWidth="1"/>
    <col min="10246" max="10496" width="9.140625" style="153"/>
    <col min="10497" max="10497" width="6.28515625" style="153" customWidth="1"/>
    <col min="10498" max="10498" width="45" style="153" customWidth="1"/>
    <col min="10499" max="10499" width="8.5703125" style="153" customWidth="1"/>
    <col min="10500" max="10501" width="21.140625" style="153" customWidth="1"/>
    <col min="10502" max="10752" width="9.140625" style="153"/>
    <col min="10753" max="10753" width="6.28515625" style="153" customWidth="1"/>
    <col min="10754" max="10754" width="45" style="153" customWidth="1"/>
    <col min="10755" max="10755" width="8.5703125" style="153" customWidth="1"/>
    <col min="10756" max="10757" width="21.140625" style="153" customWidth="1"/>
    <col min="10758" max="11008" width="9.140625" style="153"/>
    <col min="11009" max="11009" width="6.28515625" style="153" customWidth="1"/>
    <col min="11010" max="11010" width="45" style="153" customWidth="1"/>
    <col min="11011" max="11011" width="8.5703125" style="153" customWidth="1"/>
    <col min="11012" max="11013" width="21.140625" style="153" customWidth="1"/>
    <col min="11014" max="11264" width="9.140625" style="153"/>
    <col min="11265" max="11265" width="6.28515625" style="153" customWidth="1"/>
    <col min="11266" max="11266" width="45" style="153" customWidth="1"/>
    <col min="11267" max="11267" width="8.5703125" style="153" customWidth="1"/>
    <col min="11268" max="11269" width="21.140625" style="153" customWidth="1"/>
    <col min="11270" max="11520" width="9.140625" style="153"/>
    <col min="11521" max="11521" width="6.28515625" style="153" customWidth="1"/>
    <col min="11522" max="11522" width="45" style="153" customWidth="1"/>
    <col min="11523" max="11523" width="8.5703125" style="153" customWidth="1"/>
    <col min="11524" max="11525" width="21.140625" style="153" customWidth="1"/>
    <col min="11526" max="11776" width="9.140625" style="153"/>
    <col min="11777" max="11777" width="6.28515625" style="153" customWidth="1"/>
    <col min="11778" max="11778" width="45" style="153" customWidth="1"/>
    <col min="11779" max="11779" width="8.5703125" style="153" customWidth="1"/>
    <col min="11780" max="11781" width="21.140625" style="153" customWidth="1"/>
    <col min="11782" max="12032" width="9.140625" style="153"/>
    <col min="12033" max="12033" width="6.28515625" style="153" customWidth="1"/>
    <col min="12034" max="12034" width="45" style="153" customWidth="1"/>
    <col min="12035" max="12035" width="8.5703125" style="153" customWidth="1"/>
    <col min="12036" max="12037" width="21.140625" style="153" customWidth="1"/>
    <col min="12038" max="12288" width="9.140625" style="153"/>
    <col min="12289" max="12289" width="6.28515625" style="153" customWidth="1"/>
    <col min="12290" max="12290" width="45" style="153" customWidth="1"/>
    <col min="12291" max="12291" width="8.5703125" style="153" customWidth="1"/>
    <col min="12292" max="12293" width="21.140625" style="153" customWidth="1"/>
    <col min="12294" max="12544" width="9.140625" style="153"/>
    <col min="12545" max="12545" width="6.28515625" style="153" customWidth="1"/>
    <col min="12546" max="12546" width="45" style="153" customWidth="1"/>
    <col min="12547" max="12547" width="8.5703125" style="153" customWidth="1"/>
    <col min="12548" max="12549" width="21.140625" style="153" customWidth="1"/>
    <col min="12550" max="12800" width="9.140625" style="153"/>
    <col min="12801" max="12801" width="6.28515625" style="153" customWidth="1"/>
    <col min="12802" max="12802" width="45" style="153" customWidth="1"/>
    <col min="12803" max="12803" width="8.5703125" style="153" customWidth="1"/>
    <col min="12804" max="12805" width="21.140625" style="153" customWidth="1"/>
    <col min="12806" max="13056" width="9.140625" style="153"/>
    <col min="13057" max="13057" width="6.28515625" style="153" customWidth="1"/>
    <col min="13058" max="13058" width="45" style="153" customWidth="1"/>
    <col min="13059" max="13059" width="8.5703125" style="153" customWidth="1"/>
    <col min="13060" max="13061" width="21.140625" style="153" customWidth="1"/>
    <col min="13062" max="13312" width="9.140625" style="153"/>
    <col min="13313" max="13313" width="6.28515625" style="153" customWidth="1"/>
    <col min="13314" max="13314" width="45" style="153" customWidth="1"/>
    <col min="13315" max="13315" width="8.5703125" style="153" customWidth="1"/>
    <col min="13316" max="13317" width="21.140625" style="153" customWidth="1"/>
    <col min="13318" max="13568" width="9.140625" style="153"/>
    <col min="13569" max="13569" width="6.28515625" style="153" customWidth="1"/>
    <col min="13570" max="13570" width="45" style="153" customWidth="1"/>
    <col min="13571" max="13571" width="8.5703125" style="153" customWidth="1"/>
    <col min="13572" max="13573" width="21.140625" style="153" customWidth="1"/>
    <col min="13574" max="13824" width="9.140625" style="153"/>
    <col min="13825" max="13825" width="6.28515625" style="153" customWidth="1"/>
    <col min="13826" max="13826" width="45" style="153" customWidth="1"/>
    <col min="13827" max="13827" width="8.5703125" style="153" customWidth="1"/>
    <col min="13828" max="13829" width="21.140625" style="153" customWidth="1"/>
    <col min="13830" max="14080" width="9.140625" style="153"/>
    <col min="14081" max="14081" width="6.28515625" style="153" customWidth="1"/>
    <col min="14082" max="14082" width="45" style="153" customWidth="1"/>
    <col min="14083" max="14083" width="8.5703125" style="153" customWidth="1"/>
    <col min="14084" max="14085" width="21.140625" style="153" customWidth="1"/>
    <col min="14086" max="14336" width="9.140625" style="153"/>
    <col min="14337" max="14337" width="6.28515625" style="153" customWidth="1"/>
    <col min="14338" max="14338" width="45" style="153" customWidth="1"/>
    <col min="14339" max="14339" width="8.5703125" style="153" customWidth="1"/>
    <col min="14340" max="14341" width="21.140625" style="153" customWidth="1"/>
    <col min="14342" max="14592" width="9.140625" style="153"/>
    <col min="14593" max="14593" width="6.28515625" style="153" customWidth="1"/>
    <col min="14594" max="14594" width="45" style="153" customWidth="1"/>
    <col min="14595" max="14595" width="8.5703125" style="153" customWidth="1"/>
    <col min="14596" max="14597" width="21.140625" style="153" customWidth="1"/>
    <col min="14598" max="14848" width="9.140625" style="153"/>
    <col min="14849" max="14849" width="6.28515625" style="153" customWidth="1"/>
    <col min="14850" max="14850" width="45" style="153" customWidth="1"/>
    <col min="14851" max="14851" width="8.5703125" style="153" customWidth="1"/>
    <col min="14852" max="14853" width="21.140625" style="153" customWidth="1"/>
    <col min="14854" max="15104" width="9.140625" style="153"/>
    <col min="15105" max="15105" width="6.28515625" style="153" customWidth="1"/>
    <col min="15106" max="15106" width="45" style="153" customWidth="1"/>
    <col min="15107" max="15107" width="8.5703125" style="153" customWidth="1"/>
    <col min="15108" max="15109" width="21.140625" style="153" customWidth="1"/>
    <col min="15110" max="15360" width="9.140625" style="153"/>
    <col min="15361" max="15361" width="6.28515625" style="153" customWidth="1"/>
    <col min="15362" max="15362" width="45" style="153" customWidth="1"/>
    <col min="15363" max="15363" width="8.5703125" style="153" customWidth="1"/>
    <col min="15364" max="15365" width="21.140625" style="153" customWidth="1"/>
    <col min="15366" max="15616" width="9.140625" style="153"/>
    <col min="15617" max="15617" width="6.28515625" style="153" customWidth="1"/>
    <col min="15618" max="15618" width="45" style="153" customWidth="1"/>
    <col min="15619" max="15619" width="8.5703125" style="153" customWidth="1"/>
    <col min="15620" max="15621" width="21.140625" style="153" customWidth="1"/>
    <col min="15622" max="15872" width="9.140625" style="153"/>
    <col min="15873" max="15873" width="6.28515625" style="153" customWidth="1"/>
    <col min="15874" max="15874" width="45" style="153" customWidth="1"/>
    <col min="15875" max="15875" width="8.5703125" style="153" customWidth="1"/>
    <col min="15876" max="15877" width="21.140625" style="153" customWidth="1"/>
    <col min="15878" max="16128" width="9.140625" style="153"/>
    <col min="16129" max="16129" width="6.28515625" style="153" customWidth="1"/>
    <col min="16130" max="16130" width="45" style="153" customWidth="1"/>
    <col min="16131" max="16131" width="8.5703125" style="153" customWidth="1"/>
    <col min="16132" max="16133" width="21.140625" style="153" customWidth="1"/>
    <col min="16134" max="16384" width="9.140625" style="153"/>
  </cols>
  <sheetData>
    <row r="1" spans="1:5" ht="29.25" customHeight="1" x14ac:dyDescent="0.25">
      <c r="A1" s="152"/>
      <c r="B1" s="326" t="s">
        <v>971</v>
      </c>
      <c r="C1" s="326"/>
      <c r="D1" s="326"/>
      <c r="E1" s="326"/>
    </row>
    <row r="2" spans="1:5" ht="35.25" customHeight="1" x14ac:dyDescent="0.25">
      <c r="A2" s="321" t="s">
        <v>739</v>
      </c>
      <c r="B2" s="321"/>
      <c r="C2" s="321"/>
      <c r="D2" s="321"/>
      <c r="E2" s="321"/>
    </row>
    <row r="3" spans="1:5" ht="6" customHeight="1" x14ac:dyDescent="0.25">
      <c r="A3" s="152"/>
      <c r="B3" s="152"/>
      <c r="C3" s="152"/>
      <c r="D3" s="256"/>
      <c r="E3" s="256"/>
    </row>
    <row r="4" spans="1:5" ht="31.5" customHeight="1" x14ac:dyDescent="0.25">
      <c r="A4" s="327" t="s">
        <v>972</v>
      </c>
      <c r="B4" s="327"/>
      <c r="C4" s="327"/>
      <c r="D4" s="327"/>
      <c r="E4" s="327"/>
    </row>
    <row r="5" spans="1:5" ht="15.75" customHeight="1" x14ac:dyDescent="0.25">
      <c r="A5" s="257" t="s">
        <v>1080</v>
      </c>
      <c r="B5" s="257"/>
      <c r="C5" s="257"/>
      <c r="D5" s="257"/>
      <c r="E5" s="257"/>
    </row>
    <row r="6" spans="1:5" ht="3.75" customHeight="1" x14ac:dyDescent="0.25">
      <c r="A6" s="152"/>
      <c r="B6" s="152"/>
      <c r="C6" s="152"/>
      <c r="D6" s="256"/>
      <c r="E6" s="256"/>
    </row>
    <row r="7" spans="1:5" ht="15.75" customHeight="1" x14ac:dyDescent="0.25">
      <c r="A7" s="261" t="s">
        <v>973</v>
      </c>
      <c r="B7" s="261"/>
      <c r="C7" s="261" t="s">
        <v>97</v>
      </c>
      <c r="D7" s="261"/>
      <c r="E7" s="261"/>
    </row>
    <row r="8" spans="1:5" ht="15.75" customHeight="1" x14ac:dyDescent="0.25">
      <c r="A8" s="272" t="s">
        <v>4</v>
      </c>
      <c r="B8" s="272"/>
      <c r="C8" s="272" t="s">
        <v>5</v>
      </c>
      <c r="D8" s="272"/>
      <c r="E8" s="272"/>
    </row>
    <row r="9" spans="1:5" ht="15.75" customHeight="1" x14ac:dyDescent="0.25">
      <c r="A9" s="261" t="s">
        <v>296</v>
      </c>
      <c r="B9" s="261"/>
      <c r="C9" s="261" t="s">
        <v>100</v>
      </c>
      <c r="D9" s="261"/>
      <c r="E9" s="261"/>
    </row>
    <row r="10" spans="1:5" ht="15.75" customHeight="1" x14ac:dyDescent="0.25">
      <c r="A10" s="272" t="s">
        <v>974</v>
      </c>
      <c r="B10" s="272"/>
      <c r="C10" s="325" t="s">
        <v>101</v>
      </c>
      <c r="D10" s="325"/>
      <c r="E10" s="325"/>
    </row>
    <row r="11" spans="1:5" ht="15" customHeight="1" x14ac:dyDescent="0.25">
      <c r="A11" s="261" t="s">
        <v>975</v>
      </c>
      <c r="B11" s="261"/>
      <c r="C11" s="322">
        <v>43983</v>
      </c>
      <c r="D11" s="261"/>
      <c r="E11" s="261"/>
    </row>
    <row r="12" spans="1:5" ht="15.75" customHeight="1" x14ac:dyDescent="0.25">
      <c r="A12" s="272" t="s">
        <v>976</v>
      </c>
      <c r="B12" s="272"/>
      <c r="C12" s="259">
        <v>43983</v>
      </c>
      <c r="D12" s="259"/>
      <c r="E12" s="259"/>
    </row>
    <row r="13" spans="1:5" ht="15.75" customHeight="1" x14ac:dyDescent="0.25">
      <c r="A13" s="114"/>
      <c r="B13" s="114"/>
      <c r="C13" s="114"/>
      <c r="D13" s="276" t="s">
        <v>977</v>
      </c>
      <c r="E13" s="276"/>
    </row>
    <row r="14" spans="1:5" ht="59.25" customHeight="1" x14ac:dyDescent="0.25">
      <c r="A14" s="33" t="s">
        <v>978</v>
      </c>
      <c r="B14" s="34" t="s">
        <v>979</v>
      </c>
      <c r="C14" s="34" t="s">
        <v>980</v>
      </c>
      <c r="D14" s="34" t="s">
        <v>1081</v>
      </c>
      <c r="E14" s="35" t="s">
        <v>1082</v>
      </c>
    </row>
    <row r="15" spans="1:5" ht="21" x14ac:dyDescent="0.25">
      <c r="A15" s="60" t="s">
        <v>69</v>
      </c>
      <c r="B15" s="61" t="s">
        <v>981</v>
      </c>
      <c r="C15" s="62" t="s">
        <v>982</v>
      </c>
      <c r="D15" s="63">
        <v>111106113893</v>
      </c>
      <c r="E15" s="64">
        <v>0</v>
      </c>
    </row>
    <row r="16" spans="1:5" ht="31.5" x14ac:dyDescent="0.25">
      <c r="A16" s="60" t="s">
        <v>74</v>
      </c>
      <c r="B16" s="61" t="s">
        <v>983</v>
      </c>
      <c r="C16" s="62" t="s">
        <v>984</v>
      </c>
      <c r="D16" s="63">
        <v>8792897578</v>
      </c>
      <c r="E16" s="64">
        <v>9106113893</v>
      </c>
    </row>
    <row r="17" spans="1:5" ht="15" customHeight="1" x14ac:dyDescent="0.25">
      <c r="A17" s="65"/>
      <c r="B17" s="66" t="s">
        <v>985</v>
      </c>
      <c r="C17" s="67"/>
      <c r="D17" s="68">
        <v>0</v>
      </c>
      <c r="E17" s="69">
        <v>0</v>
      </c>
    </row>
    <row r="18" spans="1:5" ht="45" customHeight="1" x14ac:dyDescent="0.25">
      <c r="A18" s="65" t="s">
        <v>198</v>
      </c>
      <c r="B18" s="66" t="s">
        <v>986</v>
      </c>
      <c r="C18" s="67" t="s">
        <v>987</v>
      </c>
      <c r="D18" s="68">
        <v>8792897578</v>
      </c>
      <c r="E18" s="69">
        <v>9106113893</v>
      </c>
    </row>
    <row r="19" spans="1:5" ht="45" customHeight="1" x14ac:dyDescent="0.25">
      <c r="A19" s="65" t="s">
        <v>201</v>
      </c>
      <c r="B19" s="66" t="s">
        <v>988</v>
      </c>
      <c r="C19" s="67" t="s">
        <v>989</v>
      </c>
      <c r="D19" s="68">
        <v>0</v>
      </c>
      <c r="E19" s="69">
        <v>0</v>
      </c>
    </row>
    <row r="20" spans="1:5" ht="45" customHeight="1" x14ac:dyDescent="0.25">
      <c r="A20" s="60" t="s">
        <v>82</v>
      </c>
      <c r="B20" s="61" t="s">
        <v>990</v>
      </c>
      <c r="C20" s="62" t="s">
        <v>991</v>
      </c>
      <c r="D20" s="63">
        <v>576232163207</v>
      </c>
      <c r="E20" s="64">
        <v>102000000000</v>
      </c>
    </row>
    <row r="21" spans="1:5" ht="21" x14ac:dyDescent="0.25">
      <c r="A21" s="65" t="s">
        <v>992</v>
      </c>
      <c r="B21" s="66" t="s">
        <v>993</v>
      </c>
      <c r="C21" s="67" t="s">
        <v>994</v>
      </c>
      <c r="D21" s="68">
        <v>576232163207</v>
      </c>
      <c r="E21" s="69">
        <v>102000000000</v>
      </c>
    </row>
    <row r="22" spans="1:5" ht="21" x14ac:dyDescent="0.25">
      <c r="A22" s="65" t="s">
        <v>995</v>
      </c>
      <c r="B22" s="66" t="s">
        <v>996</v>
      </c>
      <c r="C22" s="67" t="s">
        <v>997</v>
      </c>
      <c r="D22" s="68">
        <v>0</v>
      </c>
      <c r="E22" s="69">
        <v>0</v>
      </c>
    </row>
    <row r="23" spans="1:5" ht="31.5" x14ac:dyDescent="0.25">
      <c r="A23" s="60" t="s">
        <v>52</v>
      </c>
      <c r="B23" s="61" t="s">
        <v>998</v>
      </c>
      <c r="C23" s="62" t="s">
        <v>999</v>
      </c>
      <c r="D23" s="63">
        <v>696131174678</v>
      </c>
      <c r="E23" s="64">
        <v>111106113893</v>
      </c>
    </row>
    <row r="24" spans="1:5" ht="31.5" x14ac:dyDescent="0.25">
      <c r="A24" s="140" t="s">
        <v>411</v>
      </c>
      <c r="B24" s="141" t="s">
        <v>1000</v>
      </c>
      <c r="C24" s="142" t="s">
        <v>1001</v>
      </c>
      <c r="D24" s="54">
        <v>12002.26</v>
      </c>
      <c r="E24" s="143">
        <v>10892.76</v>
      </c>
    </row>
    <row r="25" spans="1:5" ht="15.75" customHeight="1" x14ac:dyDescent="0.25">
      <c r="A25" s="256"/>
      <c r="B25" s="256"/>
      <c r="C25" s="256"/>
      <c r="D25" s="256"/>
      <c r="E25" s="152"/>
    </row>
    <row r="26" spans="1:5" ht="14.25" customHeight="1" x14ac:dyDescent="0.25">
      <c r="A26" s="324" t="s">
        <v>1002</v>
      </c>
      <c r="B26" s="324"/>
      <c r="C26" s="324" t="s">
        <v>743</v>
      </c>
      <c r="D26" s="324"/>
      <c r="E26" s="98" t="s">
        <v>1003</v>
      </c>
    </row>
    <row r="27" spans="1:5" ht="14.25" customHeight="1" x14ac:dyDescent="0.25">
      <c r="A27" s="313" t="s">
        <v>745</v>
      </c>
      <c r="B27" s="313"/>
      <c r="C27" s="281" t="s">
        <v>745</v>
      </c>
      <c r="D27" s="281"/>
      <c r="E27" s="112" t="s">
        <v>746</v>
      </c>
    </row>
    <row r="28" spans="1:5" ht="45" customHeight="1" x14ac:dyDescent="0.25">
      <c r="A28" s="256"/>
      <c r="B28" s="256"/>
      <c r="C28" s="256"/>
      <c r="D28" s="256"/>
      <c r="E28" s="152"/>
    </row>
  </sheetData>
  <mergeCells count="27">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D13:E13"/>
    <mergeCell ref="A25:B25"/>
    <mergeCell ref="C25:D25"/>
    <mergeCell ref="A26:B26"/>
    <mergeCell ref="C26:D26"/>
    <mergeCell ref="A27:B27"/>
    <mergeCell ref="C27:D27"/>
  </mergeCells>
  <printOptions horizontalCentered="1"/>
  <pageMargins left="0" right="0" top="0.59" bottom="0.59" header="0.5" footer="0.5"/>
  <pageSetup paperSize="9" scale="9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52"/>
  <sheetViews>
    <sheetView showGridLines="0" showZeros="0" showOutlineSymbols="0" view="pageBreakPreview" topLeftCell="A37" zoomScaleNormal="100" zoomScaleSheetLayoutView="100" workbookViewId="0">
      <selection activeCell="C1" sqref="A1:H51"/>
    </sheetView>
  </sheetViews>
  <sheetFormatPr defaultRowHeight="10.5" x14ac:dyDescent="0.25"/>
  <cols>
    <col min="1" max="1" width="7.85546875" style="154" customWidth="1"/>
    <col min="2" max="2" width="23.42578125" style="154" customWidth="1"/>
    <col min="3" max="3" width="19.42578125" style="154" customWidth="1"/>
    <col min="4" max="4" width="9" style="154" customWidth="1"/>
    <col min="5" max="5" width="7" style="154" customWidth="1"/>
    <col min="6" max="6" width="16.42578125" style="154" customWidth="1"/>
    <col min="7" max="7" width="0.7109375" style="154" customWidth="1"/>
    <col min="8" max="8" width="15" style="154" customWidth="1"/>
    <col min="9" max="256" width="9.140625" style="154"/>
    <col min="257" max="257" width="10" style="154" customWidth="1"/>
    <col min="258" max="258" width="23.42578125" style="154" customWidth="1"/>
    <col min="259" max="259" width="19.42578125" style="154" customWidth="1"/>
    <col min="260" max="260" width="9" style="154" customWidth="1"/>
    <col min="261" max="261" width="7" style="154" customWidth="1"/>
    <col min="262" max="262" width="14.28515625" style="154" customWidth="1"/>
    <col min="263" max="263" width="0.7109375" style="154" customWidth="1"/>
    <col min="264" max="264" width="12.5703125" style="154" customWidth="1"/>
    <col min="265" max="512" width="9.140625" style="154"/>
    <col min="513" max="513" width="10" style="154" customWidth="1"/>
    <col min="514" max="514" width="23.42578125" style="154" customWidth="1"/>
    <col min="515" max="515" width="19.42578125" style="154" customWidth="1"/>
    <col min="516" max="516" width="9" style="154" customWidth="1"/>
    <col min="517" max="517" width="7" style="154" customWidth="1"/>
    <col min="518" max="518" width="14.28515625" style="154" customWidth="1"/>
    <col min="519" max="519" width="0.7109375" style="154" customWidth="1"/>
    <col min="520" max="520" width="12.5703125" style="154" customWidth="1"/>
    <col min="521" max="768" width="9.140625" style="154"/>
    <col min="769" max="769" width="10" style="154" customWidth="1"/>
    <col min="770" max="770" width="23.42578125" style="154" customWidth="1"/>
    <col min="771" max="771" width="19.42578125" style="154" customWidth="1"/>
    <col min="772" max="772" width="9" style="154" customWidth="1"/>
    <col min="773" max="773" width="7" style="154" customWidth="1"/>
    <col min="774" max="774" width="14.28515625" style="154" customWidth="1"/>
    <col min="775" max="775" width="0.7109375" style="154" customWidth="1"/>
    <col min="776" max="776" width="12.5703125" style="154" customWidth="1"/>
    <col min="777" max="1024" width="9.140625" style="154"/>
    <col min="1025" max="1025" width="10" style="154" customWidth="1"/>
    <col min="1026" max="1026" width="23.42578125" style="154" customWidth="1"/>
    <col min="1027" max="1027" width="19.42578125" style="154" customWidth="1"/>
    <col min="1028" max="1028" width="9" style="154" customWidth="1"/>
    <col min="1029" max="1029" width="7" style="154" customWidth="1"/>
    <col min="1030" max="1030" width="14.28515625" style="154" customWidth="1"/>
    <col min="1031" max="1031" width="0.7109375" style="154" customWidth="1"/>
    <col min="1032" max="1032" width="12.5703125" style="154" customWidth="1"/>
    <col min="1033" max="1280" width="9.140625" style="154"/>
    <col min="1281" max="1281" width="10" style="154" customWidth="1"/>
    <col min="1282" max="1282" width="23.42578125" style="154" customWidth="1"/>
    <col min="1283" max="1283" width="19.42578125" style="154" customWidth="1"/>
    <col min="1284" max="1284" width="9" style="154" customWidth="1"/>
    <col min="1285" max="1285" width="7" style="154" customWidth="1"/>
    <col min="1286" max="1286" width="14.28515625" style="154" customWidth="1"/>
    <col min="1287" max="1287" width="0.7109375" style="154" customWidth="1"/>
    <col min="1288" max="1288" width="12.5703125" style="154" customWidth="1"/>
    <col min="1289" max="1536" width="9.140625" style="154"/>
    <col min="1537" max="1537" width="10" style="154" customWidth="1"/>
    <col min="1538" max="1538" width="23.42578125" style="154" customWidth="1"/>
    <col min="1539" max="1539" width="19.42578125" style="154" customWidth="1"/>
    <col min="1540" max="1540" width="9" style="154" customWidth="1"/>
    <col min="1541" max="1541" width="7" style="154" customWidth="1"/>
    <col min="1542" max="1542" width="14.28515625" style="154" customWidth="1"/>
    <col min="1543" max="1543" width="0.7109375" style="154" customWidth="1"/>
    <col min="1544" max="1544" width="12.5703125" style="154" customWidth="1"/>
    <col min="1545" max="1792" width="9.140625" style="154"/>
    <col min="1793" max="1793" width="10" style="154" customWidth="1"/>
    <col min="1794" max="1794" width="23.42578125" style="154" customWidth="1"/>
    <col min="1795" max="1795" width="19.42578125" style="154" customWidth="1"/>
    <col min="1796" max="1796" width="9" style="154" customWidth="1"/>
    <col min="1797" max="1797" width="7" style="154" customWidth="1"/>
    <col min="1798" max="1798" width="14.28515625" style="154" customWidth="1"/>
    <col min="1799" max="1799" width="0.7109375" style="154" customWidth="1"/>
    <col min="1800" max="1800" width="12.5703125" style="154" customWidth="1"/>
    <col min="1801" max="2048" width="9.140625" style="154"/>
    <col min="2049" max="2049" width="10" style="154" customWidth="1"/>
    <col min="2050" max="2050" width="23.42578125" style="154" customWidth="1"/>
    <col min="2051" max="2051" width="19.42578125" style="154" customWidth="1"/>
    <col min="2052" max="2052" width="9" style="154" customWidth="1"/>
    <col min="2053" max="2053" width="7" style="154" customWidth="1"/>
    <col min="2054" max="2054" width="14.28515625" style="154" customWidth="1"/>
    <col min="2055" max="2055" width="0.7109375" style="154" customWidth="1"/>
    <col min="2056" max="2056" width="12.5703125" style="154" customWidth="1"/>
    <col min="2057" max="2304" width="9.140625" style="154"/>
    <col min="2305" max="2305" width="10" style="154" customWidth="1"/>
    <col min="2306" max="2306" width="23.42578125" style="154" customWidth="1"/>
    <col min="2307" max="2307" width="19.42578125" style="154" customWidth="1"/>
    <col min="2308" max="2308" width="9" style="154" customWidth="1"/>
    <col min="2309" max="2309" width="7" style="154" customWidth="1"/>
    <col min="2310" max="2310" width="14.28515625" style="154" customWidth="1"/>
    <col min="2311" max="2311" width="0.7109375" style="154" customWidth="1"/>
    <col min="2312" max="2312" width="12.5703125" style="154" customWidth="1"/>
    <col min="2313" max="2560" width="9.140625" style="154"/>
    <col min="2561" max="2561" width="10" style="154" customWidth="1"/>
    <col min="2562" max="2562" width="23.42578125" style="154" customWidth="1"/>
    <col min="2563" max="2563" width="19.42578125" style="154" customWidth="1"/>
    <col min="2564" max="2564" width="9" style="154" customWidth="1"/>
    <col min="2565" max="2565" width="7" style="154" customWidth="1"/>
    <col min="2566" max="2566" width="14.28515625" style="154" customWidth="1"/>
    <col min="2567" max="2567" width="0.7109375" style="154" customWidth="1"/>
    <col min="2568" max="2568" width="12.5703125" style="154" customWidth="1"/>
    <col min="2569" max="2816" width="9.140625" style="154"/>
    <col min="2817" max="2817" width="10" style="154" customWidth="1"/>
    <col min="2818" max="2818" width="23.42578125" style="154" customWidth="1"/>
    <col min="2819" max="2819" width="19.42578125" style="154" customWidth="1"/>
    <col min="2820" max="2820" width="9" style="154" customWidth="1"/>
    <col min="2821" max="2821" width="7" style="154" customWidth="1"/>
    <col min="2822" max="2822" width="14.28515625" style="154" customWidth="1"/>
    <col min="2823" max="2823" width="0.7109375" style="154" customWidth="1"/>
    <col min="2824" max="2824" width="12.5703125" style="154" customWidth="1"/>
    <col min="2825" max="3072" width="9.140625" style="154"/>
    <col min="3073" max="3073" width="10" style="154" customWidth="1"/>
    <col min="3074" max="3074" width="23.42578125" style="154" customWidth="1"/>
    <col min="3075" max="3075" width="19.42578125" style="154" customWidth="1"/>
    <col min="3076" max="3076" width="9" style="154" customWidth="1"/>
    <col min="3077" max="3077" width="7" style="154" customWidth="1"/>
    <col min="3078" max="3078" width="14.28515625" style="154" customWidth="1"/>
    <col min="3079" max="3079" width="0.7109375" style="154" customWidth="1"/>
    <col min="3080" max="3080" width="12.5703125" style="154" customWidth="1"/>
    <col min="3081" max="3328" width="9.140625" style="154"/>
    <col min="3329" max="3329" width="10" style="154" customWidth="1"/>
    <col min="3330" max="3330" width="23.42578125" style="154" customWidth="1"/>
    <col min="3331" max="3331" width="19.42578125" style="154" customWidth="1"/>
    <col min="3332" max="3332" width="9" style="154" customWidth="1"/>
    <col min="3333" max="3333" width="7" style="154" customWidth="1"/>
    <col min="3334" max="3334" width="14.28515625" style="154" customWidth="1"/>
    <col min="3335" max="3335" width="0.7109375" style="154" customWidth="1"/>
    <col min="3336" max="3336" width="12.5703125" style="154" customWidth="1"/>
    <col min="3337" max="3584" width="9.140625" style="154"/>
    <col min="3585" max="3585" width="10" style="154" customWidth="1"/>
    <col min="3586" max="3586" width="23.42578125" style="154" customWidth="1"/>
    <col min="3587" max="3587" width="19.42578125" style="154" customWidth="1"/>
    <col min="3588" max="3588" width="9" style="154" customWidth="1"/>
    <col min="3589" max="3589" width="7" style="154" customWidth="1"/>
    <col min="3590" max="3590" width="14.28515625" style="154" customWidth="1"/>
    <col min="3591" max="3591" width="0.7109375" style="154" customWidth="1"/>
    <col min="3592" max="3592" width="12.5703125" style="154" customWidth="1"/>
    <col min="3593" max="3840" width="9.140625" style="154"/>
    <col min="3841" max="3841" width="10" style="154" customWidth="1"/>
    <col min="3842" max="3842" width="23.42578125" style="154" customWidth="1"/>
    <col min="3843" max="3843" width="19.42578125" style="154" customWidth="1"/>
    <col min="3844" max="3844" width="9" style="154" customWidth="1"/>
    <col min="3845" max="3845" width="7" style="154" customWidth="1"/>
    <col min="3846" max="3846" width="14.28515625" style="154" customWidth="1"/>
    <col min="3847" max="3847" width="0.7109375" style="154" customWidth="1"/>
    <col min="3848" max="3848" width="12.5703125" style="154" customWidth="1"/>
    <col min="3849" max="4096" width="9.140625" style="154"/>
    <col min="4097" max="4097" width="10" style="154" customWidth="1"/>
    <col min="4098" max="4098" width="23.42578125" style="154" customWidth="1"/>
    <col min="4099" max="4099" width="19.42578125" style="154" customWidth="1"/>
    <col min="4100" max="4100" width="9" style="154" customWidth="1"/>
    <col min="4101" max="4101" width="7" style="154" customWidth="1"/>
    <col min="4102" max="4102" width="14.28515625" style="154" customWidth="1"/>
    <col min="4103" max="4103" width="0.7109375" style="154" customWidth="1"/>
    <col min="4104" max="4104" width="12.5703125" style="154" customWidth="1"/>
    <col min="4105" max="4352" width="9.140625" style="154"/>
    <col min="4353" max="4353" width="10" style="154" customWidth="1"/>
    <col min="4354" max="4354" width="23.42578125" style="154" customWidth="1"/>
    <col min="4355" max="4355" width="19.42578125" style="154" customWidth="1"/>
    <col min="4356" max="4356" width="9" style="154" customWidth="1"/>
    <col min="4357" max="4357" width="7" style="154" customWidth="1"/>
    <col min="4358" max="4358" width="14.28515625" style="154" customWidth="1"/>
    <col min="4359" max="4359" width="0.7109375" style="154" customWidth="1"/>
    <col min="4360" max="4360" width="12.5703125" style="154" customWidth="1"/>
    <col min="4361" max="4608" width="9.140625" style="154"/>
    <col min="4609" max="4609" width="10" style="154" customWidth="1"/>
    <col min="4610" max="4610" width="23.42578125" style="154" customWidth="1"/>
    <col min="4611" max="4611" width="19.42578125" style="154" customWidth="1"/>
    <col min="4612" max="4612" width="9" style="154" customWidth="1"/>
    <col min="4613" max="4613" width="7" style="154" customWidth="1"/>
    <col min="4614" max="4614" width="14.28515625" style="154" customWidth="1"/>
    <col min="4615" max="4615" width="0.7109375" style="154" customWidth="1"/>
    <col min="4616" max="4616" width="12.5703125" style="154" customWidth="1"/>
    <col min="4617" max="4864" width="9.140625" style="154"/>
    <col min="4865" max="4865" width="10" style="154" customWidth="1"/>
    <col min="4866" max="4866" width="23.42578125" style="154" customWidth="1"/>
    <col min="4867" max="4867" width="19.42578125" style="154" customWidth="1"/>
    <col min="4868" max="4868" width="9" style="154" customWidth="1"/>
    <col min="4869" max="4869" width="7" style="154" customWidth="1"/>
    <col min="4870" max="4870" width="14.28515625" style="154" customWidth="1"/>
    <col min="4871" max="4871" width="0.7109375" style="154" customWidth="1"/>
    <col min="4872" max="4872" width="12.5703125" style="154" customWidth="1"/>
    <col min="4873" max="5120" width="9.140625" style="154"/>
    <col min="5121" max="5121" width="10" style="154" customWidth="1"/>
    <col min="5122" max="5122" width="23.42578125" style="154" customWidth="1"/>
    <col min="5123" max="5123" width="19.42578125" style="154" customWidth="1"/>
    <col min="5124" max="5124" width="9" style="154" customWidth="1"/>
    <col min="5125" max="5125" width="7" style="154" customWidth="1"/>
    <col min="5126" max="5126" width="14.28515625" style="154" customWidth="1"/>
    <col min="5127" max="5127" width="0.7109375" style="154" customWidth="1"/>
    <col min="5128" max="5128" width="12.5703125" style="154" customWidth="1"/>
    <col min="5129" max="5376" width="9.140625" style="154"/>
    <col min="5377" max="5377" width="10" style="154" customWidth="1"/>
    <col min="5378" max="5378" width="23.42578125" style="154" customWidth="1"/>
    <col min="5379" max="5379" width="19.42578125" style="154" customWidth="1"/>
    <col min="5380" max="5380" width="9" style="154" customWidth="1"/>
    <col min="5381" max="5381" width="7" style="154" customWidth="1"/>
    <col min="5382" max="5382" width="14.28515625" style="154" customWidth="1"/>
    <col min="5383" max="5383" width="0.7109375" style="154" customWidth="1"/>
    <col min="5384" max="5384" width="12.5703125" style="154" customWidth="1"/>
    <col min="5385" max="5632" width="9.140625" style="154"/>
    <col min="5633" max="5633" width="10" style="154" customWidth="1"/>
    <col min="5634" max="5634" width="23.42578125" style="154" customWidth="1"/>
    <col min="5635" max="5635" width="19.42578125" style="154" customWidth="1"/>
    <col min="5636" max="5636" width="9" style="154" customWidth="1"/>
    <col min="5637" max="5637" width="7" style="154" customWidth="1"/>
    <col min="5638" max="5638" width="14.28515625" style="154" customWidth="1"/>
    <col min="5639" max="5639" width="0.7109375" style="154" customWidth="1"/>
    <col min="5640" max="5640" width="12.5703125" style="154" customWidth="1"/>
    <col min="5641" max="5888" width="9.140625" style="154"/>
    <col min="5889" max="5889" width="10" style="154" customWidth="1"/>
    <col min="5890" max="5890" width="23.42578125" style="154" customWidth="1"/>
    <col min="5891" max="5891" width="19.42578125" style="154" customWidth="1"/>
    <col min="5892" max="5892" width="9" style="154" customWidth="1"/>
    <col min="5893" max="5893" width="7" style="154" customWidth="1"/>
    <col min="5894" max="5894" width="14.28515625" style="154" customWidth="1"/>
    <col min="5895" max="5895" width="0.7109375" style="154" customWidth="1"/>
    <col min="5896" max="5896" width="12.5703125" style="154" customWidth="1"/>
    <col min="5897" max="6144" width="9.140625" style="154"/>
    <col min="6145" max="6145" width="10" style="154" customWidth="1"/>
    <col min="6146" max="6146" width="23.42578125" style="154" customWidth="1"/>
    <col min="6147" max="6147" width="19.42578125" style="154" customWidth="1"/>
    <col min="6148" max="6148" width="9" style="154" customWidth="1"/>
    <col min="6149" max="6149" width="7" style="154" customWidth="1"/>
    <col min="6150" max="6150" width="14.28515625" style="154" customWidth="1"/>
    <col min="6151" max="6151" width="0.7109375" style="154" customWidth="1"/>
    <col min="6152" max="6152" width="12.5703125" style="154" customWidth="1"/>
    <col min="6153" max="6400" width="9.140625" style="154"/>
    <col min="6401" max="6401" width="10" style="154" customWidth="1"/>
    <col min="6402" max="6402" width="23.42578125" style="154" customWidth="1"/>
    <col min="6403" max="6403" width="19.42578125" style="154" customWidth="1"/>
    <col min="6404" max="6404" width="9" style="154" customWidth="1"/>
    <col min="6405" max="6405" width="7" style="154" customWidth="1"/>
    <col min="6406" max="6406" width="14.28515625" style="154" customWidth="1"/>
    <col min="6407" max="6407" width="0.7109375" style="154" customWidth="1"/>
    <col min="6408" max="6408" width="12.5703125" style="154" customWidth="1"/>
    <col min="6409" max="6656" width="9.140625" style="154"/>
    <col min="6657" max="6657" width="10" style="154" customWidth="1"/>
    <col min="6658" max="6658" width="23.42578125" style="154" customWidth="1"/>
    <col min="6659" max="6659" width="19.42578125" style="154" customWidth="1"/>
    <col min="6660" max="6660" width="9" style="154" customWidth="1"/>
    <col min="6661" max="6661" width="7" style="154" customWidth="1"/>
    <col min="6662" max="6662" width="14.28515625" style="154" customWidth="1"/>
    <col min="6663" max="6663" width="0.7109375" style="154" customWidth="1"/>
    <col min="6664" max="6664" width="12.5703125" style="154" customWidth="1"/>
    <col min="6665" max="6912" width="9.140625" style="154"/>
    <col min="6913" max="6913" width="10" style="154" customWidth="1"/>
    <col min="6914" max="6914" width="23.42578125" style="154" customWidth="1"/>
    <col min="6915" max="6915" width="19.42578125" style="154" customWidth="1"/>
    <col min="6916" max="6916" width="9" style="154" customWidth="1"/>
    <col min="6917" max="6917" width="7" style="154" customWidth="1"/>
    <col min="6918" max="6918" width="14.28515625" style="154" customWidth="1"/>
    <col min="6919" max="6919" width="0.7109375" style="154" customWidth="1"/>
    <col min="6920" max="6920" width="12.5703125" style="154" customWidth="1"/>
    <col min="6921" max="7168" width="9.140625" style="154"/>
    <col min="7169" max="7169" width="10" style="154" customWidth="1"/>
    <col min="7170" max="7170" width="23.42578125" style="154" customWidth="1"/>
    <col min="7171" max="7171" width="19.42578125" style="154" customWidth="1"/>
    <col min="7172" max="7172" width="9" style="154" customWidth="1"/>
    <col min="7173" max="7173" width="7" style="154" customWidth="1"/>
    <col min="7174" max="7174" width="14.28515625" style="154" customWidth="1"/>
    <col min="7175" max="7175" width="0.7109375" style="154" customWidth="1"/>
    <col min="7176" max="7176" width="12.5703125" style="154" customWidth="1"/>
    <col min="7177" max="7424" width="9.140625" style="154"/>
    <col min="7425" max="7425" width="10" style="154" customWidth="1"/>
    <col min="7426" max="7426" width="23.42578125" style="154" customWidth="1"/>
    <col min="7427" max="7427" width="19.42578125" style="154" customWidth="1"/>
    <col min="7428" max="7428" width="9" style="154" customWidth="1"/>
    <col min="7429" max="7429" width="7" style="154" customWidth="1"/>
    <col min="7430" max="7430" width="14.28515625" style="154" customWidth="1"/>
    <col min="7431" max="7431" width="0.7109375" style="154" customWidth="1"/>
    <col min="7432" max="7432" width="12.5703125" style="154" customWidth="1"/>
    <col min="7433" max="7680" width="9.140625" style="154"/>
    <col min="7681" max="7681" width="10" style="154" customWidth="1"/>
    <col min="7682" max="7682" width="23.42578125" style="154" customWidth="1"/>
    <col min="7683" max="7683" width="19.42578125" style="154" customWidth="1"/>
    <col min="7684" max="7684" width="9" style="154" customWidth="1"/>
    <col min="7685" max="7685" width="7" style="154" customWidth="1"/>
    <col min="7686" max="7686" width="14.28515625" style="154" customWidth="1"/>
    <col min="7687" max="7687" width="0.7109375" style="154" customWidth="1"/>
    <col min="7688" max="7688" width="12.5703125" style="154" customWidth="1"/>
    <col min="7689" max="7936" width="9.140625" style="154"/>
    <col min="7937" max="7937" width="10" style="154" customWidth="1"/>
    <col min="7938" max="7938" width="23.42578125" style="154" customWidth="1"/>
    <col min="7939" max="7939" width="19.42578125" style="154" customWidth="1"/>
    <col min="7940" max="7940" width="9" style="154" customWidth="1"/>
    <col min="7941" max="7941" width="7" style="154" customWidth="1"/>
    <col min="7942" max="7942" width="14.28515625" style="154" customWidth="1"/>
    <col min="7943" max="7943" width="0.7109375" style="154" customWidth="1"/>
    <col min="7944" max="7944" width="12.5703125" style="154" customWidth="1"/>
    <col min="7945" max="8192" width="9.140625" style="154"/>
    <col min="8193" max="8193" width="10" style="154" customWidth="1"/>
    <col min="8194" max="8194" width="23.42578125" style="154" customWidth="1"/>
    <col min="8195" max="8195" width="19.42578125" style="154" customWidth="1"/>
    <col min="8196" max="8196" width="9" style="154" customWidth="1"/>
    <col min="8197" max="8197" width="7" style="154" customWidth="1"/>
    <col min="8198" max="8198" width="14.28515625" style="154" customWidth="1"/>
    <col min="8199" max="8199" width="0.7109375" style="154" customWidth="1"/>
    <col min="8200" max="8200" width="12.5703125" style="154" customWidth="1"/>
    <col min="8201" max="8448" width="9.140625" style="154"/>
    <col min="8449" max="8449" width="10" style="154" customWidth="1"/>
    <col min="8450" max="8450" width="23.42578125" style="154" customWidth="1"/>
    <col min="8451" max="8451" width="19.42578125" style="154" customWidth="1"/>
    <col min="8452" max="8452" width="9" style="154" customWidth="1"/>
    <col min="8453" max="8453" width="7" style="154" customWidth="1"/>
    <col min="8454" max="8454" width="14.28515625" style="154" customWidth="1"/>
    <col min="8455" max="8455" width="0.7109375" style="154" customWidth="1"/>
    <col min="8456" max="8456" width="12.5703125" style="154" customWidth="1"/>
    <col min="8457" max="8704" width="9.140625" style="154"/>
    <col min="8705" max="8705" width="10" style="154" customWidth="1"/>
    <col min="8706" max="8706" width="23.42578125" style="154" customWidth="1"/>
    <col min="8707" max="8707" width="19.42578125" style="154" customWidth="1"/>
    <col min="8708" max="8708" width="9" style="154" customWidth="1"/>
    <col min="8709" max="8709" width="7" style="154" customWidth="1"/>
    <col min="8710" max="8710" width="14.28515625" style="154" customWidth="1"/>
    <col min="8711" max="8711" width="0.7109375" style="154" customWidth="1"/>
    <col min="8712" max="8712" width="12.5703125" style="154" customWidth="1"/>
    <col min="8713" max="8960" width="9.140625" style="154"/>
    <col min="8961" max="8961" width="10" style="154" customWidth="1"/>
    <col min="8962" max="8962" width="23.42578125" style="154" customWidth="1"/>
    <col min="8963" max="8963" width="19.42578125" style="154" customWidth="1"/>
    <col min="8964" max="8964" width="9" style="154" customWidth="1"/>
    <col min="8965" max="8965" width="7" style="154" customWidth="1"/>
    <col min="8966" max="8966" width="14.28515625" style="154" customWidth="1"/>
    <col min="8967" max="8967" width="0.7109375" style="154" customWidth="1"/>
    <col min="8968" max="8968" width="12.5703125" style="154" customWidth="1"/>
    <col min="8969" max="9216" width="9.140625" style="154"/>
    <col min="9217" max="9217" width="10" style="154" customWidth="1"/>
    <col min="9218" max="9218" width="23.42578125" style="154" customWidth="1"/>
    <col min="9219" max="9219" width="19.42578125" style="154" customWidth="1"/>
    <col min="9220" max="9220" width="9" style="154" customWidth="1"/>
    <col min="9221" max="9221" width="7" style="154" customWidth="1"/>
    <col min="9222" max="9222" width="14.28515625" style="154" customWidth="1"/>
    <col min="9223" max="9223" width="0.7109375" style="154" customWidth="1"/>
    <col min="9224" max="9224" width="12.5703125" style="154" customWidth="1"/>
    <col min="9225" max="9472" width="9.140625" style="154"/>
    <col min="9473" max="9473" width="10" style="154" customWidth="1"/>
    <col min="9474" max="9474" width="23.42578125" style="154" customWidth="1"/>
    <col min="9475" max="9475" width="19.42578125" style="154" customWidth="1"/>
    <col min="9476" max="9476" width="9" style="154" customWidth="1"/>
    <col min="9477" max="9477" width="7" style="154" customWidth="1"/>
    <col min="9478" max="9478" width="14.28515625" style="154" customWidth="1"/>
    <col min="9479" max="9479" width="0.7109375" style="154" customWidth="1"/>
    <col min="9480" max="9480" width="12.5703125" style="154" customWidth="1"/>
    <col min="9481" max="9728" width="9.140625" style="154"/>
    <col min="9729" max="9729" width="10" style="154" customWidth="1"/>
    <col min="9730" max="9730" width="23.42578125" style="154" customWidth="1"/>
    <col min="9731" max="9731" width="19.42578125" style="154" customWidth="1"/>
    <col min="9732" max="9732" width="9" style="154" customWidth="1"/>
    <col min="9733" max="9733" width="7" style="154" customWidth="1"/>
    <col min="9734" max="9734" width="14.28515625" style="154" customWidth="1"/>
    <col min="9735" max="9735" width="0.7109375" style="154" customWidth="1"/>
    <col min="9736" max="9736" width="12.5703125" style="154" customWidth="1"/>
    <col min="9737" max="9984" width="9.140625" style="154"/>
    <col min="9985" max="9985" width="10" style="154" customWidth="1"/>
    <col min="9986" max="9986" width="23.42578125" style="154" customWidth="1"/>
    <col min="9987" max="9987" width="19.42578125" style="154" customWidth="1"/>
    <col min="9988" max="9988" width="9" style="154" customWidth="1"/>
    <col min="9989" max="9989" width="7" style="154" customWidth="1"/>
    <col min="9990" max="9990" width="14.28515625" style="154" customWidth="1"/>
    <col min="9991" max="9991" width="0.7109375" style="154" customWidth="1"/>
    <col min="9992" max="9992" width="12.5703125" style="154" customWidth="1"/>
    <col min="9993" max="10240" width="9.140625" style="154"/>
    <col min="10241" max="10241" width="10" style="154" customWidth="1"/>
    <col min="10242" max="10242" width="23.42578125" style="154" customWidth="1"/>
    <col min="10243" max="10243" width="19.42578125" style="154" customWidth="1"/>
    <col min="10244" max="10244" width="9" style="154" customWidth="1"/>
    <col min="10245" max="10245" width="7" style="154" customWidth="1"/>
    <col min="10246" max="10246" width="14.28515625" style="154" customWidth="1"/>
    <col min="10247" max="10247" width="0.7109375" style="154" customWidth="1"/>
    <col min="10248" max="10248" width="12.5703125" style="154" customWidth="1"/>
    <col min="10249" max="10496" width="9.140625" style="154"/>
    <col min="10497" max="10497" width="10" style="154" customWidth="1"/>
    <col min="10498" max="10498" width="23.42578125" style="154" customWidth="1"/>
    <col min="10499" max="10499" width="19.42578125" style="154" customWidth="1"/>
    <col min="10500" max="10500" width="9" style="154" customWidth="1"/>
    <col min="10501" max="10501" width="7" style="154" customWidth="1"/>
    <col min="10502" max="10502" width="14.28515625" style="154" customWidth="1"/>
    <col min="10503" max="10503" width="0.7109375" style="154" customWidth="1"/>
    <col min="10504" max="10504" width="12.5703125" style="154" customWidth="1"/>
    <col min="10505" max="10752" width="9.140625" style="154"/>
    <col min="10753" max="10753" width="10" style="154" customWidth="1"/>
    <col min="10754" max="10754" width="23.42578125" style="154" customWidth="1"/>
    <col min="10755" max="10755" width="19.42578125" style="154" customWidth="1"/>
    <col min="10756" max="10756" width="9" style="154" customWidth="1"/>
    <col min="10757" max="10757" width="7" style="154" customWidth="1"/>
    <col min="10758" max="10758" width="14.28515625" style="154" customWidth="1"/>
    <col min="10759" max="10759" width="0.7109375" style="154" customWidth="1"/>
    <col min="10760" max="10760" width="12.5703125" style="154" customWidth="1"/>
    <col min="10761" max="11008" width="9.140625" style="154"/>
    <col min="11009" max="11009" width="10" style="154" customWidth="1"/>
    <col min="11010" max="11010" width="23.42578125" style="154" customWidth="1"/>
    <col min="11011" max="11011" width="19.42578125" style="154" customWidth="1"/>
    <col min="11012" max="11012" width="9" style="154" customWidth="1"/>
    <col min="11013" max="11013" width="7" style="154" customWidth="1"/>
    <col min="11014" max="11014" width="14.28515625" style="154" customWidth="1"/>
    <col min="11015" max="11015" width="0.7109375" style="154" customWidth="1"/>
    <col min="11016" max="11016" width="12.5703125" style="154" customWidth="1"/>
    <col min="11017" max="11264" width="9.140625" style="154"/>
    <col min="11265" max="11265" width="10" style="154" customWidth="1"/>
    <col min="11266" max="11266" width="23.42578125" style="154" customWidth="1"/>
    <col min="11267" max="11267" width="19.42578125" style="154" customWidth="1"/>
    <col min="11268" max="11268" width="9" style="154" customWidth="1"/>
    <col min="11269" max="11269" width="7" style="154" customWidth="1"/>
    <col min="11270" max="11270" width="14.28515625" style="154" customWidth="1"/>
    <col min="11271" max="11271" width="0.7109375" style="154" customWidth="1"/>
    <col min="11272" max="11272" width="12.5703125" style="154" customWidth="1"/>
    <col min="11273" max="11520" width="9.140625" style="154"/>
    <col min="11521" max="11521" width="10" style="154" customWidth="1"/>
    <col min="11522" max="11522" width="23.42578125" style="154" customWidth="1"/>
    <col min="11523" max="11523" width="19.42578125" style="154" customWidth="1"/>
    <col min="11524" max="11524" width="9" style="154" customWidth="1"/>
    <col min="11525" max="11525" width="7" style="154" customWidth="1"/>
    <col min="11526" max="11526" width="14.28515625" style="154" customWidth="1"/>
    <col min="11527" max="11527" width="0.7109375" style="154" customWidth="1"/>
    <col min="11528" max="11528" width="12.5703125" style="154" customWidth="1"/>
    <col min="11529" max="11776" width="9.140625" style="154"/>
    <col min="11777" max="11777" width="10" style="154" customWidth="1"/>
    <col min="11778" max="11778" width="23.42578125" style="154" customWidth="1"/>
    <col min="11779" max="11779" width="19.42578125" style="154" customWidth="1"/>
    <col min="11780" max="11780" width="9" style="154" customWidth="1"/>
    <col min="11781" max="11781" width="7" style="154" customWidth="1"/>
    <col min="11782" max="11782" width="14.28515625" style="154" customWidth="1"/>
    <col min="11783" max="11783" width="0.7109375" style="154" customWidth="1"/>
    <col min="11784" max="11784" width="12.5703125" style="154" customWidth="1"/>
    <col min="11785" max="12032" width="9.140625" style="154"/>
    <col min="12033" max="12033" width="10" style="154" customWidth="1"/>
    <col min="12034" max="12034" width="23.42578125" style="154" customWidth="1"/>
    <col min="12035" max="12035" width="19.42578125" style="154" customWidth="1"/>
    <col min="12036" max="12036" width="9" style="154" customWidth="1"/>
    <col min="12037" max="12037" width="7" style="154" customWidth="1"/>
    <col min="12038" max="12038" width="14.28515625" style="154" customWidth="1"/>
    <col min="12039" max="12039" width="0.7109375" style="154" customWidth="1"/>
    <col min="12040" max="12040" width="12.5703125" style="154" customWidth="1"/>
    <col min="12041" max="12288" width="9.140625" style="154"/>
    <col min="12289" max="12289" width="10" style="154" customWidth="1"/>
    <col min="12290" max="12290" width="23.42578125" style="154" customWidth="1"/>
    <col min="12291" max="12291" width="19.42578125" style="154" customWidth="1"/>
    <col min="12292" max="12292" width="9" style="154" customWidth="1"/>
    <col min="12293" max="12293" width="7" style="154" customWidth="1"/>
    <col min="12294" max="12294" width="14.28515625" style="154" customWidth="1"/>
    <col min="12295" max="12295" width="0.7109375" style="154" customWidth="1"/>
    <col min="12296" max="12296" width="12.5703125" style="154" customWidth="1"/>
    <col min="12297" max="12544" width="9.140625" style="154"/>
    <col min="12545" max="12545" width="10" style="154" customWidth="1"/>
    <col min="12546" max="12546" width="23.42578125" style="154" customWidth="1"/>
    <col min="12547" max="12547" width="19.42578125" style="154" customWidth="1"/>
    <col min="12548" max="12548" width="9" style="154" customWidth="1"/>
    <col min="12549" max="12549" width="7" style="154" customWidth="1"/>
    <col min="12550" max="12550" width="14.28515625" style="154" customWidth="1"/>
    <col min="12551" max="12551" width="0.7109375" style="154" customWidth="1"/>
    <col min="12552" max="12552" width="12.5703125" style="154" customWidth="1"/>
    <col min="12553" max="12800" width="9.140625" style="154"/>
    <col min="12801" max="12801" width="10" style="154" customWidth="1"/>
    <col min="12802" max="12802" width="23.42578125" style="154" customWidth="1"/>
    <col min="12803" max="12803" width="19.42578125" style="154" customWidth="1"/>
    <col min="12804" max="12804" width="9" style="154" customWidth="1"/>
    <col min="12805" max="12805" width="7" style="154" customWidth="1"/>
    <col min="12806" max="12806" width="14.28515625" style="154" customWidth="1"/>
    <col min="12807" max="12807" width="0.7109375" style="154" customWidth="1"/>
    <col min="12808" max="12808" width="12.5703125" style="154" customWidth="1"/>
    <col min="12809" max="13056" width="9.140625" style="154"/>
    <col min="13057" max="13057" width="10" style="154" customWidth="1"/>
    <col min="13058" max="13058" width="23.42578125" style="154" customWidth="1"/>
    <col min="13059" max="13059" width="19.42578125" style="154" customWidth="1"/>
    <col min="13060" max="13060" width="9" style="154" customWidth="1"/>
    <col min="13061" max="13061" width="7" style="154" customWidth="1"/>
    <col min="13062" max="13062" width="14.28515625" style="154" customWidth="1"/>
    <col min="13063" max="13063" width="0.7109375" style="154" customWidth="1"/>
    <col min="13064" max="13064" width="12.5703125" style="154" customWidth="1"/>
    <col min="13065" max="13312" width="9.140625" style="154"/>
    <col min="13313" max="13313" width="10" style="154" customWidth="1"/>
    <col min="13314" max="13314" width="23.42578125" style="154" customWidth="1"/>
    <col min="13315" max="13315" width="19.42578125" style="154" customWidth="1"/>
    <col min="13316" max="13316" width="9" style="154" customWidth="1"/>
    <col min="13317" max="13317" width="7" style="154" customWidth="1"/>
    <col min="13318" max="13318" width="14.28515625" style="154" customWidth="1"/>
    <col min="13319" max="13319" width="0.7109375" style="154" customWidth="1"/>
    <col min="13320" max="13320" width="12.5703125" style="154" customWidth="1"/>
    <col min="13321" max="13568" width="9.140625" style="154"/>
    <col min="13569" max="13569" width="10" style="154" customWidth="1"/>
    <col min="13570" max="13570" width="23.42578125" style="154" customWidth="1"/>
    <col min="13571" max="13571" width="19.42578125" style="154" customWidth="1"/>
    <col min="13572" max="13572" width="9" style="154" customWidth="1"/>
    <col min="13573" max="13573" width="7" style="154" customWidth="1"/>
    <col min="13574" max="13574" width="14.28515625" style="154" customWidth="1"/>
    <col min="13575" max="13575" width="0.7109375" style="154" customWidth="1"/>
    <col min="13576" max="13576" width="12.5703125" style="154" customWidth="1"/>
    <col min="13577" max="13824" width="9.140625" style="154"/>
    <col min="13825" max="13825" width="10" style="154" customWidth="1"/>
    <col min="13826" max="13826" width="23.42578125" style="154" customWidth="1"/>
    <col min="13827" max="13827" width="19.42578125" style="154" customWidth="1"/>
    <col min="13828" max="13828" width="9" style="154" customWidth="1"/>
    <col min="13829" max="13829" width="7" style="154" customWidth="1"/>
    <col min="13830" max="13830" width="14.28515625" style="154" customWidth="1"/>
    <col min="13831" max="13831" width="0.7109375" style="154" customWidth="1"/>
    <col min="13832" max="13832" width="12.5703125" style="154" customWidth="1"/>
    <col min="13833" max="14080" width="9.140625" style="154"/>
    <col min="14081" max="14081" width="10" style="154" customWidth="1"/>
    <col min="14082" max="14082" width="23.42578125" style="154" customWidth="1"/>
    <col min="14083" max="14083" width="19.42578125" style="154" customWidth="1"/>
    <col min="14084" max="14084" width="9" style="154" customWidth="1"/>
    <col min="14085" max="14085" width="7" style="154" customWidth="1"/>
    <col min="14086" max="14086" width="14.28515625" style="154" customWidth="1"/>
    <col min="14087" max="14087" width="0.7109375" style="154" customWidth="1"/>
    <col min="14088" max="14088" width="12.5703125" style="154" customWidth="1"/>
    <col min="14089" max="14336" width="9.140625" style="154"/>
    <col min="14337" max="14337" width="10" style="154" customWidth="1"/>
    <col min="14338" max="14338" width="23.42578125" style="154" customWidth="1"/>
    <col min="14339" max="14339" width="19.42578125" style="154" customWidth="1"/>
    <col min="14340" max="14340" width="9" style="154" customWidth="1"/>
    <col min="14341" max="14341" width="7" style="154" customWidth="1"/>
    <col min="14342" max="14342" width="14.28515625" style="154" customWidth="1"/>
    <col min="14343" max="14343" width="0.7109375" style="154" customWidth="1"/>
    <col min="14344" max="14344" width="12.5703125" style="154" customWidth="1"/>
    <col min="14345" max="14592" width="9.140625" style="154"/>
    <col min="14593" max="14593" width="10" style="154" customWidth="1"/>
    <col min="14594" max="14594" width="23.42578125" style="154" customWidth="1"/>
    <col min="14595" max="14595" width="19.42578125" style="154" customWidth="1"/>
    <col min="14596" max="14596" width="9" style="154" customWidth="1"/>
    <col min="14597" max="14597" width="7" style="154" customWidth="1"/>
    <col min="14598" max="14598" width="14.28515625" style="154" customWidth="1"/>
    <col min="14599" max="14599" width="0.7109375" style="154" customWidth="1"/>
    <col min="14600" max="14600" width="12.5703125" style="154" customWidth="1"/>
    <col min="14601" max="14848" width="9.140625" style="154"/>
    <col min="14849" max="14849" width="10" style="154" customWidth="1"/>
    <col min="14850" max="14850" width="23.42578125" style="154" customWidth="1"/>
    <col min="14851" max="14851" width="19.42578125" style="154" customWidth="1"/>
    <col min="14852" max="14852" width="9" style="154" customWidth="1"/>
    <col min="14853" max="14853" width="7" style="154" customWidth="1"/>
    <col min="14854" max="14854" width="14.28515625" style="154" customWidth="1"/>
    <col min="14855" max="14855" width="0.7109375" style="154" customWidth="1"/>
    <col min="14856" max="14856" width="12.5703125" style="154" customWidth="1"/>
    <col min="14857" max="15104" width="9.140625" style="154"/>
    <col min="15105" max="15105" width="10" style="154" customWidth="1"/>
    <col min="15106" max="15106" width="23.42578125" style="154" customWidth="1"/>
    <col min="15107" max="15107" width="19.42578125" style="154" customWidth="1"/>
    <col min="15108" max="15108" width="9" style="154" customWidth="1"/>
    <col min="15109" max="15109" width="7" style="154" customWidth="1"/>
    <col min="15110" max="15110" width="14.28515625" style="154" customWidth="1"/>
    <col min="15111" max="15111" width="0.7109375" style="154" customWidth="1"/>
    <col min="15112" max="15112" width="12.5703125" style="154" customWidth="1"/>
    <col min="15113" max="15360" width="9.140625" style="154"/>
    <col min="15361" max="15361" width="10" style="154" customWidth="1"/>
    <col min="15362" max="15362" width="23.42578125" style="154" customWidth="1"/>
    <col min="15363" max="15363" width="19.42578125" style="154" customWidth="1"/>
    <col min="15364" max="15364" width="9" style="154" customWidth="1"/>
    <col min="15365" max="15365" width="7" style="154" customWidth="1"/>
    <col min="15366" max="15366" width="14.28515625" style="154" customWidth="1"/>
    <col min="15367" max="15367" width="0.7109375" style="154" customWidth="1"/>
    <col min="15368" max="15368" width="12.5703125" style="154" customWidth="1"/>
    <col min="15369" max="15616" width="9.140625" style="154"/>
    <col min="15617" max="15617" width="10" style="154" customWidth="1"/>
    <col min="15618" max="15618" width="23.42578125" style="154" customWidth="1"/>
    <col min="15619" max="15619" width="19.42578125" style="154" customWidth="1"/>
    <col min="15620" max="15620" width="9" style="154" customWidth="1"/>
    <col min="15621" max="15621" width="7" style="154" customWidth="1"/>
    <col min="15622" max="15622" width="14.28515625" style="154" customWidth="1"/>
    <col min="15623" max="15623" width="0.7109375" style="154" customWidth="1"/>
    <col min="15624" max="15624" width="12.5703125" style="154" customWidth="1"/>
    <col min="15625" max="15872" width="9.140625" style="154"/>
    <col min="15873" max="15873" width="10" style="154" customWidth="1"/>
    <col min="15874" max="15874" width="23.42578125" style="154" customWidth="1"/>
    <col min="15875" max="15875" width="19.42578125" style="154" customWidth="1"/>
    <col min="15876" max="15876" width="9" style="154" customWidth="1"/>
    <col min="15877" max="15877" width="7" style="154" customWidth="1"/>
    <col min="15878" max="15878" width="14.28515625" style="154" customWidth="1"/>
    <col min="15879" max="15879" width="0.7109375" style="154" customWidth="1"/>
    <col min="15880" max="15880" width="12.5703125" style="154" customWidth="1"/>
    <col min="15881" max="16128" width="9.140625" style="154"/>
    <col min="16129" max="16129" width="10" style="154" customWidth="1"/>
    <col min="16130" max="16130" width="23.42578125" style="154" customWidth="1"/>
    <col min="16131" max="16131" width="19.42578125" style="154" customWidth="1"/>
    <col min="16132" max="16132" width="9" style="154" customWidth="1"/>
    <col min="16133" max="16133" width="7" style="154" customWidth="1"/>
    <col min="16134" max="16134" width="14.28515625" style="154" customWidth="1"/>
    <col min="16135" max="16135" width="0.7109375" style="154" customWidth="1"/>
    <col min="16136" max="16136" width="12.5703125" style="154" customWidth="1"/>
    <col min="16137" max="16384" width="9.140625" style="154"/>
  </cols>
  <sheetData>
    <row r="1" spans="1:8" ht="30.75" customHeight="1" x14ac:dyDescent="0.25">
      <c r="A1" s="59"/>
      <c r="C1" s="328" t="s">
        <v>1004</v>
      </c>
      <c r="D1" s="328"/>
      <c r="E1" s="328"/>
      <c r="F1" s="328"/>
      <c r="G1" s="328"/>
      <c r="H1" s="328"/>
    </row>
    <row r="2" spans="1:8" ht="24" customHeight="1" x14ac:dyDescent="0.25">
      <c r="A2" s="344" t="s">
        <v>1005</v>
      </c>
      <c r="B2" s="344"/>
      <c r="C2" s="344"/>
      <c r="D2" s="344"/>
      <c r="E2" s="344"/>
      <c r="F2" s="344"/>
      <c r="G2" s="344"/>
      <c r="H2" s="344"/>
    </row>
    <row r="3" spans="1:8" ht="26.25" customHeight="1" x14ac:dyDescent="0.25">
      <c r="A3" s="327" t="s">
        <v>1006</v>
      </c>
      <c r="B3" s="327"/>
      <c r="C3" s="327"/>
      <c r="D3" s="327"/>
      <c r="E3" s="327"/>
      <c r="F3" s="327"/>
      <c r="G3" s="327"/>
      <c r="H3" s="327"/>
    </row>
    <row r="4" spans="1:8" ht="12.75" customHeight="1" x14ac:dyDescent="0.25">
      <c r="A4" s="257" t="s">
        <v>1080</v>
      </c>
      <c r="B4" s="257"/>
      <c r="C4" s="257"/>
      <c r="D4" s="257"/>
      <c r="E4" s="257"/>
      <c r="F4" s="257"/>
      <c r="G4" s="257"/>
      <c r="H4" s="257"/>
    </row>
    <row r="5" spans="1:8" ht="6.75" customHeight="1" x14ac:dyDescent="0.25">
      <c r="A5" s="59"/>
      <c r="B5" s="345"/>
      <c r="C5" s="345"/>
      <c r="D5" s="345"/>
      <c r="E5" s="345"/>
      <c r="F5" s="345"/>
      <c r="G5" s="345"/>
      <c r="H5" s="345"/>
    </row>
    <row r="6" spans="1:8" ht="11.25" customHeight="1" x14ac:dyDescent="0.25">
      <c r="A6" s="56" t="s">
        <v>95</v>
      </c>
      <c r="B6" s="80" t="s">
        <v>973</v>
      </c>
      <c r="C6" s="261" t="s">
        <v>97</v>
      </c>
      <c r="D6" s="261"/>
      <c r="E6" s="261"/>
      <c r="F6" s="261"/>
      <c r="G6" s="261"/>
      <c r="H6" s="261"/>
    </row>
    <row r="7" spans="1:8" ht="11.25" customHeight="1" x14ac:dyDescent="0.25">
      <c r="A7" s="59"/>
      <c r="B7" s="155" t="s">
        <v>1007</v>
      </c>
      <c r="C7" s="263" t="s">
        <v>5</v>
      </c>
      <c r="D7" s="263"/>
      <c r="E7" s="263"/>
      <c r="F7" s="263"/>
      <c r="G7" s="263"/>
      <c r="H7" s="263"/>
    </row>
    <row r="8" spans="1:8" ht="11.25" customHeight="1" x14ac:dyDescent="0.25">
      <c r="A8" s="56" t="s">
        <v>98</v>
      </c>
      <c r="B8" s="80" t="s">
        <v>296</v>
      </c>
      <c r="C8" s="261" t="s">
        <v>100</v>
      </c>
      <c r="D8" s="261"/>
      <c r="E8" s="261"/>
      <c r="F8" s="261"/>
      <c r="G8" s="261"/>
      <c r="H8" s="261"/>
    </row>
    <row r="9" spans="1:8" ht="11.25" customHeight="1" x14ac:dyDescent="0.25">
      <c r="A9" s="59"/>
      <c r="B9" s="155" t="s">
        <v>1008</v>
      </c>
      <c r="C9" s="263" t="s">
        <v>101</v>
      </c>
      <c r="D9" s="263"/>
      <c r="E9" s="263"/>
      <c r="F9" s="263"/>
      <c r="G9" s="263"/>
      <c r="H9" s="263"/>
    </row>
    <row r="10" spans="1:8" ht="11.25" customHeight="1" x14ac:dyDescent="0.25">
      <c r="A10" s="56" t="s">
        <v>79</v>
      </c>
      <c r="B10" s="57" t="s">
        <v>1009</v>
      </c>
      <c r="C10" s="273" t="s">
        <v>102</v>
      </c>
      <c r="D10" s="273"/>
      <c r="E10" s="273"/>
      <c r="F10" s="273"/>
      <c r="G10" s="273"/>
      <c r="H10" s="273"/>
    </row>
    <row r="11" spans="1:8" ht="10.5" customHeight="1" x14ac:dyDescent="0.25">
      <c r="A11" s="59"/>
      <c r="B11" s="155" t="s">
        <v>12</v>
      </c>
      <c r="C11" s="263" t="s">
        <v>103</v>
      </c>
      <c r="D11" s="263"/>
      <c r="E11" s="263"/>
      <c r="F11" s="263"/>
      <c r="G11" s="263"/>
      <c r="H11" s="263"/>
    </row>
    <row r="12" spans="1:8" ht="11.25" customHeight="1" x14ac:dyDescent="0.25">
      <c r="A12" s="56" t="s">
        <v>85</v>
      </c>
      <c r="B12" s="57" t="s">
        <v>975</v>
      </c>
      <c r="C12" s="274">
        <v>43983</v>
      </c>
      <c r="D12" s="273"/>
      <c r="E12" s="273"/>
      <c r="F12" s="273"/>
      <c r="G12" s="273"/>
      <c r="H12" s="273"/>
    </row>
    <row r="13" spans="1:8" ht="11.25" customHeight="1" x14ac:dyDescent="0.25">
      <c r="A13" s="59"/>
      <c r="B13" s="155" t="s">
        <v>15</v>
      </c>
      <c r="C13" s="343">
        <v>43983</v>
      </c>
      <c r="D13" s="343"/>
      <c r="E13" s="343"/>
      <c r="F13" s="343"/>
      <c r="G13" s="343"/>
      <c r="H13" s="343"/>
    </row>
    <row r="14" spans="1:8" ht="10.5" customHeight="1" x14ac:dyDescent="0.25">
      <c r="A14" s="156"/>
      <c r="B14" s="156"/>
      <c r="C14" s="276" t="s">
        <v>106</v>
      </c>
      <c r="D14" s="276"/>
      <c r="E14" s="276"/>
      <c r="F14" s="276"/>
      <c r="G14" s="276"/>
      <c r="H14" s="276"/>
    </row>
    <row r="15" spans="1:8" ht="31.5" x14ac:dyDescent="0.25">
      <c r="A15" s="33" t="s">
        <v>1010</v>
      </c>
      <c r="B15" s="317" t="s">
        <v>1011</v>
      </c>
      <c r="C15" s="317"/>
      <c r="D15" s="317"/>
      <c r="E15" s="34" t="s">
        <v>980</v>
      </c>
      <c r="F15" s="34" t="s">
        <v>1012</v>
      </c>
      <c r="G15" s="317" t="s">
        <v>1013</v>
      </c>
      <c r="H15" s="319"/>
    </row>
    <row r="16" spans="1:8" ht="15" customHeight="1" x14ac:dyDescent="0.25">
      <c r="A16" s="41" t="s">
        <v>24</v>
      </c>
      <c r="B16" s="329" t="s">
        <v>1014</v>
      </c>
      <c r="C16" s="329"/>
      <c r="D16" s="329"/>
      <c r="E16" s="43" t="s">
        <v>1015</v>
      </c>
      <c r="F16" s="146">
        <v>0</v>
      </c>
      <c r="G16" s="341">
        <v>0</v>
      </c>
      <c r="H16" s="342"/>
    </row>
    <row r="17" spans="1:8" ht="15" customHeight="1" x14ac:dyDescent="0.25">
      <c r="A17" s="41" t="s">
        <v>1016</v>
      </c>
      <c r="B17" s="329" t="s">
        <v>1017</v>
      </c>
      <c r="C17" s="329"/>
      <c r="D17" s="329"/>
      <c r="E17" s="43" t="s">
        <v>1018</v>
      </c>
      <c r="F17" s="146">
        <v>0</v>
      </c>
      <c r="G17" s="341">
        <v>0</v>
      </c>
      <c r="H17" s="342"/>
    </row>
    <row r="18" spans="1:8" ht="15" customHeight="1" x14ac:dyDescent="0.25">
      <c r="A18" s="41"/>
      <c r="B18" s="329" t="s">
        <v>1019</v>
      </c>
      <c r="C18" s="329"/>
      <c r="D18" s="329"/>
      <c r="E18" s="43" t="s">
        <v>1020</v>
      </c>
      <c r="F18" s="147">
        <v>111106113893</v>
      </c>
      <c r="G18" s="339">
        <v>0</v>
      </c>
      <c r="H18" s="340"/>
    </row>
    <row r="19" spans="1:8" ht="15" customHeight="1" x14ac:dyDescent="0.25">
      <c r="A19" s="41"/>
      <c r="B19" s="329" t="s">
        <v>1021</v>
      </c>
      <c r="C19" s="329"/>
      <c r="D19" s="329"/>
      <c r="E19" s="43" t="s">
        <v>1022</v>
      </c>
      <c r="F19" s="147">
        <v>1089275626</v>
      </c>
      <c r="G19" s="339">
        <v>0</v>
      </c>
      <c r="H19" s="340"/>
    </row>
    <row r="20" spans="1:8" ht="15" customHeight="1" x14ac:dyDescent="0.25">
      <c r="A20" s="41"/>
      <c r="B20" s="329" t="s">
        <v>1023</v>
      </c>
      <c r="C20" s="329"/>
      <c r="D20" s="329"/>
      <c r="E20" s="43" t="s">
        <v>1024</v>
      </c>
      <c r="F20" s="148">
        <v>10892.75</v>
      </c>
      <c r="G20" s="337">
        <v>0</v>
      </c>
      <c r="H20" s="338"/>
    </row>
    <row r="21" spans="1:8" ht="15" customHeight="1" x14ac:dyDescent="0.25">
      <c r="A21" s="41" t="s">
        <v>1025</v>
      </c>
      <c r="B21" s="329" t="s">
        <v>1026</v>
      </c>
      <c r="C21" s="329"/>
      <c r="D21" s="329"/>
      <c r="E21" s="43" t="s">
        <v>1027</v>
      </c>
      <c r="F21" s="146">
        <v>0</v>
      </c>
      <c r="G21" s="341">
        <v>0</v>
      </c>
      <c r="H21" s="342"/>
    </row>
    <row r="22" spans="1:8" ht="15" customHeight="1" x14ac:dyDescent="0.25">
      <c r="A22" s="41"/>
      <c r="B22" s="329" t="s">
        <v>1019</v>
      </c>
      <c r="C22" s="329"/>
      <c r="D22" s="329"/>
      <c r="E22" s="43" t="s">
        <v>1028</v>
      </c>
      <c r="F22" s="147">
        <v>696131174678</v>
      </c>
      <c r="G22" s="339">
        <v>111106113893</v>
      </c>
      <c r="H22" s="340"/>
    </row>
    <row r="23" spans="1:8" ht="15" customHeight="1" x14ac:dyDescent="0.25">
      <c r="A23" s="41"/>
      <c r="B23" s="329" t="s">
        <v>1021</v>
      </c>
      <c r="C23" s="329"/>
      <c r="D23" s="329"/>
      <c r="E23" s="43" t="s">
        <v>1029</v>
      </c>
      <c r="F23" s="147">
        <v>1200226163</v>
      </c>
      <c r="G23" s="339">
        <v>1089275626</v>
      </c>
      <c r="H23" s="340"/>
    </row>
    <row r="24" spans="1:8" ht="15" customHeight="1" x14ac:dyDescent="0.25">
      <c r="A24" s="41"/>
      <c r="B24" s="329" t="s">
        <v>1023</v>
      </c>
      <c r="C24" s="329"/>
      <c r="D24" s="329"/>
      <c r="E24" s="43" t="s">
        <v>1030</v>
      </c>
      <c r="F24" s="148">
        <v>12002.26</v>
      </c>
      <c r="G24" s="337">
        <v>10892.75</v>
      </c>
      <c r="H24" s="338"/>
    </row>
    <row r="25" spans="1:8" ht="22.5" customHeight="1" x14ac:dyDescent="0.25">
      <c r="A25" s="41" t="s">
        <v>1031</v>
      </c>
      <c r="B25" s="329" t="s">
        <v>1032</v>
      </c>
      <c r="C25" s="329"/>
      <c r="D25" s="329"/>
      <c r="E25" s="43" t="s">
        <v>1033</v>
      </c>
      <c r="F25" s="146">
        <v>0</v>
      </c>
      <c r="G25" s="341">
        <v>0</v>
      </c>
      <c r="H25" s="342"/>
    </row>
    <row r="26" spans="1:8" ht="22.5" customHeight="1" x14ac:dyDescent="0.25">
      <c r="A26" s="41"/>
      <c r="B26" s="329" t="s">
        <v>1034</v>
      </c>
      <c r="C26" s="329"/>
      <c r="D26" s="329"/>
      <c r="E26" s="43" t="s">
        <v>1035</v>
      </c>
      <c r="F26" s="148">
        <v>-8825.5300000000007</v>
      </c>
      <c r="G26" s="337">
        <v>892.76</v>
      </c>
      <c r="H26" s="338"/>
    </row>
    <row r="27" spans="1:8" ht="22.5" customHeight="1" x14ac:dyDescent="0.25">
      <c r="A27" s="41"/>
      <c r="B27" s="329" t="s">
        <v>1036</v>
      </c>
      <c r="C27" s="329"/>
      <c r="D27" s="329"/>
      <c r="E27" s="43" t="s">
        <v>1037</v>
      </c>
      <c r="F27" s="148">
        <v>9935.0400000000009</v>
      </c>
      <c r="G27" s="337">
        <v>10000</v>
      </c>
      <c r="H27" s="338"/>
    </row>
    <row r="28" spans="1:8" ht="32.25" customHeight="1" x14ac:dyDescent="0.25">
      <c r="A28" s="41"/>
      <c r="B28" s="329" t="s">
        <v>1038</v>
      </c>
      <c r="C28" s="329"/>
      <c r="D28" s="329"/>
      <c r="E28" s="43" t="s">
        <v>1039</v>
      </c>
      <c r="F28" s="147">
        <v>0</v>
      </c>
      <c r="G28" s="339">
        <v>0</v>
      </c>
      <c r="H28" s="340"/>
    </row>
    <row r="29" spans="1:8" ht="22.5" customHeight="1" x14ac:dyDescent="0.25">
      <c r="A29" s="41"/>
      <c r="B29" s="329" t="s">
        <v>1040</v>
      </c>
      <c r="C29" s="329"/>
      <c r="D29" s="329"/>
      <c r="E29" s="43" t="s">
        <v>1041</v>
      </c>
      <c r="F29" s="149">
        <v>9935.0400000000009</v>
      </c>
      <c r="G29" s="330">
        <v>10000</v>
      </c>
      <c r="H29" s="331"/>
    </row>
    <row r="30" spans="1:8" ht="22.5" customHeight="1" x14ac:dyDescent="0.25">
      <c r="A30" s="41" t="s">
        <v>1042</v>
      </c>
      <c r="B30" s="329" t="s">
        <v>1043</v>
      </c>
      <c r="C30" s="329"/>
      <c r="D30" s="329"/>
      <c r="E30" s="43" t="s">
        <v>1044</v>
      </c>
      <c r="F30" s="146">
        <v>0</v>
      </c>
      <c r="G30" s="341">
        <v>0</v>
      </c>
      <c r="H30" s="342"/>
    </row>
    <row r="31" spans="1:8" ht="15" customHeight="1" x14ac:dyDescent="0.25">
      <c r="A31" s="41"/>
      <c r="B31" s="329" t="s">
        <v>1045</v>
      </c>
      <c r="C31" s="329"/>
      <c r="D31" s="329"/>
      <c r="E31" s="43" t="s">
        <v>1046</v>
      </c>
      <c r="F31" s="147">
        <v>696131174678</v>
      </c>
      <c r="G31" s="339">
        <v>111106113893</v>
      </c>
      <c r="H31" s="340"/>
    </row>
    <row r="32" spans="1:8" ht="15" customHeight="1" x14ac:dyDescent="0.25">
      <c r="A32" s="41"/>
      <c r="B32" s="329" t="s">
        <v>1047</v>
      </c>
      <c r="C32" s="329"/>
      <c r="D32" s="329"/>
      <c r="E32" s="43" t="s">
        <v>1048</v>
      </c>
      <c r="F32" s="147">
        <v>109880505679</v>
      </c>
      <c r="G32" s="339">
        <v>110839519643</v>
      </c>
      <c r="H32" s="340"/>
    </row>
    <row r="33" spans="1:8" ht="32.25" customHeight="1" x14ac:dyDescent="0.25">
      <c r="A33" s="41" t="s">
        <v>44</v>
      </c>
      <c r="B33" s="329" t="s">
        <v>1049</v>
      </c>
      <c r="C33" s="329"/>
      <c r="D33" s="329"/>
      <c r="E33" s="43" t="s">
        <v>1050</v>
      </c>
      <c r="F33" s="146">
        <v>0</v>
      </c>
      <c r="G33" s="341">
        <v>0</v>
      </c>
      <c r="H33" s="342"/>
    </row>
    <row r="34" spans="1:8" ht="15" customHeight="1" x14ac:dyDescent="0.25">
      <c r="A34" s="41" t="s">
        <v>1051</v>
      </c>
      <c r="B34" s="329" t="s">
        <v>1017</v>
      </c>
      <c r="C34" s="329"/>
      <c r="D34" s="329"/>
      <c r="E34" s="43" t="s">
        <v>1052</v>
      </c>
      <c r="F34" s="148">
        <v>0</v>
      </c>
      <c r="G34" s="337">
        <v>0</v>
      </c>
      <c r="H34" s="338"/>
    </row>
    <row r="35" spans="1:8" ht="15" customHeight="1" x14ac:dyDescent="0.25">
      <c r="A35" s="41" t="s">
        <v>1053</v>
      </c>
      <c r="B35" s="329" t="s">
        <v>1054</v>
      </c>
      <c r="C35" s="329"/>
      <c r="D35" s="329"/>
      <c r="E35" s="43" t="s">
        <v>1055</v>
      </c>
      <c r="F35" s="148">
        <v>12250</v>
      </c>
      <c r="G35" s="337">
        <v>0</v>
      </c>
      <c r="H35" s="338"/>
    </row>
    <row r="36" spans="1:8" ht="22.5" customHeight="1" x14ac:dyDescent="0.25">
      <c r="A36" s="41" t="s">
        <v>1056</v>
      </c>
      <c r="B36" s="329" t="s">
        <v>1057</v>
      </c>
      <c r="C36" s="329"/>
      <c r="D36" s="329"/>
      <c r="E36" s="43" t="s">
        <v>1058</v>
      </c>
      <c r="F36" s="148">
        <v>12250</v>
      </c>
      <c r="G36" s="337">
        <v>0</v>
      </c>
      <c r="H36" s="338"/>
    </row>
    <row r="37" spans="1:8" ht="32.25" customHeight="1" x14ac:dyDescent="0.25">
      <c r="A37" s="41" t="s">
        <v>1059</v>
      </c>
      <c r="B37" s="329" t="s">
        <v>1060</v>
      </c>
      <c r="C37" s="329"/>
      <c r="D37" s="329"/>
      <c r="E37" s="43" t="s">
        <v>1061</v>
      </c>
      <c r="F37" s="148">
        <v>0</v>
      </c>
      <c r="G37" s="337">
        <v>0</v>
      </c>
      <c r="H37" s="338"/>
    </row>
    <row r="38" spans="1:8" ht="15" customHeight="1" x14ac:dyDescent="0.25">
      <c r="A38" s="41"/>
      <c r="B38" s="329" t="s">
        <v>1062</v>
      </c>
      <c r="C38" s="329"/>
      <c r="D38" s="329"/>
      <c r="E38" s="43" t="s">
        <v>1063</v>
      </c>
      <c r="F38" s="149">
        <v>247.74</v>
      </c>
      <c r="G38" s="330">
        <v>0</v>
      </c>
      <c r="H38" s="331"/>
    </row>
    <row r="39" spans="1:8" ht="22.5" customHeight="1" x14ac:dyDescent="0.25">
      <c r="A39" s="41"/>
      <c r="B39" s="329" t="s">
        <v>1064</v>
      </c>
      <c r="C39" s="329"/>
      <c r="D39" s="329"/>
      <c r="E39" s="43" t="s">
        <v>1065</v>
      </c>
      <c r="F39" s="150">
        <v>2.06E-2</v>
      </c>
      <c r="G39" s="335">
        <v>0</v>
      </c>
      <c r="H39" s="336"/>
    </row>
    <row r="40" spans="1:8" ht="22.5" customHeight="1" x14ac:dyDescent="0.25">
      <c r="A40" s="41" t="s">
        <v>1066</v>
      </c>
      <c r="B40" s="329" t="s">
        <v>1067</v>
      </c>
      <c r="C40" s="329"/>
      <c r="D40" s="329"/>
      <c r="E40" s="43" t="s">
        <v>1068</v>
      </c>
      <c r="F40" s="148">
        <v>0</v>
      </c>
      <c r="G40" s="337">
        <v>0</v>
      </c>
      <c r="H40" s="338"/>
    </row>
    <row r="41" spans="1:8" ht="15" customHeight="1" x14ac:dyDescent="0.25">
      <c r="A41" s="41"/>
      <c r="B41" s="329" t="s">
        <v>1069</v>
      </c>
      <c r="C41" s="329"/>
      <c r="D41" s="329"/>
      <c r="E41" s="43" t="s">
        <v>1070</v>
      </c>
      <c r="F41" s="149">
        <v>12500</v>
      </c>
      <c r="G41" s="330">
        <v>0</v>
      </c>
      <c r="H41" s="331"/>
    </row>
    <row r="42" spans="1:8" ht="15" customHeight="1" x14ac:dyDescent="0.25">
      <c r="A42" s="93"/>
      <c r="B42" s="332" t="s">
        <v>1071</v>
      </c>
      <c r="C42" s="332"/>
      <c r="D42" s="332"/>
      <c r="E42" s="95" t="s">
        <v>1072</v>
      </c>
      <c r="F42" s="151">
        <v>10500</v>
      </c>
      <c r="G42" s="333">
        <v>0</v>
      </c>
      <c r="H42" s="334"/>
    </row>
    <row r="43" spans="1:8" ht="9.75" customHeight="1" x14ac:dyDescent="0.25">
      <c r="A43" s="272"/>
      <c r="B43" s="272"/>
      <c r="C43" s="272"/>
      <c r="D43" s="272"/>
      <c r="E43" s="272"/>
      <c r="F43" s="272"/>
      <c r="G43" s="272"/>
      <c r="H43" s="272"/>
    </row>
    <row r="44" spans="1:8" ht="9.75" customHeight="1" x14ac:dyDescent="0.25">
      <c r="A44" s="266" t="s">
        <v>610</v>
      </c>
      <c r="B44" s="266"/>
      <c r="C44" s="266"/>
      <c r="D44" s="266" t="s">
        <v>91</v>
      </c>
      <c r="E44" s="266"/>
      <c r="F44" s="266"/>
      <c r="G44" s="266"/>
      <c r="H44" s="266"/>
    </row>
    <row r="45" spans="1:8" ht="10.5" customHeight="1" x14ac:dyDescent="0.25">
      <c r="A45" s="281" t="s">
        <v>19</v>
      </c>
      <c r="B45" s="281"/>
      <c r="C45" s="281"/>
      <c r="D45" s="281" t="s">
        <v>20</v>
      </c>
      <c r="E45" s="281"/>
      <c r="F45" s="281"/>
      <c r="G45" s="281"/>
      <c r="H45" s="281"/>
    </row>
    <row r="46" spans="1:8" ht="33.75" customHeight="1" x14ac:dyDescent="0.25">
      <c r="A46" s="272"/>
      <c r="B46" s="272"/>
      <c r="C46" s="272"/>
      <c r="D46" s="272"/>
      <c r="E46" s="272"/>
      <c r="F46" s="272"/>
      <c r="G46" s="272"/>
      <c r="H46" s="272"/>
    </row>
    <row r="47" spans="1:8" ht="15.75" customHeight="1" x14ac:dyDescent="0.25">
      <c r="A47" s="272"/>
      <c r="B47" s="272"/>
      <c r="C47" s="272"/>
      <c r="D47" s="272"/>
      <c r="E47" s="272"/>
      <c r="F47" s="272"/>
      <c r="G47" s="272"/>
      <c r="H47" s="272"/>
    </row>
    <row r="48" spans="1:8" ht="15.75" customHeight="1" x14ac:dyDescent="0.25">
      <c r="A48" s="272"/>
      <c r="B48" s="272"/>
      <c r="C48" s="272"/>
      <c r="D48" s="272"/>
      <c r="E48" s="272"/>
      <c r="F48" s="272"/>
      <c r="G48" s="272"/>
      <c r="H48" s="272"/>
    </row>
    <row r="49" spans="1:8" ht="13.5" customHeight="1" x14ac:dyDescent="0.25">
      <c r="A49" s="266" t="s">
        <v>292</v>
      </c>
      <c r="B49" s="266"/>
      <c r="C49" s="266"/>
      <c r="D49" s="266" t="s">
        <v>293</v>
      </c>
      <c r="E49" s="266"/>
      <c r="F49" s="266"/>
      <c r="G49" s="266"/>
      <c r="H49" s="266"/>
    </row>
    <row r="50" spans="1:8" ht="13.5" customHeight="1" x14ac:dyDescent="0.25">
      <c r="A50" s="266" t="s">
        <v>1073</v>
      </c>
      <c r="B50" s="266"/>
      <c r="C50" s="266"/>
      <c r="D50" s="266" t="s">
        <v>1003</v>
      </c>
      <c r="E50" s="266"/>
      <c r="F50" s="266"/>
      <c r="G50" s="266"/>
      <c r="H50" s="266"/>
    </row>
    <row r="51" spans="1:8" ht="13.5" customHeight="1" x14ac:dyDescent="0.25">
      <c r="A51" s="266" t="s">
        <v>1074</v>
      </c>
      <c r="B51" s="266"/>
      <c r="C51" s="266"/>
      <c r="D51" s="266" t="s">
        <v>1075</v>
      </c>
      <c r="E51" s="266"/>
      <c r="F51" s="266" t="s">
        <v>1075</v>
      </c>
      <c r="G51" s="266"/>
      <c r="H51" s="266"/>
    </row>
    <row r="52" spans="1:8" ht="11.25" customHeight="1" x14ac:dyDescent="0.25"/>
  </sheetData>
  <mergeCells count="88">
    <mergeCell ref="C12:H12"/>
    <mergeCell ref="A2:H2"/>
    <mergeCell ref="A3:H3"/>
    <mergeCell ref="A4:H4"/>
    <mergeCell ref="B5:H5"/>
    <mergeCell ref="C6:H6"/>
    <mergeCell ref="C7:H7"/>
    <mergeCell ref="C8:H8"/>
    <mergeCell ref="C9:H9"/>
    <mergeCell ref="C10:H10"/>
    <mergeCell ref="C11:H11"/>
    <mergeCell ref="C13:H13"/>
    <mergeCell ref="C14:H14"/>
    <mergeCell ref="B15:D15"/>
    <mergeCell ref="G15:H15"/>
    <mergeCell ref="B16:D16"/>
    <mergeCell ref="G16:H16"/>
    <mergeCell ref="B17:D17"/>
    <mergeCell ref="G17:H17"/>
    <mergeCell ref="B18:D18"/>
    <mergeCell ref="G18:H18"/>
    <mergeCell ref="B19:D19"/>
    <mergeCell ref="G19:H19"/>
    <mergeCell ref="B20:D20"/>
    <mergeCell ref="G20:H20"/>
    <mergeCell ref="B21:D21"/>
    <mergeCell ref="G21:H21"/>
    <mergeCell ref="B22:D22"/>
    <mergeCell ref="G22:H22"/>
    <mergeCell ref="B23:D23"/>
    <mergeCell ref="G23:H23"/>
    <mergeCell ref="B24:D24"/>
    <mergeCell ref="G24:H24"/>
    <mergeCell ref="B25:D25"/>
    <mergeCell ref="G25:H25"/>
    <mergeCell ref="B26:D26"/>
    <mergeCell ref="G26:H26"/>
    <mergeCell ref="B27:D27"/>
    <mergeCell ref="G27:H27"/>
    <mergeCell ref="B28:D28"/>
    <mergeCell ref="G28:H28"/>
    <mergeCell ref="B29:D29"/>
    <mergeCell ref="G29:H29"/>
    <mergeCell ref="B30:D30"/>
    <mergeCell ref="G30:H30"/>
    <mergeCell ref="B31:D31"/>
    <mergeCell ref="G31:H31"/>
    <mergeCell ref="B32:D32"/>
    <mergeCell ref="G32:H32"/>
    <mergeCell ref="B33:D33"/>
    <mergeCell ref="G33:H33"/>
    <mergeCell ref="B34:D34"/>
    <mergeCell ref="G34:H34"/>
    <mergeCell ref="B35:D35"/>
    <mergeCell ref="G35:H35"/>
    <mergeCell ref="B36:D36"/>
    <mergeCell ref="G36:H36"/>
    <mergeCell ref="B37:D37"/>
    <mergeCell ref="G37:H37"/>
    <mergeCell ref="B38:D38"/>
    <mergeCell ref="G38:H38"/>
    <mergeCell ref="B39:D39"/>
    <mergeCell ref="G39:H39"/>
    <mergeCell ref="B40:D40"/>
    <mergeCell ref="G40:H40"/>
    <mergeCell ref="D46:H46"/>
    <mergeCell ref="B41:D41"/>
    <mergeCell ref="G41:H41"/>
    <mergeCell ref="B42:D42"/>
    <mergeCell ref="G42:H42"/>
    <mergeCell ref="A43:C43"/>
    <mergeCell ref="D43:H43"/>
    <mergeCell ref="A50:C50"/>
    <mergeCell ref="D50:H50"/>
    <mergeCell ref="C1:H1"/>
    <mergeCell ref="A51:C51"/>
    <mergeCell ref="D51:H51"/>
    <mergeCell ref="A47:C47"/>
    <mergeCell ref="D47:H47"/>
    <mergeCell ref="A48:C48"/>
    <mergeCell ref="D48:H48"/>
    <mergeCell ref="A49:C49"/>
    <mergeCell ref="D49:H49"/>
    <mergeCell ref="A44:C44"/>
    <mergeCell ref="D44:H44"/>
    <mergeCell ref="A45:C45"/>
    <mergeCell ref="D45:H45"/>
    <mergeCell ref="A46:C46"/>
  </mergeCells>
  <printOptions horizontalCentered="1"/>
  <pageMargins left="0" right="0" top="0.31" bottom="0.28000000000000003" header="0.27" footer="0.28000000000000003"/>
  <pageSetup paperSize="9" scale="9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iOPDjPU4tCThiznVql8SUhc5cgE=</DigestValue>
    </Reference>
    <Reference URI="#idOfficeObject" Type="http://www.w3.org/2000/09/xmldsig#Object">
      <DigestMethod Algorithm="http://www.w3.org/2000/09/xmldsig#sha1"/>
      <DigestValue>0I1IvGPNuXO00L/OfkmEUvFCEJg=</DigestValue>
    </Reference>
    <Reference URI="#idSignedProperties" Type="http://uri.etsi.org/01903#SignedProperties">
      <Transforms>
        <Transform Algorithm="http://www.w3.org/TR/2001/REC-xml-c14n-20010315"/>
      </Transforms>
      <DigestMethod Algorithm="http://www.w3.org/2000/09/xmldsig#sha1"/>
      <DigestValue>a5o4xL7Q2jDthfx5M0U2vsre/JQ=</DigestValue>
    </Reference>
  </SignedInfo>
  <SignatureValue>JoPqzwfrIjxT1doGq30o/X3xex4H5juBgDCkxBjhQktBbSArl4LvLKNc1fI57ju/3NzN7/Gd41mE
AziEEX7dsC3SKOTqEygbs4oVbYur1fUGNODUWkoj6Qw42yjCarX6pg8l6jJhZ3i7Rn/JFzMIZevB
iibW2ZgKgGrWMsgzECs=</SignatureValue>
  <KeyInfo>
    <X509Data>
      <X509Certificate>MIIF+jCCA+KgAwIBAgIQVAEBAUGGaUrhhBIYpzYXBjANBgkqhkiG9w0BAQUFADBpMQswCQYDVQQG
EwJWTjETMBEGA1UEChMKVk5QVCBHcm91cDEeMBwGA1UECxMVVk5QVC1DQSBUcnVzdCBOZXR3b3Jr
MSUwIwYDVQQDExxWTlBUIENlcnRpZmljYXRpb24gQXV0aG9yaXR5MB4XDTE5MTExNDA0MDkwMFoX
DTIwMDcxMDEzNTgwMFowgcoxCzAJBgNVBAYTAlZOMRcwFQYDVQQIDA5I4buTIENow60gTWluaDER
MA8GA1UEBwwIUXXhuq1uIDExazBpBgNVBAMMYk5Hw4JOIEjDgE5HIFRIxq/GoE5HIE3huqBJIEPh
u5QgUEjhuqZOIE5HT+G6oEkgVEjGr8agTkcgVknhu4ZUIE5BTSAtIENISSBOSMOBTkggVFAuIEjh
u5IgQ0jDjSBNSU5IMSIwIAYKCZImiZPyLGQBAQwSTVNUOjAxMDAxMTI0MzctMDAyMIGfMA0GCSqG
SIb3DQEBAQUAA4GNADCBiQKBgQDBSyYORpqWS5CNq6PZt8ar43oaVdcto2l5A/tdy8TtvfdmkanV
HSc69MnnNYmcRBztUoJ5lj5i7H92X2uMXqGKVNI5GYhB8/l0sSA+3J+b5z/IHwOL6QG4/1XBpCyM
gK0CcR0BVmMPSX2RUVlxdi0TajR74fexgED0GoWuEHM/ZQIDAQABo4IBvjCCAbowcAYIKwYBBQUH
AQEEZDBiMDIGCCsGAQUFBzAChiZodHRwOi8vcHViLnZucHQtY2Eudm4vY2VydHMvdm5wdGNhLmNl
cjAsBggrBgEFBQcwAYYgaHR0cDovL29jc3Audm5wdC1jYS52bi9yZXNwb25kZXIwHQYDVR0OBBYE
FAPV6X854fYF7v9Gzv9OCxNAYkwxMAwGA1UdEwEB/wQCMAAwHwYDVR0jBBgwFoAUBmnA1dUCihWN
Rn3pfOJoClWsaq8waAYDVR0gBGEwXzBdBg4rBgEEAYHtAwEBAwEBATBLMCIGCCsGAQUFBwICMBYe
FABPAEkARAAtAFMAVAAtADEALgAwMCUGCCsGAQUFBwIBFhlodHRwOi8vcHViLnZucHQtY2Eudm4v
cnBhMDEGA1UdHwQqMCgwJqAkoCKGIGh0dHA6Ly9jcmwudm5wdC1jYS52bi92bnB0Y2EuY3JsMA4G
A1UdDwEB/wQEAwIE8DAgBgNVHSUEGTAXBgorBgEEAYI3CgMMBgkqhkiG9y8BAQUwKQYDVR0RBCIw
IIEebGluaGNodC5oY21AdmlldGNvbWJhbmsuY29tLnZuMA0GCSqGSIb3DQEBBQUAA4ICAQADxOpt
w+9o+kTqK/LJOrTdBkbc3ewWAAn43F1GLUlDyHuVyJJgF5SdbYhZjaD7tsrNCcrOddRy8rjvd+qQ
YP2jE3zsTmYmIaYkx2S3B72OiqtwWYc+Az0Kmb3DW7Szkusu+wzd9FZVusZGHTUFr2Qrn/2aKN0C
0nTbCfrx1d3YJOPC1fWEmbxLMRUqA+Zna6GGcgN4Z30QpbHorYgedeDpLNg3738i5VEd8elZJvo0
ad+aK8Ooof9OHFHXDzH5G3ux024sMPNH2tqOAGLNxNaOdS0C+idX3hnF5vISUzLqUWpnF1c/G1Z1
8lLjFoP+DsynelBgFF6FApRlMDCoeqseaawOb1ZQDE23cBpe6NVFY2INO97j7koCPiTsDOpyzXK0
mv+ZLr7/bV5Qkg8xOxXtLpPuyu+YnFzI09DRWRf6jZGmXRroqsVTEjYuHWqr4J40D9VzEFC+dpbR
2WRMP4MuohXKjd3uCuI8k5WUwoKZvu0iz1pybwqUmAKFSyvklsiWN6ag1sQLhjSwhgD7X7rzUNh7
RXoOv6gmjFqni71usoMXodSJ3p5OhSOLKlfe4/UOT0v4m89+OEUopb6NytO0UmfBzg+G4/RoZm6Y
vMM9NE8UEYKwsOXlMHfCQ5F1O9U3VPydJbBlyKU7mysRzenw3sHq1DdLwUvXsJODpjnatA==</X509Certificate>
    </X509Data>
  </KeyInfo>
  <Object xmlns:mdssi="http://schemas.openxmlformats.org/package/2006/digital-signature" Id="idPackageObject">
    <Manifest>
      <Reference URI="/xl/printerSettings/printerSettings4.bin?ContentType=application/vnd.openxmlformats-officedocument.spreadsheetml.printerSettings">
        <DigestMethod Algorithm="http://www.w3.org/2000/09/xmldsig#sha1"/>
        <DigestValue>2XssEK7xc9nvmQbHdtpb/QCnwy8=</DigestValue>
      </Reference>
      <Reference URI="/xl/drawings/drawing5.xml?ContentType=application/vnd.openxmlformats-officedocument.drawing+xml">
        <DigestMethod Algorithm="http://www.w3.org/2000/09/xmldsig#sha1"/>
        <DigestValue>QEMpEV4sEhQnlx+M5f4bDCNBDxY=</DigestValue>
      </Reference>
      <Reference URI="/xl/sharedStrings.xml?ContentType=application/vnd.openxmlformats-officedocument.spreadsheetml.sharedStrings+xml">
        <DigestMethod Algorithm="http://www.w3.org/2000/09/xmldsig#sha1"/>
        <DigestValue>EfvVUA1Hc4fnz2s95MAbYsNyRNE=</DigestValue>
      </Reference>
      <Reference URI="/xl/worksheets/sheet6.xml?ContentType=application/vnd.openxmlformats-officedocument.spreadsheetml.worksheet+xml">
        <DigestMethod Algorithm="http://www.w3.org/2000/09/xmldsig#sha1"/>
        <DigestValue>s2FVu/x3fHD5rLUB13/Lj+PTq8E=</DigestValue>
      </Reference>
      <Reference URI="/xl/worksheets/sheet5.xml?ContentType=application/vnd.openxmlformats-officedocument.spreadsheetml.worksheet+xml">
        <DigestMethod Algorithm="http://www.w3.org/2000/09/xmldsig#sha1"/>
        <DigestValue>zuYiDgNbMSDzeZsunOAA9rc3WS0=</DigestValue>
      </Reference>
      <Reference URI="/xl/worksheets/sheet10.xml?ContentType=application/vnd.openxmlformats-officedocument.spreadsheetml.worksheet+xml">
        <DigestMethod Algorithm="http://www.w3.org/2000/09/xmldsig#sha1"/>
        <DigestValue>c12SjTzBJVrs0KBUebV53aKKFIc=</DigestValue>
      </Reference>
      <Reference URI="/xl/worksheets/sheet11.xml?ContentType=application/vnd.openxmlformats-officedocument.spreadsheetml.worksheet+xml">
        <DigestMethod Algorithm="http://www.w3.org/2000/09/xmldsig#sha1"/>
        <DigestValue>W/rCgL9uPKk+sLCq+fFDCJCCtqM=</DigestValue>
      </Reference>
      <Reference URI="/xl/drawings/drawing4.xml?ContentType=application/vnd.openxmlformats-officedocument.drawing+xml">
        <DigestMethod Algorithm="http://www.w3.org/2000/09/xmldsig#sha1"/>
        <DigestValue>+5ueHrq6Y38pHxVZa9L+K74SXJk=</DigestValue>
      </Reference>
      <Reference URI="/xl/printerSettings/printerSettings1.bin?ContentType=application/vnd.openxmlformats-officedocument.spreadsheetml.printerSettings">
        <DigestMethod Algorithm="http://www.w3.org/2000/09/xmldsig#sha1"/>
        <DigestValue>2XssEK7xc9nvmQbHdtpb/QCnwy8=</DigestValue>
      </Reference>
      <Reference URI="/xl/drawings/drawing6.xml?ContentType=application/vnd.openxmlformats-officedocument.drawing+xml">
        <DigestMethod Algorithm="http://www.w3.org/2000/09/xmldsig#sha1"/>
        <DigestValue>kHhlchgIF03kjn+4KsCo8LWZYB0=</DigestValue>
      </Reference>
      <Reference URI="/xl/worksheets/sheet8.xml?ContentType=application/vnd.openxmlformats-officedocument.spreadsheetml.worksheet+xml">
        <DigestMethod Algorithm="http://www.w3.org/2000/09/xmldsig#sha1"/>
        <DigestValue>HQy8UF7MrnroMooFd8pFHfUfU5o=</DigestValue>
      </Reference>
      <Reference URI="/xl/worksheets/sheet9.xml?ContentType=application/vnd.openxmlformats-officedocument.spreadsheetml.worksheet+xml">
        <DigestMethod Algorithm="http://www.w3.org/2000/09/xmldsig#sha1"/>
        <DigestValue>5DVvPj4kn7R1E6Y5R/TdZCTvU2k=</DigestValue>
      </Reference>
      <Reference URI="/xl/worksheets/sheet7.xml?ContentType=application/vnd.openxmlformats-officedocument.spreadsheetml.worksheet+xml">
        <DigestMethod Algorithm="http://www.w3.org/2000/09/xmldsig#sha1"/>
        <DigestValue>rHs2RtFpt2TU/DZN/LehDRyhDfo=</DigestValue>
      </Reference>
      <Reference URI="/xl/printerSettings/printerSettings5.bin?ContentType=application/vnd.openxmlformats-officedocument.spreadsheetml.printerSettings">
        <DigestMethod Algorithm="http://www.w3.org/2000/09/xmldsig#sha1"/>
        <DigestValue>2XssEK7xc9nvmQbHdtpb/QCnwy8=</DigestValue>
      </Reference>
      <Reference URI="/xl/calcChain.xml?ContentType=application/vnd.openxmlformats-officedocument.spreadsheetml.calcChain+xml">
        <DigestMethod Algorithm="http://www.w3.org/2000/09/xmldsig#sha1"/>
        <DigestValue>3g5jZbdNWo6XAW2HjhnACFueduw=</DigestValue>
      </Reference>
      <Reference URI="/xl/printerSettings/printerSettings6.bin?ContentType=application/vnd.openxmlformats-officedocument.spreadsheetml.printerSettings">
        <DigestMethod Algorithm="http://www.w3.org/2000/09/xmldsig#sha1"/>
        <DigestValue>VmszUhRLXeDwnhBYKgYVJnMsm4Y=</DigestValue>
      </Reference>
      <Reference URI="/xl/printerSettings/printerSettings10.bin?ContentType=application/vnd.openxmlformats-officedocument.spreadsheetml.printerSettings">
        <DigestMethod Algorithm="http://www.w3.org/2000/09/xmldsig#sha1"/>
        <DigestValue>2XssEK7xc9nvmQbHdtpb/QCnwy8=</DigestValue>
      </Reference>
      <Reference URI="/xl/printerSettings/printerSettings9.bin?ContentType=application/vnd.openxmlformats-officedocument.spreadsheetml.printerSettings">
        <DigestMethod Algorithm="http://www.w3.org/2000/09/xmldsig#sha1"/>
        <DigestValue>2XssEK7xc9nvmQbHdtpb/QCnwy8=</DigestValue>
      </Reference>
      <Reference URI="/xl/printerSettings/printerSettings7.bin?ContentType=application/vnd.openxmlformats-officedocument.spreadsheetml.printerSettings">
        <DigestMethod Algorithm="http://www.w3.org/2000/09/xmldsig#sha1"/>
        <DigestValue>2XssEK7xc9nvmQbHdtpb/QCnwy8=</DigestValue>
      </Reference>
      <Reference URI="/xl/printerSettings/printerSettings2.bin?ContentType=application/vnd.openxmlformats-officedocument.spreadsheetml.printerSettings">
        <DigestMethod Algorithm="http://www.w3.org/2000/09/xmldsig#sha1"/>
        <DigestValue>2XssEK7xc9nvmQbHdtpb/QCnwy8=</DigestValue>
      </Reference>
      <Reference URI="/xl/printerSettings/printerSettings3.bin?ContentType=application/vnd.openxmlformats-officedocument.spreadsheetml.printerSettings">
        <DigestMethod Algorithm="http://www.w3.org/2000/09/xmldsig#sha1"/>
        <DigestValue>2XssEK7xc9nvmQbHdtpb/QCnwy8=</DigestValue>
      </Reference>
      <Reference URI="/xl/printerSettings/printerSettings8.bin?ContentType=application/vnd.openxmlformats-officedocument.spreadsheetml.printerSettings">
        <DigestMethod Algorithm="http://www.w3.org/2000/09/xmldsig#sha1"/>
        <DigestValue>2XssEK7xc9nvmQbHdtpb/QCnwy8=</DigestValue>
      </Reference>
      <Reference URI="/xl/drawings/drawing2.xml?ContentType=application/vnd.openxmlformats-officedocument.drawing+xml">
        <DigestMethod Algorithm="http://www.w3.org/2000/09/xmldsig#sha1"/>
        <DigestValue>tIdp4b9YItWGJKiliuvNKq0GUY4=</DigestValue>
      </Reference>
      <Reference URI="/xl/media/image1.png?ContentType=image/png">
        <DigestMethod Algorithm="http://www.w3.org/2000/09/xmldsig#sha1"/>
        <DigestValue>bzOsNl0406c+trvD/7I6QcPD8g4=</DigestValue>
      </Reference>
      <Reference URI="/xl/styles.xml?ContentType=application/vnd.openxmlformats-officedocument.spreadsheetml.styles+xml">
        <DigestMethod Algorithm="http://www.w3.org/2000/09/xmldsig#sha1"/>
        <DigestValue>s+Lv0KVcJnTTJ4dsVnlYR/vno20=</DigestValue>
      </Reference>
      <Reference URI="/xl/worksheets/sheet3.xml?ContentType=application/vnd.openxmlformats-officedocument.spreadsheetml.worksheet+xml">
        <DigestMethod Algorithm="http://www.w3.org/2000/09/xmldsig#sha1"/>
        <DigestValue>7ZyXWCkg5D3cC45UR3QI8efORbA=</DigestValue>
      </Reference>
      <Reference URI="/xl/drawings/drawing9.xml?ContentType=application/vnd.openxmlformats-officedocument.drawing+xml">
        <DigestMethod Algorithm="http://www.w3.org/2000/09/xmldsig#sha1"/>
        <DigestValue>25LqeLID1lBcxeoHG1K9AV4STIY=</DigestValue>
      </Reference>
      <Reference URI="/xl/worksheets/sheet1.xml?ContentType=application/vnd.openxmlformats-officedocument.spreadsheetml.worksheet+xml">
        <DigestMethod Algorithm="http://www.w3.org/2000/09/xmldsig#sha1"/>
        <DigestValue>wzlCzuKmwJRwUmmBVT3DI/0dp0g=</DigestValue>
      </Reference>
      <Reference URI="/xl/drawings/drawing8.xml?ContentType=application/vnd.openxmlformats-officedocument.drawing+xml">
        <DigestMethod Algorithm="http://www.w3.org/2000/09/xmldsig#sha1"/>
        <DigestValue>hSkXvPSbb3Evx1T8L32i2TnWW+E=</DigestValue>
      </Reference>
      <Reference URI="/xl/drawings/drawing7.xml?ContentType=application/vnd.openxmlformats-officedocument.drawing+xml">
        <DigestMethod Algorithm="http://www.w3.org/2000/09/xmldsig#sha1"/>
        <DigestValue>hSkXvPSbb3Evx1T8L32i2TnWW+E=</DigestValue>
      </Reference>
      <Reference URI="/xl/drawings/drawing1.xml?ContentType=application/vnd.openxmlformats-officedocument.drawing+xml">
        <DigestMethod Algorithm="http://www.w3.org/2000/09/xmldsig#sha1"/>
        <DigestValue>zaYpx5sNkI15EnZH/AZI1b6SS3k=</DigestValue>
      </Reference>
      <Reference URI="/xl/worksheets/sheet4.xml?ContentType=application/vnd.openxmlformats-officedocument.spreadsheetml.worksheet+xml">
        <DigestMethod Algorithm="http://www.w3.org/2000/09/xmldsig#sha1"/>
        <DigestValue>CerI64nMjtreeh9zQF6lhTZSqZI=</DigestValue>
      </Reference>
      <Reference URI="/xl/workbook.xml?ContentType=application/vnd.openxmlformats-officedocument.spreadsheetml.sheet.main+xml">
        <DigestMethod Algorithm="http://www.w3.org/2000/09/xmldsig#sha1"/>
        <DigestValue>enDCFp9G6rFvwlcZx/5/Lknj4qg=</DigestValue>
      </Reference>
      <Reference URI="/xl/worksheets/sheet2.xml?ContentType=application/vnd.openxmlformats-officedocument.spreadsheetml.worksheet+xml">
        <DigestMethod Algorithm="http://www.w3.org/2000/09/xmldsig#sha1"/>
        <DigestValue>2fEUHMnVqXImWw6KY4x0+JCthzU=</DigestValue>
      </Reference>
      <Reference URI="/xl/theme/theme1.xml?ContentType=application/vnd.openxmlformats-officedocument.theme+xml">
        <DigestMethod Algorithm="http://www.w3.org/2000/09/xmldsig#sha1"/>
        <DigestValue>9qmLS+LilE9mSl2hTMj5oHE8VR8=</DigestValue>
      </Reference>
      <Reference URI="/xl/drawings/drawing3.xml?ContentType=application/vnd.openxmlformats-officedocument.drawing+xml">
        <DigestMethod Algorithm="http://www.w3.org/2000/09/xmldsig#sha1"/>
        <DigestValue>XuU/Y+EOA0zcbXsh144M8bFxbsA=</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e6EjjVXi7TgJboLDkxdcAGm6NaA=</DigestValue>
      </Reference>
    </Manifest>
    <SignatureProperties>
      <SignatureProperty Id="idSignatureTime" Target="#idPackageSignature">
        <mdssi:SignatureTime>
          <mdssi:Format>YYYY-MM-DDThh:mm:ssTZD</mdssi:Format>
          <mdssi:Value>2020-06-04T04:27:09Z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2020-06-04T04:27:09Z</xd:SigningTime>
          <xd:SigningCertificate>
            <xd:Cert>
              <xd:CertDigest>
                <DigestMethod Algorithm="http://www.w3.org/2000/09/xmldsig#sha1"/>
                <DigestValue>XX4npWaelmjOUI8FZ3+ERy6hLlA=</DigestValue>
              </xd:CertDigest>
              <xd:IssuerSerial>
                <X509IssuerName>CN=VNPT Certification Authority, OU=VNPT-CA Trust Network, O=VNPT Group, C=VN</X509IssuerName>
                <X509SerialNumber>111660364324708253245488770897002501894</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BCThayDoiNAV_PL15.229</vt:lpstr>
      <vt:lpstr>Sheet13</vt:lpstr>
      <vt:lpstr>BCDanhMucDauTu_06136!Print_Area</vt:lpstr>
      <vt:lpstr>BCGiaodichTaiSan_06141!Print_Area</vt:lpstr>
      <vt:lpstr>BCKetQuaHoatDong_06135!Print_Area</vt:lpstr>
      <vt:lpstr>BCTaiSan_06134!Print_Area</vt:lpstr>
      <vt:lpstr>BCTinhHinhTaiChinh_06105!Print_Area</vt:lpstr>
      <vt:lpstr>BCThayDoiNAV_PL15.229!Print_Area</vt:lpstr>
      <vt:lpstr>BCThuNhap_06203!Print_Area</vt:lpstr>
      <vt:lpstr>GTTSRong_06107!Print_Area</vt:lpstr>
      <vt:lpstr>Khac_06137!Print_Area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2020-06-04T04:26:09Z</dcterms:modified>
</cp:coreProperties>
</file>