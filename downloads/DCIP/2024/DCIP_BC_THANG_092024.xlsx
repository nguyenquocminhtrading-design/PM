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vnnasp102.vn.standardchartered.com\Depts$\GTO_SSO_FUNDSERVICES_GSSCKL\10. CLIENT PORTFOLIO-NAV recalculation\KYSO\2024\10. Oct\03.10\"/>
    </mc:Choice>
  </mc:AlternateContent>
  <xr:revisionPtr revIDLastSave="0" documentId="13_ncr:1_{75C4AC7C-DC24-458E-9467-BBEA3FB68C44}" xr6:coauthVersionLast="47" xr6:coauthVersionMax="47" xr10:uidLastSave="{00000000-0000-0000-0000-000000000000}"/>
  <bookViews>
    <workbookView xWindow="-110" yWindow="-110" windowWidth="19420" windowHeight="10420" tabRatio="1000" firstSheet="1" activeTab="1"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5" i="32" l="1"/>
  <c r="D64" i="32"/>
  <c r="A65" i="32"/>
  <c r="A64" i="32"/>
  <c r="A63" i="32"/>
  <c r="D53" i="32"/>
  <c r="D52" i="32"/>
  <c r="A53" i="32"/>
  <c r="A52" i="32"/>
  <c r="C14" i="32"/>
  <c r="C12" i="32"/>
  <c r="C10" i="32"/>
  <c r="C13" i="32"/>
  <c r="C11" i="32"/>
  <c r="C9" i="32"/>
  <c r="C8" i="32"/>
  <c r="C7" i="32"/>
  <c r="A5" i="32"/>
  <c r="D107" i="29" l="1"/>
  <c r="D106" i="29"/>
  <c r="A107" i="29"/>
  <c r="A106" i="29"/>
  <c r="A105" i="29"/>
  <c r="C14" i="29"/>
  <c r="C12" i="29"/>
  <c r="C10" i="29"/>
  <c r="C13" i="29"/>
  <c r="C11" i="29"/>
  <c r="C9" i="29"/>
  <c r="A5" i="29"/>
  <c r="C8" i="29"/>
  <c r="C7" i="29"/>
  <c r="F19" i="1" l="1"/>
  <c r="D63" i="32" l="1"/>
  <c r="D105" i="29"/>
</calcChain>
</file>

<file path=xl/sharedStrings.xml><?xml version="1.0" encoding="utf-8"?>
<sst xmlns="http://schemas.openxmlformats.org/spreadsheetml/2006/main" count="1456" uniqueCount="1120">
  <si>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</si>
  <si>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</si>
  <si>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</si>
  <si>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</si>
  <si>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</si>
  <si>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</si>
  <si>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</si>
  <si>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</si>
  <si>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</si>
  <si>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</si>
  <si>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</si>
  <si>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</si>
  <si>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</si>
  <si>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</si>
  <si>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</si>
  <si>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</si>
  <si>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</si>
  <si>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</si>
  <si>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</si>
  <si>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</si>
  <si>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</si>
  <si>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</si>
  <si>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</si>
  <si>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</si>
  <si>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</si>
  <si>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</si>
  <si>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</si>
  <si>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</si>
  <si>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</si>
  <si>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</si>
  <si>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</si>
  <si>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</si>
  <si>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</si>
  <si>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</si>
  <si>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</si>
  <si>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</si>
  <si>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</si>
  <si>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</si>
  <si>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</si>
  <si>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</si>
  <si>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</si>
  <si>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</si>
  <si>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</si>
  <si>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</si>
  <si>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</si>
  <si>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</si>
  <si>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</si>
  <si>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</si>
  <si>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</si>
  <si>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</si>
  <si>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</si>
  <si>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</si>
  <si>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</si>
  <si>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</si>
  <si>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</si>
  <si>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</si>
  <si>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</si>
  <si>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</si>
  <si>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</si>
  <si>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</si>
  <si>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</si>
  <si>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</si>
  <si>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</si>
  <si>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</si>
  <si>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</si>
  <si>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</si>
  <si>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</si>
  <si>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</si>
  <si>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</si>
  <si>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</si>
  <si>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</si>
  <si>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</si>
  <si>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</si>
  <si>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</si>
  <si>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</si>
  <si>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</si>
  <si>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</si>
  <si>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</si>
  <si>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</si>
  <si>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</si>
  <si>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</si>
  <si>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</si>
  <si>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</si>
  <si>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</si>
  <si>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</si>
  <si>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</si>
  <si>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</si>
  <si>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</si>
  <si>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</si>
  <si>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</si>
  <si>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</si>
  <si>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</si>
  <si>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</si>
  <si>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</si>
  <si>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</si>
  <si>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</si>
  <si>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</si>
  <si>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</si>
  <si>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</si>
  <si>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</si>
  <si>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</si>
  <si>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</si>
  <si>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</si>
  <si>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</si>
  <si>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</si>
  <si>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</si>
  <si>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</si>
  <si>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</si>
  <si>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</si>
  <si>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</si>
  <si>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</si>
  <si>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</si>
  <si>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</si>
  <si>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</si>
  <si>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</si>
  <si>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</si>
  <si>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</si>
  <si>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</si>
  <si>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</si>
  <si>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</si>
  <si>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</si>
  <si>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</si>
  <si>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</si>
  <si>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</si>
  <si>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</si>
  <si>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</si>
  <si>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</si>
  <si>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</si>
  <si>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</si>
  <si>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</si>
  <si>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</si>
  <si>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</si>
  <si>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</si>
  <si>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</si>
  <si>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</si>
  <si>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</si>
  <si>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</si>
  <si>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</si>
  <si>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</si>
  <si>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</si>
  <si>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</si>
  <si>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</si>
  <si>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</si>
  <si>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</si>
  <si>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</si>
  <si>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</si>
  <si>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</si>
  <si>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</si>
  <si>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</si>
  <si>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</si>
  <si>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</si>
  <si>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</si>
  <si>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</si>
  <si>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</si>
  <si>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</si>
  <si>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</si>
  <si>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</si>
  <si>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</si>
  <si>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</si>
  <si>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</si>
  <si>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</si>
  <si>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</si>
  <si>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</si>
  <si>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</si>
  <si>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</si>
  <si>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</si>
  <si>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</si>
  <si>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</si>
  <si>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</si>
  <si>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</si>
  <si>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</si>
  <si>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</si>
  <si>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</si>
  <si>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</si>
  <si>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</si>
  <si>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</si>
  <si>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</si>
  <si>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</si>
  <si>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</si>
  <si>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</si>
  <si>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</si>
  <si>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</si>
  <si>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</si>
  <si>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</si>
  <si>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</si>
  <si>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</si>
  <si>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</si>
  <si>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</si>
  <si>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</si>
  <si>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</si>
  <si>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</si>
  <si>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</si>
  <si>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</si>
  <si>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</si>
  <si>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</si>
  <si>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</si>
  <si>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</si>
  <si>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</si>
  <si>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</si>
  <si>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</si>
  <si>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</si>
  <si>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</si>
  <si>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</si>
  <si>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</si>
  <si>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</si>
  <si>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</si>
  <si>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</si>
  <si>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</si>
  <si>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</si>
  <si>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</si>
  <si>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</si>
  <si>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</si>
  <si>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</si>
  <si>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</si>
  <si>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</si>
  <si>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</si>
  <si>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</si>
  <si>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</si>
  <si>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</si>
  <si>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</si>
  <si>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</si>
  <si>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</si>
  <si>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</si>
  <si>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</si>
  <si>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</si>
  <si>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</si>
  <si>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</si>
  <si>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</si>
  <si>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</si>
  <si>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</si>
  <si>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</si>
  <si>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</si>
  <si>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</si>
  <si>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</si>
  <si>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</si>
  <si>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</si>
  <si>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</si>
  <si>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</si>
  <si>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</si>
  <si>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</si>
  <si>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</si>
  <si>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</si>
  <si>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</si>
  <si>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</si>
  <si>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</si>
  <si>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</si>
  <si>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</si>
  <si>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</si>
  <si>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</si>
  <si>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</si>
  <si>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</si>
  <si>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</si>
  <si>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</si>
  <si>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</si>
  <si>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</si>
  <si>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</si>
  <si>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</si>
  <si>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</si>
  <si>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</si>
  <si>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</si>
  <si>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</si>
  <si>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</si>
  <si>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</si>
  <si>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</si>
  <si>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</si>
  <si>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</si>
  <si>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</si>
  <si>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</si>
  <si>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</si>
  <si>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</si>
  <si>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</si>
  <si>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</si>
  <si>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</si>
  <si>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</si>
  <si>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</si>
  <si>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</si>
  <si>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</si>
  <si>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</si>
  <si>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</si>
  <si>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</si>
  <si>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</si>
  <si>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</si>
  <si>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</si>
  <si>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</si>
  <si>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</si>
  <si>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</si>
  <si>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</si>
  <si>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</si>
  <si>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</si>
  <si>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</si>
  <si>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</si>
  <si>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</si>
  <si>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</si>
  <si>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</si>
  <si>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</si>
  <si>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</si>
  <si>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</si>
  <si>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</si>
  <si>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</si>
  <si>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</si>
  <si>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</si>
  <si>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</si>
  <si>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</si>
  <si>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</si>
  <si>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</si>
  <si>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</si>
  <si>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</si>
  <si>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</si>
  <si>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</si>
  <si>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</si>
  <si>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</si>
  <si>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</si>
  <si>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</si>
  <si>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</si>
  <si>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</si>
  <si>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</si>
  <si>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</si>
  <si>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</si>
  <si>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</si>
  <si>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</si>
  <si>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</si>
  <si>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</si>
  <si>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</si>
  <si>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</si>
  <si>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</si>
  <si>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</si>
  <si>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</si>
  <si>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</si>
  <si>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</si>
  <si>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</si>
  <si>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</si>
  <si>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</si>
  <si>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</si>
  <si>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</si>
  <si>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</si>
  <si>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</si>
  <si>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</si>
  <si>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</si>
  <si>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</si>
  <si>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</si>
  <si>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</si>
  <si>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</si>
  <si>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</si>
  <si>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</si>
  <si>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</si>
  <si>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</si>
  <si>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</si>
  <si>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</si>
  <si>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</si>
  <si>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</si>
  <si>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</si>
  <si>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</si>
  <si>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</si>
  <si>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</si>
  <si>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</si>
  <si>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</si>
  <si>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</si>
  <si>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</si>
  <si>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</si>
  <si>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</si>
  <si>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</si>
  <si>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</si>
  <si>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</si>
  <si>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</si>
  <si>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</si>
  <si>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</si>
  <si>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</si>
  <si>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</si>
  <si>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</si>
  <si>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</si>
  <si>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</si>
  <si>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</si>
  <si>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</si>
  <si>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</si>
  <si>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</si>
  <si>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</si>
  <si>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</si>
  <si>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</si>
  <si>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</si>
  <si>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</si>
  <si>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</si>
  <si>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</si>
  <si>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</si>
  <si>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</si>
  <si>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</si>
  <si>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</si>
  <si>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</si>
  <si>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</si>
  <si>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</si>
  <si>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</si>
  <si>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</si>
  <si>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</si>
  <si>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</si>
  <si>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</si>
  <si>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</si>
  <si>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</si>
  <si>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</si>
  <si>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</si>
  <si>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</si>
  <si>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</si>
  <si>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</si>
  <si>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</si>
  <si>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</si>
  <si>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</si>
  <si>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</si>
  <si>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</si>
  <si>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</si>
  <si>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</si>
  <si>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</si>
  <si>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</si>
  <si>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</si>
  <si>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</si>
  <si>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</si>
  <si>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</si>
  <si>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</si>
  <si>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</si>
  <si>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</si>
  <si>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</si>
  <si>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</si>
  <si>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</si>
  <si>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</si>
  <si>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</si>
  <si>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</si>
  <si>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</si>
  <si>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</si>
  <si>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</si>
  <si>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</si>
  <si>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</si>
  <si>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</si>
  <si>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</si>
  <si>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</si>
  <si>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</si>
  <si>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</si>
  <si>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</si>
  <si>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</si>
  <si>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</si>
  <si>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</si>
  <si>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</si>
  <si>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</si>
  <si>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</si>
  <si>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</si>
  <si>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</si>
  <si>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</si>
  <si>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</si>
  <si>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</si>
  <si>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</si>
  <si>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</si>
  <si>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</si>
  <si>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</si>
  <si>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</si>
  <si>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</si>
  <si>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</si>
  <si>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</si>
  <si>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</si>
  <si>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</si>
  <si>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</si>
  <si>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</si>
  <si>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</si>
  <si>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</si>
  <si>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</si>
  <si>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</si>
  <si>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</si>
  <si>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</si>
  <si>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</si>
  <si>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</si>
  <si>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</si>
  <si>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</si>
  <si>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</si>
  <si>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</si>
  <si>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</si>
  <si>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</si>
  <si>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</si>
  <si>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</si>
  <si>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</si>
  <si>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</si>
  <si>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</si>
  <si>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</si>
  <si>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</si>
  <si>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</si>
  <si>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</si>
  <si>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</si>
  <si>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</si>
  <si>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</si>
  <si>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</si>
  <si>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</si>
  <si>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</si>
  <si>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</si>
  <si>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</si>
  <si>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</si>
  <si>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</si>
  <si>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</si>
  <si>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</si>
  <si>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</si>
  <si>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</si>
  <si>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</si>
  <si>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</si>
  <si>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</si>
  <si>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</si>
  <si>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</si>
  <si>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</si>
  <si>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</si>
  <si>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</si>
  <si>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</si>
  <si>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</si>
  <si>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</si>
  <si>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</si>
  <si>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</si>
  <si>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</si>
  <si>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</si>
  <si>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</si>
  <si>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</si>
  <si>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</si>
  <si>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</si>
  <si>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</si>
  <si>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</si>
  <si>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</si>
  <si>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</si>
  <si>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</si>
  <si>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</si>
  <si>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</si>
  <si>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</si>
  <si>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</si>
  <si>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</si>
  <si>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</si>
  <si>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</si>
  <si>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</si>
  <si>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</si>
  <si>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</si>
  <si>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</si>
  <si>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</si>
  <si>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</si>
  <si>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</si>
  <si>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</si>
  <si>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</si>
  <si>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</si>
  <si>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</si>
  <si>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</si>
  <si>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</si>
  <si>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</si>
  <si>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</si>
  <si>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</si>
  <si>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</si>
  <si>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</si>
  <si>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</si>
  <si>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</si>
  <si>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</si>
  <si>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</si>
  <si>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</si>
  <si>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</si>
  <si>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</si>
  <si>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</si>
  <si>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</si>
  <si>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</si>
  <si>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</si>
  <si>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</si>
  <si>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</si>
  <si>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</si>
  <si>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</si>
  <si>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</si>
  <si>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</si>
  <si>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</si>
  <si>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</si>
  <si>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</si>
  <si>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</si>
  <si>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</si>
  <si>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</si>
  <si>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</si>
  <si>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</si>
  <si>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</si>
  <si>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</si>
  <si>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</si>
  <si>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</si>
  <si>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</si>
  <si>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</si>
  <si>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</si>
  <si>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</si>
  <si>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</si>
  <si>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</si>
  <si>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</si>
  <si>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</si>
  <si>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</si>
  <si>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</si>
  <si>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</si>
  <si>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</si>
  <si>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</si>
  <si>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</si>
  <si>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</si>
  <si>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</si>
  <si>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</si>
  <si>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</si>
  <si>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</si>
  <si>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</si>
  <si>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</si>
  <si>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</si>
  <si>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</si>
  <si>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</si>
  <si>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</si>
  <si>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</si>
  <si>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</si>
  <si>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</si>
  <si>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</si>
  <si>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</si>
  <si>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</si>
  <si>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</si>
  <si>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</si>
  <si>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</si>
  <si>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</si>
  <si>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</si>
  <si>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</si>
  <si>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</si>
  <si>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</si>
  <si>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</si>
  <si>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</si>
  <si>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</si>
  <si>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</si>
  <si>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</si>
  <si>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</si>
  <si>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</si>
  <si>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</si>
  <si>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</si>
  <si>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</si>
  <si>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</si>
  <si>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</si>
  <si>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</si>
  <si>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</si>
  <si>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</si>
  <si>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MSN123008</t>
  </si>
  <si>
    <t>2251.1.4</t>
  </si>
  <si>
    <t>1.5</t>
  </si>
  <si>
    <t>TCX124011</t>
  </si>
  <si>
    <t>2251.1.5</t>
  </si>
  <si>
    <t>1.6</t>
  </si>
  <si>
    <t>TD2434024</t>
  </si>
  <si>
    <t>2251.1.6</t>
  </si>
  <si>
    <t>1.7</t>
  </si>
  <si>
    <t>VHM121024</t>
  </si>
  <si>
    <t>2251.1.7</t>
  </si>
  <si>
    <t>1.8</t>
  </si>
  <si>
    <t>VND122014</t>
  </si>
  <si>
    <t>2251.1.8</t>
  </si>
  <si>
    <t>2</t>
  </si>
  <si>
    <t>Trái phiếu chưa niêm yết
Unlisted Bonds</t>
  </si>
  <si>
    <t>2251.2</t>
  </si>
  <si>
    <t>2.1</t>
  </si>
  <si>
    <t>KBCH2426001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</si>
  <si>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</si>
  <si>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</si>
  <si>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</si>
  <si>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</si>
  <si>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</si>
  <si>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</si>
  <si>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</si>
  <si>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</si>
  <si>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</si>
  <si>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</si>
  <si>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</si>
  <si>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</si>
  <si>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</si>
  <si>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</si>
  <si>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</si>
  <si>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</si>
  <si>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</si>
  <si>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</si>
  <si>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</si>
  <si>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</si>
  <si>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</si>
  <si>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</si>
  <si>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</si>
  <si>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</si>
  <si>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</si>
  <si>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</si>
  <si>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</si>
  <si>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</si>
  <si>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</si>
  <si>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</si>
  <si>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</si>
  <si>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</si>
  <si>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</si>
  <si>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</si>
  <si>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</si>
  <si>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</si>
  <si>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</si>
  <si>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</si>
  <si>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</si>
  <si>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</si>
  <si>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</si>
  <si>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</si>
  <si>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</si>
  <si>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</si>
  <si>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</si>
  <si>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</si>
  <si>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</si>
  <si>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</si>
  <si>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</si>
  <si>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</si>
  <si>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</si>
  <si>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</si>
  <si>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</si>
  <si>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</si>
  <si>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</si>
  <si>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</si>
  <si>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</si>
  <si>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</si>
  <si>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</si>
  <si>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</si>
  <si>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</si>
  <si>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</si>
  <si>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</si>
  <si>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</si>
  <si>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</si>
  <si>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</si>
  <si>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</si>
  <si>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</si>
  <si>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</si>
  <si>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</si>
  <si>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</si>
  <si>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</si>
  <si>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</si>
  <si>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</si>
  <si>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</si>
  <si>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</si>
  <si>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</si>
  <si>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</si>
  <si>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</si>
  <si>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</si>
  <si>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</si>
  <si>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</si>
  <si>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</si>
  <si>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</si>
  <si>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</si>
  <si>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</si>
  <si>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</si>
  <si>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</si>
  <si>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</si>
  <si>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</si>
  <si>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</si>
  <si>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</si>
  <si>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</si>
  <si>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</si>
  <si>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</si>
  <si>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</si>
  <si>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</si>
  <si>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</si>
  <si>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</si>
  <si>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</si>
  <si>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</si>
  <si>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</si>
  <si>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</si>
  <si>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</si>
  <si>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</si>
  <si>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</si>
  <si>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</si>
  <si>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</si>
  <si>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</si>
  <si>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</si>
  <si>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</si>
  <si>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</si>
  <si>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</si>
  <si>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</si>
  <si>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</si>
  <si>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</si>
  <si>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</si>
  <si>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</si>
  <si>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</si>
  <si>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</si>
  <si>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</si>
  <si>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</si>
  <si>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</si>
  <si>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</si>
  <si>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</si>
  <si>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</si>
  <si>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</si>
  <si>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</si>
  <si>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</si>
  <si>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</si>
  <si>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</si>
  <si>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</si>
  <si>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</si>
  <si>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</si>
  <si>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</si>
  <si>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</si>
  <si>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</si>
  <si>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</si>
  <si>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</si>
  <si>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</si>
  <si>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</si>
  <si>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</si>
  <si>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</si>
  <si>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</si>
  <si>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</si>
  <si>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</si>
  <si>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</si>
  <si>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</si>
  <si>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</si>
  <si>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</si>
  <si>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</si>
  <si>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</si>
  <si>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</si>
  <si>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</si>
  <si>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</si>
  <si>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</si>
  <si>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</si>
  <si>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</si>
  <si>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</si>
  <si>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</si>
  <si>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</si>
  <si>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</si>
  <si>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</si>
  <si>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</si>
  <si>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</si>
  <si>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</si>
  <si>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</si>
  <si>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</si>
  <si>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</si>
  <si>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</si>
  <si>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</si>
  <si>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</si>
  <si>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</si>
  <si>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</si>
  <si>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</si>
  <si>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</si>
  <si>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</si>
  <si>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</si>
  <si>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</si>
  <si>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</si>
  <si>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</si>
  <si>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</si>
  <si>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</si>
  <si>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</si>
  <si>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</si>
  <si>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</si>
  <si>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</si>
  <si>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</si>
  <si>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</si>
  <si>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</si>
  <si>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</si>
  <si>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</si>
  <si>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</si>
  <si>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</si>
  <si>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</si>
  <si>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</si>
  <si>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</si>
  <si>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</si>
  <si>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</si>
  <si>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</si>
  <si>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</si>
  <si>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</si>
  <si>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</si>
  <si>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</si>
  <si>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</si>
  <si>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</si>
  <si>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</si>
  <si>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</si>
  <si>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</si>
  <si>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</si>
  <si>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</si>
  <si>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</si>
  <si>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</si>
  <si>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</si>
  <si>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</si>
  <si>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</si>
  <si>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</si>
  <si>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</si>
  <si>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</si>
  <si>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</si>
  <si>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</si>
  <si>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</si>
  <si>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</si>
  <si>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</si>
  <si>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</si>
  <si>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</si>
  <si>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</si>
  <si>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</si>
  <si>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</si>
  <si>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</si>
  <si>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</si>
  <si>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</si>
  <si>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</si>
  <si>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</si>
  <si>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</si>
  <si>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</si>
  <si>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</si>
  <si>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</si>
  <si>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</si>
  <si>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</si>
  <si>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</si>
  <si>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</si>
  <si>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</si>
  <si>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</si>
  <si>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</si>
  <si>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</si>
  <si>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</si>
  <si>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</si>
  <si>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</si>
  <si>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</si>
  <si>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</si>
  <si>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</si>
  <si>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</si>
  <si>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</si>
  <si>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</si>
  <si>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</si>
  <si>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</si>
  <si>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</si>
  <si>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</si>
  <si>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</si>
  <si>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</si>
  <si>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</si>
  <si>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</si>
  <si>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</si>
  <si>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</si>
  <si>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</si>
  <si>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</si>
  <si>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</si>
  <si>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</si>
  <si>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</si>
  <si>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</si>
  <si>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</si>
  <si>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</si>
  <si>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</si>
  <si>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</si>
  <si>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</si>
  <si>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</si>
  <si>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</si>
  <si>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</si>
  <si>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</si>
  <si>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</si>
  <si>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</si>
  <si>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</si>
  <si>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</si>
  <si>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</si>
  <si>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</si>
  <si>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</si>
  <si>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</si>
  <si>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</si>
  <si>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</si>
  <si>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</si>
  <si>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</si>
  <si>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</si>
  <si>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</si>
  <si>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</si>
  <si>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</si>
  <si>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</si>
  <si>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</si>
  <si>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</si>
  <si>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</si>
  <si>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</si>
  <si>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</si>
  <si>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</si>
  <si>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</si>
  <si>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</si>
  <si>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</si>
  <si>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</si>
  <si>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</si>
  <si>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</si>
  <si>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</si>
  <si>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</si>
  <si>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</si>
  <si>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</si>
  <si>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</si>
  <si>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</si>
  <si>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</si>
  <si>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</si>
  <si>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</si>
  <si>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</si>
  <si>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</si>
  <si>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</si>
  <si>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</si>
  <si>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</si>
  <si>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</si>
  <si>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</si>
  <si>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</si>
  <si>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</si>
  <si>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</si>
  <si>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</si>
  <si>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</si>
  <si>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</si>
  <si>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</si>
  <si>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</si>
  <si>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</si>
  <si>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</si>
  <si>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</si>
  <si>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</si>
  <si>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</si>
  <si>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</si>
  <si>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</si>
  <si>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</si>
  <si>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</si>
  <si>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</si>
  <si>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</si>
  <si>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</si>
  <si>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</si>
  <si>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</si>
  <si>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</si>
  <si>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</si>
  <si>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</si>
  <si>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</si>
  <si>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</si>
  <si>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</si>
  <si>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</si>
  <si>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</si>
  <si>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</si>
  <si>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</si>
  <si>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</si>
  <si>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</si>
  <si>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</si>
  <si>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</si>
  <si>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</si>
  <si>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</si>
  <si>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</si>
  <si>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</si>
  <si>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</si>
  <si>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</si>
  <si>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</si>
  <si>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</si>
  <si>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</si>
  <si>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</si>
  <si>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</si>
  <si>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</si>
  <si>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</si>
  <si>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</si>
  <si>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</si>
  <si>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</si>
  <si>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</si>
  <si>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</si>
  <si>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</si>
  <si>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</si>
  <si>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</si>
  <si>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</si>
  <si>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</si>
  <si>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</si>
  <si>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</si>
  <si>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</si>
  <si>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</si>
  <si>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</si>
  <si>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</si>
  <si>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</si>
  <si>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</si>
  <si>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</si>
  <si>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</si>
  <si>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</si>
  <si>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</si>
  <si>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</si>
  <si>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</si>
  <si>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</si>
  <si>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</si>
  <si>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</si>
  <si>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</si>
  <si>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</si>
  <si>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</si>
  <si>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</si>
  <si>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</si>
  <si>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</si>
  <si>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</si>
  <si>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</si>
  <si>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</si>
  <si>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</si>
  <si>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</si>
  <si>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</si>
  <si>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</si>
  <si>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</si>
  <si>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</si>
  <si>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</si>
  <si>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</si>
  <si>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</si>
  <si>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</si>
  <si>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</si>
  <si>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</si>
  <si>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</si>
  <si>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</si>
  <si>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</si>
  <si>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</si>
  <si>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</si>
  <si>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</si>
  <si>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</si>
  <si>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</si>
  <si>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</si>
  <si>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</si>
  <si>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</si>
  <si>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</si>
  <si>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</si>
  <si>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</si>
  <si>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</si>
  <si>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</si>
  <si>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</si>
  <si>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</si>
  <si>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2024
/ As at 30 Sep 2024</t>
  </si>
  <si>
    <t>Tháng 09 năm 2024
/ Sep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</si>
  <si>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</si>
  <si>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</si>
  <si>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</si>
  <si>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</si>
  <si>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10 năm 2024</t>
  </si>
  <si>
    <t>01 Oct 2024</t>
  </si>
  <si>
    <t>Vũ Quang Phan</t>
  </si>
  <si>
    <t>Lê Hoàng Anh</t>
  </si>
  <si>
    <t>Phó phòng Dịch vụ nghiệp vụ giám sát Quỹ</t>
  </si>
  <si>
    <t>Quyền Giám đốc nghiệp vụ hỗ trợ đầu tư</t>
  </si>
  <si>
    <t>Ngày 30 tháng 09 năm 2024
 As at 30 Sep 2024</t>
  </si>
  <si>
    <t>Ngày 31 tháng 08 năm 2024
 As at 31 Aug 2024</t>
  </si>
  <si>
    <t>Tháng 09 năm 2024
Sep 2024</t>
  </si>
  <si>
    <t>Tháng 08 năm 2024
Aug 2024</t>
  </si>
  <si>
    <t>Năm 2024
Year 2024</t>
  </si>
  <si>
    <t>Năm 2023
Year 2023</t>
  </si>
  <si>
    <t>Tháng 09 năm 2023
Sep 2023</t>
  </si>
  <si>
    <t>Nguyễn Kiều Trúc Ly</t>
  </si>
  <si>
    <t>Ninh Thị Tuệ Minh</t>
  </si>
  <si>
    <t>Kế toán Quỹ</t>
  </si>
  <si>
    <t>Trưởng phòng Kế toán Quỹ</t>
  </si>
  <si>
    <t>DC Income Plus Bond Fund (DCIP)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</si>
  <si>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</si>
  <si>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________________________________________</t>
  </si>
  <si>
    <t>________________________________________________________</t>
  </si>
  <si>
    <t>_________________________________________________</t>
  </si>
  <si>
    <t>______________________________________________________</t>
  </si>
  <si>
    <t>_________________________________________________________</t>
  </si>
  <si>
    <t>__________________________________________________________</t>
  </si>
  <si>
    <t>___________________________________</t>
  </si>
  <si>
    <t>_________________________________</t>
  </si>
  <si>
    <t>___________________________________________________________</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</si>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</sst>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0">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vertical="center"/>
    </xf>
    <xf numFmtId="0" fontId="13" fillId="3" borderId="0" xfId="12" applyFont="1" applyFill="1" applyBorder="1"/>
    <xf numFmtId="0" fontId="6" fillId="3" borderId="0" xfId="12" applyFont="1" applyFill="1" applyBorder="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7" fillId="3" borderId="0" xfId="0" applyFont="1" applyFill="1" applyBorder="1" applyAlignment="1">
      <alignment horizontal="left"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0"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1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6" zoomScaleSheetLayoutView="100" workbookViewId="0">
      <selection activeCell="D10" sqref="D10:I10"/>
    </sheetView>
  </sheetViews>
  <sheetFormatPr defaultColWidth="9.1796875" defaultRowHeight="12.5"/>
  <cols>
    <col min="1" max="2" width="9.1796875" style="113"/>
    <col min="3" max="3" width="30.1796875" style="113" customWidth="1"/>
    <col min="4" max="4" width="30.81640625" style="113" customWidth="1"/>
    <col min="5" max="5" width="21.1796875" style="113" customWidth="1"/>
    <col min="6" max="9" width="9.1796875" style="113"/>
    <col min="10" max="10" width="11.81640625" style="113" customWidth="1"/>
    <col min="11" max="11" width="15" style="113" customWidth="1"/>
    <col min="12" max="16384" width="9.1796875" style="113"/>
  </cols>
  <sheetData>
    <row r="1" spans="1:11">
      <c r="A1" s="112" t="s">
        <v>0</v>
      </c>
      <c r="C1" s="190" t="s">
        <v>1085</v>
      </c>
      <c r="D1" s="191"/>
    </row>
    <row r="2" spans="1:11">
      <c r="C2" s="114" t="s">
        <v>1086</v>
      </c>
      <c r="D2" s="115"/>
    </row>
    <row r="3" spans="1:11">
      <c r="D3" s="116"/>
    </row>
    <row r="4" spans="1:11">
      <c r="A4" s="112" t="s">
        <v>1</v>
      </c>
      <c r="D4" s="116"/>
    </row>
    <row r="5" spans="1:11" ht="15" customHeight="1">
      <c r="C5" s="117" t="s">
        <v>2</v>
      </c>
      <c r="D5" s="193" t="s">
        <v>1087</v>
      </c>
      <c r="E5" s="193"/>
      <c r="F5" s="193"/>
      <c r="G5" s="193"/>
      <c r="H5" s="193"/>
      <c r="I5" s="193"/>
    </row>
    <row r="6" spans="1:11">
      <c r="C6" s="107" t="s">
        <v>15</v>
      </c>
      <c r="D6" s="192" t="s">
        <v>1088</v>
      </c>
      <c r="E6" s="192"/>
      <c r="F6" s="192"/>
      <c r="G6" s="192"/>
      <c r="H6" s="192"/>
      <c r="I6" s="192"/>
    </row>
    <row r="7" spans="1:11">
      <c r="C7" s="118" t="s">
        <v>3</v>
      </c>
      <c r="D7" s="193" t="s">
        <v>1089</v>
      </c>
      <c r="E7" s="193"/>
      <c r="F7" s="193"/>
      <c r="G7" s="193"/>
      <c r="H7" s="193"/>
      <c r="I7" s="193"/>
    </row>
    <row r="8" spans="1:11" ht="15" customHeight="1">
      <c r="C8" s="110" t="s">
        <v>4</v>
      </c>
      <c r="D8" s="192" t="s">
        <v>1090</v>
      </c>
      <c r="E8" s="192"/>
      <c r="F8" s="192"/>
      <c r="G8" s="192"/>
      <c r="H8" s="192"/>
      <c r="I8" s="192"/>
    </row>
    <row r="9" spans="1:11" ht="15" customHeight="1">
      <c r="C9" s="118" t="s">
        <v>5</v>
      </c>
      <c r="D9" s="193" t="s">
        <v>577</v>
      </c>
      <c r="E9" s="193"/>
      <c r="F9" s="193"/>
      <c r="G9" s="193"/>
      <c r="H9" s="193"/>
      <c r="I9" s="193"/>
    </row>
    <row r="10" spans="1:11" ht="15" customHeight="1">
      <c r="C10" s="119" t="s">
        <v>6</v>
      </c>
      <c r="D10" s="192" t="s">
        <v>1108</v>
      </c>
      <c r="E10" s="192"/>
      <c r="F10" s="192"/>
      <c r="G10" s="192"/>
      <c r="H10" s="192"/>
      <c r="I10" s="192"/>
    </row>
    <row r="11" spans="1:11">
      <c r="C11" s="120" t="s">
        <v>7</v>
      </c>
      <c r="D11" s="193" t="s">
        <v>1091</v>
      </c>
      <c r="E11" s="193"/>
      <c r="F11" s="193"/>
      <c r="G11" s="193"/>
      <c r="H11" s="193"/>
      <c r="I11" s="193"/>
    </row>
    <row r="12" spans="1:11">
      <c r="C12" s="4" t="s">
        <v>8</v>
      </c>
      <c r="D12" s="192" t="s">
        <v>1092</v>
      </c>
      <c r="E12" s="192"/>
      <c r="F12" s="192"/>
      <c r="G12" s="192"/>
      <c r="H12" s="192"/>
      <c r="I12" s="192"/>
    </row>
    <row r="13" spans="1:11">
      <c r="D13" s="116"/>
    </row>
    <row r="14" spans="1:11">
      <c r="A14" s="112" t="s">
        <v>9</v>
      </c>
      <c r="D14" s="116"/>
    </row>
    <row r="15" spans="1:11">
      <c r="D15" s="116"/>
    </row>
    <row r="16" spans="1:11">
      <c r="C16" s="121" t="s">
        <v>10</v>
      </c>
      <c r="D16" s="122"/>
      <c r="F16" s="121" t="s">
        <v>11</v>
      </c>
      <c r="G16" s="123"/>
      <c r="H16" s="123"/>
      <c r="I16" s="123"/>
      <c r="J16" s="123"/>
      <c r="K16" s="124"/>
    </row>
    <row r="17" spans="3:11">
      <c r="C17" s="125" t="s">
        <v>12</v>
      </c>
      <c r="D17" s="126"/>
      <c r="F17" s="125" t="s">
        <v>13</v>
      </c>
      <c r="G17" s="127"/>
      <c r="H17" s="127"/>
      <c r="I17" s="127"/>
      <c r="J17" s="127"/>
      <c r="K17" s="128"/>
    </row>
    <row r="18" spans="3:11">
      <c r="C18" s="129"/>
      <c r="D18" s="126"/>
      <c r="F18" s="129"/>
      <c r="G18" s="127"/>
      <c r="H18" s="127"/>
      <c r="I18" s="127"/>
      <c r="J18" s="127"/>
      <c r="K18" s="128"/>
    </row>
    <row r="19" spans="3:11">
      <c r="C19" s="130" t="s">
        <v>14</v>
      </c>
      <c r="D19" s="126"/>
      <c r="F19" s="130" t="str">
        <f>D5</f>
        <v>Công ty Cổ phần Quản lý Quỹ Đầu tư Dragon Capital Việt Nam</v>
      </c>
      <c r="G19" s="127"/>
      <c r="H19" s="127"/>
      <c r="I19" s="127"/>
      <c r="J19" s="127"/>
      <c r="K19" s="128"/>
    </row>
    <row r="20" spans="3:11">
      <c r="C20" s="131" t="s">
        <v>1093</v>
      </c>
      <c r="D20" s="126"/>
      <c r="F20" s="130" t="s">
        <v>1094</v>
      </c>
      <c r="G20" s="127"/>
      <c r="H20" s="127"/>
      <c r="I20" s="127"/>
      <c r="J20" s="127"/>
      <c r="K20" s="128"/>
    </row>
    <row r="21" spans="3:11">
      <c r="C21" s="132" t="s">
        <v>1095</v>
      </c>
      <c r="D21" s="115"/>
      <c r="F21" s="133" t="s">
        <v>1096</v>
      </c>
      <c r="G21" s="134"/>
      <c r="H21" s="134"/>
      <c r="I21" s="134"/>
      <c r="J21" s="134"/>
      <c r="K21" s="135"/>
    </row>
    <row r="22" spans="3:11">
      <c r="D22" s="116"/>
    </row>
    <row r="23" spans="3:11">
      <c r="D23" s="116"/>
    </row>
    <row r="24" spans="3:11">
      <c r="D24" s="116"/>
    </row>
    <row r="25" spans="3:11">
      <c r="D25" s="116"/>
    </row>
    <row r="26" spans="3:11">
      <c r="D26" s="116"/>
    </row>
    <row r="27" spans="3:11">
      <c r="D27" s="116"/>
    </row>
    <row r="28" spans="3:11">
      <c r="D28" s="116"/>
    </row>
    <row r="29" spans="3:11">
      <c r="D29" s="116"/>
    </row>
    <row r="30" spans="3:11">
      <c r="D30" s="116"/>
    </row>
    <row r="31" spans="3:11">
      <c r="D31" s="116"/>
    </row>
    <row r="32" spans="3:11">
      <c r="D32" s="116"/>
    </row>
    <row r="33" spans="4:4">
      <c r="D33" s="116"/>
    </row>
    <row r="34" spans="4:4">
      <c r="D34" s="136"/>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tabSelected="1" view="pageBreakPreview" topLeftCell="A106" zoomScale="80" zoomScaleNormal="100" zoomScaleSheetLayoutView="80" workbookViewId="0">
      <selection activeCell="C140" sqref="C140"/>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196" t="s">
        <v>570</v>
      </c>
      <c r="B1" s="196"/>
      <c r="C1" s="196"/>
      <c r="D1" s="196"/>
      <c r="E1" s="196"/>
      <c r="F1" s="196"/>
    </row>
    <row r="2" spans="1:6" s="4" customFormat="1" ht="50.5" customHeight="1">
      <c r="A2" s="197" t="s">
        <v>571</v>
      </c>
      <c r="B2" s="197"/>
      <c r="C2" s="197"/>
      <c r="D2" s="197"/>
      <c r="E2" s="197"/>
      <c r="F2" s="197"/>
    </row>
    <row r="3" spans="1:6" s="4" customFormat="1">
      <c r="A3" s="198" t="s">
        <v>521</v>
      </c>
      <c r="B3" s="198"/>
      <c r="C3" s="198"/>
      <c r="D3" s="198"/>
      <c r="E3" s="198"/>
      <c r="F3" s="198"/>
    </row>
    <row r="4" spans="1:6" s="4" customFormat="1" ht="32.65" customHeight="1">
      <c r="A4" s="198"/>
      <c r="B4" s="198"/>
      <c r="C4" s="198"/>
      <c r="D4" s="198"/>
      <c r="E4" s="198"/>
      <c r="F4" s="198"/>
    </row>
    <row r="5" spans="1:6" s="4" customFormat="1" ht="16.899999999999999" customHeight="1">
      <c r="A5" s="199" t="str">
        <f>TONGQUAN!C1</f>
        <v>Tại ngày 30 tháng 09 năm 2024
/ As at 30 Sep 2024</v>
      </c>
      <c r="B5" s="199"/>
      <c r="C5" s="199"/>
      <c r="D5" s="199"/>
      <c r="E5" s="199"/>
      <c r="F5" s="199"/>
    </row>
    <row r="6" spans="1:6">
      <c r="A6" s="14"/>
      <c r="B6" s="14"/>
      <c r="C6" s="14"/>
      <c r="D6" s="14"/>
      <c r="E6" s="14"/>
      <c r="F6" s="14"/>
    </row>
    <row r="7" spans="1:6" ht="16.899999999999999" customHeight="1">
      <c r="A7" s="194" t="s">
        <v>2</v>
      </c>
      <c r="B7" s="194"/>
      <c r="C7" s="194" t="str">
        <f>TONGQUAN!D5</f>
        <v>Công ty Cổ phần Quản lý Quỹ Đầu tư Dragon Capital Việt Nam</v>
      </c>
      <c r="D7" s="194"/>
      <c r="E7" s="194"/>
      <c r="F7" s="194"/>
    </row>
    <row r="8" spans="1:6" s="4" customFormat="1" ht="16.899999999999999" customHeight="1">
      <c r="A8" s="192" t="s">
        <v>15</v>
      </c>
      <c r="B8" s="192"/>
      <c r="C8" s="192" t="str">
        <f>TONGQUAN!D6</f>
        <v>Dragon Capital Vietfund Management Joint Stock Company</v>
      </c>
      <c r="D8" s="192"/>
      <c r="E8" s="192"/>
      <c r="F8" s="192"/>
    </row>
    <row r="9" spans="1:6" ht="16.899999999999999" customHeight="1">
      <c r="A9" s="194" t="s">
        <v>3</v>
      </c>
      <c r="B9" s="194"/>
      <c r="C9" s="194" t="str">
        <f>TONGQUAN!D7</f>
        <v>Ngân hàng TNHH Một thành viên Standard Chartered (Việt Nam)</v>
      </c>
      <c r="D9" s="194"/>
      <c r="E9" s="194"/>
      <c r="F9" s="194"/>
    </row>
    <row r="10" spans="1:6" s="4" customFormat="1" ht="16.899999999999999" customHeight="1">
      <c r="A10" s="192" t="s">
        <v>4</v>
      </c>
      <c r="B10" s="192"/>
      <c r="C10" s="192" t="str">
        <f>TONGQUAN!D8</f>
        <v>Standard Chartered Bank (Vietnam) Limited</v>
      </c>
      <c r="D10" s="192"/>
      <c r="E10" s="192"/>
      <c r="F10" s="192"/>
    </row>
    <row r="11" spans="1:6" ht="16.899999999999999" customHeight="1">
      <c r="A11" s="194" t="s">
        <v>5</v>
      </c>
      <c r="B11" s="194"/>
      <c r="C11" s="194" t="str">
        <f>TONGQUAN!D9</f>
        <v>Quỹ Đầu tư Trái phiếu Gia tăng Thu nhập Cố định DC</v>
      </c>
      <c r="D11" s="194"/>
      <c r="E11" s="194"/>
      <c r="F11" s="194"/>
    </row>
    <row r="12" spans="1:6" s="4" customFormat="1" ht="16.899999999999999" customHeight="1">
      <c r="A12" s="192" t="s">
        <v>6</v>
      </c>
      <c r="B12" s="192"/>
      <c r="C12" s="192" t="str">
        <f>TONGQUAN!D10</f>
        <v>DC Income Plus Bond Fund (DCIP)</v>
      </c>
      <c r="D12" s="192"/>
      <c r="E12" s="192"/>
      <c r="F12" s="192"/>
    </row>
    <row r="13" spans="1:6" ht="16.899999999999999" customHeight="1">
      <c r="A13" s="194" t="s">
        <v>7</v>
      </c>
      <c r="B13" s="194"/>
      <c r="C13" s="194" t="str">
        <f>TONGQUAN!D11</f>
        <v>Ngày 01 tháng 10 năm 2024</v>
      </c>
      <c r="D13" s="194"/>
      <c r="E13" s="194"/>
      <c r="F13" s="194"/>
    </row>
    <row r="14" spans="1:6" s="4" customFormat="1" ht="16.899999999999999" customHeight="1">
      <c r="A14" s="192" t="s">
        <v>8</v>
      </c>
      <c r="B14" s="192"/>
      <c r="C14" s="192" t="str">
        <f>TONGQUAN!D12</f>
        <v>01 Oct 2024</v>
      </c>
      <c r="D14" s="192"/>
      <c r="E14" s="192"/>
      <c r="F14" s="192"/>
    </row>
    <row r="15" spans="1:6" s="4" customFormat="1" ht="7.5" customHeight="1">
      <c r="A15" s="13"/>
      <c r="B15" s="13"/>
      <c r="C15" s="13"/>
      <c r="D15" s="13"/>
      <c r="E15" s="13"/>
      <c r="F15" s="13"/>
    </row>
    <row r="16" spans="1:6" s="4" customFormat="1" ht="16.899999999999999" customHeight="1">
      <c r="A16" s="102" t="s">
        <v>568</v>
      </c>
      <c r="B16" s="103" t="s">
        <v>569</v>
      </c>
      <c r="C16" s="13"/>
      <c r="D16" s="13"/>
      <c r="E16" s="13"/>
      <c r="F16" s="13"/>
    </row>
    <row r="17" spans="1:6" s="4" customFormat="1" ht="16.899999999999999" customHeight="1">
      <c r="A17" s="104" t="s">
        <v>16</v>
      </c>
      <c r="B17" s="105" t="s">
        <v>522</v>
      </c>
      <c r="C17" s="13"/>
      <c r="D17" s="13"/>
      <c r="E17" s="13"/>
      <c r="F17" s="13"/>
    </row>
    <row r="18" spans="1:6" s="4" customFormat="1" ht="50.65" customHeight="1">
      <c r="A18" s="12" t="s">
        <v>17</v>
      </c>
      <c r="B18" s="10" t="s">
        <v>18</v>
      </c>
      <c r="C18" s="12" t="s">
        <v>19</v>
      </c>
      <c r="D18" s="11" t="s">
        <v>1097</v>
      </c>
      <c r="E18" s="11" t="s">
        <v>1098</v>
      </c>
      <c r="F18" s="64" t="s">
        <v>20</v>
      </c>
    </row>
    <row r="19" spans="1:6" ht="39" customHeight="1">
      <c r="A19" s="181" t="s">
        <v>776</v>
      </c>
      <c r="B19" s="180" t="s">
        <v>777</v>
      </c>
      <c r="C19" s="181" t="s">
        <v>778</v>
      </c>
      <c r="D19" s="183"/>
      <c r="E19" s="183"/>
      <c r="F19" s="182"/>
    </row>
    <row r="20" spans="1:6" ht="39" customHeight="1">
      <c r="A20" s="176" t="s">
        <v>779</v>
      </c>
      <c r="B20" s="175" t="s">
        <v>780</v>
      </c>
      <c r="C20" s="176" t="s">
        <v>781</v>
      </c>
      <c r="D20" s="179">
        <v>323998696966</v>
      </c>
      <c r="E20" s="179">
        <v>177298083083</v>
      </c>
      <c r="F20" s="178">
        <v>3.4230724292628598</v>
      </c>
    </row>
    <row r="21" spans="1:6" ht="39" customHeight="1">
      <c r="A21" s="176" t="s">
        <v>782</v>
      </c>
      <c r="B21" s="175" t="s">
        <v>783</v>
      </c>
      <c r="C21" s="176" t="s">
        <v>784</v>
      </c>
      <c r="D21" s="179"/>
      <c r="E21" s="179"/>
      <c r="F21" s="178"/>
    </row>
    <row r="22" spans="1:6" ht="39" customHeight="1">
      <c r="A22" s="176" t="s">
        <v>785</v>
      </c>
      <c r="B22" s="175" t="s">
        <v>786</v>
      </c>
      <c r="C22" s="176" t="s">
        <v>787</v>
      </c>
      <c r="D22" s="179" t="s">
        <v>788</v>
      </c>
      <c r="E22" s="179" t="s">
        <v>789</v>
      </c>
      <c r="F22" s="178" t="s">
        <v>790</v>
      </c>
    </row>
    <row r="23" spans="1:6" ht="39" customHeight="1">
      <c r="A23" s="176" t="s">
        <v>791</v>
      </c>
      <c r="B23" s="175" t="s">
        <v>792</v>
      </c>
      <c r="C23" s="176" t="s">
        <v>793</v>
      </c>
      <c r="D23" s="179">
        <v>323998696966</v>
      </c>
      <c r="E23" s="179">
        <v>177298083083</v>
      </c>
      <c r="F23" s="178">
        <v>3.4230724292628598</v>
      </c>
    </row>
    <row r="24" spans="1:6" ht="39" customHeight="1">
      <c r="A24" s="176" t="s">
        <v>794</v>
      </c>
      <c r="B24" s="175" t="s">
        <v>795</v>
      </c>
      <c r="C24" s="176" t="s">
        <v>796</v>
      </c>
      <c r="D24" s="179" t="s">
        <v>797</v>
      </c>
      <c r="E24" s="179" t="s">
        <v>798</v>
      </c>
      <c r="F24" s="178" t="s">
        <v>799</v>
      </c>
    </row>
    <row r="25" spans="1:6" ht="48" customHeight="1">
      <c r="A25" s="176" t="s">
        <v>800</v>
      </c>
      <c r="B25" s="175" t="s">
        <v>801</v>
      </c>
      <c r="C25" s="176" t="s">
        <v>802</v>
      </c>
      <c r="D25" s="179">
        <v>26784612269</v>
      </c>
      <c r="E25" s="179">
        <v>9559590068</v>
      </c>
      <c r="F25" s="178">
        <v>2.6842469902963302</v>
      </c>
    </row>
    <row r="26" spans="1:6" ht="45" customHeight="1">
      <c r="A26" s="176" t="s">
        <v>803</v>
      </c>
      <c r="B26" s="175" t="s">
        <v>804</v>
      </c>
      <c r="C26" s="176" t="s">
        <v>805</v>
      </c>
      <c r="D26" s="179">
        <v>36224842</v>
      </c>
      <c r="E26" s="179">
        <v>131022502</v>
      </c>
      <c r="F26" s="178">
        <v>973.34126877502194</v>
      </c>
    </row>
    <row r="27" spans="1:6" ht="42" customHeight="1">
      <c r="A27" s="176" t="s">
        <v>806</v>
      </c>
      <c r="B27" s="175" t="s">
        <v>807</v>
      </c>
      <c r="C27" s="176" t="s">
        <v>808</v>
      </c>
      <c r="D27" s="179">
        <v>23677859855</v>
      </c>
      <c r="E27" s="179">
        <v>63407470513</v>
      </c>
      <c r="F27" s="178">
        <v>86.749155992359405</v>
      </c>
    </row>
    <row r="28" spans="1:6" ht="48" customHeight="1">
      <c r="A28" s="176" t="s">
        <v>809</v>
      </c>
      <c r="B28" s="175" t="s">
        <v>810</v>
      </c>
      <c r="C28" s="176" t="s">
        <v>811</v>
      </c>
      <c r="D28" s="179">
        <v>0</v>
      </c>
      <c r="E28" s="179">
        <v>0</v>
      </c>
      <c r="F28" s="178"/>
    </row>
    <row r="29" spans="1:6" ht="39" customHeight="1">
      <c r="A29" s="176" t="s">
        <v>812</v>
      </c>
      <c r="B29" s="175" t="s">
        <v>813</v>
      </c>
      <c r="C29" s="176" t="s">
        <v>814</v>
      </c>
      <c r="D29" s="179">
        <v>273500000000</v>
      </c>
      <c r="E29" s="179">
        <v>104200000000</v>
      </c>
      <c r="F29" s="178">
        <v>3.2405213270142199</v>
      </c>
    </row>
    <row r="30" spans="1:6" ht="39" customHeight="1">
      <c r="A30" s="176" t="s">
        <v>815</v>
      </c>
      <c r="B30" s="175" t="s">
        <v>816</v>
      </c>
      <c r="C30" s="176" t="s">
        <v>817</v>
      </c>
      <c r="D30" s="179">
        <v>871876481686</v>
      </c>
      <c r="E30" s="179">
        <v>1092170522887</v>
      </c>
      <c r="F30" s="178">
        <v>2.1946330379875798</v>
      </c>
    </row>
    <row r="31" spans="1:6" ht="39" customHeight="1">
      <c r="A31" s="176" t="s">
        <v>818</v>
      </c>
      <c r="B31" s="175" t="s">
        <v>819</v>
      </c>
      <c r="C31" s="176" t="s">
        <v>820</v>
      </c>
      <c r="D31" s="179" t="s">
        <v>821</v>
      </c>
      <c r="E31" s="179" t="s">
        <v>822</v>
      </c>
      <c r="F31" s="178" t="s">
        <v>823</v>
      </c>
    </row>
    <row r="32" spans="1:6" ht="39" customHeight="1">
      <c r="A32" s="176" t="s">
        <v>824</v>
      </c>
      <c r="B32" s="175" t="s">
        <v>825</v>
      </c>
      <c r="C32" s="176" t="s">
        <v>826</v>
      </c>
      <c r="D32" s="179">
        <v>0</v>
      </c>
      <c r="E32" s="179">
        <v>0</v>
      </c>
      <c r="F32" s="178"/>
    </row>
    <row r="33" spans="1:6" ht="39" customHeight="1">
      <c r="A33" s="176" t="s">
        <v>827</v>
      </c>
      <c r="B33" s="175" t="s">
        <v>828</v>
      </c>
      <c r="C33" s="176" t="s">
        <v>829</v>
      </c>
      <c r="D33" s="179">
        <v>0</v>
      </c>
      <c r="E33" s="179">
        <v>0</v>
      </c>
      <c r="F33" s="178"/>
    </row>
    <row r="34" spans="1:6" ht="39" customHeight="1">
      <c r="A34" s="176" t="s">
        <v>830</v>
      </c>
      <c r="B34" s="175" t="s">
        <v>831</v>
      </c>
      <c r="C34" s="176" t="s">
        <v>832</v>
      </c>
      <c r="D34" s="179">
        <v>565376481686</v>
      </c>
      <c r="E34" s="179">
        <v>785670522887</v>
      </c>
      <c r="F34" s="178">
        <v>2.0859126816791802</v>
      </c>
    </row>
    <row r="35" spans="1:6" ht="39" customHeight="1">
      <c r="A35" s="176" t="s">
        <v>833</v>
      </c>
      <c r="B35" s="175" t="s">
        <v>834</v>
      </c>
      <c r="C35" s="176" t="s">
        <v>835</v>
      </c>
      <c r="D35" s="179">
        <v>300000000000</v>
      </c>
      <c r="E35" s="179">
        <v>300000000000</v>
      </c>
      <c r="F35" s="178">
        <v>2.5182251173381802</v>
      </c>
    </row>
    <row r="36" spans="1:6" ht="39" customHeight="1">
      <c r="A36" s="176" t="s">
        <v>836</v>
      </c>
      <c r="B36" s="175" t="s">
        <v>837</v>
      </c>
      <c r="C36" s="176" t="s">
        <v>838</v>
      </c>
      <c r="D36" s="179">
        <v>6500000000</v>
      </c>
      <c r="E36" s="179">
        <v>6500000000</v>
      </c>
      <c r="F36" s="178">
        <v>0.91549295774647899</v>
      </c>
    </row>
    <row r="37" spans="1:6" ht="39" customHeight="1">
      <c r="A37" s="176" t="s">
        <v>839</v>
      </c>
      <c r="B37" s="175" t="s">
        <v>840</v>
      </c>
      <c r="C37" s="176" t="s">
        <v>841</v>
      </c>
      <c r="D37" s="179">
        <v>0</v>
      </c>
      <c r="E37" s="179">
        <v>0</v>
      </c>
      <c r="F37" s="178"/>
    </row>
    <row r="38" spans="1:6" ht="39" customHeight="1">
      <c r="A38" s="176" t="s">
        <v>842</v>
      </c>
      <c r="B38" s="175" t="s">
        <v>843</v>
      </c>
      <c r="C38" s="176" t="s">
        <v>844</v>
      </c>
      <c r="D38" s="179">
        <v>0</v>
      </c>
      <c r="E38" s="179">
        <v>0</v>
      </c>
      <c r="F38" s="178"/>
    </row>
    <row r="39" spans="1:6" ht="39" customHeight="1">
      <c r="A39" s="176" t="s">
        <v>845</v>
      </c>
      <c r="B39" s="175" t="s">
        <v>846</v>
      </c>
      <c r="C39" s="176" t="s">
        <v>847</v>
      </c>
      <c r="D39" s="179">
        <v>0</v>
      </c>
      <c r="E39" s="179">
        <v>0</v>
      </c>
      <c r="F39" s="178"/>
    </row>
    <row r="40" spans="1:6" ht="39" customHeight="1">
      <c r="A40" s="176" t="s">
        <v>848</v>
      </c>
      <c r="B40" s="175" t="s">
        <v>849</v>
      </c>
      <c r="C40" s="176" t="s">
        <v>850</v>
      </c>
      <c r="D40" s="179">
        <v>0</v>
      </c>
      <c r="E40" s="179">
        <v>0</v>
      </c>
      <c r="F40" s="178"/>
    </row>
    <row r="41" spans="1:6" ht="39" customHeight="1">
      <c r="A41" s="176" t="s">
        <v>851</v>
      </c>
      <c r="B41" s="175" t="s">
        <v>852</v>
      </c>
      <c r="C41" s="176" t="s">
        <v>853</v>
      </c>
      <c r="D41" s="179">
        <v>0</v>
      </c>
      <c r="E41" s="179">
        <v>0</v>
      </c>
      <c r="F41" s="178"/>
    </row>
    <row r="42" spans="1:6" ht="39" customHeight="1">
      <c r="A42" s="176" t="s">
        <v>854</v>
      </c>
      <c r="B42" s="175" t="s">
        <v>855</v>
      </c>
      <c r="C42" s="176" t="s">
        <v>856</v>
      </c>
      <c r="D42" s="179" t="s">
        <v>857</v>
      </c>
      <c r="E42" s="179" t="s">
        <v>858</v>
      </c>
      <c r="F42" s="178" t="s">
        <v>859</v>
      </c>
    </row>
    <row r="43" spans="1:6" ht="39" customHeight="1">
      <c r="A43" s="176" t="s">
        <v>860</v>
      </c>
      <c r="B43" s="175" t="s">
        <v>861</v>
      </c>
      <c r="C43" s="176" t="s">
        <v>862</v>
      </c>
      <c r="D43" s="179">
        <v>11464641880</v>
      </c>
      <c r="E43" s="179">
        <v>8480748492</v>
      </c>
      <c r="F43" s="178">
        <v>1.43945016435887</v>
      </c>
    </row>
    <row r="44" spans="1:6" ht="39" customHeight="1">
      <c r="A44" s="176" t="s">
        <v>863</v>
      </c>
      <c r="B44" s="175" t="s">
        <v>864</v>
      </c>
      <c r="C44" s="176" t="s">
        <v>865</v>
      </c>
      <c r="D44" s="179" t="s">
        <v>866</v>
      </c>
      <c r="E44" s="179" t="s">
        <v>867</v>
      </c>
      <c r="F44" s="178" t="s">
        <v>868</v>
      </c>
    </row>
    <row r="45" spans="1:6" ht="39" customHeight="1">
      <c r="A45" s="176" t="s">
        <v>869</v>
      </c>
      <c r="B45" s="175" t="s">
        <v>870</v>
      </c>
      <c r="C45" s="176" t="s">
        <v>871</v>
      </c>
      <c r="D45" s="179">
        <v>0</v>
      </c>
      <c r="E45" s="179">
        <v>0</v>
      </c>
      <c r="F45" s="178"/>
    </row>
    <row r="46" spans="1:6" ht="39" customHeight="1">
      <c r="A46" s="176" t="s">
        <v>872</v>
      </c>
      <c r="B46" s="175" t="s">
        <v>873</v>
      </c>
      <c r="C46" s="176" t="s">
        <v>874</v>
      </c>
      <c r="D46" s="179">
        <v>11464641880</v>
      </c>
      <c r="E46" s="179">
        <v>8480748492</v>
      </c>
      <c r="F46" s="178">
        <v>1.43945016435887</v>
      </c>
    </row>
    <row r="47" spans="1:6" ht="39" customHeight="1">
      <c r="A47" s="176" t="s">
        <v>875</v>
      </c>
      <c r="B47" s="175" t="s">
        <v>876</v>
      </c>
      <c r="C47" s="176" t="s">
        <v>877</v>
      </c>
      <c r="D47" s="179">
        <v>6261653425</v>
      </c>
      <c r="E47" s="179">
        <v>4737752054</v>
      </c>
      <c r="F47" s="178">
        <v>1.47868522574283</v>
      </c>
    </row>
    <row r="48" spans="1:6" ht="39" customHeight="1">
      <c r="A48" s="176" t="s">
        <v>878</v>
      </c>
      <c r="B48" s="175" t="s">
        <v>879</v>
      </c>
      <c r="C48" s="176" t="s">
        <v>880</v>
      </c>
      <c r="D48" s="179" t="s">
        <v>881</v>
      </c>
      <c r="E48" s="179" t="s">
        <v>882</v>
      </c>
      <c r="F48" s="178" t="s">
        <v>883</v>
      </c>
    </row>
    <row r="49" spans="1:6" ht="39" customHeight="1">
      <c r="A49" s="176" t="s">
        <v>884</v>
      </c>
      <c r="B49" s="175" t="s">
        <v>885</v>
      </c>
      <c r="C49" s="176" t="s">
        <v>886</v>
      </c>
      <c r="D49" s="179">
        <v>248338356</v>
      </c>
      <c r="E49" s="179">
        <v>379779452</v>
      </c>
      <c r="F49" s="178">
        <v>0.82634407405505395</v>
      </c>
    </row>
    <row r="50" spans="1:6" ht="39" customHeight="1">
      <c r="A50" s="176" t="s">
        <v>887</v>
      </c>
      <c r="B50" s="175" t="s">
        <v>888</v>
      </c>
      <c r="C50" s="176" t="s">
        <v>889</v>
      </c>
      <c r="D50" s="179">
        <v>6013315069</v>
      </c>
      <c r="E50" s="179">
        <v>4357972602</v>
      </c>
      <c r="F50" s="178">
        <v>1.52851790430297</v>
      </c>
    </row>
    <row r="51" spans="1:6" ht="39" customHeight="1">
      <c r="A51" s="176" t="s">
        <v>890</v>
      </c>
      <c r="B51" s="175" t="s">
        <v>891</v>
      </c>
      <c r="C51" s="176" t="s">
        <v>892</v>
      </c>
      <c r="D51" s="179">
        <v>0</v>
      </c>
      <c r="E51" s="179">
        <v>0</v>
      </c>
      <c r="F51" s="178"/>
    </row>
    <row r="52" spans="1:6" ht="39" customHeight="1">
      <c r="A52" s="176" t="s">
        <v>893</v>
      </c>
      <c r="B52" s="175" t="s">
        <v>894</v>
      </c>
      <c r="C52" s="176" t="s">
        <v>895</v>
      </c>
      <c r="D52" s="179">
        <v>0</v>
      </c>
      <c r="E52" s="179">
        <v>0</v>
      </c>
      <c r="F52" s="178"/>
    </row>
    <row r="53" spans="1:6" ht="39" customHeight="1">
      <c r="A53" s="176" t="s">
        <v>896</v>
      </c>
      <c r="B53" s="175" t="s">
        <v>897</v>
      </c>
      <c r="C53" s="176" t="s">
        <v>898</v>
      </c>
      <c r="D53" s="179" t="s">
        <v>899</v>
      </c>
      <c r="E53" s="179" t="s">
        <v>900</v>
      </c>
      <c r="F53" s="178" t="s">
        <v>901</v>
      </c>
    </row>
    <row r="54" spans="1:6" ht="39" customHeight="1">
      <c r="A54" s="176" t="s">
        <v>902</v>
      </c>
      <c r="B54" s="175" t="s">
        <v>903</v>
      </c>
      <c r="C54" s="176" t="s">
        <v>904</v>
      </c>
      <c r="D54" s="179">
        <v>0</v>
      </c>
      <c r="E54" s="179">
        <v>106071300000</v>
      </c>
      <c r="F54" s="178"/>
    </row>
    <row r="55" spans="1:6" ht="39" customHeight="1">
      <c r="A55" s="176" t="s">
        <v>905</v>
      </c>
      <c r="B55" s="175" t="s">
        <v>906</v>
      </c>
      <c r="C55" s="176" t="s">
        <v>907</v>
      </c>
      <c r="D55" s="179" t="s">
        <v>908</v>
      </c>
      <c r="E55" s="179" t="s">
        <v>909</v>
      </c>
      <c r="F55" s="178" t="s">
        <v>910</v>
      </c>
    </row>
    <row r="56" spans="1:6" ht="39" customHeight="1">
      <c r="A56" s="176" t="s">
        <v>911</v>
      </c>
      <c r="B56" s="175" t="s">
        <v>912</v>
      </c>
      <c r="C56" s="176" t="s">
        <v>913</v>
      </c>
      <c r="D56" s="179">
        <v>0</v>
      </c>
      <c r="E56" s="179">
        <v>0</v>
      </c>
      <c r="F56" s="178">
        <v>0</v>
      </c>
    </row>
    <row r="57" spans="1:6" ht="39" customHeight="1">
      <c r="A57" s="176" t="s">
        <v>914</v>
      </c>
      <c r="B57" s="175" t="s">
        <v>915</v>
      </c>
      <c r="C57" s="176" t="s">
        <v>916</v>
      </c>
      <c r="D57" s="179" t="s">
        <v>917</v>
      </c>
      <c r="E57" s="179" t="s">
        <v>918</v>
      </c>
      <c r="F57" s="178" t="s">
        <v>919</v>
      </c>
    </row>
    <row r="58" spans="1:6" ht="39" customHeight="1">
      <c r="A58" s="176" t="s">
        <v>920</v>
      </c>
      <c r="B58" s="175" t="s">
        <v>921</v>
      </c>
      <c r="C58" s="176" t="s">
        <v>922</v>
      </c>
      <c r="D58" s="179">
        <v>0</v>
      </c>
      <c r="E58" s="179">
        <v>0</v>
      </c>
      <c r="F58" s="178"/>
    </row>
    <row r="59" spans="1:6" ht="39" customHeight="1">
      <c r="A59" s="176" t="s">
        <v>923</v>
      </c>
      <c r="B59" s="175" t="s">
        <v>924</v>
      </c>
      <c r="C59" s="176" t="s">
        <v>925</v>
      </c>
      <c r="D59" s="179">
        <v>0</v>
      </c>
      <c r="E59" s="179">
        <v>0</v>
      </c>
      <c r="F59" s="178"/>
    </row>
    <row r="60" spans="1:6" ht="39" customHeight="1">
      <c r="A60" s="176" t="s">
        <v>926</v>
      </c>
      <c r="B60" s="175" t="s">
        <v>927</v>
      </c>
      <c r="C60" s="176" t="s">
        <v>928</v>
      </c>
      <c r="D60" s="179">
        <v>0</v>
      </c>
      <c r="E60" s="179">
        <v>0</v>
      </c>
      <c r="F60" s="178">
        <v>0</v>
      </c>
    </row>
    <row r="61" spans="1:6" ht="39" customHeight="1">
      <c r="A61" s="176" t="s">
        <v>929</v>
      </c>
      <c r="B61" s="175" t="s">
        <v>930</v>
      </c>
      <c r="C61" s="176" t="s">
        <v>931</v>
      </c>
      <c r="D61" s="179">
        <v>43058071</v>
      </c>
      <c r="E61" s="179">
        <v>54946562</v>
      </c>
      <c r="F61" s="178"/>
    </row>
    <row r="62" spans="1:6" ht="39" customHeight="1">
      <c r="A62" s="176" t="s">
        <v>932</v>
      </c>
      <c r="B62" s="175" t="s">
        <v>933</v>
      </c>
      <c r="C62" s="176" t="s">
        <v>934</v>
      </c>
      <c r="D62" s="179" t="s">
        <v>935</v>
      </c>
      <c r="E62" s="179" t="s">
        <v>936</v>
      </c>
      <c r="F62" s="178" t="s">
        <v>937</v>
      </c>
    </row>
    <row r="63" spans="1:6" ht="39" customHeight="1">
      <c r="A63" s="181" t="s">
        <v>938</v>
      </c>
      <c r="B63" s="180" t="s">
        <v>939</v>
      </c>
      <c r="C63" s="181" t="s">
        <v>940</v>
      </c>
      <c r="D63" s="183">
        <v>1213644532028</v>
      </c>
      <c r="E63" s="183">
        <v>1388813353078</v>
      </c>
      <c r="F63" s="182">
        <v>2.4074157271942598</v>
      </c>
    </row>
    <row r="64" spans="1:6" ht="39" customHeight="1">
      <c r="A64" s="181" t="s">
        <v>941</v>
      </c>
      <c r="B64" s="180" t="s">
        <v>942</v>
      </c>
      <c r="C64" s="181" t="s">
        <v>943</v>
      </c>
      <c r="D64" s="183"/>
      <c r="E64" s="183"/>
      <c r="F64" s="182"/>
    </row>
    <row r="65" spans="1:6" ht="39" customHeight="1">
      <c r="A65" s="176" t="s">
        <v>944</v>
      </c>
      <c r="B65" s="175" t="s">
        <v>945</v>
      </c>
      <c r="C65" s="176" t="s">
        <v>946</v>
      </c>
      <c r="D65" s="179">
        <v>0</v>
      </c>
      <c r="E65" s="179">
        <v>0</v>
      </c>
      <c r="F65" s="178"/>
    </row>
    <row r="66" spans="1:6" ht="39" customHeight="1">
      <c r="A66" s="176" t="s">
        <v>947</v>
      </c>
      <c r="B66" s="175" t="s">
        <v>948</v>
      </c>
      <c r="C66" s="176" t="s">
        <v>949</v>
      </c>
      <c r="D66" s="179" t="s">
        <v>950</v>
      </c>
      <c r="E66" s="179" t="s">
        <v>951</v>
      </c>
      <c r="F66" s="178" t="s">
        <v>952</v>
      </c>
    </row>
    <row r="67" spans="1:6" ht="39" customHeight="1">
      <c r="A67" s="176" t="s">
        <v>953</v>
      </c>
      <c r="B67" s="175" t="s">
        <v>954</v>
      </c>
      <c r="C67" s="176" t="s">
        <v>955</v>
      </c>
      <c r="D67" s="179">
        <v>0</v>
      </c>
      <c r="E67" s="179">
        <v>0</v>
      </c>
      <c r="F67" s="178"/>
    </row>
    <row r="68" spans="1:6" ht="39" customHeight="1">
      <c r="A68" s="176" t="s">
        <v>956</v>
      </c>
      <c r="B68" s="175" t="s">
        <v>957</v>
      </c>
      <c r="C68" s="176" t="s">
        <v>958</v>
      </c>
      <c r="D68" s="179" t="s">
        <v>959</v>
      </c>
      <c r="E68" s="179" t="s">
        <v>960</v>
      </c>
      <c r="F68" s="178" t="s">
        <v>961</v>
      </c>
    </row>
    <row r="69" spans="1:6" ht="39" customHeight="1">
      <c r="A69" s="176" t="s">
        <v>962</v>
      </c>
      <c r="B69" s="175" t="s">
        <v>963</v>
      </c>
      <c r="C69" s="176" t="s">
        <v>964</v>
      </c>
      <c r="D69" s="179">
        <v>28965631749</v>
      </c>
      <c r="E69" s="179">
        <v>12545230853</v>
      </c>
      <c r="F69" s="178">
        <v>2.7049040340202999</v>
      </c>
    </row>
    <row r="70" spans="1:6" ht="39" customHeight="1">
      <c r="A70" s="176" t="s">
        <v>965</v>
      </c>
      <c r="B70" s="175" t="s">
        <v>966</v>
      </c>
      <c r="C70" s="176" t="s">
        <v>967</v>
      </c>
      <c r="D70" s="179" t="s">
        <v>968</v>
      </c>
      <c r="E70" s="179" t="s">
        <v>969</v>
      </c>
      <c r="F70" s="178" t="s">
        <v>970</v>
      </c>
    </row>
    <row r="71" spans="1:6" ht="39" customHeight="1">
      <c r="A71" s="176" t="s">
        <v>971</v>
      </c>
      <c r="B71" s="175" t="s">
        <v>972</v>
      </c>
      <c r="C71" s="176" t="s">
        <v>973</v>
      </c>
      <c r="D71" s="179">
        <v>26820837111</v>
      </c>
      <c r="E71" s="179">
        <v>9690612570</v>
      </c>
      <c r="F71" s="178">
        <v>2.68786727440642</v>
      </c>
    </row>
    <row r="72" spans="1:6" ht="39" customHeight="1">
      <c r="A72" s="176" t="s">
        <v>974</v>
      </c>
      <c r="B72" s="175" t="s">
        <v>975</v>
      </c>
      <c r="C72" s="176" t="s">
        <v>976</v>
      </c>
      <c r="D72" s="179">
        <v>26784612269</v>
      </c>
      <c r="E72" s="179">
        <v>9559590068</v>
      </c>
      <c r="F72" s="178">
        <v>2.6842469902963302</v>
      </c>
    </row>
    <row r="73" spans="1:6" ht="48" customHeight="1">
      <c r="A73" s="176" t="s">
        <v>977</v>
      </c>
      <c r="B73" s="175" t="s">
        <v>978</v>
      </c>
      <c r="C73" s="176" t="s">
        <v>979</v>
      </c>
      <c r="D73" s="179">
        <v>0</v>
      </c>
      <c r="E73" s="179">
        <v>0</v>
      </c>
      <c r="F73" s="178"/>
    </row>
    <row r="74" spans="1:6" ht="39" customHeight="1">
      <c r="A74" s="176" t="s">
        <v>980</v>
      </c>
      <c r="B74" s="175" t="s">
        <v>981</v>
      </c>
      <c r="C74" s="176" t="s">
        <v>982</v>
      </c>
      <c r="D74" s="179">
        <v>0</v>
      </c>
      <c r="E74" s="179">
        <v>0</v>
      </c>
      <c r="F74" s="178"/>
    </row>
    <row r="75" spans="1:6" ht="39" customHeight="1">
      <c r="A75" s="176" t="s">
        <v>983</v>
      </c>
      <c r="B75" s="175" t="s">
        <v>984</v>
      </c>
      <c r="C75" s="176" t="s">
        <v>985</v>
      </c>
      <c r="D75" s="179">
        <v>36224842</v>
      </c>
      <c r="E75" s="179">
        <v>131022502</v>
      </c>
      <c r="F75" s="178">
        <v>973.34126877502194</v>
      </c>
    </row>
    <row r="76" spans="1:6" ht="39" customHeight="1">
      <c r="A76" s="176" t="s">
        <v>986</v>
      </c>
      <c r="B76" s="175" t="s">
        <v>987</v>
      </c>
      <c r="C76" s="176" t="s">
        <v>988</v>
      </c>
      <c r="D76" s="179">
        <v>671566661</v>
      </c>
      <c r="E76" s="179">
        <v>967533650</v>
      </c>
      <c r="F76" s="178">
        <v>6.8129368165522202</v>
      </c>
    </row>
    <row r="77" spans="1:6" ht="61" customHeight="1">
      <c r="A77" s="176" t="s">
        <v>989</v>
      </c>
      <c r="B77" s="175" t="s">
        <v>990</v>
      </c>
      <c r="C77" s="176" t="s">
        <v>991</v>
      </c>
      <c r="D77" s="179">
        <v>0</v>
      </c>
      <c r="E77" s="179">
        <v>0</v>
      </c>
      <c r="F77" s="178">
        <v>0</v>
      </c>
    </row>
    <row r="78" spans="1:6" ht="39" customHeight="1">
      <c r="A78" s="176" t="s">
        <v>992</v>
      </c>
      <c r="B78" s="175" t="s">
        <v>993</v>
      </c>
      <c r="C78" s="176" t="s">
        <v>994</v>
      </c>
      <c r="D78" s="179">
        <v>0</v>
      </c>
      <c r="E78" s="179">
        <v>0</v>
      </c>
      <c r="F78" s="178"/>
    </row>
    <row r="79" spans="1:6" ht="39" customHeight="1">
      <c r="A79" s="176" t="s">
        <v>995</v>
      </c>
      <c r="B79" s="175" t="s">
        <v>996</v>
      </c>
      <c r="C79" s="176" t="s">
        <v>997</v>
      </c>
      <c r="D79" s="179">
        <v>10491803</v>
      </c>
      <c r="E79" s="179">
        <v>10000000</v>
      </c>
      <c r="F79" s="178">
        <v>1.0003939864246301</v>
      </c>
    </row>
    <row r="80" spans="1:6" ht="39" customHeight="1">
      <c r="A80" s="176" t="s">
        <v>998</v>
      </c>
      <c r="B80" s="175" t="s">
        <v>999</v>
      </c>
      <c r="C80" s="176" t="s">
        <v>1000</v>
      </c>
      <c r="D80" s="179">
        <v>1216251099</v>
      </c>
      <c r="E80" s="179">
        <v>1576960997</v>
      </c>
      <c r="F80" s="178">
        <v>2.8066930919495898</v>
      </c>
    </row>
    <row r="81" spans="1:6" ht="39" customHeight="1">
      <c r="A81" s="176" t="s">
        <v>1001</v>
      </c>
      <c r="B81" s="175" t="s">
        <v>1002</v>
      </c>
      <c r="C81" s="176" t="s">
        <v>1003</v>
      </c>
      <c r="D81" s="179">
        <v>51058374</v>
      </c>
      <c r="E81" s="179">
        <v>64284404</v>
      </c>
      <c r="F81" s="178">
        <v>1.3702347936933901</v>
      </c>
    </row>
    <row r="82" spans="1:6" ht="39" customHeight="1">
      <c r="A82" s="176" t="s">
        <v>1004</v>
      </c>
      <c r="B82" s="175" t="s">
        <v>1005</v>
      </c>
      <c r="C82" s="176" t="s">
        <v>1006</v>
      </c>
      <c r="D82" s="179">
        <v>33446906</v>
      </c>
      <c r="E82" s="179">
        <v>43366427</v>
      </c>
      <c r="F82" s="178">
        <v>1.8428047382920101</v>
      </c>
    </row>
    <row r="83" spans="1:6" ht="39" customHeight="1">
      <c r="A83" s="176" t="s">
        <v>1007</v>
      </c>
      <c r="B83" s="175" t="s">
        <v>1008</v>
      </c>
      <c r="C83" s="176" t="s">
        <v>1009</v>
      </c>
      <c r="D83" s="179">
        <v>0</v>
      </c>
      <c r="E83" s="179">
        <v>15910695</v>
      </c>
      <c r="F83" s="178"/>
    </row>
    <row r="84" spans="1:6" ht="39" customHeight="1">
      <c r="A84" s="176" t="s">
        <v>1010</v>
      </c>
      <c r="B84" s="175" t="s">
        <v>1011</v>
      </c>
      <c r="C84" s="176" t="s">
        <v>1012</v>
      </c>
      <c r="D84" s="179">
        <v>0</v>
      </c>
      <c r="E84" s="179">
        <v>15910695</v>
      </c>
      <c r="F84" s="178"/>
    </row>
    <row r="85" spans="1:6" ht="46" customHeight="1">
      <c r="A85" s="176" t="s">
        <v>1013</v>
      </c>
      <c r="B85" s="175" t="s">
        <v>1014</v>
      </c>
      <c r="C85" s="176" t="s">
        <v>1015</v>
      </c>
      <c r="D85" s="179">
        <v>0</v>
      </c>
      <c r="E85" s="179">
        <v>0</v>
      </c>
      <c r="F85" s="178"/>
    </row>
    <row r="86" spans="1:6" ht="39" customHeight="1">
      <c r="A86" s="176" t="s">
        <v>1016</v>
      </c>
      <c r="B86" s="175" t="s">
        <v>1017</v>
      </c>
      <c r="C86" s="176" t="s">
        <v>1018</v>
      </c>
      <c r="D86" s="179">
        <v>54277130</v>
      </c>
      <c r="E86" s="179">
        <v>68706710</v>
      </c>
      <c r="F86" s="178">
        <v>2.7256278050831999</v>
      </c>
    </row>
    <row r="87" spans="1:6" ht="39" customHeight="1">
      <c r="A87" s="176" t="s">
        <v>1019</v>
      </c>
      <c r="B87" s="175" t="s">
        <v>1020</v>
      </c>
      <c r="C87" s="176" t="s">
        <v>1021</v>
      </c>
      <c r="D87" s="179">
        <v>50677130</v>
      </c>
      <c r="E87" s="179">
        <v>65706710</v>
      </c>
      <c r="F87" s="178">
        <v>2.7080338523402099</v>
      </c>
    </row>
    <row r="88" spans="1:6" ht="39" customHeight="1">
      <c r="A88" s="176" t="s">
        <v>1022</v>
      </c>
      <c r="B88" s="175" t="s">
        <v>1023</v>
      </c>
      <c r="C88" s="176" t="s">
        <v>1024</v>
      </c>
      <c r="D88" s="179">
        <v>3150000</v>
      </c>
      <c r="E88" s="179">
        <v>2550000</v>
      </c>
      <c r="F88" s="178">
        <v>4.2</v>
      </c>
    </row>
    <row r="89" spans="1:6" ht="60" customHeight="1">
      <c r="A89" s="176" t="s">
        <v>1025</v>
      </c>
      <c r="B89" s="175" t="s">
        <v>1026</v>
      </c>
      <c r="C89" s="176" t="s">
        <v>1027</v>
      </c>
      <c r="D89" s="179">
        <v>450000</v>
      </c>
      <c r="E89" s="179">
        <v>450000</v>
      </c>
      <c r="F89" s="178">
        <v>1</v>
      </c>
    </row>
    <row r="90" spans="1:6" ht="39" customHeight="1">
      <c r="A90" s="176" t="s">
        <v>1028</v>
      </c>
      <c r="B90" s="175" t="s">
        <v>1029</v>
      </c>
      <c r="C90" s="176" t="s">
        <v>1030</v>
      </c>
      <c r="D90" s="179">
        <v>34586667</v>
      </c>
      <c r="E90" s="179">
        <v>23586667</v>
      </c>
      <c r="F90" s="178">
        <v>1.2083066774547899</v>
      </c>
    </row>
    <row r="91" spans="1:6" ht="39" customHeight="1">
      <c r="A91" s="176" t="s">
        <v>1031</v>
      </c>
      <c r="B91" s="175" t="s">
        <v>1032</v>
      </c>
      <c r="C91" s="176" t="s">
        <v>1033</v>
      </c>
      <c r="D91" s="179">
        <v>23301244</v>
      </c>
      <c r="E91" s="179">
        <v>17426981</v>
      </c>
      <c r="F91" s="178"/>
    </row>
    <row r="92" spans="1:6" ht="39" customHeight="1">
      <c r="A92" s="176" t="s">
        <v>1034</v>
      </c>
      <c r="B92" s="175" t="s">
        <v>1035</v>
      </c>
      <c r="C92" s="176" t="s">
        <v>1036</v>
      </c>
      <c r="D92" s="179">
        <v>0</v>
      </c>
      <c r="E92" s="179">
        <v>0</v>
      </c>
      <c r="F92" s="178"/>
    </row>
    <row r="93" spans="1:6" ht="39" customHeight="1">
      <c r="A93" s="176" t="s">
        <v>1037</v>
      </c>
      <c r="B93" s="175" t="s">
        <v>1038</v>
      </c>
      <c r="C93" s="176" t="s">
        <v>1039</v>
      </c>
      <c r="D93" s="179">
        <v>13200000</v>
      </c>
      <c r="E93" s="179">
        <v>13200000</v>
      </c>
      <c r="F93" s="178">
        <v>1</v>
      </c>
    </row>
    <row r="94" spans="1:6" ht="48" customHeight="1">
      <c r="A94" s="176" t="s">
        <v>1040</v>
      </c>
      <c r="B94" s="175" t="s">
        <v>1041</v>
      </c>
      <c r="C94" s="176" t="s">
        <v>1042</v>
      </c>
      <c r="D94" s="179">
        <v>0</v>
      </c>
      <c r="E94" s="179">
        <v>0</v>
      </c>
      <c r="F94" s="178"/>
    </row>
    <row r="95" spans="1:6" ht="39" customHeight="1">
      <c r="A95" s="176" t="s">
        <v>1043</v>
      </c>
      <c r="B95" s="175" t="s">
        <v>1044</v>
      </c>
      <c r="C95" s="176" t="s">
        <v>1045</v>
      </c>
      <c r="D95" s="179">
        <v>0</v>
      </c>
      <c r="E95" s="179">
        <v>0</v>
      </c>
      <c r="F95" s="178"/>
    </row>
    <row r="96" spans="1:6" ht="39" customHeight="1">
      <c r="A96" s="176" t="s">
        <v>1046</v>
      </c>
      <c r="B96" s="175" t="s">
        <v>1047</v>
      </c>
      <c r="C96" s="176" t="s">
        <v>1048</v>
      </c>
      <c r="D96" s="179">
        <v>36614754</v>
      </c>
      <c r="E96" s="179">
        <v>53641752</v>
      </c>
      <c r="F96" s="178">
        <v>1.00864759627181</v>
      </c>
    </row>
    <row r="97" spans="1:6" ht="39" customHeight="1">
      <c r="A97" s="176" t="s">
        <v>1049</v>
      </c>
      <c r="B97" s="175" t="s">
        <v>1050</v>
      </c>
      <c r="C97" s="176" t="s">
        <v>1051</v>
      </c>
      <c r="D97" s="179">
        <v>23500000</v>
      </c>
      <c r="E97" s="179">
        <v>15836957</v>
      </c>
      <c r="F97" s="178">
        <v>1</v>
      </c>
    </row>
    <row r="98" spans="1:6" ht="48" customHeight="1">
      <c r="A98" s="176" t="s">
        <v>1052</v>
      </c>
      <c r="B98" s="175" t="s">
        <v>1053</v>
      </c>
      <c r="C98" s="176" t="s">
        <v>1054</v>
      </c>
      <c r="D98" s="179">
        <v>0</v>
      </c>
      <c r="E98" s="179">
        <v>0</v>
      </c>
      <c r="F98" s="178"/>
    </row>
    <row r="99" spans="1:6" ht="45" customHeight="1">
      <c r="A99" s="176" t="s">
        <v>1055</v>
      </c>
      <c r="B99" s="175" t="s">
        <v>1056</v>
      </c>
      <c r="C99" s="176" t="s">
        <v>1057</v>
      </c>
      <c r="D99" s="179">
        <v>13114754</v>
      </c>
      <c r="E99" s="179">
        <v>12500000</v>
      </c>
      <c r="F99" s="178">
        <v>2.33791709160867</v>
      </c>
    </row>
    <row r="100" spans="1:6" ht="39" customHeight="1">
      <c r="A100" s="176" t="s">
        <v>1058</v>
      </c>
      <c r="B100" s="175" t="s">
        <v>1059</v>
      </c>
      <c r="C100" s="176" t="s">
        <v>1060</v>
      </c>
      <c r="D100" s="179">
        <v>0</v>
      </c>
      <c r="E100" s="179">
        <v>25304795</v>
      </c>
      <c r="F100" s="178">
        <v>0</v>
      </c>
    </row>
    <row r="101" spans="1:6" ht="39" customHeight="1">
      <c r="A101" s="176" t="s">
        <v>1061</v>
      </c>
      <c r="B101" s="175" t="s">
        <v>1062</v>
      </c>
      <c r="C101" s="176" t="s">
        <v>1063</v>
      </c>
      <c r="D101" s="179">
        <v>0</v>
      </c>
      <c r="E101" s="179">
        <v>0</v>
      </c>
      <c r="F101" s="178"/>
    </row>
    <row r="102" spans="1:6" ht="39" customHeight="1">
      <c r="A102" s="176" t="s">
        <v>1064</v>
      </c>
      <c r="B102" s="175" t="s">
        <v>1065</v>
      </c>
      <c r="C102" s="176" t="s">
        <v>1066</v>
      </c>
      <c r="D102" s="179">
        <v>0</v>
      </c>
      <c r="E102" s="179">
        <v>0</v>
      </c>
      <c r="F102" s="178"/>
    </row>
    <row r="103" spans="1:6" ht="39" customHeight="1">
      <c r="A103" s="176" t="s">
        <v>1067</v>
      </c>
      <c r="B103" s="175" t="s">
        <v>1068</v>
      </c>
      <c r="C103" s="176" t="s">
        <v>1069</v>
      </c>
      <c r="D103" s="179">
        <v>0</v>
      </c>
      <c r="E103" s="179">
        <v>0</v>
      </c>
      <c r="F103" s="178"/>
    </row>
    <row r="104" spans="1:6" ht="39" customHeight="1">
      <c r="A104" s="176" t="s">
        <v>1070</v>
      </c>
      <c r="B104" s="175" t="s">
        <v>1071</v>
      </c>
      <c r="C104" s="176" t="s">
        <v>1072</v>
      </c>
      <c r="D104" s="179">
        <v>0</v>
      </c>
      <c r="E104" s="179">
        <v>0</v>
      </c>
      <c r="F104" s="178"/>
    </row>
    <row r="105" spans="1:6" ht="39" customHeight="1">
      <c r="A105" s="181" t="s">
        <v>1073</v>
      </c>
      <c r="B105" s="180" t="s">
        <v>1074</v>
      </c>
      <c r="C105" s="181" t="s">
        <v>1075</v>
      </c>
      <c r="D105" s="183">
        <v>28965631749</v>
      </c>
      <c r="E105" s="183">
        <v>12545230853</v>
      </c>
      <c r="F105" s="182">
        <v>2.7049040340202999</v>
      </c>
    </row>
    <row r="106" spans="1:6" ht="39" customHeight="1">
      <c r="A106" s="176" t="s">
        <v>1076</v>
      </c>
      <c r="B106" s="175" t="s">
        <v>1077</v>
      </c>
      <c r="C106" s="176" t="s">
        <v>1078</v>
      </c>
      <c r="D106" s="179">
        <v>1184678900279</v>
      </c>
      <c r="E106" s="179">
        <v>1376268122225</v>
      </c>
      <c r="F106" s="178">
        <v>2.40095940482527</v>
      </c>
    </row>
    <row r="107" spans="1:6" ht="39" customHeight="1">
      <c r="A107" s="176" t="s">
        <v>1079</v>
      </c>
      <c r="B107" s="175" t="s">
        <v>1080</v>
      </c>
      <c r="C107" s="176" t="s">
        <v>1081</v>
      </c>
      <c r="D107" s="184">
        <v>106868925.22</v>
      </c>
      <c r="E107" s="184">
        <v>124617577.34</v>
      </c>
      <c r="F107" s="178">
        <v>2.2682408091318602</v>
      </c>
    </row>
    <row r="108" spans="1:6" ht="39" customHeight="1">
      <c r="A108" s="176" t="s">
        <v>1082</v>
      </c>
      <c r="B108" s="175" t="s">
        <v>1083</v>
      </c>
      <c r="C108" s="176" t="s">
        <v>1084</v>
      </c>
      <c r="D108" s="184">
        <v>11085.34</v>
      </c>
      <c r="E108" s="184">
        <v>11043.93</v>
      </c>
      <c r="F108" s="178">
        <v>1.0585119029999299</v>
      </c>
    </row>
    <row r="109" spans="1:6" s="4" customFormat="1" ht="16.899999999999999" customHeight="1"/>
    <row r="110" spans="1:6" s="4" customFormat="1" ht="16.899999999999999" customHeight="1">
      <c r="A110" s="18" t="s">
        <v>10</v>
      </c>
      <c r="B110" s="5"/>
      <c r="C110" s="5"/>
      <c r="E110" s="18" t="s">
        <v>11</v>
      </c>
      <c r="F110" s="5"/>
    </row>
    <row r="111" spans="1:6" s="8" customFormat="1" ht="16.899999999999999" customHeight="1">
      <c r="A111" s="19" t="s">
        <v>12</v>
      </c>
      <c r="B111" s="9"/>
      <c r="C111" s="9"/>
      <c r="E111" s="19"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195" t="s">
        <v>1114</v>
      </c>
      <c r="B118" s="195"/>
      <c r="C118" s="5"/>
      <c r="D118" s="7"/>
      <c r="E118" s="195" t="s">
        <v>1114</v>
      </c>
      <c r="F118" s="195"/>
    </row>
    <row r="119" spans="1:6" s="4" customFormat="1" ht="16.899999999999999" customHeight="1">
      <c r="A119" s="79" t="s">
        <v>14</v>
      </c>
      <c r="B119" s="7"/>
      <c r="C119" s="5"/>
      <c r="D119" s="6"/>
      <c r="E119" s="79" t="s">
        <v>1087</v>
      </c>
      <c r="F119" s="7"/>
    </row>
    <row r="120" spans="1:6" s="4" customFormat="1" ht="16.899999999999999" customHeight="1">
      <c r="A120" s="79" t="s">
        <v>1093</v>
      </c>
      <c r="B120" s="7"/>
      <c r="C120" s="5"/>
      <c r="E120" s="79" t="s">
        <v>1094</v>
      </c>
      <c r="F120" s="7"/>
    </row>
    <row r="121" spans="1:6" s="4" customFormat="1" ht="16.899999999999999" customHeight="1">
      <c r="A121" s="5" t="s">
        <v>1095</v>
      </c>
      <c r="B121" s="5"/>
      <c r="C121" s="5"/>
      <c r="E121" s="5" t="s">
        <v>1096</v>
      </c>
      <c r="F121" s="5"/>
    </row>
    <row r="122" spans="1:6" ht="16.899999999999999" customHeight="1"/>
  </sheetData>
  <mergeCells count="22">
    <mergeCell ref="E118:F118"/>
    <mergeCell ref="A118:B118"/>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74" zoomScale="70" zoomScaleNormal="100" zoomScaleSheetLayoutView="70" workbookViewId="0">
      <selection activeCell="B81" sqref="B81"/>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2"/>
  </cols>
  <sheetData>
    <row r="1" spans="1:6" ht="54.75" customHeight="1">
      <c r="A1" s="201" t="s">
        <v>570</v>
      </c>
      <c r="B1" s="201"/>
      <c r="C1" s="201"/>
      <c r="D1" s="201"/>
      <c r="E1" s="201"/>
      <c r="F1" s="201"/>
    </row>
    <row r="2" spans="1:6" ht="54.75" customHeight="1">
      <c r="A2" s="202" t="s">
        <v>571</v>
      </c>
      <c r="B2" s="202"/>
      <c r="C2" s="202"/>
      <c r="D2" s="202"/>
      <c r="E2" s="202"/>
      <c r="F2" s="202"/>
    </row>
    <row r="3" spans="1:6" ht="22.5" customHeight="1">
      <c r="A3" s="203" t="s">
        <v>521</v>
      </c>
      <c r="B3" s="203"/>
      <c r="C3" s="203"/>
      <c r="D3" s="203"/>
      <c r="E3" s="203"/>
      <c r="F3" s="203"/>
    </row>
    <row r="4" spans="1:6" ht="21" customHeight="1">
      <c r="A4" s="203"/>
      <c r="B4" s="203"/>
      <c r="C4" s="203"/>
      <c r="D4" s="203"/>
      <c r="E4" s="203"/>
      <c r="F4" s="203"/>
    </row>
    <row r="5" spans="1:6" ht="16.149999999999999" customHeight="1">
      <c r="A5" s="204" t="str">
        <f>TONGQUAN!C2</f>
        <v>Tháng 09 năm 2024
/ Sep 2024</v>
      </c>
      <c r="B5" s="204"/>
      <c r="C5" s="204"/>
      <c r="D5" s="204"/>
      <c r="E5" s="204"/>
      <c r="F5" s="204"/>
    </row>
    <row r="7" spans="1:6" ht="16.899999999999999" customHeight="1">
      <c r="A7" s="108" t="s">
        <v>2</v>
      </c>
      <c r="C7" s="205" t="str">
        <f>TONGQUAN!D5</f>
        <v>Công ty Cổ phần Quản lý Quỹ Đầu tư Dragon Capital Việt Nam</v>
      </c>
      <c r="D7" s="205"/>
      <c r="E7" s="205"/>
      <c r="F7" s="205"/>
    </row>
    <row r="8" spans="1:6" ht="16.899999999999999" customHeight="1">
      <c r="A8" s="14" t="s">
        <v>15</v>
      </c>
      <c r="C8" s="200" t="str">
        <f>TONGQUAN!D6</f>
        <v>Dragon Capital Vietfund Management Joint Stock Company</v>
      </c>
      <c r="D8" s="200"/>
      <c r="E8" s="200"/>
      <c r="F8" s="200"/>
    </row>
    <row r="9" spans="1:6" ht="16.899999999999999" customHeight="1">
      <c r="A9" s="108" t="s">
        <v>3</v>
      </c>
      <c r="C9" s="205" t="str">
        <f>TONGQUAN!D7</f>
        <v>Ngân hàng TNHH Một thành viên Standard Chartered (Việt Nam)</v>
      </c>
      <c r="D9" s="205"/>
      <c r="E9" s="205"/>
      <c r="F9" s="205"/>
    </row>
    <row r="10" spans="1:6" ht="16.899999999999999" customHeight="1">
      <c r="A10" s="14" t="s">
        <v>4</v>
      </c>
      <c r="C10" s="200" t="str">
        <f>TONGQUAN!D8</f>
        <v>Standard Chartered Bank (Vietnam) Limited</v>
      </c>
      <c r="D10" s="200"/>
      <c r="E10" s="200"/>
      <c r="F10" s="200"/>
    </row>
    <row r="11" spans="1:6" ht="16.899999999999999" customHeight="1">
      <c r="A11" s="108" t="s">
        <v>5</v>
      </c>
      <c r="C11" s="205" t="str">
        <f>TONGQUAN!D9</f>
        <v>Quỹ Đầu tư Trái phiếu Gia tăng Thu nhập Cố định DC</v>
      </c>
      <c r="D11" s="205"/>
      <c r="E11" s="205"/>
      <c r="F11" s="205"/>
    </row>
    <row r="12" spans="1:6" ht="16.899999999999999" customHeight="1">
      <c r="A12" s="14" t="s">
        <v>6</v>
      </c>
      <c r="C12" s="200" t="str">
        <f>TONGQUAN!D10</f>
        <v>DC Income Plus Bond Fund (DCIP)</v>
      </c>
      <c r="D12" s="200"/>
      <c r="E12" s="200"/>
      <c r="F12" s="200"/>
    </row>
    <row r="13" spans="1:6" ht="16.899999999999999" customHeight="1">
      <c r="A13" s="108" t="s">
        <v>7</v>
      </c>
      <c r="C13" s="205" t="str">
        <f>TONGQUAN!D11</f>
        <v>Ngày 01 tháng 10 năm 2024</v>
      </c>
      <c r="D13" s="205"/>
      <c r="E13" s="205"/>
      <c r="F13" s="205"/>
    </row>
    <row r="14" spans="1:6" ht="16.899999999999999" customHeight="1">
      <c r="A14" s="14" t="s">
        <v>8</v>
      </c>
      <c r="C14" s="200" t="str">
        <f>TONGQUAN!D12</f>
        <v>01 Oct 2024</v>
      </c>
      <c r="D14" s="200"/>
      <c r="E14" s="200"/>
      <c r="F14" s="200"/>
    </row>
    <row r="15" spans="1:6" ht="16.899999999999999" customHeight="1"/>
    <row r="16" spans="1:6" ht="16.899999999999999" customHeight="1">
      <c r="A16" s="102" t="s">
        <v>568</v>
      </c>
      <c r="B16" s="103" t="s">
        <v>569</v>
      </c>
    </row>
    <row r="17" spans="1:6" ht="16.899999999999999" customHeight="1">
      <c r="A17" s="20" t="s">
        <v>22</v>
      </c>
      <c r="B17" s="21" t="s">
        <v>25</v>
      </c>
    </row>
    <row r="18" spans="1:6" ht="37.5">
      <c r="A18" s="161" t="s">
        <v>17</v>
      </c>
      <c r="B18" s="161" t="s">
        <v>18</v>
      </c>
      <c r="C18" s="161" t="s">
        <v>19</v>
      </c>
      <c r="D18" s="162" t="s">
        <v>1099</v>
      </c>
      <c r="E18" s="162" t="s">
        <v>1100</v>
      </c>
      <c r="F18" s="162" t="s">
        <v>574</v>
      </c>
    </row>
    <row r="19" spans="1:6" s="24" customFormat="1" ht="25">
      <c r="A19" s="163" t="s">
        <v>16</v>
      </c>
      <c r="B19" s="164" t="s">
        <v>33</v>
      </c>
      <c r="C19" s="165" t="s">
        <v>50</v>
      </c>
      <c r="D19" s="166">
        <v>6983057022</v>
      </c>
      <c r="E19" s="166">
        <v>8207315023</v>
      </c>
      <c r="F19" s="166">
        <v>95354900449</v>
      </c>
    </row>
    <row r="20" spans="1:6" ht="25">
      <c r="A20" s="82">
        <v>1</v>
      </c>
      <c r="B20" s="83" t="s">
        <v>525</v>
      </c>
      <c r="C20" s="84" t="s">
        <v>57</v>
      </c>
      <c r="D20" s="167">
        <v>0</v>
      </c>
      <c r="E20" s="167">
        <v>0</v>
      </c>
      <c r="F20" s="167">
        <v>0</v>
      </c>
    </row>
    <row r="21" spans="1:6">
      <c r="A21" s="106" t="s">
        <v>526</v>
      </c>
      <c r="B21" s="106" t="s">
        <v>526</v>
      </c>
      <c r="C21" s="106" t="s">
        <v>526</v>
      </c>
      <c r="D21" s="168" t="s">
        <v>526</v>
      </c>
      <c r="E21" s="168" t="s">
        <v>527</v>
      </c>
      <c r="F21" s="169" t="s">
        <v>527</v>
      </c>
    </row>
    <row r="22" spans="1:6" ht="25">
      <c r="A22" s="82">
        <v>2</v>
      </c>
      <c r="B22" s="83" t="s">
        <v>244</v>
      </c>
      <c r="C22" s="84" t="s">
        <v>51</v>
      </c>
      <c r="D22" s="167">
        <v>4865272155</v>
      </c>
      <c r="E22" s="167">
        <v>5481508951</v>
      </c>
      <c r="F22" s="167">
        <v>57258479734</v>
      </c>
    </row>
    <row r="23" spans="1:6">
      <c r="A23" s="106" t="s">
        <v>526</v>
      </c>
      <c r="B23" s="106" t="s">
        <v>526</v>
      </c>
      <c r="C23" s="106" t="s">
        <v>526</v>
      </c>
      <c r="D23" s="168" t="s">
        <v>526</v>
      </c>
      <c r="E23" s="168" t="s">
        <v>527</v>
      </c>
      <c r="F23" s="169" t="s">
        <v>527</v>
      </c>
    </row>
    <row r="24" spans="1:6" ht="25">
      <c r="A24" s="85"/>
      <c r="B24" s="86" t="s">
        <v>245</v>
      </c>
      <c r="C24" s="87" t="s">
        <v>52</v>
      </c>
      <c r="D24" s="167">
        <v>0</v>
      </c>
      <c r="E24" s="167">
        <v>0</v>
      </c>
      <c r="F24" s="167">
        <v>0</v>
      </c>
    </row>
    <row r="25" spans="1:6" ht="25">
      <c r="A25" s="85"/>
      <c r="B25" s="86" t="s">
        <v>246</v>
      </c>
      <c r="C25" s="87" t="s">
        <v>53</v>
      </c>
      <c r="D25" s="167">
        <v>4865272155</v>
      </c>
      <c r="E25" s="167">
        <v>5481508951</v>
      </c>
      <c r="F25" s="167">
        <v>57258479734</v>
      </c>
    </row>
    <row r="26" spans="1:6" ht="25">
      <c r="A26" s="82">
        <v>3</v>
      </c>
      <c r="B26" s="83" t="s">
        <v>247</v>
      </c>
      <c r="C26" s="84" t="s">
        <v>54</v>
      </c>
      <c r="D26" s="167">
        <v>2117784867</v>
      </c>
      <c r="E26" s="167">
        <v>2725806072</v>
      </c>
      <c r="F26" s="167">
        <v>38096420715</v>
      </c>
    </row>
    <row r="27" spans="1:6">
      <c r="A27" s="106" t="s">
        <v>526</v>
      </c>
      <c r="B27" s="106" t="s">
        <v>526</v>
      </c>
      <c r="C27" s="106" t="s">
        <v>526</v>
      </c>
      <c r="D27" s="168" t="s">
        <v>526</v>
      </c>
      <c r="E27" s="168" t="s">
        <v>526</v>
      </c>
      <c r="F27" s="168" t="s">
        <v>526</v>
      </c>
    </row>
    <row r="28" spans="1:6" ht="25">
      <c r="A28" s="85"/>
      <c r="B28" s="86" t="s">
        <v>240</v>
      </c>
      <c r="C28" s="87" t="s">
        <v>55</v>
      </c>
      <c r="D28" s="167">
        <v>462442400</v>
      </c>
      <c r="E28" s="167">
        <v>843751279</v>
      </c>
      <c r="F28" s="167">
        <v>18565089209</v>
      </c>
    </row>
    <row r="29" spans="1:6" ht="25">
      <c r="A29" s="85"/>
      <c r="B29" s="86" t="s">
        <v>587</v>
      </c>
      <c r="C29" s="87" t="s">
        <v>56</v>
      </c>
      <c r="D29" s="167">
        <v>1655342467</v>
      </c>
      <c r="E29" s="167">
        <v>1882054793</v>
      </c>
      <c r="F29" s="167">
        <v>19531331506</v>
      </c>
    </row>
    <row r="30" spans="1:6" ht="25">
      <c r="A30" s="85"/>
      <c r="B30" s="86" t="s">
        <v>273</v>
      </c>
      <c r="C30" s="87" t="s">
        <v>237</v>
      </c>
      <c r="D30" s="167">
        <v>0</v>
      </c>
      <c r="E30" s="167">
        <v>0</v>
      </c>
      <c r="F30" s="167">
        <v>0</v>
      </c>
    </row>
    <row r="31" spans="1:6" s="24" customFormat="1" ht="25">
      <c r="A31" s="82">
        <v>4</v>
      </c>
      <c r="B31" s="83" t="s">
        <v>248</v>
      </c>
      <c r="C31" s="84" t="s">
        <v>57</v>
      </c>
      <c r="D31" s="167">
        <v>0</v>
      </c>
      <c r="E31" s="167">
        <v>0</v>
      </c>
      <c r="F31" s="167">
        <v>0</v>
      </c>
    </row>
    <row r="32" spans="1:6">
      <c r="A32" s="106" t="s">
        <v>526</v>
      </c>
      <c r="B32" s="106" t="s">
        <v>526</v>
      </c>
      <c r="C32" s="106" t="s">
        <v>526</v>
      </c>
      <c r="D32" s="168" t="s">
        <v>526</v>
      </c>
      <c r="E32" s="168" t="s">
        <v>526</v>
      </c>
      <c r="F32" s="168" t="s">
        <v>526</v>
      </c>
    </row>
    <row r="33" spans="1:6" ht="25">
      <c r="A33" s="88"/>
      <c r="B33" s="89" t="s">
        <v>249</v>
      </c>
      <c r="C33" s="90" t="s">
        <v>58</v>
      </c>
      <c r="D33" s="167">
        <v>0</v>
      </c>
      <c r="E33" s="167">
        <v>0</v>
      </c>
      <c r="F33" s="167">
        <v>0</v>
      </c>
    </row>
    <row r="34" spans="1:6" ht="25">
      <c r="A34" s="88"/>
      <c r="B34" s="89" t="s">
        <v>250</v>
      </c>
      <c r="C34" s="90" t="s">
        <v>59</v>
      </c>
      <c r="D34" s="167">
        <v>0</v>
      </c>
      <c r="E34" s="167">
        <v>0</v>
      </c>
      <c r="F34" s="167">
        <v>0</v>
      </c>
    </row>
    <row r="35" spans="1:6" ht="75">
      <c r="A35" s="88"/>
      <c r="B35" s="89" t="s">
        <v>34</v>
      </c>
      <c r="C35" s="90" t="s">
        <v>60</v>
      </c>
      <c r="D35" s="167">
        <v>0</v>
      </c>
      <c r="E35" s="167">
        <v>0</v>
      </c>
      <c r="F35" s="167">
        <v>0</v>
      </c>
    </row>
    <row r="36" spans="1:6" ht="25">
      <c r="A36" s="163" t="s">
        <v>22</v>
      </c>
      <c r="B36" s="164" t="s">
        <v>251</v>
      </c>
      <c r="C36" s="165" t="s">
        <v>61</v>
      </c>
      <c r="D36" s="171">
        <v>1551195205</v>
      </c>
      <c r="E36" s="171">
        <v>1925215610</v>
      </c>
      <c r="F36" s="171">
        <v>20178757766</v>
      </c>
    </row>
    <row r="37" spans="1:6" ht="25">
      <c r="A37" s="82">
        <v>1</v>
      </c>
      <c r="B37" s="83" t="s">
        <v>528</v>
      </c>
      <c r="C37" s="84" t="s">
        <v>62</v>
      </c>
      <c r="D37" s="167">
        <v>1216251099</v>
      </c>
      <c r="E37" s="167">
        <v>1576960997</v>
      </c>
      <c r="F37" s="167">
        <v>16939149755</v>
      </c>
    </row>
    <row r="38" spans="1:6">
      <c r="A38" s="106" t="s">
        <v>526</v>
      </c>
      <c r="B38" s="106" t="s">
        <v>526</v>
      </c>
      <c r="C38" s="106" t="s">
        <v>526</v>
      </c>
      <c r="D38" s="168" t="s">
        <v>526</v>
      </c>
      <c r="E38" s="168" t="s">
        <v>526</v>
      </c>
      <c r="F38" s="168" t="s">
        <v>526</v>
      </c>
    </row>
    <row r="39" spans="1:6" ht="50">
      <c r="A39" s="82">
        <v>2</v>
      </c>
      <c r="B39" s="83" t="s">
        <v>594</v>
      </c>
      <c r="C39" s="84" t="s">
        <v>63</v>
      </c>
      <c r="D39" s="167">
        <v>88955917</v>
      </c>
      <c r="E39" s="167">
        <v>112935952</v>
      </c>
      <c r="F39" s="167">
        <v>1204087653</v>
      </c>
    </row>
    <row r="40" spans="1:6">
      <c r="A40" s="106" t="s">
        <v>526</v>
      </c>
      <c r="B40" s="106" t="s">
        <v>526</v>
      </c>
      <c r="C40" s="106" t="s">
        <v>526</v>
      </c>
      <c r="D40" s="168" t="s">
        <v>526</v>
      </c>
      <c r="E40" s="168" t="s">
        <v>526</v>
      </c>
      <c r="F40" s="168" t="s">
        <v>526</v>
      </c>
    </row>
    <row r="41" spans="1:6" ht="25">
      <c r="A41" s="91"/>
      <c r="B41" s="86" t="s">
        <v>529</v>
      </c>
      <c r="C41" s="87" t="s">
        <v>64</v>
      </c>
      <c r="D41" s="167">
        <v>50677130</v>
      </c>
      <c r="E41" s="167">
        <v>65706710</v>
      </c>
      <c r="F41" s="167">
        <v>705797911</v>
      </c>
    </row>
    <row r="42" spans="1:6" ht="25">
      <c r="A42" s="91"/>
      <c r="B42" s="86" t="s">
        <v>530</v>
      </c>
      <c r="C42" s="87" t="s">
        <v>65</v>
      </c>
      <c r="D42" s="167">
        <v>3900000</v>
      </c>
      <c r="E42" s="167">
        <v>2700000</v>
      </c>
      <c r="F42" s="167">
        <v>22150000</v>
      </c>
    </row>
    <row r="43" spans="1:6" ht="50">
      <c r="A43" s="91"/>
      <c r="B43" s="86" t="s">
        <v>595</v>
      </c>
      <c r="C43" s="87" t="s">
        <v>66</v>
      </c>
      <c r="D43" s="167">
        <v>931881</v>
      </c>
      <c r="E43" s="167">
        <v>1162815</v>
      </c>
      <c r="F43" s="167">
        <v>10313130</v>
      </c>
    </row>
    <row r="44" spans="1:6" ht="25">
      <c r="A44" s="91"/>
      <c r="B44" s="86" t="s">
        <v>531</v>
      </c>
      <c r="C44" s="87" t="s">
        <v>67</v>
      </c>
      <c r="D44" s="167">
        <v>33446906</v>
      </c>
      <c r="E44" s="167">
        <v>43366427</v>
      </c>
      <c r="F44" s="167">
        <v>465826612</v>
      </c>
    </row>
    <row r="45" spans="1:6" ht="62.5">
      <c r="A45" s="82">
        <v>3</v>
      </c>
      <c r="B45" s="92" t="s">
        <v>532</v>
      </c>
      <c r="C45" s="84" t="s">
        <v>68</v>
      </c>
      <c r="D45" s="167">
        <v>64258374</v>
      </c>
      <c r="E45" s="167">
        <v>77484404</v>
      </c>
      <c r="F45" s="167">
        <v>798064660</v>
      </c>
    </row>
    <row r="46" spans="1:6">
      <c r="A46" s="106" t="s">
        <v>526</v>
      </c>
      <c r="B46" s="106" t="s">
        <v>526</v>
      </c>
      <c r="C46" s="106" t="s">
        <v>526</v>
      </c>
      <c r="D46" s="168" t="s">
        <v>526</v>
      </c>
      <c r="E46" s="168" t="s">
        <v>526</v>
      </c>
      <c r="F46" s="168" t="s">
        <v>526</v>
      </c>
    </row>
    <row r="47" spans="1:6" ht="25">
      <c r="A47" s="91"/>
      <c r="B47" s="93" t="s">
        <v>274</v>
      </c>
      <c r="C47" s="87" t="s">
        <v>69</v>
      </c>
      <c r="D47" s="167">
        <v>51058374</v>
      </c>
      <c r="E47" s="167">
        <v>64284404</v>
      </c>
      <c r="F47" s="167">
        <v>679264660</v>
      </c>
    </row>
    <row r="48" spans="1:6" ht="25">
      <c r="A48" s="91"/>
      <c r="B48" s="93" t="s">
        <v>36</v>
      </c>
      <c r="C48" s="87" t="s">
        <v>70</v>
      </c>
      <c r="D48" s="167">
        <v>13200000</v>
      </c>
      <c r="E48" s="167">
        <v>13200000</v>
      </c>
      <c r="F48" s="167">
        <v>118800000</v>
      </c>
    </row>
    <row r="49" spans="1:6" ht="25">
      <c r="A49" s="91">
        <v>4</v>
      </c>
      <c r="B49" s="93" t="s">
        <v>533</v>
      </c>
      <c r="C49" s="87" t="s">
        <v>82</v>
      </c>
      <c r="D49" s="167">
        <v>0</v>
      </c>
      <c r="E49" s="167">
        <v>0</v>
      </c>
      <c r="F49" s="167">
        <v>0</v>
      </c>
    </row>
    <row r="50" spans="1:6">
      <c r="A50" s="106" t="s">
        <v>526</v>
      </c>
      <c r="B50" s="106" t="s">
        <v>526</v>
      </c>
      <c r="C50" s="106" t="s">
        <v>526</v>
      </c>
      <c r="D50" s="168" t="s">
        <v>526</v>
      </c>
      <c r="E50" s="168" t="s">
        <v>526</v>
      </c>
      <c r="F50" s="168" t="s">
        <v>526</v>
      </c>
    </row>
    <row r="51" spans="1:6" ht="37.5">
      <c r="A51" s="91">
        <v>5</v>
      </c>
      <c r="B51" s="93" t="s">
        <v>534</v>
      </c>
      <c r="C51" s="87" t="s">
        <v>86</v>
      </c>
      <c r="D51" s="167">
        <v>0</v>
      </c>
      <c r="E51" s="167">
        <v>0</v>
      </c>
      <c r="F51" s="167">
        <v>0</v>
      </c>
    </row>
    <row r="52" spans="1:6">
      <c r="A52" s="106" t="s">
        <v>526</v>
      </c>
      <c r="B52" s="106" t="s">
        <v>526</v>
      </c>
      <c r="C52" s="106" t="s">
        <v>526</v>
      </c>
      <c r="D52" s="168" t="s">
        <v>526</v>
      </c>
      <c r="E52" s="168" t="s">
        <v>526</v>
      </c>
      <c r="F52" s="168" t="s">
        <v>526</v>
      </c>
    </row>
    <row r="53" spans="1:6" ht="25">
      <c r="A53" s="82">
        <v>6</v>
      </c>
      <c r="B53" s="83" t="s">
        <v>37</v>
      </c>
      <c r="C53" s="84" t="s">
        <v>71</v>
      </c>
      <c r="D53" s="167">
        <v>11000000</v>
      </c>
      <c r="E53" s="167">
        <v>11366667</v>
      </c>
      <c r="F53" s="167">
        <v>100484195</v>
      </c>
    </row>
    <row r="54" spans="1:6">
      <c r="A54" s="106" t="s">
        <v>526</v>
      </c>
      <c r="B54" s="106" t="s">
        <v>526</v>
      </c>
      <c r="C54" s="106" t="s">
        <v>526</v>
      </c>
      <c r="D54" s="168" t="s">
        <v>526</v>
      </c>
      <c r="E54" s="168" t="s">
        <v>526</v>
      </c>
      <c r="F54" s="168" t="s">
        <v>526</v>
      </c>
    </row>
    <row r="55" spans="1:6" ht="62.5">
      <c r="A55" s="82">
        <v>7</v>
      </c>
      <c r="B55" s="83" t="s">
        <v>275</v>
      </c>
      <c r="C55" s="84" t="s">
        <v>72</v>
      </c>
      <c r="D55" s="167">
        <v>17679212</v>
      </c>
      <c r="E55" s="167">
        <v>18068520</v>
      </c>
      <c r="F55" s="167">
        <v>161383749</v>
      </c>
    </row>
    <row r="56" spans="1:6">
      <c r="A56" s="106" t="s">
        <v>526</v>
      </c>
      <c r="B56" s="106" t="s">
        <v>526</v>
      </c>
      <c r="C56" s="106" t="s">
        <v>526</v>
      </c>
      <c r="D56" s="168" t="s">
        <v>526</v>
      </c>
      <c r="E56" s="168" t="s">
        <v>526</v>
      </c>
      <c r="F56" s="168" t="s">
        <v>526</v>
      </c>
    </row>
    <row r="57" spans="1:6" ht="25">
      <c r="A57" s="91"/>
      <c r="B57" s="94" t="s">
        <v>276</v>
      </c>
      <c r="C57" s="87" t="s">
        <v>73</v>
      </c>
      <c r="D57" s="167">
        <v>6491803</v>
      </c>
      <c r="E57" s="167">
        <v>6508197</v>
      </c>
      <c r="F57" s="167">
        <v>58491803</v>
      </c>
    </row>
    <row r="58" spans="1:6" ht="25">
      <c r="A58" s="91"/>
      <c r="B58" s="94" t="s">
        <v>252</v>
      </c>
      <c r="C58" s="87" t="s">
        <v>74</v>
      </c>
      <c r="D58" s="167">
        <v>7663043</v>
      </c>
      <c r="E58" s="167">
        <v>7918479</v>
      </c>
      <c r="F58" s="167">
        <v>70500000</v>
      </c>
    </row>
    <row r="59" spans="1:6" ht="25">
      <c r="A59" s="91"/>
      <c r="B59" s="94" t="s">
        <v>39</v>
      </c>
      <c r="C59" s="87" t="s">
        <v>75</v>
      </c>
      <c r="D59" s="167">
        <v>3524366</v>
      </c>
      <c r="E59" s="167">
        <v>3641844</v>
      </c>
      <c r="F59" s="167">
        <v>32391946</v>
      </c>
    </row>
    <row r="60" spans="1:6" ht="137.5">
      <c r="A60" s="82">
        <v>8</v>
      </c>
      <c r="B60" s="92" t="s">
        <v>277</v>
      </c>
      <c r="C60" s="84" t="s">
        <v>76</v>
      </c>
      <c r="D60" s="167">
        <v>14238388</v>
      </c>
      <c r="E60" s="167">
        <v>14713001</v>
      </c>
      <c r="F60" s="167">
        <v>102243690</v>
      </c>
    </row>
    <row r="61" spans="1:6">
      <c r="A61" s="106" t="s">
        <v>526</v>
      </c>
      <c r="B61" s="106" t="s">
        <v>526</v>
      </c>
      <c r="C61" s="106" t="s">
        <v>526</v>
      </c>
      <c r="D61" s="168" t="s">
        <v>526</v>
      </c>
      <c r="E61" s="168" t="s">
        <v>526</v>
      </c>
      <c r="F61" s="168" t="s">
        <v>526</v>
      </c>
    </row>
    <row r="62" spans="1:6" ht="25">
      <c r="A62" s="91"/>
      <c r="B62" s="93" t="s">
        <v>253</v>
      </c>
      <c r="C62" s="87" t="s">
        <v>77</v>
      </c>
      <c r="D62" s="167">
        <v>14238388</v>
      </c>
      <c r="E62" s="167">
        <v>14713001</v>
      </c>
      <c r="F62" s="167">
        <v>102243690</v>
      </c>
    </row>
    <row r="63" spans="1:6" ht="25">
      <c r="A63" s="91"/>
      <c r="B63" s="93" t="s">
        <v>202</v>
      </c>
      <c r="C63" s="87" t="s">
        <v>78</v>
      </c>
      <c r="D63" s="167">
        <v>0</v>
      </c>
      <c r="E63" s="167">
        <v>0</v>
      </c>
      <c r="F63" s="167">
        <v>0</v>
      </c>
    </row>
    <row r="64" spans="1:6" s="24" customFormat="1" ht="37.5">
      <c r="A64" s="91"/>
      <c r="B64" s="93" t="s">
        <v>278</v>
      </c>
      <c r="C64" s="87" t="s">
        <v>79</v>
      </c>
      <c r="D64" s="167">
        <v>0</v>
      </c>
      <c r="E64" s="167">
        <v>0</v>
      </c>
      <c r="F64" s="167">
        <v>0</v>
      </c>
    </row>
    <row r="65" spans="1:6" s="24" customFormat="1" ht="25">
      <c r="A65" s="91"/>
      <c r="B65" s="94" t="s">
        <v>254</v>
      </c>
      <c r="C65" s="87" t="s">
        <v>80</v>
      </c>
      <c r="D65" s="167">
        <v>0</v>
      </c>
      <c r="E65" s="167">
        <v>0</v>
      </c>
      <c r="F65" s="167">
        <v>0</v>
      </c>
    </row>
    <row r="66" spans="1:6" ht="25">
      <c r="A66" s="91"/>
      <c r="B66" s="94" t="s">
        <v>535</v>
      </c>
      <c r="C66" s="87" t="s">
        <v>81</v>
      </c>
      <c r="D66" s="167">
        <v>0</v>
      </c>
      <c r="E66" s="167">
        <v>0</v>
      </c>
      <c r="F66" s="167">
        <v>0</v>
      </c>
    </row>
    <row r="67" spans="1:6" ht="50">
      <c r="A67" s="82">
        <v>9</v>
      </c>
      <c r="B67" s="83" t="s">
        <v>279</v>
      </c>
      <c r="C67" s="84" t="s">
        <v>82</v>
      </c>
      <c r="D67" s="167">
        <v>135773061</v>
      </c>
      <c r="E67" s="167">
        <v>109668323</v>
      </c>
      <c r="F67" s="167">
        <v>798379260</v>
      </c>
    </row>
    <row r="68" spans="1:6" s="24" customFormat="1">
      <c r="A68" s="106" t="s">
        <v>526</v>
      </c>
      <c r="B68" s="106" t="s">
        <v>526</v>
      </c>
      <c r="C68" s="106" t="s">
        <v>526</v>
      </c>
      <c r="D68" s="168" t="s">
        <v>526</v>
      </c>
      <c r="E68" s="168" t="s">
        <v>526</v>
      </c>
      <c r="F68" s="168" t="s">
        <v>526</v>
      </c>
    </row>
    <row r="69" spans="1:6" s="24" customFormat="1" ht="25">
      <c r="A69" s="91"/>
      <c r="B69" s="86" t="s">
        <v>41</v>
      </c>
      <c r="C69" s="87" t="s">
        <v>83</v>
      </c>
      <c r="D69" s="167">
        <v>135620040</v>
      </c>
      <c r="E69" s="167">
        <v>108696318</v>
      </c>
      <c r="F69" s="167">
        <v>793649568</v>
      </c>
    </row>
    <row r="70" spans="1:6" s="24" customFormat="1" ht="25">
      <c r="A70" s="91"/>
      <c r="B70" s="86" t="s">
        <v>42</v>
      </c>
      <c r="C70" s="87" t="s">
        <v>84</v>
      </c>
      <c r="D70" s="167">
        <v>153021</v>
      </c>
      <c r="E70" s="167">
        <v>972005</v>
      </c>
      <c r="F70" s="167">
        <v>4729692</v>
      </c>
    </row>
    <row r="71" spans="1:6" ht="25">
      <c r="A71" s="91"/>
      <c r="B71" s="86" t="s">
        <v>43</v>
      </c>
      <c r="C71" s="87" t="s">
        <v>85</v>
      </c>
      <c r="D71" s="167">
        <v>0</v>
      </c>
      <c r="E71" s="167">
        <v>0</v>
      </c>
      <c r="F71" s="167">
        <v>0</v>
      </c>
    </row>
    <row r="72" spans="1:6" ht="25">
      <c r="A72" s="82">
        <v>10</v>
      </c>
      <c r="B72" s="83" t="s">
        <v>536</v>
      </c>
      <c r="C72" s="84" t="s">
        <v>86</v>
      </c>
      <c r="D72" s="167">
        <v>3039154</v>
      </c>
      <c r="E72" s="167">
        <v>4017746</v>
      </c>
      <c r="F72" s="167">
        <v>74964804</v>
      </c>
    </row>
    <row r="73" spans="1:6">
      <c r="A73" s="106" t="s">
        <v>526</v>
      </c>
      <c r="B73" s="106" t="s">
        <v>526</v>
      </c>
      <c r="C73" s="106" t="s">
        <v>526</v>
      </c>
      <c r="D73" s="168" t="s">
        <v>526</v>
      </c>
      <c r="E73" s="168" t="s">
        <v>526</v>
      </c>
      <c r="F73" s="168" t="s">
        <v>526</v>
      </c>
    </row>
    <row r="74" spans="1:6" ht="25">
      <c r="A74" s="82"/>
      <c r="B74" s="86" t="s">
        <v>44</v>
      </c>
      <c r="C74" s="87" t="s">
        <v>87</v>
      </c>
      <c r="D74" s="167">
        <v>0</v>
      </c>
      <c r="E74" s="167">
        <v>0</v>
      </c>
      <c r="F74" s="167">
        <v>0</v>
      </c>
    </row>
    <row r="75" spans="1:6" ht="25">
      <c r="A75" s="82"/>
      <c r="B75" s="86" t="s">
        <v>280</v>
      </c>
      <c r="C75" s="87" t="s">
        <v>88</v>
      </c>
      <c r="D75" s="167">
        <v>0</v>
      </c>
      <c r="E75" s="167">
        <v>0</v>
      </c>
      <c r="F75" s="167">
        <v>0</v>
      </c>
    </row>
    <row r="76" spans="1:6" ht="25">
      <c r="A76" s="82"/>
      <c r="B76" s="86" t="s">
        <v>45</v>
      </c>
      <c r="C76" s="87" t="s">
        <v>89</v>
      </c>
      <c r="D76" s="167">
        <v>614754</v>
      </c>
      <c r="E76" s="167">
        <v>635246</v>
      </c>
      <c r="F76" s="167">
        <v>5614754</v>
      </c>
    </row>
    <row r="77" spans="1:6" ht="25">
      <c r="A77" s="82"/>
      <c r="B77" s="86" t="s">
        <v>46</v>
      </c>
      <c r="C77" s="87" t="s">
        <v>90</v>
      </c>
      <c r="D77" s="167">
        <v>2424400</v>
      </c>
      <c r="E77" s="167">
        <v>3382500</v>
      </c>
      <c r="F77" s="167">
        <v>67518550</v>
      </c>
    </row>
    <row r="78" spans="1:6" ht="25">
      <c r="A78" s="82"/>
      <c r="B78" s="86" t="s">
        <v>281</v>
      </c>
      <c r="C78" s="87" t="s">
        <v>91</v>
      </c>
      <c r="D78" s="167">
        <v>0</v>
      </c>
      <c r="E78" s="167">
        <v>0</v>
      </c>
      <c r="F78" s="167">
        <v>0</v>
      </c>
    </row>
    <row r="79" spans="1:6" ht="25">
      <c r="A79" s="82"/>
      <c r="B79" s="86" t="s">
        <v>43</v>
      </c>
      <c r="C79" s="87" t="s">
        <v>92</v>
      </c>
      <c r="D79" s="167">
        <v>0</v>
      </c>
      <c r="E79" s="167">
        <v>0</v>
      </c>
      <c r="F79" s="167">
        <v>731500</v>
      </c>
    </row>
    <row r="80" spans="1:6" ht="25">
      <c r="A80" s="82"/>
      <c r="B80" s="86" t="s">
        <v>592</v>
      </c>
      <c r="C80" s="87" t="s">
        <v>93</v>
      </c>
      <c r="D80" s="167">
        <v>0</v>
      </c>
      <c r="E80" s="167">
        <v>0</v>
      </c>
      <c r="F80" s="167">
        <v>1100000</v>
      </c>
    </row>
    <row r="81" spans="1:6" ht="37.5">
      <c r="A81" s="170" t="s">
        <v>26</v>
      </c>
      <c r="B81" s="164" t="s">
        <v>282</v>
      </c>
      <c r="C81" s="165" t="s">
        <v>94</v>
      </c>
      <c r="D81" s="171">
        <v>5431861817</v>
      </c>
      <c r="E81" s="171">
        <v>6282099413</v>
      </c>
      <c r="F81" s="171">
        <v>75176142683</v>
      </c>
    </row>
    <row r="82" spans="1:6" ht="25">
      <c r="A82" s="170" t="s">
        <v>27</v>
      </c>
      <c r="B82" s="164" t="s">
        <v>256</v>
      </c>
      <c r="C82" s="165" t="s">
        <v>95</v>
      </c>
      <c r="D82" s="171">
        <v>-959505173</v>
      </c>
      <c r="E82" s="171">
        <v>-205666905</v>
      </c>
      <c r="F82" s="171">
        <v>-3755044663</v>
      </c>
    </row>
    <row r="83" spans="1:6" ht="50">
      <c r="A83" s="82">
        <v>1</v>
      </c>
      <c r="B83" s="83" t="s">
        <v>537</v>
      </c>
      <c r="C83" s="84" t="s">
        <v>96</v>
      </c>
      <c r="D83" s="167">
        <v>-431038793</v>
      </c>
      <c r="E83" s="167">
        <v>1704968901</v>
      </c>
      <c r="F83" s="167">
        <v>-2619217649</v>
      </c>
    </row>
    <row r="84" spans="1:6" ht="25">
      <c r="A84" s="82">
        <v>2</v>
      </c>
      <c r="B84" s="83" t="s">
        <v>47</v>
      </c>
      <c r="C84" s="84" t="s">
        <v>97</v>
      </c>
      <c r="D84" s="167">
        <v>-528466380</v>
      </c>
      <c r="E84" s="167">
        <v>-1910635806</v>
      </c>
      <c r="F84" s="167">
        <v>-1135827014</v>
      </c>
    </row>
    <row r="85" spans="1:6" ht="62.5">
      <c r="A85" s="170" t="s">
        <v>28</v>
      </c>
      <c r="B85" s="164" t="s">
        <v>283</v>
      </c>
      <c r="C85" s="165" t="s">
        <v>98</v>
      </c>
      <c r="D85" s="171">
        <v>4472356644</v>
      </c>
      <c r="E85" s="171">
        <v>6076432508</v>
      </c>
      <c r="F85" s="171">
        <v>71421098020</v>
      </c>
    </row>
    <row r="86" spans="1:6" ht="25">
      <c r="A86" s="170" t="s">
        <v>29</v>
      </c>
      <c r="B86" s="164" t="s">
        <v>48</v>
      </c>
      <c r="C86" s="165" t="s">
        <v>99</v>
      </c>
      <c r="D86" s="171">
        <v>1376268122225</v>
      </c>
      <c r="E86" s="171">
        <v>1766598220365</v>
      </c>
      <c r="F86" s="171">
        <v>1579769018172</v>
      </c>
    </row>
    <row r="87" spans="1:6" ht="62.25" customHeight="1">
      <c r="A87" s="170" t="s">
        <v>30</v>
      </c>
      <c r="B87" s="164" t="s">
        <v>575</v>
      </c>
      <c r="C87" s="165" t="s">
        <v>100</v>
      </c>
      <c r="D87" s="171">
        <v>-191589221946</v>
      </c>
      <c r="E87" s="171">
        <v>-390330098140</v>
      </c>
      <c r="F87" s="171">
        <v>-395090117893</v>
      </c>
    </row>
    <row r="88" spans="1:6" s="24" customFormat="1" ht="50">
      <c r="A88" s="82">
        <v>1</v>
      </c>
      <c r="B88" s="83" t="s">
        <v>538</v>
      </c>
      <c r="C88" s="84" t="s">
        <v>101</v>
      </c>
      <c r="D88" s="167">
        <v>4472356644</v>
      </c>
      <c r="E88" s="167">
        <v>6076432508</v>
      </c>
      <c r="F88" s="167">
        <v>71421098020</v>
      </c>
    </row>
    <row r="89" spans="1:6" ht="50">
      <c r="A89" s="82">
        <v>2</v>
      </c>
      <c r="B89" s="83" t="s">
        <v>539</v>
      </c>
      <c r="C89" s="84" t="s">
        <v>102</v>
      </c>
      <c r="D89" s="167">
        <v>0</v>
      </c>
      <c r="E89" s="167">
        <v>0</v>
      </c>
      <c r="F89" s="167">
        <v>0</v>
      </c>
    </row>
    <row r="90" spans="1:6" ht="50">
      <c r="A90" s="82">
        <v>3</v>
      </c>
      <c r="B90" s="83" t="s">
        <v>540</v>
      </c>
      <c r="C90" s="84" t="s">
        <v>103</v>
      </c>
      <c r="D90" s="167">
        <v>-196061578590</v>
      </c>
      <c r="E90" s="167">
        <v>-396406530648</v>
      </c>
      <c r="F90" s="167">
        <v>-466511215913</v>
      </c>
    </row>
    <row r="91" spans="1:6" ht="50">
      <c r="A91" s="82"/>
      <c r="B91" s="83" t="s">
        <v>284</v>
      </c>
      <c r="C91" s="84" t="s">
        <v>541</v>
      </c>
      <c r="D91" s="167">
        <v>475511729222</v>
      </c>
      <c r="E91" s="167">
        <v>573885961351</v>
      </c>
      <c r="F91" s="167">
        <v>6014528116617</v>
      </c>
    </row>
    <row r="92" spans="1:6" ht="37.5">
      <c r="A92" s="82"/>
      <c r="B92" s="83" t="s">
        <v>285</v>
      </c>
      <c r="C92" s="84" t="s">
        <v>542</v>
      </c>
      <c r="D92" s="167">
        <v>-671573307812</v>
      </c>
      <c r="E92" s="167">
        <v>-970292491999</v>
      </c>
      <c r="F92" s="167">
        <v>-6481039332530</v>
      </c>
    </row>
    <row r="93" spans="1:6" s="28" customFormat="1" ht="25">
      <c r="A93" s="163" t="s">
        <v>31</v>
      </c>
      <c r="B93" s="164" t="s">
        <v>49</v>
      </c>
      <c r="C93" s="165" t="s">
        <v>104</v>
      </c>
      <c r="D93" s="171">
        <v>1184678900279</v>
      </c>
      <c r="E93" s="171">
        <v>1376268122225</v>
      </c>
      <c r="F93" s="171">
        <v>1184678900279</v>
      </c>
    </row>
    <row r="94" spans="1:6" ht="50">
      <c r="A94" s="163" t="s">
        <v>32</v>
      </c>
      <c r="B94" s="164" t="s">
        <v>257</v>
      </c>
      <c r="C94" s="165" t="s">
        <v>105</v>
      </c>
      <c r="D94" s="171">
        <v>0</v>
      </c>
      <c r="E94" s="171">
        <v>0</v>
      </c>
      <c r="F94" s="171">
        <v>0</v>
      </c>
    </row>
    <row r="95" spans="1:6" ht="50">
      <c r="A95" s="95"/>
      <c r="B95" s="83" t="s">
        <v>258</v>
      </c>
      <c r="C95" s="84" t="s">
        <v>106</v>
      </c>
      <c r="D95" s="178">
        <v>0</v>
      </c>
      <c r="E95" s="178">
        <v>0</v>
      </c>
      <c r="F95" s="178">
        <v>0</v>
      </c>
    </row>
    <row r="96" spans="1:6" ht="16.899999999999999" customHeight="1"/>
    <row r="97" spans="1:6" ht="16.899999999999999" customHeight="1">
      <c r="A97" s="18" t="s">
        <v>10</v>
      </c>
      <c r="D97" s="18" t="s">
        <v>11</v>
      </c>
    </row>
    <row r="98" spans="1:6" ht="16.899999999999999" customHeight="1">
      <c r="A98" s="19" t="s">
        <v>12</v>
      </c>
      <c r="D98" s="19" t="s">
        <v>13</v>
      </c>
    </row>
    <row r="99" spans="1:6" ht="16.899999999999999" customHeight="1">
      <c r="A99" s="19"/>
      <c r="D99" s="19"/>
    </row>
    <row r="100" spans="1:6" ht="16.899999999999999" customHeight="1">
      <c r="A100" s="19"/>
      <c r="D100" s="19"/>
    </row>
    <row r="101" spans="1:6" ht="16.899999999999999" customHeight="1">
      <c r="A101" s="19"/>
      <c r="D101" s="19"/>
    </row>
    <row r="102" spans="1:6" ht="16.899999999999999" customHeight="1">
      <c r="A102" s="19"/>
      <c r="D102" s="19"/>
    </row>
    <row r="103" spans="1:6" ht="16.899999999999999" customHeight="1"/>
    <row r="104" spans="1:6" ht="16.899999999999999" customHeight="1">
      <c r="A104" s="195" t="s">
        <v>1114</v>
      </c>
      <c r="B104" s="195"/>
      <c r="D104" s="195" t="s">
        <v>1114</v>
      </c>
      <c r="E104" s="195"/>
      <c r="F104" s="31"/>
    </row>
    <row r="105" spans="1:6" ht="16.899999999999999" customHeight="1">
      <c r="A105" s="187" t="str">
        <f>TONGQUAN!C19</f>
        <v>Ngân hàng TNHH MTV Standard Chartered (Việt Nam)</v>
      </c>
      <c r="B105" s="31"/>
      <c r="D105" s="187" t="str">
        <f>TONGQUAN!F19</f>
        <v>Công ty Cổ phần Quản lý Quỹ Đầu tư Dragon Capital Việt Nam</v>
      </c>
      <c r="E105" s="31"/>
      <c r="F105" s="31"/>
    </row>
    <row r="106" spans="1:6" ht="16.899999999999999" customHeight="1">
      <c r="A106" s="26" t="str">
        <f>TONGQUAN!C20</f>
        <v>Vũ Quang Phan</v>
      </c>
      <c r="D106" s="26" t="str">
        <f>TONGQUAN!F20</f>
        <v>Lê Hoàng Anh</v>
      </c>
    </row>
    <row r="107" spans="1:6" ht="16.899999999999999" customHeight="1">
      <c r="A107" s="14" t="str">
        <f>TONGQUAN!C21</f>
        <v>Phó phòng Dịch vụ nghiệp vụ giám sát Quỹ</v>
      </c>
      <c r="D107" s="14" t="str">
        <f>TONGQUAN!F21</f>
        <v>Quyền Giám đốc nghiệp vụ hỗ trợ đầu tư</v>
      </c>
    </row>
  </sheetData>
  <mergeCells count="14">
    <mergeCell ref="A104:B104"/>
    <mergeCell ref="D104:E10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64" zoomScale="70" zoomScaleNormal="100" zoomScaleSheetLayoutView="70" workbookViewId="0">
      <selection activeCell="E80" sqref="E80:F80"/>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37"/>
  </cols>
  <sheetData>
    <row r="1" spans="1:7" ht="44.25" customHeight="1">
      <c r="A1" s="201" t="s">
        <v>570</v>
      </c>
      <c r="B1" s="201"/>
      <c r="C1" s="201"/>
      <c r="D1" s="201"/>
      <c r="E1" s="201"/>
      <c r="F1" s="201"/>
      <c r="G1" s="201"/>
    </row>
    <row r="2" spans="1:7" ht="59.25" customHeight="1">
      <c r="A2" s="202" t="s">
        <v>571</v>
      </c>
      <c r="B2" s="202"/>
      <c r="C2" s="202"/>
      <c r="D2" s="202"/>
      <c r="E2" s="202"/>
      <c r="F2" s="202"/>
      <c r="G2" s="202"/>
    </row>
    <row r="3" spans="1:7" ht="15" customHeight="1">
      <c r="A3" s="203" t="s">
        <v>521</v>
      </c>
      <c r="B3" s="203"/>
      <c r="C3" s="203"/>
      <c r="D3" s="203"/>
      <c r="E3" s="203"/>
      <c r="F3" s="203"/>
      <c r="G3" s="203"/>
    </row>
    <row r="4" spans="1:7" ht="27.4" customHeight="1">
      <c r="A4" s="203"/>
      <c r="B4" s="203"/>
      <c r="C4" s="203"/>
      <c r="D4" s="203"/>
      <c r="E4" s="203"/>
      <c r="F4" s="203"/>
      <c r="G4" s="203"/>
    </row>
    <row r="5" spans="1:7" ht="16.899999999999999" customHeight="1">
      <c r="A5" s="204" t="str">
        <f>TONGQUAN!C1</f>
        <v>Tại ngày 30 tháng 09 năm 2024
/ As at 30 Sep 2024</v>
      </c>
      <c r="B5" s="204"/>
      <c r="C5" s="204"/>
      <c r="D5" s="204"/>
      <c r="E5" s="204"/>
      <c r="F5" s="204"/>
      <c r="G5" s="204"/>
    </row>
    <row r="6" spans="1:7" ht="16.899999999999999" customHeight="1"/>
    <row r="7" spans="1:7" ht="16.899999999999999" customHeight="1">
      <c r="A7" s="108" t="s">
        <v>2</v>
      </c>
      <c r="C7" s="205" t="str">
        <f>TONGQUAN!D5</f>
        <v>Công ty Cổ phần Quản lý Quỹ Đầu tư Dragon Capital Việt Nam</v>
      </c>
      <c r="D7" s="205"/>
      <c r="E7" s="205"/>
      <c r="F7" s="205"/>
      <c r="G7" s="205"/>
    </row>
    <row r="8" spans="1:7" ht="16.899999999999999" customHeight="1">
      <c r="A8" s="14" t="s">
        <v>15</v>
      </c>
      <c r="C8" s="200" t="str">
        <f>TONGQUAN!D6</f>
        <v>Dragon Capital Vietfund Management Joint Stock Company</v>
      </c>
      <c r="D8" s="200"/>
      <c r="E8" s="200"/>
      <c r="F8" s="200"/>
      <c r="G8" s="200"/>
    </row>
    <row r="9" spans="1:7" ht="16.899999999999999" customHeight="1">
      <c r="A9" s="108" t="s">
        <v>3</v>
      </c>
      <c r="C9" s="205" t="str">
        <f>TONGQUAN!D7</f>
        <v>Ngân hàng TNHH Một thành viên Standard Chartered (Việt Nam)</v>
      </c>
      <c r="D9" s="205"/>
      <c r="E9" s="205"/>
      <c r="F9" s="205"/>
      <c r="G9" s="205"/>
    </row>
    <row r="10" spans="1:7" ht="16.899999999999999" customHeight="1">
      <c r="A10" s="14" t="s">
        <v>4</v>
      </c>
      <c r="C10" s="200" t="str">
        <f>TONGQUAN!D8</f>
        <v>Standard Chartered Bank (Vietnam) Limited</v>
      </c>
      <c r="D10" s="200"/>
      <c r="E10" s="200"/>
      <c r="F10" s="200"/>
      <c r="G10" s="200"/>
    </row>
    <row r="11" spans="1:7" ht="16.899999999999999" customHeight="1">
      <c r="A11" s="108" t="s">
        <v>5</v>
      </c>
      <c r="C11" s="205" t="str">
        <f>TONGQUAN!D9</f>
        <v>Quỹ Đầu tư Trái phiếu Gia tăng Thu nhập Cố định DC</v>
      </c>
      <c r="D11" s="205"/>
      <c r="E11" s="205"/>
      <c r="F11" s="205"/>
      <c r="G11" s="205"/>
    </row>
    <row r="12" spans="1:7" ht="16.899999999999999" customHeight="1">
      <c r="A12" s="14" t="s">
        <v>6</v>
      </c>
      <c r="C12" s="200" t="str">
        <f>TONGQUAN!D10</f>
        <v>DC Income Plus Bond Fund (DCIP)</v>
      </c>
      <c r="D12" s="200"/>
      <c r="E12" s="200"/>
      <c r="F12" s="200"/>
      <c r="G12" s="200"/>
    </row>
    <row r="13" spans="1:7" ht="16.899999999999999" customHeight="1">
      <c r="A13" s="108" t="s">
        <v>7</v>
      </c>
      <c r="C13" s="205" t="str">
        <f>TONGQUAN!D11</f>
        <v>Ngày 01 tháng 10 năm 2024</v>
      </c>
      <c r="D13" s="205"/>
      <c r="E13" s="205"/>
      <c r="F13" s="205"/>
      <c r="G13" s="205"/>
    </row>
    <row r="14" spans="1:7" ht="16.899999999999999" customHeight="1">
      <c r="A14" s="14" t="s">
        <v>8</v>
      </c>
      <c r="C14" s="200" t="str">
        <f>TONGQUAN!D12</f>
        <v>01 Oct 2024</v>
      </c>
      <c r="D14" s="200"/>
      <c r="E14" s="200"/>
      <c r="F14" s="200"/>
      <c r="G14" s="200"/>
    </row>
    <row r="15" spans="1:7" ht="18" hidden="1" customHeight="1"/>
    <row r="16" spans="1:7" ht="16.899999999999999" customHeight="1">
      <c r="A16" s="102" t="s">
        <v>568</v>
      </c>
      <c r="B16" s="103" t="s">
        <v>569</v>
      </c>
    </row>
    <row r="17" spans="1:7" ht="16.899999999999999" customHeight="1">
      <c r="A17" s="20" t="s">
        <v>26</v>
      </c>
      <c r="B17" s="21" t="s">
        <v>523</v>
      </c>
    </row>
    <row r="18" spans="1:7" ht="75.400000000000006" customHeight="1">
      <c r="A18" s="30" t="s">
        <v>235</v>
      </c>
      <c r="B18" s="30" t="s">
        <v>107</v>
      </c>
      <c r="C18" s="30" t="s">
        <v>19</v>
      </c>
      <c r="D18" s="30" t="s">
        <v>108</v>
      </c>
      <c r="E18" s="30" t="s">
        <v>109</v>
      </c>
      <c r="F18" s="30" t="s">
        <v>110</v>
      </c>
      <c r="G18" s="30" t="s">
        <v>111</v>
      </c>
    </row>
    <row r="19" spans="1:7" ht="39" customHeight="1">
      <c r="A19" s="181" t="s">
        <v>596</v>
      </c>
      <c r="B19" s="180" t="s">
        <v>597</v>
      </c>
      <c r="C19" s="181"/>
      <c r="D19" s="183"/>
      <c r="E19" s="183"/>
      <c r="F19" s="183"/>
      <c r="G19" s="182"/>
    </row>
    <row r="20" spans="1:7" ht="39" customHeight="1">
      <c r="A20" s="176"/>
      <c r="B20" s="175"/>
      <c r="C20" s="177"/>
      <c r="D20" s="179"/>
      <c r="E20" s="185"/>
      <c r="F20" s="179"/>
      <c r="G20" s="178"/>
    </row>
    <row r="21" spans="1:7" ht="39" customHeight="1">
      <c r="A21" s="181"/>
      <c r="B21" s="180" t="s">
        <v>598</v>
      </c>
      <c r="C21" s="181" t="s">
        <v>599</v>
      </c>
      <c r="D21" s="183"/>
      <c r="E21" s="183"/>
      <c r="F21" s="183"/>
      <c r="G21" s="182"/>
    </row>
    <row r="22" spans="1:7" ht="39" customHeight="1">
      <c r="A22" s="181" t="s">
        <v>600</v>
      </c>
      <c r="B22" s="180" t="s">
        <v>601</v>
      </c>
      <c r="C22" s="181" t="s">
        <v>602</v>
      </c>
      <c r="D22" s="183"/>
      <c r="E22" s="183"/>
      <c r="F22" s="183"/>
      <c r="G22" s="182"/>
    </row>
    <row r="23" spans="1:7" ht="39" customHeight="1">
      <c r="A23" s="176"/>
      <c r="B23" s="175"/>
      <c r="C23" s="177"/>
      <c r="D23" s="179"/>
      <c r="E23" s="185"/>
      <c r="F23" s="179"/>
      <c r="G23" s="178"/>
    </row>
    <row r="24" spans="1:7" ht="39" customHeight="1">
      <c r="A24" s="181"/>
      <c r="B24" s="180" t="s">
        <v>603</v>
      </c>
      <c r="C24" s="181" t="s">
        <v>604</v>
      </c>
      <c r="D24" s="183"/>
      <c r="E24" s="183"/>
      <c r="F24" s="183"/>
      <c r="G24" s="182"/>
    </row>
    <row r="25" spans="1:7" ht="39" customHeight="1">
      <c r="A25" s="181" t="s">
        <v>605</v>
      </c>
      <c r="B25" s="180" t="s">
        <v>606</v>
      </c>
      <c r="C25" s="181" t="s">
        <v>607</v>
      </c>
      <c r="D25" s="183"/>
      <c r="E25" s="183"/>
      <c r="F25" s="183"/>
      <c r="G25" s="182"/>
    </row>
    <row r="26" spans="1:7" ht="39" customHeight="1">
      <c r="A26" s="176"/>
      <c r="B26" s="175"/>
      <c r="C26" s="177"/>
      <c r="D26" s="179"/>
      <c r="E26" s="185"/>
      <c r="F26" s="179"/>
      <c r="G26" s="178"/>
    </row>
    <row r="27" spans="1:7" ht="39" customHeight="1">
      <c r="A27" s="181"/>
      <c r="B27" s="180" t="s">
        <v>608</v>
      </c>
      <c r="C27" s="181" t="s">
        <v>609</v>
      </c>
      <c r="D27" s="183"/>
      <c r="E27" s="183"/>
      <c r="F27" s="183">
        <v>0</v>
      </c>
      <c r="G27" s="182">
        <v>0</v>
      </c>
    </row>
    <row r="28" spans="1:7" ht="39" customHeight="1">
      <c r="A28" s="181" t="s">
        <v>610</v>
      </c>
      <c r="B28" s="180" t="s">
        <v>611</v>
      </c>
      <c r="C28" s="181" t="s">
        <v>612</v>
      </c>
      <c r="D28" s="183"/>
      <c r="E28" s="183"/>
      <c r="F28" s="183"/>
      <c r="G28" s="182"/>
    </row>
    <row r="29" spans="1:7" ht="39" customHeight="1">
      <c r="A29" s="176"/>
      <c r="B29" s="175"/>
      <c r="C29" s="177"/>
      <c r="D29" s="179"/>
      <c r="E29" s="185"/>
      <c r="F29" s="179"/>
      <c r="G29" s="178"/>
    </row>
    <row r="30" spans="1:7" ht="39" customHeight="1">
      <c r="A30" s="176" t="s">
        <v>613</v>
      </c>
      <c r="B30" s="175" t="s">
        <v>614</v>
      </c>
      <c r="C30" s="177" t="s">
        <v>615</v>
      </c>
      <c r="D30" s="179"/>
      <c r="E30" s="185"/>
      <c r="F30" s="179">
        <v>439939859256</v>
      </c>
      <c r="G30" s="178">
        <v>0.36249482253330001</v>
      </c>
    </row>
    <row r="31" spans="1:7" ht="34" customHeight="1">
      <c r="A31" s="176" t="s">
        <v>616</v>
      </c>
      <c r="B31" s="175" t="s">
        <v>617</v>
      </c>
      <c r="C31" s="177" t="s">
        <v>618</v>
      </c>
      <c r="D31" s="179">
        <v>276091</v>
      </c>
      <c r="E31" s="185">
        <v>100735.178998</v>
      </c>
      <c r="F31" s="179">
        <v>27812076305</v>
      </c>
      <c r="G31" s="178">
        <v>2.29161633172161E-2</v>
      </c>
    </row>
    <row r="32" spans="1:7" ht="34" customHeight="1">
      <c r="A32" s="176" t="s">
        <v>619</v>
      </c>
      <c r="B32" s="175" t="s">
        <v>620</v>
      </c>
      <c r="C32" s="177" t="s">
        <v>621</v>
      </c>
      <c r="D32" s="179">
        <v>280000</v>
      </c>
      <c r="E32" s="185">
        <v>100918.571</v>
      </c>
      <c r="F32" s="179">
        <v>28257199880</v>
      </c>
      <c r="G32" s="178">
        <v>2.3282929337457799E-2</v>
      </c>
    </row>
    <row r="33" spans="1:7" ht="34" customHeight="1">
      <c r="A33" s="176" t="s">
        <v>622</v>
      </c>
      <c r="B33" s="175" t="s">
        <v>623</v>
      </c>
      <c r="C33" s="177" t="s">
        <v>624</v>
      </c>
      <c r="D33" s="179">
        <v>983416</v>
      </c>
      <c r="E33" s="185">
        <v>100180.151</v>
      </c>
      <c r="F33" s="179">
        <v>98518763376</v>
      </c>
      <c r="G33" s="178">
        <v>8.1175962793137699E-2</v>
      </c>
    </row>
    <row r="34" spans="1:7" ht="34" customHeight="1">
      <c r="A34" s="176" t="s">
        <v>625</v>
      </c>
      <c r="B34" s="175" t="s">
        <v>626</v>
      </c>
      <c r="C34" s="177" t="s">
        <v>627</v>
      </c>
      <c r="D34" s="179">
        <v>700000</v>
      </c>
      <c r="E34" s="185">
        <v>99624.297999999995</v>
      </c>
      <c r="F34" s="179">
        <v>69737008600</v>
      </c>
      <c r="G34" s="178">
        <v>5.7460818847401299E-2</v>
      </c>
    </row>
    <row r="35" spans="1:7" ht="34" customHeight="1">
      <c r="A35" s="176" t="s">
        <v>628</v>
      </c>
      <c r="B35" s="175" t="s">
        <v>629</v>
      </c>
      <c r="C35" s="177" t="s">
        <v>630</v>
      </c>
      <c r="D35" s="179">
        <v>186856</v>
      </c>
      <c r="E35" s="185">
        <v>98795.150997999997</v>
      </c>
      <c r="F35" s="179">
        <v>18460466735</v>
      </c>
      <c r="G35" s="178">
        <v>1.5210769090808301E-2</v>
      </c>
    </row>
    <row r="36" spans="1:7" ht="34" customHeight="1">
      <c r="A36" s="176" t="s">
        <v>631</v>
      </c>
      <c r="B36" s="175" t="s">
        <v>632</v>
      </c>
      <c r="C36" s="177" t="s">
        <v>633</v>
      </c>
      <c r="D36" s="179">
        <v>1000000</v>
      </c>
      <c r="E36" s="185">
        <v>100207.5</v>
      </c>
      <c r="F36" s="179">
        <v>100207500000</v>
      </c>
      <c r="G36" s="178">
        <v>8.2567421807234795E-2</v>
      </c>
    </row>
    <row r="37" spans="1:7" ht="34" customHeight="1">
      <c r="A37" s="176" t="s">
        <v>634</v>
      </c>
      <c r="B37" s="175" t="s">
        <v>635</v>
      </c>
      <c r="C37" s="177" t="s">
        <v>636</v>
      </c>
      <c r="D37" s="179">
        <v>100000</v>
      </c>
      <c r="E37" s="185">
        <v>99989.106</v>
      </c>
      <c r="F37" s="179">
        <v>9998910600</v>
      </c>
      <c r="G37" s="178">
        <v>8.2387472906023194E-3</v>
      </c>
    </row>
    <row r="38" spans="1:7" ht="34" customHeight="1">
      <c r="A38" s="176" t="s">
        <v>637</v>
      </c>
      <c r="B38" s="175" t="s">
        <v>638</v>
      </c>
      <c r="C38" s="177" t="s">
        <v>639</v>
      </c>
      <c r="D38" s="179">
        <v>869270</v>
      </c>
      <c r="E38" s="185">
        <v>100024.081999</v>
      </c>
      <c r="F38" s="179">
        <v>86947933760</v>
      </c>
      <c r="G38" s="178">
        <v>7.1642010049441707E-2</v>
      </c>
    </row>
    <row r="39" spans="1:7" ht="39" customHeight="1">
      <c r="A39" s="176" t="s">
        <v>640</v>
      </c>
      <c r="B39" s="175" t="s">
        <v>641</v>
      </c>
      <c r="C39" s="177" t="s">
        <v>642</v>
      </c>
      <c r="D39" s="179"/>
      <c r="E39" s="185"/>
      <c r="F39" s="179">
        <v>125436622430</v>
      </c>
      <c r="G39" s="178">
        <v>0.103355322847618</v>
      </c>
    </row>
    <row r="40" spans="1:7" ht="34" customHeight="1">
      <c r="A40" s="176" t="s">
        <v>643</v>
      </c>
      <c r="B40" s="175" t="s">
        <v>644</v>
      </c>
      <c r="C40" s="177" t="s">
        <v>645</v>
      </c>
      <c r="D40" s="179">
        <v>46</v>
      </c>
      <c r="E40" s="185">
        <v>999802130</v>
      </c>
      <c r="F40" s="179">
        <v>45990897980</v>
      </c>
      <c r="G40" s="178">
        <v>3.7894866879307099E-2</v>
      </c>
    </row>
    <row r="41" spans="1:7" ht="34" customHeight="1">
      <c r="A41" s="176" t="s">
        <v>646</v>
      </c>
      <c r="B41" s="175" t="s">
        <v>647</v>
      </c>
      <c r="C41" s="177" t="s">
        <v>648</v>
      </c>
      <c r="D41" s="179">
        <v>77</v>
      </c>
      <c r="E41" s="185">
        <v>1005713270</v>
      </c>
      <c r="F41" s="179">
        <v>77439921790</v>
      </c>
      <c r="G41" s="178">
        <v>6.3807745799009094E-2</v>
      </c>
    </row>
    <row r="42" spans="1:7" ht="34" customHeight="1">
      <c r="A42" s="176" t="s">
        <v>649</v>
      </c>
      <c r="B42" s="175" t="s">
        <v>650</v>
      </c>
      <c r="C42" s="177" t="s">
        <v>651</v>
      </c>
      <c r="D42" s="179">
        <v>2</v>
      </c>
      <c r="E42" s="185">
        <v>1002901330</v>
      </c>
      <c r="F42" s="179">
        <v>2005802660</v>
      </c>
      <c r="G42" s="178">
        <v>1.6527101693016399E-3</v>
      </c>
    </row>
    <row r="43" spans="1:7" ht="39" customHeight="1">
      <c r="A43" s="181"/>
      <c r="B43" s="180" t="s">
        <v>652</v>
      </c>
      <c r="C43" s="181" t="s">
        <v>653</v>
      </c>
      <c r="D43" s="183"/>
      <c r="E43" s="183"/>
      <c r="F43" s="183">
        <v>565376481686</v>
      </c>
      <c r="G43" s="182">
        <v>0.46585014538091801</v>
      </c>
    </row>
    <row r="44" spans="1:7" ht="39" customHeight="1">
      <c r="A44" s="181" t="s">
        <v>654</v>
      </c>
      <c r="B44" s="180" t="s">
        <v>655</v>
      </c>
      <c r="C44" s="181" t="s">
        <v>656</v>
      </c>
      <c r="D44" s="183"/>
      <c r="E44" s="183"/>
      <c r="F44" s="183"/>
      <c r="G44" s="182"/>
    </row>
    <row r="45" spans="1:7" ht="39" customHeight="1">
      <c r="A45" s="176"/>
      <c r="B45" s="175"/>
      <c r="C45" s="177"/>
      <c r="D45" s="179"/>
      <c r="E45" s="185"/>
      <c r="F45" s="179"/>
      <c r="G45" s="178"/>
    </row>
    <row r="46" spans="1:7" ht="39" customHeight="1">
      <c r="A46" s="176" t="s">
        <v>657</v>
      </c>
      <c r="B46" s="175" t="s">
        <v>658</v>
      </c>
      <c r="C46" s="177" t="s">
        <v>659</v>
      </c>
      <c r="D46" s="179"/>
      <c r="E46" s="185"/>
      <c r="F46" s="179">
        <v>0</v>
      </c>
      <c r="G46" s="178">
        <v>0</v>
      </c>
    </row>
    <row r="47" spans="1:7" ht="39" customHeight="1">
      <c r="A47" s="176" t="s">
        <v>660</v>
      </c>
      <c r="B47" s="175" t="s">
        <v>661</v>
      </c>
      <c r="C47" s="177" t="s">
        <v>662</v>
      </c>
      <c r="D47" s="179"/>
      <c r="E47" s="185"/>
      <c r="F47" s="179">
        <v>0</v>
      </c>
      <c r="G47" s="178">
        <v>0</v>
      </c>
    </row>
    <row r="48" spans="1:7" ht="34" customHeight="1">
      <c r="A48" s="181"/>
      <c r="B48" s="180" t="s">
        <v>663</v>
      </c>
      <c r="C48" s="181" t="s">
        <v>664</v>
      </c>
      <c r="D48" s="183"/>
      <c r="E48" s="183"/>
      <c r="F48" s="183">
        <v>0</v>
      </c>
      <c r="G48" s="182">
        <v>0</v>
      </c>
    </row>
    <row r="49" spans="1:7" ht="39" customHeight="1">
      <c r="A49" s="181"/>
      <c r="B49" s="180" t="s">
        <v>665</v>
      </c>
      <c r="C49" s="181" t="s">
        <v>666</v>
      </c>
      <c r="D49" s="183"/>
      <c r="E49" s="183"/>
      <c r="F49" s="183">
        <v>565376481686</v>
      </c>
      <c r="G49" s="182">
        <v>0.46585014538091801</v>
      </c>
    </row>
    <row r="50" spans="1:7" ht="39" customHeight="1">
      <c r="A50" s="181" t="s">
        <v>667</v>
      </c>
      <c r="B50" s="180" t="s">
        <v>668</v>
      </c>
      <c r="C50" s="181" t="s">
        <v>669</v>
      </c>
      <c r="D50" s="183"/>
      <c r="E50" s="183"/>
      <c r="F50" s="183"/>
      <c r="G50" s="182"/>
    </row>
    <row r="51" spans="1:7" ht="39" customHeight="1">
      <c r="A51" s="176"/>
      <c r="B51" s="175"/>
      <c r="C51" s="177"/>
      <c r="D51" s="179"/>
      <c r="E51" s="185"/>
      <c r="F51" s="179"/>
      <c r="G51" s="178"/>
    </row>
    <row r="52" spans="1:7" ht="39" customHeight="1">
      <c r="A52" s="176" t="s">
        <v>670</v>
      </c>
      <c r="B52" s="175" t="s">
        <v>671</v>
      </c>
      <c r="C52" s="177" t="s">
        <v>672</v>
      </c>
      <c r="D52" s="179"/>
      <c r="E52" s="185"/>
      <c r="F52" s="179">
        <v>0</v>
      </c>
      <c r="G52" s="178">
        <v>0</v>
      </c>
    </row>
    <row r="53" spans="1:7" ht="39" customHeight="1">
      <c r="A53" s="176" t="s">
        <v>673</v>
      </c>
      <c r="B53" s="175" t="s">
        <v>674</v>
      </c>
      <c r="C53" s="177" t="s">
        <v>675</v>
      </c>
      <c r="D53" s="179"/>
      <c r="E53" s="185"/>
      <c r="F53" s="179">
        <v>11464641880</v>
      </c>
      <c r="G53" s="178">
        <v>9.4464578197724705E-3</v>
      </c>
    </row>
    <row r="54" spans="1:7" ht="47.15" customHeight="1">
      <c r="A54" s="176" t="s">
        <v>676</v>
      </c>
      <c r="B54" s="175" t="s">
        <v>677</v>
      </c>
      <c r="C54" s="177" t="s">
        <v>678</v>
      </c>
      <c r="D54" s="179"/>
      <c r="E54" s="185"/>
      <c r="F54" s="179">
        <v>6261653425</v>
      </c>
      <c r="G54" s="178">
        <v>5.1593800818570601E-3</v>
      </c>
    </row>
    <row r="55" spans="1:7" ht="45" customHeight="1">
      <c r="A55" s="176" t="s">
        <v>679</v>
      </c>
      <c r="B55" s="175" t="s">
        <v>680</v>
      </c>
      <c r="C55" s="177" t="s">
        <v>681</v>
      </c>
      <c r="D55" s="179"/>
      <c r="E55" s="185"/>
      <c r="F55" s="179">
        <v>0</v>
      </c>
      <c r="G55" s="178">
        <v>0</v>
      </c>
    </row>
    <row r="56" spans="1:7" ht="57" customHeight="1">
      <c r="A56" s="176" t="s">
        <v>682</v>
      </c>
      <c r="B56" s="175" t="s">
        <v>683</v>
      </c>
      <c r="C56" s="177" t="s">
        <v>684</v>
      </c>
      <c r="D56" s="179"/>
      <c r="E56" s="185"/>
      <c r="F56" s="179">
        <v>0</v>
      </c>
      <c r="G56" s="178">
        <v>0</v>
      </c>
    </row>
    <row r="57" spans="1:7" ht="39" customHeight="1">
      <c r="A57" s="176" t="s">
        <v>685</v>
      </c>
      <c r="B57" s="175" t="s">
        <v>686</v>
      </c>
      <c r="C57" s="177" t="s">
        <v>687</v>
      </c>
      <c r="D57" s="179"/>
      <c r="E57" s="185"/>
      <c r="F57" s="179">
        <v>0</v>
      </c>
      <c r="G57" s="178">
        <v>0</v>
      </c>
    </row>
    <row r="58" spans="1:7" ht="39" customHeight="1">
      <c r="A58" s="176" t="s">
        <v>688</v>
      </c>
      <c r="B58" s="175" t="s">
        <v>689</v>
      </c>
      <c r="C58" s="177" t="s">
        <v>690</v>
      </c>
      <c r="D58" s="179"/>
      <c r="E58" s="185"/>
      <c r="F58" s="179">
        <v>43058071</v>
      </c>
      <c r="G58" s="178">
        <v>3.5478321587334902E-5</v>
      </c>
    </row>
    <row r="59" spans="1:7" ht="39" customHeight="1">
      <c r="A59" s="181"/>
      <c r="B59" s="180" t="s">
        <v>691</v>
      </c>
      <c r="C59" s="181" t="s">
        <v>692</v>
      </c>
      <c r="D59" s="183"/>
      <c r="E59" s="183"/>
      <c r="F59" s="183">
        <v>17769353376</v>
      </c>
      <c r="G59" s="182">
        <v>1.46413162232169E-2</v>
      </c>
    </row>
    <row r="60" spans="1:7" ht="39" customHeight="1">
      <c r="A60" s="181" t="s">
        <v>693</v>
      </c>
      <c r="B60" s="180" t="s">
        <v>694</v>
      </c>
      <c r="C60" s="181" t="s">
        <v>695</v>
      </c>
      <c r="D60" s="183"/>
      <c r="E60" s="183"/>
      <c r="F60" s="183"/>
      <c r="G60" s="182"/>
    </row>
    <row r="61" spans="1:7" ht="39" customHeight="1">
      <c r="A61" s="176" t="s">
        <v>696</v>
      </c>
      <c r="B61" s="175" t="s">
        <v>697</v>
      </c>
      <c r="C61" s="177" t="s">
        <v>698</v>
      </c>
      <c r="D61" s="179"/>
      <c r="E61" s="185"/>
      <c r="F61" s="179">
        <v>323998696966</v>
      </c>
      <c r="G61" s="178">
        <v>0.26696342167388798</v>
      </c>
    </row>
    <row r="62" spans="1:7" ht="39" customHeight="1">
      <c r="A62" s="176"/>
      <c r="B62" s="175"/>
      <c r="C62" s="177"/>
      <c r="D62" s="179"/>
      <c r="E62" s="185"/>
      <c r="F62" s="179"/>
      <c r="G62" s="178"/>
    </row>
    <row r="63" spans="1:7" ht="39" customHeight="1">
      <c r="A63" s="176" t="s">
        <v>699</v>
      </c>
      <c r="B63" s="175" t="s">
        <v>700</v>
      </c>
      <c r="C63" s="177" t="s">
        <v>701</v>
      </c>
      <c r="D63" s="179"/>
      <c r="E63" s="185"/>
      <c r="F63" s="179">
        <v>50498696966</v>
      </c>
      <c r="G63" s="178">
        <v>4.1609133179726601E-2</v>
      </c>
    </row>
    <row r="64" spans="1:7" ht="39" customHeight="1">
      <c r="A64" s="176" t="s">
        <v>702</v>
      </c>
      <c r="B64" s="175" t="s">
        <v>703</v>
      </c>
      <c r="C64" s="177" t="s">
        <v>704</v>
      </c>
      <c r="D64" s="179"/>
      <c r="E64" s="185"/>
      <c r="F64" s="179">
        <v>273500000000</v>
      </c>
      <c r="G64" s="178">
        <v>0.225354288494162</v>
      </c>
    </row>
    <row r="65" spans="1:7" ht="39" customHeight="1">
      <c r="A65" s="176" t="s">
        <v>705</v>
      </c>
      <c r="B65" s="175" t="s">
        <v>706</v>
      </c>
      <c r="C65" s="177" t="s">
        <v>707</v>
      </c>
      <c r="D65" s="179"/>
      <c r="E65" s="185"/>
      <c r="F65" s="179">
        <v>6500000000</v>
      </c>
      <c r="G65" s="178">
        <v>5.35576919638776E-3</v>
      </c>
    </row>
    <row r="66" spans="1:7" ht="39" customHeight="1">
      <c r="A66" s="176"/>
      <c r="B66" s="175"/>
      <c r="C66" s="177"/>
      <c r="D66" s="179"/>
      <c r="E66" s="185"/>
      <c r="F66" s="179"/>
      <c r="G66" s="178"/>
    </row>
    <row r="67" spans="1:7" ht="39" customHeight="1">
      <c r="A67" s="176" t="s">
        <v>708</v>
      </c>
      <c r="B67" s="175" t="s">
        <v>709</v>
      </c>
      <c r="C67" s="177" t="s">
        <v>710</v>
      </c>
      <c r="D67" s="179"/>
      <c r="E67" s="185"/>
      <c r="F67" s="179">
        <v>300000000000</v>
      </c>
      <c r="G67" s="178">
        <v>0.24718934752558899</v>
      </c>
    </row>
    <row r="68" spans="1:7" ht="39" customHeight="1">
      <c r="A68" s="181"/>
      <c r="B68" s="180" t="s">
        <v>711</v>
      </c>
      <c r="C68" s="181" t="s">
        <v>712</v>
      </c>
      <c r="D68" s="183"/>
      <c r="E68" s="183"/>
      <c r="F68" s="183">
        <v>630498696966</v>
      </c>
      <c r="G68" s="182">
        <v>0.51950853839586497</v>
      </c>
    </row>
    <row r="69" spans="1:7" ht="39" customHeight="1">
      <c r="A69" s="181" t="s">
        <v>713</v>
      </c>
      <c r="B69" s="180" t="s">
        <v>714</v>
      </c>
      <c r="C69" s="181" t="s">
        <v>715</v>
      </c>
      <c r="D69" s="183"/>
      <c r="E69" s="183"/>
      <c r="F69" s="183">
        <v>1213644532028</v>
      </c>
      <c r="G69" s="182">
        <v>1</v>
      </c>
    </row>
    <row r="70" spans="1:7" ht="16.899999999999999" customHeight="1">
      <c r="A70" s="65"/>
      <c r="B70" s="31"/>
      <c r="C70" s="31"/>
      <c r="D70" s="31"/>
      <c r="E70" s="18"/>
      <c r="F70" s="31"/>
    </row>
    <row r="71" spans="1:7" ht="16.899999999999999" customHeight="1">
      <c r="A71" s="18" t="s">
        <v>10</v>
      </c>
      <c r="B71" s="31"/>
      <c r="C71" s="31"/>
      <c r="D71" s="31"/>
      <c r="E71" s="18" t="s">
        <v>11</v>
      </c>
      <c r="F71" s="31"/>
    </row>
    <row r="72" spans="1:7" ht="16.899999999999999" customHeight="1">
      <c r="A72" s="19" t="s">
        <v>12</v>
      </c>
      <c r="B72" s="31"/>
      <c r="C72" s="31"/>
      <c r="D72" s="31"/>
      <c r="E72" s="19" t="s">
        <v>13</v>
      </c>
      <c r="F72" s="31"/>
    </row>
    <row r="73" spans="1:7" ht="16.899999999999999" customHeight="1"/>
    <row r="74" spans="1:7" ht="16.899999999999999" customHeight="1">
      <c r="A74" s="26"/>
      <c r="E74" s="26"/>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195" t="s">
        <v>1115</v>
      </c>
      <c r="B80" s="195"/>
      <c r="C80" s="31"/>
      <c r="E80" s="195" t="s">
        <v>1113</v>
      </c>
      <c r="F80" s="195"/>
      <c r="G80" s="31"/>
    </row>
    <row r="81" spans="1:7" ht="16.899999999999999" customHeight="1">
      <c r="A81" s="32" t="s">
        <v>14</v>
      </c>
      <c r="B81" s="31"/>
      <c r="C81" s="31"/>
      <c r="E81" s="32" t="s">
        <v>1087</v>
      </c>
      <c r="F81" s="31"/>
      <c r="G81" s="31"/>
    </row>
    <row r="82" spans="1:7" ht="16.899999999999999" customHeight="1">
      <c r="A82" s="32" t="s">
        <v>1093</v>
      </c>
      <c r="E82" s="32" t="s">
        <v>1094</v>
      </c>
    </row>
    <row r="83" spans="1:7" ht="16.899999999999999" customHeight="1">
      <c r="A83" s="33" t="s">
        <v>1095</v>
      </c>
      <c r="E83" s="34" t="s">
        <v>1096</v>
      </c>
    </row>
  </sheetData>
  <mergeCells count="14">
    <mergeCell ref="A80:B80"/>
    <mergeCell ref="E80:F80"/>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28" zoomScale="60" zoomScaleNormal="100" workbookViewId="0">
      <selection activeCell="D39" sqref="D39"/>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29"/>
  </cols>
  <sheetData>
    <row r="1" spans="1:7" ht="57" customHeight="1">
      <c r="A1" s="201" t="s">
        <v>582</v>
      </c>
      <c r="B1" s="201"/>
      <c r="C1" s="201"/>
      <c r="D1" s="201"/>
      <c r="E1" s="201"/>
      <c r="F1" s="201"/>
      <c r="G1" s="201"/>
    </row>
    <row r="2" spans="1:7" ht="57" customHeight="1">
      <c r="A2" s="202" t="s">
        <v>581</v>
      </c>
      <c r="B2" s="202"/>
      <c r="C2" s="202"/>
      <c r="D2" s="202"/>
      <c r="E2" s="202"/>
      <c r="F2" s="202"/>
      <c r="G2" s="202"/>
    </row>
    <row r="3" spans="1:7" ht="43.9" customHeight="1">
      <c r="A3" s="203" t="s">
        <v>148</v>
      </c>
      <c r="B3" s="203"/>
      <c r="C3" s="203"/>
      <c r="D3" s="203"/>
      <c r="E3" s="203"/>
      <c r="F3" s="203"/>
      <c r="G3" s="203"/>
    </row>
    <row r="4" spans="1:7" ht="9.4" customHeight="1"/>
    <row r="5" spans="1:7">
      <c r="A5" s="204" t="str">
        <f>TONGQUAN!C2</f>
        <v>Tháng 09 năm 2024
/ Sep 2024</v>
      </c>
      <c r="B5" s="204"/>
      <c r="C5" s="204"/>
      <c r="D5" s="204"/>
      <c r="E5" s="204"/>
      <c r="F5" s="204"/>
      <c r="G5" s="204"/>
    </row>
    <row r="7" spans="1:7" ht="16.899999999999999" customHeight="1">
      <c r="A7" s="143" t="s">
        <v>2</v>
      </c>
      <c r="D7" s="194" t="str">
        <f>TONGQUAN!D5</f>
        <v>Công ty Cổ phần Quản lý Quỹ Đầu tư Dragon Capital Việt Nam</v>
      </c>
      <c r="E7" s="194"/>
      <c r="F7" s="194"/>
      <c r="G7" s="194"/>
    </row>
    <row r="8" spans="1:7" ht="16.899999999999999" customHeight="1">
      <c r="A8" s="148" t="s">
        <v>15</v>
      </c>
      <c r="D8" s="206" t="str">
        <f>TONGQUAN!D6</f>
        <v>Dragon Capital Vietfund Management Joint Stock Company</v>
      </c>
      <c r="E8" s="206"/>
      <c r="F8" s="206"/>
      <c r="G8" s="206"/>
    </row>
    <row r="9" spans="1:7" ht="16.899999999999999" customHeight="1">
      <c r="A9" s="143" t="s">
        <v>3</v>
      </c>
      <c r="D9" s="194" t="str">
        <f>TONGQUAN!D7</f>
        <v>Ngân hàng TNHH Một thành viên Standard Chartered (Việt Nam)</v>
      </c>
      <c r="E9" s="194"/>
      <c r="F9" s="194"/>
      <c r="G9" s="194"/>
    </row>
    <row r="10" spans="1:7" ht="16.899999999999999" customHeight="1">
      <c r="A10" s="148" t="s">
        <v>4</v>
      </c>
      <c r="D10" s="206" t="str">
        <f>TONGQUAN!D8</f>
        <v>Standard Chartered Bank (Vietnam) Limited</v>
      </c>
      <c r="E10" s="206"/>
      <c r="F10" s="206"/>
      <c r="G10" s="206"/>
    </row>
    <row r="11" spans="1:7" ht="16.899999999999999" customHeight="1">
      <c r="A11" s="143" t="s">
        <v>5</v>
      </c>
      <c r="D11" s="194" t="str">
        <f>TONGQUAN!D9</f>
        <v>Quỹ Đầu tư Trái phiếu Gia tăng Thu nhập Cố định DC</v>
      </c>
      <c r="E11" s="194"/>
      <c r="F11" s="194"/>
      <c r="G11" s="194"/>
    </row>
    <row r="12" spans="1:7" ht="16.899999999999999" customHeight="1">
      <c r="A12" s="148" t="s">
        <v>6</v>
      </c>
      <c r="D12" s="206" t="str">
        <f>TONGQUAN!D10</f>
        <v>DC Income Plus Bond Fund (DCIP)</v>
      </c>
      <c r="E12" s="206"/>
      <c r="F12" s="206"/>
      <c r="G12" s="206"/>
    </row>
    <row r="13" spans="1:7" ht="16.899999999999999" customHeight="1">
      <c r="A13" s="143" t="s">
        <v>7</v>
      </c>
      <c r="D13" s="194" t="str">
        <f>TONGQUAN!D11</f>
        <v>Ngày 01 tháng 10 năm 2024</v>
      </c>
      <c r="E13" s="194"/>
      <c r="F13" s="194"/>
      <c r="G13" s="194"/>
    </row>
    <row r="14" spans="1:7" ht="16.899999999999999" customHeight="1">
      <c r="A14" s="148" t="s">
        <v>8</v>
      </c>
      <c r="D14" s="206" t="str">
        <f>TONGQUAN!D12</f>
        <v>01 Oct 2024</v>
      </c>
      <c r="E14" s="206"/>
      <c r="F14" s="206"/>
      <c r="G14" s="206"/>
    </row>
    <row r="16" spans="1:7" ht="39" customHeight="1">
      <c r="A16" s="208" t="s">
        <v>149</v>
      </c>
      <c r="B16" s="210" t="s">
        <v>150</v>
      </c>
      <c r="C16" s="210" t="s">
        <v>151</v>
      </c>
      <c r="D16" s="213" t="s">
        <v>1101</v>
      </c>
      <c r="E16" s="214"/>
      <c r="F16" s="213" t="s">
        <v>1102</v>
      </c>
      <c r="G16" s="214"/>
    </row>
    <row r="17" spans="1:10" ht="39" customHeight="1">
      <c r="A17" s="209"/>
      <c r="B17" s="211"/>
      <c r="C17" s="212"/>
      <c r="D17" s="36" t="str">
        <f>BCKetQuaHoatDong_06028!D18</f>
        <v>Tháng 09 năm 2024
Sep 2024</v>
      </c>
      <c r="E17" s="37" t="s">
        <v>152</v>
      </c>
      <c r="F17" s="11" t="s">
        <v>1103</v>
      </c>
      <c r="G17" s="37" t="s">
        <v>152</v>
      </c>
    </row>
    <row r="18" spans="1:10" s="35" customFormat="1" ht="25">
      <c r="A18" s="38" t="s">
        <v>289</v>
      </c>
      <c r="B18" s="39" t="s">
        <v>153</v>
      </c>
      <c r="C18" s="40"/>
      <c r="D18" s="23">
        <v>6023551849</v>
      </c>
      <c r="E18" s="23">
        <v>91599855786</v>
      </c>
      <c r="F18" s="23">
        <v>3342269790</v>
      </c>
      <c r="G18" s="23">
        <v>20538025074</v>
      </c>
    </row>
    <row r="19" spans="1:10" ht="25">
      <c r="A19" s="41" t="s">
        <v>290</v>
      </c>
      <c r="B19" s="42" t="s">
        <v>154</v>
      </c>
      <c r="C19" s="43"/>
      <c r="D19" s="25">
        <v>0</v>
      </c>
      <c r="E19" s="25">
        <v>0</v>
      </c>
      <c r="F19" s="25">
        <v>0</v>
      </c>
      <c r="G19" s="25">
        <v>0</v>
      </c>
      <c r="J19" s="35"/>
    </row>
    <row r="20" spans="1:10" ht="25">
      <c r="A20" s="41" t="s">
        <v>291</v>
      </c>
      <c r="B20" s="42" t="s">
        <v>155</v>
      </c>
      <c r="C20" s="44"/>
      <c r="D20" s="25">
        <v>6983057022</v>
      </c>
      <c r="E20" s="25">
        <v>95354900449</v>
      </c>
      <c r="F20" s="25">
        <v>2985722882</v>
      </c>
      <c r="G20" s="25">
        <v>20893826840</v>
      </c>
      <c r="J20" s="35"/>
    </row>
    <row r="21" spans="1:10" ht="25">
      <c r="A21" s="41" t="s">
        <v>240</v>
      </c>
      <c r="B21" s="42" t="s">
        <v>156</v>
      </c>
      <c r="C21" s="44"/>
      <c r="D21" s="25">
        <v>462442400</v>
      </c>
      <c r="E21" s="25">
        <v>18565089209</v>
      </c>
      <c r="F21" s="25">
        <v>291289677</v>
      </c>
      <c r="G21" s="25">
        <v>2899461564</v>
      </c>
      <c r="J21" s="35"/>
    </row>
    <row r="22" spans="1:10" ht="25">
      <c r="A22" s="41" t="s">
        <v>587</v>
      </c>
      <c r="B22" s="42" t="s">
        <v>157</v>
      </c>
      <c r="C22" s="44"/>
      <c r="D22" s="25">
        <v>1655342467</v>
      </c>
      <c r="E22" s="25">
        <v>19531331506</v>
      </c>
      <c r="F22" s="25">
        <v>588410960</v>
      </c>
      <c r="G22" s="25">
        <v>1318493153</v>
      </c>
      <c r="J22" s="35"/>
    </row>
    <row r="23" spans="1:10" ht="25">
      <c r="A23" s="41" t="s">
        <v>292</v>
      </c>
      <c r="B23" s="42" t="s">
        <v>236</v>
      </c>
      <c r="C23" s="44"/>
      <c r="D23" s="25">
        <v>4865272155</v>
      </c>
      <c r="E23" s="25">
        <v>57258479734</v>
      </c>
      <c r="F23" s="25">
        <v>2106022245</v>
      </c>
      <c r="G23" s="25">
        <v>16675872123</v>
      </c>
      <c r="J23" s="35"/>
    </row>
    <row r="24" spans="1:10" ht="25">
      <c r="A24" s="41" t="s">
        <v>239</v>
      </c>
      <c r="B24" s="42" t="s">
        <v>238</v>
      </c>
      <c r="C24" s="44"/>
      <c r="D24" s="25">
        <v>0</v>
      </c>
      <c r="E24" s="25">
        <v>0</v>
      </c>
      <c r="F24" s="25">
        <v>0</v>
      </c>
      <c r="G24" s="25">
        <v>0</v>
      </c>
      <c r="J24" s="35"/>
    </row>
    <row r="25" spans="1:10" ht="25">
      <c r="A25" s="41" t="s">
        <v>241</v>
      </c>
      <c r="B25" s="45" t="s">
        <v>158</v>
      </c>
      <c r="C25" s="44"/>
      <c r="D25" s="25">
        <v>-431038793</v>
      </c>
      <c r="E25" s="25">
        <v>-2619217649</v>
      </c>
      <c r="F25" s="25">
        <v>-67067930</v>
      </c>
      <c r="G25" s="25">
        <v>-1435560442</v>
      </c>
      <c r="J25" s="35"/>
    </row>
    <row r="26" spans="1:10" ht="25">
      <c r="A26" s="41" t="s">
        <v>242</v>
      </c>
      <c r="B26" s="45" t="s">
        <v>159</v>
      </c>
      <c r="C26" s="44"/>
      <c r="D26" s="25">
        <v>-528466380</v>
      </c>
      <c r="E26" s="25">
        <v>-1135827014</v>
      </c>
      <c r="F26" s="25">
        <v>423614838</v>
      </c>
      <c r="G26" s="25">
        <v>1079758676</v>
      </c>
      <c r="J26" s="35"/>
    </row>
    <row r="27" spans="1:10" ht="25">
      <c r="A27" s="41" t="s">
        <v>293</v>
      </c>
      <c r="B27" s="45" t="s">
        <v>160</v>
      </c>
      <c r="C27" s="44"/>
      <c r="D27" s="25">
        <v>0</v>
      </c>
      <c r="E27" s="25">
        <v>0</v>
      </c>
      <c r="F27" s="25">
        <v>0</v>
      </c>
      <c r="G27" s="25">
        <v>0</v>
      </c>
      <c r="J27" s="35"/>
    </row>
    <row r="28" spans="1:10" ht="25">
      <c r="A28" s="41" t="s">
        <v>243</v>
      </c>
      <c r="B28" s="45" t="s">
        <v>161</v>
      </c>
      <c r="C28" s="44"/>
      <c r="D28" s="25">
        <v>0</v>
      </c>
      <c r="E28" s="25">
        <v>0</v>
      </c>
      <c r="F28" s="25">
        <v>0</v>
      </c>
      <c r="G28" s="25">
        <v>0</v>
      </c>
      <c r="J28" s="35"/>
    </row>
    <row r="29" spans="1:10" ht="25">
      <c r="A29" s="41" t="s">
        <v>294</v>
      </c>
      <c r="B29" s="45" t="s">
        <v>162</v>
      </c>
      <c r="C29" s="44"/>
      <c r="D29" s="25">
        <v>0</v>
      </c>
      <c r="E29" s="25">
        <v>0</v>
      </c>
      <c r="F29" s="25">
        <v>0</v>
      </c>
      <c r="G29" s="25">
        <v>0</v>
      </c>
      <c r="J29" s="35"/>
    </row>
    <row r="30" spans="1:10" ht="50">
      <c r="A30" s="41" t="s">
        <v>295</v>
      </c>
      <c r="B30" s="45" t="s">
        <v>163</v>
      </c>
      <c r="C30" s="44"/>
      <c r="D30" s="25">
        <v>0</v>
      </c>
      <c r="E30" s="25">
        <v>0</v>
      </c>
      <c r="F30" s="25">
        <v>0</v>
      </c>
      <c r="G30" s="25">
        <v>0</v>
      </c>
      <c r="J30" s="35"/>
    </row>
    <row r="31" spans="1:10" s="35" customFormat="1" ht="25">
      <c r="A31" s="38" t="s">
        <v>263</v>
      </c>
      <c r="B31" s="39" t="s">
        <v>164</v>
      </c>
      <c r="C31" s="40"/>
      <c r="D31" s="23">
        <v>135773061</v>
      </c>
      <c r="E31" s="23">
        <v>798379260</v>
      </c>
      <c r="F31" s="23">
        <v>17057660</v>
      </c>
      <c r="G31" s="23">
        <v>184609094</v>
      </c>
    </row>
    <row r="32" spans="1:10" ht="25">
      <c r="A32" s="41" t="s">
        <v>165</v>
      </c>
      <c r="B32" s="45" t="s">
        <v>166</v>
      </c>
      <c r="C32" s="44"/>
      <c r="D32" s="25">
        <v>135773061</v>
      </c>
      <c r="E32" s="25">
        <v>798379260</v>
      </c>
      <c r="F32" s="25">
        <v>15057660</v>
      </c>
      <c r="G32" s="25">
        <v>141109094</v>
      </c>
      <c r="J32" s="35"/>
    </row>
    <row r="33" spans="1:10" ht="25">
      <c r="A33" s="46" t="s">
        <v>588</v>
      </c>
      <c r="B33" s="42" t="s">
        <v>167</v>
      </c>
      <c r="C33" s="43"/>
      <c r="D33" s="25">
        <v>135620040</v>
      </c>
      <c r="E33" s="25">
        <v>793649568</v>
      </c>
      <c r="F33" s="25">
        <v>14964660</v>
      </c>
      <c r="G33" s="25">
        <v>140007494</v>
      </c>
      <c r="J33" s="35"/>
    </row>
    <row r="34" spans="1:10" ht="25">
      <c r="A34" s="46" t="s">
        <v>42</v>
      </c>
      <c r="B34" s="42" t="s">
        <v>168</v>
      </c>
      <c r="C34" s="43"/>
      <c r="D34" s="25">
        <v>153021</v>
      </c>
      <c r="E34" s="25">
        <v>4729692</v>
      </c>
      <c r="F34" s="25">
        <v>93000</v>
      </c>
      <c r="G34" s="25">
        <v>1101600</v>
      </c>
      <c r="J34" s="35"/>
    </row>
    <row r="35" spans="1:10" ht="25">
      <c r="A35" s="46" t="s">
        <v>169</v>
      </c>
      <c r="B35" s="42" t="s">
        <v>170</v>
      </c>
      <c r="C35" s="44"/>
      <c r="D35" s="25">
        <v>0</v>
      </c>
      <c r="E35" s="25">
        <v>0</v>
      </c>
      <c r="F35" s="25">
        <v>0</v>
      </c>
      <c r="G35" s="25">
        <v>0</v>
      </c>
      <c r="J35" s="35"/>
    </row>
    <row r="36" spans="1:10" ht="25">
      <c r="A36" s="46" t="s">
        <v>171</v>
      </c>
      <c r="B36" s="42" t="s">
        <v>172</v>
      </c>
      <c r="C36" s="44"/>
      <c r="D36" s="25">
        <v>0</v>
      </c>
      <c r="E36" s="25">
        <v>0</v>
      </c>
      <c r="F36" s="25">
        <v>0</v>
      </c>
      <c r="G36" s="25">
        <v>0</v>
      </c>
      <c r="J36" s="35"/>
    </row>
    <row r="37" spans="1:10" ht="37.5">
      <c r="A37" s="46" t="s">
        <v>173</v>
      </c>
      <c r="B37" s="42" t="s">
        <v>174</v>
      </c>
      <c r="C37" s="44"/>
      <c r="D37" s="25">
        <v>0</v>
      </c>
      <c r="E37" s="25">
        <v>0</v>
      </c>
      <c r="F37" s="25">
        <v>0</v>
      </c>
      <c r="G37" s="25">
        <v>0</v>
      </c>
      <c r="J37" s="35"/>
    </row>
    <row r="38" spans="1:10" ht="25">
      <c r="A38" s="46" t="s">
        <v>264</v>
      </c>
      <c r="B38" s="42" t="s">
        <v>175</v>
      </c>
      <c r="C38" s="44"/>
      <c r="D38" s="25">
        <v>0</v>
      </c>
      <c r="E38" s="25">
        <v>0</v>
      </c>
      <c r="F38" s="25">
        <v>2000000</v>
      </c>
      <c r="G38" s="25">
        <v>43500000</v>
      </c>
      <c r="J38" s="35"/>
    </row>
    <row r="39" spans="1:10" s="35" customFormat="1" ht="25">
      <c r="A39" s="38" t="s">
        <v>265</v>
      </c>
      <c r="B39" s="39" t="s">
        <v>176</v>
      </c>
      <c r="C39" s="40"/>
      <c r="D39" s="23">
        <v>1415422144</v>
      </c>
      <c r="E39" s="23">
        <v>19380378506</v>
      </c>
      <c r="F39" s="23">
        <v>561408766</v>
      </c>
      <c r="G39" s="23">
        <v>3885059370</v>
      </c>
    </row>
    <row r="40" spans="1:10" ht="25">
      <c r="A40" s="46" t="s">
        <v>296</v>
      </c>
      <c r="B40" s="42" t="s">
        <v>177</v>
      </c>
      <c r="C40" s="44"/>
      <c r="D40" s="25">
        <v>1216251099</v>
      </c>
      <c r="E40" s="25">
        <v>16939149755</v>
      </c>
      <c r="F40" s="25">
        <v>433339542</v>
      </c>
      <c r="G40" s="25">
        <v>2768858434</v>
      </c>
      <c r="J40" s="35"/>
    </row>
    <row r="41" spans="1:10" ht="25">
      <c r="A41" s="46" t="s">
        <v>178</v>
      </c>
      <c r="B41" s="42" t="s">
        <v>179</v>
      </c>
      <c r="C41" s="43"/>
      <c r="D41" s="25">
        <v>55509011</v>
      </c>
      <c r="E41" s="25">
        <v>738261041</v>
      </c>
      <c r="F41" s="25">
        <v>20232121</v>
      </c>
      <c r="G41" s="25">
        <v>131828311</v>
      </c>
      <c r="J41" s="35"/>
    </row>
    <row r="42" spans="1:10" ht="25">
      <c r="A42" s="16" t="s">
        <v>23</v>
      </c>
      <c r="B42" s="47" t="s">
        <v>180</v>
      </c>
      <c r="C42" s="43"/>
      <c r="D42" s="25">
        <v>50677130</v>
      </c>
      <c r="E42" s="25">
        <v>705797911</v>
      </c>
      <c r="F42" s="25">
        <v>18713625</v>
      </c>
      <c r="G42" s="25">
        <v>119821535</v>
      </c>
      <c r="J42" s="35"/>
    </row>
    <row r="43" spans="1:10" ht="25">
      <c r="A43" s="16" t="s">
        <v>24</v>
      </c>
      <c r="B43" s="47" t="s">
        <v>181</v>
      </c>
      <c r="C43" s="43"/>
      <c r="D43" s="25">
        <v>3900000</v>
      </c>
      <c r="E43" s="25">
        <v>22150000</v>
      </c>
      <c r="F43" s="25">
        <v>1200000</v>
      </c>
      <c r="G43" s="25">
        <v>8100000</v>
      </c>
      <c r="J43" s="35"/>
    </row>
    <row r="44" spans="1:10" ht="50">
      <c r="A44" s="16" t="s">
        <v>591</v>
      </c>
      <c r="B44" s="47" t="s">
        <v>182</v>
      </c>
      <c r="C44" s="43"/>
      <c r="D44" s="25">
        <v>931881</v>
      </c>
      <c r="E44" s="25">
        <v>10313130</v>
      </c>
      <c r="F44" s="25">
        <v>318496</v>
      </c>
      <c r="G44" s="25">
        <v>3906776</v>
      </c>
      <c r="J44" s="35"/>
    </row>
    <row r="45" spans="1:10" ht="25">
      <c r="A45" s="46" t="s">
        <v>183</v>
      </c>
      <c r="B45" s="42" t="s">
        <v>184</v>
      </c>
      <c r="C45" s="43"/>
      <c r="D45" s="25">
        <v>33446906</v>
      </c>
      <c r="E45" s="25">
        <v>465826612</v>
      </c>
      <c r="F45" s="25">
        <v>18150000</v>
      </c>
      <c r="G45" s="25">
        <v>163350000</v>
      </c>
      <c r="J45" s="35"/>
    </row>
    <row r="46" spans="1:10" ht="25">
      <c r="A46" s="46" t="s">
        <v>185</v>
      </c>
      <c r="B46" s="42" t="s">
        <v>186</v>
      </c>
      <c r="C46" s="43"/>
      <c r="D46" s="25">
        <v>51058374</v>
      </c>
      <c r="E46" s="25">
        <v>679264660</v>
      </c>
      <c r="F46" s="25">
        <v>37262500</v>
      </c>
      <c r="G46" s="25">
        <v>335362500</v>
      </c>
      <c r="J46" s="35"/>
    </row>
    <row r="47" spans="1:10" ht="25">
      <c r="A47" s="46" t="s">
        <v>187</v>
      </c>
      <c r="B47" s="42" t="s">
        <v>188</v>
      </c>
      <c r="C47" s="43"/>
      <c r="D47" s="25">
        <v>13200000</v>
      </c>
      <c r="E47" s="25">
        <v>118800000</v>
      </c>
      <c r="F47" s="25">
        <v>13200000</v>
      </c>
      <c r="G47" s="25">
        <v>118800000</v>
      </c>
      <c r="J47" s="35"/>
    </row>
    <row r="48" spans="1:10" ht="25">
      <c r="A48" s="46" t="s">
        <v>189</v>
      </c>
      <c r="B48" s="42" t="s">
        <v>190</v>
      </c>
      <c r="C48" s="43"/>
      <c r="D48" s="25">
        <v>0</v>
      </c>
      <c r="E48" s="25">
        <v>0</v>
      </c>
      <c r="F48" s="25">
        <v>0</v>
      </c>
      <c r="G48" s="25">
        <v>0</v>
      </c>
      <c r="J48" s="35"/>
    </row>
    <row r="49" spans="1:10" ht="37.5">
      <c r="A49" s="17" t="s">
        <v>297</v>
      </c>
      <c r="B49" s="47" t="s">
        <v>191</v>
      </c>
      <c r="C49" s="43"/>
      <c r="D49" s="25">
        <v>0</v>
      </c>
      <c r="E49" s="25">
        <v>0</v>
      </c>
      <c r="F49" s="25">
        <v>0</v>
      </c>
      <c r="G49" s="25">
        <v>0</v>
      </c>
      <c r="J49" s="35"/>
    </row>
    <row r="50" spans="1:10" ht="25">
      <c r="A50" s="17" t="s">
        <v>298</v>
      </c>
      <c r="B50" s="47" t="s">
        <v>192</v>
      </c>
      <c r="C50" s="43"/>
      <c r="D50" s="25">
        <v>0</v>
      </c>
      <c r="E50" s="25">
        <v>0</v>
      </c>
      <c r="F50" s="25">
        <v>0</v>
      </c>
      <c r="G50" s="25">
        <v>0</v>
      </c>
      <c r="J50" s="35"/>
    </row>
    <row r="51" spans="1:10" ht="25">
      <c r="A51" s="46" t="s">
        <v>193</v>
      </c>
      <c r="B51" s="42" t="s">
        <v>194</v>
      </c>
      <c r="C51" s="43"/>
      <c r="D51" s="25">
        <v>14238388</v>
      </c>
      <c r="E51" s="25">
        <v>102243690</v>
      </c>
      <c r="F51" s="25">
        <v>0</v>
      </c>
      <c r="G51" s="25">
        <v>34754442</v>
      </c>
      <c r="J51" s="35"/>
    </row>
    <row r="52" spans="1:10" ht="25">
      <c r="A52" s="46" t="s">
        <v>266</v>
      </c>
      <c r="B52" s="42" t="s">
        <v>195</v>
      </c>
      <c r="C52" s="43"/>
      <c r="D52" s="25">
        <v>11000000</v>
      </c>
      <c r="E52" s="25">
        <v>100484195</v>
      </c>
      <c r="F52" s="25">
        <v>12944322</v>
      </c>
      <c r="G52" s="25">
        <v>98785423</v>
      </c>
      <c r="J52" s="35"/>
    </row>
    <row r="53" spans="1:10" ht="25">
      <c r="A53" s="46" t="s">
        <v>196</v>
      </c>
      <c r="B53" s="42" t="s">
        <v>197</v>
      </c>
      <c r="C53" s="43"/>
      <c r="D53" s="25">
        <v>0</v>
      </c>
      <c r="E53" s="25">
        <v>0</v>
      </c>
      <c r="F53" s="25">
        <v>0</v>
      </c>
      <c r="G53" s="25">
        <v>0</v>
      </c>
      <c r="J53" s="35"/>
    </row>
    <row r="54" spans="1:10" ht="25">
      <c r="A54" s="46" t="s">
        <v>267</v>
      </c>
      <c r="B54" s="48" t="s">
        <v>198</v>
      </c>
      <c r="C54" s="43"/>
      <c r="D54" s="25">
        <v>20718366</v>
      </c>
      <c r="E54" s="25">
        <v>236348553</v>
      </c>
      <c r="F54" s="25">
        <v>26280281</v>
      </c>
      <c r="G54" s="25">
        <v>233320260</v>
      </c>
      <c r="J54" s="35"/>
    </row>
    <row r="55" spans="1:10" ht="25">
      <c r="A55" s="17" t="s">
        <v>38</v>
      </c>
      <c r="B55" s="49" t="s">
        <v>199</v>
      </c>
      <c r="C55" s="43"/>
      <c r="D55" s="25">
        <v>6491803</v>
      </c>
      <c r="E55" s="25">
        <v>58491803</v>
      </c>
      <c r="F55" s="25">
        <v>6493150</v>
      </c>
      <c r="G55" s="25">
        <v>58487671</v>
      </c>
      <c r="J55" s="35"/>
    </row>
    <row r="56" spans="1:10" ht="25">
      <c r="A56" s="17" t="s">
        <v>200</v>
      </c>
      <c r="B56" s="49" t="s">
        <v>201</v>
      </c>
      <c r="C56" s="43"/>
      <c r="D56" s="25">
        <v>0</v>
      </c>
      <c r="E56" s="25">
        <v>0</v>
      </c>
      <c r="F56" s="25">
        <v>0</v>
      </c>
      <c r="G56" s="25">
        <v>0</v>
      </c>
      <c r="J56" s="35"/>
    </row>
    <row r="57" spans="1:10" ht="25">
      <c r="A57" s="17" t="s">
        <v>202</v>
      </c>
      <c r="B57" s="49" t="s">
        <v>203</v>
      </c>
      <c r="C57" s="44"/>
      <c r="D57" s="25">
        <v>0</v>
      </c>
      <c r="E57" s="25">
        <v>0</v>
      </c>
      <c r="F57" s="25">
        <v>0</v>
      </c>
      <c r="G57" s="25">
        <v>0</v>
      </c>
      <c r="J57" s="35"/>
    </row>
    <row r="58" spans="1:10" ht="25">
      <c r="A58" s="17" t="s">
        <v>268</v>
      </c>
      <c r="B58" s="49" t="s">
        <v>204</v>
      </c>
      <c r="C58" s="43"/>
      <c r="D58" s="25">
        <v>7663043</v>
      </c>
      <c r="E58" s="25">
        <v>70500000</v>
      </c>
      <c r="F58" s="25">
        <v>7663043</v>
      </c>
      <c r="G58" s="25">
        <v>70500000</v>
      </c>
      <c r="J58" s="35"/>
    </row>
    <row r="59" spans="1:10" ht="25">
      <c r="A59" s="17" t="s">
        <v>39</v>
      </c>
      <c r="B59" s="49" t="s">
        <v>205</v>
      </c>
      <c r="C59" s="44"/>
      <c r="D59" s="25">
        <v>3524366</v>
      </c>
      <c r="E59" s="25">
        <v>32391946</v>
      </c>
      <c r="F59" s="25">
        <v>0</v>
      </c>
      <c r="G59" s="25">
        <v>0</v>
      </c>
      <c r="J59" s="35"/>
    </row>
    <row r="60" spans="1:10" ht="25">
      <c r="A60" s="17" t="s">
        <v>269</v>
      </c>
      <c r="B60" s="49" t="s">
        <v>206</v>
      </c>
      <c r="C60" s="44"/>
      <c r="D60" s="25">
        <v>0</v>
      </c>
      <c r="E60" s="25">
        <v>0</v>
      </c>
      <c r="F60" s="25">
        <v>0</v>
      </c>
      <c r="G60" s="25">
        <v>0</v>
      </c>
      <c r="J60" s="35"/>
    </row>
    <row r="61" spans="1:10" ht="25">
      <c r="A61" s="17" t="s">
        <v>270</v>
      </c>
      <c r="B61" s="49" t="s">
        <v>207</v>
      </c>
      <c r="C61" s="44"/>
      <c r="D61" s="25">
        <v>614754</v>
      </c>
      <c r="E61" s="25">
        <v>5614754</v>
      </c>
      <c r="F61" s="25">
        <v>616438</v>
      </c>
      <c r="G61" s="25">
        <v>13109589</v>
      </c>
      <c r="J61" s="35"/>
    </row>
    <row r="62" spans="1:10" ht="25">
      <c r="A62" s="17" t="s">
        <v>46</v>
      </c>
      <c r="B62" s="49" t="s">
        <v>208</v>
      </c>
      <c r="C62" s="44"/>
      <c r="D62" s="25">
        <v>2424400</v>
      </c>
      <c r="E62" s="25">
        <v>67518550</v>
      </c>
      <c r="F62" s="25">
        <v>11507650</v>
      </c>
      <c r="G62" s="25">
        <v>90123000</v>
      </c>
      <c r="J62" s="35"/>
    </row>
    <row r="63" spans="1:10" ht="25">
      <c r="A63" s="17" t="s">
        <v>40</v>
      </c>
      <c r="B63" s="49" t="s">
        <v>209</v>
      </c>
      <c r="C63" s="44"/>
      <c r="D63" s="25">
        <v>0</v>
      </c>
      <c r="E63" s="25">
        <v>0</v>
      </c>
      <c r="F63" s="25">
        <v>0</v>
      </c>
      <c r="G63" s="25">
        <v>0</v>
      </c>
      <c r="J63" s="35"/>
    </row>
    <row r="64" spans="1:10" ht="25">
      <c r="A64" s="17" t="s">
        <v>255</v>
      </c>
      <c r="B64" s="49" t="s">
        <v>210</v>
      </c>
      <c r="C64" s="43"/>
      <c r="D64" s="25">
        <v>0</v>
      </c>
      <c r="E64" s="25">
        <v>0</v>
      </c>
      <c r="F64" s="25">
        <v>0</v>
      </c>
      <c r="G64" s="25">
        <v>0</v>
      </c>
      <c r="J64" s="35"/>
    </row>
    <row r="65" spans="1:10" ht="25">
      <c r="A65" s="17" t="s">
        <v>592</v>
      </c>
      <c r="B65" s="49" t="s">
        <v>211</v>
      </c>
      <c r="C65" s="43"/>
      <c r="D65" s="25">
        <v>0</v>
      </c>
      <c r="E65" s="25">
        <v>1100000</v>
      </c>
      <c r="F65" s="25">
        <v>0</v>
      </c>
      <c r="G65" s="25">
        <v>1100000</v>
      </c>
      <c r="J65" s="35"/>
    </row>
    <row r="66" spans="1:10" ht="25">
      <c r="A66" s="17" t="s">
        <v>593</v>
      </c>
      <c r="B66" s="49" t="s">
        <v>212</v>
      </c>
      <c r="C66" s="43"/>
      <c r="D66" s="25">
        <v>0</v>
      </c>
      <c r="E66" s="25">
        <v>0</v>
      </c>
      <c r="F66" s="25">
        <v>0</v>
      </c>
      <c r="G66" s="25">
        <v>0</v>
      </c>
      <c r="J66" s="35"/>
    </row>
    <row r="67" spans="1:10" ht="25">
      <c r="A67" s="17" t="s">
        <v>271</v>
      </c>
      <c r="B67" s="49" t="s">
        <v>213</v>
      </c>
      <c r="C67" s="43"/>
      <c r="D67" s="25">
        <v>0</v>
      </c>
      <c r="E67" s="25">
        <v>0</v>
      </c>
      <c r="F67" s="25">
        <v>0</v>
      </c>
      <c r="G67" s="25">
        <v>0</v>
      </c>
      <c r="J67" s="35"/>
    </row>
    <row r="68" spans="1:10" ht="25">
      <c r="A68" s="17" t="s">
        <v>214</v>
      </c>
      <c r="B68" s="49" t="s">
        <v>215</v>
      </c>
      <c r="C68" s="43"/>
      <c r="D68" s="25">
        <v>0</v>
      </c>
      <c r="E68" s="25">
        <v>731500</v>
      </c>
      <c r="F68" s="25">
        <v>0</v>
      </c>
      <c r="G68" s="25">
        <v>0</v>
      </c>
      <c r="J68" s="35"/>
    </row>
    <row r="69" spans="1:10" s="35" customFormat="1" ht="37.5">
      <c r="A69" s="38" t="s">
        <v>216</v>
      </c>
      <c r="B69" s="39" t="s">
        <v>217</v>
      </c>
      <c r="C69" s="40"/>
      <c r="D69" s="23">
        <v>4472356644</v>
      </c>
      <c r="E69" s="23">
        <v>71421098020</v>
      </c>
      <c r="F69" s="23">
        <v>2763803364</v>
      </c>
      <c r="G69" s="23">
        <v>16468356610</v>
      </c>
    </row>
    <row r="70" spans="1:10" s="35" customFormat="1" ht="25">
      <c r="A70" s="38" t="s">
        <v>218</v>
      </c>
      <c r="B70" s="39" t="s">
        <v>219</v>
      </c>
      <c r="C70" s="40"/>
      <c r="D70" s="23">
        <v>0</v>
      </c>
      <c r="E70" s="23">
        <v>0</v>
      </c>
      <c r="F70" s="23">
        <v>0</v>
      </c>
      <c r="G70" s="23">
        <v>0</v>
      </c>
    </row>
    <row r="71" spans="1:10" ht="25">
      <c r="A71" s="41" t="s">
        <v>299</v>
      </c>
      <c r="B71" s="45" t="s">
        <v>220</v>
      </c>
      <c r="C71" s="44"/>
      <c r="D71" s="25">
        <v>0</v>
      </c>
      <c r="E71" s="25">
        <v>0</v>
      </c>
      <c r="F71" s="25">
        <v>0</v>
      </c>
      <c r="G71" s="25">
        <v>0</v>
      </c>
      <c r="J71" s="35"/>
    </row>
    <row r="72" spans="1:10" ht="25">
      <c r="A72" s="41" t="s">
        <v>272</v>
      </c>
      <c r="B72" s="45" t="s">
        <v>221</v>
      </c>
      <c r="C72" s="44"/>
      <c r="D72" s="25">
        <v>0</v>
      </c>
      <c r="E72" s="25">
        <v>0</v>
      </c>
      <c r="F72" s="25">
        <v>0</v>
      </c>
      <c r="G72" s="25">
        <v>0</v>
      </c>
      <c r="J72" s="35"/>
    </row>
    <row r="73" spans="1:10" s="35" customFormat="1" ht="37.5">
      <c r="A73" s="38" t="s">
        <v>222</v>
      </c>
      <c r="B73" s="39" t="s">
        <v>223</v>
      </c>
      <c r="C73" s="40"/>
      <c r="D73" s="23">
        <v>4472356644</v>
      </c>
      <c r="E73" s="23">
        <v>71421098020</v>
      </c>
      <c r="F73" s="23">
        <v>2763803364</v>
      </c>
      <c r="G73" s="23">
        <v>16468356610</v>
      </c>
    </row>
    <row r="74" spans="1:10" ht="25">
      <c r="A74" s="46" t="s">
        <v>224</v>
      </c>
      <c r="B74" s="42" t="s">
        <v>225</v>
      </c>
      <c r="C74" s="44"/>
      <c r="D74" s="25">
        <v>5000823024</v>
      </c>
      <c r="E74" s="25">
        <v>72556925034</v>
      </c>
      <c r="F74" s="25">
        <v>2340188526</v>
      </c>
      <c r="G74" s="25">
        <v>15388597934</v>
      </c>
      <c r="J74" s="35"/>
    </row>
    <row r="75" spans="1:10" ht="25">
      <c r="A75" s="46" t="s">
        <v>226</v>
      </c>
      <c r="B75" s="42" t="s">
        <v>227</v>
      </c>
      <c r="C75" s="44"/>
      <c r="D75" s="25">
        <v>-528466380</v>
      </c>
      <c r="E75" s="25">
        <v>-1135827014</v>
      </c>
      <c r="F75" s="25">
        <v>423614838</v>
      </c>
      <c r="G75" s="25">
        <v>1079758676</v>
      </c>
      <c r="J75" s="35"/>
    </row>
    <row r="76" spans="1:10" s="35" customFormat="1" ht="25">
      <c r="A76" s="38" t="s">
        <v>228</v>
      </c>
      <c r="B76" s="39" t="s">
        <v>229</v>
      </c>
      <c r="C76" s="40"/>
      <c r="D76" s="23">
        <v>0</v>
      </c>
      <c r="E76" s="23">
        <v>0</v>
      </c>
      <c r="F76" s="23">
        <v>0</v>
      </c>
      <c r="G76" s="23">
        <v>0</v>
      </c>
    </row>
    <row r="77" spans="1:10" s="35" customFormat="1" ht="37.5">
      <c r="A77" s="38" t="s">
        <v>230</v>
      </c>
      <c r="B77" s="39" t="s">
        <v>231</v>
      </c>
      <c r="C77" s="40"/>
      <c r="D77" s="23">
        <v>4472356644</v>
      </c>
      <c r="E77" s="23">
        <v>71421098020</v>
      </c>
      <c r="F77" s="23">
        <v>2763803364</v>
      </c>
      <c r="G77" s="23">
        <v>16468356610</v>
      </c>
    </row>
    <row r="80" spans="1:10" s="35" customFormat="1" ht="16.899999999999999" customHeight="1">
      <c r="A80" s="145" t="s">
        <v>232</v>
      </c>
      <c r="B80" s="207" t="s">
        <v>233</v>
      </c>
      <c r="C80" s="207"/>
      <c r="D80" s="207"/>
      <c r="E80" s="207"/>
      <c r="F80" s="207"/>
      <c r="G80" s="207"/>
    </row>
    <row r="93" spans="1:7">
      <c r="A93" s="186" t="s">
        <v>1110</v>
      </c>
      <c r="B93" s="215" t="s">
        <v>1117</v>
      </c>
      <c r="C93" s="215"/>
      <c r="D93" s="215"/>
      <c r="E93" s="215"/>
      <c r="F93" s="215" t="s">
        <v>1116</v>
      </c>
      <c r="G93" s="215"/>
    </row>
    <row r="94" spans="1:7" ht="16.899999999999999" customHeight="1">
      <c r="A94" s="146" t="s">
        <v>1104</v>
      </c>
      <c r="B94" s="216" t="s">
        <v>1105</v>
      </c>
      <c r="C94" s="216"/>
      <c r="D94" s="216"/>
      <c r="E94" s="216"/>
      <c r="F94" s="216" t="s">
        <v>1094</v>
      </c>
      <c r="G94" s="216"/>
    </row>
    <row r="95" spans="1:7" ht="16.899999999999999" customHeight="1">
      <c r="A95" s="147" t="s">
        <v>1106</v>
      </c>
      <c r="B95" s="217" t="s">
        <v>1107</v>
      </c>
      <c r="C95" s="217"/>
      <c r="D95" s="217"/>
      <c r="E95" s="217"/>
      <c r="F95" s="217" t="s">
        <v>1096</v>
      </c>
      <c r="G95" s="21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8"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1" zoomScale="60" zoomScaleNormal="100" workbookViewId="0">
      <selection activeCell="G28" sqref="G28"/>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37" customWidth="1"/>
    <col min="7" max="16384" width="8.7265625" style="137"/>
  </cols>
  <sheetData>
    <row r="1" spans="1:6" ht="53.25" customHeight="1">
      <c r="A1" s="201" t="s">
        <v>570</v>
      </c>
      <c r="B1" s="201"/>
      <c r="C1" s="201"/>
      <c r="D1" s="201"/>
      <c r="E1" s="201"/>
      <c r="F1" s="138"/>
    </row>
    <row r="2" spans="1:6" ht="66" customHeight="1">
      <c r="A2" s="202" t="s">
        <v>571</v>
      </c>
      <c r="B2" s="202"/>
      <c r="C2" s="202"/>
      <c r="D2" s="202"/>
      <c r="E2" s="202"/>
      <c r="F2" s="139"/>
    </row>
    <row r="3" spans="1:6" ht="40.5" customHeight="1">
      <c r="A3" s="203" t="s">
        <v>521</v>
      </c>
      <c r="B3" s="203"/>
      <c r="C3" s="203"/>
      <c r="D3" s="203"/>
      <c r="E3" s="203"/>
      <c r="F3" s="138"/>
    </row>
    <row r="4" spans="1:6" ht="12.5" hidden="1">
      <c r="A4" s="203"/>
      <c r="B4" s="203"/>
      <c r="C4" s="203"/>
      <c r="D4" s="203"/>
      <c r="E4" s="203"/>
      <c r="F4" s="138"/>
    </row>
    <row r="5" spans="1:6" ht="12.5">
      <c r="A5" s="204" t="str">
        <f>TONGQUAN!C2</f>
        <v>Tháng 09 năm 2024
/ Sep 2024</v>
      </c>
      <c r="B5" s="204"/>
      <c r="C5" s="204"/>
      <c r="D5" s="204"/>
      <c r="E5" s="204"/>
      <c r="F5" s="140"/>
    </row>
    <row r="6" spans="1:6" ht="12.5"/>
    <row r="7" spans="1:6" ht="12.5">
      <c r="A7" s="108" t="s">
        <v>2</v>
      </c>
      <c r="C7" s="205" t="str">
        <f>TONGQUAN!D5</f>
        <v>Công ty Cổ phần Quản lý Quỹ Đầu tư Dragon Capital Việt Nam</v>
      </c>
      <c r="D7" s="205"/>
      <c r="E7" s="205"/>
    </row>
    <row r="8" spans="1:6" ht="12.5">
      <c r="A8" s="14" t="s">
        <v>15</v>
      </c>
      <c r="C8" s="200" t="str">
        <f>TONGQUAN!D6</f>
        <v>Dragon Capital Vietfund Management Joint Stock Company</v>
      </c>
      <c r="D8" s="200"/>
      <c r="E8" s="200"/>
    </row>
    <row r="9" spans="1:6" ht="12.5">
      <c r="A9" s="108" t="s">
        <v>3</v>
      </c>
      <c r="C9" s="205" t="str">
        <f>TONGQUAN!D7</f>
        <v>Ngân hàng TNHH Một thành viên Standard Chartered (Việt Nam)</v>
      </c>
      <c r="D9" s="205"/>
      <c r="E9" s="205"/>
    </row>
    <row r="10" spans="1:6" ht="12.5">
      <c r="A10" s="14" t="s">
        <v>4</v>
      </c>
      <c r="C10" s="200" t="str">
        <f>TONGQUAN!D8</f>
        <v>Standard Chartered Bank (Vietnam) Limited</v>
      </c>
      <c r="D10" s="200"/>
      <c r="E10" s="200"/>
    </row>
    <row r="11" spans="1:6" ht="12.5">
      <c r="A11" s="108" t="s">
        <v>5</v>
      </c>
      <c r="C11" s="205" t="str">
        <f>TONGQUAN!D9</f>
        <v>Quỹ Đầu tư Trái phiếu Gia tăng Thu nhập Cố định DC</v>
      </c>
      <c r="D11" s="205"/>
      <c r="E11" s="205"/>
    </row>
    <row r="12" spans="1:6" ht="12.5">
      <c r="A12" s="14" t="s">
        <v>6</v>
      </c>
      <c r="C12" s="200" t="str">
        <f>TONGQUAN!D10</f>
        <v>DC Income Plus Bond Fund (DCIP)</v>
      </c>
      <c r="D12" s="200"/>
      <c r="E12" s="200"/>
    </row>
    <row r="13" spans="1:6" ht="12.5">
      <c r="A13" s="108" t="s">
        <v>7</v>
      </c>
      <c r="C13" s="205" t="str">
        <f>TONGQUAN!D11</f>
        <v>Ngày 01 tháng 10 năm 2024</v>
      </c>
      <c r="D13" s="205"/>
      <c r="E13" s="205"/>
    </row>
    <row r="14" spans="1:6" ht="12.5">
      <c r="A14" s="14" t="s">
        <v>8</v>
      </c>
      <c r="C14" s="200" t="str">
        <f>TONGQUAN!D12</f>
        <v>01 Oct 2024</v>
      </c>
      <c r="D14" s="200"/>
      <c r="E14" s="200"/>
    </row>
    <row r="15" spans="1:6" ht="12.5"/>
    <row r="16" spans="1:6" ht="12.5">
      <c r="A16" s="102" t="s">
        <v>568</v>
      </c>
      <c r="B16" s="103" t="s">
        <v>569</v>
      </c>
    </row>
    <row r="17" spans="1:5" ht="12.5">
      <c r="A17" s="20" t="s">
        <v>28</v>
      </c>
      <c r="B17" s="21" t="s">
        <v>286</v>
      </c>
    </row>
    <row r="18" spans="1:5" ht="37.5">
      <c r="A18" s="159" t="s">
        <v>17</v>
      </c>
      <c r="B18" s="159" t="s">
        <v>558</v>
      </c>
      <c r="C18" s="159" t="s">
        <v>19</v>
      </c>
      <c r="D18" s="160" t="s">
        <v>1099</v>
      </c>
      <c r="E18" s="160" t="s">
        <v>1100</v>
      </c>
    </row>
    <row r="19" spans="1:5" s="141" customFormat="1" ht="25">
      <c r="A19" s="50" t="s">
        <v>16</v>
      </c>
      <c r="B19" s="96" t="s">
        <v>112</v>
      </c>
      <c r="C19" s="97" t="s">
        <v>113</v>
      </c>
      <c r="D19" s="178"/>
      <c r="E19" s="178"/>
    </row>
    <row r="20" spans="1:5" ht="50">
      <c r="A20" s="109">
        <v>1</v>
      </c>
      <c r="B20" s="98" t="s">
        <v>543</v>
      </c>
      <c r="C20" s="99" t="s">
        <v>114</v>
      </c>
      <c r="D20" s="178">
        <v>1.1804139106471E-2</v>
      </c>
      <c r="E20" s="178">
        <v>1.2197536917143099E-2</v>
      </c>
    </row>
    <row r="21" spans="1:5" ht="50">
      <c r="A21" s="109">
        <v>2</v>
      </c>
      <c r="B21" s="98" t="s">
        <v>544</v>
      </c>
      <c r="C21" s="99" t="s">
        <v>115</v>
      </c>
      <c r="D21" s="178">
        <v>8.5430382468827204E-4</v>
      </c>
      <c r="E21" s="178">
        <v>8.6454704174423395E-4</v>
      </c>
    </row>
    <row r="22" spans="1:5" ht="62.5">
      <c r="A22" s="109">
        <v>3</v>
      </c>
      <c r="B22" s="98" t="s">
        <v>545</v>
      </c>
      <c r="C22" s="99" t="s">
        <v>116</v>
      </c>
      <c r="D22" s="178">
        <v>6.3269405391617995E-4</v>
      </c>
      <c r="E22" s="178">
        <v>6.0832345188505295E-4</v>
      </c>
    </row>
    <row r="23" spans="1:5" ht="37.5">
      <c r="A23" s="109">
        <v>4</v>
      </c>
      <c r="B23" s="98" t="s">
        <v>287</v>
      </c>
      <c r="C23" s="99" t="s">
        <v>117</v>
      </c>
      <c r="D23" s="178">
        <v>1.06758818370598E-4</v>
      </c>
      <c r="E23" s="178">
        <v>8.7919321163382994E-5</v>
      </c>
    </row>
    <row r="24" spans="1:5" ht="50">
      <c r="A24" s="109">
        <v>5</v>
      </c>
      <c r="B24" s="98" t="s">
        <v>546</v>
      </c>
      <c r="C24" s="99" t="s">
        <v>547</v>
      </c>
      <c r="D24" s="101"/>
      <c r="E24" s="101"/>
    </row>
    <row r="25" spans="1:5" ht="75">
      <c r="A25" s="109">
        <v>6</v>
      </c>
      <c r="B25" s="98" t="s">
        <v>548</v>
      </c>
      <c r="C25" s="99" t="s">
        <v>517</v>
      </c>
      <c r="D25" s="101"/>
      <c r="E25" s="101"/>
    </row>
    <row r="26" spans="1:5" ht="62.5">
      <c r="A26" s="109">
        <v>7</v>
      </c>
      <c r="B26" s="98" t="s">
        <v>288</v>
      </c>
      <c r="C26" s="99" t="s">
        <v>118</v>
      </c>
      <c r="D26" s="178">
        <v>1.7158288934939099E-4</v>
      </c>
      <c r="E26" s="178">
        <v>1.39757064478709E-4</v>
      </c>
    </row>
    <row r="27" spans="1:5" ht="25">
      <c r="A27" s="109">
        <v>8</v>
      </c>
      <c r="B27" s="98" t="s">
        <v>549</v>
      </c>
      <c r="C27" s="99" t="s">
        <v>119</v>
      </c>
      <c r="D27" s="178">
        <v>1.3966115955954801E-2</v>
      </c>
      <c r="E27" s="178">
        <v>1.3816463674567001E-2</v>
      </c>
    </row>
    <row r="28" spans="1:5" ht="12.5">
      <c r="A28" s="109">
        <v>9</v>
      </c>
      <c r="B28" s="98" t="s">
        <v>583</v>
      </c>
      <c r="C28" s="99" t="s">
        <v>120</v>
      </c>
      <c r="D28" s="178">
        <v>1.82980682745382</v>
      </c>
      <c r="E28" s="178">
        <v>1.6822945587848801</v>
      </c>
    </row>
    <row r="29" spans="1:5" ht="50">
      <c r="A29" s="109">
        <v>10</v>
      </c>
      <c r="B29" s="98" t="s">
        <v>550</v>
      </c>
      <c r="C29" s="99" t="s">
        <v>517</v>
      </c>
      <c r="D29" s="101"/>
      <c r="E29" s="101"/>
    </row>
    <row r="30" spans="1:5" s="141" customFormat="1" ht="25">
      <c r="A30" s="50" t="s">
        <v>22</v>
      </c>
      <c r="B30" s="96" t="s">
        <v>121</v>
      </c>
      <c r="C30" s="97" t="s">
        <v>122</v>
      </c>
      <c r="D30" s="100"/>
      <c r="E30" s="100"/>
    </row>
    <row r="31" spans="1:5" ht="37.5">
      <c r="A31" s="218">
        <v>1</v>
      </c>
      <c r="B31" s="98" t="s">
        <v>123</v>
      </c>
      <c r="C31" s="99" t="s">
        <v>124</v>
      </c>
      <c r="D31" s="111">
        <v>1246175773400</v>
      </c>
      <c r="E31" s="111">
        <v>1605997504400</v>
      </c>
    </row>
    <row r="32" spans="1:5" ht="25">
      <c r="A32" s="219"/>
      <c r="B32" s="98" t="s">
        <v>125</v>
      </c>
      <c r="C32" s="99" t="s">
        <v>126</v>
      </c>
      <c r="D32" s="111">
        <v>1246175773400</v>
      </c>
      <c r="E32" s="111">
        <v>1605997504400</v>
      </c>
    </row>
    <row r="33" spans="1:5" ht="37.5">
      <c r="A33" s="220"/>
      <c r="B33" s="98" t="s">
        <v>551</v>
      </c>
      <c r="C33" s="99" t="s">
        <v>127</v>
      </c>
      <c r="D33" s="101">
        <v>124617577.34</v>
      </c>
      <c r="E33" s="101">
        <v>160599750.44</v>
      </c>
    </row>
    <row r="34" spans="1:5" ht="37.5">
      <c r="A34" s="222">
        <v>2</v>
      </c>
      <c r="B34" s="98" t="s">
        <v>128</v>
      </c>
      <c r="C34" s="99" t="s">
        <v>129</v>
      </c>
      <c r="D34" s="111">
        <v>-177486521200</v>
      </c>
      <c r="E34" s="111">
        <v>-359821731000</v>
      </c>
    </row>
    <row r="35" spans="1:5" ht="25">
      <c r="A35" s="222"/>
      <c r="B35" s="98" t="s">
        <v>130</v>
      </c>
      <c r="C35" s="99" t="s">
        <v>552</v>
      </c>
      <c r="D35" s="101">
        <v>-17748652.120000001</v>
      </c>
      <c r="E35" s="101">
        <v>-35982173.100000001</v>
      </c>
    </row>
    <row r="36" spans="1:5" ht="25">
      <c r="A36" s="222"/>
      <c r="B36" s="98" t="s">
        <v>131</v>
      </c>
      <c r="C36" s="99" t="s">
        <v>553</v>
      </c>
      <c r="D36" s="111">
        <v>-177486521200</v>
      </c>
      <c r="E36" s="111">
        <v>-359821731000</v>
      </c>
    </row>
    <row r="37" spans="1:5" ht="25">
      <c r="A37" s="222"/>
      <c r="B37" s="98" t="s">
        <v>554</v>
      </c>
      <c r="C37" s="99" t="s">
        <v>132</v>
      </c>
      <c r="D37" s="101">
        <v>42983144.880000003</v>
      </c>
      <c r="E37" s="101">
        <v>52069522.340000004</v>
      </c>
    </row>
    <row r="38" spans="1:5" ht="25">
      <c r="A38" s="222"/>
      <c r="B38" s="98" t="s">
        <v>259</v>
      </c>
      <c r="C38" s="99" t="s">
        <v>133</v>
      </c>
      <c r="D38" s="111">
        <v>429831448800</v>
      </c>
      <c r="E38" s="111">
        <v>520695223400</v>
      </c>
    </row>
    <row r="39" spans="1:5" ht="25">
      <c r="A39" s="222"/>
      <c r="B39" s="98" t="s">
        <v>576</v>
      </c>
      <c r="C39" s="99" t="s">
        <v>134</v>
      </c>
      <c r="D39" s="101">
        <v>-60731797</v>
      </c>
      <c r="E39" s="101">
        <v>-88051695.439999998</v>
      </c>
    </row>
    <row r="40" spans="1:5" ht="37.5">
      <c r="A40" s="222"/>
      <c r="B40" s="98" t="s">
        <v>260</v>
      </c>
      <c r="C40" s="99" t="s">
        <v>135</v>
      </c>
      <c r="D40" s="111">
        <v>-607317970000</v>
      </c>
      <c r="E40" s="111">
        <v>-880516954400</v>
      </c>
    </row>
    <row r="41" spans="1:5" ht="25">
      <c r="A41" s="222">
        <v>3</v>
      </c>
      <c r="B41" s="98" t="s">
        <v>261</v>
      </c>
      <c r="C41" s="99" t="s">
        <v>136</v>
      </c>
      <c r="D41" s="111">
        <v>1068689252200</v>
      </c>
      <c r="E41" s="111">
        <v>1246175773400</v>
      </c>
    </row>
    <row r="42" spans="1:5" ht="37.5">
      <c r="A42" s="222"/>
      <c r="B42" s="98" t="s">
        <v>555</v>
      </c>
      <c r="C42" s="99" t="s">
        <v>137</v>
      </c>
      <c r="D42" s="111">
        <v>1068689252200</v>
      </c>
      <c r="E42" s="111">
        <v>1246175773400</v>
      </c>
    </row>
    <row r="43" spans="1:5" ht="25">
      <c r="A43" s="222"/>
      <c r="B43" s="98" t="s">
        <v>556</v>
      </c>
      <c r="C43" s="99" t="s">
        <v>138</v>
      </c>
      <c r="D43" s="101">
        <v>106868925.22</v>
      </c>
      <c r="E43" s="101">
        <v>124617577.34</v>
      </c>
    </row>
    <row r="44" spans="1:5" ht="50">
      <c r="A44" s="109">
        <v>4</v>
      </c>
      <c r="B44" s="98" t="s">
        <v>139</v>
      </c>
      <c r="C44" s="99" t="s">
        <v>140</v>
      </c>
      <c r="D44" s="178"/>
      <c r="E44" s="178"/>
    </row>
    <row r="45" spans="1:5" ht="25">
      <c r="A45" s="109">
        <v>5</v>
      </c>
      <c r="B45" s="98" t="s">
        <v>141</v>
      </c>
      <c r="C45" s="99" t="s">
        <v>142</v>
      </c>
      <c r="D45" s="178">
        <v>0.2276</v>
      </c>
      <c r="E45" s="178">
        <v>0.21299999999999999</v>
      </c>
    </row>
    <row r="46" spans="1:5" ht="25">
      <c r="A46" s="109">
        <v>6</v>
      </c>
      <c r="B46" s="98" t="s">
        <v>143</v>
      </c>
      <c r="C46" s="99" t="s">
        <v>144</v>
      </c>
      <c r="D46" s="178">
        <v>2.5999999999999999E-3</v>
      </c>
      <c r="E46" s="178">
        <v>2.0999999999999999E-3</v>
      </c>
    </row>
    <row r="47" spans="1:5" ht="25">
      <c r="A47" s="109">
        <v>7</v>
      </c>
      <c r="B47" s="98" t="s">
        <v>145</v>
      </c>
      <c r="C47" s="99" t="s">
        <v>146</v>
      </c>
      <c r="D47" s="111">
        <v>20416</v>
      </c>
      <c r="E47" s="111">
        <v>20360</v>
      </c>
    </row>
    <row r="48" spans="1:5" ht="25">
      <c r="A48" s="109">
        <v>8</v>
      </c>
      <c r="B48" s="98" t="s">
        <v>262</v>
      </c>
      <c r="C48" s="99" t="s">
        <v>147</v>
      </c>
      <c r="D48" s="101">
        <v>11085.34</v>
      </c>
      <c r="E48" s="101">
        <v>11043.93</v>
      </c>
    </row>
    <row r="49" spans="1:5" ht="37.5">
      <c r="A49" s="109">
        <v>9</v>
      </c>
      <c r="B49" s="98" t="s">
        <v>557</v>
      </c>
      <c r="C49" s="99" t="s">
        <v>518</v>
      </c>
      <c r="D49" s="101"/>
      <c r="E49" s="101"/>
    </row>
    <row r="50" spans="1:5" ht="31.5" customHeight="1">
      <c r="A50" s="206" t="s">
        <v>578</v>
      </c>
      <c r="B50" s="200"/>
      <c r="C50" s="200"/>
      <c r="D50" s="200"/>
      <c r="E50" s="200"/>
    </row>
    <row r="51" spans="1:5" ht="95.25" customHeight="1">
      <c r="A51" s="206" t="s">
        <v>1109</v>
      </c>
      <c r="B51" s="200"/>
      <c r="C51" s="200"/>
      <c r="D51" s="200"/>
      <c r="E51" s="200"/>
    </row>
    <row r="52" spans="1:5" ht="12.5">
      <c r="A52" s="26" t="str">
        <f>TONGQUAN!C16</f>
        <v>Đại diện có thẩm quyền của Ngân hàng giám sát</v>
      </c>
      <c r="D52" s="26" t="str">
        <f>TONGQUAN!F16</f>
        <v>Đại diện có thẩm quyền của Công ty quản lý Quỹ</v>
      </c>
    </row>
    <row r="53" spans="1:5" s="142" customFormat="1" ht="12.5">
      <c r="A53" s="27" t="str">
        <f>TONGQUAN!C17</f>
        <v>Authorised Representative of Supervisory Bank</v>
      </c>
      <c r="B53" s="27"/>
      <c r="C53" s="27"/>
      <c r="D53" s="27" t="str">
        <f>TONGQUAN!F17</f>
        <v>Authorised Representative of Fund Management Company</v>
      </c>
      <c r="E53" s="27"/>
    </row>
    <row r="54" spans="1:5" ht="12.5"/>
    <row r="55" spans="1:5" ht="12.5"/>
    <row r="56" spans="1:5" ht="12.5"/>
    <row r="57" spans="1:5" ht="12.5"/>
    <row r="58" spans="1:5" ht="12.5"/>
    <row r="59" spans="1:5" ht="12.5"/>
    <row r="60" spans="1:5" ht="12.5"/>
    <row r="61" spans="1:5" ht="12.5"/>
    <row r="62" spans="1:5" ht="12.5">
      <c r="A62" s="221" t="s">
        <v>1112</v>
      </c>
      <c r="B62" s="221"/>
      <c r="D62" s="221" t="s">
        <v>1111</v>
      </c>
      <c r="E62" s="221"/>
    </row>
    <row r="63" spans="1:5" ht="12.5">
      <c r="A63" s="26" t="str">
        <f>TONGQUAN!C19</f>
        <v>Ngân hàng TNHH MTV Standard Chartered (Việt Nam)</v>
      </c>
      <c r="D63" s="26" t="str">
        <f>TONGQUAN!F19</f>
        <v>Công ty Cổ phần Quản lý Quỹ Đầu tư Dragon Capital Việt Nam</v>
      </c>
      <c r="E63" s="31"/>
    </row>
    <row r="64" spans="1:5" ht="12.5">
      <c r="A64" s="26" t="str">
        <f>TONGQUAN!C20</f>
        <v>Vũ Quang Phan</v>
      </c>
      <c r="D64" s="26" t="str">
        <f>TONGQUAN!F20</f>
        <v>Lê Hoàng Anh</v>
      </c>
    </row>
    <row r="65" spans="1:4" ht="12.5">
      <c r="A65" s="14" t="str">
        <f>TONGQUAN!C21</f>
        <v>Phó phòng Dịch vụ nghiệp vụ giám sát Quỹ</v>
      </c>
      <c r="D65" s="14" t="str">
        <f>TONGQUAN!F21</f>
        <v>Quyền Giám đốc nghiệp vụ hỗ trợ đầu tư</v>
      </c>
    </row>
  </sheetData>
  <mergeCells count="19">
    <mergeCell ref="D62:E62"/>
    <mergeCell ref="A62:B6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1"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06" zoomScale="70" zoomScaleNormal="100" zoomScaleSheetLayoutView="70" workbookViewId="0">
      <selection activeCell="J118" sqref="J118"/>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6" width="35.453125" style="14" customWidth="1"/>
    <col min="7" max="7" width="8.7265625" style="1"/>
    <col min="8" max="16384" width="8.7265625" style="29"/>
  </cols>
  <sheetData>
    <row r="1" spans="1:6" ht="65.25" customHeight="1">
      <c r="A1" s="201" t="s">
        <v>579</v>
      </c>
      <c r="B1" s="201"/>
      <c r="C1" s="201"/>
      <c r="D1" s="201"/>
      <c r="E1" s="201"/>
      <c r="F1" s="201"/>
    </row>
    <row r="2" spans="1:6" ht="64.5" customHeight="1">
      <c r="A2" s="202" t="s">
        <v>580</v>
      </c>
      <c r="B2" s="202"/>
      <c r="C2" s="202"/>
      <c r="D2" s="202"/>
      <c r="E2" s="202"/>
      <c r="F2" s="202"/>
    </row>
    <row r="3" spans="1:6" ht="31.15" customHeight="1">
      <c r="A3" s="203" t="s">
        <v>234</v>
      </c>
      <c r="B3" s="203"/>
      <c r="C3" s="203"/>
      <c r="D3" s="203"/>
      <c r="E3" s="203"/>
      <c r="F3" s="203"/>
    </row>
    <row r="4" spans="1:6" ht="6" customHeight="1"/>
    <row r="5" spans="1:6" ht="16.899999999999999" customHeight="1">
      <c r="A5" s="204" t="str">
        <f>TONGQUAN!C1</f>
        <v>Tại ngày 30 tháng 09 năm 2024
/ As at 30 Sep 2024</v>
      </c>
      <c r="B5" s="204"/>
      <c r="C5" s="204"/>
      <c r="D5" s="204"/>
      <c r="E5" s="204"/>
      <c r="F5" s="204"/>
    </row>
    <row r="6" spans="1:6" ht="16.899999999999999" customHeight="1"/>
    <row r="7" spans="1:6" ht="16.899999999999999" customHeight="1">
      <c r="A7" s="144" t="s">
        <v>2</v>
      </c>
      <c r="C7" s="194" t="str">
        <f>TONGQUAN!D5</f>
        <v>Công ty Cổ phần Quản lý Quỹ Đầu tư Dragon Capital Việt Nam</v>
      </c>
      <c r="D7" s="194"/>
      <c r="E7" s="194"/>
      <c r="F7" s="194"/>
    </row>
    <row r="8" spans="1:6" ht="16.899999999999999" customHeight="1">
      <c r="A8" s="14" t="s">
        <v>15</v>
      </c>
      <c r="C8" s="206" t="str">
        <f>TONGQUAN!D6</f>
        <v>Dragon Capital Vietfund Management Joint Stock Company</v>
      </c>
      <c r="D8" s="206"/>
      <c r="E8" s="206"/>
      <c r="F8" s="206"/>
    </row>
    <row r="9" spans="1:6" ht="16.899999999999999" customHeight="1">
      <c r="A9" s="144" t="s">
        <v>3</v>
      </c>
      <c r="C9" s="194" t="str">
        <f>TONGQUAN!D7</f>
        <v>Ngân hàng TNHH Một thành viên Standard Chartered (Việt Nam)</v>
      </c>
      <c r="D9" s="194"/>
      <c r="E9" s="194"/>
      <c r="F9" s="194"/>
    </row>
    <row r="10" spans="1:6" ht="16.899999999999999" customHeight="1">
      <c r="A10" s="14" t="s">
        <v>4</v>
      </c>
      <c r="C10" s="206" t="str">
        <f>TONGQUAN!D8</f>
        <v>Standard Chartered Bank (Vietnam) Limited</v>
      </c>
      <c r="D10" s="206"/>
      <c r="E10" s="206"/>
      <c r="F10" s="206"/>
    </row>
    <row r="11" spans="1:6" ht="16.899999999999999" customHeight="1">
      <c r="A11" s="144" t="s">
        <v>5</v>
      </c>
      <c r="C11" s="194" t="str">
        <f>TONGQUAN!D9</f>
        <v>Quỹ Đầu tư Trái phiếu Gia tăng Thu nhập Cố định DC</v>
      </c>
      <c r="D11" s="194"/>
      <c r="E11" s="194"/>
      <c r="F11" s="194"/>
    </row>
    <row r="12" spans="1:6" ht="16.899999999999999" customHeight="1">
      <c r="A12" s="14" t="s">
        <v>6</v>
      </c>
      <c r="C12" s="206" t="str">
        <f>TONGQUAN!D10</f>
        <v>DC Income Plus Bond Fund (DCIP)</v>
      </c>
      <c r="D12" s="206"/>
      <c r="E12" s="206"/>
      <c r="F12" s="206"/>
    </row>
    <row r="13" spans="1:6" ht="16.899999999999999" customHeight="1">
      <c r="A13" s="144" t="s">
        <v>7</v>
      </c>
      <c r="C13" s="194" t="str">
        <f>TONGQUAN!D11</f>
        <v>Ngày 01 tháng 10 năm 2024</v>
      </c>
      <c r="D13" s="194"/>
      <c r="E13" s="194"/>
      <c r="F13" s="194"/>
    </row>
    <row r="14" spans="1:6" ht="16.899999999999999" customHeight="1">
      <c r="A14" s="14" t="s">
        <v>8</v>
      </c>
      <c r="C14" s="206" t="str">
        <f>TONGQUAN!D12</f>
        <v>01 Oct 2024</v>
      </c>
      <c r="D14" s="206"/>
      <c r="E14" s="206"/>
      <c r="F14" s="206"/>
    </row>
    <row r="15" spans="1:6" ht="16.899999999999999" customHeight="1"/>
    <row r="16" spans="1:6" ht="46.9" customHeight="1">
      <c r="A16" s="30" t="s">
        <v>235</v>
      </c>
      <c r="B16" s="30" t="s">
        <v>149</v>
      </c>
      <c r="C16" s="30" t="s">
        <v>150</v>
      </c>
      <c r="D16" s="30" t="s">
        <v>151</v>
      </c>
      <c r="E16" s="30" t="str">
        <f>BCTaiSan_06027!D18</f>
        <v>Ngày 30 tháng 09 năm 2024
 As at 30 Sep 2024</v>
      </c>
      <c r="F16" s="30" t="str">
        <f>BCTaiSan_06027!E18</f>
        <v>Ngày 31 tháng 08 năm 2024
 As at 31 Aug 2024</v>
      </c>
    </row>
    <row r="17" spans="1:7" ht="25">
      <c r="A17" s="15" t="s">
        <v>16</v>
      </c>
      <c r="B17" s="51" t="s">
        <v>313</v>
      </c>
      <c r="C17" s="10" t="s">
        <v>16</v>
      </c>
      <c r="D17" s="23"/>
      <c r="E17" s="23"/>
      <c r="F17" s="23"/>
    </row>
    <row r="18" spans="1:7" ht="25">
      <c r="A18" s="53" t="s">
        <v>314</v>
      </c>
      <c r="B18" s="54" t="s">
        <v>315</v>
      </c>
      <c r="C18" s="55" t="s">
        <v>316</v>
      </c>
      <c r="D18" s="53"/>
      <c r="E18" s="52">
        <v>323998696966</v>
      </c>
      <c r="F18" s="52">
        <v>177298083083</v>
      </c>
    </row>
    <row r="19" spans="1:7" ht="25">
      <c r="A19" s="53" t="s">
        <v>317</v>
      </c>
      <c r="B19" s="54" t="s">
        <v>318</v>
      </c>
      <c r="C19" s="55" t="s">
        <v>319</v>
      </c>
      <c r="D19" s="53"/>
      <c r="E19" s="52">
        <v>50498696966</v>
      </c>
      <c r="F19" s="52">
        <v>73098083083</v>
      </c>
    </row>
    <row r="20" spans="1:7" s="59" customFormat="1" ht="25">
      <c r="A20" s="53" t="s">
        <v>320</v>
      </c>
      <c r="B20" s="56" t="s">
        <v>321</v>
      </c>
      <c r="C20" s="57" t="s">
        <v>322</v>
      </c>
      <c r="D20" s="53"/>
      <c r="E20" s="52">
        <v>26784612269</v>
      </c>
      <c r="F20" s="52">
        <v>9559590068</v>
      </c>
      <c r="G20" s="58"/>
    </row>
    <row r="21" spans="1:7" s="59" customFormat="1" ht="25">
      <c r="A21" s="53" t="s">
        <v>320</v>
      </c>
      <c r="B21" s="56" t="s">
        <v>323</v>
      </c>
      <c r="C21" s="57" t="s">
        <v>324</v>
      </c>
      <c r="D21" s="53"/>
      <c r="E21" s="52">
        <v>36224842</v>
      </c>
      <c r="F21" s="52">
        <v>131022502</v>
      </c>
      <c r="G21" s="58"/>
    </row>
    <row r="22" spans="1:7" s="59" customFormat="1" ht="25">
      <c r="A22" s="53" t="s">
        <v>320</v>
      </c>
      <c r="B22" s="56" t="s">
        <v>325</v>
      </c>
      <c r="C22" s="57" t="s">
        <v>326</v>
      </c>
      <c r="D22" s="53"/>
      <c r="E22" s="52">
        <v>23677859855</v>
      </c>
      <c r="F22" s="52">
        <v>63407470513</v>
      </c>
      <c r="G22" s="58"/>
    </row>
    <row r="23" spans="1:7" ht="25">
      <c r="A23" s="53" t="s">
        <v>320</v>
      </c>
      <c r="B23" s="56" t="s">
        <v>21</v>
      </c>
      <c r="C23" s="57" t="s">
        <v>327</v>
      </c>
      <c r="D23" s="53"/>
      <c r="E23" s="52">
        <v>0</v>
      </c>
      <c r="F23" s="52">
        <v>0</v>
      </c>
    </row>
    <row r="24" spans="1:7" ht="25">
      <c r="A24" s="53" t="s">
        <v>328</v>
      </c>
      <c r="B24" s="54" t="s">
        <v>329</v>
      </c>
      <c r="C24" s="55" t="s">
        <v>330</v>
      </c>
      <c r="D24" s="53"/>
      <c r="E24" s="52">
        <v>273500000000</v>
      </c>
      <c r="F24" s="52">
        <v>104200000000</v>
      </c>
    </row>
    <row r="25" spans="1:7" ht="25">
      <c r="A25" s="53" t="s">
        <v>331</v>
      </c>
      <c r="B25" s="54" t="s">
        <v>332</v>
      </c>
      <c r="C25" s="55" t="s">
        <v>333</v>
      </c>
      <c r="D25" s="53"/>
      <c r="E25" s="52">
        <v>871876481686</v>
      </c>
      <c r="F25" s="52">
        <v>1092170522887</v>
      </c>
    </row>
    <row r="26" spans="1:7" ht="25">
      <c r="A26" s="53" t="s">
        <v>334</v>
      </c>
      <c r="B26" s="54" t="s">
        <v>335</v>
      </c>
      <c r="C26" s="55" t="s">
        <v>336</v>
      </c>
      <c r="D26" s="53"/>
      <c r="E26" s="52">
        <v>871876481686</v>
      </c>
      <c r="F26" s="52">
        <v>1092170522887</v>
      </c>
    </row>
    <row r="27" spans="1:7" ht="25">
      <c r="A27" s="53" t="s">
        <v>320</v>
      </c>
      <c r="B27" s="56" t="s">
        <v>584</v>
      </c>
      <c r="C27" s="57" t="s">
        <v>337</v>
      </c>
      <c r="D27" s="53"/>
      <c r="E27" s="52">
        <v>0</v>
      </c>
      <c r="F27" s="52">
        <v>0</v>
      </c>
    </row>
    <row r="28" spans="1:7" ht="25">
      <c r="A28" s="53" t="s">
        <v>320</v>
      </c>
      <c r="B28" s="56" t="s">
        <v>585</v>
      </c>
      <c r="C28" s="57" t="s">
        <v>338</v>
      </c>
      <c r="D28" s="53"/>
      <c r="E28" s="52">
        <v>0</v>
      </c>
      <c r="F28" s="52">
        <v>0</v>
      </c>
    </row>
    <row r="29" spans="1:7" ht="25">
      <c r="A29" s="53" t="s">
        <v>320</v>
      </c>
      <c r="B29" s="56" t="s">
        <v>339</v>
      </c>
      <c r="C29" s="57" t="s">
        <v>340</v>
      </c>
      <c r="D29" s="53"/>
      <c r="E29" s="52">
        <v>439939859256</v>
      </c>
      <c r="F29" s="52">
        <v>660165901287</v>
      </c>
    </row>
    <row r="30" spans="1:7" ht="25">
      <c r="A30" s="53" t="s">
        <v>320</v>
      </c>
      <c r="B30" s="56" t="s">
        <v>341</v>
      </c>
      <c r="C30" s="57" t="s">
        <v>342</v>
      </c>
      <c r="D30" s="53"/>
      <c r="E30" s="52">
        <v>125436622430</v>
      </c>
      <c r="F30" s="52">
        <v>125504621600</v>
      </c>
    </row>
    <row r="31" spans="1:7" ht="25">
      <c r="A31" s="53" t="s">
        <v>320</v>
      </c>
      <c r="B31" s="56" t="s">
        <v>586</v>
      </c>
      <c r="C31" s="57" t="s">
        <v>343</v>
      </c>
      <c r="D31" s="53"/>
      <c r="E31" s="52">
        <v>300000000000</v>
      </c>
      <c r="F31" s="52">
        <v>300000000000</v>
      </c>
    </row>
    <row r="32" spans="1:7" ht="25">
      <c r="A32" s="53" t="s">
        <v>320</v>
      </c>
      <c r="B32" s="56" t="s">
        <v>300</v>
      </c>
      <c r="C32" s="57" t="s">
        <v>344</v>
      </c>
      <c r="D32" s="53"/>
      <c r="E32" s="52">
        <v>6500000000</v>
      </c>
      <c r="F32" s="52">
        <v>6500000000</v>
      </c>
    </row>
    <row r="33" spans="1:6" ht="25">
      <c r="A33" s="53" t="s">
        <v>320</v>
      </c>
      <c r="B33" s="56" t="s">
        <v>301</v>
      </c>
      <c r="C33" s="57" t="s">
        <v>345</v>
      </c>
      <c r="D33" s="53"/>
      <c r="E33" s="52">
        <v>0</v>
      </c>
      <c r="F33" s="52">
        <v>0</v>
      </c>
    </row>
    <row r="34" spans="1:6" ht="25">
      <c r="A34" s="53" t="s">
        <v>320</v>
      </c>
      <c r="B34" s="56" t="s">
        <v>302</v>
      </c>
      <c r="C34" s="57" t="s">
        <v>346</v>
      </c>
      <c r="D34" s="53"/>
      <c r="E34" s="52">
        <v>0</v>
      </c>
      <c r="F34" s="52">
        <v>0</v>
      </c>
    </row>
    <row r="35" spans="1:6" ht="25">
      <c r="A35" s="53" t="s">
        <v>320</v>
      </c>
      <c r="B35" s="56" t="s">
        <v>347</v>
      </c>
      <c r="C35" s="57" t="s">
        <v>348</v>
      </c>
      <c r="D35" s="53"/>
      <c r="E35" s="52">
        <v>0</v>
      </c>
      <c r="F35" s="52">
        <v>0</v>
      </c>
    </row>
    <row r="36" spans="1:6" ht="25">
      <c r="A36" s="53" t="s">
        <v>320</v>
      </c>
      <c r="B36" s="56" t="s">
        <v>303</v>
      </c>
      <c r="C36" s="57" t="s">
        <v>349</v>
      </c>
      <c r="D36" s="53"/>
      <c r="E36" s="52">
        <v>0</v>
      </c>
      <c r="F36" s="52">
        <v>0</v>
      </c>
    </row>
    <row r="37" spans="1:6" ht="25">
      <c r="A37" s="53" t="s">
        <v>350</v>
      </c>
      <c r="B37" s="54" t="s">
        <v>351</v>
      </c>
      <c r="C37" s="55" t="s">
        <v>352</v>
      </c>
      <c r="D37" s="53"/>
      <c r="E37" s="52">
        <v>0</v>
      </c>
      <c r="F37" s="52">
        <v>0</v>
      </c>
    </row>
    <row r="38" spans="1:6" ht="25">
      <c r="A38" s="53" t="s">
        <v>353</v>
      </c>
      <c r="B38" s="54" t="s">
        <v>354</v>
      </c>
      <c r="C38" s="55" t="s">
        <v>355</v>
      </c>
      <c r="D38" s="53"/>
      <c r="E38" s="52">
        <v>17769353376</v>
      </c>
      <c r="F38" s="52">
        <v>119344747108</v>
      </c>
    </row>
    <row r="39" spans="1:6" ht="25">
      <c r="A39" s="53" t="s">
        <v>356</v>
      </c>
      <c r="B39" s="54" t="s">
        <v>357</v>
      </c>
      <c r="C39" s="55" t="s">
        <v>358</v>
      </c>
      <c r="D39" s="53"/>
      <c r="E39" s="52">
        <v>0</v>
      </c>
      <c r="F39" s="52">
        <v>106071300000</v>
      </c>
    </row>
    <row r="40" spans="1:6" ht="25">
      <c r="A40" s="53" t="s">
        <v>320</v>
      </c>
      <c r="B40" s="56" t="s">
        <v>359</v>
      </c>
      <c r="C40" s="57" t="s">
        <v>360</v>
      </c>
      <c r="D40" s="53"/>
      <c r="E40" s="52">
        <v>0</v>
      </c>
      <c r="F40" s="52">
        <v>0</v>
      </c>
    </row>
    <row r="41" spans="1:6" ht="25">
      <c r="A41" s="53" t="s">
        <v>361</v>
      </c>
      <c r="B41" s="54" t="s">
        <v>362</v>
      </c>
      <c r="C41" s="55" t="s">
        <v>363</v>
      </c>
      <c r="D41" s="53"/>
      <c r="E41" s="52">
        <v>17726295305</v>
      </c>
      <c r="F41" s="52">
        <v>13218500546</v>
      </c>
    </row>
    <row r="42" spans="1:6" ht="25">
      <c r="A42" s="53" t="s">
        <v>364</v>
      </c>
      <c r="B42" s="54" t="s">
        <v>365</v>
      </c>
      <c r="C42" s="55" t="s">
        <v>366</v>
      </c>
      <c r="D42" s="53"/>
      <c r="E42" s="52">
        <v>0</v>
      </c>
      <c r="F42" s="52">
        <v>0</v>
      </c>
    </row>
    <row r="43" spans="1:6" ht="25">
      <c r="A43" s="53" t="s">
        <v>320</v>
      </c>
      <c r="B43" s="56" t="s">
        <v>304</v>
      </c>
      <c r="C43" s="57" t="s">
        <v>367</v>
      </c>
      <c r="D43" s="53"/>
      <c r="E43" s="52">
        <v>0</v>
      </c>
      <c r="F43" s="52">
        <v>0</v>
      </c>
    </row>
    <row r="44" spans="1:6" ht="25">
      <c r="A44" s="53" t="s">
        <v>320</v>
      </c>
      <c r="B44" s="56" t="s">
        <v>305</v>
      </c>
      <c r="C44" s="57" t="s">
        <v>368</v>
      </c>
      <c r="D44" s="53"/>
      <c r="E44" s="52">
        <v>0</v>
      </c>
      <c r="F44" s="52">
        <v>0</v>
      </c>
    </row>
    <row r="45" spans="1:6" ht="25">
      <c r="A45" s="53" t="s">
        <v>320</v>
      </c>
      <c r="B45" s="56" t="s">
        <v>369</v>
      </c>
      <c r="C45" s="57" t="s">
        <v>370</v>
      </c>
      <c r="D45" s="53"/>
      <c r="E45" s="52">
        <v>0</v>
      </c>
      <c r="F45" s="52">
        <v>0</v>
      </c>
    </row>
    <row r="46" spans="1:6" ht="25">
      <c r="A46" s="53" t="s">
        <v>320</v>
      </c>
      <c r="B46" s="56" t="s">
        <v>371</v>
      </c>
      <c r="C46" s="57" t="s">
        <v>372</v>
      </c>
      <c r="D46" s="53"/>
      <c r="E46" s="52">
        <v>0</v>
      </c>
      <c r="F46" s="52">
        <v>0</v>
      </c>
    </row>
    <row r="47" spans="1:6" ht="25">
      <c r="A47" s="53" t="s">
        <v>320</v>
      </c>
      <c r="B47" s="56" t="s">
        <v>589</v>
      </c>
      <c r="C47" s="57" t="s">
        <v>373</v>
      </c>
      <c r="D47" s="53"/>
      <c r="E47" s="52">
        <v>0</v>
      </c>
      <c r="F47" s="52">
        <v>0</v>
      </c>
    </row>
    <row r="48" spans="1:6" ht="25">
      <c r="A48" s="53" t="s">
        <v>320</v>
      </c>
      <c r="B48" s="54" t="s">
        <v>374</v>
      </c>
      <c r="C48" s="55" t="s">
        <v>375</v>
      </c>
      <c r="D48" s="53"/>
      <c r="E48" s="52">
        <v>0</v>
      </c>
      <c r="F48" s="52">
        <v>0</v>
      </c>
    </row>
    <row r="49" spans="1:7" ht="25">
      <c r="A49" s="53" t="s">
        <v>376</v>
      </c>
      <c r="B49" s="54" t="s">
        <v>377</v>
      </c>
      <c r="C49" s="55" t="s">
        <v>378</v>
      </c>
      <c r="D49" s="53"/>
      <c r="E49" s="52">
        <v>17726295305</v>
      </c>
      <c r="F49" s="52">
        <v>13218500546</v>
      </c>
    </row>
    <row r="50" spans="1:7" ht="25">
      <c r="A50" s="53" t="s">
        <v>320</v>
      </c>
      <c r="B50" s="56" t="s">
        <v>379</v>
      </c>
      <c r="C50" s="57" t="s">
        <v>380</v>
      </c>
      <c r="D50" s="53"/>
      <c r="E50" s="52">
        <v>0</v>
      </c>
      <c r="F50" s="52">
        <v>0</v>
      </c>
    </row>
    <row r="51" spans="1:7" ht="25">
      <c r="A51" s="53" t="s">
        <v>320</v>
      </c>
      <c r="B51" s="56" t="s">
        <v>381</v>
      </c>
      <c r="C51" s="57" t="s">
        <v>382</v>
      </c>
      <c r="D51" s="53"/>
      <c r="E51" s="52">
        <v>11464641880</v>
      </c>
      <c r="F51" s="52">
        <v>8480748492</v>
      </c>
    </row>
    <row r="52" spans="1:7" ht="25">
      <c r="A52" s="53" t="s">
        <v>320</v>
      </c>
      <c r="B52" s="56" t="s">
        <v>383</v>
      </c>
      <c r="C52" s="57" t="s">
        <v>384</v>
      </c>
      <c r="D52" s="53"/>
      <c r="E52" s="52">
        <v>180328767</v>
      </c>
      <c r="F52" s="52">
        <v>342221918</v>
      </c>
    </row>
    <row r="53" spans="1:7" ht="25">
      <c r="A53" s="53" t="s">
        <v>320</v>
      </c>
      <c r="B53" s="56" t="s">
        <v>385</v>
      </c>
      <c r="C53" s="57" t="s">
        <v>386</v>
      </c>
      <c r="D53" s="53"/>
      <c r="E53" s="52">
        <v>68009589</v>
      </c>
      <c r="F53" s="52">
        <v>37557534</v>
      </c>
    </row>
    <row r="54" spans="1:7" ht="25">
      <c r="A54" s="53" t="s">
        <v>320</v>
      </c>
      <c r="B54" s="56" t="s">
        <v>590</v>
      </c>
      <c r="C54" s="57" t="s">
        <v>387</v>
      </c>
      <c r="D54" s="53"/>
      <c r="E54" s="52">
        <v>6013315069</v>
      </c>
      <c r="F54" s="52">
        <v>4357972602</v>
      </c>
    </row>
    <row r="55" spans="1:7" ht="25">
      <c r="A55" s="53" t="s">
        <v>320</v>
      </c>
      <c r="B55" s="56" t="s">
        <v>388</v>
      </c>
      <c r="C55" s="57" t="s">
        <v>389</v>
      </c>
      <c r="D55" s="53"/>
      <c r="E55" s="52">
        <v>0</v>
      </c>
      <c r="F55" s="52">
        <v>0</v>
      </c>
    </row>
    <row r="56" spans="1:7" ht="25">
      <c r="A56" s="53" t="s">
        <v>390</v>
      </c>
      <c r="B56" s="54" t="s">
        <v>391</v>
      </c>
      <c r="C56" s="55" t="s">
        <v>392</v>
      </c>
      <c r="D56" s="53"/>
      <c r="E56" s="52">
        <v>43058071</v>
      </c>
      <c r="F56" s="52">
        <v>54946562</v>
      </c>
    </row>
    <row r="57" spans="1:7" s="59" customFormat="1" ht="25">
      <c r="A57" s="53" t="s">
        <v>320</v>
      </c>
      <c r="B57" s="56" t="s">
        <v>393</v>
      </c>
      <c r="C57" s="57" t="s">
        <v>394</v>
      </c>
      <c r="D57" s="53"/>
      <c r="E57" s="52">
        <v>0</v>
      </c>
      <c r="F57" s="52">
        <v>0</v>
      </c>
      <c r="G57" s="58"/>
    </row>
    <row r="58" spans="1:7" ht="25">
      <c r="A58" s="53" t="s">
        <v>320</v>
      </c>
      <c r="B58" s="56" t="s">
        <v>395</v>
      </c>
      <c r="C58" s="57" t="s">
        <v>396</v>
      </c>
      <c r="D58" s="53"/>
      <c r="E58" s="52">
        <v>43058071</v>
      </c>
      <c r="F58" s="52">
        <v>54946562</v>
      </c>
    </row>
    <row r="59" spans="1:7" ht="25">
      <c r="A59" s="53" t="s">
        <v>320</v>
      </c>
      <c r="B59" s="56" t="s">
        <v>397</v>
      </c>
      <c r="C59" s="57" t="s">
        <v>398</v>
      </c>
      <c r="D59" s="53"/>
      <c r="E59" s="52">
        <v>0</v>
      </c>
      <c r="F59" s="52">
        <v>0</v>
      </c>
    </row>
    <row r="60" spans="1:7" ht="25">
      <c r="A60" s="53" t="s">
        <v>399</v>
      </c>
      <c r="B60" s="54" t="s">
        <v>400</v>
      </c>
      <c r="C60" s="55" t="s">
        <v>401</v>
      </c>
      <c r="D60" s="53"/>
      <c r="E60" s="52">
        <v>0</v>
      </c>
      <c r="F60" s="52">
        <v>0</v>
      </c>
    </row>
    <row r="61" spans="1:7" ht="25">
      <c r="A61" s="15" t="s">
        <v>320</v>
      </c>
      <c r="B61" s="51" t="s">
        <v>306</v>
      </c>
      <c r="C61" s="10" t="s">
        <v>402</v>
      </c>
      <c r="D61" s="23"/>
      <c r="E61" s="23">
        <v>1213644532028</v>
      </c>
      <c r="F61" s="23">
        <v>1388813353078</v>
      </c>
    </row>
    <row r="62" spans="1:7" ht="25">
      <c r="A62" s="15" t="s">
        <v>22</v>
      </c>
      <c r="B62" s="51" t="s">
        <v>403</v>
      </c>
      <c r="C62" s="10" t="s">
        <v>22</v>
      </c>
      <c r="D62" s="23"/>
      <c r="E62" s="23"/>
      <c r="F62" s="23"/>
    </row>
    <row r="63" spans="1:7" ht="25">
      <c r="A63" s="53" t="s">
        <v>314</v>
      </c>
      <c r="B63" s="54" t="s">
        <v>404</v>
      </c>
      <c r="C63" s="55" t="s">
        <v>405</v>
      </c>
      <c r="D63" s="53"/>
      <c r="E63" s="52">
        <v>0</v>
      </c>
      <c r="F63" s="52">
        <v>0</v>
      </c>
    </row>
    <row r="64" spans="1:7" ht="25">
      <c r="A64" s="53" t="s">
        <v>320</v>
      </c>
      <c r="B64" s="56" t="s">
        <v>406</v>
      </c>
      <c r="C64" s="57" t="s">
        <v>407</v>
      </c>
      <c r="D64" s="53"/>
      <c r="E64" s="52">
        <v>0</v>
      </c>
      <c r="F64" s="52">
        <v>0</v>
      </c>
    </row>
    <row r="65" spans="1:6" ht="25">
      <c r="A65" s="53" t="s">
        <v>320</v>
      </c>
      <c r="B65" s="56" t="s">
        <v>408</v>
      </c>
      <c r="C65" s="57" t="s">
        <v>409</v>
      </c>
      <c r="D65" s="53"/>
      <c r="E65" s="52">
        <v>0</v>
      </c>
      <c r="F65" s="52">
        <v>0</v>
      </c>
    </row>
    <row r="66" spans="1:6" ht="25">
      <c r="A66" s="53" t="s">
        <v>331</v>
      </c>
      <c r="B66" s="54" t="s">
        <v>410</v>
      </c>
      <c r="C66" s="55" t="s">
        <v>411</v>
      </c>
      <c r="D66" s="53"/>
      <c r="E66" s="52">
        <v>0</v>
      </c>
      <c r="F66" s="52">
        <v>0</v>
      </c>
    </row>
    <row r="67" spans="1:6" ht="25">
      <c r="A67" s="53" t="s">
        <v>353</v>
      </c>
      <c r="B67" s="54" t="s">
        <v>412</v>
      </c>
      <c r="C67" s="55" t="s">
        <v>413</v>
      </c>
      <c r="D67" s="53"/>
      <c r="E67" s="52">
        <v>0</v>
      </c>
      <c r="F67" s="52">
        <v>0</v>
      </c>
    </row>
    <row r="68" spans="1:6" ht="25">
      <c r="A68" s="53" t="s">
        <v>320</v>
      </c>
      <c r="B68" s="56" t="s">
        <v>414</v>
      </c>
      <c r="C68" s="57" t="s">
        <v>415</v>
      </c>
      <c r="D68" s="53"/>
      <c r="E68" s="52">
        <v>0</v>
      </c>
      <c r="F68" s="52">
        <v>0</v>
      </c>
    </row>
    <row r="69" spans="1:6" ht="25">
      <c r="A69" s="53" t="s">
        <v>320</v>
      </c>
      <c r="B69" s="56" t="s">
        <v>416</v>
      </c>
      <c r="C69" s="57" t="s">
        <v>417</v>
      </c>
      <c r="D69" s="53"/>
      <c r="E69" s="52">
        <v>0</v>
      </c>
      <c r="F69" s="52">
        <v>0</v>
      </c>
    </row>
    <row r="70" spans="1:6" ht="25">
      <c r="A70" s="53" t="s">
        <v>418</v>
      </c>
      <c r="B70" s="54" t="s">
        <v>419</v>
      </c>
      <c r="C70" s="55" t="s">
        <v>420</v>
      </c>
      <c r="D70" s="53"/>
      <c r="E70" s="52">
        <v>671566661</v>
      </c>
      <c r="F70" s="52">
        <v>967533650</v>
      </c>
    </row>
    <row r="71" spans="1:6" ht="25">
      <c r="A71" s="53" t="s">
        <v>421</v>
      </c>
      <c r="B71" s="54" t="s">
        <v>422</v>
      </c>
      <c r="C71" s="55" t="s">
        <v>423</v>
      </c>
      <c r="D71" s="53"/>
      <c r="E71" s="52">
        <v>0</v>
      </c>
      <c r="F71" s="52">
        <v>0</v>
      </c>
    </row>
    <row r="72" spans="1:6" ht="25">
      <c r="A72" s="53" t="s">
        <v>424</v>
      </c>
      <c r="B72" s="54" t="s">
        <v>425</v>
      </c>
      <c r="C72" s="55" t="s">
        <v>426</v>
      </c>
      <c r="D72" s="53"/>
      <c r="E72" s="52">
        <v>68379714</v>
      </c>
      <c r="F72" s="52">
        <v>66924343</v>
      </c>
    </row>
    <row r="73" spans="1:6" ht="25">
      <c r="A73" s="53" t="s">
        <v>320</v>
      </c>
      <c r="B73" s="56" t="s">
        <v>309</v>
      </c>
      <c r="C73" s="57" t="s">
        <v>427</v>
      </c>
      <c r="D73" s="53"/>
      <c r="E73" s="52">
        <v>0</v>
      </c>
      <c r="F73" s="52">
        <v>15910695</v>
      </c>
    </row>
    <row r="74" spans="1:6" ht="25">
      <c r="A74" s="53" t="s">
        <v>320</v>
      </c>
      <c r="B74" s="56" t="s">
        <v>428</v>
      </c>
      <c r="C74" s="57" t="s">
        <v>429</v>
      </c>
      <c r="D74" s="53"/>
      <c r="E74" s="52">
        <v>0</v>
      </c>
      <c r="F74" s="52">
        <v>15910695</v>
      </c>
    </row>
    <row r="75" spans="1:6" ht="25">
      <c r="A75" s="53" t="s">
        <v>320</v>
      </c>
      <c r="B75" s="56" t="s">
        <v>430</v>
      </c>
      <c r="C75" s="57" t="s">
        <v>431</v>
      </c>
      <c r="D75" s="53"/>
      <c r="E75" s="52">
        <v>0</v>
      </c>
      <c r="F75" s="52">
        <v>0</v>
      </c>
    </row>
    <row r="76" spans="1:6" ht="25">
      <c r="A76" s="53" t="s">
        <v>320</v>
      </c>
      <c r="B76" s="56" t="s">
        <v>432</v>
      </c>
      <c r="C76" s="57" t="s">
        <v>433</v>
      </c>
      <c r="D76" s="53"/>
      <c r="E76" s="52">
        <v>34586667</v>
      </c>
      <c r="F76" s="52">
        <v>23586667</v>
      </c>
    </row>
    <row r="77" spans="1:6" ht="25">
      <c r="A77" s="53" t="s">
        <v>320</v>
      </c>
      <c r="B77" s="56" t="s">
        <v>434</v>
      </c>
      <c r="C77" s="57" t="s">
        <v>435</v>
      </c>
      <c r="D77" s="53"/>
      <c r="E77" s="52">
        <v>23301244</v>
      </c>
      <c r="F77" s="52">
        <v>17426981</v>
      </c>
    </row>
    <row r="78" spans="1:6" ht="25">
      <c r="A78" s="53" t="s">
        <v>320</v>
      </c>
      <c r="B78" s="56" t="s">
        <v>436</v>
      </c>
      <c r="C78" s="57" t="s">
        <v>437</v>
      </c>
      <c r="D78" s="53"/>
      <c r="E78" s="52">
        <v>0</v>
      </c>
      <c r="F78" s="52">
        <v>0</v>
      </c>
    </row>
    <row r="79" spans="1:6" ht="25">
      <c r="A79" s="53" t="s">
        <v>320</v>
      </c>
      <c r="B79" s="56" t="s">
        <v>438</v>
      </c>
      <c r="C79" s="57" t="s">
        <v>439</v>
      </c>
      <c r="D79" s="53"/>
      <c r="E79" s="52">
        <v>10491803</v>
      </c>
      <c r="F79" s="52">
        <v>10000000</v>
      </c>
    </row>
    <row r="80" spans="1:6" ht="25">
      <c r="A80" s="53" t="s">
        <v>320</v>
      </c>
      <c r="B80" s="56" t="s">
        <v>440</v>
      </c>
      <c r="C80" s="57" t="s">
        <v>441</v>
      </c>
      <c r="D80" s="53"/>
      <c r="E80" s="52">
        <v>0</v>
      </c>
      <c r="F80" s="52">
        <v>0</v>
      </c>
    </row>
    <row r="81" spans="1:6" ht="25">
      <c r="A81" s="53" t="s">
        <v>320</v>
      </c>
      <c r="B81" s="56" t="s">
        <v>442</v>
      </c>
      <c r="C81" s="57" t="s">
        <v>443</v>
      </c>
      <c r="D81" s="53"/>
      <c r="E81" s="52">
        <v>0</v>
      </c>
      <c r="F81" s="52">
        <v>0</v>
      </c>
    </row>
    <row r="82" spans="1:6" ht="25">
      <c r="A82" s="53" t="s">
        <v>444</v>
      </c>
      <c r="B82" s="54" t="s">
        <v>445</v>
      </c>
      <c r="C82" s="55" t="s">
        <v>446</v>
      </c>
      <c r="D82" s="53"/>
      <c r="E82" s="52">
        <v>26784612269</v>
      </c>
      <c r="F82" s="52">
        <v>9559590068</v>
      </c>
    </row>
    <row r="83" spans="1:6" ht="25">
      <c r="A83" s="53" t="s">
        <v>320</v>
      </c>
      <c r="B83" s="56" t="s">
        <v>307</v>
      </c>
      <c r="C83" s="57" t="s">
        <v>447</v>
      </c>
      <c r="D83" s="53"/>
      <c r="E83" s="52">
        <v>26784612269</v>
      </c>
      <c r="F83" s="52">
        <v>9559590068</v>
      </c>
    </row>
    <row r="84" spans="1:6" ht="25">
      <c r="A84" s="53" t="s">
        <v>320</v>
      </c>
      <c r="B84" s="56" t="s">
        <v>308</v>
      </c>
      <c r="C84" s="57" t="s">
        <v>448</v>
      </c>
      <c r="D84" s="53"/>
      <c r="E84" s="52">
        <v>0</v>
      </c>
      <c r="F84" s="52">
        <v>0</v>
      </c>
    </row>
    <row r="85" spans="1:6" ht="25">
      <c r="A85" s="53" t="s">
        <v>449</v>
      </c>
      <c r="B85" s="54" t="s">
        <v>450</v>
      </c>
      <c r="C85" s="55" t="s">
        <v>451</v>
      </c>
      <c r="D85" s="53"/>
      <c r="E85" s="52">
        <v>36224842</v>
      </c>
      <c r="F85" s="52">
        <v>131022502</v>
      </c>
    </row>
    <row r="86" spans="1:6" ht="25">
      <c r="A86" s="53" t="s">
        <v>452</v>
      </c>
      <c r="B86" s="54" t="s">
        <v>453</v>
      </c>
      <c r="C86" s="55" t="s">
        <v>454</v>
      </c>
      <c r="D86" s="53"/>
      <c r="E86" s="52">
        <v>1368233509</v>
      </c>
      <c r="F86" s="52">
        <v>1766518538</v>
      </c>
    </row>
    <row r="87" spans="1:6" ht="25">
      <c r="A87" s="53" t="s">
        <v>320</v>
      </c>
      <c r="B87" s="56" t="s">
        <v>455</v>
      </c>
      <c r="C87" s="57" t="s">
        <v>456</v>
      </c>
      <c r="D87" s="53"/>
      <c r="E87" s="52">
        <v>1216251099</v>
      </c>
      <c r="F87" s="52">
        <v>1576960997</v>
      </c>
    </row>
    <row r="88" spans="1:6" ht="25">
      <c r="A88" s="53" t="s">
        <v>320</v>
      </c>
      <c r="B88" s="56" t="s">
        <v>457</v>
      </c>
      <c r="C88" s="57" t="s">
        <v>458</v>
      </c>
      <c r="D88" s="53"/>
      <c r="E88" s="52">
        <v>54277130</v>
      </c>
      <c r="F88" s="52">
        <v>68706710</v>
      </c>
    </row>
    <row r="89" spans="1:6" ht="25">
      <c r="A89" s="53" t="s">
        <v>320</v>
      </c>
      <c r="B89" s="56" t="s">
        <v>23</v>
      </c>
      <c r="C89" s="57" t="s">
        <v>459</v>
      </c>
      <c r="D89" s="53"/>
      <c r="E89" s="52">
        <v>50677130</v>
      </c>
      <c r="F89" s="52">
        <v>65706710</v>
      </c>
    </row>
    <row r="90" spans="1:6" ht="25">
      <c r="A90" s="53" t="s">
        <v>320</v>
      </c>
      <c r="B90" s="56" t="s">
        <v>35</v>
      </c>
      <c r="C90" s="57" t="s">
        <v>460</v>
      </c>
      <c r="D90" s="53"/>
      <c r="E90" s="52">
        <v>3150000</v>
      </c>
      <c r="F90" s="52">
        <v>2550000</v>
      </c>
    </row>
    <row r="91" spans="1:6" ht="25">
      <c r="A91" s="53" t="s">
        <v>320</v>
      </c>
      <c r="B91" s="56" t="s">
        <v>591</v>
      </c>
      <c r="C91" s="57" t="s">
        <v>461</v>
      </c>
      <c r="D91" s="53"/>
      <c r="E91" s="52">
        <v>450000</v>
      </c>
      <c r="F91" s="52">
        <v>450000</v>
      </c>
    </row>
    <row r="92" spans="1:6" ht="25">
      <c r="A92" s="53" t="s">
        <v>320</v>
      </c>
      <c r="B92" s="56" t="s">
        <v>462</v>
      </c>
      <c r="C92" s="57" t="s">
        <v>463</v>
      </c>
      <c r="D92" s="53"/>
      <c r="E92" s="52">
        <v>51058374</v>
      </c>
      <c r="F92" s="52">
        <v>64284404</v>
      </c>
    </row>
    <row r="93" spans="1:6" ht="25">
      <c r="A93" s="53" t="s">
        <v>320</v>
      </c>
      <c r="B93" s="56" t="s">
        <v>464</v>
      </c>
      <c r="C93" s="57" t="s">
        <v>465</v>
      </c>
      <c r="D93" s="53"/>
      <c r="E93" s="52">
        <v>33446906</v>
      </c>
      <c r="F93" s="52">
        <v>43366427</v>
      </c>
    </row>
    <row r="94" spans="1:6" ht="25">
      <c r="A94" s="53" t="s">
        <v>320</v>
      </c>
      <c r="B94" s="56" t="s">
        <v>466</v>
      </c>
      <c r="C94" s="57" t="s">
        <v>467</v>
      </c>
      <c r="D94" s="53"/>
      <c r="E94" s="52">
        <v>13200000</v>
      </c>
      <c r="F94" s="52">
        <v>13200000</v>
      </c>
    </row>
    <row r="95" spans="1:6" ht="25">
      <c r="A95" s="53" t="s">
        <v>320</v>
      </c>
      <c r="B95" s="56" t="s">
        <v>468</v>
      </c>
      <c r="C95" s="57" t="s">
        <v>469</v>
      </c>
      <c r="D95" s="53"/>
      <c r="E95" s="52">
        <v>0</v>
      </c>
      <c r="F95" s="52">
        <v>0</v>
      </c>
    </row>
    <row r="96" spans="1:6" ht="25">
      <c r="A96" s="53" t="s">
        <v>320</v>
      </c>
      <c r="B96" s="56" t="s">
        <v>470</v>
      </c>
      <c r="C96" s="57" t="s">
        <v>471</v>
      </c>
      <c r="D96" s="53"/>
      <c r="E96" s="52">
        <v>0</v>
      </c>
      <c r="F96" s="52">
        <v>0</v>
      </c>
    </row>
    <row r="97" spans="1:6" ht="25">
      <c r="A97" s="53" t="s">
        <v>164</v>
      </c>
      <c r="B97" s="54" t="s">
        <v>472</v>
      </c>
      <c r="C97" s="55" t="s">
        <v>473</v>
      </c>
      <c r="D97" s="53"/>
      <c r="E97" s="52">
        <v>36614754</v>
      </c>
      <c r="F97" s="52">
        <v>53641752</v>
      </c>
    </row>
    <row r="98" spans="1:6" ht="25">
      <c r="A98" s="53" t="s">
        <v>320</v>
      </c>
      <c r="B98" s="56" t="s">
        <v>311</v>
      </c>
      <c r="C98" s="57" t="s">
        <v>474</v>
      </c>
      <c r="D98" s="53"/>
      <c r="E98" s="52">
        <v>23500000</v>
      </c>
      <c r="F98" s="52">
        <v>15836957</v>
      </c>
    </row>
    <row r="99" spans="1:6" ht="25">
      <c r="A99" s="53" t="s">
        <v>320</v>
      </c>
      <c r="B99" s="56" t="s">
        <v>312</v>
      </c>
      <c r="C99" s="57" t="s">
        <v>475</v>
      </c>
      <c r="D99" s="53"/>
      <c r="E99" s="52">
        <v>0</v>
      </c>
      <c r="F99" s="52">
        <v>0</v>
      </c>
    </row>
    <row r="100" spans="1:6" ht="25">
      <c r="A100" s="53" t="s">
        <v>320</v>
      </c>
      <c r="B100" s="56" t="s">
        <v>476</v>
      </c>
      <c r="C100" s="57" t="s">
        <v>477</v>
      </c>
      <c r="D100" s="53"/>
      <c r="E100" s="52">
        <v>13114754</v>
      </c>
      <c r="F100" s="52">
        <v>12500000</v>
      </c>
    </row>
    <row r="101" spans="1:6" ht="25">
      <c r="A101" s="53" t="s">
        <v>320</v>
      </c>
      <c r="B101" s="56" t="s">
        <v>478</v>
      </c>
      <c r="C101" s="57" t="s">
        <v>479</v>
      </c>
      <c r="D101" s="53"/>
      <c r="E101" s="52">
        <v>0</v>
      </c>
      <c r="F101" s="52">
        <v>0</v>
      </c>
    </row>
    <row r="102" spans="1:6" ht="25">
      <c r="A102" s="53" t="s">
        <v>320</v>
      </c>
      <c r="B102" s="56" t="s">
        <v>310</v>
      </c>
      <c r="C102" s="57" t="s">
        <v>480</v>
      </c>
      <c r="D102" s="53"/>
      <c r="E102" s="52">
        <v>0</v>
      </c>
      <c r="F102" s="52">
        <v>25304795</v>
      </c>
    </row>
    <row r="103" spans="1:6" ht="25">
      <c r="A103" s="15" t="s">
        <v>320</v>
      </c>
      <c r="B103" s="51" t="s">
        <v>481</v>
      </c>
      <c r="C103" s="10" t="s">
        <v>482</v>
      </c>
      <c r="D103" s="23"/>
      <c r="E103" s="23">
        <v>28965631749</v>
      </c>
      <c r="F103" s="23">
        <v>12545230853</v>
      </c>
    </row>
    <row r="104" spans="1:6" ht="37.5">
      <c r="A104" s="15" t="s">
        <v>26</v>
      </c>
      <c r="B104" s="51" t="s">
        <v>483</v>
      </c>
      <c r="C104" s="10" t="s">
        <v>484</v>
      </c>
      <c r="D104" s="23"/>
      <c r="E104" s="23">
        <v>1184678900279</v>
      </c>
      <c r="F104" s="23">
        <v>1376268122225</v>
      </c>
    </row>
    <row r="105" spans="1:6" ht="25">
      <c r="A105" s="53" t="s">
        <v>314</v>
      </c>
      <c r="B105" s="54" t="s">
        <v>485</v>
      </c>
      <c r="C105" s="55" t="s">
        <v>486</v>
      </c>
      <c r="D105" s="53"/>
      <c r="E105" s="52">
        <v>1068689252200</v>
      </c>
      <c r="F105" s="52">
        <v>1246175773400</v>
      </c>
    </row>
    <row r="106" spans="1:6" ht="25">
      <c r="A106" s="53" t="s">
        <v>317</v>
      </c>
      <c r="B106" s="54" t="s">
        <v>487</v>
      </c>
      <c r="C106" s="55" t="s">
        <v>488</v>
      </c>
      <c r="D106" s="53"/>
      <c r="E106" s="52">
        <v>9002348372000</v>
      </c>
      <c r="F106" s="52">
        <v>8572516923200</v>
      </c>
    </row>
    <row r="107" spans="1:6" ht="25">
      <c r="A107" s="53" t="s">
        <v>328</v>
      </c>
      <c r="B107" s="54" t="s">
        <v>489</v>
      </c>
      <c r="C107" s="55" t="s">
        <v>490</v>
      </c>
      <c r="D107" s="53"/>
      <c r="E107" s="52">
        <v>-7933659119800</v>
      </c>
      <c r="F107" s="52">
        <v>-7326341149800</v>
      </c>
    </row>
    <row r="108" spans="1:6" ht="25">
      <c r="A108" s="53" t="s">
        <v>331</v>
      </c>
      <c r="B108" s="54" t="s">
        <v>491</v>
      </c>
      <c r="C108" s="55" t="s">
        <v>492</v>
      </c>
      <c r="D108" s="53"/>
      <c r="E108" s="52">
        <v>-10627027241</v>
      </c>
      <c r="F108" s="52">
        <v>7948030149</v>
      </c>
    </row>
    <row r="109" spans="1:6" ht="25">
      <c r="A109" s="53" t="s">
        <v>353</v>
      </c>
      <c r="B109" s="54" t="s">
        <v>493</v>
      </c>
      <c r="C109" s="55" t="s">
        <v>494</v>
      </c>
      <c r="D109" s="53"/>
      <c r="E109" s="52">
        <v>126616675320</v>
      </c>
      <c r="F109" s="52">
        <v>122144318676</v>
      </c>
    </row>
    <row r="110" spans="1:6" ht="25">
      <c r="A110" s="53" t="s">
        <v>356</v>
      </c>
      <c r="B110" s="54" t="s">
        <v>495</v>
      </c>
      <c r="C110" s="55" t="s">
        <v>496</v>
      </c>
      <c r="D110" s="53"/>
      <c r="E110" s="52">
        <v>122144318676</v>
      </c>
      <c r="F110" s="52">
        <v>116067886168</v>
      </c>
    </row>
    <row r="111" spans="1:6" ht="25">
      <c r="A111" s="53" t="s">
        <v>361</v>
      </c>
      <c r="B111" s="54" t="s">
        <v>497</v>
      </c>
      <c r="C111" s="55" t="s">
        <v>498</v>
      </c>
      <c r="D111" s="53"/>
      <c r="E111" s="52">
        <v>4472356644</v>
      </c>
      <c r="F111" s="52">
        <v>6076432508</v>
      </c>
    </row>
    <row r="112" spans="1:6" ht="25">
      <c r="A112" s="15" t="s">
        <v>27</v>
      </c>
      <c r="B112" s="51" t="s">
        <v>499</v>
      </c>
      <c r="C112" s="10" t="s">
        <v>500</v>
      </c>
      <c r="D112" s="23"/>
      <c r="E112" s="63">
        <v>11085.34</v>
      </c>
      <c r="F112" s="63">
        <v>11043.93</v>
      </c>
    </row>
    <row r="113" spans="1:7" ht="25">
      <c r="A113" s="15" t="s">
        <v>28</v>
      </c>
      <c r="B113" s="51" t="s">
        <v>501</v>
      </c>
      <c r="C113" s="10" t="s">
        <v>502</v>
      </c>
      <c r="D113" s="23"/>
      <c r="E113" s="23">
        <v>0</v>
      </c>
      <c r="F113" s="23">
        <v>0</v>
      </c>
    </row>
    <row r="114" spans="1:7" ht="25">
      <c r="A114" s="53" t="s">
        <v>314</v>
      </c>
      <c r="B114" s="54" t="s">
        <v>503</v>
      </c>
      <c r="C114" s="55" t="s">
        <v>504</v>
      </c>
      <c r="D114" s="53"/>
      <c r="E114" s="52">
        <v>0</v>
      </c>
      <c r="F114" s="52">
        <v>0</v>
      </c>
    </row>
    <row r="115" spans="1:7" ht="25">
      <c r="A115" s="53" t="s">
        <v>331</v>
      </c>
      <c r="B115" s="54" t="s">
        <v>505</v>
      </c>
      <c r="C115" s="55" t="s">
        <v>506</v>
      </c>
      <c r="D115" s="53"/>
      <c r="E115" s="52">
        <v>0</v>
      </c>
      <c r="F115" s="52">
        <v>0</v>
      </c>
    </row>
    <row r="116" spans="1:7" ht="25">
      <c r="A116" s="15" t="s">
        <v>29</v>
      </c>
      <c r="B116" s="51" t="s">
        <v>507</v>
      </c>
      <c r="C116" s="10" t="s">
        <v>29</v>
      </c>
      <c r="D116" s="23"/>
      <c r="E116" s="23"/>
      <c r="F116" s="23"/>
    </row>
    <row r="117" spans="1:7" ht="25">
      <c r="A117" s="53" t="s">
        <v>314</v>
      </c>
      <c r="B117" s="54" t="s">
        <v>508</v>
      </c>
      <c r="C117" s="55" t="s">
        <v>509</v>
      </c>
      <c r="D117" s="53"/>
      <c r="E117" s="52">
        <v>0</v>
      </c>
      <c r="F117" s="52">
        <v>0</v>
      </c>
    </row>
    <row r="118" spans="1:7" ht="25">
      <c r="A118" s="53" t="s">
        <v>331</v>
      </c>
      <c r="B118" s="54" t="s">
        <v>510</v>
      </c>
      <c r="C118" s="55" t="s">
        <v>511</v>
      </c>
      <c r="D118" s="53"/>
      <c r="E118" s="52">
        <v>0</v>
      </c>
      <c r="F118" s="52">
        <v>0</v>
      </c>
    </row>
    <row r="119" spans="1:7" ht="25">
      <c r="A119" s="53" t="s">
        <v>353</v>
      </c>
      <c r="B119" s="54" t="s">
        <v>512</v>
      </c>
      <c r="C119" s="55" t="s">
        <v>513</v>
      </c>
      <c r="D119" s="53"/>
      <c r="E119" s="52">
        <v>0</v>
      </c>
      <c r="F119" s="52">
        <v>0</v>
      </c>
    </row>
    <row r="120" spans="1:7" ht="25">
      <c r="A120" s="60" t="s">
        <v>418</v>
      </c>
      <c r="B120" s="61" t="s">
        <v>514</v>
      </c>
      <c r="C120" s="55" t="s">
        <v>515</v>
      </c>
      <c r="D120" s="60"/>
      <c r="E120" s="62">
        <v>106868925.22</v>
      </c>
      <c r="F120" s="62">
        <v>124617577.34</v>
      </c>
    </row>
    <row r="121" spans="1:7" s="35" customFormat="1" ht="13">
      <c r="A121" s="14"/>
      <c r="B121" s="14"/>
      <c r="C121" s="14"/>
      <c r="D121" s="14"/>
      <c r="E121" s="14"/>
      <c r="F121" s="14"/>
      <c r="G121" s="2"/>
    </row>
    <row r="123" spans="1:7" ht="16.899999999999999" customHeight="1">
      <c r="A123" s="207" t="s">
        <v>232</v>
      </c>
      <c r="B123" s="207"/>
      <c r="C123" s="207" t="s">
        <v>233</v>
      </c>
      <c r="D123" s="207"/>
      <c r="E123" s="207"/>
      <c r="F123" s="207"/>
    </row>
    <row r="136" spans="1:6">
      <c r="A136" s="217" t="s">
        <v>519</v>
      </c>
      <c r="B136" s="217"/>
      <c r="C136" s="217" t="s">
        <v>520</v>
      </c>
      <c r="D136" s="217"/>
      <c r="E136" s="217"/>
      <c r="F136" s="14" t="s">
        <v>1119</v>
      </c>
    </row>
    <row r="137" spans="1:6" ht="16.899999999999999" customHeight="1">
      <c r="A137" s="216" t="s">
        <v>1104</v>
      </c>
      <c r="B137" s="216"/>
      <c r="C137" s="216" t="s">
        <v>1105</v>
      </c>
      <c r="D137" s="216"/>
      <c r="E137" s="216"/>
      <c r="F137" s="146" t="s">
        <v>1094</v>
      </c>
    </row>
    <row r="138" spans="1:6" ht="16.899999999999999" customHeight="1">
      <c r="A138" s="217" t="s">
        <v>1106</v>
      </c>
      <c r="B138" s="217"/>
      <c r="C138" s="217" t="s">
        <v>1107</v>
      </c>
      <c r="D138" s="217"/>
      <c r="E138" s="217"/>
      <c r="F138" s="147" t="s">
        <v>1096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2"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3" zoomScaleNormal="85" zoomScaleSheetLayoutView="100" workbookViewId="0">
      <selection activeCell="M40" sqref="M40"/>
    </sheetView>
  </sheetViews>
  <sheetFormatPr defaultColWidth="9.1796875" defaultRowHeight="13"/>
  <cols>
    <col min="1" max="1" width="4.81640625" style="157" customWidth="1"/>
    <col min="2" max="2" width="34.453125" style="154" customWidth="1"/>
    <col min="3" max="3" width="14.453125" style="154" customWidth="1"/>
    <col min="4" max="4" width="11.81640625" style="154" customWidth="1"/>
    <col min="5" max="5" width="12.26953125" style="154" customWidth="1"/>
    <col min="6" max="6" width="12.54296875" style="154" customWidth="1"/>
    <col min="7" max="7" width="16.453125" style="154" customWidth="1"/>
    <col min="8" max="9" width="19" style="154" customWidth="1"/>
    <col min="10" max="10" width="43.54296875" style="154" customWidth="1"/>
    <col min="11" max="16384" width="9.1796875" style="154"/>
  </cols>
  <sheetData>
    <row r="1" spans="1:10" s="153" customFormat="1" ht="46.5" customHeight="1">
      <c r="A1" s="223" t="s">
        <v>570</v>
      </c>
      <c r="B1" s="223"/>
      <c r="C1" s="223"/>
      <c r="D1" s="223"/>
      <c r="E1" s="223"/>
      <c r="F1" s="223"/>
      <c r="G1" s="223"/>
      <c r="H1" s="223"/>
      <c r="I1" s="223"/>
      <c r="J1" s="223"/>
    </row>
    <row r="2" spans="1:10" ht="49" customHeight="1">
      <c r="A2" s="224" t="s">
        <v>572</v>
      </c>
      <c r="B2" s="224"/>
      <c r="C2" s="224"/>
      <c r="D2" s="224"/>
      <c r="E2" s="224"/>
      <c r="F2" s="224"/>
      <c r="G2" s="224"/>
      <c r="H2" s="224"/>
      <c r="I2" s="224"/>
      <c r="J2" s="224"/>
    </row>
    <row r="3" spans="1:10" ht="19.149999999999999" customHeight="1">
      <c r="A3" s="225" t="s">
        <v>521</v>
      </c>
      <c r="B3" s="225"/>
      <c r="C3" s="225"/>
      <c r="D3" s="225"/>
      <c r="E3" s="225"/>
      <c r="F3" s="225"/>
      <c r="G3" s="225"/>
      <c r="H3" s="225"/>
      <c r="I3" s="225"/>
      <c r="J3" s="225"/>
    </row>
    <row r="4" spans="1:10" ht="21.65" customHeight="1">
      <c r="A4" s="225"/>
      <c r="B4" s="225"/>
      <c r="C4" s="225"/>
      <c r="D4" s="225"/>
      <c r="E4" s="225"/>
      <c r="F4" s="225"/>
      <c r="G4" s="225"/>
      <c r="H4" s="225"/>
      <c r="I4" s="225"/>
      <c r="J4" s="225"/>
    </row>
    <row r="5" spans="1:10">
      <c r="A5" s="226" t="s">
        <v>1086</v>
      </c>
      <c r="B5" s="226"/>
      <c r="C5" s="226"/>
      <c r="D5" s="226"/>
      <c r="E5" s="226"/>
      <c r="F5" s="226"/>
      <c r="G5" s="226"/>
      <c r="H5" s="226"/>
      <c r="I5" s="226"/>
      <c r="J5" s="226"/>
    </row>
    <row r="6" spans="1:10">
      <c r="A6" s="149"/>
      <c r="B6" s="149"/>
      <c r="C6" s="149"/>
      <c r="D6" s="149"/>
      <c r="E6" s="149"/>
      <c r="F6" s="66"/>
      <c r="G6" s="155"/>
      <c r="H6" s="155"/>
      <c r="I6" s="155"/>
      <c r="J6" s="155"/>
    </row>
    <row r="7" spans="1:10">
      <c r="A7" s="227" t="s">
        <v>2</v>
      </c>
      <c r="B7" s="228"/>
      <c r="C7" s="155"/>
      <c r="D7" s="155"/>
      <c r="E7" s="155"/>
      <c r="F7" s="155"/>
      <c r="G7" s="229" t="s">
        <v>1087</v>
      </c>
      <c r="H7" s="229"/>
      <c r="I7" s="229"/>
      <c r="J7" s="229"/>
    </row>
    <row r="8" spans="1:10" ht="15" customHeight="1">
      <c r="A8" s="230" t="s">
        <v>15</v>
      </c>
      <c r="B8" s="230"/>
      <c r="C8" s="155"/>
      <c r="D8" s="155"/>
      <c r="E8" s="155"/>
      <c r="F8" s="155"/>
      <c r="G8" s="231" t="s">
        <v>1088</v>
      </c>
      <c r="H8" s="231"/>
      <c r="I8" s="231"/>
      <c r="J8" s="231"/>
    </row>
    <row r="9" spans="1:10">
      <c r="A9" s="232" t="s">
        <v>3</v>
      </c>
      <c r="B9" s="233"/>
      <c r="C9" s="155"/>
      <c r="D9" s="155"/>
      <c r="E9" s="155"/>
      <c r="F9" s="155"/>
      <c r="G9" s="234" t="s">
        <v>1089</v>
      </c>
      <c r="H9" s="234"/>
      <c r="I9" s="234"/>
      <c r="J9" s="234"/>
    </row>
    <row r="10" spans="1:10" ht="15" customHeight="1">
      <c r="A10" s="233" t="s">
        <v>4</v>
      </c>
      <c r="B10" s="233"/>
      <c r="C10" s="155"/>
      <c r="D10" s="155"/>
      <c r="E10" s="155"/>
      <c r="F10" s="155"/>
      <c r="G10" s="231" t="s">
        <v>1090</v>
      </c>
      <c r="H10" s="231"/>
      <c r="I10" s="231"/>
      <c r="J10" s="231"/>
    </row>
    <row r="11" spans="1:10" ht="15" customHeight="1">
      <c r="A11" s="232" t="s">
        <v>5</v>
      </c>
      <c r="B11" s="235"/>
      <c r="C11" s="155"/>
      <c r="D11" s="155"/>
      <c r="E11" s="155"/>
      <c r="F11" s="155"/>
      <c r="G11" s="229" t="s">
        <v>577</v>
      </c>
      <c r="H11" s="229"/>
      <c r="I11" s="229"/>
      <c r="J11" s="229"/>
    </row>
    <row r="12" spans="1:10" ht="15" customHeight="1">
      <c r="A12" s="67" t="s">
        <v>516</v>
      </c>
      <c r="B12" s="150"/>
      <c r="C12" s="155"/>
      <c r="D12" s="155"/>
      <c r="E12" s="155"/>
      <c r="F12" s="155"/>
      <c r="G12" s="231" t="s">
        <v>1108</v>
      </c>
      <c r="H12" s="231"/>
      <c r="I12" s="231"/>
      <c r="J12" s="231"/>
    </row>
    <row r="13" spans="1:10" ht="15" customHeight="1">
      <c r="A13" s="68" t="s">
        <v>7</v>
      </c>
      <c r="B13" s="69"/>
      <c r="C13" s="155"/>
      <c r="D13" s="155"/>
      <c r="E13" s="155"/>
      <c r="F13" s="155"/>
      <c r="G13" s="229" t="s">
        <v>1091</v>
      </c>
      <c r="H13" s="229"/>
      <c r="I13" s="229"/>
      <c r="J13" s="229"/>
    </row>
    <row r="14" spans="1:10">
      <c r="A14" s="70" t="s">
        <v>8</v>
      </c>
      <c r="B14" s="70"/>
      <c r="C14" s="72"/>
      <c r="D14" s="72"/>
      <c r="E14" s="72"/>
      <c r="F14" s="72"/>
      <c r="G14" s="236" t="s">
        <v>1092</v>
      </c>
      <c r="H14" s="236"/>
      <c r="I14" s="236"/>
      <c r="J14" s="236"/>
    </row>
    <row r="15" spans="1:10">
      <c r="A15" s="102" t="s">
        <v>568</v>
      </c>
      <c r="B15" s="103" t="s">
        <v>569</v>
      </c>
      <c r="C15" s="72"/>
      <c r="D15" s="72"/>
      <c r="E15" s="72"/>
      <c r="F15" s="72"/>
      <c r="G15" s="151"/>
      <c r="H15" s="151"/>
      <c r="I15" s="151"/>
      <c r="J15" s="151"/>
    </row>
    <row r="16" spans="1:10">
      <c r="A16" s="80" t="s">
        <v>27</v>
      </c>
      <c r="B16" s="81" t="s">
        <v>524</v>
      </c>
      <c r="C16" s="72"/>
      <c r="D16" s="72"/>
      <c r="E16" s="72"/>
      <c r="F16" s="72"/>
      <c r="G16" s="72"/>
      <c r="H16" s="72"/>
      <c r="I16" s="72"/>
      <c r="J16" s="72"/>
    </row>
    <row r="17" spans="1:10" s="71" customFormat="1" ht="36" customHeight="1">
      <c r="A17" s="238" t="s">
        <v>235</v>
      </c>
      <c r="B17" s="238" t="s">
        <v>559</v>
      </c>
      <c r="C17" s="238" t="s">
        <v>560</v>
      </c>
      <c r="D17" s="238" t="s">
        <v>561</v>
      </c>
      <c r="E17" s="238" t="s">
        <v>562</v>
      </c>
      <c r="F17" s="238" t="s">
        <v>563</v>
      </c>
      <c r="G17" s="238" t="s">
        <v>564</v>
      </c>
      <c r="H17" s="239"/>
      <c r="I17" s="238" t="s">
        <v>573</v>
      </c>
      <c r="J17" s="239"/>
    </row>
    <row r="18" spans="1:10" s="71" customFormat="1" ht="87" customHeight="1">
      <c r="A18" s="239"/>
      <c r="B18" s="239"/>
      <c r="C18" s="239"/>
      <c r="D18" s="239"/>
      <c r="E18" s="239"/>
      <c r="F18" s="239"/>
      <c r="G18" s="152" t="s">
        <v>565</v>
      </c>
      <c r="H18" s="152" t="s">
        <v>566</v>
      </c>
      <c r="I18" s="152" t="s">
        <v>565</v>
      </c>
      <c r="J18" s="152" t="s">
        <v>567</v>
      </c>
    </row>
    <row r="19" spans="1:10" s="71" customFormat="1" ht="45.75" customHeight="1">
      <c r="A19" s="176" t="s">
        <v>716</v>
      </c>
      <c r="B19" s="176" t="s">
        <v>717</v>
      </c>
      <c r="C19" s="176"/>
      <c r="D19" s="176"/>
      <c r="E19" s="176"/>
      <c r="F19" s="179"/>
      <c r="G19" s="176"/>
      <c r="H19" s="178"/>
      <c r="I19" s="176"/>
      <c r="J19" s="178"/>
    </row>
    <row r="20" spans="1:10">
      <c r="A20" s="176" t="s">
        <v>718</v>
      </c>
      <c r="B20" s="176" t="s">
        <v>719</v>
      </c>
      <c r="C20" s="176" t="s">
        <v>720</v>
      </c>
      <c r="D20" s="176" t="s">
        <v>721</v>
      </c>
      <c r="E20" s="176" t="s">
        <v>722</v>
      </c>
      <c r="F20" s="179" t="s">
        <v>723</v>
      </c>
      <c r="G20" s="176" t="s">
        <v>724</v>
      </c>
      <c r="H20" s="178" t="s">
        <v>725</v>
      </c>
      <c r="I20" s="176" t="s">
        <v>726</v>
      </c>
      <c r="J20" s="178" t="s">
        <v>727</v>
      </c>
    </row>
    <row r="21" spans="1:10" ht="25">
      <c r="A21" s="181" t="s">
        <v>728</v>
      </c>
      <c r="B21" s="181" t="s">
        <v>729</v>
      </c>
      <c r="C21" s="181"/>
      <c r="D21" s="181"/>
      <c r="E21" s="181"/>
      <c r="F21" s="183">
        <v>0</v>
      </c>
      <c r="G21" s="181"/>
      <c r="H21" s="182">
        <v>0</v>
      </c>
      <c r="I21" s="181"/>
      <c r="J21" s="182">
        <v>0</v>
      </c>
    </row>
    <row r="22" spans="1:10" ht="25">
      <c r="A22" s="176" t="s">
        <v>730</v>
      </c>
      <c r="B22" s="176" t="s">
        <v>731</v>
      </c>
      <c r="C22" s="176"/>
      <c r="D22" s="176"/>
      <c r="E22" s="176"/>
      <c r="F22" s="179"/>
      <c r="G22" s="176"/>
      <c r="H22" s="178"/>
      <c r="I22" s="176"/>
      <c r="J22" s="178"/>
    </row>
    <row r="23" spans="1:10">
      <c r="A23" s="176" t="s">
        <v>732</v>
      </c>
      <c r="B23" s="176" t="s">
        <v>733</v>
      </c>
      <c r="C23" s="176" t="s">
        <v>734</v>
      </c>
      <c r="D23" s="176" t="s">
        <v>735</v>
      </c>
      <c r="E23" s="176" t="s">
        <v>736</v>
      </c>
      <c r="F23" s="179" t="s">
        <v>737</v>
      </c>
      <c r="G23" s="176" t="s">
        <v>738</v>
      </c>
      <c r="H23" s="178" t="s">
        <v>739</v>
      </c>
      <c r="I23" s="176" t="s">
        <v>740</v>
      </c>
      <c r="J23" s="178" t="s">
        <v>741</v>
      </c>
    </row>
    <row r="24" spans="1:10" ht="25">
      <c r="A24" s="181" t="s">
        <v>742</v>
      </c>
      <c r="B24" s="181" t="s">
        <v>743</v>
      </c>
      <c r="C24" s="181"/>
      <c r="D24" s="181"/>
      <c r="E24" s="181"/>
      <c r="F24" s="183">
        <v>0</v>
      </c>
      <c r="G24" s="181"/>
      <c r="H24" s="182">
        <v>0</v>
      </c>
      <c r="I24" s="181"/>
      <c r="J24" s="182">
        <v>0</v>
      </c>
    </row>
    <row r="25" spans="1:10" ht="25">
      <c r="A25" s="181" t="s">
        <v>744</v>
      </c>
      <c r="B25" s="181" t="s">
        <v>745</v>
      </c>
      <c r="C25" s="181"/>
      <c r="D25" s="181"/>
      <c r="E25" s="181"/>
      <c r="F25" s="183">
        <v>0</v>
      </c>
      <c r="G25" s="181"/>
      <c r="H25" s="182">
        <v>0</v>
      </c>
      <c r="I25" s="181"/>
      <c r="J25" s="182">
        <v>0</v>
      </c>
    </row>
    <row r="26" spans="1:10" ht="25">
      <c r="A26" s="176" t="s">
        <v>746</v>
      </c>
      <c r="B26" s="176" t="s">
        <v>747</v>
      </c>
      <c r="C26" s="176"/>
      <c r="D26" s="176"/>
      <c r="E26" s="176"/>
      <c r="F26" s="179"/>
      <c r="G26" s="176"/>
      <c r="H26" s="178"/>
      <c r="I26" s="176"/>
      <c r="J26" s="178"/>
    </row>
    <row r="27" spans="1:10">
      <c r="A27" s="176" t="s">
        <v>748</v>
      </c>
      <c r="B27" s="176" t="s">
        <v>749</v>
      </c>
      <c r="C27" s="176" t="s">
        <v>750</v>
      </c>
      <c r="D27" s="176" t="s">
        <v>751</v>
      </c>
      <c r="E27" s="176" t="s">
        <v>752</v>
      </c>
      <c r="F27" s="179" t="s">
        <v>753</v>
      </c>
      <c r="G27" s="176" t="s">
        <v>754</v>
      </c>
      <c r="H27" s="178" t="s">
        <v>755</v>
      </c>
      <c r="I27" s="176" t="s">
        <v>756</v>
      </c>
      <c r="J27" s="178" t="s">
        <v>757</v>
      </c>
    </row>
    <row r="28" spans="1:10" ht="25">
      <c r="A28" s="181" t="s">
        <v>758</v>
      </c>
      <c r="B28" s="181" t="s">
        <v>759</v>
      </c>
      <c r="C28" s="181"/>
      <c r="D28" s="181"/>
      <c r="E28" s="181"/>
      <c r="F28" s="183">
        <v>0</v>
      </c>
      <c r="G28" s="181"/>
      <c r="H28" s="182">
        <v>0</v>
      </c>
      <c r="I28" s="181"/>
      <c r="J28" s="182">
        <v>0</v>
      </c>
    </row>
    <row r="29" spans="1:10" ht="25">
      <c r="A29" s="176" t="s">
        <v>760</v>
      </c>
      <c r="B29" s="176" t="s">
        <v>761</v>
      </c>
      <c r="C29" s="176"/>
      <c r="D29" s="176"/>
      <c r="E29" s="176"/>
      <c r="F29" s="179"/>
      <c r="G29" s="176"/>
      <c r="H29" s="178"/>
      <c r="I29" s="176"/>
      <c r="J29" s="178"/>
    </row>
    <row r="30" spans="1:10">
      <c r="A30" s="176" t="s">
        <v>762</v>
      </c>
      <c r="B30" s="176" t="s">
        <v>763</v>
      </c>
      <c r="C30" s="176" t="s">
        <v>764</v>
      </c>
      <c r="D30" s="176" t="s">
        <v>765</v>
      </c>
      <c r="E30" s="176" t="s">
        <v>766</v>
      </c>
      <c r="F30" s="179" t="s">
        <v>767</v>
      </c>
      <c r="G30" s="176" t="s">
        <v>768</v>
      </c>
      <c r="H30" s="178" t="s">
        <v>769</v>
      </c>
      <c r="I30" s="176" t="s">
        <v>770</v>
      </c>
      <c r="J30" s="178" t="s">
        <v>771</v>
      </c>
    </row>
    <row r="31" spans="1:10" ht="25">
      <c r="A31" s="181" t="s">
        <v>772</v>
      </c>
      <c r="B31" s="181" t="s">
        <v>773</v>
      </c>
      <c r="C31" s="181"/>
      <c r="D31" s="181"/>
      <c r="E31" s="181"/>
      <c r="F31" s="183">
        <v>0</v>
      </c>
      <c r="G31" s="181"/>
      <c r="H31" s="182">
        <v>0</v>
      </c>
      <c r="I31" s="181"/>
      <c r="J31" s="182">
        <v>0</v>
      </c>
    </row>
    <row r="32" spans="1:10" ht="25">
      <c r="A32" s="181" t="s">
        <v>774</v>
      </c>
      <c r="B32" s="181" t="s">
        <v>775</v>
      </c>
      <c r="C32" s="181"/>
      <c r="D32" s="181"/>
      <c r="E32" s="181"/>
      <c r="F32" s="183">
        <v>0</v>
      </c>
      <c r="G32" s="181"/>
      <c r="H32" s="182">
        <v>0</v>
      </c>
      <c r="I32" s="181"/>
      <c r="J32" s="182">
        <v>0</v>
      </c>
    </row>
    <row r="33" spans="1:10" s="156" customFormat="1" ht="45.75" customHeight="1">
      <c r="A33" s="73" t="s">
        <v>10</v>
      </c>
      <c r="B33" s="74"/>
      <c r="C33" s="75"/>
      <c r="D33" s="72"/>
      <c r="E33" s="72"/>
      <c r="F33" s="72"/>
      <c r="G33" s="72"/>
      <c r="H33" s="72"/>
      <c r="I33" s="76" t="s">
        <v>11</v>
      </c>
      <c r="J33" s="72"/>
    </row>
    <row r="34" spans="1:10">
      <c r="A34" s="77" t="s">
        <v>12</v>
      </c>
      <c r="B34" s="74"/>
      <c r="C34" s="75"/>
      <c r="D34" s="72"/>
      <c r="E34" s="72"/>
      <c r="F34" s="72"/>
      <c r="G34" s="72"/>
      <c r="H34" s="72"/>
      <c r="I34" s="78" t="s">
        <v>13</v>
      </c>
      <c r="J34" s="72"/>
    </row>
    <row r="35" spans="1:10">
      <c r="A35" s="74"/>
      <c r="B35" s="74"/>
      <c r="C35" s="75"/>
      <c r="D35" s="155"/>
      <c r="E35" s="155"/>
      <c r="F35" s="155"/>
      <c r="G35" s="155"/>
      <c r="H35" s="155"/>
      <c r="I35" s="75"/>
      <c r="J35" s="155"/>
    </row>
    <row r="36" spans="1:10">
      <c r="A36" s="158"/>
      <c r="B36" s="155"/>
      <c r="C36" s="155"/>
      <c r="D36" s="155"/>
      <c r="E36" s="155"/>
      <c r="F36" s="155"/>
      <c r="G36" s="72"/>
      <c r="H36" s="155"/>
      <c r="I36" s="155"/>
      <c r="J36" s="155"/>
    </row>
    <row r="37" spans="1:10">
      <c r="A37" s="158"/>
      <c r="B37" s="155"/>
      <c r="C37" s="155"/>
      <c r="D37" s="155"/>
      <c r="E37" s="155"/>
      <c r="F37" s="155"/>
      <c r="G37" s="155"/>
      <c r="H37" s="155"/>
      <c r="I37" s="155"/>
      <c r="J37" s="155"/>
    </row>
    <row r="38" spans="1:10">
      <c r="A38" s="158"/>
      <c r="B38" s="155"/>
      <c r="C38" s="155"/>
      <c r="D38" s="155"/>
      <c r="E38" s="155"/>
      <c r="F38" s="155"/>
      <c r="G38" s="155"/>
      <c r="H38" s="155"/>
      <c r="I38" s="155"/>
      <c r="J38" s="155"/>
    </row>
    <row r="39" spans="1:10">
      <c r="A39" s="195" t="s">
        <v>1118</v>
      </c>
      <c r="B39" s="195"/>
      <c r="C39" s="155"/>
      <c r="D39" s="155"/>
      <c r="E39" s="155"/>
      <c r="F39" s="155"/>
      <c r="G39" s="155"/>
      <c r="H39" s="155"/>
      <c r="I39" s="195" t="s">
        <v>1114</v>
      </c>
      <c r="J39" s="195"/>
    </row>
    <row r="40" spans="1:10" s="71" customFormat="1" ht="12.5">
      <c r="A40" s="237" t="s">
        <v>14</v>
      </c>
      <c r="B40" s="237"/>
      <c r="C40" s="72"/>
      <c r="D40" s="72"/>
      <c r="E40" s="72"/>
      <c r="F40" s="72"/>
      <c r="G40" s="72"/>
      <c r="H40" s="72"/>
      <c r="I40" s="188" t="s">
        <v>1087</v>
      </c>
      <c r="J40" s="189"/>
    </row>
    <row r="41" spans="1:10" s="71" customFormat="1" ht="12.5">
      <c r="A41" s="174" t="s">
        <v>1093</v>
      </c>
      <c r="B41" s="172"/>
      <c r="C41" s="72"/>
      <c r="D41" s="72"/>
      <c r="E41" s="72"/>
      <c r="F41" s="72"/>
      <c r="G41" s="72"/>
      <c r="H41" s="72"/>
      <c r="I41" s="81" t="s">
        <v>1094</v>
      </c>
      <c r="J41" s="72"/>
    </row>
    <row r="42" spans="1:10" s="71" customFormat="1" ht="12.5">
      <c r="A42" s="172" t="s">
        <v>1095</v>
      </c>
      <c r="B42" s="172"/>
      <c r="C42" s="72"/>
      <c r="D42" s="72"/>
      <c r="E42" s="72"/>
      <c r="F42" s="72"/>
      <c r="G42" s="72"/>
      <c r="H42" s="72"/>
      <c r="I42" s="72" t="s">
        <v>1096</v>
      </c>
      <c r="J42" s="72"/>
    </row>
    <row r="43" spans="1:10" s="71" customFormat="1" ht="12.5">
      <c r="A43" s="173"/>
      <c r="B43" s="72"/>
      <c r="C43" s="72"/>
      <c r="D43" s="72"/>
      <c r="E43" s="72"/>
      <c r="F43" s="72"/>
      <c r="G43" s="72"/>
      <c r="H43" s="72"/>
      <c r="I43" s="72"/>
      <c r="J43" s="72"/>
    </row>
    <row r="44" spans="1:10" s="71" customFormat="1" ht="12.5">
      <c r="A44" s="173"/>
      <c r="B44" s="72"/>
      <c r="C44" s="72"/>
      <c r="D44" s="72"/>
      <c r="E44" s="72"/>
      <c r="F44" s="72"/>
      <c r="G44" s="72"/>
      <c r="H44" s="72"/>
      <c r="I44" s="72"/>
      <c r="J44" s="72"/>
    </row>
    <row r="45" spans="1:10">
      <c r="A45" s="158"/>
      <c r="B45" s="155"/>
      <c r="C45" s="155"/>
      <c r="D45" s="155"/>
      <c r="E45" s="155"/>
      <c r="F45" s="155"/>
      <c r="G45" s="155"/>
      <c r="H45" s="155"/>
      <c r="I45" s="155"/>
      <c r="J45" s="155"/>
    </row>
    <row r="46" spans="1:10">
      <c r="A46" s="158"/>
      <c r="B46" s="155"/>
      <c r="C46" s="155"/>
      <c r="D46" s="155"/>
      <c r="E46" s="155"/>
      <c r="F46" s="155"/>
      <c r="G46" s="155"/>
      <c r="H46" s="155"/>
      <c r="I46" s="155"/>
      <c r="J46" s="155"/>
    </row>
  </sheetData>
  <mergeCells count="28">
    <mergeCell ref="A40:B40"/>
    <mergeCell ref="F17:F18"/>
    <mergeCell ref="G17:H17"/>
    <mergeCell ref="I17:J17"/>
    <mergeCell ref="A17:A18"/>
    <mergeCell ref="B17:B18"/>
    <mergeCell ref="C17:C18"/>
    <mergeCell ref="D17:D18"/>
    <mergeCell ref="E17:E18"/>
    <mergeCell ref="I39:J39"/>
    <mergeCell ref="A39:B39"/>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8J3K1QZtWqmrWRMfQ9IJJHjz34XRC0CRlvy1f+ic/nY=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gzTedZBlLhrfzO9HhR/Z4zAhVF6cVXzgDNvKyrfjqJs=</DigestValue>
    </Reference>
  </SignedInfo>
  <SignatureValue>K0jC79KSkenNWaXbzVA/XgtgAWukZTzOT9xkyyr5K/vFZ1Vbmc90lNFzS3A3KqlD8Blqg7GsxtY+
DiT45qfGfvl0KXoiGkRbK47PF+7SOwt5LDqsaRjQ5H1UifwYJF1Mi9Wh0vmGHWumpnhSPMcYSN9+
KkVXWsN9pMSzq6K1W8Cp5d4jkWpliIuvO1Xg6Po3izWK9DKKcwleIg/cVsHJFqrjWZymD3WFabsj
vq7/zL2luc56yyV5680bP/zacM/N+sYRWEADA6EIGtG+Gw0fyVA4wQ6g2HldgaKnaWBAXd4SK10R
qrcmSviRIiJSMnMOjLxktjqDtkKFv7p0ffaw+w==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IL8odm1F4DXJ8JZjc1UrvS13RjuHVTjytVAUwN5Nlf4=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N2Vac1RLljW+TH7c/sFVncb2p2S5EVYbqDx54ZQm3Ig=</DigestValue>
      </Reference>
      <Reference URI="/xl/drawings/drawing2.xml?ContentType=application/vnd.openxmlformats-officedocument.drawing+xml">
        <DigestMethod Algorithm="http://www.w3.org/2001/04/xmlenc#sha256"/>
        <DigestValue>kMQEc3Yswmcm+lMjsqVtn2G94zKzVo7SCwyslhmJF/Q=</DigestValue>
      </Reference>
      <Reference URI="/xl/drawings/drawing3.xml?ContentType=application/vnd.openxmlformats-officedocument.drawing+xml">
        <DigestMethod Algorithm="http://www.w3.org/2001/04/xmlenc#sha256"/>
        <DigestValue>AzbnX4Mpgp7SRrlZArIGxhqNviu3+aErOnk7tGU3Cqg=</DigestValue>
      </Reference>
      <Reference URI="/xl/drawings/drawing4.xml?ContentType=application/vnd.openxmlformats-officedocument.drawing+xml">
        <DigestMethod Algorithm="http://www.w3.org/2001/04/xmlenc#sha256"/>
        <DigestValue>RGMy07zZN2PXPAxJwY1zlHDpTrdbTGbjz4PkpVmXEDs=</DigestValue>
      </Reference>
      <Reference URI="/xl/drawings/drawing5.xml?ContentType=application/vnd.openxmlformats-officedocument.drawing+xml">
        <DigestMethod Algorithm="http://www.w3.org/2001/04/xmlenc#sha256"/>
        <DigestValue>Ztp+fzc05LViT9iLtlLj7I97t9HnqgEH7VyVxGBRneo=</DigestValue>
      </Reference>
      <Reference URI="/xl/drawings/drawing6.xml?ContentType=application/vnd.openxmlformats-officedocument.drawing+xml">
        <DigestMethod Algorithm="http://www.w3.org/2001/04/xmlenc#sha256"/>
        <DigestValue>3i9fZG29heLMVBvosIhyFzUJTMzXavFoQxCznHMVI8c=</DigestValue>
      </Reference>
      <Reference URI="/xl/drawings/drawing7.xml?ContentType=application/vnd.openxmlformats-officedocument.drawing+xml">
        <DigestMethod Algorithm="http://www.w3.org/2001/04/xmlenc#sha256"/>
        <DigestValue>Y2s9guLfENPq4Mc9C6LAjppCLHUrzdP6KI4OjbriWTk=</DigestValue>
      </Reference>
      <Reference URI="/xl/drawings/vmlDrawing1.vml?ContentType=application/vnd.openxmlformats-officedocument.vmlDrawing">
        <DigestMethod Algorithm="http://www.w3.org/2001/04/xmlenc#sha256"/>
        <DigestValue>JDUKplwXSXoKEYOONnyEprEtCyJWCaM0Zn00tMp6/+0=</DigestValue>
      </Reference>
      <Reference URI="/xl/drawings/vmlDrawing2.vml?ContentType=application/vnd.openxmlformats-officedocument.vmlDrawing">
        <DigestMethod Algorithm="http://www.w3.org/2001/04/xmlenc#sha256"/>
        <DigestValue>+G51vZo3/yzN3QPip2TN6YWGWYkFqp2GhWkiA/jZ/Qs=</DigestValue>
      </Reference>
      <Reference URI="/xl/drawings/vmlDrawing3.vml?ContentType=application/vnd.openxmlformats-officedocument.vmlDrawing">
        <DigestMethod Algorithm="http://www.w3.org/2001/04/xmlenc#sha256"/>
        <DigestValue>T+6vo6X61czc35wlhNRqj7BvOS1yR0EGDXNexldPYmM=</DigestValue>
      </Reference>
      <Reference URI="/xl/drawings/vmlDrawing4.vml?ContentType=application/vnd.openxmlformats-officedocument.vmlDrawing">
        <DigestMethod Algorithm="http://www.w3.org/2001/04/xmlenc#sha256"/>
        <DigestValue>UpIXt5mEU+1qOBzil73p5XpdaGvx7hwRXm94nebwC0Q=</DigestValue>
      </Reference>
      <Reference URI="/xl/drawings/vmlDrawing5.vml?ContentType=application/vnd.openxmlformats-officedocument.vmlDrawing">
        <DigestMethod Algorithm="http://www.w3.org/2001/04/xmlenc#sha256"/>
        <DigestValue>JlwTQUNjDkt4WMJ+vkz0Fqtxs8SWpUCZo3pdbgDuy4g=</DigestValue>
      </Reference>
      <Reference URI="/xl/drawings/vmlDrawing6.vml?ContentType=application/vnd.openxmlformats-officedocument.vmlDrawing">
        <DigestMethod Algorithm="http://www.w3.org/2001/04/xmlenc#sha256"/>
        <DigestValue>A30DTzMpyByAjzh1GdvemrMDTmATRRPkD3LZ2YtLk78=</DigestValue>
      </Reference>
      <Reference URI="/xl/drawings/vmlDrawing7.vml?ContentType=application/vnd.openxmlformats-officedocument.vmlDrawing">
        <DigestMethod Algorithm="http://www.w3.org/2001/04/xmlenc#sha256"/>
        <DigestValue>zhDi++dghjxOXG3sBw5tJjajaqL+GI9guMJBPFkhv9U=</DigestValue>
      </Reference>
      <Reference URI="/xl/media/image1.emf?ContentType=image/x-emf">
        <DigestMethod Algorithm="http://www.w3.org/2001/04/xmlenc#sha256"/>
        <DigestValue>0QEy/28DZ+q0EbUHhw0v9Zg2wR0uofaonCgJ/0XCfx0=</DigestValue>
      </Reference>
      <Reference URI="/xl/media/image2.emf?ContentType=image/x-emf">
        <DigestMethod Algorithm="http://www.w3.org/2001/04/xmlenc#sha256"/>
        <DigestValue>0QEy/28DZ+q0EbUHhw0v9Zg2wR0uofaonCgJ/0XCfx0=</DigestValue>
      </Reference>
      <Reference URI="/xl/printerSettings/printerSettings1.bin?ContentType=application/vnd.openxmlformats-officedocument.spreadsheetml.printerSettings">
        <DigestMethod Algorithm="http://www.w3.org/2001/04/xmlenc#sha256"/>
        <DigestValue>5/C9UMUY86INuVDar4xuE0M+yG/a+XhTcycXUZaZ5eE=</DigestValue>
      </Reference>
      <Reference URI="/xl/printerSettings/printerSettings2.bin?ContentType=application/vnd.openxmlformats-officedocument.spreadsheetml.printerSettings">
        <DigestMethod Algorithm="http://www.w3.org/2001/04/xmlenc#sha256"/>
        <DigestValue>GCAA39IRHsBEnqJryuBU4bO1nxNTrulKVmUw1UiZym8=</DigestValue>
      </Reference>
      <Reference URI="/xl/printerSettings/printerSettings3.bin?ContentType=application/vnd.openxmlformats-officedocument.spreadsheetml.printerSettings">
        <DigestMethod Algorithm="http://www.w3.org/2001/04/xmlenc#sha256"/>
        <DigestValue>sSq/A47HQyJ6EF0I75mVJTWL7EQ1zvM9Qb2KHAmMMAg=</DigestValue>
      </Reference>
      <Reference URI="/xl/printerSettings/printerSettings4.bin?ContentType=application/vnd.openxmlformats-officedocument.spreadsheetml.printerSettings">
        <DigestMethod Algorithm="http://www.w3.org/2001/04/xmlenc#sha256"/>
        <DigestValue>NzAAEeyokY63i6Qj2IOFaR0RIy1rZnkOZoHEf37p1Wk=</DigestValue>
      </Reference>
      <Reference URI="/xl/printerSettings/printerSettings5.bin?ContentType=application/vnd.openxmlformats-officedocument.spreadsheetml.printerSettings">
        <DigestMethod Algorithm="http://www.w3.org/2001/04/xmlenc#sha256"/>
        <DigestValue>RbIUArqZ8UgqJ2uw/Hqi+IetBOTTRjQzH+FsrE8p9LA=</DigestValue>
      </Reference>
      <Reference URI="/xl/printerSettings/printerSettings6.bin?ContentType=application/vnd.openxmlformats-officedocument.spreadsheetml.printerSettings">
        <DigestMethod Algorithm="http://www.w3.org/2001/04/xmlenc#sha256"/>
        <DigestValue>tWPmtL4YCuutzr7buTQW8SBYPnGFCsDSl8g3FV0Bo+E=</DigestValue>
      </Reference>
      <Reference URI="/xl/printerSettings/printerSettings7.bin?ContentType=application/vnd.openxmlformats-officedocument.spreadsheetml.printerSettings">
        <DigestMethod Algorithm="http://www.w3.org/2001/04/xmlenc#sha256"/>
        <DigestValue>CEiJiXsfvSiyp1oJKD5ULqxbpnOPa+BEMTpiv70ALH0=</DigestValue>
      </Reference>
      <Reference URI="/xl/printerSettings/printerSettings8.bin?ContentType=application/vnd.openxmlformats-officedocument.spreadsheetml.printerSettings">
        <DigestMethod Algorithm="http://www.w3.org/2001/04/xmlenc#sha256"/>
        <DigestValue>ZpC9oENDLUgtfTmPNJegH6WSGXO01qYeZRK3ZzTWq84=</DigestValue>
      </Reference>
      <Reference URI="/xl/sharedStrings.xml?ContentType=application/vnd.openxmlformats-officedocument.spreadsheetml.sharedStrings+xml">
        <DigestMethod Algorithm="http://www.w3.org/2001/04/xmlenc#sha256"/>
        <DigestValue>5NcP423OUDtvSiM3cIWKs5vfbfLvdzUCYDpSBulx1Yw=</DigestValue>
      </Reference>
      <Reference URI="/xl/styles.xml?ContentType=application/vnd.openxmlformats-officedocument.spreadsheetml.styles+xml">
        <DigestMethod Algorithm="http://www.w3.org/2001/04/xmlenc#sha256"/>
        <DigestValue>2tU0LCyLhDsOR/7btm4TIHVDifZoMWnezGL+F72jt44=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p3mxL6se/KqpgUWkkqJbcWBiVqi9Z178RFeR7hUsDrE=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rLFFamvyluRY37gQNZUsOyikZMqM2v3gahAR5BmkmMo=</DigestValue>
      </Reference>
      <Reference URI="/xl/worksheets/sheet2.xml?ContentType=application/vnd.openxmlformats-officedocument.spreadsheetml.worksheet+xml">
        <DigestMethod Algorithm="http://www.w3.org/2001/04/xmlenc#sha256"/>
        <DigestValue>HLhTQnWrUTZz4mNWoTL2vZQ9LZx2NofIx+rbMpc3da0=</DigestValue>
      </Reference>
      <Reference URI="/xl/worksheets/sheet3.xml?ContentType=application/vnd.openxmlformats-officedocument.spreadsheetml.worksheet+xml">
        <DigestMethod Algorithm="http://www.w3.org/2001/04/xmlenc#sha256"/>
        <DigestValue>pxyJqTVPkuJ4pzKDhCpj5kDASjlMQUfWnKY31+wxVmI=</DigestValue>
      </Reference>
      <Reference URI="/xl/worksheets/sheet4.xml?ContentType=application/vnd.openxmlformats-officedocument.spreadsheetml.worksheet+xml">
        <DigestMethod Algorithm="http://www.w3.org/2001/04/xmlenc#sha256"/>
        <DigestValue>wdsX38d8AGxfRX1sB03nNQUhkSY1PHO3rT69il2hacc=</DigestValue>
      </Reference>
      <Reference URI="/xl/worksheets/sheet5.xml?ContentType=application/vnd.openxmlformats-officedocument.spreadsheetml.worksheet+xml">
        <DigestMethod Algorithm="http://www.w3.org/2001/04/xmlenc#sha256"/>
        <DigestValue>lhRqoUC7GMhFkzDtoYjx/H5EKImFTrgYPnvWmpZxPn8=</DigestValue>
      </Reference>
      <Reference URI="/xl/worksheets/sheet6.xml?ContentType=application/vnd.openxmlformats-officedocument.spreadsheetml.worksheet+xml">
        <DigestMethod Algorithm="http://www.w3.org/2001/04/xmlenc#sha256"/>
        <DigestValue>csIKBnz6/1NJWtvruu7esXAk01gHlVM6cksuBR0MTN8=</DigestValue>
      </Reference>
      <Reference URI="/xl/worksheets/sheet7.xml?ContentType=application/vnd.openxmlformats-officedocument.spreadsheetml.worksheet+xml">
        <DigestMethod Algorithm="http://www.w3.org/2001/04/xmlenc#sha256"/>
        <DigestValue>s6fJkoK3YaPSy05yVrvcoSw0XGjLAVky9zB33lvNHVA=</DigestValue>
      </Reference>
      <Reference URI="/xl/worksheets/sheet8.xml?ContentType=application/vnd.openxmlformats-officedocument.spreadsheetml.worksheet+xml">
        <DigestMethod Algorithm="http://www.w3.org/2001/04/xmlenc#sha256"/>
        <DigestValue>NI/RYkL5BMH5Xsvyj0MrUmasKm+6LH1btOwAmAHE/Nw=</DigestValue>
      </Reference>
    </Manifest>
    <SignatureProperties>
      <SignatureProperty Id="idSignatureTime" Target="#idPackageSignature">
        <mdssi:SignatureTime xmlns:mdssi="http://schemas.openxmlformats.org/package/2006/digital-signature">
          <mdssi:Format>YYYY-MM-DDThh:mm:ssTZD</mdssi:Format>
          <mdssi:Value>2024-10-03T05:00:40Z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2024-10-03T05:00:40Z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2024-10-03T05:00:38Z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