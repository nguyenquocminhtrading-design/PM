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1 VFMVF1\2021 VF1\03. Mar\Quarterly\FMS\"/>
    </mc:Choice>
  </mc:AlternateContent>
  <xr:revisionPtr revIDLastSave="0" documentId="13_ncr:1_{548AA542-0E95-4A08-AC74-D65ADB85141A}"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6">BCDanhMucDauTu_06029!$A$1:$G$106</definedName>
    <definedName name="_xlnm.Print_Area" localSheetId="8">BCHoatDongVay_06026!$A$1:$K$48</definedName>
    <definedName name="_xlnm.Print_Area" localSheetId="5">BCKetQuaHoatDong_06028!$A:$F</definedName>
    <definedName name="_xlnm.Print_Area" localSheetId="3">BCLCGT_06262!$A$1:$E$80</definedName>
    <definedName name="_xlnm.Print_Area" localSheetId="4">BCTaiSan_06027!$A$1:$L$108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6">BCDanhMucDauTu_06029!$18:$18</definedName>
    <definedName name="_xlnm.Print_Titles" localSheetId="8">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 i="38" l="1"/>
  <c r="D17" i="38"/>
  <c r="B14" i="38"/>
  <c r="B12" i="38"/>
  <c r="B10" i="38"/>
  <c r="B13" i="38"/>
  <c r="B11" i="38"/>
  <c r="B9" i="38"/>
  <c r="B8" i="38"/>
  <c r="B7" i="38"/>
  <c r="A4" i="38"/>
  <c r="D67" i="32" l="1"/>
  <c r="D66" i="32"/>
  <c r="A67" i="32"/>
  <c r="A66" i="32"/>
  <c r="A65" i="32"/>
  <c r="D55" i="32"/>
  <c r="D54" i="32"/>
  <c r="A55" i="32"/>
  <c r="A54" i="32"/>
  <c r="C14" i="32"/>
  <c r="C12" i="32"/>
  <c r="C10" i="32"/>
  <c r="C13" i="32"/>
  <c r="C11" i="32"/>
  <c r="C9" i="32"/>
  <c r="C8" i="32"/>
  <c r="C7" i="32"/>
  <c r="A5" i="32"/>
  <c r="E18" i="32"/>
  <c r="D18" i="32"/>
  <c r="D65" i="32" l="1"/>
</calcChain>
</file>

<file path=xl/sharedStrings.xml><?xml version="1.0" encoding="utf-8"?>
<sst xmlns="http://schemas.openxmlformats.org/spreadsheetml/2006/main" count="1271" uniqueCount="874">
  <si>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</si>
  <si>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</si>
  <si>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</si>
  <si>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</si>
  <si>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</si>
  <si>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</si>
  <si>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</si>
  <si>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</si>
  <si>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</si>
  <si>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</si>
  <si>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</si>
  <si>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</si>
  <si>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</si>
  <si>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</si>
  <si>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</si>
  <si>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</si>
  <si>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</si>
  <si>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</si>
  <si>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</si>
  <si>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</si>
  <si>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</si>
  <si>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</si>
  <si>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</si>
  <si>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</si>
  <si>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</si>
  <si>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</si>
  <si>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</si>
  <si>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</si>
  <si>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</si>
  <si>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</si>
  <si>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</si>
  <si>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</si>
  <si>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</si>
  <si>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</si>
  <si>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</si>
  <si>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</si>
  <si>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</si>
  <si>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</si>
  <si>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</si>
  <si>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</si>
  <si>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</si>
  <si>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</si>
  <si>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</si>
  <si>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</si>
  <si>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</si>
  <si>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</si>
  <si>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</si>
  <si>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</si>
  <si>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</si>
  <si>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</si>
  <si>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</si>
  <si>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</si>
  <si>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</si>
  <si>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</si>
  <si>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</si>
  <si>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</si>
  <si>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</si>
  <si>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</si>
  <si>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</si>
  <si>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</si>
  <si>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</si>
  <si>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</si>
  <si>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</si>
  <si>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</si>
  <si>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</si>
  <si>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</si>
  <si>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</si>
  <si>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</si>
  <si>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</si>
  <si>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</si>
  <si>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</si>
  <si>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</si>
  <si>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</si>
  <si>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</si>
  <si>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</si>
  <si>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</si>
  <si>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</si>
  <si>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</si>
  <si>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</si>
  <si>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</si>
  <si>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</si>
  <si>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</si>
  <si>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</si>
  <si>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</si>
  <si>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</si>
  <si>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</si>
  <si>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</si>
  <si>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</si>
  <si>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</si>
  <si>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</si>
  <si>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</si>
  <si>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</si>
  <si>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</si>
  <si>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</si>
  <si>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</si>
  <si>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</si>
  <si>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</si>
  <si>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</si>
  <si>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</si>
  <si>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</si>
  <si>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</si>
  <si>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</si>
  <si>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</si>
  <si>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</si>
  <si>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</si>
  <si>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</si>
  <si>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</si>
  <si>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</si>
  <si>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</si>
  <si>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</si>
  <si>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</si>
  <si>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</si>
  <si>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</si>
  <si>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</si>
  <si>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</si>
  <si>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</si>
  <si>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</si>
  <si>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</si>
  <si>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</si>
  <si>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</si>
  <si>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</si>
  <si>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</si>
  <si>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</si>
  <si>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</si>
  <si>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</si>
  <si>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</si>
  <si>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</si>
  <si>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</si>
  <si>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</si>
  <si>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</si>
  <si>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</si>
  <si>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</si>
  <si>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</si>
  <si>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</si>
  <si>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</si>
  <si>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</si>
  <si>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</si>
  <si>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</si>
  <si>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</si>
  <si>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</si>
  <si>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</si>
  <si>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</si>
  <si>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</si>
  <si>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</si>
  <si>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</si>
  <si>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</si>
  <si>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</si>
  <si>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</si>
  <si>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</si>
  <si>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</si>
  <si>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</si>
  <si>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</si>
  <si>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</si>
  <si>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</si>
  <si>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</si>
  <si>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</si>
  <si>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</si>
  <si>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</si>
  <si>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</si>
  <si>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</si>
  <si>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</si>
  <si>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</si>
  <si>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</si>
  <si>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</si>
  <si>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</si>
  <si>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</si>
  <si>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</si>
  <si>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</si>
  <si>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</si>
  <si>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</si>
  <si>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</si>
  <si>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</si>
  <si>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</si>
  <si>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</si>
  <si>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</si>
  <si>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</si>
  <si>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</si>
  <si>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</si>
  <si>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</si>
  <si>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</si>
  <si>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</si>
  <si>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</si>
  <si>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</si>
  <si>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</si>
  <si>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</si>
  <si>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</si>
  <si>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</si>
  <si>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</si>
  <si>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</si>
  <si>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</si>
  <si>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</si>
  <si>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</si>
  <si>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</si>
  <si>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</si>
  <si>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</si>
  <si>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</si>
  <si>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</si>
  <si>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</si>
  <si>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</si>
  <si>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</si>
  <si>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</si>
  <si>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</si>
  <si>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</si>
  <si>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</si>
  <si>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</si>
  <si>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</si>
  <si>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</si>
  <si>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</si>
  <si>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</si>
  <si>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</si>
  <si>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</si>
  <si>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</si>
  <si>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</si>
  <si>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</si>
  <si>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</si>
  <si>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</si>
  <si>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</si>
  <si>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</si>
  <si>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</si>
  <si>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</si>
  <si>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</si>
  <si>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</si>
  <si>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</si>
  <si>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</si>
  <si>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</si>
  <si>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Chứng khoán Việt Nam</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</si>
  <si>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</si>
  <si>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</si>
  <si>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</si>
  <si>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</si>
  <si>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</si>
  <si>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</si>
  <si>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</si>
  <si>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</si>
  <si>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</si>
  <si>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</si>
  <si>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</si>
  <si>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</si>
  <si>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</si>
  <si>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</si>
  <si>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</si>
  <si>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</si>
  <si>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</si>
  <si>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</si>
  <si>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</si>
  <si>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</si>
  <si>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</si>
  <si>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</si>
  <si>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</si>
  <si>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</si>
  <si>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</si>
  <si>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</si>
  <si>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</si>
  <si>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</si>
  <si>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</si>
  <si>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</si>
  <si>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</si>
  <si>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</si>
  <si>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</si>
  <si>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</si>
  <si>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</si>
  <si>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</si>
  <si>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</si>
  <si>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</si>
  <si>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</si>
  <si>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</si>
  <si>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</si>
  <si>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</si>
  <si>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</si>
  <si>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</si>
  <si>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</si>
  <si>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</si>
  <si>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</si>
  <si>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</si>
  <si>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</si>
  <si>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</si>
  <si>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</si>
  <si>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</si>
  <si>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</si>
  <si>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</si>
  <si>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</si>
  <si>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</si>
  <si>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</si>
  <si>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</si>
  <si>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</si>
  <si>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</si>
  <si>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</si>
  <si>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</si>
  <si>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</si>
  <si>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</si>
  <si>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</si>
  <si>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</si>
  <si>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</si>
  <si>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</si>
  <si>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</si>
  <si>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</si>
  <si>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</si>
  <si>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</si>
  <si>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</si>
  <si>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</si>
  <si>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</si>
  <si>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</si>
  <si>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</si>
  <si>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</si>
  <si>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</si>
  <si>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</si>
  <si>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</si>
  <si>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</si>
  <si>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</si>
  <si>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</si>
  <si>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</si>
  <si>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</si>
  <si>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</si>
  <si>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</si>
  <si>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</si>
  <si>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</si>
  <si>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</si>
  <si>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</si>
  <si>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</si>
  <si>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</si>
  <si>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</si>
  <si>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</si>
  <si>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</si>
  <si>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</si>
  <si>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</si>
  <si>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</si>
  <si>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</si>
  <si>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</si>
  <si>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</si>
  <si>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</si>
  <si>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</si>
  <si>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</si>
  <si>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</si>
  <si>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</si>
  <si>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</si>
  <si>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</si>
  <si>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</si>
  <si>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</si>
  <si>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</si>
  <si>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</si>
  <si>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</si>
  <si>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</si>
  <si>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</si>
  <si>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</si>
  <si>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</si>
  <si>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</si>
  <si>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</si>
  <si>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</si>
  <si>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</si>
  <si>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</si>
  <si>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</si>
  <si>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</si>
  <si>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</si>
  <si>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</si>
  <si>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</si>
  <si>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</si>
  <si>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</si>
  <si>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</si>
  <si>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</si>
  <si>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</si>
  <si>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</si>
  <si>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</si>
  <si>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</si>
  <si>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</si>
  <si>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</si>
  <si>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</si>
  <si>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</si>
  <si>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</si>
  <si>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</si>
  <si>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</si>
  <si>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</si>
  <si>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</si>
  <si>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</si>
  <si>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</si>
  <si>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</si>
  <si>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</si>
  <si>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</si>
  <si>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</si>
  <si>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</si>
  <si>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</si>
  <si>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</si>
  <si>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</si>
  <si>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</si>
  <si>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</si>
  <si>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</si>
  <si>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</si>
  <si>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</si>
  <si>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</si>
  <si>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</si>
  <si>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</si>
  <si>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</si>
  <si>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</si>
  <si>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</si>
  <si>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</si>
  <si>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</si>
  <si>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</si>
  <si>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</si>
  <si>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</si>
  <si>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</si>
  <si>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</si>
  <si>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</si>
  <si>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</si>
  <si>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</si>
  <si>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</si>
  <si>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</si>
  <si>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</si>
  <si>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</si>
  <si>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</si>
  <si>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</si>
  <si>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</si>
  <si>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</si>
  <si>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</si>
  <si>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</si>
  <si>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</si>
  <si>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</si>
  <si>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</si>
  <si>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</si>
  <si>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</si>
  <si>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</si>
  <si>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</si>
  <si>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</si>
  <si>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</si>
  <si>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</si>
  <si>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</si>
  <si>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</si>
  <si>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</si>
  <si>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</si>
  <si>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</si>
  <si>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</si>
  <si>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</si>
  <si>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</si>
  <si>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</si>
  <si>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</si>
  <si>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</si>
  <si>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</si>
  <si>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</si>
  <si>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</si>
  <si>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</si>
  <si>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</si>
  <si>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</si>
  <si>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</si>
  <si>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</si>
  <si>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</si>
  <si>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</si>
  <si>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</si>
  <si>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</si>
  <si>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</si>
  <si>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</si>
  <si>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</si>
  <si>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</si>
  <si>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</si>
  <si>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</si>
  <si>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</si>
  <si>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</si>
  <si>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</si>
  <si>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</si>
  <si>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</si>
  <si>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</si>
  <si>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</si>
  <si>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</si>
  <si>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</si>
  <si>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</si>
  <si>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</si>
  <si>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</si>
  <si>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</si>
  <si>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</si>
  <si>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</si>
  <si>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</si>
  <si>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</si>
  <si>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</si>
  <si>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</si>
  <si>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</si>
  <si>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</si>
  <si>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</si>
  <si>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</si>
  <si>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</si>
  <si>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</si>
  <si>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</si>
  <si>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</si>
  <si>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</si>
  <si>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</si>
  <si>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</si>
  <si>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</si>
  <si>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</si>
  <si>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</si>
  <si>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</si>
  <si>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</si>
  <si>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</si>
  <si>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</si>
  <si>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</si>
  <si>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</si>
  <si>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</si>
  <si>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</si>
  <si>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</si>
  <si>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</si>
  <si>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</si>
  <si>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</si>
  <si>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</si>
  <si>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</si>
  <si>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</si>
  <si>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</si>
  <si>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</si>
  <si>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</si>
  <si>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</si>
  <si>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</si>
  <si>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</si>
  <si>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</si>
  <si>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</si>
  <si>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</si>
  <si>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</si>
  <si>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</si>
  <si>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</si>
  <si>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</si>
  <si>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</si>
  <si>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</si>
  <si>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</si>
  <si>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</si>
  <si>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</si>
  <si>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</si>
  <si>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</si>
  <si>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</si>
  <si>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</si>
  <si>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</si>
  <si>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</si>
  <si>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</si>
  <si>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</si>
  <si>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</si>
  <si>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</si>
  <si>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</si>
  <si>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</si>
  <si>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</si>
  <si>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</si>
  <si>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</si>
  <si>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</si>
  <si>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</si>
  <si>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</si>
  <si>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</si>
  <si>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</si>
  <si>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</si>
  <si>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</si>
  <si>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</si>
  <si>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</si>
  <si>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</si>
  <si>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</si>
  <si>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</si>
  <si>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</si>
  <si>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</si>
  <si>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</si>
  <si>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</si>
  <si>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</si>
  <si>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</si>
  <si>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</si>
  <si>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</si>
  <si>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</si>
  <si>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</si>
  <si>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</si>
  <si>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</si>
  <si>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</si>
  <si>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</si>
  <si>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</si>
  <si>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</si>
  <si>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</si>
  <si>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</si>
  <si>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</si>
  <si>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</si>
  <si>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</si>
  <si>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</si>
  <si>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</si>
  <si>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</si>
  <si>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</si>
  <si>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</si>
  <si>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</si>
  <si>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</si>
  <si>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</si>
  <si>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</si>
  <si>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</si>
  <si>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</si>
  <si>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</si>
  <si>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</si>
  <si>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</si>
  <si>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</si>
  <si>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</si>
  <si>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</si>
  <si>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</si>
  <si>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</si>
  <si>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</si>
  <si>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</si>
  <si>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</si>
  <si>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</si>
  <si>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</si>
  <si>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</si>
  <si>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</si>
  <si>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</si>
  <si>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</si>
  <si>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</si>
  <si>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</si>
  <si>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</si>
  <si>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</si>
  <si>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</si>
  <si>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</si>
  <si>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</si>
  <si>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</si>
  <si>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</si>
  <si>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</si>
  <si>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</si>
  <si>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</si>
  <si>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</si>
  <si>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</si>
  <si>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</si>
  <si>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</si>
  <si>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</si>
  <si>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</si>
  <si>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</si>
  <si>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</si>
  <si>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</si>
  <si>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</si>
  <si>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</si>
  <si>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</si>
  <si>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</si>
  <si>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</si>
  <si>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</si>
  <si>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</si>
  <si>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</si>
  <si>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</si>
  <si>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</si>
  <si>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</si>
  <si>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</si>
  <si>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</si>
  <si>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</si>
  <si>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</si>
  <si>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</si>
  <si>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</si>
  <si>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</si>
  <si>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</si>
  <si>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</si>
  <si>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</si>
  <si>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</si>
  <si>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</si>
  <si>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</si>
  <si>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</si>
  <si>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</si>
  <si>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</si>
  <si>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</si>
  <si>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</si>
  <si>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</si>
  <si>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</si>
  <si>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</si>
  <si>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</si>
  <si>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</si>
  <si>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</si>
  <si>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</si>
  <si>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</si>
  <si>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</si>
  <si>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</si>
  <si>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</si>
  <si>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</si>
  <si>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</si>
  <si>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</si>
  <si>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</si>
  <si>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</si>
  <si>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</si>
  <si>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</si>
  <si>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</si>
  <si>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</si>
  <si>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</si>
  <si>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</si>
  <si>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</si>
  <si>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</si>
  <si>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</si>
  <si>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</si>
  <si>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</si>
  <si>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</si>
  <si>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</si>
  <si>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</si>
  <si>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</si>
  <si>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</si>
  <si>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</si>
  <si>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</si>
  <si>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</si>
  <si>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</si>
  <si>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</si>
  <si>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</si>
  <si>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</si>
  <si>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</si>
  <si>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</si>
  <si>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</si>
  <si>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</si>
  <si>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</si>
  <si>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</si>
  <si>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</si>
  <si>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</si>
  <si>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</si>
  <si>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</si>
  <si>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</si>
  <si>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</si>
  <si>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</si>
  <si>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</si>
  <si>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</si>
  <si>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</si>
  <si>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</si>
  <si>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</si>
  <si>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</si>
  <si>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</si>
  <si>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</si>
  <si>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</si>
  <si>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</si>
  <si>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</si>
  <si>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</si>
  <si>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</si>
  <si>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</si>
  <si>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</si>
  <si>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</si>
  <si>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</si>
  <si>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</si>
  <si>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</si>
  <si>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</si>
  <si>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</si>
  <si>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</si>
  <si>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ASM</t>
  </si>
  <si>
    <t>BID</t>
  </si>
  <si>
    <t>CTG</t>
  </si>
  <si>
    <t>CTR</t>
  </si>
  <si>
    <t>DHC</t>
  </si>
  <si>
    <t>DPM</t>
  </si>
  <si>
    <t>DRC</t>
  </si>
  <si>
    <t>DXG</t>
  </si>
  <si>
    <t>FPT</t>
  </si>
  <si>
    <t>GAS</t>
  </si>
  <si>
    <t>GIL</t>
  </si>
  <si>
    <t>HAH</t>
  </si>
  <si>
    <t>HDC</t>
  </si>
  <si>
    <t>HPG</t>
  </si>
  <si>
    <t>KBC</t>
  </si>
  <si>
    <t>KDH</t>
  </si>
  <si>
    <t>LHG</t>
  </si>
  <si>
    <t>MBB</t>
  </si>
  <si>
    <t>MSN</t>
  </si>
  <si>
    <t>MWG</t>
  </si>
  <si>
    <t>NLG</t>
  </si>
  <si>
    <t>NTC</t>
  </si>
  <si>
    <t>NVL</t>
  </si>
  <si>
    <t>PNJ</t>
  </si>
  <si>
    <t>SAB</t>
  </si>
  <si>
    <t>SIP</t>
  </si>
  <si>
    <t>SMC</t>
  </si>
  <si>
    <t>STB</t>
  </si>
  <si>
    <t>SZC</t>
  </si>
  <si>
    <t>TCB</t>
  </si>
  <si>
    <t>TIP</t>
  </si>
  <si>
    <t>VCB</t>
  </si>
  <si>
    <t>VCS</t>
  </si>
  <si>
    <t>VHM</t>
  </si>
  <si>
    <t>VIC</t>
  </si>
  <si>
    <t>VNM</t>
  </si>
  <si>
    <t>VPB</t>
  </si>
  <si>
    <t>VRE</t>
  </si>
  <si>
    <t>TỔNG
	TOTAL</t>
  </si>
  <si>
    <t>TỔNG CÁC LOẠI CỔ PHIẾU
TOTAL SHARES</t>
  </si>
  <si>
    <t>TRÁI PHIẾU
	BONDS</t>
  </si>
  <si>
    <t>Trái phiếu niêm yết
Listed bonds</t>
  </si>
  <si>
    <t>Trái phiếu chưa niêm yết
Unlisted Bonds</t>
  </si>
  <si>
    <t>DAT XANH GROUP JSC 12% 18 Mar 2023</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</si>
  <si>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</si>
  <si>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</si>
  <si>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</si>
  <si>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</si>
  <si>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</si>
  <si>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</si>
  <si>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</si>
  <si>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</si>
  <si>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</si>
  <si>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</si>
  <si>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</si>
  <si>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</si>
  <si>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</si>
  <si>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</si>
  <si>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</si>
  <si>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03 năm 2021
/ As at 31 Mar 2021</t>
  </si>
  <si>
    <t>Quý I năm 2021
/ Quarter I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</si>
  <si>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</si>
  <si>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</si>
  <si>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</si>
  <si>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</si>
  <si>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Securities Investment Fund(VFMVF1)</t>
  </si>
  <si>
    <t>Ngày 06 tháng 04 năm 2021</t>
  </si>
  <si>
    <t>06 Apr 2021</t>
  </si>
  <si>
    <t>Nguyễn Minh Đăng Khánh</t>
  </si>
  <si>
    <t>Trưởng phòng Dịch vụ Quản trị và Giám sát Quỹ</t>
  </si>
  <si>
    <t>Giám đốc điều hành Nghiệp vụ hỗ trợ đầu tư</t>
  </si>
  <si>
    <t>Ngày 31 tháng 03 năm 2021
 As at 31 Mar 2021</t>
  </si>
  <si>
    <t>Ngày 31 tháng 12 năm 2020
 As at 31 Dec 2020</t>
  </si>
  <si>
    <t>Quý I năm 2021
Quarter I 2021</t>
  </si>
  <si>
    <t>Quý IV năm 2020
Quarter IV 2020</t>
  </si>
  <si>
    <t>Năm 2021
Year 2021</t>
  </si>
  <si>
    <t>Năm 2020
Year 2020</t>
  </si>
  <si>
    <t>Quý I năm  2020
Quarter I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</si>
  <si>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</si>
  <si>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</si>
  <si>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</si>
  <si>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</si>
  <si>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</si>
  <si>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</si>
  <si>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</si>
  <si>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</si>
  <si>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</si>
  <si>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</si>
  <si>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</si>
  <si>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</si>
  <si>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</si>
  <si>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</si>
  <si>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</si>
  <si>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</si>
  <si>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</si>
  <si>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</si>
  <si>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</si>
  <si>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</si>
  <si>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</si>
  <si>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</si>
  <si>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</si>
  <si>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</si>
  <si>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</si>
  <si>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</si>
  <si>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</si>
  <si>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BẤT ĐỘNG SẢN ĐẦU TƯ (KHÔNG ÁP DỤNG)
REAL ESTATE INVESTMENT (NOT APPLICABLE)</t>
  </si>
  <si>
    <t>CỔ PHIẾU NIÊM YẾT, ĐĂNG KÝ GIAO DỊCH, CHỨNG CHỈ QUỸ NIÊM YẾT
LISTED SHARES, TRADING REGISTRATION SHARED, LISTED FUND CERTIFICATES</t>
  </si>
  <si>
    <t>MSB</t>
  </si>
  <si>
    <t>CỔ PHIẾU CHƯA NIÊM YẾT, ĐĂNG KÝ GIAO DỊCH, CHỨNG CHỈ QUỸ KHÔNG NIÊM YẾT
UNLISTED SHARES, TRADING REGISTRATION, UNLISTED FUND CERTIFICATES</t>
  </si>
  <si>
    <t>Tiền, tương đương tiền
Cash, Cash Equivalents</t>
  </si>
  <si>
    <t>Tiền gửi ngân hàng có kỳ hạn trên 3 tháng
Deposits with term over three (03) months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</si>
  <si>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</si>
  <si>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</si>
  <si>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</si>
  <si>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</si>
  <si>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</si>
  <si>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</si>
  <si>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</si>
  <si>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</si>
  <si>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</si>
  <si>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</si>
  <si>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</si>
  <si>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</si>
  <si>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</si>
  <si>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</si>
  <si>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</si>
  <si>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</si>
  <si>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</si>
  <si>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</si>
  <si>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</si>
  <si>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</si>
  <si>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</si>
  <si>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</si>
  <si>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</si>
  <si>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</si>
  <si>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</si>
  <si>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</si>
  <si>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</si>
  <si>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</si>
  <si>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</si>
  <si>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</si>
  <si>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</si>
  <si>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</si>
  <si>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</si>
  <si>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</si>
  <si>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</si>
  <si>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</si>
  <si>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</si>
  <si>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</si>
  <si>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</si>
  <si>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</si>
  <si>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</si>
  <si>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</si>
  <si>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</si>
  <si>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</si>
  <si>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Mai Thùy Sâm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</si>
</sst>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b/>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0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4" fillId="7" borderId="15" xfId="0" applyNumberFormat="1" applyFont="1" applyFill="1" applyBorder="1" applyAlignment="1" applyProtection="1">
      <alignment horizontal="left" vertical="center" wrapText="1"/>
      <protection locked="0"/>
    </xf>
    <xf numFmtId="4" fontId="45" fillId="8" borderId="16" xfId="0" applyNumberFormat="1" applyFont="1" applyFill="1" applyBorder="1" applyAlignment="1" applyProtection="1">
      <alignment horizontal="center" vertical="center" wrapText="1"/>
      <protection locked="0"/>
    </xf>
    <xf numFmtId="10" fontId="46" fillId="9" borderId="17" xfId="0" applyNumberFormat="1" applyFont="1" applyFill="1" applyBorder="1" applyAlignment="1" applyProtection="1">
      <alignment horizontal="right" vertical="center" wrapText="1"/>
      <protection locked="0"/>
    </xf>
    <xf numFmtId="165" fontId="47" fillId="10" borderId="18" xfId="0" applyNumberFormat="1" applyFont="1" applyFill="1" applyBorder="1" applyAlignment="1" applyProtection="1">
      <alignment horizontal="right" vertical="center" wrapText="1"/>
      <protection locked="0"/>
    </xf>
    <xf numFmtId="0" fontId="48" fillId="11" borderId="19" xfId="0" applyNumberFormat="1" applyFont="1" applyFill="1" applyBorder="1" applyAlignment="1" applyProtection="1">
      <alignment horizontal="left" vertical="center" wrapText="1"/>
      <protection locked="0"/>
    </xf>
    <xf numFmtId="0" fontId="49" fillId="12" borderId="20" xfId="0" applyNumberFormat="1" applyFont="1" applyFill="1" applyBorder="1" applyAlignment="1" applyProtection="1">
      <alignment horizontal="center" vertical="center" wrapText="1"/>
      <protection locked="0"/>
    </xf>
    <xf numFmtId="10" fontId="50" fillId="13" borderId="21" xfId="0" applyNumberFormat="1" applyFont="1" applyFill="1" applyBorder="1" applyAlignment="1" applyProtection="1">
      <alignment horizontal="right" vertical="center" wrapText="1"/>
      <protection locked="0"/>
    </xf>
    <xf numFmtId="165" fontId="51" fillId="14" borderId="22" xfId="0" applyNumberFormat="1" applyFont="1" applyFill="1" applyBorder="1" applyAlignment="1" applyProtection="1">
      <alignment horizontal="right" vertical="center" wrapText="1"/>
      <protection locked="0"/>
    </xf>
    <xf numFmtId="43" fontId="52" fillId="15" borderId="23"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43" fillId="16" borderId="24" xfId="0" applyFont="1" applyFill="1" applyBorder="1" applyAlignment="1" applyProtection="1">
      <alignment horizontal="center" vertical="center" wrapText="1"/>
      <protection locked="0"/>
    </xf>
    <xf numFmtId="0" fontId="43" fillId="16" borderId="24" xfId="0" applyFont="1" applyFill="1" applyBorder="1" applyAlignment="1" applyProtection="1">
      <alignment horizontal="left" vertical="center" wrapText="1"/>
      <protection locked="0"/>
    </xf>
    <xf numFmtId="165" fontId="43" fillId="16" borderId="24" xfId="0" applyNumberFormat="1" applyFont="1" applyFill="1" applyBorder="1" applyAlignment="1" applyProtection="1">
      <alignment horizontal="right" vertical="center" wrapText="1"/>
      <protection locked="0"/>
    </xf>
    <xf numFmtId="10" fontId="43" fillId="16" borderId="24" xfId="0" applyNumberFormat="1" applyFont="1" applyFill="1" applyBorder="1" applyAlignment="1" applyProtection="1">
      <alignment horizontal="right" vertical="center" wrapText="1"/>
      <protection locked="0"/>
    </xf>
    <xf numFmtId="3" fontId="42" fillId="16" borderId="24" xfId="0" applyNumberFormat="1" applyFont="1" applyFill="1" applyBorder="1" applyAlignment="1" applyProtection="1">
      <alignment horizontal="center" vertical="center" wrapText="1"/>
      <protection locked="0"/>
    </xf>
    <xf numFmtId="4" fontId="42" fillId="16" borderId="24" xfId="0" applyNumberFormat="1" applyFont="1" applyFill="1" applyBorder="1" applyAlignment="1" applyProtection="1">
      <alignment horizontal="left" vertical="center" wrapText="1"/>
      <protection locked="0"/>
    </xf>
    <xf numFmtId="0" fontId="42" fillId="16" borderId="24" xfId="0" applyFont="1" applyFill="1" applyBorder="1" applyAlignment="1" applyProtection="1">
      <alignment horizontal="center" vertical="center" wrapText="1"/>
      <protection locked="0"/>
    </xf>
    <xf numFmtId="165" fontId="42" fillId="16" borderId="24" xfId="0" applyNumberFormat="1" applyFont="1" applyFill="1" applyBorder="1" applyAlignment="1" applyProtection="1">
      <alignment horizontal="right" vertical="center" wrapText="1"/>
      <protection locked="0"/>
    </xf>
    <xf numFmtId="37" fontId="42" fillId="16" borderId="24" xfId="0" applyNumberFormat="1" applyFont="1" applyFill="1" applyBorder="1" applyAlignment="1" applyProtection="1">
      <alignment horizontal="right" vertical="center" wrapText="1"/>
      <protection locked="0"/>
    </xf>
    <xf numFmtId="10" fontId="42" fillId="16" borderId="24" xfId="0" applyNumberFormat="1" applyFont="1" applyFill="1" applyBorder="1" applyAlignment="1" applyProtection="1">
      <alignment horizontal="right" vertical="center" wrapText="1"/>
      <protection locked="0"/>
    </xf>
    <xf numFmtId="4" fontId="42" fillId="16" borderId="24" xfId="0" applyNumberFormat="1" applyFont="1" applyFill="1" applyBorder="1" applyAlignment="1" applyProtection="1">
      <alignment horizontal="center" vertical="center" wrapText="1"/>
      <protection locked="0"/>
    </xf>
    <xf numFmtId="4" fontId="45" fillId="8" borderId="24" xfId="0" applyNumberFormat="1" applyFont="1" applyFill="1" applyBorder="1" applyAlignment="1" applyProtection="1">
      <alignment horizontal="center" vertical="center" wrapText="1"/>
      <protection locked="0"/>
    </xf>
    <xf numFmtId="4" fontId="44" fillId="7" borderId="24" xfId="0" applyNumberFormat="1" applyFont="1" applyFill="1" applyBorder="1" applyAlignment="1" applyProtection="1">
      <alignment horizontal="left" vertical="center" wrapText="1"/>
      <protection locked="0"/>
    </xf>
    <xf numFmtId="165" fontId="47" fillId="10" borderId="24" xfId="0" applyNumberFormat="1" applyFont="1" applyFill="1" applyBorder="1" applyAlignment="1" applyProtection="1">
      <alignment horizontal="right" vertical="center" wrapText="1"/>
      <protection locked="0"/>
    </xf>
    <xf numFmtId="10" fontId="46" fillId="9" borderId="24" xfId="0" applyNumberFormat="1" applyFont="1" applyFill="1" applyBorder="1" applyAlignment="1" applyProtection="1">
      <alignment horizontal="right" vertical="center" wrapText="1"/>
      <protection locked="0"/>
    </xf>
    <xf numFmtId="10" fontId="46" fillId="9" borderId="0"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6" borderId="0" xfId="12" applyFont="1" applyFill="1" applyAlignment="1">
      <alignment horizontal="right" vertical="center" wrapText="1"/>
    </xf>
    <xf numFmtId="0" fontId="39" fillId="3" borderId="0" xfId="12" applyFont="1" applyFill="1" applyAlignment="1">
      <alignment horizontal="right" vertical="center" wrapText="1"/>
    </xf>
    <xf numFmtId="0" fontId="26" fillId="16"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361756</xdr:rowOff>
    </xdr:to>
    <xdr:pic>
      <xdr:nvPicPr>
        <xdr:cNvPr id="4" name="Picture 3">
          <a:extLst>
            <a:ext uri="{FF2B5EF4-FFF2-40B4-BE49-F238E27FC236}">
              <a16:creationId xmlns:a16="http://schemas.microsoft.com/office/drawing/2014/main" id="{300F30E2-9F18-44DD-8352-C99E6FD1D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1179681</xdr:colOff>
      <xdr:row>2</xdr:row>
      <xdr:rowOff>223761</xdr:rowOff>
    </xdr:to>
    <xdr:pic>
      <xdr:nvPicPr>
        <xdr:cNvPr id="4" name="Picture 3">
          <a:extLst>
            <a:ext uri="{FF2B5EF4-FFF2-40B4-BE49-F238E27FC236}">
              <a16:creationId xmlns:a16="http://schemas.microsoft.com/office/drawing/2014/main" id="{9F917158-3618-4D0C-9258-9C52DF46E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242289</xdr:rowOff>
    </xdr:to>
    <xdr:pic>
      <xdr:nvPicPr>
        <xdr:cNvPr id="4" name="Picture 3">
          <a:extLst>
            <a:ext uri="{FF2B5EF4-FFF2-40B4-BE49-F238E27FC236}">
              <a16:creationId xmlns:a16="http://schemas.microsoft.com/office/drawing/2014/main" id="{319E3AD1-52AF-457B-AEAF-EEDFF371E1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1078599</xdr:colOff>
      <xdr:row>2</xdr:row>
      <xdr:rowOff>6046</xdr:rowOff>
    </xdr:to>
    <xdr:pic>
      <xdr:nvPicPr>
        <xdr:cNvPr id="3" name="Picture 2">
          <a:extLst>
            <a:ext uri="{FF2B5EF4-FFF2-40B4-BE49-F238E27FC236}">
              <a16:creationId xmlns:a16="http://schemas.microsoft.com/office/drawing/2014/main" id="{ECF1E9E8-3F6A-4A4A-8A20-9F34F202B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twoCellAnchor editAs="oneCell">
    <xdr:from>
      <xdr:col>0</xdr:col>
      <xdr:colOff>0</xdr:colOff>
      <xdr:row>0</xdr:row>
      <xdr:rowOff>0</xdr:rowOff>
    </xdr:from>
    <xdr:to>
      <xdr:col>1</xdr:col>
      <xdr:colOff>1078599</xdr:colOff>
      <xdr:row>2</xdr:row>
      <xdr:rowOff>6046</xdr:rowOff>
    </xdr:to>
    <xdr:pic>
      <xdr:nvPicPr>
        <xdr:cNvPr id="4" name="Picture 3">
          <a:extLst>
            <a:ext uri="{FF2B5EF4-FFF2-40B4-BE49-F238E27FC236}">
              <a16:creationId xmlns:a16="http://schemas.microsoft.com/office/drawing/2014/main" id="{B91FDA72-27CB-4E27-88B5-081003978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72959" cy="935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374650</xdr:colOff>
      <xdr:row>1</xdr:row>
      <xdr:rowOff>250568</xdr:rowOff>
    </xdr:to>
    <xdr:pic>
      <xdr:nvPicPr>
        <xdr:cNvPr id="5" name="Picture 4">
          <a:extLst>
            <a:ext uri="{FF2B5EF4-FFF2-40B4-BE49-F238E27FC236}">
              <a16:creationId xmlns:a16="http://schemas.microsoft.com/office/drawing/2014/main" id="{E9BC0B00-1239-4880-9EE8-A339C2DC6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977899" cy="542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395942</xdr:colOff>
      <xdr:row>1</xdr:row>
      <xdr:rowOff>238043</xdr:rowOff>
    </xdr:to>
    <xdr:pic>
      <xdr:nvPicPr>
        <xdr:cNvPr id="4" name="Picture 3">
          <a:extLst>
            <a:ext uri="{FF2B5EF4-FFF2-40B4-BE49-F238E27FC236}">
              <a16:creationId xmlns:a16="http://schemas.microsoft.com/office/drawing/2014/main" id="{09BC20E0-FB8B-4591-B8A9-210FC92F7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23471" cy="5667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876763</xdr:colOff>
      <xdr:row>1</xdr:row>
      <xdr:rowOff>436217</xdr:rowOff>
    </xdr:to>
    <xdr:pic>
      <xdr:nvPicPr>
        <xdr:cNvPr id="5" name="Picture 4">
          <a:extLst>
            <a:ext uri="{FF2B5EF4-FFF2-40B4-BE49-F238E27FC236}">
              <a16:creationId xmlns:a16="http://schemas.microsoft.com/office/drawing/2014/main" id="{E3E67D35-C7BC-4FCF-81C7-869791960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78633" cy="8172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1337844</xdr:colOff>
      <xdr:row>1</xdr:row>
      <xdr:rowOff>599638</xdr:rowOff>
    </xdr:to>
    <xdr:pic>
      <xdr:nvPicPr>
        <xdr:cNvPr id="3" name="Picture 2">
          <a:extLst>
            <a:ext uri="{FF2B5EF4-FFF2-40B4-BE49-F238E27FC236}">
              <a16:creationId xmlns:a16="http://schemas.microsoft.com/office/drawing/2014/main" id="{E0C4370B-6DA4-4A0E-AD4E-823CB8C202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twoCellAnchor editAs="oneCell">
    <xdr:from>
      <xdr:col>0</xdr:col>
      <xdr:colOff>0</xdr:colOff>
      <xdr:row>0</xdr:row>
      <xdr:rowOff>0</xdr:rowOff>
    </xdr:from>
    <xdr:to>
      <xdr:col>1</xdr:col>
      <xdr:colOff>1337844</xdr:colOff>
      <xdr:row>1</xdr:row>
      <xdr:rowOff>599638</xdr:rowOff>
    </xdr:to>
    <xdr:pic>
      <xdr:nvPicPr>
        <xdr:cNvPr id="5" name="Picture 4">
          <a:extLst>
            <a:ext uri="{FF2B5EF4-FFF2-40B4-BE49-F238E27FC236}">
              <a16:creationId xmlns:a16="http://schemas.microsoft.com/office/drawing/2014/main" id="{B544389F-A399-40B4-B5DD-ECD05654D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73124" cy="9272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85" zoomScaleSheetLayoutView="85" workbookViewId="0">
      <selection activeCell="C50" sqref="C50"/>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49" t="s">
        <v>777</v>
      </c>
      <c r="D1" s="250"/>
    </row>
    <row r="2" spans="1:11">
      <c r="C2" s="4" t="s">
        <v>778</v>
      </c>
      <c r="D2" s="5"/>
    </row>
    <row r="3" spans="1:11">
      <c r="D3" s="6"/>
    </row>
    <row r="4" spans="1:11">
      <c r="A4" s="1" t="s">
        <v>1</v>
      </c>
      <c r="D4" s="6"/>
    </row>
    <row r="5" spans="1:11" ht="15" customHeight="1">
      <c r="C5" s="7" t="s">
        <v>2</v>
      </c>
      <c r="D5" s="252" t="s">
        <v>779</v>
      </c>
      <c r="E5" s="252"/>
      <c r="F5" s="252"/>
      <c r="G5" s="252"/>
      <c r="H5" s="252"/>
      <c r="I5" s="252"/>
    </row>
    <row r="6" spans="1:11" ht="31">
      <c r="C6" s="9" t="s">
        <v>40</v>
      </c>
      <c r="D6" s="251" t="s">
        <v>780</v>
      </c>
      <c r="E6" s="251"/>
      <c r="F6" s="251"/>
      <c r="G6" s="251"/>
      <c r="H6" s="251"/>
      <c r="I6" s="251"/>
    </row>
    <row r="7" spans="1:11">
      <c r="C7" s="10" t="s">
        <v>3</v>
      </c>
      <c r="D7" s="252" t="s">
        <v>781</v>
      </c>
      <c r="E7" s="252"/>
      <c r="F7" s="252"/>
      <c r="G7" s="252"/>
      <c r="H7" s="252"/>
      <c r="I7" s="252"/>
    </row>
    <row r="8" spans="1:11" ht="15" customHeight="1">
      <c r="C8" s="11" t="s">
        <v>4</v>
      </c>
      <c r="D8" s="251" t="s">
        <v>782</v>
      </c>
      <c r="E8" s="251"/>
      <c r="F8" s="251"/>
      <c r="G8" s="251"/>
      <c r="H8" s="251"/>
      <c r="I8" s="251"/>
    </row>
    <row r="9" spans="1:11" ht="15" customHeight="1">
      <c r="C9" s="10" t="s">
        <v>5</v>
      </c>
      <c r="D9" s="252" t="s">
        <v>225</v>
      </c>
      <c r="E9" s="252"/>
      <c r="F9" s="252"/>
      <c r="G9" s="252"/>
      <c r="H9" s="252"/>
      <c r="I9" s="252"/>
    </row>
    <row r="10" spans="1:11" ht="15" customHeight="1">
      <c r="C10" s="8" t="s">
        <v>6</v>
      </c>
      <c r="D10" s="251" t="s">
        <v>783</v>
      </c>
      <c r="E10" s="251"/>
      <c r="F10" s="251"/>
      <c r="G10" s="251"/>
      <c r="H10" s="251"/>
      <c r="I10" s="251"/>
    </row>
    <row r="11" spans="1:11">
      <c r="C11" s="12" t="s">
        <v>7</v>
      </c>
      <c r="D11" s="252" t="s">
        <v>784</v>
      </c>
      <c r="E11" s="252"/>
      <c r="F11" s="252"/>
      <c r="G11" s="252"/>
      <c r="H11" s="252"/>
      <c r="I11" s="252"/>
    </row>
    <row r="12" spans="1:11">
      <c r="C12" s="13" t="s">
        <v>8</v>
      </c>
      <c r="D12" s="251" t="s">
        <v>785</v>
      </c>
      <c r="E12" s="251"/>
      <c r="F12" s="251"/>
      <c r="G12" s="251"/>
      <c r="H12" s="251"/>
      <c r="I12" s="25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779</v>
      </c>
      <c r="G19" s="19"/>
      <c r="H19" s="19"/>
      <c r="I19" s="19"/>
      <c r="J19" s="19"/>
      <c r="K19" s="20"/>
    </row>
    <row r="20" spans="3:11">
      <c r="C20" s="23" t="s">
        <v>582</v>
      </c>
      <c r="D20" s="18"/>
      <c r="F20" s="22" t="s">
        <v>786</v>
      </c>
      <c r="G20" s="19"/>
      <c r="H20" s="19"/>
      <c r="I20" s="19"/>
      <c r="J20" s="19"/>
      <c r="K20" s="20"/>
    </row>
    <row r="21" spans="3:11">
      <c r="C21" s="24" t="s">
        <v>787</v>
      </c>
      <c r="D21" s="5"/>
      <c r="F21" s="25" t="s">
        <v>788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561</v>
      </c>
      <c r="C35" s="31" t="s">
        <v>799</v>
      </c>
      <c r="D35" s="32"/>
    </row>
    <row r="36" spans="2:12" s="33" customFormat="1">
      <c r="B36" s="30" t="s">
        <v>800</v>
      </c>
      <c r="C36" s="31" t="s">
        <v>801</v>
      </c>
      <c r="D36" s="32" t="s">
        <v>25</v>
      </c>
    </row>
    <row r="37" spans="2:12" s="33" customFormat="1">
      <c r="B37" s="30" t="s">
        <v>802</v>
      </c>
      <c r="C37" s="31" t="s">
        <v>22</v>
      </c>
      <c r="D37" s="32" t="s">
        <v>26</v>
      </c>
      <c r="J37" s="34"/>
      <c r="K37" s="35"/>
      <c r="L37" s="36"/>
    </row>
    <row r="38" spans="2:12">
      <c r="B38" s="30" t="s">
        <v>803</v>
      </c>
      <c r="C38" s="30" t="s">
        <v>34</v>
      </c>
      <c r="D38" s="32" t="s">
        <v>27</v>
      </c>
      <c r="J38" s="37"/>
      <c r="K38" s="38"/>
      <c r="L38" s="39"/>
    </row>
    <row r="39" spans="2:12" ht="31">
      <c r="B39" s="30" t="s">
        <v>804</v>
      </c>
      <c r="C39" s="31" t="s">
        <v>805</v>
      </c>
      <c r="D39" s="32" t="s">
        <v>806</v>
      </c>
    </row>
    <row r="40" spans="2:12">
      <c r="B40" s="30" t="s">
        <v>807</v>
      </c>
      <c r="C40" s="30" t="s">
        <v>23</v>
      </c>
      <c r="D40" s="32" t="s">
        <v>28</v>
      </c>
    </row>
    <row r="41" spans="2:12">
      <c r="B41" s="30" t="s">
        <v>808</v>
      </c>
      <c r="C41" s="30" t="s">
        <v>809</v>
      </c>
      <c r="D41" s="32" t="s">
        <v>810</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811</v>
      </c>
      <c r="C50" s="41" t="s">
        <v>812</v>
      </c>
      <c r="D50" s="42" t="s">
        <v>813</v>
      </c>
    </row>
    <row r="51" spans="2:4">
      <c r="B51" s="40" t="s">
        <v>814</v>
      </c>
      <c r="C51" s="41" t="s">
        <v>815</v>
      </c>
      <c r="D51" s="42" t="s">
        <v>813</v>
      </c>
    </row>
    <row r="52" spans="2:4">
      <c r="B52" s="30" t="s">
        <v>562</v>
      </c>
      <c r="C52" s="41" t="s">
        <v>816</v>
      </c>
      <c r="D52" s="42" t="s">
        <v>817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87" zoomScaleNormal="100" zoomScaleSheetLayoutView="100" workbookViewId="0">
      <selection activeCell="A91" sqref="A91"/>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4"/>
  </cols>
  <sheetData>
    <row r="1" spans="1:7" ht="22.5" customHeight="1">
      <c r="A1" s="266" t="s">
        <v>97</v>
      </c>
      <c r="B1" s="266"/>
      <c r="C1" s="266"/>
      <c r="D1" s="266"/>
      <c r="E1" s="266"/>
      <c r="F1" s="266"/>
      <c r="G1" s="266"/>
    </row>
    <row r="2" spans="1:7" ht="22.5" customHeight="1">
      <c r="A2" s="267" t="s">
        <v>98</v>
      </c>
      <c r="B2" s="267"/>
      <c r="C2" s="267"/>
      <c r="D2" s="267"/>
      <c r="E2" s="267"/>
      <c r="F2" s="267"/>
      <c r="G2" s="267"/>
    </row>
    <row r="3" spans="1:7" ht="44" customHeight="1">
      <c r="A3" s="268" t="s">
        <v>99</v>
      </c>
      <c r="B3" s="268"/>
      <c r="C3" s="268"/>
      <c r="D3" s="268"/>
      <c r="E3" s="268"/>
      <c r="F3" s="268"/>
      <c r="G3" s="268"/>
    </row>
    <row r="4" spans="1:7" ht="9.5" customHeight="1"/>
    <row r="5" spans="1:7">
      <c r="A5" s="269" t="s">
        <v>778</v>
      </c>
      <c r="B5" s="269"/>
      <c r="C5" s="269"/>
      <c r="D5" s="269"/>
      <c r="E5" s="269"/>
      <c r="F5" s="269"/>
      <c r="G5" s="269"/>
    </row>
    <row r="7" spans="1:7" ht="17" customHeight="1">
      <c r="A7" s="60" t="s">
        <v>2</v>
      </c>
      <c r="D7" s="264" t="s">
        <v>779</v>
      </c>
      <c r="E7" s="264"/>
      <c r="F7" s="264"/>
      <c r="G7" s="264"/>
    </row>
    <row r="8" spans="1:7" ht="17" customHeight="1">
      <c r="A8" s="128" t="s">
        <v>40</v>
      </c>
      <c r="D8" s="265" t="s">
        <v>780</v>
      </c>
      <c r="E8" s="265"/>
      <c r="F8" s="265"/>
      <c r="G8" s="265"/>
    </row>
    <row r="9" spans="1:7" ht="17" customHeight="1">
      <c r="A9" s="60" t="s">
        <v>3</v>
      </c>
      <c r="D9" s="264" t="s">
        <v>781</v>
      </c>
      <c r="E9" s="264"/>
      <c r="F9" s="264"/>
      <c r="G9" s="264"/>
    </row>
    <row r="10" spans="1:7" ht="17" customHeight="1">
      <c r="A10" s="128" t="s">
        <v>4</v>
      </c>
      <c r="D10" s="265" t="s">
        <v>782</v>
      </c>
      <c r="E10" s="265"/>
      <c r="F10" s="265"/>
      <c r="G10" s="265"/>
    </row>
    <row r="11" spans="1:7" ht="17" customHeight="1">
      <c r="A11" s="60" t="s">
        <v>5</v>
      </c>
      <c r="D11" s="264" t="s">
        <v>225</v>
      </c>
      <c r="E11" s="264"/>
      <c r="F11" s="264"/>
      <c r="G11" s="264"/>
    </row>
    <row r="12" spans="1:7" ht="17" customHeight="1">
      <c r="A12" s="128" t="s">
        <v>6</v>
      </c>
      <c r="D12" s="265" t="s">
        <v>783</v>
      </c>
      <c r="E12" s="265"/>
      <c r="F12" s="265"/>
      <c r="G12" s="265"/>
    </row>
    <row r="13" spans="1:7" ht="17" customHeight="1">
      <c r="A13" s="60" t="s">
        <v>7</v>
      </c>
      <c r="D13" s="264" t="s">
        <v>784</v>
      </c>
      <c r="E13" s="264"/>
      <c r="F13" s="264"/>
      <c r="G13" s="264"/>
    </row>
    <row r="14" spans="1:7" ht="17" customHeight="1">
      <c r="A14" s="128" t="s">
        <v>8</v>
      </c>
      <c r="D14" s="265" t="s">
        <v>785</v>
      </c>
      <c r="E14" s="265"/>
      <c r="F14" s="265"/>
      <c r="G14" s="265"/>
    </row>
    <row r="16" spans="1:7" ht="39" customHeight="1">
      <c r="A16" s="256" t="s">
        <v>100</v>
      </c>
      <c r="B16" s="258" t="s">
        <v>101</v>
      </c>
      <c r="C16" s="258" t="s">
        <v>102</v>
      </c>
      <c r="D16" s="261" t="s">
        <v>793</v>
      </c>
      <c r="E16" s="262"/>
      <c r="F16" s="261" t="s">
        <v>794</v>
      </c>
      <c r="G16" s="262"/>
    </row>
    <row r="17" spans="1:10" ht="39" customHeight="1">
      <c r="A17" s="257"/>
      <c r="B17" s="259"/>
      <c r="C17" s="260"/>
      <c r="D17" s="129" t="s">
        <v>791</v>
      </c>
      <c r="E17" s="130" t="s">
        <v>103</v>
      </c>
      <c r="F17" s="54" t="s">
        <v>795</v>
      </c>
      <c r="G17" s="130" t="s">
        <v>103</v>
      </c>
    </row>
    <row r="18" spans="1:10" s="118" customFormat="1" ht="39" customHeight="1">
      <c r="A18" s="131" t="s">
        <v>298</v>
      </c>
      <c r="B18" s="132" t="s">
        <v>104</v>
      </c>
      <c r="C18" s="133"/>
      <c r="D18" s="80">
        <v>54506351329</v>
      </c>
      <c r="E18" s="80">
        <v>54506351329</v>
      </c>
      <c r="F18" s="80">
        <v>-213949429922</v>
      </c>
      <c r="G18" s="80">
        <v>-213949429922</v>
      </c>
    </row>
    <row r="19" spans="1:10" ht="39" customHeight="1">
      <c r="A19" s="134" t="s">
        <v>299</v>
      </c>
      <c r="B19" s="135" t="s">
        <v>105</v>
      </c>
      <c r="C19" s="136"/>
      <c r="D19" s="85">
        <v>537421400</v>
      </c>
      <c r="E19" s="85">
        <v>537421400</v>
      </c>
      <c r="F19" s="85">
        <v>224360000</v>
      </c>
      <c r="G19" s="85">
        <v>224360000</v>
      </c>
      <c r="J19" s="118"/>
    </row>
    <row r="20" spans="1:10" ht="39" customHeight="1">
      <c r="A20" s="134" t="s">
        <v>300</v>
      </c>
      <c r="B20" s="135" t="s">
        <v>106</v>
      </c>
      <c r="C20" s="137"/>
      <c r="D20" s="85">
        <v>1168478112</v>
      </c>
      <c r="E20" s="85">
        <v>1168478112</v>
      </c>
      <c r="F20" s="85">
        <v>3179346128</v>
      </c>
      <c r="G20" s="85">
        <v>3179346128</v>
      </c>
      <c r="J20" s="118"/>
    </row>
    <row r="21" spans="1:10" ht="39" customHeight="1">
      <c r="A21" s="134" t="s">
        <v>230</v>
      </c>
      <c r="B21" s="135" t="s">
        <v>107</v>
      </c>
      <c r="C21" s="137"/>
      <c r="D21" s="85">
        <v>15943864</v>
      </c>
      <c r="E21" s="85">
        <v>15943864</v>
      </c>
      <c r="F21" s="85">
        <v>122743388</v>
      </c>
      <c r="G21" s="85">
        <v>122743388</v>
      </c>
      <c r="J21" s="118"/>
    </row>
    <row r="22" spans="1:10" ht="39" customHeight="1">
      <c r="A22" s="134" t="s">
        <v>238</v>
      </c>
      <c r="B22" s="135" t="s">
        <v>108</v>
      </c>
      <c r="C22" s="137"/>
      <c r="D22" s="85">
        <v>1067054795</v>
      </c>
      <c r="E22" s="85">
        <v>1067054795</v>
      </c>
      <c r="F22" s="85">
        <v>1458493151</v>
      </c>
      <c r="G22" s="85">
        <v>1458493151</v>
      </c>
      <c r="J22" s="118"/>
    </row>
    <row r="23" spans="1:10" ht="39" customHeight="1">
      <c r="A23" s="134" t="s">
        <v>301</v>
      </c>
      <c r="B23" s="135" t="s">
        <v>223</v>
      </c>
      <c r="C23" s="137"/>
      <c r="D23" s="85">
        <v>85479453</v>
      </c>
      <c r="E23" s="85">
        <v>85479453</v>
      </c>
      <c r="F23" s="85">
        <v>1598109589</v>
      </c>
      <c r="G23" s="85">
        <v>1598109589</v>
      </c>
      <c r="J23" s="118"/>
    </row>
    <row r="24" spans="1:10" ht="39" customHeight="1">
      <c r="A24" s="134" t="s">
        <v>227</v>
      </c>
      <c r="B24" s="135" t="s">
        <v>226</v>
      </c>
      <c r="C24" s="137"/>
      <c r="D24" s="85">
        <v>0</v>
      </c>
      <c r="E24" s="85">
        <v>0</v>
      </c>
      <c r="F24" s="85">
        <v>0</v>
      </c>
      <c r="G24" s="85">
        <v>0</v>
      </c>
      <c r="J24" s="118"/>
    </row>
    <row r="25" spans="1:10" ht="39" customHeight="1">
      <c r="A25" s="134" t="s">
        <v>231</v>
      </c>
      <c r="B25" s="138" t="s">
        <v>109</v>
      </c>
      <c r="C25" s="137"/>
      <c r="D25" s="85">
        <v>12680230736</v>
      </c>
      <c r="E25" s="85">
        <v>12680230736</v>
      </c>
      <c r="F25" s="85">
        <v>7643535882</v>
      </c>
      <c r="G25" s="85">
        <v>7643535882</v>
      </c>
      <c r="J25" s="118"/>
    </row>
    <row r="26" spans="1:10" ht="46.25" customHeight="1">
      <c r="A26" s="134" t="s">
        <v>232</v>
      </c>
      <c r="B26" s="138" t="s">
        <v>110</v>
      </c>
      <c r="C26" s="137"/>
      <c r="D26" s="85">
        <v>40120221081</v>
      </c>
      <c r="E26" s="85">
        <v>40120221081</v>
      </c>
      <c r="F26" s="85">
        <v>-224996671932</v>
      </c>
      <c r="G26" s="85">
        <v>-224996671932</v>
      </c>
      <c r="J26" s="118"/>
    </row>
    <row r="27" spans="1:10" ht="39" customHeight="1">
      <c r="A27" s="134" t="s">
        <v>302</v>
      </c>
      <c r="B27" s="138" t="s">
        <v>111</v>
      </c>
      <c r="C27" s="137"/>
      <c r="D27" s="85">
        <v>0</v>
      </c>
      <c r="E27" s="85">
        <v>0</v>
      </c>
      <c r="F27" s="85">
        <v>0</v>
      </c>
      <c r="G27" s="85">
        <v>0</v>
      </c>
      <c r="J27" s="118"/>
    </row>
    <row r="28" spans="1:10" ht="49.25" customHeight="1">
      <c r="A28" s="134" t="s">
        <v>233</v>
      </c>
      <c r="B28" s="138" t="s">
        <v>112</v>
      </c>
      <c r="C28" s="137"/>
      <c r="D28" s="85">
        <v>0</v>
      </c>
      <c r="E28" s="85">
        <v>0</v>
      </c>
      <c r="F28" s="85">
        <v>0</v>
      </c>
      <c r="G28" s="85">
        <v>0</v>
      </c>
      <c r="J28" s="118"/>
    </row>
    <row r="29" spans="1:10" ht="39" customHeight="1">
      <c r="A29" s="134" t="s">
        <v>303</v>
      </c>
      <c r="B29" s="138" t="s">
        <v>113</v>
      </c>
      <c r="C29" s="137"/>
      <c r="D29" s="85">
        <v>0</v>
      </c>
      <c r="E29" s="85">
        <v>0</v>
      </c>
      <c r="F29" s="85">
        <v>0</v>
      </c>
      <c r="G29" s="85">
        <v>0</v>
      </c>
      <c r="J29" s="118"/>
    </row>
    <row r="30" spans="1:10" ht="77" customHeight="1">
      <c r="A30" s="134" t="s">
        <v>304</v>
      </c>
      <c r="B30" s="138" t="s">
        <v>114</v>
      </c>
      <c r="C30" s="137"/>
      <c r="D30" s="85">
        <v>0</v>
      </c>
      <c r="E30" s="85">
        <v>0</v>
      </c>
      <c r="F30" s="85">
        <v>0</v>
      </c>
      <c r="G30" s="85">
        <v>0</v>
      </c>
      <c r="J30" s="118"/>
    </row>
    <row r="31" spans="1:10" s="118" customFormat="1" ht="39" customHeight="1">
      <c r="A31" s="131" t="s">
        <v>254</v>
      </c>
      <c r="B31" s="132" t="s">
        <v>115</v>
      </c>
      <c r="C31" s="133"/>
      <c r="D31" s="80">
        <v>242215137</v>
      </c>
      <c r="E31" s="80">
        <v>242215137</v>
      </c>
      <c r="F31" s="80">
        <v>455461972</v>
      </c>
      <c r="G31" s="80">
        <v>455461972</v>
      </c>
    </row>
    <row r="32" spans="1:10" ht="39" customHeight="1">
      <c r="A32" s="134" t="s">
        <v>116</v>
      </c>
      <c r="B32" s="138" t="s">
        <v>117</v>
      </c>
      <c r="C32" s="137"/>
      <c r="D32" s="85">
        <v>242215137</v>
      </c>
      <c r="E32" s="85">
        <v>242215137</v>
      </c>
      <c r="F32" s="85">
        <v>455461972</v>
      </c>
      <c r="G32" s="85">
        <v>455461972</v>
      </c>
      <c r="J32" s="118"/>
    </row>
    <row r="33" spans="1:10" ht="39" customHeight="1">
      <c r="A33" s="139" t="s">
        <v>118</v>
      </c>
      <c r="B33" s="135" t="s">
        <v>119</v>
      </c>
      <c r="C33" s="136"/>
      <c r="D33" s="85">
        <v>241561759</v>
      </c>
      <c r="E33" s="85">
        <v>241561759</v>
      </c>
      <c r="F33" s="85">
        <v>454249365</v>
      </c>
      <c r="G33" s="85">
        <v>454249365</v>
      </c>
      <c r="J33" s="118"/>
    </row>
    <row r="34" spans="1:10" ht="39" customHeight="1">
      <c r="A34" s="139" t="s">
        <v>69</v>
      </c>
      <c r="B34" s="135" t="s">
        <v>120</v>
      </c>
      <c r="C34" s="136"/>
      <c r="D34" s="85">
        <v>653378</v>
      </c>
      <c r="E34" s="85">
        <v>653378</v>
      </c>
      <c r="F34" s="85">
        <v>1212607</v>
      </c>
      <c r="G34" s="85">
        <v>1212607</v>
      </c>
      <c r="J34" s="118"/>
    </row>
    <row r="35" spans="1:10" ht="42" customHeight="1">
      <c r="A35" s="139" t="s">
        <v>121</v>
      </c>
      <c r="B35" s="135" t="s">
        <v>122</v>
      </c>
      <c r="C35" s="137"/>
      <c r="D35" s="85">
        <v>0</v>
      </c>
      <c r="E35" s="85">
        <v>0</v>
      </c>
      <c r="F35" s="85">
        <v>0</v>
      </c>
      <c r="G35" s="85">
        <v>0</v>
      </c>
      <c r="J35" s="118"/>
    </row>
    <row r="36" spans="1:10" ht="39" customHeight="1">
      <c r="A36" s="139" t="s">
        <v>123</v>
      </c>
      <c r="B36" s="135" t="s">
        <v>124</v>
      </c>
      <c r="C36" s="137"/>
      <c r="D36" s="85">
        <v>0</v>
      </c>
      <c r="E36" s="85">
        <v>0</v>
      </c>
      <c r="F36" s="85">
        <v>0</v>
      </c>
      <c r="G36" s="85">
        <v>0</v>
      </c>
      <c r="J36" s="118"/>
    </row>
    <row r="37" spans="1:10" ht="71" customHeight="1">
      <c r="A37" s="139" t="s">
        <v>125</v>
      </c>
      <c r="B37" s="135" t="s">
        <v>126</v>
      </c>
      <c r="C37" s="137"/>
      <c r="D37" s="85">
        <v>0</v>
      </c>
      <c r="E37" s="85">
        <v>0</v>
      </c>
      <c r="F37" s="85">
        <v>0</v>
      </c>
      <c r="G37" s="85">
        <v>0</v>
      </c>
      <c r="J37" s="118"/>
    </row>
    <row r="38" spans="1:10" ht="39" customHeight="1">
      <c r="A38" s="139" t="s">
        <v>255</v>
      </c>
      <c r="B38" s="135" t="s">
        <v>127</v>
      </c>
      <c r="C38" s="137"/>
      <c r="D38" s="85">
        <v>0</v>
      </c>
      <c r="E38" s="85">
        <v>0</v>
      </c>
      <c r="F38" s="85">
        <v>0</v>
      </c>
      <c r="G38" s="85">
        <v>0</v>
      </c>
      <c r="J38" s="118"/>
    </row>
    <row r="39" spans="1:10" s="118" customFormat="1" ht="39" customHeight="1">
      <c r="A39" s="131" t="s">
        <v>256</v>
      </c>
      <c r="B39" s="132" t="s">
        <v>128</v>
      </c>
      <c r="C39" s="133"/>
      <c r="D39" s="80">
        <v>3164659266</v>
      </c>
      <c r="E39" s="80">
        <v>3164659266</v>
      </c>
      <c r="F39" s="80">
        <v>4220026863</v>
      </c>
      <c r="G39" s="80">
        <v>4220026863</v>
      </c>
    </row>
    <row r="40" spans="1:10" ht="39" customHeight="1">
      <c r="A40" s="139" t="s">
        <v>305</v>
      </c>
      <c r="B40" s="135" t="s">
        <v>129</v>
      </c>
      <c r="C40" s="137"/>
      <c r="D40" s="85">
        <v>2795129033</v>
      </c>
      <c r="E40" s="85">
        <v>2795129033</v>
      </c>
      <c r="F40" s="85">
        <v>3768824448</v>
      </c>
      <c r="G40" s="85">
        <v>3768824448</v>
      </c>
      <c r="J40" s="118"/>
    </row>
    <row r="41" spans="1:10" ht="39" customHeight="1">
      <c r="A41" s="139" t="s">
        <v>130</v>
      </c>
      <c r="B41" s="135" t="s">
        <v>131</v>
      </c>
      <c r="C41" s="136"/>
      <c r="D41" s="85">
        <v>99862183</v>
      </c>
      <c r="E41" s="85">
        <v>99862183</v>
      </c>
      <c r="F41" s="85">
        <v>159490871</v>
      </c>
      <c r="G41" s="85">
        <v>159490871</v>
      </c>
      <c r="J41" s="118"/>
    </row>
    <row r="42" spans="1:10" ht="39" customHeight="1">
      <c r="A42" s="65" t="s">
        <v>50</v>
      </c>
      <c r="B42" s="140" t="s">
        <v>132</v>
      </c>
      <c r="C42" s="136"/>
      <c r="D42" s="85">
        <v>80779680</v>
      </c>
      <c r="E42" s="85">
        <v>80779680</v>
      </c>
      <c r="F42" s="85">
        <v>98055875</v>
      </c>
      <c r="G42" s="85">
        <v>98055875</v>
      </c>
      <c r="J42" s="118"/>
    </row>
    <row r="43" spans="1:10" ht="39" customHeight="1">
      <c r="A43" s="65" t="s">
        <v>51</v>
      </c>
      <c r="B43" s="140" t="s">
        <v>133</v>
      </c>
      <c r="C43" s="136"/>
      <c r="D43" s="85">
        <v>9900000</v>
      </c>
      <c r="E43" s="85">
        <v>9900000</v>
      </c>
      <c r="F43" s="85">
        <v>25700000</v>
      </c>
      <c r="G43" s="85">
        <v>25700000</v>
      </c>
      <c r="J43" s="118"/>
    </row>
    <row r="44" spans="1:10" ht="60" customHeight="1">
      <c r="A44" s="65" t="s">
        <v>280</v>
      </c>
      <c r="B44" s="140" t="s">
        <v>134</v>
      </c>
      <c r="C44" s="136"/>
      <c r="D44" s="85">
        <v>9182503</v>
      </c>
      <c r="E44" s="85">
        <v>9182503</v>
      </c>
      <c r="F44" s="85">
        <v>35734996</v>
      </c>
      <c r="G44" s="85">
        <v>35734996</v>
      </c>
      <c r="J44" s="118"/>
    </row>
    <row r="45" spans="1:10" ht="39" customHeight="1">
      <c r="A45" s="139" t="s">
        <v>135</v>
      </c>
      <c r="B45" s="135" t="s">
        <v>136</v>
      </c>
      <c r="C45" s="136"/>
      <c r="D45" s="85">
        <v>75900000</v>
      </c>
      <c r="E45" s="85">
        <v>75900000</v>
      </c>
      <c r="F45" s="85">
        <v>86464898</v>
      </c>
      <c r="G45" s="85">
        <v>86464898</v>
      </c>
      <c r="J45" s="118"/>
    </row>
    <row r="46" spans="1:10" ht="39" customHeight="1">
      <c r="A46" s="139" t="s">
        <v>137</v>
      </c>
      <c r="B46" s="135" t="s">
        <v>138</v>
      </c>
      <c r="C46" s="136"/>
      <c r="D46" s="85">
        <v>39418485</v>
      </c>
      <c r="E46" s="85">
        <v>39418485</v>
      </c>
      <c r="F46" s="85">
        <v>53150088</v>
      </c>
      <c r="G46" s="85">
        <v>53150088</v>
      </c>
      <c r="J46" s="118"/>
    </row>
    <row r="47" spans="1:10" ht="39" customHeight="1">
      <c r="A47" s="139" t="s">
        <v>139</v>
      </c>
      <c r="B47" s="135" t="s">
        <v>140</v>
      </c>
      <c r="C47" s="136"/>
      <c r="D47" s="85">
        <v>33000000</v>
      </c>
      <c r="E47" s="85">
        <v>33000000</v>
      </c>
      <c r="F47" s="85">
        <v>33000000</v>
      </c>
      <c r="G47" s="85">
        <v>33000000</v>
      </c>
      <c r="J47" s="118"/>
    </row>
    <row r="48" spans="1:10" ht="39" customHeight="1">
      <c r="A48" s="139" t="s">
        <v>141</v>
      </c>
      <c r="B48" s="135" t="s">
        <v>142</v>
      </c>
      <c r="C48" s="136"/>
      <c r="D48" s="85">
        <v>0</v>
      </c>
      <c r="E48" s="85">
        <v>0</v>
      </c>
      <c r="F48" s="85">
        <v>0</v>
      </c>
      <c r="G48" s="85">
        <v>0</v>
      </c>
      <c r="J48" s="118"/>
    </row>
    <row r="49" spans="1:10" ht="44" customHeight="1">
      <c r="A49" s="66" t="s">
        <v>306</v>
      </c>
      <c r="B49" s="140" t="s">
        <v>143</v>
      </c>
      <c r="C49" s="136"/>
      <c r="D49" s="85">
        <v>0</v>
      </c>
      <c r="E49" s="85">
        <v>0</v>
      </c>
      <c r="F49" s="85">
        <v>0</v>
      </c>
      <c r="G49" s="85">
        <v>0</v>
      </c>
      <c r="J49" s="118"/>
    </row>
    <row r="50" spans="1:10" ht="39" customHeight="1">
      <c r="A50" s="66" t="s">
        <v>307</v>
      </c>
      <c r="B50" s="140" t="s">
        <v>144</v>
      </c>
      <c r="C50" s="136"/>
      <c r="D50" s="85">
        <v>0</v>
      </c>
      <c r="E50" s="85">
        <v>0</v>
      </c>
      <c r="F50" s="85">
        <v>0</v>
      </c>
      <c r="G50" s="85">
        <v>0</v>
      </c>
      <c r="J50" s="118"/>
    </row>
    <row r="51" spans="1:10" ht="39" customHeight="1">
      <c r="A51" s="139" t="s">
        <v>145</v>
      </c>
      <c r="B51" s="135" t="s">
        <v>146</v>
      </c>
      <c r="C51" s="136"/>
      <c r="D51" s="85">
        <v>0</v>
      </c>
      <c r="E51" s="85">
        <v>0</v>
      </c>
      <c r="F51" s="85">
        <v>0</v>
      </c>
      <c r="G51" s="85">
        <v>0</v>
      </c>
      <c r="J51" s="118"/>
    </row>
    <row r="52" spans="1:10" ht="39" customHeight="1">
      <c r="A52" s="139" t="s">
        <v>257</v>
      </c>
      <c r="B52" s="135" t="s">
        <v>147</v>
      </c>
      <c r="C52" s="136"/>
      <c r="D52" s="85">
        <v>44753425</v>
      </c>
      <c r="E52" s="85">
        <v>44753425</v>
      </c>
      <c r="F52" s="85">
        <v>45127067</v>
      </c>
      <c r="G52" s="85">
        <v>45127067</v>
      </c>
      <c r="J52" s="118"/>
    </row>
    <row r="53" spans="1:10" ht="39" customHeight="1">
      <c r="A53" s="139" t="s">
        <v>148</v>
      </c>
      <c r="B53" s="135" t="s">
        <v>149</v>
      </c>
      <c r="C53" s="136"/>
      <c r="D53" s="85">
        <v>0</v>
      </c>
      <c r="E53" s="85">
        <v>0</v>
      </c>
      <c r="F53" s="85">
        <v>0</v>
      </c>
      <c r="G53" s="85">
        <v>0</v>
      </c>
      <c r="J53" s="118"/>
    </row>
    <row r="54" spans="1:10" ht="39" customHeight="1">
      <c r="A54" s="139" t="s">
        <v>258</v>
      </c>
      <c r="B54" s="141" t="s">
        <v>150</v>
      </c>
      <c r="C54" s="136"/>
      <c r="D54" s="85">
        <v>76596140</v>
      </c>
      <c r="E54" s="85">
        <v>76596140</v>
      </c>
      <c r="F54" s="85">
        <v>73969491</v>
      </c>
      <c r="G54" s="85">
        <v>73969491</v>
      </c>
      <c r="J54" s="118"/>
    </row>
    <row r="55" spans="1:10" ht="39" customHeight="1">
      <c r="A55" s="66" t="s">
        <v>65</v>
      </c>
      <c r="B55" s="142" t="s">
        <v>151</v>
      </c>
      <c r="C55" s="136"/>
      <c r="D55" s="85">
        <v>55191781</v>
      </c>
      <c r="E55" s="85">
        <v>55191781</v>
      </c>
      <c r="F55" s="85">
        <v>55226769</v>
      </c>
      <c r="G55" s="85">
        <v>55226769</v>
      </c>
      <c r="J55" s="118"/>
    </row>
    <row r="56" spans="1:10" ht="39" customHeight="1">
      <c r="A56" s="66" t="s">
        <v>152</v>
      </c>
      <c r="B56" s="142" t="s">
        <v>153</v>
      </c>
      <c r="C56" s="136"/>
      <c r="D56" s="85">
        <v>0</v>
      </c>
      <c r="E56" s="85">
        <v>0</v>
      </c>
      <c r="F56" s="85">
        <v>0</v>
      </c>
      <c r="G56" s="85">
        <v>0</v>
      </c>
      <c r="J56" s="118"/>
    </row>
    <row r="57" spans="1:10" ht="39" customHeight="1">
      <c r="A57" s="66" t="s">
        <v>154</v>
      </c>
      <c r="B57" s="142" t="s">
        <v>155</v>
      </c>
      <c r="C57" s="137"/>
      <c r="D57" s="85">
        <v>0</v>
      </c>
      <c r="E57" s="85">
        <v>0</v>
      </c>
      <c r="F57" s="85">
        <v>0</v>
      </c>
      <c r="G57" s="85">
        <v>0</v>
      </c>
      <c r="J57" s="118"/>
    </row>
    <row r="58" spans="1:10" ht="39" customHeight="1">
      <c r="A58" s="66" t="s">
        <v>259</v>
      </c>
      <c r="B58" s="142" t="s">
        <v>156</v>
      </c>
      <c r="C58" s="136"/>
      <c r="D58" s="85">
        <v>17300000</v>
      </c>
      <c r="E58" s="85">
        <v>17300000</v>
      </c>
      <c r="F58" s="85">
        <v>8100000</v>
      </c>
      <c r="G58" s="85">
        <v>8100000</v>
      </c>
      <c r="J58" s="118"/>
    </row>
    <row r="59" spans="1:10" ht="39" customHeight="1">
      <c r="A59" s="66" t="s">
        <v>66</v>
      </c>
      <c r="B59" s="142" t="s">
        <v>157</v>
      </c>
      <c r="C59" s="137"/>
      <c r="D59" s="85">
        <v>0</v>
      </c>
      <c r="E59" s="85">
        <v>0</v>
      </c>
      <c r="F59" s="85">
        <v>0</v>
      </c>
      <c r="G59" s="85">
        <v>0</v>
      </c>
      <c r="J59" s="118"/>
    </row>
    <row r="60" spans="1:10" ht="39" customHeight="1">
      <c r="A60" s="66" t="s">
        <v>260</v>
      </c>
      <c r="B60" s="142" t="s">
        <v>158</v>
      </c>
      <c r="C60" s="137"/>
      <c r="D60" s="85">
        <v>0</v>
      </c>
      <c r="E60" s="85">
        <v>0</v>
      </c>
      <c r="F60" s="85">
        <v>0</v>
      </c>
      <c r="G60" s="85">
        <v>0</v>
      </c>
      <c r="J60" s="118"/>
    </row>
    <row r="61" spans="1:10" ht="39" customHeight="1">
      <c r="A61" s="66" t="s">
        <v>261</v>
      </c>
      <c r="B61" s="142" t="s">
        <v>159</v>
      </c>
      <c r="C61" s="137"/>
      <c r="D61" s="85">
        <v>0</v>
      </c>
      <c r="E61" s="85">
        <v>0</v>
      </c>
      <c r="F61" s="85">
        <v>0</v>
      </c>
      <c r="G61" s="85">
        <v>0</v>
      </c>
      <c r="J61" s="118"/>
    </row>
    <row r="62" spans="1:10" ht="39" customHeight="1">
      <c r="A62" s="66" t="s">
        <v>73</v>
      </c>
      <c r="B62" s="142" t="s">
        <v>160</v>
      </c>
      <c r="C62" s="137"/>
      <c r="D62" s="85">
        <v>4104359</v>
      </c>
      <c r="E62" s="85">
        <v>4104359</v>
      </c>
      <c r="F62" s="85">
        <v>9542722</v>
      </c>
      <c r="G62" s="85">
        <v>9542722</v>
      </c>
      <c r="J62" s="118"/>
    </row>
    <row r="63" spans="1:10" ht="39" customHeight="1">
      <c r="A63" s="66" t="s">
        <v>67</v>
      </c>
      <c r="B63" s="142" t="s">
        <v>161</v>
      </c>
      <c r="C63" s="137"/>
      <c r="D63" s="85">
        <v>0</v>
      </c>
      <c r="E63" s="85">
        <v>0</v>
      </c>
      <c r="F63" s="85">
        <v>0</v>
      </c>
      <c r="G63" s="85">
        <v>0</v>
      </c>
      <c r="J63" s="118"/>
    </row>
    <row r="64" spans="1:10" ht="39" customHeight="1">
      <c r="A64" s="66" t="s">
        <v>246</v>
      </c>
      <c r="B64" s="142" t="s">
        <v>162</v>
      </c>
      <c r="C64" s="136"/>
      <c r="D64" s="85">
        <v>0</v>
      </c>
      <c r="E64" s="85">
        <v>0</v>
      </c>
      <c r="F64" s="85">
        <v>0</v>
      </c>
      <c r="G64" s="85">
        <v>0</v>
      </c>
      <c r="J64" s="118"/>
    </row>
    <row r="65" spans="1:10" ht="39" customHeight="1">
      <c r="A65" s="66" t="s">
        <v>289</v>
      </c>
      <c r="B65" s="142" t="s">
        <v>163</v>
      </c>
      <c r="C65" s="136"/>
      <c r="D65" s="85">
        <v>0</v>
      </c>
      <c r="E65" s="85">
        <v>0</v>
      </c>
      <c r="F65" s="85">
        <v>1100000</v>
      </c>
      <c r="G65" s="85">
        <v>1100000</v>
      </c>
      <c r="J65" s="118"/>
    </row>
    <row r="66" spans="1:10" ht="39" customHeight="1">
      <c r="A66" s="66" t="s">
        <v>262</v>
      </c>
      <c r="B66" s="142" t="s">
        <v>164</v>
      </c>
      <c r="C66" s="136"/>
      <c r="D66" s="85">
        <v>0</v>
      </c>
      <c r="E66" s="85">
        <v>0</v>
      </c>
      <c r="F66" s="85">
        <v>0</v>
      </c>
      <c r="G66" s="85">
        <v>0</v>
      </c>
      <c r="J66" s="118"/>
    </row>
    <row r="67" spans="1:10" ht="39" customHeight="1">
      <c r="A67" s="66" t="s">
        <v>263</v>
      </c>
      <c r="B67" s="142" t="s">
        <v>165</v>
      </c>
      <c r="C67" s="136"/>
      <c r="D67" s="85">
        <v>0</v>
      </c>
      <c r="E67" s="85">
        <v>0</v>
      </c>
      <c r="F67" s="85">
        <v>0</v>
      </c>
      <c r="G67" s="85">
        <v>0</v>
      </c>
      <c r="J67" s="118"/>
    </row>
    <row r="68" spans="1:10" ht="39" customHeight="1">
      <c r="A68" s="66" t="s">
        <v>166</v>
      </c>
      <c r="B68" s="142" t="s">
        <v>167</v>
      </c>
      <c r="C68" s="136"/>
      <c r="D68" s="85">
        <v>0</v>
      </c>
      <c r="E68" s="85">
        <v>0</v>
      </c>
      <c r="F68" s="85">
        <v>0</v>
      </c>
      <c r="G68" s="85">
        <v>0</v>
      </c>
      <c r="J68" s="118"/>
    </row>
    <row r="69" spans="1:10" s="118" customFormat="1" ht="45" customHeight="1">
      <c r="A69" s="131" t="s">
        <v>168</v>
      </c>
      <c r="B69" s="132" t="s">
        <v>169</v>
      </c>
      <c r="C69" s="133"/>
      <c r="D69" s="80">
        <v>51099476926</v>
      </c>
      <c r="E69" s="80">
        <v>51099476926</v>
      </c>
      <c r="F69" s="80">
        <v>-218624918757</v>
      </c>
      <c r="G69" s="80">
        <v>-218624918757</v>
      </c>
    </row>
    <row r="70" spans="1:10" s="118" customFormat="1" ht="39" customHeight="1">
      <c r="A70" s="131" t="s">
        <v>170</v>
      </c>
      <c r="B70" s="132" t="s">
        <v>171</v>
      </c>
      <c r="C70" s="133"/>
      <c r="D70" s="80">
        <v>0</v>
      </c>
      <c r="E70" s="80">
        <v>0</v>
      </c>
      <c r="F70" s="80">
        <v>0</v>
      </c>
      <c r="G70" s="80">
        <v>0</v>
      </c>
    </row>
    <row r="71" spans="1:10" ht="39" customHeight="1">
      <c r="A71" s="134" t="s">
        <v>308</v>
      </c>
      <c r="B71" s="138" t="s">
        <v>172</v>
      </c>
      <c r="C71" s="137"/>
      <c r="D71" s="85">
        <v>0</v>
      </c>
      <c r="E71" s="85">
        <v>0</v>
      </c>
      <c r="F71" s="85">
        <v>0</v>
      </c>
      <c r="G71" s="85">
        <v>0</v>
      </c>
      <c r="J71" s="118"/>
    </row>
    <row r="72" spans="1:10" ht="39" customHeight="1">
      <c r="A72" s="134" t="s">
        <v>264</v>
      </c>
      <c r="B72" s="138" t="s">
        <v>173</v>
      </c>
      <c r="C72" s="137"/>
      <c r="D72" s="85">
        <v>0</v>
      </c>
      <c r="E72" s="85">
        <v>0</v>
      </c>
      <c r="F72" s="85">
        <v>0</v>
      </c>
      <c r="G72" s="85">
        <v>0</v>
      </c>
      <c r="J72" s="118"/>
    </row>
    <row r="73" spans="1:10" s="118" customFormat="1" ht="48" customHeight="1">
      <c r="A73" s="131" t="s">
        <v>174</v>
      </c>
      <c r="B73" s="132" t="s">
        <v>175</v>
      </c>
      <c r="C73" s="133"/>
      <c r="D73" s="80">
        <v>51099476926</v>
      </c>
      <c r="E73" s="80">
        <v>51099476926</v>
      </c>
      <c r="F73" s="80">
        <v>-218624918757</v>
      </c>
      <c r="G73" s="80">
        <v>-218624918757</v>
      </c>
    </row>
    <row r="74" spans="1:10" ht="39" customHeight="1">
      <c r="A74" s="139" t="s">
        <v>176</v>
      </c>
      <c r="B74" s="135" t="s">
        <v>177</v>
      </c>
      <c r="C74" s="137"/>
      <c r="D74" s="85">
        <v>10979255845</v>
      </c>
      <c r="E74" s="85">
        <v>10979255845</v>
      </c>
      <c r="F74" s="85">
        <v>6371753175</v>
      </c>
      <c r="G74" s="85">
        <v>6371753175</v>
      </c>
      <c r="J74" s="118"/>
    </row>
    <row r="75" spans="1:10" ht="39" customHeight="1">
      <c r="A75" s="139" t="s">
        <v>178</v>
      </c>
      <c r="B75" s="135" t="s">
        <v>179</v>
      </c>
      <c r="C75" s="137"/>
      <c r="D75" s="85">
        <v>40120221081</v>
      </c>
      <c r="E75" s="85">
        <v>40120221081</v>
      </c>
      <c r="F75" s="85">
        <v>-224996671932</v>
      </c>
      <c r="G75" s="85">
        <v>-224996671932</v>
      </c>
      <c r="J75" s="118"/>
    </row>
    <row r="76" spans="1:10" s="118" customFormat="1" ht="39" customHeight="1">
      <c r="A76" s="131" t="s">
        <v>180</v>
      </c>
      <c r="B76" s="132" t="s">
        <v>181</v>
      </c>
      <c r="C76" s="133"/>
      <c r="D76" s="80">
        <v>0</v>
      </c>
      <c r="E76" s="80">
        <v>0</v>
      </c>
      <c r="F76" s="80">
        <v>0</v>
      </c>
      <c r="G76" s="80">
        <v>0</v>
      </c>
    </row>
    <row r="77" spans="1:10" s="118" customFormat="1" ht="43.5" customHeight="1">
      <c r="A77" s="131" t="s">
        <v>182</v>
      </c>
      <c r="B77" s="132" t="s">
        <v>183</v>
      </c>
      <c r="C77" s="133"/>
      <c r="D77" s="80">
        <v>51099476926</v>
      </c>
      <c r="E77" s="80">
        <v>51099476926</v>
      </c>
      <c r="F77" s="80">
        <v>-218624918757</v>
      </c>
      <c r="G77" s="80">
        <v>-218624918757</v>
      </c>
    </row>
    <row r="80" spans="1:10" s="118" customFormat="1" ht="17" customHeight="1">
      <c r="A80" s="126" t="s">
        <v>184</v>
      </c>
      <c r="B80" s="263" t="s">
        <v>185</v>
      </c>
      <c r="C80" s="263"/>
      <c r="D80" s="263"/>
      <c r="E80" s="263"/>
      <c r="F80" s="263"/>
      <c r="G80" s="263"/>
    </row>
    <row r="93" spans="1:7">
      <c r="A93" s="107" t="s">
        <v>563</v>
      </c>
      <c r="B93" s="253" t="s">
        <v>564</v>
      </c>
      <c r="C93" s="253"/>
      <c r="D93" s="253"/>
      <c r="E93" s="253"/>
      <c r="F93" s="253" t="s">
        <v>565</v>
      </c>
      <c r="G93" s="253"/>
    </row>
    <row r="94" spans="1:7" ht="17" customHeight="1">
      <c r="A94" s="216" t="s">
        <v>873</v>
      </c>
      <c r="B94" s="254" t="s">
        <v>796</v>
      </c>
      <c r="C94" s="254"/>
      <c r="D94" s="254"/>
      <c r="E94" s="254"/>
      <c r="F94" s="254" t="s">
        <v>786</v>
      </c>
      <c r="G94" s="254"/>
    </row>
    <row r="95" spans="1:7" ht="17" customHeight="1">
      <c r="A95" s="144" t="s">
        <v>797</v>
      </c>
      <c r="B95" s="255" t="s">
        <v>798</v>
      </c>
      <c r="C95" s="255"/>
      <c r="D95" s="255"/>
      <c r="E95" s="255"/>
      <c r="F95" s="255" t="s">
        <v>788</v>
      </c>
      <c r="G95" s="25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7" zoomScaleNormal="100" zoomScaleSheetLayoutView="100" workbookViewId="0">
      <selection activeCell="C133" sqref="C133"/>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6" width="38.54296875" style="59" customWidth="1"/>
    <col min="7" max="7" width="8.6328125" style="43"/>
    <col min="8" max="16384" width="8.6328125" style="104"/>
  </cols>
  <sheetData>
    <row r="1" spans="1:6" ht="23.75" customHeight="1">
      <c r="A1" s="266" t="s">
        <v>186</v>
      </c>
      <c r="B1" s="266"/>
      <c r="C1" s="266"/>
      <c r="D1" s="266"/>
      <c r="E1" s="266"/>
      <c r="F1" s="266"/>
    </row>
    <row r="2" spans="1:6" ht="32.75" customHeight="1">
      <c r="A2" s="267" t="s">
        <v>98</v>
      </c>
      <c r="B2" s="267"/>
      <c r="C2" s="267"/>
      <c r="D2" s="267"/>
      <c r="E2" s="267"/>
      <c r="F2" s="267"/>
    </row>
    <row r="3" spans="1:6" ht="31.25" customHeight="1">
      <c r="A3" s="268" t="s">
        <v>187</v>
      </c>
      <c r="B3" s="268"/>
      <c r="C3" s="268"/>
      <c r="D3" s="268"/>
      <c r="E3" s="268"/>
      <c r="F3" s="268"/>
    </row>
    <row r="4" spans="1:6" ht="6" customHeight="1"/>
    <row r="5" spans="1:6" ht="17" customHeight="1">
      <c r="A5" s="269" t="s">
        <v>777</v>
      </c>
      <c r="B5" s="269"/>
      <c r="C5" s="269"/>
      <c r="D5" s="269"/>
      <c r="E5" s="269"/>
      <c r="F5" s="269"/>
    </row>
    <row r="6" spans="1:6" ht="17" customHeight="1"/>
    <row r="7" spans="1:6" ht="17" customHeight="1">
      <c r="A7" s="158" t="s">
        <v>2</v>
      </c>
      <c r="C7" s="264" t="s">
        <v>779</v>
      </c>
      <c r="D7" s="264"/>
      <c r="E7" s="264"/>
      <c r="F7" s="264"/>
    </row>
    <row r="8" spans="1:6" ht="17" customHeight="1">
      <c r="A8" s="59" t="s">
        <v>40</v>
      </c>
      <c r="C8" s="265" t="s">
        <v>780</v>
      </c>
      <c r="D8" s="265"/>
      <c r="E8" s="265"/>
      <c r="F8" s="265"/>
    </row>
    <row r="9" spans="1:6" ht="17" customHeight="1">
      <c r="A9" s="158" t="s">
        <v>3</v>
      </c>
      <c r="C9" s="264" t="s">
        <v>781</v>
      </c>
      <c r="D9" s="264"/>
      <c r="E9" s="264"/>
      <c r="F9" s="264"/>
    </row>
    <row r="10" spans="1:6" ht="17" customHeight="1">
      <c r="A10" s="59" t="s">
        <v>4</v>
      </c>
      <c r="C10" s="265" t="s">
        <v>782</v>
      </c>
      <c r="D10" s="265"/>
      <c r="E10" s="265"/>
      <c r="F10" s="265"/>
    </row>
    <row r="11" spans="1:6" ht="17" customHeight="1">
      <c r="A11" s="158" t="s">
        <v>5</v>
      </c>
      <c r="C11" s="264" t="s">
        <v>225</v>
      </c>
      <c r="D11" s="264"/>
      <c r="E11" s="264"/>
      <c r="F11" s="264"/>
    </row>
    <row r="12" spans="1:6" ht="17" customHeight="1">
      <c r="A12" s="59" t="s">
        <v>6</v>
      </c>
      <c r="C12" s="265" t="s">
        <v>783</v>
      </c>
      <c r="D12" s="265"/>
      <c r="E12" s="265"/>
      <c r="F12" s="265"/>
    </row>
    <row r="13" spans="1:6" ht="17" customHeight="1">
      <c r="A13" s="158" t="s">
        <v>7</v>
      </c>
      <c r="C13" s="264" t="s">
        <v>784</v>
      </c>
      <c r="D13" s="264"/>
      <c r="E13" s="264"/>
      <c r="F13" s="264"/>
    </row>
    <row r="14" spans="1:6" ht="17" customHeight="1">
      <c r="A14" s="59" t="s">
        <v>8</v>
      </c>
      <c r="C14" s="265" t="s">
        <v>785</v>
      </c>
      <c r="D14" s="265"/>
      <c r="E14" s="265"/>
      <c r="F14" s="265"/>
    </row>
    <row r="15" spans="1:6" ht="17" customHeight="1"/>
    <row r="16" spans="1:6" ht="47" customHeight="1">
      <c r="A16" s="105" t="s">
        <v>188</v>
      </c>
      <c r="B16" s="105" t="s">
        <v>100</v>
      </c>
      <c r="C16" s="105" t="s">
        <v>101</v>
      </c>
      <c r="D16" s="105" t="s">
        <v>102</v>
      </c>
      <c r="E16" s="105" t="s">
        <v>789</v>
      </c>
      <c r="F16" s="105" t="s">
        <v>790</v>
      </c>
    </row>
    <row r="17" spans="1:7" ht="39" customHeight="1">
      <c r="A17" s="61" t="s">
        <v>41</v>
      </c>
      <c r="B17" s="159" t="s">
        <v>342</v>
      </c>
      <c r="C17" s="53" t="s">
        <v>41</v>
      </c>
      <c r="D17" s="80"/>
      <c r="E17" s="80"/>
      <c r="F17" s="80"/>
    </row>
    <row r="18" spans="1:7" ht="39" customHeight="1">
      <c r="A18" s="161" t="s">
        <v>343</v>
      </c>
      <c r="B18" s="162" t="s">
        <v>344</v>
      </c>
      <c r="C18" s="163" t="s">
        <v>345</v>
      </c>
      <c r="D18" s="161"/>
      <c r="E18" s="160">
        <v>13601078113</v>
      </c>
      <c r="F18" s="160">
        <v>46497927740</v>
      </c>
    </row>
    <row r="19" spans="1:7" ht="39" customHeight="1">
      <c r="A19" s="161" t="s">
        <v>346</v>
      </c>
      <c r="B19" s="162" t="s">
        <v>347</v>
      </c>
      <c r="C19" s="163" t="s">
        <v>348</v>
      </c>
      <c r="D19" s="161"/>
      <c r="E19" s="160">
        <v>13601078113</v>
      </c>
      <c r="F19" s="160">
        <v>46497927740</v>
      </c>
    </row>
    <row r="20" spans="1:7" s="167" customFormat="1" ht="49.25" customHeight="1">
      <c r="A20" s="161" t="s">
        <v>349</v>
      </c>
      <c r="B20" s="164" t="s">
        <v>350</v>
      </c>
      <c r="C20" s="165" t="s">
        <v>351</v>
      </c>
      <c r="D20" s="161"/>
      <c r="E20" s="160">
        <v>0</v>
      </c>
      <c r="F20" s="160">
        <v>0</v>
      </c>
      <c r="G20" s="166"/>
    </row>
    <row r="21" spans="1:7" s="167" customFormat="1" ht="46.5" customHeight="1">
      <c r="A21" s="161" t="s">
        <v>349</v>
      </c>
      <c r="B21" s="164" t="s">
        <v>352</v>
      </c>
      <c r="C21" s="165" t="s">
        <v>353</v>
      </c>
      <c r="D21" s="161"/>
      <c r="E21" s="160">
        <v>125123389</v>
      </c>
      <c r="F21" s="160">
        <v>226700815</v>
      </c>
      <c r="G21" s="166"/>
    </row>
    <row r="22" spans="1:7" s="167" customFormat="1" ht="39" customHeight="1">
      <c r="A22" s="161" t="s">
        <v>349</v>
      </c>
      <c r="B22" s="164" t="s">
        <v>354</v>
      </c>
      <c r="C22" s="165" t="s">
        <v>355</v>
      </c>
      <c r="D22" s="161"/>
      <c r="E22" s="160">
        <v>13475839515</v>
      </c>
      <c r="F22" s="160">
        <v>41972659771</v>
      </c>
      <c r="G22" s="166"/>
    </row>
    <row r="23" spans="1:7" ht="47.75" customHeight="1">
      <c r="A23" s="161" t="s">
        <v>349</v>
      </c>
      <c r="B23" s="164" t="s">
        <v>46</v>
      </c>
      <c r="C23" s="165" t="s">
        <v>356</v>
      </c>
      <c r="D23" s="161"/>
      <c r="E23" s="160">
        <v>115209</v>
      </c>
      <c r="F23" s="160">
        <v>4298567154</v>
      </c>
    </row>
    <row r="24" spans="1:7" ht="39" customHeight="1">
      <c r="A24" s="161" t="s">
        <v>357</v>
      </c>
      <c r="B24" s="162" t="s">
        <v>358</v>
      </c>
      <c r="C24" s="163" t="s">
        <v>359</v>
      </c>
      <c r="D24" s="161"/>
      <c r="E24" s="160">
        <v>0</v>
      </c>
      <c r="F24" s="160">
        <v>0</v>
      </c>
    </row>
    <row r="25" spans="1:7" ht="39" customHeight="1">
      <c r="A25" s="161" t="s">
        <v>360</v>
      </c>
      <c r="B25" s="162" t="s">
        <v>361</v>
      </c>
      <c r="C25" s="163" t="s">
        <v>362</v>
      </c>
      <c r="D25" s="161"/>
      <c r="E25" s="160">
        <v>607539056450</v>
      </c>
      <c r="F25" s="160">
        <v>493298290900</v>
      </c>
    </row>
    <row r="26" spans="1:7" ht="39" customHeight="1">
      <c r="A26" s="161" t="s">
        <v>363</v>
      </c>
      <c r="B26" s="162" t="s">
        <v>364</v>
      </c>
      <c r="C26" s="163" t="s">
        <v>365</v>
      </c>
      <c r="D26" s="161"/>
      <c r="E26" s="160">
        <v>607539056450</v>
      </c>
      <c r="F26" s="160">
        <v>493298290900</v>
      </c>
    </row>
    <row r="27" spans="1:7" ht="39" customHeight="1">
      <c r="A27" s="161" t="s">
        <v>349</v>
      </c>
      <c r="B27" s="164" t="s">
        <v>366</v>
      </c>
      <c r="C27" s="165" t="s">
        <v>367</v>
      </c>
      <c r="D27" s="161"/>
      <c r="E27" s="160">
        <v>542545631850</v>
      </c>
      <c r="F27" s="160">
        <v>448298290900</v>
      </c>
    </row>
    <row r="28" spans="1:7" ht="39" customHeight="1">
      <c r="A28" s="161" t="s">
        <v>349</v>
      </c>
      <c r="B28" s="164" t="s">
        <v>368</v>
      </c>
      <c r="C28" s="165" t="s">
        <v>369</v>
      </c>
      <c r="D28" s="161"/>
      <c r="E28" s="160">
        <v>0</v>
      </c>
      <c r="F28" s="160">
        <v>0</v>
      </c>
    </row>
    <row r="29" spans="1:7" ht="39" customHeight="1">
      <c r="A29" s="161" t="s">
        <v>349</v>
      </c>
      <c r="B29" s="164" t="s">
        <v>370</v>
      </c>
      <c r="C29" s="165" t="s">
        <v>371</v>
      </c>
      <c r="D29" s="161"/>
      <c r="E29" s="160">
        <v>0</v>
      </c>
      <c r="F29" s="160">
        <v>0</v>
      </c>
    </row>
    <row r="30" spans="1:7" ht="39" customHeight="1">
      <c r="A30" s="161" t="s">
        <v>349</v>
      </c>
      <c r="B30" s="164" t="s">
        <v>372</v>
      </c>
      <c r="C30" s="165" t="s">
        <v>373</v>
      </c>
      <c r="D30" s="161"/>
      <c r="E30" s="160">
        <v>19993424600</v>
      </c>
      <c r="F30" s="160">
        <v>0</v>
      </c>
    </row>
    <row r="31" spans="1:7" ht="39" customHeight="1">
      <c r="A31" s="161" t="s">
        <v>349</v>
      </c>
      <c r="B31" s="164" t="s">
        <v>374</v>
      </c>
      <c r="C31" s="165" t="s">
        <v>375</v>
      </c>
      <c r="D31" s="161"/>
      <c r="E31" s="160">
        <v>45000000000</v>
      </c>
      <c r="F31" s="160">
        <v>45000000000</v>
      </c>
    </row>
    <row r="32" spans="1:7" ht="39" customHeight="1">
      <c r="A32" s="161" t="s">
        <v>349</v>
      </c>
      <c r="B32" s="164" t="s">
        <v>329</v>
      </c>
      <c r="C32" s="165" t="s">
        <v>376</v>
      </c>
      <c r="D32" s="161"/>
      <c r="E32" s="160">
        <v>0</v>
      </c>
      <c r="F32" s="160">
        <v>0</v>
      </c>
    </row>
    <row r="33" spans="1:6" ht="39" customHeight="1">
      <c r="A33" s="161" t="s">
        <v>349</v>
      </c>
      <c r="B33" s="164" t="s">
        <v>330</v>
      </c>
      <c r="C33" s="165" t="s">
        <v>377</v>
      </c>
      <c r="D33" s="161"/>
      <c r="E33" s="160">
        <v>0</v>
      </c>
      <c r="F33" s="160">
        <v>0</v>
      </c>
    </row>
    <row r="34" spans="1:6" ht="39" customHeight="1">
      <c r="A34" s="161" t="s">
        <v>349</v>
      </c>
      <c r="B34" s="164" t="s">
        <v>331</v>
      </c>
      <c r="C34" s="165" t="s">
        <v>378</v>
      </c>
      <c r="D34" s="161"/>
      <c r="E34" s="160">
        <v>0</v>
      </c>
      <c r="F34" s="160">
        <v>0</v>
      </c>
    </row>
    <row r="35" spans="1:6" ht="39" customHeight="1">
      <c r="A35" s="161" t="s">
        <v>349</v>
      </c>
      <c r="B35" s="164" t="s">
        <v>379</v>
      </c>
      <c r="C35" s="165" t="s">
        <v>380</v>
      </c>
      <c r="D35" s="161"/>
      <c r="E35" s="160">
        <v>0</v>
      </c>
      <c r="F35" s="160">
        <v>0</v>
      </c>
    </row>
    <row r="36" spans="1:6" ht="39" customHeight="1">
      <c r="A36" s="161" t="s">
        <v>349</v>
      </c>
      <c r="B36" s="164" t="s">
        <v>332</v>
      </c>
      <c r="C36" s="165" t="s">
        <v>381</v>
      </c>
      <c r="D36" s="161"/>
      <c r="E36" s="160">
        <v>0</v>
      </c>
      <c r="F36" s="160">
        <v>0</v>
      </c>
    </row>
    <row r="37" spans="1:6" ht="39" customHeight="1">
      <c r="A37" s="161" t="s">
        <v>382</v>
      </c>
      <c r="B37" s="162" t="s">
        <v>383</v>
      </c>
      <c r="C37" s="163" t="s">
        <v>384</v>
      </c>
      <c r="D37" s="161"/>
      <c r="E37" s="160">
        <v>0</v>
      </c>
      <c r="F37" s="160">
        <v>0</v>
      </c>
    </row>
    <row r="38" spans="1:6" ht="39" customHeight="1">
      <c r="A38" s="161" t="s">
        <v>385</v>
      </c>
      <c r="B38" s="162" t="s">
        <v>386</v>
      </c>
      <c r="C38" s="163" t="s">
        <v>387</v>
      </c>
      <c r="D38" s="161"/>
      <c r="E38" s="160">
        <v>1360117932</v>
      </c>
      <c r="F38" s="160">
        <v>2234411093</v>
      </c>
    </row>
    <row r="39" spans="1:6" ht="39" customHeight="1">
      <c r="A39" s="161" t="s">
        <v>388</v>
      </c>
      <c r="B39" s="162" t="s">
        <v>389</v>
      </c>
      <c r="C39" s="163" t="s">
        <v>390</v>
      </c>
      <c r="D39" s="161"/>
      <c r="E39" s="160">
        <v>5286600</v>
      </c>
      <c r="F39" s="160">
        <v>154710</v>
      </c>
    </row>
    <row r="40" spans="1:6" ht="43.25" customHeight="1">
      <c r="A40" s="161" t="s">
        <v>349</v>
      </c>
      <c r="B40" s="164" t="s">
        <v>391</v>
      </c>
      <c r="C40" s="165" t="s">
        <v>392</v>
      </c>
      <c r="D40" s="161"/>
      <c r="E40" s="160">
        <v>0</v>
      </c>
      <c r="F40" s="160">
        <v>0</v>
      </c>
    </row>
    <row r="41" spans="1:6" ht="47" customHeight="1">
      <c r="A41" s="161" t="s">
        <v>393</v>
      </c>
      <c r="B41" s="162" t="s">
        <v>394</v>
      </c>
      <c r="C41" s="163" t="s">
        <v>395</v>
      </c>
      <c r="D41" s="161"/>
      <c r="E41" s="160">
        <v>2221231332</v>
      </c>
      <c r="F41" s="160">
        <v>3100656383</v>
      </c>
    </row>
    <row r="42" spans="1:6" ht="44" customHeight="1">
      <c r="A42" s="161" t="s">
        <v>396</v>
      </c>
      <c r="B42" s="162" t="s">
        <v>397</v>
      </c>
      <c r="C42" s="163" t="s">
        <v>398</v>
      </c>
      <c r="D42" s="161"/>
      <c r="E42" s="160">
        <v>866400000</v>
      </c>
      <c r="F42" s="160">
        <v>866400000</v>
      </c>
    </row>
    <row r="43" spans="1:6" ht="39" customHeight="1">
      <c r="A43" s="161" t="s">
        <v>349</v>
      </c>
      <c r="B43" s="164" t="s">
        <v>333</v>
      </c>
      <c r="C43" s="165" t="s">
        <v>399</v>
      </c>
      <c r="D43" s="161"/>
      <c r="E43" s="160">
        <v>866400000</v>
      </c>
      <c r="F43" s="160">
        <v>866400000</v>
      </c>
    </row>
    <row r="44" spans="1:6" ht="39" customHeight="1">
      <c r="A44" s="161" t="s">
        <v>349</v>
      </c>
      <c r="B44" s="164" t="s">
        <v>334</v>
      </c>
      <c r="C44" s="165" t="s">
        <v>400</v>
      </c>
      <c r="D44" s="161"/>
      <c r="E44" s="160">
        <v>0</v>
      </c>
      <c r="F44" s="160">
        <v>0</v>
      </c>
    </row>
    <row r="45" spans="1:6" ht="46.25" customHeight="1">
      <c r="A45" s="161" t="s">
        <v>349</v>
      </c>
      <c r="B45" s="164" t="s">
        <v>401</v>
      </c>
      <c r="C45" s="165" t="s">
        <v>402</v>
      </c>
      <c r="D45" s="161"/>
      <c r="E45" s="160">
        <v>0</v>
      </c>
      <c r="F45" s="160">
        <v>0</v>
      </c>
    </row>
    <row r="46" spans="1:6" ht="44.75" customHeight="1">
      <c r="A46" s="161" t="s">
        <v>349</v>
      </c>
      <c r="B46" s="164" t="s">
        <v>403</v>
      </c>
      <c r="C46" s="165" t="s">
        <v>404</v>
      </c>
      <c r="D46" s="161"/>
      <c r="E46" s="160">
        <v>0</v>
      </c>
      <c r="F46" s="160">
        <v>0</v>
      </c>
    </row>
    <row r="47" spans="1:6" ht="39" customHeight="1">
      <c r="A47" s="161" t="s">
        <v>349</v>
      </c>
      <c r="B47" s="164" t="s">
        <v>405</v>
      </c>
      <c r="C47" s="165" t="s">
        <v>406</v>
      </c>
      <c r="D47" s="161"/>
      <c r="E47" s="160">
        <v>0</v>
      </c>
      <c r="F47" s="160">
        <v>0</v>
      </c>
    </row>
    <row r="48" spans="1:6" ht="56" customHeight="1">
      <c r="A48" s="161" t="s">
        <v>349</v>
      </c>
      <c r="B48" s="162" t="s">
        <v>407</v>
      </c>
      <c r="C48" s="163" t="s">
        <v>408</v>
      </c>
      <c r="D48" s="161"/>
      <c r="E48" s="160">
        <v>866400000</v>
      </c>
      <c r="F48" s="160">
        <v>866400000</v>
      </c>
    </row>
    <row r="49" spans="1:7" ht="39" customHeight="1">
      <c r="A49" s="161" t="s">
        <v>409</v>
      </c>
      <c r="B49" s="162" t="s">
        <v>410</v>
      </c>
      <c r="C49" s="163" t="s">
        <v>411</v>
      </c>
      <c r="D49" s="161"/>
      <c r="E49" s="160">
        <v>1354831332</v>
      </c>
      <c r="F49" s="160">
        <v>2234256383</v>
      </c>
    </row>
    <row r="50" spans="1:7" ht="39" customHeight="1">
      <c r="A50" s="161" t="s">
        <v>349</v>
      </c>
      <c r="B50" s="164" t="s">
        <v>412</v>
      </c>
      <c r="C50" s="165" t="s">
        <v>413</v>
      </c>
      <c r="D50" s="161"/>
      <c r="E50" s="160">
        <v>116146400</v>
      </c>
      <c r="F50" s="160">
        <v>1743092000</v>
      </c>
    </row>
    <row r="51" spans="1:7" ht="39" customHeight="1">
      <c r="A51" s="161" t="s">
        <v>349</v>
      </c>
      <c r="B51" s="164" t="s">
        <v>414</v>
      </c>
      <c r="C51" s="165" t="s">
        <v>415</v>
      </c>
      <c r="D51" s="161"/>
      <c r="E51" s="160">
        <v>92054795</v>
      </c>
      <c r="F51" s="160">
        <v>0</v>
      </c>
    </row>
    <row r="52" spans="1:7" ht="46.25" customHeight="1">
      <c r="A52" s="161" t="s">
        <v>349</v>
      </c>
      <c r="B52" s="164" t="s">
        <v>416</v>
      </c>
      <c r="C52" s="165" t="s">
        <v>417</v>
      </c>
      <c r="D52" s="161"/>
      <c r="E52" s="160">
        <v>0</v>
      </c>
      <c r="F52" s="160">
        <v>0</v>
      </c>
    </row>
    <row r="53" spans="1:7" ht="42" customHeight="1">
      <c r="A53" s="161" t="s">
        <v>349</v>
      </c>
      <c r="B53" s="164" t="s">
        <v>418</v>
      </c>
      <c r="C53" s="165" t="s">
        <v>419</v>
      </c>
      <c r="D53" s="161"/>
      <c r="E53" s="160">
        <v>0</v>
      </c>
      <c r="F53" s="160">
        <v>0</v>
      </c>
    </row>
    <row r="54" spans="1:7" ht="39" customHeight="1">
      <c r="A54" s="161" t="s">
        <v>349</v>
      </c>
      <c r="B54" s="164" t="s">
        <v>420</v>
      </c>
      <c r="C54" s="165" t="s">
        <v>421</v>
      </c>
      <c r="D54" s="161"/>
      <c r="E54" s="160">
        <v>1146630137</v>
      </c>
      <c r="F54" s="160">
        <v>491164383</v>
      </c>
    </row>
    <row r="55" spans="1:7" ht="39" customHeight="1">
      <c r="A55" s="161" t="s">
        <v>349</v>
      </c>
      <c r="B55" s="164" t="s">
        <v>422</v>
      </c>
      <c r="C55" s="165" t="s">
        <v>423</v>
      </c>
      <c r="D55" s="161"/>
      <c r="E55" s="160">
        <v>0</v>
      </c>
      <c r="F55" s="160">
        <v>0</v>
      </c>
    </row>
    <row r="56" spans="1:7" ht="39" customHeight="1">
      <c r="A56" s="161" t="s">
        <v>424</v>
      </c>
      <c r="B56" s="162" t="s">
        <v>425</v>
      </c>
      <c r="C56" s="163" t="s">
        <v>426</v>
      </c>
      <c r="D56" s="161"/>
      <c r="E56" s="160">
        <v>0</v>
      </c>
      <c r="F56" s="160">
        <v>0</v>
      </c>
    </row>
    <row r="57" spans="1:7" s="167" customFormat="1" ht="47" customHeight="1">
      <c r="A57" s="161" t="s">
        <v>349</v>
      </c>
      <c r="B57" s="164" t="s">
        <v>427</v>
      </c>
      <c r="C57" s="165" t="s">
        <v>428</v>
      </c>
      <c r="D57" s="161"/>
      <c r="E57" s="160">
        <v>0</v>
      </c>
      <c r="F57" s="160">
        <v>0</v>
      </c>
      <c r="G57" s="166"/>
    </row>
    <row r="58" spans="1:7" ht="39" customHeight="1">
      <c r="A58" s="161" t="s">
        <v>349</v>
      </c>
      <c r="B58" s="164" t="s">
        <v>429</v>
      </c>
      <c r="C58" s="165" t="s">
        <v>430</v>
      </c>
      <c r="D58" s="161"/>
      <c r="E58" s="160">
        <v>0</v>
      </c>
      <c r="F58" s="160">
        <v>0</v>
      </c>
    </row>
    <row r="59" spans="1:7" ht="39" customHeight="1">
      <c r="A59" s="161" t="s">
        <v>349</v>
      </c>
      <c r="B59" s="164" t="s">
        <v>431</v>
      </c>
      <c r="C59" s="165" t="s">
        <v>432</v>
      </c>
      <c r="D59" s="161"/>
      <c r="E59" s="160">
        <v>0</v>
      </c>
      <c r="F59" s="160">
        <v>0</v>
      </c>
    </row>
    <row r="60" spans="1:7" ht="39" customHeight="1">
      <c r="A60" s="161" t="s">
        <v>433</v>
      </c>
      <c r="B60" s="162" t="s">
        <v>434</v>
      </c>
      <c r="C60" s="163" t="s">
        <v>435</v>
      </c>
      <c r="D60" s="161"/>
      <c r="E60" s="160">
        <v>-866400000</v>
      </c>
      <c r="F60" s="160">
        <v>-866400000</v>
      </c>
    </row>
    <row r="61" spans="1:7" ht="39" customHeight="1">
      <c r="A61" s="61" t="s">
        <v>349</v>
      </c>
      <c r="B61" s="159" t="s">
        <v>335</v>
      </c>
      <c r="C61" s="53" t="s">
        <v>436</v>
      </c>
      <c r="D61" s="80"/>
      <c r="E61" s="80">
        <v>622500252495</v>
      </c>
      <c r="F61" s="80">
        <v>542030629733</v>
      </c>
    </row>
    <row r="62" spans="1:7" ht="39" customHeight="1">
      <c r="A62" s="61" t="s">
        <v>47</v>
      </c>
      <c r="B62" s="159" t="s">
        <v>437</v>
      </c>
      <c r="C62" s="53" t="s">
        <v>47</v>
      </c>
      <c r="D62" s="80"/>
      <c r="E62" s="80"/>
      <c r="F62" s="80"/>
    </row>
    <row r="63" spans="1:7" ht="39" customHeight="1">
      <c r="A63" s="161" t="s">
        <v>343</v>
      </c>
      <c r="B63" s="162" t="s">
        <v>438</v>
      </c>
      <c r="C63" s="163" t="s">
        <v>439</v>
      </c>
      <c r="D63" s="161"/>
      <c r="E63" s="160">
        <v>0</v>
      </c>
      <c r="F63" s="160">
        <v>0</v>
      </c>
    </row>
    <row r="64" spans="1:7" ht="39" customHeight="1">
      <c r="A64" s="161" t="s">
        <v>349</v>
      </c>
      <c r="B64" s="164" t="s">
        <v>440</v>
      </c>
      <c r="C64" s="165" t="s">
        <v>441</v>
      </c>
      <c r="D64" s="161"/>
      <c r="E64" s="160">
        <v>0</v>
      </c>
      <c r="F64" s="160">
        <v>0</v>
      </c>
    </row>
    <row r="65" spans="1:6" ht="39" customHeight="1">
      <c r="A65" s="161" t="s">
        <v>349</v>
      </c>
      <c r="B65" s="164" t="s">
        <v>442</v>
      </c>
      <c r="C65" s="165" t="s">
        <v>443</v>
      </c>
      <c r="D65" s="161"/>
      <c r="E65" s="160">
        <v>0</v>
      </c>
      <c r="F65" s="160">
        <v>0</v>
      </c>
    </row>
    <row r="66" spans="1:6" ht="39" customHeight="1">
      <c r="A66" s="161" t="s">
        <v>360</v>
      </c>
      <c r="B66" s="162" t="s">
        <v>444</v>
      </c>
      <c r="C66" s="163" t="s">
        <v>445</v>
      </c>
      <c r="D66" s="161"/>
      <c r="E66" s="160">
        <v>0</v>
      </c>
      <c r="F66" s="160">
        <v>0</v>
      </c>
    </row>
    <row r="67" spans="1:6" ht="60" customHeight="1">
      <c r="A67" s="161" t="s">
        <v>385</v>
      </c>
      <c r="B67" s="162" t="s">
        <v>446</v>
      </c>
      <c r="C67" s="163" t="s">
        <v>447</v>
      </c>
      <c r="D67" s="161"/>
      <c r="E67" s="160">
        <v>191702692</v>
      </c>
      <c r="F67" s="160">
        <v>101250229</v>
      </c>
    </row>
    <row r="68" spans="1:6" ht="57.5" customHeight="1">
      <c r="A68" s="161" t="s">
        <v>349</v>
      </c>
      <c r="B68" s="164" t="s">
        <v>448</v>
      </c>
      <c r="C68" s="165" t="s">
        <v>449</v>
      </c>
      <c r="D68" s="161"/>
      <c r="E68" s="160">
        <v>113282552</v>
      </c>
      <c r="F68" s="160">
        <v>81218453</v>
      </c>
    </row>
    <row r="69" spans="1:6" ht="60" customHeight="1">
      <c r="A69" s="161" t="s">
        <v>349</v>
      </c>
      <c r="B69" s="164" t="s">
        <v>450</v>
      </c>
      <c r="C69" s="165" t="s">
        <v>451</v>
      </c>
      <c r="D69" s="161"/>
      <c r="E69" s="160">
        <v>78420140</v>
      </c>
      <c r="F69" s="160">
        <v>20031776</v>
      </c>
    </row>
    <row r="70" spans="1:6" ht="39" customHeight="1">
      <c r="A70" s="161" t="s">
        <v>452</v>
      </c>
      <c r="B70" s="162" t="s">
        <v>453</v>
      </c>
      <c r="C70" s="163" t="s">
        <v>454</v>
      </c>
      <c r="D70" s="161"/>
      <c r="E70" s="160">
        <v>16590610</v>
      </c>
      <c r="F70" s="160">
        <v>14880057</v>
      </c>
    </row>
    <row r="71" spans="1:6" ht="39" customHeight="1">
      <c r="A71" s="161" t="s">
        <v>455</v>
      </c>
      <c r="B71" s="162" t="s">
        <v>456</v>
      </c>
      <c r="C71" s="163" t="s">
        <v>457</v>
      </c>
      <c r="D71" s="161"/>
      <c r="E71" s="160">
        <v>39925000</v>
      </c>
      <c r="F71" s="160">
        <v>39925000</v>
      </c>
    </row>
    <row r="72" spans="1:6" ht="39" customHeight="1">
      <c r="A72" s="161" t="s">
        <v>458</v>
      </c>
      <c r="B72" s="162" t="s">
        <v>459</v>
      </c>
      <c r="C72" s="163" t="s">
        <v>460</v>
      </c>
      <c r="D72" s="161"/>
      <c r="E72" s="160">
        <v>179080726</v>
      </c>
      <c r="F72" s="160">
        <v>147135520</v>
      </c>
    </row>
    <row r="73" spans="1:6" ht="39" customHeight="1">
      <c r="A73" s="161" t="s">
        <v>349</v>
      </c>
      <c r="B73" s="164" t="s">
        <v>338</v>
      </c>
      <c r="C73" s="165" t="s">
        <v>461</v>
      </c>
      <c r="D73" s="161"/>
      <c r="E73" s="160">
        <v>25135520</v>
      </c>
      <c r="F73" s="160">
        <v>25135520</v>
      </c>
    </row>
    <row r="74" spans="1:6" ht="39" customHeight="1">
      <c r="A74" s="161" t="s">
        <v>349</v>
      </c>
      <c r="B74" s="164" t="s">
        <v>462</v>
      </c>
      <c r="C74" s="165" t="s">
        <v>463</v>
      </c>
      <c r="D74" s="161"/>
      <c r="E74" s="160">
        <v>25135520</v>
      </c>
      <c r="F74" s="160">
        <v>25135520</v>
      </c>
    </row>
    <row r="75" spans="1:6" ht="39" customHeight="1">
      <c r="A75" s="161" t="s">
        <v>349</v>
      </c>
      <c r="B75" s="164" t="s">
        <v>464</v>
      </c>
      <c r="C75" s="165" t="s">
        <v>465</v>
      </c>
      <c r="D75" s="161"/>
      <c r="E75" s="160">
        <v>0</v>
      </c>
      <c r="F75" s="160">
        <v>0</v>
      </c>
    </row>
    <row r="76" spans="1:6" ht="39" customHeight="1">
      <c r="A76" s="161" t="s">
        <v>349</v>
      </c>
      <c r="B76" s="164" t="s">
        <v>466</v>
      </c>
      <c r="C76" s="165" t="s">
        <v>467</v>
      </c>
      <c r="D76" s="161"/>
      <c r="E76" s="160">
        <v>132753425</v>
      </c>
      <c r="F76" s="160">
        <v>88000000</v>
      </c>
    </row>
    <row r="77" spans="1:6" ht="39" customHeight="1">
      <c r="A77" s="161" t="s">
        <v>349</v>
      </c>
      <c r="B77" s="164" t="s">
        <v>468</v>
      </c>
      <c r="C77" s="165" t="s">
        <v>469</v>
      </c>
      <c r="D77" s="161"/>
      <c r="E77" s="160">
        <v>0</v>
      </c>
      <c r="F77" s="160">
        <v>0</v>
      </c>
    </row>
    <row r="78" spans="1:6" ht="39" customHeight="1">
      <c r="A78" s="161" t="s">
        <v>349</v>
      </c>
      <c r="B78" s="164" t="s">
        <v>470</v>
      </c>
      <c r="C78" s="165" t="s">
        <v>471</v>
      </c>
      <c r="D78" s="161"/>
      <c r="E78" s="160">
        <v>0</v>
      </c>
      <c r="F78" s="160">
        <v>0</v>
      </c>
    </row>
    <row r="79" spans="1:6" ht="45.5" customHeight="1">
      <c r="A79" s="161" t="s">
        <v>349</v>
      </c>
      <c r="B79" s="164" t="s">
        <v>472</v>
      </c>
      <c r="C79" s="165" t="s">
        <v>473</v>
      </c>
      <c r="D79" s="161"/>
      <c r="E79" s="160">
        <v>21191781</v>
      </c>
      <c r="F79" s="160">
        <v>34000000</v>
      </c>
    </row>
    <row r="80" spans="1:6" ht="48.5" customHeight="1">
      <c r="A80" s="161" t="s">
        <v>349</v>
      </c>
      <c r="B80" s="164" t="s">
        <v>474</v>
      </c>
      <c r="C80" s="165" t="s">
        <v>475</v>
      </c>
      <c r="D80" s="161"/>
      <c r="E80" s="160">
        <v>0</v>
      </c>
      <c r="F80" s="160">
        <v>0</v>
      </c>
    </row>
    <row r="81" spans="1:6" ht="56.75" customHeight="1">
      <c r="A81" s="161" t="s">
        <v>349</v>
      </c>
      <c r="B81" s="164" t="s">
        <v>476</v>
      </c>
      <c r="C81" s="165" t="s">
        <v>477</v>
      </c>
      <c r="D81" s="161"/>
      <c r="E81" s="160">
        <v>0</v>
      </c>
      <c r="F81" s="160">
        <v>0</v>
      </c>
    </row>
    <row r="82" spans="1:6" ht="39" customHeight="1">
      <c r="A82" s="161" t="s">
        <v>478</v>
      </c>
      <c r="B82" s="162" t="s">
        <v>479</v>
      </c>
      <c r="C82" s="163" t="s">
        <v>480</v>
      </c>
      <c r="D82" s="161"/>
      <c r="E82" s="160">
        <v>996717820</v>
      </c>
      <c r="F82" s="160">
        <v>1048216969</v>
      </c>
    </row>
    <row r="83" spans="1:6" ht="39" customHeight="1">
      <c r="A83" s="161" t="s">
        <v>349</v>
      </c>
      <c r="B83" s="164" t="s">
        <v>336</v>
      </c>
      <c r="C83" s="165" t="s">
        <v>481</v>
      </c>
      <c r="D83" s="161"/>
      <c r="E83" s="160">
        <v>996717820</v>
      </c>
      <c r="F83" s="160">
        <v>1048216969</v>
      </c>
    </row>
    <row r="84" spans="1:6" ht="45" customHeight="1">
      <c r="A84" s="161" t="s">
        <v>349</v>
      </c>
      <c r="B84" s="164" t="s">
        <v>337</v>
      </c>
      <c r="C84" s="165" t="s">
        <v>482</v>
      </c>
      <c r="D84" s="161"/>
      <c r="E84" s="160">
        <v>0</v>
      </c>
      <c r="F84" s="160">
        <v>0</v>
      </c>
    </row>
    <row r="85" spans="1:6" ht="39" customHeight="1">
      <c r="A85" s="161" t="s">
        <v>483</v>
      </c>
      <c r="B85" s="162" t="s">
        <v>484</v>
      </c>
      <c r="C85" s="163" t="s">
        <v>485</v>
      </c>
      <c r="D85" s="161"/>
      <c r="E85" s="160">
        <v>1717984810</v>
      </c>
      <c r="F85" s="160">
        <v>2159786082</v>
      </c>
    </row>
    <row r="86" spans="1:6" ht="39" customHeight="1">
      <c r="A86" s="161" t="s">
        <v>486</v>
      </c>
      <c r="B86" s="162" t="s">
        <v>487</v>
      </c>
      <c r="C86" s="163" t="s">
        <v>488</v>
      </c>
      <c r="D86" s="161"/>
      <c r="E86" s="160">
        <v>1099824378</v>
      </c>
      <c r="F86" s="160">
        <v>930719668</v>
      </c>
    </row>
    <row r="87" spans="1:6" ht="39" customHeight="1">
      <c r="A87" s="161" t="s">
        <v>349</v>
      </c>
      <c r="B87" s="164" t="s">
        <v>489</v>
      </c>
      <c r="C87" s="165" t="s">
        <v>490</v>
      </c>
      <c r="D87" s="161"/>
      <c r="E87" s="160">
        <v>1018736148</v>
      </c>
      <c r="F87" s="160">
        <v>850637160</v>
      </c>
    </row>
    <row r="88" spans="1:6" ht="39" customHeight="1">
      <c r="A88" s="161" t="s">
        <v>349</v>
      </c>
      <c r="B88" s="164" t="s">
        <v>491</v>
      </c>
      <c r="C88" s="165" t="s">
        <v>492</v>
      </c>
      <c r="D88" s="161"/>
      <c r="E88" s="160">
        <v>30421440</v>
      </c>
      <c r="F88" s="160">
        <v>31782292</v>
      </c>
    </row>
    <row r="89" spans="1:6" ht="39" customHeight="1">
      <c r="A89" s="161" t="s">
        <v>349</v>
      </c>
      <c r="B89" s="164" t="s">
        <v>50</v>
      </c>
      <c r="C89" s="165" t="s">
        <v>493</v>
      </c>
      <c r="D89" s="161"/>
      <c r="E89" s="160">
        <v>26121440</v>
      </c>
      <c r="F89" s="160">
        <v>26182292</v>
      </c>
    </row>
    <row r="90" spans="1:6" ht="39" customHeight="1">
      <c r="A90" s="161" t="s">
        <v>349</v>
      </c>
      <c r="B90" s="164" t="s">
        <v>62</v>
      </c>
      <c r="C90" s="165" t="s">
        <v>494</v>
      </c>
      <c r="D90" s="161"/>
      <c r="E90" s="160">
        <v>4300000</v>
      </c>
      <c r="F90" s="160">
        <v>5600000</v>
      </c>
    </row>
    <row r="91" spans="1:6" ht="57" customHeight="1">
      <c r="A91" s="161" t="s">
        <v>349</v>
      </c>
      <c r="B91" s="164" t="s">
        <v>280</v>
      </c>
      <c r="C91" s="165" t="s">
        <v>495</v>
      </c>
      <c r="D91" s="161"/>
      <c r="E91" s="160">
        <v>0</v>
      </c>
      <c r="F91" s="160">
        <v>0</v>
      </c>
    </row>
    <row r="92" spans="1:6" ht="39" customHeight="1">
      <c r="A92" s="161" t="s">
        <v>349</v>
      </c>
      <c r="B92" s="164" t="s">
        <v>496</v>
      </c>
      <c r="C92" s="165" t="s">
        <v>497</v>
      </c>
      <c r="D92" s="161"/>
      <c r="E92" s="160">
        <v>14366790</v>
      </c>
      <c r="F92" s="160">
        <v>12000216</v>
      </c>
    </row>
    <row r="93" spans="1:6" ht="39" customHeight="1">
      <c r="A93" s="161" t="s">
        <v>349</v>
      </c>
      <c r="B93" s="164" t="s">
        <v>498</v>
      </c>
      <c r="C93" s="165" t="s">
        <v>499</v>
      </c>
      <c r="D93" s="161"/>
      <c r="E93" s="160">
        <v>25300000</v>
      </c>
      <c r="F93" s="160">
        <v>25300000</v>
      </c>
    </row>
    <row r="94" spans="1:6" ht="39" customHeight="1">
      <c r="A94" s="161" t="s">
        <v>349</v>
      </c>
      <c r="B94" s="164" t="s">
        <v>500</v>
      </c>
      <c r="C94" s="165" t="s">
        <v>501</v>
      </c>
      <c r="D94" s="161"/>
      <c r="E94" s="160">
        <v>11000000</v>
      </c>
      <c r="F94" s="160">
        <v>11000000</v>
      </c>
    </row>
    <row r="95" spans="1:6" ht="57.5" customHeight="1">
      <c r="A95" s="161" t="s">
        <v>349</v>
      </c>
      <c r="B95" s="164" t="s">
        <v>502</v>
      </c>
      <c r="C95" s="165" t="s">
        <v>503</v>
      </c>
      <c r="D95" s="161"/>
      <c r="E95" s="160">
        <v>0</v>
      </c>
      <c r="F95" s="160">
        <v>0</v>
      </c>
    </row>
    <row r="96" spans="1:6" ht="47.75" customHeight="1">
      <c r="A96" s="161" t="s">
        <v>349</v>
      </c>
      <c r="B96" s="164" t="s">
        <v>504</v>
      </c>
      <c r="C96" s="165" t="s">
        <v>505</v>
      </c>
      <c r="D96" s="161"/>
      <c r="E96" s="160">
        <v>0</v>
      </c>
      <c r="F96" s="160">
        <v>0</v>
      </c>
    </row>
    <row r="97" spans="1:6" ht="39" customHeight="1">
      <c r="A97" s="161" t="s">
        <v>115</v>
      </c>
      <c r="B97" s="162" t="s">
        <v>506</v>
      </c>
      <c r="C97" s="163" t="s">
        <v>507</v>
      </c>
      <c r="D97" s="161"/>
      <c r="E97" s="160">
        <v>193782966</v>
      </c>
      <c r="F97" s="160">
        <v>263732966</v>
      </c>
    </row>
    <row r="98" spans="1:6" ht="39" customHeight="1">
      <c r="A98" s="161" t="s">
        <v>349</v>
      </c>
      <c r="B98" s="164" t="s">
        <v>340</v>
      </c>
      <c r="C98" s="165" t="s">
        <v>508</v>
      </c>
      <c r="D98" s="161"/>
      <c r="E98" s="160">
        <v>17300000</v>
      </c>
      <c r="F98" s="160">
        <v>87250000</v>
      </c>
    </row>
    <row r="99" spans="1:6" ht="45.5" customHeight="1">
      <c r="A99" s="161" t="s">
        <v>349</v>
      </c>
      <c r="B99" s="164" t="s">
        <v>341</v>
      </c>
      <c r="C99" s="165" t="s">
        <v>509</v>
      </c>
      <c r="D99" s="161"/>
      <c r="E99" s="160">
        <v>0</v>
      </c>
      <c r="F99" s="160">
        <v>0</v>
      </c>
    </row>
    <row r="100" spans="1:6" ht="39" customHeight="1">
      <c r="A100" s="161" t="s">
        <v>349</v>
      </c>
      <c r="B100" s="164" t="s">
        <v>510</v>
      </c>
      <c r="C100" s="165" t="s">
        <v>511</v>
      </c>
      <c r="D100" s="161"/>
      <c r="E100" s="160">
        <v>0</v>
      </c>
      <c r="F100" s="160">
        <v>0</v>
      </c>
    </row>
    <row r="101" spans="1:6" ht="39" customHeight="1">
      <c r="A101" s="161" t="s">
        <v>349</v>
      </c>
      <c r="B101" s="164" t="s">
        <v>512</v>
      </c>
      <c r="C101" s="165" t="s">
        <v>513</v>
      </c>
      <c r="D101" s="161"/>
      <c r="E101" s="160">
        <v>0</v>
      </c>
      <c r="F101" s="160">
        <v>0</v>
      </c>
    </row>
    <row r="102" spans="1:6" ht="39" customHeight="1">
      <c r="A102" s="161" t="s">
        <v>349</v>
      </c>
      <c r="B102" s="164" t="s">
        <v>339</v>
      </c>
      <c r="C102" s="165" t="s">
        <v>514</v>
      </c>
      <c r="D102" s="161"/>
      <c r="E102" s="160">
        <v>176482966</v>
      </c>
      <c r="F102" s="160">
        <v>176482966</v>
      </c>
    </row>
    <row r="103" spans="1:6" ht="39" customHeight="1">
      <c r="A103" s="61" t="s">
        <v>349</v>
      </c>
      <c r="B103" s="159" t="s">
        <v>515</v>
      </c>
      <c r="C103" s="53" t="s">
        <v>516</v>
      </c>
      <c r="D103" s="80"/>
      <c r="E103" s="80">
        <v>4435609002</v>
      </c>
      <c r="F103" s="80">
        <v>4705646491</v>
      </c>
    </row>
    <row r="104" spans="1:6" ht="59.75" customHeight="1">
      <c r="A104" s="61" t="s">
        <v>53</v>
      </c>
      <c r="B104" s="159" t="s">
        <v>517</v>
      </c>
      <c r="C104" s="53" t="s">
        <v>518</v>
      </c>
      <c r="D104" s="80"/>
      <c r="E104" s="80">
        <v>618064643493</v>
      </c>
      <c r="F104" s="80">
        <v>537324983242</v>
      </c>
    </row>
    <row r="105" spans="1:6" ht="39" customHeight="1">
      <c r="A105" s="161" t="s">
        <v>343</v>
      </c>
      <c r="B105" s="162" t="s">
        <v>519</v>
      </c>
      <c r="C105" s="163" t="s">
        <v>520</v>
      </c>
      <c r="D105" s="161"/>
      <c r="E105" s="160">
        <v>110650927100</v>
      </c>
      <c r="F105" s="160">
        <v>105292552100</v>
      </c>
    </row>
    <row r="106" spans="1:6" ht="39" customHeight="1">
      <c r="A106" s="161" t="s">
        <v>346</v>
      </c>
      <c r="B106" s="162" t="s">
        <v>521</v>
      </c>
      <c r="C106" s="163" t="s">
        <v>522</v>
      </c>
      <c r="D106" s="161"/>
      <c r="E106" s="160">
        <v>1629607839400</v>
      </c>
      <c r="F106" s="160">
        <v>1614902607000</v>
      </c>
    </row>
    <row r="107" spans="1:6" ht="39" customHeight="1">
      <c r="A107" s="161" t="s">
        <v>357</v>
      </c>
      <c r="B107" s="162" t="s">
        <v>523</v>
      </c>
      <c r="C107" s="163" t="s">
        <v>524</v>
      </c>
      <c r="D107" s="161"/>
      <c r="E107" s="160">
        <v>-1518956912300</v>
      </c>
      <c r="F107" s="160">
        <v>-1509610054900</v>
      </c>
    </row>
    <row r="108" spans="1:6" ht="39" customHeight="1">
      <c r="A108" s="161" t="s">
        <v>360</v>
      </c>
      <c r="B108" s="162" t="s">
        <v>525</v>
      </c>
      <c r="C108" s="163" t="s">
        <v>526</v>
      </c>
      <c r="D108" s="161"/>
      <c r="E108" s="160">
        <v>118340287783</v>
      </c>
      <c r="F108" s="160">
        <v>94058479458</v>
      </c>
    </row>
    <row r="109" spans="1:6" ht="39" customHeight="1">
      <c r="A109" s="161" t="s">
        <v>385</v>
      </c>
      <c r="B109" s="162" t="s">
        <v>527</v>
      </c>
      <c r="C109" s="163" t="s">
        <v>528</v>
      </c>
      <c r="D109" s="161"/>
      <c r="E109" s="160">
        <v>389073428610</v>
      </c>
      <c r="F109" s="160">
        <v>337973951684</v>
      </c>
    </row>
    <row r="110" spans="1:6" ht="39" customHeight="1">
      <c r="A110" s="161" t="s">
        <v>388</v>
      </c>
      <c r="B110" s="162" t="s">
        <v>529</v>
      </c>
      <c r="C110" s="163" t="s">
        <v>530</v>
      </c>
      <c r="D110" s="161"/>
      <c r="E110" s="160">
        <v>337973951684</v>
      </c>
      <c r="F110" s="160">
        <v>232477333926</v>
      </c>
    </row>
    <row r="111" spans="1:6" ht="39" customHeight="1">
      <c r="A111" s="161" t="s">
        <v>393</v>
      </c>
      <c r="B111" s="162" t="s">
        <v>531</v>
      </c>
      <c r="C111" s="163" t="s">
        <v>532</v>
      </c>
      <c r="D111" s="161"/>
      <c r="E111" s="160">
        <v>51099476926</v>
      </c>
      <c r="F111" s="160">
        <v>105496617758</v>
      </c>
    </row>
    <row r="112" spans="1:6" ht="47.75" customHeight="1">
      <c r="A112" s="61" t="s">
        <v>54</v>
      </c>
      <c r="B112" s="159" t="s">
        <v>533</v>
      </c>
      <c r="C112" s="53" t="s">
        <v>534</v>
      </c>
      <c r="D112" s="80"/>
      <c r="E112" s="171">
        <v>55857.15</v>
      </c>
      <c r="F112" s="171">
        <v>51031.62</v>
      </c>
    </row>
    <row r="113" spans="1:7" ht="45.5" customHeight="1">
      <c r="A113" s="61" t="s">
        <v>55</v>
      </c>
      <c r="B113" s="159" t="s">
        <v>535</v>
      </c>
      <c r="C113" s="53" t="s">
        <v>536</v>
      </c>
      <c r="D113" s="80"/>
      <c r="E113" s="80">
        <v>0</v>
      </c>
      <c r="F113" s="80">
        <v>0</v>
      </c>
    </row>
    <row r="114" spans="1:7" ht="54" customHeight="1">
      <c r="A114" s="161" t="s">
        <v>343</v>
      </c>
      <c r="B114" s="162" t="s">
        <v>537</v>
      </c>
      <c r="C114" s="163" t="s">
        <v>538</v>
      </c>
      <c r="D114" s="161"/>
      <c r="E114" s="160">
        <v>0</v>
      </c>
      <c r="F114" s="160">
        <v>0</v>
      </c>
    </row>
    <row r="115" spans="1:7" ht="51.65" customHeight="1">
      <c r="A115" s="161" t="s">
        <v>360</v>
      </c>
      <c r="B115" s="162" t="s">
        <v>539</v>
      </c>
      <c r="C115" s="163" t="s">
        <v>540</v>
      </c>
      <c r="D115" s="161"/>
      <c r="E115" s="160">
        <v>0</v>
      </c>
      <c r="F115" s="160">
        <v>0</v>
      </c>
    </row>
    <row r="116" spans="1:7" ht="46.5" customHeight="1">
      <c r="A116" s="61" t="s">
        <v>56</v>
      </c>
      <c r="B116" s="159" t="s">
        <v>541</v>
      </c>
      <c r="C116" s="53" t="s">
        <v>56</v>
      </c>
      <c r="D116" s="80"/>
      <c r="E116" s="80"/>
      <c r="F116" s="80"/>
    </row>
    <row r="117" spans="1:7" ht="39" customHeight="1">
      <c r="A117" s="161" t="s">
        <v>343</v>
      </c>
      <c r="B117" s="162" t="s">
        <v>542</v>
      </c>
      <c r="C117" s="163" t="s">
        <v>543</v>
      </c>
      <c r="D117" s="161"/>
      <c r="E117" s="160">
        <v>0</v>
      </c>
      <c r="F117" s="160">
        <v>0</v>
      </c>
    </row>
    <row r="118" spans="1:7" ht="39" customHeight="1">
      <c r="A118" s="161" t="s">
        <v>360</v>
      </c>
      <c r="B118" s="162" t="s">
        <v>544</v>
      </c>
      <c r="C118" s="163" t="s">
        <v>545</v>
      </c>
      <c r="D118" s="161"/>
      <c r="E118" s="160">
        <v>0</v>
      </c>
      <c r="F118" s="160">
        <v>0</v>
      </c>
    </row>
    <row r="119" spans="1:7" ht="39" customHeight="1">
      <c r="A119" s="161" t="s">
        <v>385</v>
      </c>
      <c r="B119" s="162" t="s">
        <v>546</v>
      </c>
      <c r="C119" s="163" t="s">
        <v>547</v>
      </c>
      <c r="D119" s="161"/>
      <c r="E119" s="160">
        <v>0</v>
      </c>
      <c r="F119" s="160">
        <v>0</v>
      </c>
    </row>
    <row r="120" spans="1:7" ht="39" customHeight="1">
      <c r="A120" s="168" t="s">
        <v>452</v>
      </c>
      <c r="B120" s="169" t="s">
        <v>548</v>
      </c>
      <c r="C120" s="163" t="s">
        <v>549</v>
      </c>
      <c r="D120" s="168"/>
      <c r="E120" s="170">
        <v>11065092.710000001</v>
      </c>
      <c r="F120" s="170">
        <v>10529255.210000001</v>
      </c>
    </row>
    <row r="121" spans="1:7" s="118" customFormat="1" ht="13">
      <c r="A121" s="59"/>
      <c r="B121" s="59"/>
      <c r="C121" s="59"/>
      <c r="D121" s="59"/>
      <c r="E121" s="59"/>
      <c r="F121" s="59"/>
      <c r="G121" s="44"/>
    </row>
    <row r="123" spans="1:7" ht="17" customHeight="1">
      <c r="A123" s="263" t="s">
        <v>184</v>
      </c>
      <c r="B123" s="263"/>
      <c r="C123" s="263" t="s">
        <v>185</v>
      </c>
      <c r="D123" s="263"/>
      <c r="E123" s="263"/>
      <c r="F123" s="263"/>
    </row>
    <row r="136" spans="1:6">
      <c r="A136" s="255" t="s">
        <v>565</v>
      </c>
      <c r="B136" s="255"/>
      <c r="C136" s="255" t="s">
        <v>566</v>
      </c>
      <c r="D136" s="255"/>
      <c r="E136" s="255"/>
      <c r="F136" s="59" t="s">
        <v>567</v>
      </c>
    </row>
    <row r="137" spans="1:6" ht="17" customHeight="1">
      <c r="A137" s="254" t="s">
        <v>873</v>
      </c>
      <c r="B137" s="254"/>
      <c r="C137" s="254" t="s">
        <v>796</v>
      </c>
      <c r="D137" s="254"/>
      <c r="E137" s="254"/>
      <c r="F137" s="216" t="s">
        <v>786</v>
      </c>
    </row>
    <row r="138" spans="1:6" ht="17" customHeight="1">
      <c r="A138" s="255" t="s">
        <v>797</v>
      </c>
      <c r="B138" s="255"/>
      <c r="C138" s="255" t="s">
        <v>798</v>
      </c>
      <c r="D138" s="255"/>
      <c r="E138" s="255"/>
      <c r="F138" s="173" t="s">
        <v>788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82" zoomScale="85" zoomScaleNormal="100" zoomScaleSheetLayoutView="85" workbookViewId="0">
      <selection activeCell="B93" sqref="B93"/>
    </sheetView>
  </sheetViews>
  <sheetFormatPr defaultColWidth="8.6328125" defaultRowHeight="12.5"/>
  <cols>
    <col min="1" max="1" width="44.6328125" style="59" customWidth="1"/>
    <col min="2" max="2" width="9.453125" style="59" customWidth="1"/>
    <col min="3" max="3" width="11" style="59" customWidth="1"/>
    <col min="4" max="4" width="29.81640625" style="59" customWidth="1"/>
    <col min="5" max="5" width="36.81640625" style="59" customWidth="1"/>
    <col min="6" max="6" width="24.453125" style="104" customWidth="1"/>
    <col min="7" max="16384" width="8.6328125" style="104"/>
  </cols>
  <sheetData>
    <row r="1" spans="1:6" ht="30.5" customHeight="1">
      <c r="A1" s="266" t="s">
        <v>228</v>
      </c>
      <c r="B1" s="266"/>
      <c r="C1" s="266"/>
      <c r="D1" s="266"/>
      <c r="E1" s="266"/>
      <c r="F1" s="112"/>
    </row>
    <row r="2" spans="1:6" ht="24.5" customHeight="1">
      <c r="A2" s="267" t="s">
        <v>229</v>
      </c>
      <c r="B2" s="267"/>
      <c r="C2" s="267"/>
      <c r="D2" s="267"/>
      <c r="E2" s="267"/>
      <c r="F2" s="113"/>
    </row>
    <row r="3" spans="1:6" ht="39.5" customHeight="1">
      <c r="A3" s="268" t="s">
        <v>189</v>
      </c>
      <c r="B3" s="268"/>
      <c r="C3" s="268"/>
      <c r="D3" s="268"/>
      <c r="E3" s="268"/>
      <c r="F3" s="145"/>
    </row>
    <row r="4" spans="1:6" ht="17" customHeight="1">
      <c r="A4" s="269" t="str">
        <f>TONGQUAN!C2</f>
        <v>Quý I năm 2021
/ Quarter I 2021</v>
      </c>
      <c r="B4" s="269"/>
      <c r="C4" s="269"/>
      <c r="D4" s="269"/>
      <c r="E4" s="269"/>
      <c r="F4" s="146"/>
    </row>
    <row r="5" spans="1:6" ht="0.5" customHeight="1"/>
    <row r="7" spans="1:6" ht="17" customHeight="1">
      <c r="A7" s="103" t="s">
        <v>2</v>
      </c>
      <c r="B7" s="264" t="str">
        <f>TONGQUAN!D5</f>
        <v>Công ty Cổ phần Quản lý Quỹ Đầu tư Dragon Capital Việt Nam</v>
      </c>
      <c r="C7" s="264"/>
      <c r="D7" s="264"/>
      <c r="E7" s="264"/>
    </row>
    <row r="8" spans="1:6" ht="17" customHeight="1">
      <c r="A8" s="59" t="s">
        <v>40</v>
      </c>
      <c r="B8" s="265" t="str">
        <f>TONGQUAN!D6</f>
        <v>Dragon Capital Vietfund Management Joint Stock Company</v>
      </c>
      <c r="C8" s="265"/>
      <c r="D8" s="265"/>
      <c r="E8" s="265"/>
    </row>
    <row r="9" spans="1:6" ht="17" customHeight="1">
      <c r="A9" s="103" t="s">
        <v>3</v>
      </c>
      <c r="B9" s="264" t="str">
        <f>TONGQUAN!D7</f>
        <v>Ngân hàng TNHH Một thành viên Standard Chartered (Việt Nam)</v>
      </c>
      <c r="C9" s="264"/>
      <c r="D9" s="264"/>
      <c r="E9" s="264"/>
    </row>
    <row r="10" spans="1:6" ht="17" customHeight="1">
      <c r="A10" s="59" t="s">
        <v>4</v>
      </c>
      <c r="B10" s="265" t="str">
        <f>TONGQUAN!D8</f>
        <v>Standard Chartered Bank (Vietnam) Limited</v>
      </c>
      <c r="C10" s="265"/>
      <c r="D10" s="265"/>
      <c r="E10" s="265"/>
    </row>
    <row r="11" spans="1:6" ht="17" customHeight="1">
      <c r="A11" s="103" t="s">
        <v>5</v>
      </c>
      <c r="B11" s="264" t="str">
        <f>TONGQUAN!D9</f>
        <v>Quỹ Đầu tư Chứng khoán Việt Nam</v>
      </c>
      <c r="C11" s="264"/>
      <c r="D11" s="264"/>
      <c r="E11" s="264"/>
    </row>
    <row r="12" spans="1:6" ht="17" customHeight="1">
      <c r="A12" s="59" t="s">
        <v>6</v>
      </c>
      <c r="B12" s="265" t="str">
        <f>TONGQUAN!D10</f>
        <v>Vietnam Securities Investment Fund(VFMVF1)</v>
      </c>
      <c r="C12" s="265"/>
      <c r="D12" s="265"/>
      <c r="E12" s="265"/>
    </row>
    <row r="13" spans="1:6" ht="17" customHeight="1">
      <c r="A13" s="103" t="s">
        <v>7</v>
      </c>
      <c r="B13" s="264" t="str">
        <f>TONGQUAN!D11</f>
        <v>Ngày 06 tháng 04 năm 2021</v>
      </c>
      <c r="C13" s="264"/>
      <c r="D13" s="264"/>
      <c r="E13" s="264"/>
    </row>
    <row r="14" spans="1:6" ht="17" customHeight="1">
      <c r="A14" s="59" t="s">
        <v>8</v>
      </c>
      <c r="B14" s="265" t="str">
        <f>TONGQUAN!D12</f>
        <v>06 Apr 2021</v>
      </c>
      <c r="C14" s="265"/>
      <c r="D14" s="265"/>
      <c r="E14" s="265"/>
    </row>
    <row r="17" spans="1:7" ht="45.5" customHeight="1">
      <c r="A17" s="105" t="s">
        <v>100</v>
      </c>
      <c r="B17" s="105" t="s">
        <v>101</v>
      </c>
      <c r="C17" s="105" t="s">
        <v>102</v>
      </c>
      <c r="D17" s="105" t="str">
        <f>BCKetQuaHoatDong_06028!D18</f>
        <v>Quý I năm 2021
Quarter I 2021</v>
      </c>
      <c r="E17" s="105" t="str">
        <f>BCKetQuaHoatDong_06028!E18</f>
        <v>Quý IV năm 2020
Quarter IV 2020</v>
      </c>
    </row>
    <row r="18" spans="1:7" s="118" customFormat="1" ht="42" customHeight="1">
      <c r="A18" s="147" t="s">
        <v>190</v>
      </c>
      <c r="B18" s="148" t="s">
        <v>41</v>
      </c>
      <c r="C18" s="149"/>
      <c r="D18" s="230"/>
      <c r="E18" s="230"/>
    </row>
    <row r="19" spans="1:7" ht="42" customHeight="1">
      <c r="A19" s="150" t="s">
        <v>265</v>
      </c>
      <c r="B19" s="151" t="s">
        <v>104</v>
      </c>
      <c r="C19" s="152"/>
      <c r="D19" s="230">
        <v>51099476926</v>
      </c>
      <c r="E19" s="230">
        <v>105496617758</v>
      </c>
      <c r="G19" s="118"/>
    </row>
    <row r="20" spans="1:7" ht="63.5" customHeight="1">
      <c r="A20" s="150" t="s">
        <v>191</v>
      </c>
      <c r="B20" s="151" t="s">
        <v>105</v>
      </c>
      <c r="C20" s="152"/>
      <c r="D20" s="230">
        <v>-40145417656</v>
      </c>
      <c r="E20" s="230">
        <v>-91650711613</v>
      </c>
      <c r="G20" s="118"/>
    </row>
    <row r="21" spans="1:7" ht="59" customHeight="1">
      <c r="A21" s="150" t="s">
        <v>309</v>
      </c>
      <c r="B21" s="151" t="s">
        <v>106</v>
      </c>
      <c r="C21" s="152"/>
      <c r="D21" s="121">
        <v>-40120221081</v>
      </c>
      <c r="E21" s="121">
        <v>-91783584564</v>
      </c>
      <c r="G21" s="118"/>
    </row>
    <row r="22" spans="1:7" ht="42" customHeight="1">
      <c r="A22" s="150" t="s">
        <v>310</v>
      </c>
      <c r="B22" s="151" t="s">
        <v>109</v>
      </c>
      <c r="C22" s="152"/>
      <c r="D22" s="121">
        <v>-25196575</v>
      </c>
      <c r="E22" s="121">
        <v>132872951</v>
      </c>
      <c r="G22" s="118"/>
    </row>
    <row r="23" spans="1:7" ht="57.5" customHeight="1">
      <c r="A23" s="150" t="s">
        <v>192</v>
      </c>
      <c r="B23" s="151" t="s">
        <v>110</v>
      </c>
      <c r="C23" s="152"/>
      <c r="D23" s="230">
        <v>10954059270</v>
      </c>
      <c r="E23" s="230">
        <v>13845906145</v>
      </c>
      <c r="G23" s="118"/>
    </row>
    <row r="24" spans="1:7" ht="42" customHeight="1">
      <c r="A24" s="150" t="s">
        <v>311</v>
      </c>
      <c r="B24" s="151" t="s">
        <v>128</v>
      </c>
      <c r="C24" s="152"/>
      <c r="D24" s="121">
        <v>-74120544469</v>
      </c>
      <c r="E24" s="121">
        <v>13091328814</v>
      </c>
      <c r="G24" s="118"/>
    </row>
    <row r="25" spans="1:7" ht="59" customHeight="1">
      <c r="A25" s="150" t="s">
        <v>193</v>
      </c>
      <c r="B25" s="151" t="s">
        <v>111</v>
      </c>
      <c r="C25" s="152"/>
      <c r="D25" s="121">
        <v>-5131890</v>
      </c>
      <c r="E25" s="121">
        <v>-154710</v>
      </c>
      <c r="G25" s="118"/>
    </row>
    <row r="26" spans="1:7" ht="60.5" customHeight="1">
      <c r="A26" s="150" t="s">
        <v>194</v>
      </c>
      <c r="B26" s="151" t="s">
        <v>112</v>
      </c>
      <c r="C26" s="152"/>
      <c r="D26" s="121">
        <v>879425051</v>
      </c>
      <c r="E26" s="121">
        <v>1076265850</v>
      </c>
      <c r="G26" s="118"/>
    </row>
    <row r="27" spans="1:7" ht="42" customHeight="1">
      <c r="A27" s="150" t="s">
        <v>266</v>
      </c>
      <c r="B27" s="151" t="s">
        <v>113</v>
      </c>
      <c r="C27" s="152"/>
      <c r="D27" s="121">
        <v>0</v>
      </c>
      <c r="E27" s="121">
        <v>0</v>
      </c>
      <c r="G27" s="118"/>
    </row>
    <row r="28" spans="1:7" ht="42" customHeight="1">
      <c r="A28" s="150" t="s">
        <v>312</v>
      </c>
      <c r="B28" s="151" t="s">
        <v>114</v>
      </c>
      <c r="C28" s="152"/>
      <c r="D28" s="121">
        <v>0</v>
      </c>
      <c r="E28" s="121">
        <v>0</v>
      </c>
      <c r="G28" s="118"/>
    </row>
    <row r="29" spans="1:7" ht="51" customHeight="1">
      <c r="A29" s="150" t="s">
        <v>195</v>
      </c>
      <c r="B29" s="151" t="s">
        <v>115</v>
      </c>
      <c r="C29" s="152"/>
      <c r="D29" s="121">
        <v>0</v>
      </c>
      <c r="E29" s="121">
        <v>0</v>
      </c>
      <c r="G29" s="118"/>
    </row>
    <row r="30" spans="1:7" ht="75" customHeight="1">
      <c r="A30" s="150" t="s">
        <v>196</v>
      </c>
      <c r="B30" s="151" t="s">
        <v>117</v>
      </c>
      <c r="C30" s="152"/>
      <c r="D30" s="121">
        <v>90452463</v>
      </c>
      <c r="E30" s="121">
        <v>25401432</v>
      </c>
      <c r="G30" s="118"/>
    </row>
    <row r="31" spans="1:7" ht="47.75" customHeight="1">
      <c r="A31" s="150" t="s">
        <v>313</v>
      </c>
      <c r="B31" s="151" t="s">
        <v>122</v>
      </c>
      <c r="C31" s="152"/>
      <c r="D31" s="121">
        <v>0</v>
      </c>
      <c r="E31" s="121">
        <v>0</v>
      </c>
      <c r="G31" s="118"/>
    </row>
    <row r="32" spans="1:7" ht="57" customHeight="1">
      <c r="A32" s="150" t="s">
        <v>314</v>
      </c>
      <c r="B32" s="151" t="s">
        <v>124</v>
      </c>
      <c r="C32" s="152"/>
      <c r="D32" s="121">
        <v>1710553</v>
      </c>
      <c r="E32" s="121">
        <v>-114869011</v>
      </c>
      <c r="G32" s="118"/>
    </row>
    <row r="33" spans="1:7" ht="53.75" customHeight="1">
      <c r="A33" s="150" t="s">
        <v>315</v>
      </c>
      <c r="B33" s="151" t="s">
        <v>126</v>
      </c>
      <c r="C33" s="152"/>
      <c r="D33" s="121">
        <v>-51499149</v>
      </c>
      <c r="E33" s="121">
        <v>515560958</v>
      </c>
      <c r="G33" s="118"/>
    </row>
    <row r="34" spans="1:7" ht="55.25" customHeight="1">
      <c r="A34" s="150" t="s">
        <v>316</v>
      </c>
      <c r="B34" s="151" t="s">
        <v>127</v>
      </c>
      <c r="C34" s="152"/>
      <c r="D34" s="121">
        <v>-441801272</v>
      </c>
      <c r="E34" s="121">
        <v>1874358213</v>
      </c>
      <c r="G34" s="118"/>
    </row>
    <row r="35" spans="1:7" ht="39.5" customHeight="1">
      <c r="A35" s="150" t="s">
        <v>317</v>
      </c>
      <c r="B35" s="151" t="s">
        <v>197</v>
      </c>
      <c r="C35" s="152"/>
      <c r="D35" s="121">
        <v>-12808219</v>
      </c>
      <c r="E35" s="121">
        <v>4273224</v>
      </c>
      <c r="G35" s="118"/>
    </row>
    <row r="36" spans="1:7" ht="47.75" customHeight="1">
      <c r="A36" s="153" t="s">
        <v>318</v>
      </c>
      <c r="B36" s="151" t="s">
        <v>198</v>
      </c>
      <c r="C36" s="152"/>
      <c r="D36" s="121">
        <v>169104710</v>
      </c>
      <c r="E36" s="121">
        <v>63285606</v>
      </c>
      <c r="G36" s="118"/>
    </row>
    <row r="37" spans="1:7" ht="48" customHeight="1">
      <c r="A37" s="150" t="s">
        <v>199</v>
      </c>
      <c r="B37" s="151" t="s">
        <v>200</v>
      </c>
      <c r="C37" s="152"/>
      <c r="D37" s="121">
        <v>0</v>
      </c>
      <c r="E37" s="121">
        <v>0</v>
      </c>
      <c r="G37" s="118"/>
    </row>
    <row r="38" spans="1:7" s="118" customFormat="1" ht="52.25" customHeight="1">
      <c r="A38" s="147" t="s">
        <v>267</v>
      </c>
      <c r="B38" s="148" t="s">
        <v>201</v>
      </c>
      <c r="C38" s="149"/>
      <c r="D38" s="230">
        <v>-62537032952</v>
      </c>
      <c r="E38" s="230">
        <v>30381356521</v>
      </c>
    </row>
    <row r="39" spans="1:7" s="118" customFormat="1" ht="42" customHeight="1">
      <c r="A39" s="147" t="s">
        <v>268</v>
      </c>
      <c r="B39" s="148" t="s">
        <v>47</v>
      </c>
      <c r="C39" s="149"/>
      <c r="D39" s="230"/>
      <c r="E39" s="230"/>
    </row>
    <row r="40" spans="1:7" ht="42" customHeight="1">
      <c r="A40" s="150" t="s">
        <v>319</v>
      </c>
      <c r="B40" s="151" t="s">
        <v>177</v>
      </c>
      <c r="C40" s="152"/>
      <c r="D40" s="121">
        <v>80184192529</v>
      </c>
      <c r="E40" s="121">
        <v>34023099739</v>
      </c>
      <c r="G40" s="118"/>
    </row>
    <row r="41" spans="1:7" ht="42" customHeight="1">
      <c r="A41" s="150" t="s">
        <v>320</v>
      </c>
      <c r="B41" s="151" t="s">
        <v>179</v>
      </c>
      <c r="C41" s="152"/>
      <c r="D41" s="121">
        <v>-50544009204</v>
      </c>
      <c r="E41" s="121">
        <v>-23948774545</v>
      </c>
      <c r="G41" s="118"/>
    </row>
    <row r="42" spans="1:7" ht="42" customHeight="1">
      <c r="A42" s="150" t="s">
        <v>269</v>
      </c>
      <c r="B42" s="151" t="s">
        <v>202</v>
      </c>
      <c r="C42" s="152"/>
      <c r="D42" s="121">
        <v>0</v>
      </c>
      <c r="E42" s="121">
        <v>0</v>
      </c>
      <c r="G42" s="118"/>
    </row>
    <row r="43" spans="1:7" ht="42" customHeight="1">
      <c r="A43" s="150" t="s">
        <v>270</v>
      </c>
      <c r="B43" s="151" t="s">
        <v>203</v>
      </c>
      <c r="C43" s="152"/>
      <c r="D43" s="121">
        <v>0</v>
      </c>
      <c r="E43" s="121">
        <v>0</v>
      </c>
      <c r="G43" s="118"/>
    </row>
    <row r="44" spans="1:7" ht="42" customHeight="1">
      <c r="A44" s="150" t="s">
        <v>321</v>
      </c>
      <c r="B44" s="151" t="s">
        <v>204</v>
      </c>
      <c r="C44" s="152"/>
      <c r="D44" s="121">
        <v>0</v>
      </c>
      <c r="E44" s="121">
        <v>0</v>
      </c>
      <c r="G44" s="118"/>
    </row>
    <row r="45" spans="1:7" ht="47" customHeight="1">
      <c r="A45" s="147" t="s">
        <v>322</v>
      </c>
      <c r="B45" s="148" t="s">
        <v>175</v>
      </c>
      <c r="C45" s="152"/>
      <c r="D45" s="230">
        <v>29640183325</v>
      </c>
      <c r="E45" s="230">
        <v>10074325194</v>
      </c>
      <c r="G45" s="118"/>
    </row>
    <row r="46" spans="1:7" s="118" customFormat="1" ht="52.5" customHeight="1">
      <c r="A46" s="147" t="s">
        <v>271</v>
      </c>
      <c r="B46" s="148" t="s">
        <v>181</v>
      </c>
      <c r="C46" s="149"/>
      <c r="D46" s="230">
        <v>-32896849627</v>
      </c>
      <c r="E46" s="230">
        <v>40455681715</v>
      </c>
    </row>
    <row r="47" spans="1:7" s="118" customFormat="1" ht="53.75" customHeight="1">
      <c r="A47" s="147" t="s">
        <v>272</v>
      </c>
      <c r="B47" s="148" t="s">
        <v>205</v>
      </c>
      <c r="C47" s="149"/>
      <c r="D47" s="230">
        <v>46497927740</v>
      </c>
      <c r="E47" s="230">
        <v>6042246025</v>
      </c>
    </row>
    <row r="48" spans="1:7" ht="47.75" customHeight="1">
      <c r="A48" s="150" t="s">
        <v>323</v>
      </c>
      <c r="B48" s="151" t="s">
        <v>206</v>
      </c>
      <c r="C48" s="152"/>
      <c r="D48" s="121">
        <v>46497927740</v>
      </c>
      <c r="E48" s="121">
        <v>6042246025</v>
      </c>
      <c r="G48" s="118"/>
    </row>
    <row r="49" spans="1:7" ht="61.25" customHeight="1">
      <c r="A49" s="154" t="s">
        <v>324</v>
      </c>
      <c r="B49" s="151" t="s">
        <v>207</v>
      </c>
      <c r="C49" s="152"/>
      <c r="D49" s="121">
        <v>46271226925</v>
      </c>
      <c r="E49" s="121">
        <v>5913952195</v>
      </c>
      <c r="G49" s="118"/>
    </row>
    <row r="50" spans="1:7" ht="42" customHeight="1">
      <c r="A50" s="155" t="s">
        <v>325</v>
      </c>
      <c r="B50" s="156" t="s">
        <v>208</v>
      </c>
      <c r="C50" s="152"/>
      <c r="D50" s="121">
        <v>41972659771</v>
      </c>
      <c r="E50" s="121">
        <v>5913837097</v>
      </c>
      <c r="G50" s="118"/>
    </row>
    <row r="51" spans="1:7" ht="42" customHeight="1">
      <c r="A51" s="157" t="s">
        <v>326</v>
      </c>
      <c r="B51" s="156" t="s">
        <v>209</v>
      </c>
      <c r="C51" s="152"/>
      <c r="D51" s="121">
        <v>0</v>
      </c>
      <c r="E51" s="121">
        <v>0</v>
      </c>
      <c r="G51" s="118"/>
    </row>
    <row r="52" spans="1:7" ht="45" customHeight="1">
      <c r="A52" s="155" t="s">
        <v>46</v>
      </c>
      <c r="B52" s="156" t="s">
        <v>210</v>
      </c>
      <c r="C52" s="152"/>
      <c r="D52" s="121">
        <v>4298567154</v>
      </c>
      <c r="E52" s="121">
        <v>115098</v>
      </c>
      <c r="G52" s="118"/>
    </row>
    <row r="53" spans="1:7" ht="42" customHeight="1">
      <c r="A53" s="150" t="s">
        <v>273</v>
      </c>
      <c r="B53" s="151" t="s">
        <v>211</v>
      </c>
      <c r="C53" s="152"/>
      <c r="D53" s="121">
        <v>226700815</v>
      </c>
      <c r="E53" s="121">
        <v>128293830</v>
      </c>
      <c r="G53" s="118"/>
    </row>
    <row r="54" spans="1:7" ht="42" customHeight="1">
      <c r="A54" s="150" t="s">
        <v>274</v>
      </c>
      <c r="B54" s="151" t="s">
        <v>212</v>
      </c>
      <c r="C54" s="152"/>
      <c r="D54" s="121">
        <v>0</v>
      </c>
      <c r="E54" s="121">
        <v>0</v>
      </c>
      <c r="G54" s="118"/>
    </row>
    <row r="55" spans="1:7" s="118" customFormat="1" ht="57" customHeight="1">
      <c r="A55" s="147" t="s">
        <v>275</v>
      </c>
      <c r="B55" s="148" t="s">
        <v>213</v>
      </c>
      <c r="C55" s="149"/>
      <c r="D55" s="230">
        <v>13601078113</v>
      </c>
      <c r="E55" s="230">
        <v>46497927740</v>
      </c>
    </row>
    <row r="56" spans="1:7" ht="42" customHeight="1">
      <c r="A56" s="150" t="s">
        <v>327</v>
      </c>
      <c r="B56" s="151" t="s">
        <v>214</v>
      </c>
      <c r="C56" s="152"/>
      <c r="D56" s="121">
        <v>13601078113</v>
      </c>
      <c r="E56" s="121">
        <v>46497927740</v>
      </c>
      <c r="G56" s="118"/>
    </row>
    <row r="57" spans="1:7" ht="61.25" customHeight="1">
      <c r="A57" s="150" t="s">
        <v>324</v>
      </c>
      <c r="B57" s="151" t="s">
        <v>215</v>
      </c>
      <c r="C57" s="152"/>
      <c r="D57" s="121">
        <v>13475954724</v>
      </c>
      <c r="E57" s="121">
        <v>46271226925</v>
      </c>
      <c r="G57" s="118"/>
    </row>
    <row r="58" spans="1:7" ht="42" customHeight="1">
      <c r="A58" s="155" t="s">
        <v>325</v>
      </c>
      <c r="B58" s="156" t="s">
        <v>216</v>
      </c>
      <c r="C58" s="152"/>
      <c r="D58" s="121">
        <v>13475839515</v>
      </c>
      <c r="E58" s="121">
        <v>41972659771</v>
      </c>
      <c r="G58" s="118"/>
    </row>
    <row r="59" spans="1:7" ht="42" customHeight="1">
      <c r="A59" s="157" t="s">
        <v>326</v>
      </c>
      <c r="B59" s="156" t="s">
        <v>217</v>
      </c>
      <c r="C59" s="152"/>
      <c r="D59" s="121">
        <v>0</v>
      </c>
      <c r="E59" s="121">
        <v>0</v>
      </c>
      <c r="G59" s="118"/>
    </row>
    <row r="60" spans="1:7" ht="47.75" customHeight="1">
      <c r="A60" s="155" t="s">
        <v>46</v>
      </c>
      <c r="B60" s="156" t="s">
        <v>218</v>
      </c>
      <c r="C60" s="152"/>
      <c r="D60" s="121">
        <v>115209</v>
      </c>
      <c r="E60" s="121">
        <v>4298567154</v>
      </c>
      <c r="G60" s="118"/>
    </row>
    <row r="61" spans="1:7" ht="55.25" customHeight="1">
      <c r="A61" s="150" t="s">
        <v>328</v>
      </c>
      <c r="B61" s="151" t="s">
        <v>219</v>
      </c>
      <c r="C61" s="152"/>
      <c r="D61" s="121">
        <v>125123389</v>
      </c>
      <c r="E61" s="121">
        <v>226700815</v>
      </c>
      <c r="G61" s="118"/>
    </row>
    <row r="62" spans="1:7" ht="52.25" customHeight="1">
      <c r="A62" s="150" t="s">
        <v>276</v>
      </c>
      <c r="B62" s="151" t="s">
        <v>220</v>
      </c>
      <c r="C62" s="152"/>
      <c r="D62" s="121">
        <v>0</v>
      </c>
      <c r="E62" s="121">
        <v>0</v>
      </c>
      <c r="G62" s="118"/>
    </row>
    <row r="63" spans="1:7" s="118" customFormat="1" ht="62.75" customHeight="1">
      <c r="A63" s="147" t="s">
        <v>277</v>
      </c>
      <c r="B63" s="148" t="s">
        <v>221</v>
      </c>
      <c r="C63" s="149"/>
      <c r="D63" s="230">
        <v>-32896849627</v>
      </c>
      <c r="E63" s="230">
        <v>40455681715</v>
      </c>
    </row>
    <row r="64" spans="1:7" s="118" customFormat="1" ht="42" customHeight="1">
      <c r="A64" s="147" t="s">
        <v>278</v>
      </c>
      <c r="B64" s="148" t="s">
        <v>222</v>
      </c>
      <c r="C64" s="149"/>
      <c r="D64" s="230">
        <v>0</v>
      </c>
      <c r="E64" s="230">
        <v>0</v>
      </c>
    </row>
    <row r="67" spans="1:6" ht="25.25" customHeight="1">
      <c r="A67" s="143" t="s">
        <v>184</v>
      </c>
      <c r="B67" s="128"/>
      <c r="C67" s="263" t="s">
        <v>185</v>
      </c>
      <c r="D67" s="263"/>
      <c r="E67" s="263"/>
      <c r="F67" s="98"/>
    </row>
    <row r="68" spans="1:6">
      <c r="A68" s="144"/>
      <c r="B68" s="144"/>
      <c r="C68" s="144"/>
      <c r="D68" s="144"/>
      <c r="E68" s="144"/>
    </row>
    <row r="69" spans="1:6">
      <c r="A69" s="144"/>
      <c r="B69" s="144"/>
      <c r="C69" s="144"/>
      <c r="D69" s="144"/>
      <c r="E69" s="144"/>
    </row>
    <row r="70" spans="1:6">
      <c r="A70" s="144"/>
      <c r="B70" s="144"/>
      <c r="C70" s="144"/>
      <c r="D70" s="144"/>
      <c r="E70" s="144"/>
    </row>
    <row r="71" spans="1:6">
      <c r="A71" s="144"/>
      <c r="B71" s="144"/>
      <c r="C71" s="144"/>
      <c r="D71" s="144"/>
      <c r="E71" s="144"/>
    </row>
    <row r="72" spans="1:6">
      <c r="A72" s="144"/>
      <c r="B72" s="144"/>
      <c r="C72" s="144"/>
      <c r="D72" s="144"/>
      <c r="E72" s="144"/>
    </row>
    <row r="73" spans="1:6">
      <c r="A73" s="144"/>
      <c r="B73" s="144"/>
      <c r="C73" s="144"/>
      <c r="D73" s="144"/>
      <c r="E73" s="144"/>
    </row>
    <row r="74" spans="1:6">
      <c r="A74" s="144"/>
      <c r="B74" s="144"/>
      <c r="C74" s="144"/>
      <c r="D74" s="144"/>
      <c r="E74" s="144"/>
    </row>
    <row r="75" spans="1:6">
      <c r="A75" s="144"/>
      <c r="B75" s="144"/>
      <c r="C75" s="144"/>
      <c r="D75" s="144"/>
      <c r="E75" s="144"/>
    </row>
    <row r="76" spans="1:6">
      <c r="A76" s="144"/>
      <c r="B76" s="144"/>
      <c r="C76" s="144"/>
      <c r="D76" s="144"/>
      <c r="E76" s="144"/>
    </row>
    <row r="77" spans="1:6">
      <c r="A77" s="144"/>
      <c r="B77" s="144"/>
      <c r="C77" s="144"/>
      <c r="D77" s="144"/>
      <c r="E77" s="144"/>
    </row>
    <row r="78" spans="1:6">
      <c r="A78" s="144" t="s">
        <v>568</v>
      </c>
      <c r="B78" s="253" t="s">
        <v>566</v>
      </c>
      <c r="C78" s="253"/>
      <c r="D78" s="253"/>
      <c r="E78" s="127" t="s">
        <v>569</v>
      </c>
    </row>
    <row r="79" spans="1:6" ht="17" customHeight="1">
      <c r="A79" s="216" t="s">
        <v>873</v>
      </c>
      <c r="B79" s="270" t="s">
        <v>796</v>
      </c>
      <c r="C79" s="270"/>
      <c r="D79" s="270"/>
      <c r="E79" s="216" t="s">
        <v>786</v>
      </c>
    </row>
    <row r="80" spans="1:6" ht="17" customHeight="1">
      <c r="A80" s="144" t="s">
        <v>797</v>
      </c>
      <c r="B80" s="255" t="s">
        <v>798</v>
      </c>
      <c r="C80" s="255"/>
      <c r="D80" s="255"/>
      <c r="E80" s="144" t="s">
        <v>788</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88" zoomScaleNormal="100" zoomScaleSheetLayoutView="100" workbookViewId="0">
      <selection activeCell="A90" sqref="A90"/>
    </sheetView>
  </sheetViews>
  <sheetFormatPr defaultColWidth="8.6328125" defaultRowHeight="12.5"/>
  <cols>
    <col min="1" max="1" width="8.6328125" style="46"/>
    <col min="2" max="2" width="44.36328125" style="46" customWidth="1"/>
    <col min="3" max="3" width="10.36328125" style="46" customWidth="1"/>
    <col min="4" max="6" width="30" style="46" customWidth="1"/>
    <col min="7" max="14" width="8.6328125" style="46" hidden="1" customWidth="1"/>
    <col min="15" max="16384" width="8.6328125" style="46"/>
  </cols>
  <sheetData>
    <row r="1" spans="1:6" s="47" customFormat="1" ht="23" customHeight="1">
      <c r="A1" s="271" t="s">
        <v>818</v>
      </c>
      <c r="B1" s="271"/>
      <c r="C1" s="271"/>
      <c r="D1" s="271"/>
      <c r="E1" s="271"/>
      <c r="F1" s="271"/>
    </row>
    <row r="2" spans="1:6" s="47" customFormat="1" ht="50.4" customHeight="1">
      <c r="A2" s="272" t="s">
        <v>819</v>
      </c>
      <c r="B2" s="272"/>
      <c r="C2" s="272"/>
      <c r="D2" s="272"/>
      <c r="E2" s="272"/>
      <c r="F2" s="272"/>
    </row>
    <row r="3" spans="1:6" s="47" customFormat="1" ht="13.25" customHeight="1">
      <c r="A3" s="273" t="s">
        <v>820</v>
      </c>
      <c r="B3" s="273"/>
      <c r="C3" s="273"/>
      <c r="D3" s="273"/>
      <c r="E3" s="273"/>
      <c r="F3" s="273"/>
    </row>
    <row r="4" spans="1:6" s="47" customFormat="1" ht="32.75" customHeight="1">
      <c r="A4" s="273"/>
      <c r="B4" s="273"/>
      <c r="C4" s="273"/>
      <c r="D4" s="273"/>
      <c r="E4" s="273"/>
      <c r="F4" s="273"/>
    </row>
    <row r="5" spans="1:6" s="47" customFormat="1" ht="17" customHeight="1">
      <c r="A5" s="274" t="s">
        <v>777</v>
      </c>
      <c r="B5" s="274"/>
      <c r="C5" s="274"/>
      <c r="D5" s="274"/>
      <c r="E5" s="274"/>
      <c r="F5" s="274"/>
    </row>
    <row r="6" spans="1:6">
      <c r="A6" s="59"/>
      <c r="B6" s="59"/>
      <c r="C6" s="59"/>
      <c r="D6" s="59"/>
      <c r="E6" s="59"/>
      <c r="F6" s="59"/>
    </row>
    <row r="7" spans="1:6" ht="17" customHeight="1">
      <c r="A7" s="264" t="s">
        <v>2</v>
      </c>
      <c r="B7" s="264"/>
      <c r="C7" s="264" t="s">
        <v>779</v>
      </c>
      <c r="D7" s="264"/>
      <c r="E7" s="264"/>
      <c r="F7" s="264"/>
    </row>
    <row r="8" spans="1:6" s="47" customFormat="1" ht="17" customHeight="1">
      <c r="A8" s="275" t="s">
        <v>40</v>
      </c>
      <c r="B8" s="275"/>
      <c r="C8" s="275" t="s">
        <v>780</v>
      </c>
      <c r="D8" s="275"/>
      <c r="E8" s="275"/>
      <c r="F8" s="275"/>
    </row>
    <row r="9" spans="1:6" ht="17" customHeight="1">
      <c r="A9" s="264" t="s">
        <v>3</v>
      </c>
      <c r="B9" s="264"/>
      <c r="C9" s="264" t="s">
        <v>781</v>
      </c>
      <c r="D9" s="264"/>
      <c r="E9" s="264"/>
      <c r="F9" s="264"/>
    </row>
    <row r="10" spans="1:6" s="47" customFormat="1" ht="17" customHeight="1">
      <c r="A10" s="275" t="s">
        <v>4</v>
      </c>
      <c r="B10" s="275"/>
      <c r="C10" s="275" t="s">
        <v>782</v>
      </c>
      <c r="D10" s="275"/>
      <c r="E10" s="275"/>
      <c r="F10" s="275"/>
    </row>
    <row r="11" spans="1:6" ht="17" customHeight="1">
      <c r="A11" s="264" t="s">
        <v>5</v>
      </c>
      <c r="B11" s="264"/>
      <c r="C11" s="264" t="s">
        <v>225</v>
      </c>
      <c r="D11" s="264"/>
      <c r="E11" s="264"/>
      <c r="F11" s="264"/>
    </row>
    <row r="12" spans="1:6" s="47" customFormat="1" ht="17" customHeight="1">
      <c r="A12" s="275" t="s">
        <v>6</v>
      </c>
      <c r="B12" s="275"/>
      <c r="C12" s="275" t="s">
        <v>783</v>
      </c>
      <c r="D12" s="275"/>
      <c r="E12" s="275"/>
      <c r="F12" s="275"/>
    </row>
    <row r="13" spans="1:6" ht="17" customHeight="1">
      <c r="A13" s="264" t="s">
        <v>7</v>
      </c>
      <c r="B13" s="264"/>
      <c r="C13" s="264" t="s">
        <v>784</v>
      </c>
      <c r="D13" s="264"/>
      <c r="E13" s="264"/>
      <c r="F13" s="264"/>
    </row>
    <row r="14" spans="1:6" s="47" customFormat="1" ht="17" customHeight="1">
      <c r="A14" s="275" t="s">
        <v>8</v>
      </c>
      <c r="B14" s="275"/>
      <c r="C14" s="275" t="s">
        <v>785</v>
      </c>
      <c r="D14" s="275"/>
      <c r="E14" s="275"/>
      <c r="F14" s="275"/>
    </row>
    <row r="15" spans="1:6" s="47" customFormat="1" ht="17.399999999999999" customHeight="1">
      <c r="A15" s="56"/>
      <c r="B15" s="56"/>
      <c r="C15" s="56"/>
      <c r="D15" s="56"/>
      <c r="E15" s="56"/>
      <c r="F15" s="56"/>
    </row>
    <row r="16" spans="1:6" s="47" customFormat="1" ht="17" customHeight="1">
      <c r="A16" s="58" t="s">
        <v>821</v>
      </c>
      <c r="B16" s="57" t="s">
        <v>822</v>
      </c>
      <c r="C16" s="56"/>
      <c r="D16" s="56"/>
      <c r="E16" s="56"/>
      <c r="F16" s="56"/>
    </row>
    <row r="17" spans="1:6" s="47" customFormat="1" ht="17" customHeight="1">
      <c r="A17" s="58" t="s">
        <v>41</v>
      </c>
      <c r="B17" s="57" t="s">
        <v>570</v>
      </c>
      <c r="C17" s="56"/>
      <c r="D17" s="56"/>
      <c r="E17" s="56"/>
      <c r="F17" s="56"/>
    </row>
    <row r="18" spans="1:6" s="47" customFormat="1" ht="50.75" customHeight="1">
      <c r="A18" s="55" t="s">
        <v>42</v>
      </c>
      <c r="B18" s="53" t="s">
        <v>43</v>
      </c>
      <c r="C18" s="55" t="s">
        <v>44</v>
      </c>
      <c r="D18" s="54" t="s">
        <v>789</v>
      </c>
      <c r="E18" s="54" t="s">
        <v>790</v>
      </c>
      <c r="F18" s="174" t="s">
        <v>45</v>
      </c>
    </row>
    <row r="19" spans="1:6" ht="39" customHeight="1">
      <c r="A19" s="228" t="s">
        <v>583</v>
      </c>
      <c r="B19" s="227" t="s">
        <v>584</v>
      </c>
      <c r="C19" s="228"/>
      <c r="D19" s="230"/>
      <c r="E19" s="230"/>
      <c r="F19" s="229"/>
    </row>
    <row r="20" spans="1:6" ht="39" customHeight="1">
      <c r="A20" s="224" t="s">
        <v>585</v>
      </c>
      <c r="B20" s="223" t="s">
        <v>586</v>
      </c>
      <c r="C20" s="224"/>
      <c r="D20" s="226">
        <v>13601078113</v>
      </c>
      <c r="E20" s="226">
        <v>46497927740</v>
      </c>
      <c r="F20" s="225">
        <v>0.276711322479199</v>
      </c>
    </row>
    <row r="21" spans="1:6" ht="39" customHeight="1">
      <c r="A21" s="224" t="s">
        <v>587</v>
      </c>
      <c r="B21" s="223" t="s">
        <v>588</v>
      </c>
      <c r="C21" s="224"/>
      <c r="D21" s="226">
        <v>13601078113</v>
      </c>
      <c r="E21" s="226">
        <v>46497927740</v>
      </c>
      <c r="F21" s="225">
        <v>0.276711322479199</v>
      </c>
    </row>
    <row r="22" spans="1:6" ht="48" customHeight="1">
      <c r="A22" s="224" t="s">
        <v>589</v>
      </c>
      <c r="B22" s="223" t="s">
        <v>590</v>
      </c>
      <c r="C22" s="224"/>
      <c r="D22" s="226">
        <v>0</v>
      </c>
      <c r="E22" s="226">
        <v>0</v>
      </c>
      <c r="F22" s="225">
        <v>0</v>
      </c>
    </row>
    <row r="23" spans="1:6" ht="45" customHeight="1">
      <c r="A23" s="224" t="s">
        <v>591</v>
      </c>
      <c r="B23" s="223" t="s">
        <v>592</v>
      </c>
      <c r="C23" s="224"/>
      <c r="D23" s="226">
        <v>125123389</v>
      </c>
      <c r="E23" s="226">
        <v>226700815</v>
      </c>
      <c r="F23" s="225">
        <v>1.0328178219048201</v>
      </c>
    </row>
    <row r="24" spans="1:6" ht="42" customHeight="1">
      <c r="A24" s="224" t="s">
        <v>593</v>
      </c>
      <c r="B24" s="223" t="s">
        <v>594</v>
      </c>
      <c r="C24" s="224"/>
      <c r="D24" s="226">
        <v>13475839515</v>
      </c>
      <c r="E24" s="226">
        <v>41972659771</v>
      </c>
      <c r="F24" s="225">
        <v>1.1854925044287501</v>
      </c>
    </row>
    <row r="25" spans="1:6" ht="48" customHeight="1">
      <c r="A25" s="224" t="s">
        <v>595</v>
      </c>
      <c r="B25" s="223" t="s">
        <v>596</v>
      </c>
      <c r="C25" s="224"/>
      <c r="D25" s="226">
        <v>115209</v>
      </c>
      <c r="E25" s="226">
        <v>4298567154</v>
      </c>
      <c r="F25" s="225">
        <v>3.05933774349289E-6</v>
      </c>
    </row>
    <row r="26" spans="1:6" ht="39" customHeight="1">
      <c r="A26" s="224" t="s">
        <v>597</v>
      </c>
      <c r="B26" s="223" t="s">
        <v>829</v>
      </c>
      <c r="C26" s="224"/>
      <c r="D26" s="226">
        <v>0</v>
      </c>
      <c r="E26" s="226">
        <v>0</v>
      </c>
      <c r="F26" s="225"/>
    </row>
    <row r="27" spans="1:6" ht="39" customHeight="1">
      <c r="A27" s="224" t="s">
        <v>599</v>
      </c>
      <c r="B27" s="223" t="s">
        <v>600</v>
      </c>
      <c r="C27" s="224"/>
      <c r="D27" s="226">
        <v>607539056450</v>
      </c>
      <c r="E27" s="226">
        <v>493298290900</v>
      </c>
      <c r="F27" s="225">
        <v>1.1950766411109599</v>
      </c>
    </row>
    <row r="28" spans="1:6" ht="39" customHeight="1">
      <c r="A28" s="224" t="s">
        <v>601</v>
      </c>
      <c r="B28" s="223" t="s">
        <v>602</v>
      </c>
      <c r="C28" s="224"/>
      <c r="D28" s="226">
        <v>542545631850</v>
      </c>
      <c r="E28" s="226">
        <v>448298290900</v>
      </c>
      <c r="F28" s="225">
        <v>1.39728935766065</v>
      </c>
    </row>
    <row r="29" spans="1:6" ht="39" customHeight="1">
      <c r="A29" s="224" t="s">
        <v>603</v>
      </c>
      <c r="B29" s="223" t="s">
        <v>604</v>
      </c>
      <c r="C29" s="224"/>
      <c r="D29" s="226">
        <v>0</v>
      </c>
      <c r="E29" s="226">
        <v>0</v>
      </c>
      <c r="F29" s="225"/>
    </row>
    <row r="30" spans="1:6" ht="39" customHeight="1">
      <c r="A30" s="224" t="s">
        <v>605</v>
      </c>
      <c r="B30" s="223" t="s">
        <v>606</v>
      </c>
      <c r="C30" s="224"/>
      <c r="D30" s="226">
        <v>19993424600</v>
      </c>
      <c r="E30" s="226">
        <v>0</v>
      </c>
      <c r="F30" s="225">
        <v>0.33275843612015898</v>
      </c>
    </row>
    <row r="31" spans="1:6" ht="39" customHeight="1">
      <c r="A31" s="224" t="s">
        <v>607</v>
      </c>
      <c r="B31" s="223" t="s">
        <v>608</v>
      </c>
      <c r="C31" s="224"/>
      <c r="D31" s="226">
        <v>45000000000</v>
      </c>
      <c r="E31" s="226">
        <v>45000000000</v>
      </c>
      <c r="F31" s="225">
        <v>0.75</v>
      </c>
    </row>
    <row r="32" spans="1:6" ht="39" customHeight="1">
      <c r="A32" s="224" t="s">
        <v>609</v>
      </c>
      <c r="B32" s="223" t="s">
        <v>610</v>
      </c>
      <c r="C32" s="224"/>
      <c r="D32" s="226">
        <v>0</v>
      </c>
      <c r="E32" s="226">
        <v>0</v>
      </c>
      <c r="F32" s="225"/>
    </row>
    <row r="33" spans="1:6" ht="39" customHeight="1">
      <c r="A33" s="224" t="s">
        <v>611</v>
      </c>
      <c r="B33" s="223" t="s">
        <v>612</v>
      </c>
      <c r="C33" s="224"/>
      <c r="D33" s="226">
        <v>0</v>
      </c>
      <c r="E33" s="226">
        <v>0</v>
      </c>
      <c r="F33" s="225"/>
    </row>
    <row r="34" spans="1:6" ht="39" customHeight="1">
      <c r="A34" s="224" t="s">
        <v>613</v>
      </c>
      <c r="B34" s="223" t="s">
        <v>614</v>
      </c>
      <c r="C34" s="224"/>
      <c r="D34" s="226">
        <v>0</v>
      </c>
      <c r="E34" s="226">
        <v>0</v>
      </c>
      <c r="F34" s="225"/>
    </row>
    <row r="35" spans="1:6" ht="39" customHeight="1">
      <c r="A35" s="224" t="s">
        <v>615</v>
      </c>
      <c r="B35" s="223" t="s">
        <v>616</v>
      </c>
      <c r="C35" s="224"/>
      <c r="D35" s="226">
        <v>0</v>
      </c>
      <c r="E35" s="226">
        <v>0</v>
      </c>
      <c r="F35" s="225"/>
    </row>
    <row r="36" spans="1:6" ht="39" customHeight="1">
      <c r="A36" s="224" t="s">
        <v>617</v>
      </c>
      <c r="B36" s="223" t="s">
        <v>618</v>
      </c>
      <c r="C36" s="224"/>
      <c r="D36" s="226">
        <v>0</v>
      </c>
      <c r="E36" s="226">
        <v>0</v>
      </c>
      <c r="F36" s="225"/>
    </row>
    <row r="37" spans="1:6" ht="39" customHeight="1">
      <c r="A37" s="244" t="s">
        <v>619</v>
      </c>
      <c r="B37" s="245" t="s">
        <v>830</v>
      </c>
      <c r="C37" s="244"/>
      <c r="D37" s="246"/>
      <c r="E37" s="246"/>
      <c r="F37" s="247"/>
    </row>
    <row r="38" spans="1:6" ht="39" customHeight="1">
      <c r="A38" s="224" t="s">
        <v>624</v>
      </c>
      <c r="B38" s="223" t="s">
        <v>831</v>
      </c>
      <c r="C38" s="224"/>
      <c r="D38" s="226">
        <v>1074601195</v>
      </c>
      <c r="E38" s="226">
        <v>2609492000</v>
      </c>
      <c r="F38" s="225">
        <v>0.30411376519364403</v>
      </c>
    </row>
    <row r="39" spans="1:6" ht="39" customHeight="1">
      <c r="A39" s="224" t="s">
        <v>620</v>
      </c>
      <c r="B39" s="223" t="s">
        <v>621</v>
      </c>
      <c r="C39" s="224"/>
      <c r="D39" s="226">
        <v>982546400</v>
      </c>
      <c r="E39" s="226">
        <v>2609492000</v>
      </c>
      <c r="F39" s="225">
        <v>0.81098295571788204</v>
      </c>
    </row>
    <row r="40" spans="1:6" ht="39" customHeight="1">
      <c r="A40" s="224" t="s">
        <v>622</v>
      </c>
      <c r="B40" s="223" t="s">
        <v>623</v>
      </c>
      <c r="C40" s="224"/>
      <c r="D40" s="226">
        <v>92054795</v>
      </c>
      <c r="E40" s="226">
        <v>0</v>
      </c>
      <c r="F40" s="225">
        <v>3.96446145564169E-2</v>
      </c>
    </row>
    <row r="41" spans="1:6" ht="39" customHeight="1">
      <c r="A41" s="224" t="s">
        <v>632</v>
      </c>
      <c r="B41" s="223" t="s">
        <v>625</v>
      </c>
      <c r="C41" s="224"/>
      <c r="D41" s="226">
        <v>1146630137</v>
      </c>
      <c r="E41" s="226">
        <v>491164383</v>
      </c>
      <c r="F41" s="225">
        <v>0.97053742260590703</v>
      </c>
    </row>
    <row r="42" spans="1:6" ht="39" customHeight="1">
      <c r="A42" s="224" t="s">
        <v>626</v>
      </c>
      <c r="B42" s="223" t="s">
        <v>627</v>
      </c>
      <c r="C42" s="224"/>
      <c r="D42" s="226">
        <v>0</v>
      </c>
      <c r="E42" s="226">
        <v>0</v>
      </c>
      <c r="F42" s="225"/>
    </row>
    <row r="43" spans="1:6" ht="39" customHeight="1">
      <c r="A43" s="224" t="s">
        <v>628</v>
      </c>
      <c r="B43" s="223" t="s">
        <v>629</v>
      </c>
      <c r="C43" s="224"/>
      <c r="D43" s="226">
        <v>1146630137</v>
      </c>
      <c r="E43" s="226">
        <v>491164383</v>
      </c>
      <c r="F43" s="225">
        <v>0.97053742260590703</v>
      </c>
    </row>
    <row r="44" spans="1:6" ht="39" customHeight="1">
      <c r="A44" s="224" t="s">
        <v>630</v>
      </c>
      <c r="B44" s="223" t="s">
        <v>631</v>
      </c>
      <c r="C44" s="224"/>
      <c r="D44" s="226">
        <v>0</v>
      </c>
      <c r="E44" s="226">
        <v>0</v>
      </c>
      <c r="F44" s="225"/>
    </row>
    <row r="45" spans="1:6" ht="39" customHeight="1">
      <c r="A45" s="244" t="s">
        <v>633</v>
      </c>
      <c r="B45" s="245" t="s">
        <v>832</v>
      </c>
      <c r="C45" s="244"/>
      <c r="D45" s="246"/>
      <c r="E45" s="246"/>
      <c r="F45" s="247"/>
    </row>
    <row r="46" spans="1:6" ht="39" customHeight="1">
      <c r="A46" s="224" t="s">
        <v>641</v>
      </c>
      <c r="B46" s="223" t="s">
        <v>833</v>
      </c>
      <c r="C46" s="224"/>
      <c r="D46" s="226">
        <v>5286600</v>
      </c>
      <c r="E46" s="226">
        <v>154710</v>
      </c>
      <c r="F46" s="225"/>
    </row>
    <row r="47" spans="1:6" ht="39" customHeight="1">
      <c r="A47" s="224" t="s">
        <v>643</v>
      </c>
      <c r="B47" s="223" t="s">
        <v>634</v>
      </c>
      <c r="C47" s="224"/>
      <c r="D47" s="226">
        <v>-866400000</v>
      </c>
      <c r="E47" s="226">
        <v>-866400000</v>
      </c>
      <c r="F47" s="225">
        <v>1</v>
      </c>
    </row>
    <row r="48" spans="1:6" ht="39" customHeight="1">
      <c r="A48" s="224" t="s">
        <v>635</v>
      </c>
      <c r="B48" s="223" t="s">
        <v>636</v>
      </c>
      <c r="C48" s="224"/>
      <c r="D48" s="226">
        <v>0</v>
      </c>
      <c r="E48" s="226">
        <v>0</v>
      </c>
      <c r="F48" s="225"/>
    </row>
    <row r="49" spans="1:6" ht="39" customHeight="1">
      <c r="A49" s="224" t="s">
        <v>637</v>
      </c>
      <c r="B49" s="223" t="s">
        <v>638</v>
      </c>
      <c r="C49" s="224"/>
      <c r="D49" s="226">
        <v>-866400000</v>
      </c>
      <c r="E49" s="226">
        <v>-866400000</v>
      </c>
      <c r="F49" s="225">
        <v>1</v>
      </c>
    </row>
    <row r="50" spans="1:6" ht="39" customHeight="1">
      <c r="A50" s="224" t="s">
        <v>639</v>
      </c>
      <c r="B50" s="223" t="s">
        <v>640</v>
      </c>
      <c r="C50" s="224"/>
      <c r="D50" s="226">
        <v>0</v>
      </c>
      <c r="E50" s="226">
        <v>0</v>
      </c>
      <c r="F50" s="225"/>
    </row>
    <row r="51" spans="1:6" ht="39" customHeight="1">
      <c r="A51" s="224" t="s">
        <v>834</v>
      </c>
      <c r="B51" s="223" t="s">
        <v>642</v>
      </c>
      <c r="C51" s="224"/>
      <c r="D51" s="226">
        <v>0</v>
      </c>
      <c r="E51" s="226">
        <v>0</v>
      </c>
      <c r="F51" s="225"/>
    </row>
    <row r="52" spans="1:6" ht="39" customHeight="1">
      <c r="A52" s="228" t="s">
        <v>835</v>
      </c>
      <c r="B52" s="227" t="s">
        <v>335</v>
      </c>
      <c r="C52" s="228"/>
      <c r="D52" s="230">
        <v>622500252495</v>
      </c>
      <c r="E52" s="230">
        <v>542030629733</v>
      </c>
      <c r="F52" s="229">
        <v>1.1088958324357301</v>
      </c>
    </row>
    <row r="53" spans="1:6" ht="39" customHeight="1">
      <c r="A53" s="228" t="s">
        <v>644</v>
      </c>
      <c r="B53" s="227" t="s">
        <v>645</v>
      </c>
      <c r="C53" s="228"/>
      <c r="D53" s="230"/>
      <c r="E53" s="230"/>
      <c r="F53" s="229"/>
    </row>
    <row r="54" spans="1:6" ht="39" customHeight="1">
      <c r="A54" s="224" t="s">
        <v>48</v>
      </c>
      <c r="B54" s="223" t="s">
        <v>836</v>
      </c>
      <c r="C54" s="224"/>
      <c r="D54" s="226"/>
      <c r="E54" s="226"/>
      <c r="F54" s="225"/>
    </row>
    <row r="55" spans="1:6" ht="39" customHeight="1">
      <c r="A55" s="224" t="s">
        <v>49</v>
      </c>
      <c r="B55" s="223" t="s">
        <v>837</v>
      </c>
      <c r="C55" s="224"/>
      <c r="D55" s="226">
        <v>0</v>
      </c>
      <c r="E55" s="226">
        <v>0</v>
      </c>
      <c r="F55" s="225"/>
    </row>
    <row r="56" spans="1:6" ht="39" customHeight="1">
      <c r="A56" s="224" t="s">
        <v>715</v>
      </c>
      <c r="B56" s="223" t="s">
        <v>646</v>
      </c>
      <c r="C56" s="224"/>
      <c r="D56" s="226">
        <v>4435609002</v>
      </c>
      <c r="E56" s="226">
        <v>4705646491</v>
      </c>
      <c r="F56" s="225">
        <v>1.7318616420275701</v>
      </c>
    </row>
    <row r="57" spans="1:6" ht="39" customHeight="1">
      <c r="A57" s="224" t="s">
        <v>647</v>
      </c>
      <c r="B57" s="223" t="s">
        <v>648</v>
      </c>
      <c r="C57" s="224"/>
      <c r="D57" s="226">
        <v>2714702630</v>
      </c>
      <c r="E57" s="226">
        <v>3208003051</v>
      </c>
      <c r="F57" s="225">
        <v>6.0863968248011302</v>
      </c>
    </row>
    <row r="58" spans="1:6" ht="39" customHeight="1">
      <c r="A58" s="224" t="s">
        <v>649</v>
      </c>
      <c r="B58" s="223" t="s">
        <v>650</v>
      </c>
      <c r="C58" s="224"/>
      <c r="D58" s="226">
        <v>996717820</v>
      </c>
      <c r="E58" s="226">
        <v>1048216969</v>
      </c>
      <c r="F58" s="225">
        <v>17.958879639639601</v>
      </c>
    </row>
    <row r="59" spans="1:6" ht="48" customHeight="1">
      <c r="A59" s="224" t="s">
        <v>651</v>
      </c>
      <c r="B59" s="223" t="s">
        <v>652</v>
      </c>
      <c r="C59" s="224"/>
      <c r="D59" s="226">
        <v>0</v>
      </c>
      <c r="E59" s="226">
        <v>0</v>
      </c>
      <c r="F59" s="225"/>
    </row>
    <row r="60" spans="1:6" ht="39" customHeight="1">
      <c r="A60" s="224" t="s">
        <v>653</v>
      </c>
      <c r="B60" s="223" t="s">
        <v>654</v>
      </c>
      <c r="C60" s="224"/>
      <c r="D60" s="226">
        <v>0</v>
      </c>
      <c r="E60" s="226">
        <v>0</v>
      </c>
      <c r="F60" s="225"/>
    </row>
    <row r="61" spans="1:6" ht="39" customHeight="1">
      <c r="A61" s="224" t="s">
        <v>655</v>
      </c>
      <c r="B61" s="223" t="s">
        <v>656</v>
      </c>
      <c r="C61" s="224"/>
      <c r="D61" s="226">
        <v>1717984810</v>
      </c>
      <c r="E61" s="226">
        <v>2159786082</v>
      </c>
      <c r="F61" s="225">
        <v>4.3991349370343196</v>
      </c>
    </row>
    <row r="62" spans="1:6" ht="39" customHeight="1">
      <c r="A62" s="224" t="s">
        <v>657</v>
      </c>
      <c r="B62" s="223" t="s">
        <v>658</v>
      </c>
      <c r="C62" s="224"/>
      <c r="D62" s="226">
        <v>16590610</v>
      </c>
      <c r="E62" s="226">
        <v>14880057</v>
      </c>
      <c r="F62" s="225">
        <v>1.4772678299404001</v>
      </c>
    </row>
    <row r="63" spans="1:6" ht="61" customHeight="1">
      <c r="A63" s="224" t="s">
        <v>659</v>
      </c>
      <c r="B63" s="223" t="s">
        <v>660</v>
      </c>
      <c r="C63" s="224"/>
      <c r="D63" s="226">
        <v>191702692</v>
      </c>
      <c r="E63" s="226">
        <v>101250229</v>
      </c>
      <c r="F63" s="225">
        <v>0.42588882966937602</v>
      </c>
    </row>
    <row r="64" spans="1:6" ht="39" customHeight="1">
      <c r="A64" s="224" t="s">
        <v>661</v>
      </c>
      <c r="B64" s="223" t="s">
        <v>662</v>
      </c>
      <c r="C64" s="224"/>
      <c r="D64" s="226">
        <v>39925000</v>
      </c>
      <c r="E64" s="226">
        <v>39925000</v>
      </c>
      <c r="F64" s="225">
        <v>1</v>
      </c>
    </row>
    <row r="65" spans="1:6" ht="39" customHeight="1">
      <c r="A65" s="224" t="s">
        <v>663</v>
      </c>
      <c r="B65" s="223" t="s">
        <v>664</v>
      </c>
      <c r="C65" s="224"/>
      <c r="D65" s="226">
        <v>21191781</v>
      </c>
      <c r="E65" s="226">
        <v>34000000</v>
      </c>
      <c r="F65" s="225">
        <v>0.99835170392630201</v>
      </c>
    </row>
    <row r="66" spans="1:6" ht="39" customHeight="1">
      <c r="A66" s="224" t="s">
        <v>665</v>
      </c>
      <c r="B66" s="223" t="s">
        <v>666</v>
      </c>
      <c r="C66" s="224"/>
      <c r="D66" s="226">
        <v>1018736148</v>
      </c>
      <c r="E66" s="226">
        <v>850637160</v>
      </c>
      <c r="F66" s="225">
        <v>0.90999218637704504</v>
      </c>
    </row>
    <row r="67" spans="1:6" ht="39" customHeight="1">
      <c r="A67" s="224" t="s">
        <v>667</v>
      </c>
      <c r="B67" s="223" t="s">
        <v>668</v>
      </c>
      <c r="C67" s="224"/>
      <c r="D67" s="226">
        <v>14366790</v>
      </c>
      <c r="E67" s="226">
        <v>12000216</v>
      </c>
      <c r="F67" s="225">
        <v>0.909992121773889</v>
      </c>
    </row>
    <row r="68" spans="1:6" ht="39" customHeight="1">
      <c r="A68" s="224" t="s">
        <v>669</v>
      </c>
      <c r="B68" s="223" t="s">
        <v>670</v>
      </c>
      <c r="C68" s="224"/>
      <c r="D68" s="226">
        <v>25300000</v>
      </c>
      <c r="E68" s="226">
        <v>25300000</v>
      </c>
      <c r="F68" s="225">
        <v>0.948088696283234</v>
      </c>
    </row>
    <row r="69" spans="1:6" ht="39" customHeight="1">
      <c r="A69" s="224" t="s">
        <v>671</v>
      </c>
      <c r="B69" s="223" t="s">
        <v>672</v>
      </c>
      <c r="C69" s="224"/>
      <c r="D69" s="226">
        <v>25135520</v>
      </c>
      <c r="E69" s="226">
        <v>25135520</v>
      </c>
      <c r="F69" s="225">
        <v>1</v>
      </c>
    </row>
    <row r="70" spans="1:6" ht="39" customHeight="1">
      <c r="A70" s="224" t="s">
        <v>673</v>
      </c>
      <c r="B70" s="223" t="s">
        <v>674</v>
      </c>
      <c r="C70" s="224"/>
      <c r="D70" s="226">
        <v>25135520</v>
      </c>
      <c r="E70" s="226">
        <v>25135520</v>
      </c>
      <c r="F70" s="225">
        <v>1</v>
      </c>
    </row>
    <row r="71" spans="1:6" ht="46" customHeight="1">
      <c r="A71" s="224" t="s">
        <v>675</v>
      </c>
      <c r="B71" s="223" t="s">
        <v>676</v>
      </c>
      <c r="C71" s="224"/>
      <c r="D71" s="226">
        <v>0</v>
      </c>
      <c r="E71" s="226">
        <v>0</v>
      </c>
      <c r="F71" s="225"/>
    </row>
    <row r="72" spans="1:6" ht="39" customHeight="1">
      <c r="A72" s="224" t="s">
        <v>677</v>
      </c>
      <c r="B72" s="223" t="s">
        <v>678</v>
      </c>
      <c r="C72" s="224"/>
      <c r="D72" s="226">
        <v>30421440</v>
      </c>
      <c r="E72" s="226">
        <v>31782292</v>
      </c>
      <c r="F72" s="225">
        <v>0.61927258498482896</v>
      </c>
    </row>
    <row r="73" spans="1:6" ht="39" customHeight="1">
      <c r="A73" s="224" t="s">
        <v>679</v>
      </c>
      <c r="B73" s="223" t="s">
        <v>680</v>
      </c>
      <c r="C73" s="224"/>
      <c r="D73" s="226">
        <v>26121440</v>
      </c>
      <c r="E73" s="226">
        <v>26182292</v>
      </c>
      <c r="F73" s="225">
        <v>0.86711688310308799</v>
      </c>
    </row>
    <row r="74" spans="1:6" ht="39" customHeight="1">
      <c r="A74" s="224" t="s">
        <v>681</v>
      </c>
      <c r="B74" s="223" t="s">
        <v>682</v>
      </c>
      <c r="C74" s="224"/>
      <c r="D74" s="226">
        <v>4300000</v>
      </c>
      <c r="E74" s="226">
        <v>5600000</v>
      </c>
      <c r="F74" s="225">
        <v>0.226315789473684</v>
      </c>
    </row>
    <row r="75" spans="1:6" ht="60" customHeight="1">
      <c r="A75" s="224" t="s">
        <v>683</v>
      </c>
      <c r="B75" s="223" t="s">
        <v>684</v>
      </c>
      <c r="C75" s="224"/>
      <c r="D75" s="226">
        <v>0</v>
      </c>
      <c r="E75" s="226">
        <v>0</v>
      </c>
      <c r="F75" s="225"/>
    </row>
    <row r="76" spans="1:6" ht="39" customHeight="1">
      <c r="A76" s="224" t="s">
        <v>685</v>
      </c>
      <c r="B76" s="223" t="s">
        <v>686</v>
      </c>
      <c r="C76" s="224"/>
      <c r="D76" s="226">
        <v>132753425</v>
      </c>
      <c r="E76" s="226">
        <v>88000000</v>
      </c>
      <c r="F76" s="225">
        <v>0.99719334310880603</v>
      </c>
    </row>
    <row r="77" spans="1:6" ht="39" customHeight="1">
      <c r="A77" s="224" t="s">
        <v>687</v>
      </c>
      <c r="B77" s="223" t="s">
        <v>688</v>
      </c>
      <c r="C77" s="224"/>
      <c r="D77" s="226">
        <v>0</v>
      </c>
      <c r="E77" s="226">
        <v>0</v>
      </c>
      <c r="F77" s="225">
        <v>0</v>
      </c>
    </row>
    <row r="78" spans="1:6" ht="39" customHeight="1">
      <c r="A78" s="224" t="s">
        <v>689</v>
      </c>
      <c r="B78" s="223" t="s">
        <v>690</v>
      </c>
      <c r="C78" s="224"/>
      <c r="D78" s="226">
        <v>0</v>
      </c>
      <c r="E78" s="226">
        <v>0</v>
      </c>
      <c r="F78" s="225"/>
    </row>
    <row r="79" spans="1:6" ht="39" customHeight="1">
      <c r="A79" s="224" t="s">
        <v>691</v>
      </c>
      <c r="B79" s="223" t="s">
        <v>692</v>
      </c>
      <c r="C79" s="224"/>
      <c r="D79" s="226">
        <v>11000000</v>
      </c>
      <c r="E79" s="226">
        <v>11000000</v>
      </c>
      <c r="F79" s="225">
        <v>1</v>
      </c>
    </row>
    <row r="80" spans="1:6" ht="48" customHeight="1">
      <c r="A80" s="224" t="s">
        <v>693</v>
      </c>
      <c r="B80" s="223" t="s">
        <v>694</v>
      </c>
      <c r="C80" s="224"/>
      <c r="D80" s="226">
        <v>0</v>
      </c>
      <c r="E80" s="226">
        <v>0</v>
      </c>
      <c r="F80" s="225"/>
    </row>
    <row r="81" spans="1:6" ht="39" customHeight="1">
      <c r="A81" s="224" t="s">
        <v>695</v>
      </c>
      <c r="B81" s="223" t="s">
        <v>696</v>
      </c>
      <c r="C81" s="224"/>
      <c r="D81" s="226">
        <v>0</v>
      </c>
      <c r="E81" s="226">
        <v>0</v>
      </c>
      <c r="F81" s="225"/>
    </row>
    <row r="82" spans="1:6" ht="39" customHeight="1">
      <c r="A82" s="224" t="s">
        <v>697</v>
      </c>
      <c r="B82" s="223" t="s">
        <v>698</v>
      </c>
      <c r="C82" s="224"/>
      <c r="D82" s="226">
        <v>193782966</v>
      </c>
      <c r="E82" s="226">
        <v>263732966</v>
      </c>
      <c r="F82" s="225">
        <v>1.0980264576922401</v>
      </c>
    </row>
    <row r="83" spans="1:6" ht="39" customHeight="1">
      <c r="A83" s="224" t="s">
        <v>699</v>
      </c>
      <c r="B83" s="223" t="s">
        <v>700</v>
      </c>
      <c r="C83" s="224"/>
      <c r="D83" s="226">
        <v>17300000</v>
      </c>
      <c r="E83" s="226">
        <v>87250000</v>
      </c>
      <c r="F83" s="225"/>
    </row>
    <row r="84" spans="1:6" ht="48" customHeight="1">
      <c r="A84" s="224" t="s">
        <v>701</v>
      </c>
      <c r="B84" s="223" t="s">
        <v>702</v>
      </c>
      <c r="C84" s="224"/>
      <c r="D84" s="226">
        <v>0</v>
      </c>
      <c r="E84" s="226">
        <v>0</v>
      </c>
      <c r="F84" s="225"/>
    </row>
    <row r="85" spans="1:6" ht="45" customHeight="1">
      <c r="A85" s="224" t="s">
        <v>703</v>
      </c>
      <c r="B85" s="223" t="s">
        <v>704</v>
      </c>
      <c r="C85" s="224"/>
      <c r="D85" s="226">
        <v>0</v>
      </c>
      <c r="E85" s="226">
        <v>0</v>
      </c>
      <c r="F85" s="225"/>
    </row>
    <row r="86" spans="1:6" ht="39" customHeight="1">
      <c r="A86" s="224" t="s">
        <v>705</v>
      </c>
      <c r="B86" s="223" t="s">
        <v>706</v>
      </c>
      <c r="C86" s="224"/>
      <c r="D86" s="226">
        <v>176482966</v>
      </c>
      <c r="E86" s="226">
        <v>176482966</v>
      </c>
      <c r="F86" s="225">
        <v>1</v>
      </c>
    </row>
    <row r="87" spans="1:6" ht="39" customHeight="1">
      <c r="A87" s="224" t="s">
        <v>707</v>
      </c>
      <c r="B87" s="223" t="s">
        <v>708</v>
      </c>
      <c r="C87" s="224"/>
      <c r="D87" s="226">
        <v>0</v>
      </c>
      <c r="E87" s="226">
        <v>0</v>
      </c>
      <c r="F87" s="225"/>
    </row>
    <row r="88" spans="1:6" ht="39" customHeight="1">
      <c r="A88" s="224" t="s">
        <v>709</v>
      </c>
      <c r="B88" s="223" t="s">
        <v>710</v>
      </c>
      <c r="C88" s="224"/>
      <c r="D88" s="226">
        <v>0</v>
      </c>
      <c r="E88" s="226">
        <v>0</v>
      </c>
      <c r="F88" s="225"/>
    </row>
    <row r="89" spans="1:6" ht="39" customHeight="1">
      <c r="A89" s="224" t="s">
        <v>711</v>
      </c>
      <c r="B89" s="223" t="s">
        <v>712</v>
      </c>
      <c r="C89" s="224"/>
      <c r="D89" s="226">
        <v>0</v>
      </c>
      <c r="E89" s="226">
        <v>0</v>
      </c>
      <c r="F89" s="225"/>
    </row>
    <row r="90" spans="1:6" ht="39" customHeight="1">
      <c r="A90" s="224" t="s">
        <v>713</v>
      </c>
      <c r="B90" s="223" t="s">
        <v>714</v>
      </c>
      <c r="C90" s="224"/>
      <c r="D90" s="226">
        <v>0</v>
      </c>
      <c r="E90" s="226">
        <v>0</v>
      </c>
      <c r="F90" s="225"/>
    </row>
    <row r="91" spans="1:6" ht="39" customHeight="1">
      <c r="A91" s="228" t="s">
        <v>838</v>
      </c>
      <c r="B91" s="227" t="s">
        <v>716</v>
      </c>
      <c r="C91" s="228"/>
      <c r="D91" s="230">
        <v>4435609002</v>
      </c>
      <c r="E91" s="230">
        <v>4705646491</v>
      </c>
      <c r="F91" s="229">
        <v>1.7318616420275701</v>
      </c>
    </row>
    <row r="92" spans="1:6" ht="39" customHeight="1">
      <c r="A92" s="224" t="s">
        <v>349</v>
      </c>
      <c r="B92" s="223" t="s">
        <v>839</v>
      </c>
      <c r="C92" s="224"/>
      <c r="D92" s="226">
        <v>618064643493</v>
      </c>
      <c r="E92" s="226">
        <v>537324983242</v>
      </c>
      <c r="F92" s="225">
        <v>1.10604060016568</v>
      </c>
    </row>
    <row r="93" spans="1:6" ht="39" customHeight="1">
      <c r="A93" s="224" t="s">
        <v>349</v>
      </c>
      <c r="B93" s="223" t="s">
        <v>840</v>
      </c>
      <c r="C93" s="224"/>
      <c r="D93" s="231">
        <v>11065092.710000001</v>
      </c>
      <c r="E93" s="231">
        <v>10529255.210000001</v>
      </c>
      <c r="F93" s="225">
        <v>0.58938263432042204</v>
      </c>
    </row>
    <row r="94" spans="1:6" ht="39" customHeight="1">
      <c r="A94" s="224" t="s">
        <v>349</v>
      </c>
      <c r="B94" s="223" t="s">
        <v>841</v>
      </c>
      <c r="C94" s="224"/>
      <c r="D94" s="231">
        <v>55857.15</v>
      </c>
      <c r="E94" s="231">
        <v>51031.62</v>
      </c>
      <c r="F94" s="225">
        <v>1.8766088559224401</v>
      </c>
    </row>
    <row r="95" spans="1:6" s="47" customFormat="1" ht="17" customHeight="1"/>
    <row r="96" spans="1:6" s="47" customFormat="1" ht="17" customHeight="1">
      <c r="A96" s="69" t="s">
        <v>10</v>
      </c>
      <c r="B96" s="48"/>
      <c r="C96" s="48"/>
      <c r="E96" s="69" t="s">
        <v>11</v>
      </c>
      <c r="F96" s="48"/>
    </row>
    <row r="97" spans="1:6" s="51" customFormat="1" ht="17" customHeight="1">
      <c r="A97" s="70" t="s">
        <v>12</v>
      </c>
      <c r="B97" s="52"/>
      <c r="C97" s="52"/>
      <c r="E97" s="70"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217"/>
      <c r="B104" s="217"/>
      <c r="C104" s="48"/>
      <c r="D104" s="50"/>
      <c r="E104" s="217"/>
      <c r="F104" s="217"/>
    </row>
    <row r="105" spans="1:6" s="47" customFormat="1" ht="17" customHeight="1">
      <c r="A105" s="68" t="s">
        <v>14</v>
      </c>
      <c r="B105" s="215"/>
      <c r="C105" s="48"/>
      <c r="D105" s="49"/>
      <c r="E105" s="68" t="s">
        <v>779</v>
      </c>
      <c r="F105" s="215"/>
    </row>
    <row r="106" spans="1:6" s="47" customFormat="1" ht="17" customHeight="1">
      <c r="A106" s="214" t="s">
        <v>582</v>
      </c>
      <c r="B106" s="50"/>
      <c r="C106" s="48"/>
      <c r="E106" s="214" t="s">
        <v>786</v>
      </c>
      <c r="F106" s="50"/>
    </row>
    <row r="107" spans="1:6" s="47" customFormat="1" ht="17" customHeight="1">
      <c r="A107" s="48" t="s">
        <v>787</v>
      </c>
      <c r="B107" s="48"/>
      <c r="C107" s="48"/>
      <c r="E107" s="48" t="s">
        <v>788</v>
      </c>
      <c r="F107" s="48"/>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2" zoomScaleNormal="100" zoomScaleSheetLayoutView="100" workbookViewId="0">
      <selection activeCell="A82" sqref="A82"/>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66" t="s">
        <v>818</v>
      </c>
      <c r="B1" s="266"/>
      <c r="C1" s="266"/>
      <c r="D1" s="266"/>
      <c r="E1" s="266"/>
      <c r="F1" s="266"/>
    </row>
    <row r="2" spans="1:6" ht="45" customHeight="1">
      <c r="A2" s="267" t="s">
        <v>819</v>
      </c>
      <c r="B2" s="267"/>
      <c r="C2" s="267"/>
      <c r="D2" s="267"/>
      <c r="E2" s="267"/>
      <c r="F2" s="267"/>
    </row>
    <row r="3" spans="1:6" ht="22.5" customHeight="1">
      <c r="A3" s="268" t="s">
        <v>820</v>
      </c>
      <c r="B3" s="268"/>
      <c r="C3" s="268"/>
      <c r="D3" s="268"/>
      <c r="E3" s="268"/>
      <c r="F3" s="268"/>
    </row>
    <row r="4" spans="1:6" ht="21" customHeight="1">
      <c r="A4" s="268"/>
      <c r="B4" s="268"/>
      <c r="C4" s="268"/>
      <c r="D4" s="268"/>
      <c r="E4" s="268"/>
      <c r="F4" s="268"/>
    </row>
    <row r="5" spans="1:6" ht="16.25" customHeight="1">
      <c r="A5" s="269" t="s">
        <v>778</v>
      </c>
      <c r="B5" s="269"/>
      <c r="C5" s="269"/>
      <c r="D5" s="269"/>
      <c r="E5" s="269"/>
      <c r="F5" s="269"/>
    </row>
    <row r="7" spans="1:6" ht="17" customHeight="1">
      <c r="A7" s="71" t="s">
        <v>2</v>
      </c>
      <c r="C7" s="277" t="s">
        <v>779</v>
      </c>
      <c r="D7" s="277"/>
      <c r="E7" s="277"/>
      <c r="F7" s="277"/>
    </row>
    <row r="8" spans="1:6" ht="17" customHeight="1">
      <c r="A8" s="59" t="s">
        <v>40</v>
      </c>
      <c r="C8" s="276" t="s">
        <v>780</v>
      </c>
      <c r="D8" s="276"/>
      <c r="E8" s="276"/>
      <c r="F8" s="276"/>
    </row>
    <row r="9" spans="1:6" ht="17" customHeight="1">
      <c r="A9" s="71" t="s">
        <v>3</v>
      </c>
      <c r="C9" s="277" t="s">
        <v>781</v>
      </c>
      <c r="D9" s="277"/>
      <c r="E9" s="277"/>
      <c r="F9" s="277"/>
    </row>
    <row r="10" spans="1:6" ht="17" customHeight="1">
      <c r="A10" s="59" t="s">
        <v>4</v>
      </c>
      <c r="C10" s="276" t="s">
        <v>782</v>
      </c>
      <c r="D10" s="276"/>
      <c r="E10" s="276"/>
      <c r="F10" s="276"/>
    </row>
    <row r="11" spans="1:6" ht="17" customHeight="1">
      <c r="A11" s="71" t="s">
        <v>5</v>
      </c>
      <c r="C11" s="277" t="s">
        <v>225</v>
      </c>
      <c r="D11" s="277"/>
      <c r="E11" s="277"/>
      <c r="F11" s="277"/>
    </row>
    <row r="12" spans="1:6" ht="17" customHeight="1">
      <c r="A12" s="59" t="s">
        <v>6</v>
      </c>
      <c r="C12" s="276" t="s">
        <v>783</v>
      </c>
      <c r="D12" s="276"/>
      <c r="E12" s="276"/>
      <c r="F12" s="276"/>
    </row>
    <row r="13" spans="1:6" ht="17" customHeight="1">
      <c r="A13" s="71" t="s">
        <v>7</v>
      </c>
      <c r="C13" s="277" t="s">
        <v>784</v>
      </c>
      <c r="D13" s="277"/>
      <c r="E13" s="277"/>
      <c r="F13" s="277"/>
    </row>
    <row r="14" spans="1:6" ht="17" customHeight="1">
      <c r="A14" s="59" t="s">
        <v>8</v>
      </c>
      <c r="C14" s="276" t="s">
        <v>785</v>
      </c>
      <c r="D14" s="276"/>
      <c r="E14" s="276"/>
      <c r="F14" s="276"/>
    </row>
    <row r="15" spans="1:6" ht="17" customHeight="1"/>
    <row r="16" spans="1:6" ht="17" customHeight="1">
      <c r="A16" s="73" t="s">
        <v>821</v>
      </c>
      <c r="B16" s="74" t="s">
        <v>822</v>
      </c>
    </row>
    <row r="17" spans="1:7" ht="17" customHeight="1">
      <c r="A17" s="73" t="s">
        <v>47</v>
      </c>
      <c r="B17" s="74" t="s">
        <v>52</v>
      </c>
    </row>
    <row r="18" spans="1:7" ht="44.75" customHeight="1">
      <c r="A18" s="55" t="s">
        <v>42</v>
      </c>
      <c r="B18" s="53" t="s">
        <v>43</v>
      </c>
      <c r="C18" s="53" t="s">
        <v>44</v>
      </c>
      <c r="D18" s="54" t="s">
        <v>791</v>
      </c>
      <c r="E18" s="54" t="s">
        <v>792</v>
      </c>
      <c r="F18" s="76" t="s">
        <v>224</v>
      </c>
      <c r="G18" s="77"/>
    </row>
    <row r="19" spans="1:7" s="82" customFormat="1" ht="39" customHeight="1">
      <c r="A19" s="61" t="s">
        <v>41</v>
      </c>
      <c r="B19" s="78" t="s">
        <v>60</v>
      </c>
      <c r="C19" s="79"/>
      <c r="D19" s="80">
        <v>1705899512</v>
      </c>
      <c r="E19" s="80">
        <v>4597693474</v>
      </c>
      <c r="F19" s="80">
        <v>1705899512</v>
      </c>
      <c r="G19" s="81"/>
    </row>
    <row r="20" spans="1:7" ht="39" customHeight="1">
      <c r="A20" s="64">
        <v>1</v>
      </c>
      <c r="B20" s="83" t="s">
        <v>842</v>
      </c>
      <c r="C20" s="84"/>
      <c r="D20" s="85"/>
      <c r="E20" s="85"/>
      <c r="F20" s="85"/>
      <c r="G20" s="77"/>
    </row>
    <row r="21" spans="1:7" ht="39" customHeight="1">
      <c r="A21" s="64">
        <v>2</v>
      </c>
      <c r="B21" s="83" t="s">
        <v>234</v>
      </c>
      <c r="C21" s="84"/>
      <c r="D21" s="85">
        <v>622900853</v>
      </c>
      <c r="E21" s="85">
        <v>3507772455</v>
      </c>
      <c r="F21" s="85">
        <v>622900853</v>
      </c>
      <c r="G21" s="77"/>
    </row>
    <row r="22" spans="1:7" ht="39" customHeight="1">
      <c r="A22" s="86"/>
      <c r="B22" s="87" t="s">
        <v>235</v>
      </c>
      <c r="C22" s="88"/>
      <c r="D22" s="85">
        <v>537421400</v>
      </c>
      <c r="E22" s="85">
        <v>3269073834</v>
      </c>
      <c r="F22" s="85">
        <v>537421400</v>
      </c>
      <c r="G22" s="77"/>
    </row>
    <row r="23" spans="1:7" ht="39" customHeight="1">
      <c r="A23" s="86"/>
      <c r="B23" s="87" t="s">
        <v>236</v>
      </c>
      <c r="C23" s="88"/>
      <c r="D23" s="85">
        <v>85479453</v>
      </c>
      <c r="E23" s="85">
        <v>238698621</v>
      </c>
      <c r="F23" s="85">
        <v>85479453</v>
      </c>
      <c r="G23" s="77"/>
    </row>
    <row r="24" spans="1:7" ht="39" customHeight="1">
      <c r="A24" s="64">
        <v>3</v>
      </c>
      <c r="B24" s="83" t="s">
        <v>237</v>
      </c>
      <c r="C24" s="84"/>
      <c r="D24" s="85">
        <v>1082998659</v>
      </c>
      <c r="E24" s="85">
        <v>1089921019</v>
      </c>
      <c r="F24" s="85">
        <v>1082998659</v>
      </c>
      <c r="G24" s="77"/>
    </row>
    <row r="25" spans="1:7" ht="39" customHeight="1">
      <c r="A25" s="86"/>
      <c r="B25" s="87" t="s">
        <v>230</v>
      </c>
      <c r="C25" s="88"/>
      <c r="D25" s="85">
        <v>15943864</v>
      </c>
      <c r="E25" s="85">
        <v>6208691</v>
      </c>
      <c r="F25" s="85">
        <v>15943864</v>
      </c>
      <c r="G25" s="77"/>
    </row>
    <row r="26" spans="1:7" ht="39" customHeight="1">
      <c r="A26" s="86"/>
      <c r="B26" s="87" t="s">
        <v>238</v>
      </c>
      <c r="C26" s="88"/>
      <c r="D26" s="85">
        <v>1067054795</v>
      </c>
      <c r="E26" s="85">
        <v>1083712328</v>
      </c>
      <c r="F26" s="85">
        <v>1067054795</v>
      </c>
      <c r="G26" s="77"/>
    </row>
    <row r="27" spans="1:7" ht="39" customHeight="1">
      <c r="A27" s="86"/>
      <c r="B27" s="87" t="s">
        <v>279</v>
      </c>
      <c r="C27" s="88"/>
      <c r="D27" s="85">
        <v>0</v>
      </c>
      <c r="E27" s="85">
        <v>0</v>
      </c>
      <c r="F27" s="85">
        <v>0</v>
      </c>
      <c r="G27" s="77"/>
    </row>
    <row r="28" spans="1:7" ht="39" customHeight="1">
      <c r="A28" s="64">
        <v>4</v>
      </c>
      <c r="B28" s="83" t="s">
        <v>239</v>
      </c>
      <c r="C28" s="84"/>
      <c r="D28" s="85">
        <v>0</v>
      </c>
      <c r="E28" s="85">
        <v>0</v>
      </c>
      <c r="F28" s="85">
        <v>0</v>
      </c>
      <c r="G28" s="77"/>
    </row>
    <row r="29" spans="1:7" ht="39" customHeight="1">
      <c r="A29" s="89"/>
      <c r="B29" s="90" t="s">
        <v>240</v>
      </c>
      <c r="C29" s="91"/>
      <c r="D29" s="92">
        <v>0</v>
      </c>
      <c r="E29" s="92">
        <v>0</v>
      </c>
      <c r="F29" s="85">
        <v>0</v>
      </c>
      <c r="G29" s="93"/>
    </row>
    <row r="30" spans="1:7" ht="39" customHeight="1">
      <c r="A30" s="89"/>
      <c r="B30" s="90" t="s">
        <v>241</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242</v>
      </c>
      <c r="C32" s="79"/>
      <c r="D32" s="80">
        <v>3406874403</v>
      </c>
      <c r="E32" s="80">
        <v>2945744176</v>
      </c>
      <c r="F32" s="80">
        <v>3406874403</v>
      </c>
      <c r="G32" s="81"/>
    </row>
    <row r="33" spans="1:7" ht="39" customHeight="1">
      <c r="A33" s="64">
        <v>1</v>
      </c>
      <c r="B33" s="83" t="s">
        <v>843</v>
      </c>
      <c r="C33" s="84"/>
      <c r="D33" s="85">
        <v>2795129033</v>
      </c>
      <c r="E33" s="85">
        <v>2304253594</v>
      </c>
      <c r="F33" s="85">
        <v>2795129033</v>
      </c>
      <c r="G33" s="77"/>
    </row>
    <row r="34" spans="1:7" ht="44.75" customHeight="1">
      <c r="A34" s="64">
        <v>2</v>
      </c>
      <c r="B34" s="83" t="s">
        <v>844</v>
      </c>
      <c r="C34" s="84"/>
      <c r="D34" s="94">
        <v>175762183</v>
      </c>
      <c r="E34" s="94">
        <v>168146038</v>
      </c>
      <c r="F34" s="85">
        <v>175762183</v>
      </c>
      <c r="G34" s="77"/>
    </row>
    <row r="35" spans="1:7" ht="39" customHeight="1">
      <c r="A35" s="67"/>
      <c r="B35" s="87" t="s">
        <v>845</v>
      </c>
      <c r="C35" s="88"/>
      <c r="D35" s="94">
        <v>80779680</v>
      </c>
      <c r="E35" s="94">
        <v>71150162</v>
      </c>
      <c r="F35" s="85">
        <v>80779680</v>
      </c>
      <c r="G35" s="77"/>
    </row>
    <row r="36" spans="1:7" ht="39" customHeight="1">
      <c r="A36" s="67"/>
      <c r="B36" s="87" t="s">
        <v>846</v>
      </c>
      <c r="C36" s="88"/>
      <c r="D36" s="94">
        <v>9900000</v>
      </c>
      <c r="E36" s="94">
        <v>11100000</v>
      </c>
      <c r="F36" s="85">
        <v>9900000</v>
      </c>
      <c r="G36" s="77"/>
    </row>
    <row r="37" spans="1:7" ht="57" customHeight="1">
      <c r="A37" s="67"/>
      <c r="B37" s="87" t="s">
        <v>847</v>
      </c>
      <c r="C37" s="88"/>
      <c r="D37" s="94">
        <v>9182503</v>
      </c>
      <c r="E37" s="94">
        <v>9995876</v>
      </c>
      <c r="F37" s="94">
        <v>9182503</v>
      </c>
      <c r="G37" s="77"/>
    </row>
    <row r="38" spans="1:7" ht="39" customHeight="1">
      <c r="A38" s="67"/>
      <c r="B38" s="87" t="s">
        <v>848</v>
      </c>
      <c r="C38" s="88"/>
      <c r="D38" s="85">
        <v>75900000</v>
      </c>
      <c r="E38" s="85">
        <v>75900000</v>
      </c>
      <c r="F38" s="85">
        <v>75900000</v>
      </c>
      <c r="G38" s="77"/>
    </row>
    <row r="39" spans="1:7" ht="73.5" customHeight="1">
      <c r="A39" s="64">
        <v>3</v>
      </c>
      <c r="B39" s="63" t="s">
        <v>849</v>
      </c>
      <c r="C39" s="84"/>
      <c r="D39" s="85">
        <v>72418485</v>
      </c>
      <c r="E39" s="85">
        <v>65499930</v>
      </c>
      <c r="F39" s="85">
        <v>72418485</v>
      </c>
      <c r="G39" s="77"/>
    </row>
    <row r="40" spans="1:7" ht="39" customHeight="1">
      <c r="A40" s="67"/>
      <c r="B40" s="65" t="s">
        <v>281</v>
      </c>
      <c r="C40" s="88"/>
      <c r="D40" s="85">
        <v>39418485</v>
      </c>
      <c r="E40" s="85">
        <v>32499930</v>
      </c>
      <c r="F40" s="85">
        <v>39418485</v>
      </c>
      <c r="G40" s="77"/>
    </row>
    <row r="41" spans="1:7" ht="39" customHeight="1">
      <c r="A41" s="67"/>
      <c r="B41" s="65" t="s">
        <v>63</v>
      </c>
      <c r="C41" s="88"/>
      <c r="D41" s="94">
        <v>33000000</v>
      </c>
      <c r="E41" s="94">
        <v>33000000</v>
      </c>
      <c r="F41" s="94">
        <v>33000000</v>
      </c>
      <c r="G41" s="77"/>
    </row>
    <row r="42" spans="1:7" ht="39" customHeight="1">
      <c r="A42" s="67">
        <v>4</v>
      </c>
      <c r="B42" s="65" t="s">
        <v>850</v>
      </c>
      <c r="C42" s="88"/>
      <c r="D42" s="94"/>
      <c r="E42" s="94"/>
      <c r="F42" s="94"/>
      <c r="G42" s="77"/>
    </row>
    <row r="43" spans="1:7" ht="39" customHeight="1">
      <c r="A43" s="67">
        <v>5</v>
      </c>
      <c r="B43" s="65" t="s">
        <v>851</v>
      </c>
      <c r="C43" s="88"/>
      <c r="D43" s="94"/>
      <c r="E43" s="94"/>
      <c r="F43" s="94"/>
      <c r="G43" s="77"/>
    </row>
    <row r="44" spans="1:7" ht="39" customHeight="1">
      <c r="A44" s="64">
        <v>6</v>
      </c>
      <c r="B44" s="83" t="s">
        <v>64</v>
      </c>
      <c r="C44" s="84"/>
      <c r="D44" s="85">
        <v>44753425</v>
      </c>
      <c r="E44" s="85">
        <v>45622951</v>
      </c>
      <c r="F44" s="85">
        <v>44753425</v>
      </c>
      <c r="G44" s="77"/>
    </row>
    <row r="45" spans="1:7" ht="77.75" customHeight="1">
      <c r="A45" s="64">
        <v>7</v>
      </c>
      <c r="B45" s="83" t="s">
        <v>282</v>
      </c>
      <c r="C45" s="84"/>
      <c r="D45" s="85">
        <v>72491781</v>
      </c>
      <c r="E45" s="85">
        <v>175123224</v>
      </c>
      <c r="F45" s="85">
        <v>72491781</v>
      </c>
      <c r="G45" s="77"/>
    </row>
    <row r="46" spans="1:7" ht="39" customHeight="1">
      <c r="A46" s="67"/>
      <c r="B46" s="66" t="s">
        <v>283</v>
      </c>
      <c r="C46" s="88"/>
      <c r="D46" s="85">
        <v>55191781</v>
      </c>
      <c r="E46" s="85">
        <v>55273224</v>
      </c>
      <c r="F46" s="85">
        <v>55191781</v>
      </c>
      <c r="G46" s="77"/>
    </row>
    <row r="47" spans="1:7" ht="39" customHeight="1">
      <c r="A47" s="67"/>
      <c r="B47" s="66" t="s">
        <v>243</v>
      </c>
      <c r="C47" s="88"/>
      <c r="D47" s="85">
        <v>17300000</v>
      </c>
      <c r="E47" s="85">
        <v>119850000</v>
      </c>
      <c r="F47" s="85">
        <v>17300000</v>
      </c>
      <c r="G47" s="77"/>
    </row>
    <row r="48" spans="1:7" ht="39" customHeight="1">
      <c r="A48" s="67"/>
      <c r="B48" s="66" t="s">
        <v>66</v>
      </c>
      <c r="C48" s="88"/>
      <c r="D48" s="94">
        <v>0</v>
      </c>
      <c r="E48" s="94">
        <v>0</v>
      </c>
      <c r="F48" s="85">
        <v>0</v>
      </c>
      <c r="G48" s="77"/>
    </row>
    <row r="49" spans="1:7" ht="149" customHeight="1">
      <c r="A49" s="64">
        <v>8</v>
      </c>
      <c r="B49" s="63" t="s">
        <v>284</v>
      </c>
      <c r="C49" s="84"/>
      <c r="D49" s="85">
        <v>0</v>
      </c>
      <c r="E49" s="85">
        <v>0</v>
      </c>
      <c r="F49" s="85">
        <v>0</v>
      </c>
      <c r="G49" s="77"/>
    </row>
    <row r="50" spans="1:7" ht="39" customHeight="1">
      <c r="A50" s="67"/>
      <c r="B50" s="65" t="s">
        <v>244</v>
      </c>
      <c r="C50" s="88"/>
      <c r="D50" s="85">
        <v>0</v>
      </c>
      <c r="E50" s="85">
        <v>0</v>
      </c>
      <c r="F50" s="85">
        <v>0</v>
      </c>
      <c r="G50" s="77"/>
    </row>
    <row r="51" spans="1:7" ht="39" customHeight="1">
      <c r="A51" s="67"/>
      <c r="B51" s="65" t="s">
        <v>154</v>
      </c>
      <c r="C51" s="88"/>
      <c r="D51" s="85">
        <v>0</v>
      </c>
      <c r="E51" s="85">
        <v>0</v>
      </c>
      <c r="F51" s="85">
        <v>0</v>
      </c>
      <c r="G51" s="77"/>
    </row>
    <row r="52" spans="1:7" ht="39" customHeight="1">
      <c r="A52" s="67"/>
      <c r="B52" s="65" t="s">
        <v>285</v>
      </c>
      <c r="C52" s="88"/>
      <c r="D52" s="85">
        <v>0</v>
      </c>
      <c r="E52" s="85">
        <v>0</v>
      </c>
      <c r="F52" s="85">
        <v>0</v>
      </c>
      <c r="G52" s="77"/>
    </row>
    <row r="53" spans="1:7" ht="39" customHeight="1">
      <c r="A53" s="67"/>
      <c r="B53" s="66" t="s">
        <v>245</v>
      </c>
      <c r="C53" s="88"/>
      <c r="D53" s="85">
        <v>0</v>
      </c>
      <c r="E53" s="85">
        <v>0</v>
      </c>
      <c r="F53" s="85">
        <v>0</v>
      </c>
      <c r="G53" s="77"/>
    </row>
    <row r="54" spans="1:7" ht="39" customHeight="1">
      <c r="A54" s="67"/>
      <c r="B54" s="66" t="s">
        <v>852</v>
      </c>
      <c r="C54" s="88"/>
      <c r="D54" s="85">
        <v>0</v>
      </c>
      <c r="E54" s="85">
        <v>0</v>
      </c>
      <c r="F54" s="85">
        <v>0</v>
      </c>
      <c r="G54" s="77"/>
    </row>
    <row r="55" spans="1:7" ht="66" customHeight="1">
      <c r="A55" s="64">
        <v>9</v>
      </c>
      <c r="B55" s="83" t="s">
        <v>286</v>
      </c>
      <c r="C55" s="84"/>
      <c r="D55" s="94">
        <v>242215137</v>
      </c>
      <c r="E55" s="94">
        <v>178009810</v>
      </c>
      <c r="F55" s="94">
        <v>242215137</v>
      </c>
      <c r="G55" s="77"/>
    </row>
    <row r="56" spans="1:7" ht="39" customHeight="1">
      <c r="A56" s="67"/>
      <c r="B56" s="87" t="s">
        <v>68</v>
      </c>
      <c r="C56" s="88"/>
      <c r="D56" s="94">
        <v>241561759</v>
      </c>
      <c r="E56" s="94">
        <v>176906958</v>
      </c>
      <c r="F56" s="85">
        <v>241561759</v>
      </c>
      <c r="G56" s="77"/>
    </row>
    <row r="57" spans="1:7" ht="39" customHeight="1">
      <c r="A57" s="67"/>
      <c r="B57" s="87" t="s">
        <v>69</v>
      </c>
      <c r="C57" s="88"/>
      <c r="D57" s="94">
        <v>653378</v>
      </c>
      <c r="E57" s="94">
        <v>1102852</v>
      </c>
      <c r="F57" s="85">
        <v>653378</v>
      </c>
      <c r="G57" s="77"/>
    </row>
    <row r="58" spans="1:7" ht="39" customHeight="1">
      <c r="A58" s="67"/>
      <c r="B58" s="87" t="s">
        <v>70</v>
      </c>
      <c r="C58" s="88"/>
      <c r="D58" s="94">
        <v>0</v>
      </c>
      <c r="E58" s="94">
        <v>0</v>
      </c>
      <c r="F58" s="85">
        <v>0</v>
      </c>
      <c r="G58" s="77"/>
    </row>
    <row r="59" spans="1:7" ht="39" customHeight="1">
      <c r="A59" s="64">
        <v>10</v>
      </c>
      <c r="B59" s="83" t="s">
        <v>853</v>
      </c>
      <c r="C59" s="84"/>
      <c r="D59" s="94">
        <v>4104359</v>
      </c>
      <c r="E59" s="94">
        <v>9088629</v>
      </c>
      <c r="F59" s="94">
        <v>4104359</v>
      </c>
      <c r="G59" s="77"/>
    </row>
    <row r="60" spans="1:7" ht="39" customHeight="1">
      <c r="A60" s="64"/>
      <c r="B60" s="87" t="s">
        <v>71</v>
      </c>
      <c r="C60" s="88"/>
      <c r="D60" s="94">
        <v>0</v>
      </c>
      <c r="E60" s="94">
        <v>0</v>
      </c>
      <c r="F60" s="94">
        <v>0</v>
      </c>
      <c r="G60" s="95"/>
    </row>
    <row r="61" spans="1:7" ht="39" customHeight="1">
      <c r="A61" s="64"/>
      <c r="B61" s="87" t="s">
        <v>287</v>
      </c>
      <c r="C61" s="88"/>
      <c r="D61" s="94">
        <v>0</v>
      </c>
      <c r="E61" s="94">
        <v>0</v>
      </c>
      <c r="F61" s="94">
        <v>0</v>
      </c>
      <c r="G61" s="95"/>
    </row>
    <row r="62" spans="1:7" ht="39" customHeight="1">
      <c r="A62" s="64"/>
      <c r="B62" s="87" t="s">
        <v>72</v>
      </c>
      <c r="C62" s="88"/>
      <c r="D62" s="94">
        <v>0</v>
      </c>
      <c r="E62" s="94">
        <v>6739726</v>
      </c>
      <c r="F62" s="94">
        <v>0</v>
      </c>
      <c r="G62" s="95"/>
    </row>
    <row r="63" spans="1:7" ht="39" customHeight="1">
      <c r="A63" s="64"/>
      <c r="B63" s="87" t="s">
        <v>73</v>
      </c>
      <c r="C63" s="88"/>
      <c r="D63" s="94">
        <v>4104359</v>
      </c>
      <c r="E63" s="94">
        <v>2348903</v>
      </c>
      <c r="F63" s="94">
        <v>4104359</v>
      </c>
      <c r="G63" s="95"/>
    </row>
    <row r="64" spans="1:7" ht="39" customHeight="1">
      <c r="A64" s="64"/>
      <c r="B64" s="87" t="s">
        <v>288</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289</v>
      </c>
      <c r="C66" s="88"/>
      <c r="D66" s="94">
        <v>0</v>
      </c>
      <c r="E66" s="94">
        <v>0</v>
      </c>
      <c r="F66" s="94">
        <v>0</v>
      </c>
      <c r="G66" s="95"/>
    </row>
    <row r="67" spans="1:7" s="82" customFormat="1" ht="45.75" customHeight="1">
      <c r="A67" s="96" t="s">
        <v>53</v>
      </c>
      <c r="B67" s="78" t="s">
        <v>290</v>
      </c>
      <c r="C67" s="79"/>
      <c r="D67" s="80">
        <v>-1700974891</v>
      </c>
      <c r="E67" s="80">
        <v>1651949298</v>
      </c>
      <c r="F67" s="80">
        <v>-1700974891</v>
      </c>
      <c r="G67" s="81"/>
    </row>
    <row r="68" spans="1:7" s="82" customFormat="1" ht="39" customHeight="1">
      <c r="A68" s="96" t="s">
        <v>54</v>
      </c>
      <c r="B68" s="78" t="s">
        <v>247</v>
      </c>
      <c r="C68" s="79"/>
      <c r="D68" s="80">
        <v>52800451817</v>
      </c>
      <c r="E68" s="80">
        <v>103844668460</v>
      </c>
      <c r="F68" s="80">
        <v>52800451817</v>
      </c>
      <c r="G68" s="81"/>
    </row>
    <row r="69" spans="1:7" ht="39" customHeight="1">
      <c r="A69" s="64">
        <v>1</v>
      </c>
      <c r="B69" s="83" t="s">
        <v>854</v>
      </c>
      <c r="C69" s="84"/>
      <c r="D69" s="85">
        <v>12680230736</v>
      </c>
      <c r="E69" s="85">
        <v>12061083896</v>
      </c>
      <c r="F69" s="85">
        <v>12680230736</v>
      </c>
      <c r="G69" s="77"/>
    </row>
    <row r="70" spans="1:7" ht="39" customHeight="1">
      <c r="A70" s="64">
        <v>2</v>
      </c>
      <c r="B70" s="83" t="s">
        <v>74</v>
      </c>
      <c r="C70" s="84"/>
      <c r="D70" s="85">
        <v>40120221081</v>
      </c>
      <c r="E70" s="85">
        <v>91783584564</v>
      </c>
      <c r="F70" s="85">
        <v>40120221081</v>
      </c>
      <c r="G70" s="77"/>
    </row>
    <row r="71" spans="1:7" s="82" customFormat="1" ht="75" customHeight="1">
      <c r="A71" s="96" t="s">
        <v>55</v>
      </c>
      <c r="B71" s="78" t="s">
        <v>291</v>
      </c>
      <c r="C71" s="79"/>
      <c r="D71" s="80">
        <v>51099476926</v>
      </c>
      <c r="E71" s="80">
        <v>105496617758</v>
      </c>
      <c r="F71" s="80">
        <v>51099476926</v>
      </c>
      <c r="G71" s="81"/>
    </row>
    <row r="72" spans="1:7" s="82" customFormat="1" ht="39" customHeight="1">
      <c r="A72" s="96" t="s">
        <v>56</v>
      </c>
      <c r="B72" s="78" t="s">
        <v>75</v>
      </c>
      <c r="C72" s="79"/>
      <c r="D72" s="80">
        <v>537324983242</v>
      </c>
      <c r="E72" s="80">
        <v>421754040290</v>
      </c>
      <c r="F72" s="80">
        <v>537324983242</v>
      </c>
      <c r="G72" s="81"/>
    </row>
    <row r="73" spans="1:7" s="82" customFormat="1" ht="46.5" customHeight="1">
      <c r="A73" s="96" t="s">
        <v>57</v>
      </c>
      <c r="B73" s="78" t="s">
        <v>76</v>
      </c>
      <c r="C73" s="79"/>
      <c r="D73" s="80">
        <v>80739660251</v>
      </c>
      <c r="E73" s="80">
        <v>115570942952</v>
      </c>
      <c r="F73" s="80">
        <v>80739660251</v>
      </c>
      <c r="G73" s="81"/>
    </row>
    <row r="74" spans="1:7" ht="39" customHeight="1">
      <c r="A74" s="64"/>
      <c r="B74" s="83" t="s">
        <v>77</v>
      </c>
      <c r="C74" s="84"/>
      <c r="D74" s="85"/>
      <c r="E74" s="85"/>
      <c r="F74" s="85"/>
      <c r="G74" s="77"/>
    </row>
    <row r="75" spans="1:7" ht="58.5" customHeight="1">
      <c r="A75" s="64">
        <v>1</v>
      </c>
      <c r="B75" s="83" t="s">
        <v>855</v>
      </c>
      <c r="C75" s="84"/>
      <c r="D75" s="85">
        <v>51099476926</v>
      </c>
      <c r="E75" s="85">
        <v>105496617758</v>
      </c>
      <c r="F75" s="94">
        <v>51099476926</v>
      </c>
      <c r="G75" s="77"/>
    </row>
    <row r="76" spans="1:7" ht="58.5" customHeight="1">
      <c r="A76" s="64">
        <v>2</v>
      </c>
      <c r="B76" s="83" t="s">
        <v>856</v>
      </c>
      <c r="C76" s="84"/>
      <c r="D76" s="85">
        <v>0</v>
      </c>
      <c r="E76" s="85">
        <v>0</v>
      </c>
      <c r="F76" s="94">
        <v>0</v>
      </c>
      <c r="G76" s="77"/>
    </row>
    <row r="77" spans="1:7" ht="58.5" customHeight="1">
      <c r="A77" s="64">
        <v>3</v>
      </c>
      <c r="B77" s="83" t="s">
        <v>857</v>
      </c>
      <c r="C77" s="84"/>
      <c r="D77" s="85">
        <v>29640183325</v>
      </c>
      <c r="E77" s="85">
        <v>10074325194</v>
      </c>
      <c r="F77" s="85">
        <v>29640183325</v>
      </c>
      <c r="G77" s="77"/>
    </row>
    <row r="78" spans="1:7" ht="62.75" customHeight="1">
      <c r="A78" s="64"/>
      <c r="B78" s="83" t="s">
        <v>292</v>
      </c>
      <c r="C78" s="84"/>
      <c r="D78" s="94">
        <v>80184192529</v>
      </c>
      <c r="E78" s="94">
        <v>34023099739</v>
      </c>
      <c r="F78" s="94">
        <v>80184192529</v>
      </c>
      <c r="G78" s="77"/>
    </row>
    <row r="79" spans="1:7" ht="47" customHeight="1">
      <c r="A79" s="64"/>
      <c r="B79" s="83" t="s">
        <v>293</v>
      </c>
      <c r="C79" s="84"/>
      <c r="D79" s="94">
        <v>-50544009204</v>
      </c>
      <c r="E79" s="94">
        <v>-23948774545</v>
      </c>
      <c r="F79" s="85">
        <v>-50544009204</v>
      </c>
      <c r="G79" s="77"/>
    </row>
    <row r="80" spans="1:7" s="82" customFormat="1" ht="38" customHeight="1">
      <c r="A80" s="61" t="s">
        <v>58</v>
      </c>
      <c r="B80" s="78" t="s">
        <v>78</v>
      </c>
      <c r="C80" s="79"/>
      <c r="D80" s="80">
        <v>618064643493</v>
      </c>
      <c r="E80" s="80">
        <v>537324983242</v>
      </c>
      <c r="F80" s="80">
        <v>618064643493</v>
      </c>
      <c r="G80" s="81"/>
    </row>
    <row r="81" spans="1:7" s="82" customFormat="1" ht="57.5" customHeight="1">
      <c r="A81" s="61" t="s">
        <v>59</v>
      </c>
      <c r="B81" s="78" t="s">
        <v>248</v>
      </c>
      <c r="C81" s="79"/>
      <c r="D81" s="80">
        <v>0</v>
      </c>
      <c r="E81" s="80">
        <v>0</v>
      </c>
      <c r="F81" s="80">
        <v>0</v>
      </c>
      <c r="G81" s="97"/>
    </row>
    <row r="82" spans="1:7" ht="57" customHeight="1">
      <c r="A82" s="62"/>
      <c r="B82" s="83" t="s">
        <v>249</v>
      </c>
      <c r="C82" s="84"/>
      <c r="D82" s="106">
        <v>0</v>
      </c>
      <c r="E82" s="106">
        <v>0</v>
      </c>
      <c r="F82" s="106">
        <v>0</v>
      </c>
      <c r="G82" s="97"/>
    </row>
    <row r="85" spans="1:7" ht="17" customHeight="1">
      <c r="A85" s="98" t="s">
        <v>10</v>
      </c>
      <c r="D85" s="98" t="s">
        <v>11</v>
      </c>
    </row>
    <row r="86" spans="1:7" s="100" customFormat="1" ht="17" customHeight="1">
      <c r="A86" s="99" t="s">
        <v>12</v>
      </c>
      <c r="B86" s="99"/>
      <c r="C86" s="99"/>
      <c r="D86" s="99" t="s">
        <v>13</v>
      </c>
      <c r="E86" s="99"/>
      <c r="F86" s="99"/>
      <c r="G86" s="99"/>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1" t="s">
        <v>14</v>
      </c>
      <c r="B94" s="102"/>
      <c r="D94" s="101" t="s">
        <v>779</v>
      </c>
      <c r="E94" s="102"/>
      <c r="F94" s="102"/>
    </row>
    <row r="95" spans="1:7" ht="17" customHeight="1">
      <c r="A95" s="98" t="s">
        <v>582</v>
      </c>
      <c r="D95" s="98" t="s">
        <v>786</v>
      </c>
    </row>
    <row r="96" spans="1:7" ht="17" customHeight="1">
      <c r="A96" s="59" t="s">
        <v>787</v>
      </c>
      <c r="D96" s="59" t="s">
        <v>788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6"/>
  <sheetViews>
    <sheetView view="pageBreakPreview" topLeftCell="A100" zoomScale="85" zoomScaleNormal="100" zoomScaleSheetLayoutView="85" workbookViewId="0">
      <selection activeCell="C11" sqref="C11:G11"/>
    </sheetView>
  </sheetViews>
  <sheetFormatPr defaultColWidth="8.6328125" defaultRowHeight="12.5"/>
  <cols>
    <col min="1" max="1" width="9" style="59" customWidth="1"/>
    <col min="2" max="2" width="39.90625" style="59" customWidth="1"/>
    <col min="3" max="3" width="9.36328125" style="59" customWidth="1"/>
    <col min="4" max="4" width="17.90625" style="59" customWidth="1"/>
    <col min="5" max="5" width="18.36328125" style="59" customWidth="1"/>
    <col min="6" max="6" width="21.36328125" style="59" customWidth="1"/>
    <col min="7" max="7" width="15.453125" style="59" customWidth="1"/>
    <col min="8" max="16384" width="8.6328125" style="104"/>
  </cols>
  <sheetData>
    <row r="1" spans="1:7" ht="26" customHeight="1">
      <c r="A1" s="266" t="s">
        <v>818</v>
      </c>
      <c r="B1" s="266"/>
      <c r="C1" s="266"/>
      <c r="D1" s="266"/>
      <c r="E1" s="266"/>
      <c r="F1" s="266"/>
      <c r="G1" s="266"/>
    </row>
    <row r="2" spans="1:7" ht="44.4" customHeight="1">
      <c r="A2" s="267" t="s">
        <v>819</v>
      </c>
      <c r="B2" s="267"/>
      <c r="C2" s="267"/>
      <c r="D2" s="267"/>
      <c r="E2" s="267"/>
      <c r="F2" s="267"/>
      <c r="G2" s="267"/>
    </row>
    <row r="3" spans="1:7" ht="15" customHeight="1">
      <c r="A3" s="268" t="s">
        <v>820</v>
      </c>
      <c r="B3" s="268"/>
      <c r="C3" s="268"/>
      <c r="D3" s="268"/>
      <c r="E3" s="268"/>
      <c r="F3" s="268"/>
      <c r="G3" s="268"/>
    </row>
    <row r="4" spans="1:7" ht="27.5" customHeight="1">
      <c r="A4" s="268"/>
      <c r="B4" s="268"/>
      <c r="C4" s="268"/>
      <c r="D4" s="268"/>
      <c r="E4" s="268"/>
      <c r="F4" s="268"/>
      <c r="G4" s="268"/>
    </row>
    <row r="5" spans="1:7" ht="17" customHeight="1">
      <c r="A5" s="269" t="s">
        <v>777</v>
      </c>
      <c r="B5" s="269"/>
      <c r="C5" s="269"/>
      <c r="D5" s="269"/>
      <c r="E5" s="269"/>
      <c r="F5" s="269"/>
      <c r="G5" s="269"/>
    </row>
    <row r="6" spans="1:7" ht="17" customHeight="1"/>
    <row r="7" spans="1:7" ht="17" customHeight="1">
      <c r="A7" s="172" t="s">
        <v>2</v>
      </c>
      <c r="C7" s="277" t="s">
        <v>779</v>
      </c>
      <c r="D7" s="277"/>
      <c r="E7" s="277"/>
      <c r="F7" s="277"/>
      <c r="G7" s="277"/>
    </row>
    <row r="8" spans="1:7" ht="17" customHeight="1">
      <c r="A8" s="59" t="s">
        <v>40</v>
      </c>
      <c r="C8" s="276" t="s">
        <v>780</v>
      </c>
      <c r="D8" s="276"/>
      <c r="E8" s="276"/>
      <c r="F8" s="276"/>
      <c r="G8" s="276"/>
    </row>
    <row r="9" spans="1:7" ht="17" customHeight="1">
      <c r="A9" s="172" t="s">
        <v>3</v>
      </c>
      <c r="C9" s="277" t="s">
        <v>781</v>
      </c>
      <c r="D9" s="277"/>
      <c r="E9" s="277"/>
      <c r="F9" s="277"/>
      <c r="G9" s="277"/>
    </row>
    <row r="10" spans="1:7" ht="17" customHeight="1">
      <c r="A10" s="59" t="s">
        <v>4</v>
      </c>
      <c r="C10" s="276" t="s">
        <v>782</v>
      </c>
      <c r="D10" s="276"/>
      <c r="E10" s="276"/>
      <c r="F10" s="276"/>
      <c r="G10" s="276"/>
    </row>
    <row r="11" spans="1:7" ht="17" customHeight="1">
      <c r="A11" s="176" t="s">
        <v>5</v>
      </c>
      <c r="C11" s="277" t="s">
        <v>225</v>
      </c>
      <c r="D11" s="277"/>
      <c r="E11" s="277"/>
      <c r="F11" s="277"/>
      <c r="G11" s="277"/>
    </row>
    <row r="12" spans="1:7" ht="17" customHeight="1">
      <c r="A12" s="59" t="s">
        <v>6</v>
      </c>
      <c r="C12" s="276" t="s">
        <v>783</v>
      </c>
      <c r="D12" s="276"/>
      <c r="E12" s="276"/>
      <c r="F12" s="276"/>
      <c r="G12" s="276"/>
    </row>
    <row r="13" spans="1:7" ht="17" customHeight="1">
      <c r="A13" s="172" t="s">
        <v>7</v>
      </c>
      <c r="C13" s="277" t="s">
        <v>784</v>
      </c>
      <c r="D13" s="277"/>
      <c r="E13" s="277"/>
      <c r="F13" s="277"/>
      <c r="G13" s="277"/>
    </row>
    <row r="14" spans="1:7" ht="17" customHeight="1">
      <c r="A14" s="59" t="s">
        <v>8</v>
      </c>
      <c r="C14" s="276" t="s">
        <v>785</v>
      </c>
      <c r="D14" s="276"/>
      <c r="E14" s="276"/>
      <c r="F14" s="276"/>
      <c r="G14" s="276"/>
    </row>
    <row r="15" spans="1:7" ht="16.75" customHeight="1"/>
    <row r="16" spans="1:7" ht="17" customHeight="1">
      <c r="A16" s="73" t="s">
        <v>821</v>
      </c>
      <c r="B16" s="232" t="s">
        <v>822</v>
      </c>
    </row>
    <row r="17" spans="1:7" ht="17" customHeight="1">
      <c r="A17" s="73" t="s">
        <v>53</v>
      </c>
      <c r="B17" s="74" t="s">
        <v>571</v>
      </c>
    </row>
    <row r="18" spans="1:7" ht="75.5" customHeight="1">
      <c r="A18" s="105" t="s">
        <v>188</v>
      </c>
      <c r="B18" s="105" t="s">
        <v>79</v>
      </c>
      <c r="C18" s="105" t="s">
        <v>44</v>
      </c>
      <c r="D18" s="105" t="s">
        <v>80</v>
      </c>
      <c r="E18" s="105" t="s">
        <v>81</v>
      </c>
      <c r="F18" s="105" t="s">
        <v>82</v>
      </c>
      <c r="G18" s="105" t="s">
        <v>83</v>
      </c>
    </row>
    <row r="19" spans="1:7" ht="39" customHeight="1">
      <c r="A19" s="233" t="s">
        <v>41</v>
      </c>
      <c r="B19" s="234" t="s">
        <v>823</v>
      </c>
      <c r="C19" s="233"/>
      <c r="D19" s="235"/>
      <c r="E19" s="235"/>
      <c r="F19" s="235"/>
      <c r="G19" s="236"/>
    </row>
    <row r="20" spans="1:7" ht="34" customHeight="1">
      <c r="A20" s="233" t="s">
        <v>47</v>
      </c>
      <c r="B20" s="234" t="s">
        <v>824</v>
      </c>
      <c r="C20" s="233"/>
      <c r="D20" s="235"/>
      <c r="E20" s="235"/>
      <c r="F20" s="235"/>
      <c r="G20" s="236"/>
    </row>
    <row r="21" spans="1:7" ht="34" customHeight="1">
      <c r="A21" s="237">
        <v>1</v>
      </c>
      <c r="B21" s="238" t="s">
        <v>717</v>
      </c>
      <c r="C21" s="239"/>
      <c r="D21" s="240">
        <v>375314</v>
      </c>
      <c r="E21" s="241">
        <v>33300</v>
      </c>
      <c r="F21" s="240">
        <v>12497956200</v>
      </c>
      <c r="G21" s="242">
        <v>2.0077029928755499E-2</v>
      </c>
    </row>
    <row r="22" spans="1:7" ht="34" customHeight="1">
      <c r="A22" s="237">
        <v>2</v>
      </c>
      <c r="B22" s="238" t="s">
        <v>718</v>
      </c>
      <c r="C22" s="239"/>
      <c r="D22" s="240">
        <v>413100</v>
      </c>
      <c r="E22" s="241">
        <v>15150</v>
      </c>
      <c r="F22" s="240">
        <v>6258465000</v>
      </c>
      <c r="G22" s="242">
        <v>1.0053754958196199E-2</v>
      </c>
    </row>
    <row r="23" spans="1:7" ht="34" customHeight="1">
      <c r="A23" s="237">
        <v>3</v>
      </c>
      <c r="B23" s="238" t="s">
        <v>719</v>
      </c>
      <c r="C23" s="239"/>
      <c r="D23" s="240">
        <v>191820</v>
      </c>
      <c r="E23" s="241">
        <v>42950</v>
      </c>
      <c r="F23" s="240">
        <v>8238669000</v>
      </c>
      <c r="G23" s="242">
        <v>1.3234804270326301E-2</v>
      </c>
    </row>
    <row r="24" spans="1:7" ht="34" customHeight="1">
      <c r="A24" s="237">
        <v>4</v>
      </c>
      <c r="B24" s="238" t="s">
        <v>720</v>
      </c>
      <c r="C24" s="239"/>
      <c r="D24" s="240">
        <v>266290</v>
      </c>
      <c r="E24" s="241">
        <v>40150</v>
      </c>
      <c r="F24" s="240">
        <v>10691543500</v>
      </c>
      <c r="G24" s="242">
        <v>1.7175163314629899E-2</v>
      </c>
    </row>
    <row r="25" spans="1:7" ht="34" customHeight="1">
      <c r="A25" s="237">
        <v>5</v>
      </c>
      <c r="B25" s="238" t="s">
        <v>721</v>
      </c>
      <c r="C25" s="239"/>
      <c r="D25" s="240">
        <v>86500</v>
      </c>
      <c r="E25" s="241">
        <v>93800</v>
      </c>
      <c r="F25" s="240">
        <v>8113700000</v>
      </c>
      <c r="G25" s="242">
        <v>1.3034050938100099E-2</v>
      </c>
    </row>
    <row r="26" spans="1:7" ht="34" customHeight="1">
      <c r="A26" s="237">
        <v>6</v>
      </c>
      <c r="B26" s="238" t="s">
        <v>722</v>
      </c>
      <c r="C26" s="239"/>
      <c r="D26" s="240">
        <v>171410</v>
      </c>
      <c r="E26" s="241">
        <v>83500</v>
      </c>
      <c r="F26" s="240">
        <v>14312735000</v>
      </c>
      <c r="G26" s="242">
        <v>2.2992336055502199E-2</v>
      </c>
    </row>
    <row r="27" spans="1:7" ht="34" customHeight="1">
      <c r="A27" s="237">
        <v>7</v>
      </c>
      <c r="B27" s="238" t="s">
        <v>723</v>
      </c>
      <c r="C27" s="239"/>
      <c r="D27" s="240">
        <v>300000</v>
      </c>
      <c r="E27" s="241">
        <v>19850</v>
      </c>
      <c r="F27" s="240">
        <v>5955000000</v>
      </c>
      <c r="G27" s="242">
        <v>9.5662611800271195E-3</v>
      </c>
    </row>
    <row r="28" spans="1:7" ht="34" customHeight="1">
      <c r="A28" s="237">
        <v>8</v>
      </c>
      <c r="B28" s="238" t="s">
        <v>724</v>
      </c>
      <c r="C28" s="239"/>
      <c r="D28" s="240">
        <v>164810</v>
      </c>
      <c r="E28" s="241">
        <v>28800</v>
      </c>
      <c r="F28" s="240">
        <v>4746528000</v>
      </c>
      <c r="G28" s="242">
        <v>7.6249414855267504E-3</v>
      </c>
    </row>
    <row r="29" spans="1:7" ht="34" customHeight="1">
      <c r="A29" s="237">
        <v>9</v>
      </c>
      <c r="B29" s="238" t="s">
        <v>725</v>
      </c>
      <c r="C29" s="239"/>
      <c r="D29" s="240">
        <v>246993</v>
      </c>
      <c r="E29" s="241">
        <v>24000</v>
      </c>
      <c r="F29" s="240">
        <v>5927832000</v>
      </c>
      <c r="G29" s="242">
        <v>9.5226178242355207E-3</v>
      </c>
    </row>
    <row r="30" spans="1:7" ht="34" customHeight="1">
      <c r="A30" s="237">
        <v>10</v>
      </c>
      <c r="B30" s="238" t="s">
        <v>726</v>
      </c>
      <c r="C30" s="239"/>
      <c r="D30" s="240">
        <v>520305</v>
      </c>
      <c r="E30" s="241">
        <v>77700</v>
      </c>
      <c r="F30" s="240">
        <v>40427698500</v>
      </c>
      <c r="G30" s="242">
        <v>6.4944067633650807E-2</v>
      </c>
    </row>
    <row r="31" spans="1:7" ht="34" customHeight="1">
      <c r="A31" s="237">
        <v>11</v>
      </c>
      <c r="B31" s="238" t="s">
        <v>727</v>
      </c>
      <c r="C31" s="239"/>
      <c r="D31" s="240">
        <v>62360</v>
      </c>
      <c r="E31" s="241">
        <v>89700</v>
      </c>
      <c r="F31" s="240">
        <v>5593692000</v>
      </c>
      <c r="G31" s="242">
        <v>8.9858469576202006E-3</v>
      </c>
    </row>
    <row r="32" spans="1:7" ht="34" customHeight="1">
      <c r="A32" s="237">
        <v>12</v>
      </c>
      <c r="B32" s="238" t="s">
        <v>728</v>
      </c>
      <c r="C32" s="239"/>
      <c r="D32" s="240">
        <v>92300</v>
      </c>
      <c r="E32" s="241">
        <v>71800</v>
      </c>
      <c r="F32" s="240">
        <v>6627140000</v>
      </c>
      <c r="G32" s="242">
        <v>1.06460037139555E-2</v>
      </c>
    </row>
    <row r="33" spans="1:7" ht="34" customHeight="1">
      <c r="A33" s="237">
        <v>13</v>
      </c>
      <c r="B33" s="238" t="s">
        <v>729</v>
      </c>
      <c r="C33" s="239"/>
      <c r="D33" s="240">
        <v>143000</v>
      </c>
      <c r="E33" s="241">
        <v>24900</v>
      </c>
      <c r="F33" s="240">
        <v>3560700000</v>
      </c>
      <c r="G33" s="242">
        <v>5.7199976798862403E-3</v>
      </c>
    </row>
    <row r="34" spans="1:7" ht="34" customHeight="1">
      <c r="A34" s="237">
        <v>14</v>
      </c>
      <c r="B34" s="238" t="s">
        <v>730</v>
      </c>
      <c r="C34" s="239"/>
      <c r="D34" s="240">
        <v>136600</v>
      </c>
      <c r="E34" s="241">
        <v>43100</v>
      </c>
      <c r="F34" s="240">
        <v>5887460000</v>
      </c>
      <c r="G34" s="242">
        <v>9.4577632320675901E-3</v>
      </c>
    </row>
    <row r="35" spans="1:7" ht="34" customHeight="1">
      <c r="A35" s="237">
        <v>15</v>
      </c>
      <c r="B35" s="238" t="s">
        <v>731</v>
      </c>
      <c r="C35" s="239"/>
      <c r="D35" s="240">
        <v>1477948</v>
      </c>
      <c r="E35" s="241">
        <v>46800</v>
      </c>
      <c r="F35" s="240">
        <v>69167966400</v>
      </c>
      <c r="G35" s="242">
        <v>0.11111315396704299</v>
      </c>
    </row>
    <row r="36" spans="1:7" ht="34" customHeight="1">
      <c r="A36" s="237">
        <v>16</v>
      </c>
      <c r="B36" s="238" t="s">
        <v>732</v>
      </c>
      <c r="C36" s="239"/>
      <c r="D36" s="240">
        <v>315100</v>
      </c>
      <c r="E36" s="241">
        <v>38150</v>
      </c>
      <c r="F36" s="240">
        <v>12021065000</v>
      </c>
      <c r="G36" s="242">
        <v>1.93109399583682E-2</v>
      </c>
    </row>
    <row r="37" spans="1:7" ht="34" customHeight="1">
      <c r="A37" s="237">
        <v>17</v>
      </c>
      <c r="B37" s="238" t="s">
        <v>733</v>
      </c>
      <c r="C37" s="239"/>
      <c r="D37" s="240">
        <v>232129</v>
      </c>
      <c r="E37" s="241">
        <v>30450</v>
      </c>
      <c r="F37" s="240">
        <v>7068328050</v>
      </c>
      <c r="G37" s="242">
        <v>1.13547392497753E-2</v>
      </c>
    </row>
    <row r="38" spans="1:7" ht="34" customHeight="1">
      <c r="A38" s="237">
        <v>18</v>
      </c>
      <c r="B38" s="238" t="s">
        <v>734</v>
      </c>
      <c r="C38" s="239"/>
      <c r="D38" s="240">
        <v>191950</v>
      </c>
      <c r="E38" s="241">
        <v>33200</v>
      </c>
      <c r="F38" s="240">
        <v>6372740000</v>
      </c>
      <c r="G38" s="242">
        <v>1.02373291809246E-2</v>
      </c>
    </row>
    <row r="39" spans="1:7" ht="34" customHeight="1">
      <c r="A39" s="237">
        <v>19</v>
      </c>
      <c r="B39" s="238" t="s">
        <v>735</v>
      </c>
      <c r="C39" s="239"/>
      <c r="D39" s="240">
        <v>821537</v>
      </c>
      <c r="E39" s="241">
        <v>28150</v>
      </c>
      <c r="F39" s="240">
        <v>23126266550</v>
      </c>
      <c r="G39" s="242">
        <v>3.7150613927157801E-2</v>
      </c>
    </row>
    <row r="40" spans="1:7" ht="34" customHeight="1">
      <c r="A40" s="237">
        <v>20</v>
      </c>
      <c r="B40" s="238" t="s">
        <v>825</v>
      </c>
      <c r="C40" s="239"/>
      <c r="D40" s="240">
        <v>200000</v>
      </c>
      <c r="E40" s="241">
        <v>21850</v>
      </c>
      <c r="F40" s="240">
        <v>4370000000</v>
      </c>
      <c r="G40" s="242">
        <v>7.0200774738402201E-3</v>
      </c>
    </row>
    <row r="41" spans="1:7" ht="34" customHeight="1">
      <c r="A41" s="237">
        <v>21</v>
      </c>
      <c r="B41" s="238" t="s">
        <v>736</v>
      </c>
      <c r="C41" s="239"/>
      <c r="D41" s="240">
        <v>171000</v>
      </c>
      <c r="E41" s="241">
        <v>92500</v>
      </c>
      <c r="F41" s="240">
        <v>15817500000</v>
      </c>
      <c r="G41" s="242">
        <v>2.5409628247704302E-2</v>
      </c>
    </row>
    <row r="42" spans="1:7" ht="34" customHeight="1">
      <c r="A42" s="237">
        <v>22</v>
      </c>
      <c r="B42" s="238" t="s">
        <v>737</v>
      </c>
      <c r="C42" s="239"/>
      <c r="D42" s="240">
        <v>280720</v>
      </c>
      <c r="E42" s="241">
        <v>129700</v>
      </c>
      <c r="F42" s="240">
        <v>36409384000</v>
      </c>
      <c r="G42" s="242">
        <v>5.8488946557162198E-2</v>
      </c>
    </row>
    <row r="43" spans="1:7" ht="34" customHeight="1">
      <c r="A43" s="237">
        <v>23</v>
      </c>
      <c r="B43" s="238" t="s">
        <v>738</v>
      </c>
      <c r="C43" s="239"/>
      <c r="D43" s="240">
        <v>178161</v>
      </c>
      <c r="E43" s="241">
        <v>35000</v>
      </c>
      <c r="F43" s="240">
        <v>6235635000</v>
      </c>
      <c r="G43" s="242">
        <v>1.00170802742768E-2</v>
      </c>
    </row>
    <row r="44" spans="1:7" ht="34" customHeight="1">
      <c r="A44" s="237">
        <v>24</v>
      </c>
      <c r="B44" s="238" t="s">
        <v>739</v>
      </c>
      <c r="C44" s="239"/>
      <c r="D44" s="240">
        <v>65900</v>
      </c>
      <c r="E44" s="241">
        <v>244900</v>
      </c>
      <c r="F44" s="240">
        <v>16138910000</v>
      </c>
      <c r="G44" s="242">
        <v>2.5925949323417598E-2</v>
      </c>
    </row>
    <row r="45" spans="1:7" ht="34" customHeight="1">
      <c r="A45" s="237">
        <v>25</v>
      </c>
      <c r="B45" s="238" t="s">
        <v>740</v>
      </c>
      <c r="C45" s="239"/>
      <c r="D45" s="240">
        <v>107865</v>
      </c>
      <c r="E45" s="241">
        <v>80500</v>
      </c>
      <c r="F45" s="240">
        <v>8683132500</v>
      </c>
      <c r="G45" s="242">
        <v>1.39488015710801E-2</v>
      </c>
    </row>
    <row r="46" spans="1:7" ht="34" customHeight="1">
      <c r="A46" s="237">
        <v>26</v>
      </c>
      <c r="B46" s="238" t="s">
        <v>741</v>
      </c>
      <c r="C46" s="239"/>
      <c r="D46" s="240">
        <v>145183</v>
      </c>
      <c r="E46" s="241">
        <v>84500</v>
      </c>
      <c r="F46" s="240">
        <v>12267963500</v>
      </c>
      <c r="G46" s="242">
        <v>1.97075638938774E-2</v>
      </c>
    </row>
    <row r="47" spans="1:7" ht="34" customHeight="1">
      <c r="A47" s="237">
        <v>27</v>
      </c>
      <c r="B47" s="238" t="s">
        <v>742</v>
      </c>
      <c r="C47" s="239"/>
      <c r="D47" s="240">
        <v>17300</v>
      </c>
      <c r="E47" s="241">
        <v>180000</v>
      </c>
      <c r="F47" s="240">
        <v>3114000000</v>
      </c>
      <c r="G47" s="242">
        <v>5.0024076095053702E-3</v>
      </c>
    </row>
    <row r="48" spans="1:7" ht="34" customHeight="1">
      <c r="A48" s="237">
        <v>28</v>
      </c>
      <c r="B48" s="238" t="s">
        <v>743</v>
      </c>
      <c r="C48" s="239"/>
      <c r="D48" s="240">
        <v>77155</v>
      </c>
      <c r="E48" s="241">
        <v>193000</v>
      </c>
      <c r="F48" s="240">
        <v>14890915000</v>
      </c>
      <c r="G48" s="242">
        <v>2.3921138891617701E-2</v>
      </c>
    </row>
    <row r="49" spans="1:7" ht="34" customHeight="1">
      <c r="A49" s="237">
        <v>29</v>
      </c>
      <c r="B49" s="238" t="s">
        <v>744</v>
      </c>
      <c r="C49" s="239"/>
      <c r="D49" s="240">
        <v>200000</v>
      </c>
      <c r="E49" s="241">
        <v>30200</v>
      </c>
      <c r="F49" s="240">
        <v>6040000000</v>
      </c>
      <c r="G49" s="242">
        <v>9.7028073093809904E-3</v>
      </c>
    </row>
    <row r="50" spans="1:7" ht="34" customHeight="1">
      <c r="A50" s="237">
        <v>30</v>
      </c>
      <c r="B50" s="238" t="s">
        <v>745</v>
      </c>
      <c r="C50" s="239"/>
      <c r="D50" s="240">
        <v>805000</v>
      </c>
      <c r="E50" s="241">
        <v>21450</v>
      </c>
      <c r="F50" s="240">
        <v>17267250000</v>
      </c>
      <c r="G50" s="242">
        <v>2.77385429657134E-2</v>
      </c>
    </row>
    <row r="51" spans="1:7" ht="34" customHeight="1">
      <c r="A51" s="237">
        <v>31</v>
      </c>
      <c r="B51" s="238" t="s">
        <v>746</v>
      </c>
      <c r="C51" s="239"/>
      <c r="D51" s="240">
        <v>339120</v>
      </c>
      <c r="E51" s="241">
        <v>38550</v>
      </c>
      <c r="F51" s="240">
        <v>13073076000</v>
      </c>
      <c r="G51" s="242">
        <v>2.1000916782929299E-2</v>
      </c>
    </row>
    <row r="52" spans="1:7" ht="34" customHeight="1">
      <c r="A52" s="237">
        <v>32</v>
      </c>
      <c r="B52" s="238" t="s">
        <v>747</v>
      </c>
      <c r="C52" s="239"/>
      <c r="D52" s="240">
        <v>934720</v>
      </c>
      <c r="E52" s="241">
        <v>40400</v>
      </c>
      <c r="F52" s="240">
        <v>37762688000</v>
      </c>
      <c r="G52" s="242">
        <v>6.0662928004681101E-2</v>
      </c>
    </row>
    <row r="53" spans="1:7" ht="34" customHeight="1">
      <c r="A53" s="237">
        <v>33</v>
      </c>
      <c r="B53" s="238" t="s">
        <v>748</v>
      </c>
      <c r="C53" s="239"/>
      <c r="D53" s="240">
        <v>238560</v>
      </c>
      <c r="E53" s="241">
        <v>47350</v>
      </c>
      <c r="F53" s="240">
        <v>11295816000</v>
      </c>
      <c r="G53" s="242">
        <v>1.8145881796394502E-2</v>
      </c>
    </row>
    <row r="54" spans="1:7" ht="34" customHeight="1">
      <c r="A54" s="237">
        <v>34</v>
      </c>
      <c r="B54" s="238" t="s">
        <v>749</v>
      </c>
      <c r="C54" s="239"/>
      <c r="D54" s="240">
        <v>412145</v>
      </c>
      <c r="E54" s="241">
        <v>94800</v>
      </c>
      <c r="F54" s="240">
        <v>39071346000</v>
      </c>
      <c r="G54" s="242">
        <v>6.2765188999363203E-2</v>
      </c>
    </row>
    <row r="55" spans="1:7" ht="34" customHeight="1">
      <c r="A55" s="237">
        <v>35</v>
      </c>
      <c r="B55" s="238" t="s">
        <v>750</v>
      </c>
      <c r="C55" s="239"/>
      <c r="D55" s="240">
        <v>50000</v>
      </c>
      <c r="E55" s="241">
        <v>97200</v>
      </c>
      <c r="F55" s="240">
        <v>4860000000</v>
      </c>
      <c r="G55" s="242">
        <v>7.8072257489390099E-3</v>
      </c>
    </row>
    <row r="56" spans="1:7" ht="34" customHeight="1">
      <c r="A56" s="237">
        <v>36</v>
      </c>
      <c r="B56" s="238" t="s">
        <v>751</v>
      </c>
      <c r="C56" s="239"/>
      <c r="D56" s="240">
        <v>74180</v>
      </c>
      <c r="E56" s="241">
        <v>97300</v>
      </c>
      <c r="F56" s="240">
        <v>7217714000</v>
      </c>
      <c r="G56" s="242">
        <v>1.15947165821559E-2</v>
      </c>
    </row>
    <row r="57" spans="1:7" ht="34" customHeight="1">
      <c r="A57" s="237">
        <v>37</v>
      </c>
      <c r="B57" s="238" t="s">
        <v>752</v>
      </c>
      <c r="C57" s="239"/>
      <c r="D57" s="240">
        <v>73723</v>
      </c>
      <c r="E57" s="241">
        <v>117900</v>
      </c>
      <c r="F57" s="240">
        <v>8691941700</v>
      </c>
      <c r="G57" s="242">
        <v>1.3962952890641299E-2</v>
      </c>
    </row>
    <row r="58" spans="1:7" ht="34" customHeight="1">
      <c r="A58" s="237">
        <v>38</v>
      </c>
      <c r="B58" s="238" t="s">
        <v>753</v>
      </c>
      <c r="C58" s="239"/>
      <c r="D58" s="240">
        <v>35</v>
      </c>
      <c r="E58" s="241">
        <v>98400</v>
      </c>
      <c r="F58" s="240">
        <v>3444000</v>
      </c>
      <c r="G58" s="242">
        <v>5.5325278764086297E-6</v>
      </c>
    </row>
    <row r="59" spans="1:7" ht="34" customHeight="1">
      <c r="A59" s="237">
        <v>39</v>
      </c>
      <c r="B59" s="238" t="s">
        <v>754</v>
      </c>
      <c r="C59" s="239"/>
      <c r="D59" s="240">
        <v>389123</v>
      </c>
      <c r="E59" s="241">
        <v>44650</v>
      </c>
      <c r="F59" s="240">
        <v>17374341950</v>
      </c>
      <c r="G59" s="242">
        <v>2.7910578156977599E-2</v>
      </c>
    </row>
    <row r="60" spans="1:7" ht="39" customHeight="1">
      <c r="A60" s="237">
        <v>40</v>
      </c>
      <c r="B60" s="238" t="s">
        <v>755</v>
      </c>
      <c r="C60" s="239"/>
      <c r="D60" s="240">
        <v>164070</v>
      </c>
      <c r="E60" s="241">
        <v>32700</v>
      </c>
      <c r="F60" s="240">
        <v>5365089000</v>
      </c>
      <c r="G60" s="242">
        <v>8.6186133716356899E-3</v>
      </c>
    </row>
    <row r="61" spans="1:7" ht="39" customHeight="1">
      <c r="A61" s="233"/>
      <c r="B61" s="234" t="s">
        <v>756</v>
      </c>
      <c r="C61" s="233"/>
      <c r="D61" s="235"/>
      <c r="E61" s="235"/>
      <c r="F61" s="235">
        <v>542545631850</v>
      </c>
      <c r="G61" s="236">
        <v>0.87155889443491896</v>
      </c>
    </row>
    <row r="62" spans="1:7" ht="39" customHeight="1">
      <c r="A62" s="233" t="s">
        <v>53</v>
      </c>
      <c r="B62" s="234" t="s">
        <v>826</v>
      </c>
      <c r="C62" s="233"/>
      <c r="D62" s="235"/>
      <c r="E62" s="235"/>
      <c r="F62" s="235"/>
      <c r="G62" s="236"/>
    </row>
    <row r="63" spans="1:7" ht="39" customHeight="1">
      <c r="A63" s="233"/>
      <c r="B63" s="234" t="s">
        <v>756</v>
      </c>
      <c r="C63" s="233"/>
      <c r="D63" s="235"/>
      <c r="E63" s="235"/>
      <c r="F63" s="235">
        <v>0</v>
      </c>
      <c r="G63" s="236">
        <v>0</v>
      </c>
    </row>
    <row r="64" spans="1:7" ht="39" customHeight="1">
      <c r="A64" s="233"/>
      <c r="B64" s="234" t="s">
        <v>757</v>
      </c>
      <c r="C64" s="233"/>
      <c r="D64" s="235"/>
      <c r="E64" s="235"/>
      <c r="F64" s="235">
        <v>542545631850</v>
      </c>
      <c r="G64" s="236">
        <v>0.87155889443491896</v>
      </c>
    </row>
    <row r="65" spans="1:7" ht="39" customHeight="1">
      <c r="A65" s="233" t="s">
        <v>54</v>
      </c>
      <c r="B65" s="234" t="s">
        <v>758</v>
      </c>
      <c r="C65" s="233"/>
      <c r="D65" s="235"/>
      <c r="E65" s="235"/>
      <c r="F65" s="235"/>
      <c r="G65" s="236"/>
    </row>
    <row r="66" spans="1:7" ht="39" customHeight="1">
      <c r="A66" s="243" t="s">
        <v>343</v>
      </c>
      <c r="B66" s="238" t="s">
        <v>759</v>
      </c>
      <c r="C66" s="239"/>
      <c r="D66" s="240"/>
      <c r="E66" s="241"/>
      <c r="F66" s="240">
        <v>0</v>
      </c>
      <c r="G66" s="242">
        <v>0</v>
      </c>
    </row>
    <row r="67" spans="1:7" ht="34" customHeight="1">
      <c r="A67" s="243" t="s">
        <v>360</v>
      </c>
      <c r="B67" s="238" t="s">
        <v>760</v>
      </c>
      <c r="C67" s="239"/>
      <c r="D67" s="240"/>
      <c r="E67" s="241"/>
      <c r="F67" s="240">
        <v>19993424600</v>
      </c>
      <c r="G67" s="242">
        <v>3.2117938137158603E-2</v>
      </c>
    </row>
    <row r="68" spans="1:7" ht="39" customHeight="1">
      <c r="A68" s="243" t="s">
        <v>363</v>
      </c>
      <c r="B68" s="238" t="s">
        <v>761</v>
      </c>
      <c r="C68" s="239"/>
      <c r="D68" s="240">
        <v>200</v>
      </c>
      <c r="E68" s="241">
        <v>99967123</v>
      </c>
      <c r="F68" s="240">
        <v>19993424600</v>
      </c>
      <c r="G68" s="242">
        <v>3.2117938137158603E-2</v>
      </c>
    </row>
    <row r="69" spans="1:7" ht="39" customHeight="1">
      <c r="A69" s="233"/>
      <c r="B69" s="234" t="s">
        <v>756</v>
      </c>
      <c r="C69" s="233"/>
      <c r="D69" s="235"/>
      <c r="E69" s="235"/>
      <c r="F69" s="235">
        <v>19993424600</v>
      </c>
      <c r="G69" s="236">
        <v>3.2117938137158603E-2</v>
      </c>
    </row>
    <row r="70" spans="1:7" ht="39" customHeight="1">
      <c r="A70" s="233" t="s">
        <v>55</v>
      </c>
      <c r="B70" s="234" t="s">
        <v>762</v>
      </c>
      <c r="C70" s="233"/>
      <c r="D70" s="235"/>
      <c r="E70" s="235"/>
      <c r="F70" s="235"/>
      <c r="G70" s="236"/>
    </row>
    <row r="71" spans="1:7" ht="39" customHeight="1">
      <c r="A71" s="243" t="s">
        <v>343</v>
      </c>
      <c r="B71" s="238" t="s">
        <v>330</v>
      </c>
      <c r="C71" s="239"/>
      <c r="D71" s="240"/>
      <c r="E71" s="241"/>
      <c r="F71" s="240">
        <v>0</v>
      </c>
      <c r="G71" s="242">
        <v>0</v>
      </c>
    </row>
    <row r="72" spans="1:7" ht="34" customHeight="1">
      <c r="A72" s="243" t="s">
        <v>360</v>
      </c>
      <c r="B72" s="238" t="s">
        <v>763</v>
      </c>
      <c r="C72" s="239"/>
      <c r="D72" s="240"/>
      <c r="E72" s="241"/>
      <c r="F72" s="240">
        <v>0</v>
      </c>
      <c r="G72" s="242">
        <v>0</v>
      </c>
    </row>
    <row r="73" spans="1:7" ht="39" customHeight="1">
      <c r="A73" s="233"/>
      <c r="B73" s="234" t="s">
        <v>756</v>
      </c>
      <c r="C73" s="233"/>
      <c r="D73" s="235"/>
      <c r="E73" s="235"/>
      <c r="F73" s="235">
        <v>0</v>
      </c>
      <c r="G73" s="236">
        <v>0</v>
      </c>
    </row>
    <row r="74" spans="1:7" ht="39" customHeight="1">
      <c r="A74" s="233"/>
      <c r="B74" s="234" t="s">
        <v>764</v>
      </c>
      <c r="C74" s="233"/>
      <c r="D74" s="235"/>
      <c r="E74" s="235"/>
      <c r="F74" s="235">
        <v>562539056450</v>
      </c>
      <c r="G74" s="236">
        <v>0.90367683257207698</v>
      </c>
    </row>
    <row r="75" spans="1:7" ht="39" customHeight="1">
      <c r="A75" s="233" t="s">
        <v>56</v>
      </c>
      <c r="B75" s="234" t="s">
        <v>765</v>
      </c>
      <c r="C75" s="233"/>
      <c r="D75" s="235"/>
      <c r="E75" s="235"/>
      <c r="F75" s="235"/>
      <c r="G75" s="236"/>
    </row>
    <row r="76" spans="1:7" ht="39" customHeight="1">
      <c r="A76" s="243" t="s">
        <v>343</v>
      </c>
      <c r="B76" s="238" t="s">
        <v>766</v>
      </c>
      <c r="C76" s="239"/>
      <c r="D76" s="240"/>
      <c r="E76" s="241"/>
      <c r="F76" s="240">
        <v>982546400</v>
      </c>
      <c r="G76" s="242">
        <v>1.5783871509480101E-3</v>
      </c>
    </row>
    <row r="77" spans="1:7" ht="47" customHeight="1">
      <c r="A77" s="243" t="s">
        <v>360</v>
      </c>
      <c r="B77" s="238" t="s">
        <v>767</v>
      </c>
      <c r="C77" s="239"/>
      <c r="D77" s="240"/>
      <c r="E77" s="241"/>
      <c r="F77" s="240">
        <v>92054795</v>
      </c>
      <c r="G77" s="242">
        <v>1.4787912877310699E-4</v>
      </c>
    </row>
    <row r="78" spans="1:7" ht="45" customHeight="1">
      <c r="A78" s="243" t="s">
        <v>385</v>
      </c>
      <c r="B78" s="238" t="s">
        <v>768</v>
      </c>
      <c r="C78" s="239"/>
      <c r="D78" s="240"/>
      <c r="E78" s="241"/>
      <c r="F78" s="240">
        <v>1146630137</v>
      </c>
      <c r="G78" s="242">
        <v>1.8419753765629399E-3</v>
      </c>
    </row>
    <row r="79" spans="1:7" ht="57" customHeight="1">
      <c r="A79" s="243" t="s">
        <v>452</v>
      </c>
      <c r="B79" s="238" t="s">
        <v>769</v>
      </c>
      <c r="C79" s="239"/>
      <c r="D79" s="240"/>
      <c r="E79" s="241"/>
      <c r="F79" s="240">
        <v>5286600</v>
      </c>
      <c r="G79" s="242">
        <v>8.4925266757903206E-6</v>
      </c>
    </row>
    <row r="80" spans="1:7" ht="39" customHeight="1">
      <c r="A80" s="243" t="s">
        <v>455</v>
      </c>
      <c r="B80" s="238" t="s">
        <v>427</v>
      </c>
      <c r="C80" s="239"/>
      <c r="D80" s="240"/>
      <c r="E80" s="241"/>
      <c r="F80" s="240">
        <v>0</v>
      </c>
      <c r="G80" s="242">
        <v>0</v>
      </c>
    </row>
    <row r="81" spans="1:7" ht="39" customHeight="1">
      <c r="A81" s="243" t="s">
        <v>458</v>
      </c>
      <c r="B81" s="238" t="s">
        <v>770</v>
      </c>
      <c r="C81" s="239"/>
      <c r="D81" s="240"/>
      <c r="E81" s="241"/>
      <c r="F81" s="240">
        <v>0</v>
      </c>
      <c r="G81" s="242">
        <v>0</v>
      </c>
    </row>
    <row r="82" spans="1:7" ht="39" customHeight="1">
      <c r="A82" s="243" t="s">
        <v>478</v>
      </c>
      <c r="B82" s="238" t="s">
        <v>771</v>
      </c>
      <c r="C82" s="239"/>
      <c r="D82" s="240"/>
      <c r="E82" s="241"/>
      <c r="F82" s="240">
        <v>-866400000</v>
      </c>
      <c r="G82" s="242">
        <v>-1.3918066643787599E-3</v>
      </c>
    </row>
    <row r="83" spans="1:7" ht="39" customHeight="1">
      <c r="A83" s="233"/>
      <c r="B83" s="234" t="s">
        <v>756</v>
      </c>
      <c r="C83" s="233"/>
      <c r="D83" s="235"/>
      <c r="E83" s="235"/>
      <c r="F83" s="235">
        <v>1360117932</v>
      </c>
      <c r="G83" s="236">
        <v>2.1849275185810901E-3</v>
      </c>
    </row>
    <row r="84" spans="1:7" ht="39" customHeight="1">
      <c r="A84" s="233" t="s">
        <v>57</v>
      </c>
      <c r="B84" s="234" t="s">
        <v>772</v>
      </c>
      <c r="C84" s="233"/>
      <c r="D84" s="235"/>
      <c r="E84" s="235"/>
      <c r="F84" s="235"/>
      <c r="G84" s="236"/>
    </row>
    <row r="85" spans="1:7" ht="39" customHeight="1">
      <c r="A85" s="243" t="s">
        <v>343</v>
      </c>
      <c r="B85" s="238" t="s">
        <v>827</v>
      </c>
      <c r="C85" s="239"/>
      <c r="D85" s="240"/>
      <c r="E85" s="241"/>
      <c r="F85" s="240">
        <v>13601078113</v>
      </c>
      <c r="G85" s="242">
        <v>2.1849112604350698E-2</v>
      </c>
    </row>
    <row r="86" spans="1:7" ht="39" customHeight="1">
      <c r="A86" s="243" t="s">
        <v>346</v>
      </c>
      <c r="B86" s="238" t="s">
        <v>773</v>
      </c>
      <c r="C86" s="239"/>
      <c r="D86" s="240"/>
      <c r="E86" s="241"/>
      <c r="F86" s="240">
        <v>13601078113</v>
      </c>
      <c r="G86" s="242">
        <v>2.1849112604350698E-2</v>
      </c>
    </row>
    <row r="87" spans="1:7" ht="39" customHeight="1">
      <c r="A87" s="243" t="s">
        <v>357</v>
      </c>
      <c r="B87" s="238" t="s">
        <v>598</v>
      </c>
      <c r="C87" s="239"/>
      <c r="D87" s="240"/>
      <c r="E87" s="241"/>
      <c r="F87" s="240">
        <v>0</v>
      </c>
      <c r="G87" s="242">
        <v>0</v>
      </c>
    </row>
    <row r="88" spans="1:7" ht="39" customHeight="1">
      <c r="A88" s="237">
        <v>2</v>
      </c>
      <c r="B88" s="238" t="s">
        <v>828</v>
      </c>
      <c r="C88" s="239"/>
      <c r="D88" s="240"/>
      <c r="E88" s="241"/>
      <c r="F88" s="240">
        <v>0</v>
      </c>
      <c r="G88" s="242">
        <v>0</v>
      </c>
    </row>
    <row r="89" spans="1:7" ht="39" customHeight="1">
      <c r="A89" s="237">
        <v>3</v>
      </c>
      <c r="B89" s="238" t="s">
        <v>774</v>
      </c>
      <c r="C89" s="239"/>
      <c r="D89" s="240"/>
      <c r="E89" s="241"/>
      <c r="F89" s="240">
        <v>45000000000</v>
      </c>
      <c r="G89" s="242">
        <v>7.2289127304990805E-2</v>
      </c>
    </row>
    <row r="90" spans="1:7" ht="39" customHeight="1">
      <c r="A90" s="237">
        <v>4</v>
      </c>
      <c r="B90" s="238" t="s">
        <v>775</v>
      </c>
      <c r="C90" s="239"/>
      <c r="D90" s="240"/>
      <c r="E90" s="241"/>
      <c r="F90" s="240">
        <v>0</v>
      </c>
      <c r="G90" s="242">
        <v>0</v>
      </c>
    </row>
    <row r="91" spans="1:7" ht="39" customHeight="1">
      <c r="A91" s="233"/>
      <c r="B91" s="234" t="s">
        <v>756</v>
      </c>
      <c r="C91" s="233"/>
      <c r="D91" s="235"/>
      <c r="E91" s="235"/>
      <c r="F91" s="235">
        <v>58601078113</v>
      </c>
      <c r="G91" s="236">
        <v>9.4138239909341601E-2</v>
      </c>
    </row>
    <row r="92" spans="1:7" ht="37.75" customHeight="1">
      <c r="A92" s="233" t="s">
        <v>57</v>
      </c>
      <c r="B92" s="234" t="s">
        <v>776</v>
      </c>
      <c r="C92" s="233"/>
      <c r="D92" s="235"/>
      <c r="E92" s="235"/>
      <c r="F92" s="235">
        <v>622500252495</v>
      </c>
      <c r="G92" s="236">
        <v>1</v>
      </c>
    </row>
    <row r="93" spans="1:7" ht="17" customHeight="1">
      <c r="A93" s="175"/>
      <c r="B93" s="107"/>
      <c r="C93" s="107"/>
      <c r="D93" s="107"/>
      <c r="E93" s="69"/>
      <c r="F93" s="107"/>
    </row>
    <row r="94" spans="1:7" ht="17" customHeight="1">
      <c r="A94" s="69" t="s">
        <v>10</v>
      </c>
      <c r="B94" s="107"/>
      <c r="C94" s="107"/>
      <c r="D94" s="107"/>
      <c r="E94" s="69" t="s">
        <v>11</v>
      </c>
      <c r="F94" s="107"/>
    </row>
    <row r="95" spans="1:7" ht="17" customHeight="1">
      <c r="A95" s="70" t="s">
        <v>12</v>
      </c>
      <c r="B95" s="107"/>
      <c r="C95" s="107"/>
      <c r="D95" s="107"/>
      <c r="E95" s="70" t="s">
        <v>13</v>
      </c>
      <c r="F95" s="107"/>
    </row>
    <row r="96" spans="1:7" ht="17" customHeight="1"/>
    <row r="97" spans="1:7" ht="17" customHeight="1">
      <c r="A97" s="98"/>
      <c r="E97" s="98"/>
    </row>
    <row r="98" spans="1:7" ht="17" customHeight="1"/>
    <row r="99" spans="1:7" ht="17" customHeight="1"/>
    <row r="100" spans="1:7" ht="17" customHeight="1"/>
    <row r="101" spans="1:7" ht="17" customHeight="1"/>
    <row r="102" spans="1:7" ht="17" customHeight="1"/>
    <row r="103" spans="1:7" ht="17" customHeight="1"/>
    <row r="104" spans="1:7" ht="17" customHeight="1">
      <c r="A104" s="108" t="s">
        <v>14</v>
      </c>
      <c r="B104" s="102"/>
      <c r="C104" s="102"/>
      <c r="E104" s="108" t="s">
        <v>779</v>
      </c>
      <c r="F104" s="102"/>
      <c r="G104" s="102"/>
    </row>
    <row r="105" spans="1:7" ht="17" customHeight="1">
      <c r="A105" s="109" t="s">
        <v>582</v>
      </c>
      <c r="E105" s="109" t="s">
        <v>786</v>
      </c>
    </row>
    <row r="106" spans="1:7" ht="17" customHeight="1">
      <c r="A106" s="110" t="s">
        <v>787</v>
      </c>
      <c r="E106" s="111" t="s">
        <v>788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115" zoomScaleNormal="100" zoomScaleSheetLayoutView="115" workbookViewId="0">
      <selection activeCell="A2" sqref="A2:E2"/>
    </sheetView>
  </sheetViews>
  <sheetFormatPr defaultColWidth="8.6328125" defaultRowHeight="12.5"/>
  <cols>
    <col min="1" max="1" width="8.6328125" style="59"/>
    <col min="2" max="2" width="56.90625" style="59" customWidth="1"/>
    <col min="3" max="3" width="10.6328125" style="59" bestFit="1" customWidth="1"/>
    <col min="4" max="5" width="31.6328125" style="59" customWidth="1"/>
    <col min="6" max="6" width="8.453125" style="104" customWidth="1"/>
    <col min="7" max="16384" width="8.6328125" style="104"/>
  </cols>
  <sheetData>
    <row r="1" spans="1:6" ht="30" customHeight="1">
      <c r="A1" s="266" t="s">
        <v>818</v>
      </c>
      <c r="B1" s="266"/>
      <c r="C1" s="266"/>
      <c r="D1" s="266"/>
      <c r="E1" s="266"/>
      <c r="F1" s="112"/>
    </row>
    <row r="2" spans="1:6" ht="50.15" customHeight="1">
      <c r="A2" s="267" t="s">
        <v>819</v>
      </c>
      <c r="B2" s="267"/>
      <c r="C2" s="267"/>
      <c r="D2" s="267"/>
      <c r="E2" s="267"/>
      <c r="F2" s="113"/>
    </row>
    <row r="3" spans="1:6" ht="13.25" customHeight="1">
      <c r="A3" s="268" t="s">
        <v>820</v>
      </c>
      <c r="B3" s="268"/>
      <c r="C3" s="268"/>
      <c r="D3" s="268"/>
      <c r="E3" s="268"/>
      <c r="F3" s="112"/>
    </row>
    <row r="4" spans="1:6" ht="20.75" customHeight="1">
      <c r="A4" s="268"/>
      <c r="B4" s="268"/>
      <c r="C4" s="268"/>
      <c r="D4" s="268"/>
      <c r="E4" s="268"/>
      <c r="F4" s="112"/>
    </row>
    <row r="5" spans="1:6" ht="17" customHeight="1">
      <c r="A5" s="269" t="str">
        <f>TONGQUAN!C2</f>
        <v>Quý I năm 2021
/ Quarter I 2021</v>
      </c>
      <c r="B5" s="269"/>
      <c r="C5" s="269"/>
      <c r="D5" s="269"/>
      <c r="E5" s="269"/>
      <c r="F5" s="114"/>
    </row>
    <row r="7" spans="1:6" ht="17" customHeight="1">
      <c r="A7" s="72" t="s">
        <v>2</v>
      </c>
      <c r="C7" s="277" t="str">
        <f>TONGQUAN!D5</f>
        <v>Công ty Cổ phần Quản lý Quỹ Đầu tư Dragon Capital Việt Nam</v>
      </c>
      <c r="D7" s="277"/>
      <c r="E7" s="277"/>
    </row>
    <row r="8" spans="1:6" ht="17" customHeight="1">
      <c r="A8" s="59" t="s">
        <v>40</v>
      </c>
      <c r="C8" s="276" t="str">
        <f>TONGQUAN!D6</f>
        <v>Dragon Capital Vietfund Management Joint Stock Company</v>
      </c>
      <c r="D8" s="276"/>
      <c r="E8" s="276"/>
    </row>
    <row r="9" spans="1:6" ht="17" customHeight="1">
      <c r="A9" s="72" t="s">
        <v>3</v>
      </c>
      <c r="C9" s="277" t="str">
        <f>TONGQUAN!D7</f>
        <v>Ngân hàng TNHH Một thành viên Standard Chartered (Việt Nam)</v>
      </c>
      <c r="D9" s="277"/>
      <c r="E9" s="277"/>
    </row>
    <row r="10" spans="1:6" ht="17" customHeight="1">
      <c r="A10" s="59" t="s">
        <v>4</v>
      </c>
      <c r="C10" s="276" t="str">
        <f>TONGQUAN!D8</f>
        <v>Standard Chartered Bank (Vietnam) Limited</v>
      </c>
      <c r="D10" s="276"/>
      <c r="E10" s="276"/>
    </row>
    <row r="11" spans="1:6" ht="17" customHeight="1">
      <c r="A11" s="72" t="s">
        <v>5</v>
      </c>
      <c r="C11" s="277" t="str">
        <f>TONGQUAN!D9</f>
        <v>Quỹ Đầu tư Chứng khoán Việt Nam</v>
      </c>
      <c r="D11" s="277"/>
      <c r="E11" s="277"/>
    </row>
    <row r="12" spans="1:6" ht="17" customHeight="1">
      <c r="A12" s="59" t="s">
        <v>6</v>
      </c>
      <c r="C12" s="276" t="str">
        <f>TONGQUAN!D10</f>
        <v>Vietnam Securities Investment Fund(VFMVF1)</v>
      </c>
      <c r="D12" s="276"/>
      <c r="E12" s="276"/>
    </row>
    <row r="13" spans="1:6" ht="17" customHeight="1">
      <c r="A13" s="72" t="s">
        <v>7</v>
      </c>
      <c r="C13" s="277" t="str">
        <f>TONGQUAN!D11</f>
        <v>Ngày 06 tháng 04 năm 2021</v>
      </c>
      <c r="D13" s="277"/>
      <c r="E13" s="277"/>
    </row>
    <row r="14" spans="1:6" ht="17" customHeight="1">
      <c r="A14" s="59" t="s">
        <v>8</v>
      </c>
      <c r="C14" s="276" t="str">
        <f>TONGQUAN!D12</f>
        <v>06 Apr 2021</v>
      </c>
      <c r="D14" s="276"/>
      <c r="E14" s="276"/>
    </row>
    <row r="16" spans="1:6" ht="17" customHeight="1">
      <c r="A16" s="73" t="s">
        <v>821</v>
      </c>
      <c r="B16" s="74" t="s">
        <v>822</v>
      </c>
    </row>
    <row r="17" spans="1:5" ht="17" customHeight="1">
      <c r="A17" s="73" t="s">
        <v>55</v>
      </c>
      <c r="B17" s="74" t="s">
        <v>294</v>
      </c>
    </row>
    <row r="18" spans="1:5" ht="42" customHeight="1">
      <c r="A18" s="105" t="s">
        <v>42</v>
      </c>
      <c r="B18" s="105" t="s">
        <v>295</v>
      </c>
      <c r="C18" s="105" t="s">
        <v>44</v>
      </c>
      <c r="D18" s="105" t="str">
        <f>BCKetQuaHoatDong_06028!D18</f>
        <v>Quý I năm 2021
Quarter I 2021</v>
      </c>
      <c r="E18" s="105" t="str">
        <f>BCKetQuaHoatDong_06028!E18</f>
        <v>Quý IV năm 2020
Quarter IV 2020</v>
      </c>
    </row>
    <row r="19" spans="1:5" s="118" customFormat="1" ht="39" customHeight="1">
      <c r="A19" s="115" t="s">
        <v>41</v>
      </c>
      <c r="B19" s="116" t="s">
        <v>84</v>
      </c>
      <c r="C19" s="117"/>
      <c r="D19" s="225"/>
      <c r="E19" s="225"/>
    </row>
    <row r="20" spans="1:5" ht="58.5" customHeight="1">
      <c r="A20" s="119">
        <v>1</v>
      </c>
      <c r="B20" s="45" t="s">
        <v>858</v>
      </c>
      <c r="C20" s="120"/>
      <c r="D20" s="225">
        <v>1.9235164876270101E-2</v>
      </c>
      <c r="E20" s="225">
        <v>1.9606145327524398E-2</v>
      </c>
    </row>
    <row r="21" spans="1:5" ht="55.5" customHeight="1">
      <c r="A21" s="119">
        <v>2</v>
      </c>
      <c r="B21" s="45" t="s">
        <v>859</v>
      </c>
      <c r="C21" s="120"/>
      <c r="D21" s="225">
        <v>1.14634693855163E-3</v>
      </c>
      <c r="E21" s="225">
        <v>1.3456483556399401E-3</v>
      </c>
    </row>
    <row r="22" spans="1:5" ht="97.5" customHeight="1">
      <c r="A22" s="119">
        <v>3</v>
      </c>
      <c r="B22" s="45" t="s">
        <v>860</v>
      </c>
      <c r="C22" s="120"/>
      <c r="D22" s="225">
        <v>5.6155134153570204E-4</v>
      </c>
      <c r="E22" s="225">
        <v>6.4236928952126E-4</v>
      </c>
    </row>
    <row r="23" spans="1:5" ht="50">
      <c r="A23" s="119">
        <v>4</v>
      </c>
      <c r="B23" s="45" t="s">
        <v>296</v>
      </c>
      <c r="C23" s="120"/>
      <c r="D23" s="225">
        <v>3.0797845054360702E-4</v>
      </c>
      <c r="E23" s="225">
        <v>3.8819087009592598E-4</v>
      </c>
    </row>
    <row r="24" spans="1:5" ht="50">
      <c r="A24" s="221">
        <v>5</v>
      </c>
      <c r="B24" s="45" t="s">
        <v>861</v>
      </c>
      <c r="C24" s="120"/>
      <c r="D24" s="247"/>
      <c r="E24" s="247"/>
    </row>
    <row r="25" spans="1:5" ht="75">
      <c r="A25" s="221">
        <v>6</v>
      </c>
      <c r="B25" s="45" t="s">
        <v>862</v>
      </c>
      <c r="C25" s="120"/>
      <c r="D25" s="247"/>
      <c r="E25" s="247"/>
    </row>
    <row r="26" spans="1:5" ht="79.5" customHeight="1">
      <c r="A26" s="119">
        <v>7</v>
      </c>
      <c r="B26" s="45" t="s">
        <v>297</v>
      </c>
      <c r="C26" s="120"/>
      <c r="D26" s="225">
        <v>4.9886475480986003E-4</v>
      </c>
      <c r="E26" s="225">
        <v>1.49006662674152E-3</v>
      </c>
    </row>
    <row r="27" spans="1:5" ht="39" customHeight="1">
      <c r="A27" s="119">
        <v>8</v>
      </c>
      <c r="B27" s="45" t="s">
        <v>863</v>
      </c>
      <c r="C27" s="120"/>
      <c r="D27" s="225">
        <v>2.3444996664112601E-2</v>
      </c>
      <c r="E27" s="225">
        <v>2.5064380310722299E-2</v>
      </c>
    </row>
    <row r="28" spans="1:5" ht="82.5" customHeight="1">
      <c r="A28" s="119">
        <v>9</v>
      </c>
      <c r="B28" s="45" t="s">
        <v>864</v>
      </c>
      <c r="C28" s="120"/>
      <c r="D28" s="225">
        <v>0.80284591515732495</v>
      </c>
      <c r="E28" s="225">
        <v>0.62106722015207005</v>
      </c>
    </row>
    <row r="29" spans="1:5" ht="82.5" customHeight="1">
      <c r="A29" s="221">
        <v>10</v>
      </c>
      <c r="B29" s="45" t="s">
        <v>865</v>
      </c>
      <c r="C29" s="120"/>
      <c r="D29" s="248"/>
      <c r="E29" s="248"/>
    </row>
    <row r="30" spans="1:5" ht="39" customHeight="1">
      <c r="A30" s="115" t="s">
        <v>47</v>
      </c>
      <c r="B30" s="116" t="s">
        <v>85</v>
      </c>
      <c r="C30" s="117"/>
      <c r="D30" s="121"/>
      <c r="E30" s="121"/>
    </row>
    <row r="31" spans="1:5" ht="41" customHeight="1">
      <c r="A31" s="278">
        <v>1</v>
      </c>
      <c r="B31" s="45" t="s">
        <v>86</v>
      </c>
      <c r="C31" s="120"/>
      <c r="D31" s="121">
        <v>105292552100</v>
      </c>
      <c r="E31" s="121">
        <v>103117010400</v>
      </c>
    </row>
    <row r="32" spans="1:5" ht="42.5" customHeight="1">
      <c r="A32" s="278"/>
      <c r="B32" s="45" t="s">
        <v>87</v>
      </c>
      <c r="C32" s="120"/>
      <c r="D32" s="121">
        <v>105292552100</v>
      </c>
      <c r="E32" s="121">
        <v>103117010400</v>
      </c>
    </row>
    <row r="33" spans="1:5" s="118" customFormat="1" ht="44.75" customHeight="1">
      <c r="A33" s="278"/>
      <c r="B33" s="45" t="s">
        <v>866</v>
      </c>
      <c r="C33" s="120"/>
      <c r="D33" s="123">
        <v>10529255.210000001</v>
      </c>
      <c r="E33" s="123">
        <v>10311701.039999999</v>
      </c>
    </row>
    <row r="34" spans="1:5" ht="43.5" customHeight="1">
      <c r="A34" s="278">
        <v>2</v>
      </c>
      <c r="B34" s="45" t="s">
        <v>88</v>
      </c>
      <c r="C34" s="120"/>
      <c r="D34" s="121">
        <v>5358375000</v>
      </c>
      <c r="E34" s="121">
        <v>2175541700</v>
      </c>
    </row>
    <row r="35" spans="1:5" ht="39" customHeight="1">
      <c r="A35" s="278"/>
      <c r="B35" s="45" t="s">
        <v>89</v>
      </c>
      <c r="C35" s="120"/>
      <c r="D35" s="123">
        <v>535837.5</v>
      </c>
      <c r="E35" s="123">
        <v>217554.17</v>
      </c>
    </row>
    <row r="36" spans="1:5" ht="39" customHeight="1">
      <c r="A36" s="278"/>
      <c r="B36" s="45" t="s">
        <v>90</v>
      </c>
      <c r="C36" s="120"/>
      <c r="D36" s="121">
        <v>5358375000</v>
      </c>
      <c r="E36" s="121">
        <v>2175541700</v>
      </c>
    </row>
    <row r="37" spans="1:5" ht="39" customHeight="1">
      <c r="A37" s="278"/>
      <c r="B37" s="45" t="s">
        <v>867</v>
      </c>
      <c r="C37" s="120"/>
      <c r="D37" s="122">
        <v>1470523.24</v>
      </c>
      <c r="E37" s="122">
        <v>728312.03</v>
      </c>
    </row>
    <row r="38" spans="1:5" ht="39" customHeight="1">
      <c r="A38" s="278"/>
      <c r="B38" s="45" t="s">
        <v>250</v>
      </c>
      <c r="C38" s="120"/>
      <c r="D38" s="121">
        <v>14705232400</v>
      </c>
      <c r="E38" s="121">
        <v>7283120300</v>
      </c>
    </row>
    <row r="39" spans="1:5" ht="39" customHeight="1">
      <c r="A39" s="278"/>
      <c r="B39" s="45" t="s">
        <v>868</v>
      </c>
      <c r="C39" s="120"/>
      <c r="D39" s="123">
        <v>-934685.74</v>
      </c>
      <c r="E39" s="123">
        <v>-510757.86</v>
      </c>
    </row>
    <row r="40" spans="1:5" ht="44.75" customHeight="1">
      <c r="A40" s="278"/>
      <c r="B40" s="45" t="s">
        <v>251</v>
      </c>
      <c r="C40" s="120"/>
      <c r="D40" s="121">
        <v>-9346857400</v>
      </c>
      <c r="E40" s="121">
        <v>-5107578600</v>
      </c>
    </row>
    <row r="41" spans="1:5" ht="39" customHeight="1">
      <c r="A41" s="278">
        <v>3</v>
      </c>
      <c r="B41" s="45" t="s">
        <v>252</v>
      </c>
      <c r="C41" s="120"/>
      <c r="D41" s="121">
        <v>110650927100</v>
      </c>
      <c r="E41" s="121">
        <v>105292552100</v>
      </c>
    </row>
    <row r="42" spans="1:5" ht="39" customHeight="1">
      <c r="A42" s="278"/>
      <c r="B42" s="45" t="s">
        <v>869</v>
      </c>
      <c r="C42" s="120"/>
      <c r="D42" s="121">
        <v>110650927100</v>
      </c>
      <c r="E42" s="121">
        <v>105292552100</v>
      </c>
    </row>
    <row r="43" spans="1:5" ht="39" customHeight="1">
      <c r="A43" s="278"/>
      <c r="B43" s="45" t="s">
        <v>870</v>
      </c>
      <c r="C43" s="120"/>
      <c r="D43" s="123">
        <v>11065092.710000001</v>
      </c>
      <c r="E43" s="123">
        <v>10529255.210000001</v>
      </c>
    </row>
    <row r="44" spans="1:5" ht="60" customHeight="1">
      <c r="A44" s="119">
        <v>4</v>
      </c>
      <c r="B44" s="45" t="s">
        <v>91</v>
      </c>
      <c r="C44" s="120"/>
      <c r="D44" s="225">
        <v>1.00207384525385E-3</v>
      </c>
      <c r="E44" s="225">
        <v>2.6836693988728901E-3</v>
      </c>
    </row>
    <row r="45" spans="1:5" ht="39" customHeight="1">
      <c r="A45" s="119">
        <v>5</v>
      </c>
      <c r="B45" s="45" t="s">
        <v>92</v>
      </c>
      <c r="C45" s="120"/>
      <c r="D45" s="225">
        <v>0.54290000000000005</v>
      </c>
      <c r="E45" s="225">
        <v>0.53649999999999998</v>
      </c>
    </row>
    <row r="46" spans="1:5" ht="39" customHeight="1">
      <c r="A46" s="119">
        <v>6</v>
      </c>
      <c r="B46" s="45" t="s">
        <v>93</v>
      </c>
      <c r="C46" s="120"/>
      <c r="D46" s="225">
        <v>0.3649</v>
      </c>
      <c r="E46" s="225">
        <v>0.38350000000000001</v>
      </c>
    </row>
    <row r="47" spans="1:5" ht="39" customHeight="1">
      <c r="A47" s="221">
        <v>7</v>
      </c>
      <c r="B47" s="45" t="s">
        <v>253</v>
      </c>
      <c r="C47" s="120"/>
      <c r="D47" s="123">
        <v>55857.15</v>
      </c>
      <c r="E47" s="123">
        <v>51031.62</v>
      </c>
    </row>
    <row r="48" spans="1:5" ht="39" customHeight="1">
      <c r="A48" s="119">
        <v>8</v>
      </c>
      <c r="B48" s="45" t="s">
        <v>871</v>
      </c>
      <c r="C48" s="120"/>
      <c r="D48" s="121"/>
      <c r="E48" s="121"/>
    </row>
    <row r="49" spans="1:5" ht="39" customHeight="1">
      <c r="A49" s="221">
        <v>9</v>
      </c>
      <c r="B49" s="45" t="s">
        <v>94</v>
      </c>
      <c r="C49" s="120"/>
      <c r="D49" s="121">
        <v>3295</v>
      </c>
      <c r="E49" s="121">
        <v>3042</v>
      </c>
    </row>
    <row r="50" spans="1:5" ht="17" customHeight="1">
      <c r="A50" s="98" t="s">
        <v>95</v>
      </c>
    </row>
    <row r="51" spans="1:5" ht="60.5" customHeight="1">
      <c r="A51" s="279" t="s">
        <v>872</v>
      </c>
      <c r="B51" s="279"/>
      <c r="C51" s="279"/>
      <c r="D51" s="279"/>
      <c r="E51" s="279"/>
    </row>
    <row r="52" spans="1:5" ht="28.5" customHeight="1">
      <c r="A52" s="265" t="s">
        <v>96</v>
      </c>
      <c r="B52" s="276"/>
      <c r="C52" s="276"/>
      <c r="D52" s="276"/>
      <c r="E52" s="276"/>
    </row>
    <row r="54" spans="1:5" ht="17" customHeight="1">
      <c r="A54" s="98" t="str">
        <f>TONGQUAN!C16</f>
        <v>Đại diện có thẩm quyền của Ngân hàng giám sát</v>
      </c>
      <c r="D54" s="98" t="str">
        <f>TONGQUAN!F16</f>
        <v>Đại diện có thẩm quyền của Công ty quản lý Quỹ</v>
      </c>
    </row>
    <row r="55" spans="1:5" s="124" customFormat="1" ht="17" customHeight="1">
      <c r="A55" s="99" t="str">
        <f>TONGQUAN!C17</f>
        <v>Authorised Representative of Supervisory Bank</v>
      </c>
      <c r="B55" s="99"/>
      <c r="C55" s="99"/>
      <c r="D55" s="99" t="str">
        <f>TONGQUAN!F17</f>
        <v>Authorised Representative of Fund Management Company</v>
      </c>
      <c r="E55" s="99"/>
    </row>
    <row r="56" spans="1:5" ht="17" customHeight="1"/>
    <row r="57" spans="1:5" ht="17" customHeight="1"/>
    <row r="64" spans="1:5">
      <c r="A64" s="125"/>
      <c r="B64" s="125"/>
      <c r="D64" s="125"/>
      <c r="E64" s="125"/>
    </row>
    <row r="65" spans="1:4" ht="17" customHeight="1">
      <c r="A65" s="98" t="str">
        <f>TONGQUAN!C19</f>
        <v>Ngân hàng TNHH MTV Standard Chartered (Việt Nam)</v>
      </c>
      <c r="D65" s="98" t="str">
        <f>TONGQUAN!F19</f>
        <v>Công ty Cổ phần Quản lý Quỹ Đầu tư Dragon Capital Việt Nam</v>
      </c>
    </row>
    <row r="66" spans="1:4" ht="17" customHeight="1">
      <c r="A66" s="98" t="str">
        <f>TONGQUAN!C20</f>
        <v>Vũ Hương Giang</v>
      </c>
      <c r="D66" s="98" t="str">
        <f>TONGQUAN!F20</f>
        <v>Nguyễn Minh Đăng Khánh</v>
      </c>
    </row>
    <row r="67" spans="1:4" ht="17" customHeight="1">
      <c r="A67" s="59" t="str">
        <f>TONGQUAN!C21</f>
        <v>Trưởng phòng Dịch vụ Quản trị và Giám sát Quỹ</v>
      </c>
      <c r="D67" s="59" t="str">
        <f>TONGQUAN!F21</f>
        <v>Giám đốc điều hành Nghiệp vụ hỗ trợ đầu tư</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4" zoomScale="85" zoomScaleNormal="85" zoomScaleSheetLayoutView="85" workbookViewId="0">
      <selection activeCell="G8" sqref="G8:J8"/>
    </sheetView>
  </sheetViews>
  <sheetFormatPr defaultColWidth="9.08984375" defaultRowHeight="14.5"/>
  <cols>
    <col min="1" max="1" width="4.90625" style="213" customWidth="1"/>
    <col min="2" max="2" width="34.453125" style="178" customWidth="1"/>
    <col min="3" max="4" width="9.08984375" style="178"/>
    <col min="5" max="5" width="12.36328125" style="178" customWidth="1"/>
    <col min="6" max="6" width="9.08984375" style="178"/>
    <col min="7" max="7" width="15.36328125" style="178" customWidth="1"/>
    <col min="8" max="11" width="19" style="178" customWidth="1"/>
    <col min="12" max="16384" width="9.08984375" style="178"/>
  </cols>
  <sheetData>
    <row r="1" spans="1:11" s="177" customFormat="1" ht="26.25" customHeight="1">
      <c r="A1" s="294" t="s">
        <v>818</v>
      </c>
      <c r="B1" s="294"/>
      <c r="C1" s="294"/>
      <c r="D1" s="294"/>
      <c r="E1" s="294"/>
      <c r="F1" s="294"/>
      <c r="G1" s="294"/>
      <c r="H1" s="294"/>
      <c r="I1" s="294"/>
      <c r="J1" s="294"/>
      <c r="K1" s="294"/>
    </row>
    <row r="2" spans="1:11" ht="48.9" customHeight="1">
      <c r="A2" s="295" t="s">
        <v>819</v>
      </c>
      <c r="B2" s="295"/>
      <c r="C2" s="295"/>
      <c r="D2" s="295"/>
      <c r="E2" s="295"/>
      <c r="F2" s="295"/>
      <c r="G2" s="295"/>
      <c r="H2" s="295"/>
      <c r="I2" s="295"/>
      <c r="J2" s="295"/>
      <c r="K2" s="295"/>
    </row>
    <row r="3" spans="1:11" ht="19.25" customHeight="1">
      <c r="A3" s="296" t="s">
        <v>820</v>
      </c>
      <c r="B3" s="296"/>
      <c r="C3" s="296"/>
      <c r="D3" s="296"/>
      <c r="E3" s="296"/>
      <c r="F3" s="296"/>
      <c r="G3" s="296"/>
      <c r="H3" s="296"/>
      <c r="I3" s="296"/>
      <c r="J3" s="296"/>
      <c r="K3" s="296"/>
    </row>
    <row r="4" spans="1:11" ht="21.65" customHeight="1">
      <c r="A4" s="296"/>
      <c r="B4" s="296"/>
      <c r="C4" s="296"/>
      <c r="D4" s="296"/>
      <c r="E4" s="296"/>
      <c r="F4" s="296"/>
      <c r="G4" s="296"/>
      <c r="H4" s="296"/>
      <c r="I4" s="296"/>
      <c r="J4" s="296"/>
      <c r="K4" s="296"/>
    </row>
    <row r="5" spans="1:11">
      <c r="A5" s="297" t="s">
        <v>778</v>
      </c>
      <c r="B5" s="297"/>
      <c r="C5" s="297"/>
      <c r="D5" s="297"/>
      <c r="E5" s="297"/>
      <c r="F5" s="297"/>
      <c r="G5" s="297"/>
      <c r="H5" s="297"/>
      <c r="I5" s="297"/>
      <c r="J5" s="297"/>
      <c r="K5" s="297"/>
    </row>
    <row r="6" spans="1:11">
      <c r="A6" s="179"/>
      <c r="B6" s="179"/>
      <c r="C6" s="179"/>
      <c r="D6" s="179"/>
      <c r="E6" s="179"/>
      <c r="F6" s="180"/>
      <c r="G6" s="181"/>
      <c r="H6" s="181"/>
      <c r="I6" s="181"/>
      <c r="J6" s="181"/>
      <c r="K6" s="181"/>
    </row>
    <row r="7" spans="1:11">
      <c r="A7" s="298" t="s">
        <v>2</v>
      </c>
      <c r="B7" s="299"/>
      <c r="C7" s="182"/>
      <c r="D7" s="182"/>
      <c r="E7" s="182"/>
      <c r="F7" s="182"/>
      <c r="G7" s="286" t="s">
        <v>779</v>
      </c>
      <c r="H7" s="286"/>
      <c r="I7" s="286"/>
      <c r="J7" s="286"/>
      <c r="K7" s="181"/>
    </row>
    <row r="8" spans="1:11" ht="15" customHeight="1">
      <c r="A8" s="291" t="s">
        <v>40</v>
      </c>
      <c r="B8" s="291"/>
      <c r="C8" s="182"/>
      <c r="D8" s="182"/>
      <c r="E8" s="182"/>
      <c r="F8" s="182"/>
      <c r="G8" s="287" t="s">
        <v>780</v>
      </c>
      <c r="H8" s="287"/>
      <c r="I8" s="287"/>
      <c r="J8" s="287"/>
      <c r="K8" s="181"/>
    </row>
    <row r="9" spans="1:11">
      <c r="A9" s="284" t="s">
        <v>3</v>
      </c>
      <c r="B9" s="292"/>
      <c r="C9" s="182"/>
      <c r="D9" s="182"/>
      <c r="E9" s="182"/>
      <c r="F9" s="182"/>
      <c r="G9" s="293" t="s">
        <v>781</v>
      </c>
      <c r="H9" s="293"/>
      <c r="I9" s="293"/>
      <c r="J9" s="293"/>
      <c r="K9" s="181"/>
    </row>
    <row r="10" spans="1:11" ht="15" customHeight="1">
      <c r="A10" s="292" t="s">
        <v>4</v>
      </c>
      <c r="B10" s="292"/>
      <c r="C10" s="182"/>
      <c r="D10" s="182"/>
      <c r="E10" s="182"/>
      <c r="F10" s="182"/>
      <c r="G10" s="287" t="s">
        <v>782</v>
      </c>
      <c r="H10" s="287"/>
      <c r="I10" s="287"/>
      <c r="J10" s="287"/>
      <c r="K10" s="181"/>
    </row>
    <row r="11" spans="1:11" ht="15" customHeight="1">
      <c r="A11" s="284" t="s">
        <v>5</v>
      </c>
      <c r="B11" s="285"/>
      <c r="C11" s="182"/>
      <c r="D11" s="182"/>
      <c r="E11" s="182"/>
      <c r="F11" s="182"/>
      <c r="G11" s="286" t="s">
        <v>225</v>
      </c>
      <c r="H11" s="286"/>
      <c r="I11" s="286"/>
      <c r="J11" s="286"/>
      <c r="K11" s="181"/>
    </row>
    <row r="12" spans="1:11" ht="15" customHeight="1">
      <c r="A12" s="183" t="s">
        <v>550</v>
      </c>
      <c r="B12" s="184"/>
      <c r="C12" s="182"/>
      <c r="D12" s="182"/>
      <c r="E12" s="182"/>
      <c r="F12" s="182"/>
      <c r="G12" s="287" t="s">
        <v>783</v>
      </c>
      <c r="H12" s="287"/>
      <c r="I12" s="287"/>
      <c r="J12" s="287"/>
      <c r="K12" s="181"/>
    </row>
    <row r="13" spans="1:11" ht="15" customHeight="1">
      <c r="A13" s="185" t="s">
        <v>7</v>
      </c>
      <c r="B13" s="186"/>
      <c r="C13" s="182"/>
      <c r="D13" s="182"/>
      <c r="E13" s="182"/>
      <c r="F13" s="182"/>
      <c r="G13" s="286" t="s">
        <v>784</v>
      </c>
      <c r="H13" s="286"/>
      <c r="I13" s="286"/>
      <c r="J13" s="286"/>
      <c r="K13" s="181"/>
    </row>
    <row r="14" spans="1:11">
      <c r="A14" s="187" t="s">
        <v>8</v>
      </c>
      <c r="B14" s="187"/>
      <c r="C14" s="182"/>
      <c r="D14" s="182"/>
      <c r="E14" s="182"/>
      <c r="F14" s="182"/>
      <c r="G14" s="288" t="s">
        <v>785</v>
      </c>
      <c r="H14" s="288"/>
      <c r="I14" s="288"/>
      <c r="J14" s="288"/>
      <c r="K14" s="181"/>
    </row>
    <row r="15" spans="1:11">
      <c r="A15" s="187"/>
      <c r="B15" s="187"/>
      <c r="C15" s="182"/>
      <c r="D15" s="182"/>
      <c r="E15" s="182"/>
      <c r="F15" s="182"/>
      <c r="G15" s="222"/>
      <c r="H15" s="222"/>
      <c r="I15" s="222"/>
      <c r="J15" s="222"/>
      <c r="K15" s="181"/>
    </row>
    <row r="16" spans="1:11">
      <c r="A16" s="218" t="s">
        <v>821</v>
      </c>
      <c r="B16" s="219" t="s">
        <v>822</v>
      </c>
      <c r="C16" s="181"/>
      <c r="D16" s="181"/>
      <c r="E16" s="181"/>
      <c r="F16" s="181"/>
      <c r="G16" s="222"/>
      <c r="H16" s="222"/>
      <c r="I16" s="222"/>
      <c r="J16" s="222"/>
      <c r="K16" s="181"/>
    </row>
    <row r="17" spans="1:11">
      <c r="A17" s="218" t="s">
        <v>54</v>
      </c>
      <c r="B17" s="219" t="s">
        <v>572</v>
      </c>
      <c r="C17" s="181"/>
      <c r="D17" s="181"/>
      <c r="E17" s="181"/>
      <c r="F17" s="181"/>
      <c r="G17" s="181"/>
      <c r="H17" s="181"/>
      <c r="I17" s="181"/>
      <c r="J17" s="181"/>
      <c r="K17" s="181"/>
    </row>
    <row r="18" spans="1:11" s="189" customFormat="1" ht="37.5" customHeight="1">
      <c r="A18" s="280" t="s">
        <v>188</v>
      </c>
      <c r="B18" s="280" t="s">
        <v>551</v>
      </c>
      <c r="C18" s="289" t="s">
        <v>44</v>
      </c>
      <c r="D18" s="280" t="s">
        <v>552</v>
      </c>
      <c r="E18" s="280" t="s">
        <v>553</v>
      </c>
      <c r="F18" s="280" t="s">
        <v>554</v>
      </c>
      <c r="G18" s="280" t="s">
        <v>555</v>
      </c>
      <c r="H18" s="282" t="s">
        <v>556</v>
      </c>
      <c r="I18" s="283"/>
      <c r="J18" s="282" t="s">
        <v>557</v>
      </c>
      <c r="K18" s="283"/>
    </row>
    <row r="19" spans="1:11" s="189" customFormat="1" ht="73.5" customHeight="1">
      <c r="A19" s="281"/>
      <c r="B19" s="281"/>
      <c r="C19" s="290"/>
      <c r="D19" s="281"/>
      <c r="E19" s="281"/>
      <c r="F19" s="281"/>
      <c r="G19" s="281"/>
      <c r="H19" s="190" t="s">
        <v>558</v>
      </c>
      <c r="I19" s="190" t="s">
        <v>559</v>
      </c>
      <c r="J19" s="190" t="s">
        <v>560</v>
      </c>
      <c r="K19" s="190" t="s">
        <v>559</v>
      </c>
    </row>
    <row r="20" spans="1:11" s="189" customFormat="1" ht="47.25" customHeight="1">
      <c r="A20" s="191" t="s">
        <v>343</v>
      </c>
      <c r="B20" s="192" t="s">
        <v>573</v>
      </c>
      <c r="C20" s="191"/>
      <c r="D20" s="193"/>
      <c r="E20" s="193"/>
      <c r="F20" s="194"/>
      <c r="G20" s="195"/>
      <c r="H20" s="192"/>
      <c r="I20" s="196"/>
      <c r="J20" s="197"/>
      <c r="K20" s="198"/>
    </row>
    <row r="21" spans="1:11" s="189" customFormat="1" ht="45.75" customHeight="1">
      <c r="A21" s="191" t="s">
        <v>41</v>
      </c>
      <c r="B21" s="192" t="s">
        <v>574</v>
      </c>
      <c r="C21" s="191"/>
      <c r="D21" s="194"/>
      <c r="E21" s="194"/>
      <c r="F21" s="194"/>
      <c r="G21" s="195"/>
      <c r="H21" s="192"/>
      <c r="I21" s="196"/>
      <c r="J21" s="192"/>
      <c r="K21" s="196"/>
    </row>
    <row r="22" spans="1:11" s="189" customFormat="1" ht="45.75" customHeight="1">
      <c r="A22" s="191" t="s">
        <v>360</v>
      </c>
      <c r="B22" s="192" t="s">
        <v>575</v>
      </c>
      <c r="C22" s="191"/>
      <c r="D22" s="194"/>
      <c r="E22" s="194"/>
      <c r="F22" s="194"/>
      <c r="G22" s="193"/>
      <c r="H22" s="192"/>
      <c r="I22" s="199"/>
      <c r="J22" s="192"/>
      <c r="K22" s="199"/>
    </row>
    <row r="23" spans="1:11" s="189" customFormat="1" ht="44.25" customHeight="1">
      <c r="A23" s="191" t="s">
        <v>47</v>
      </c>
      <c r="B23" s="192" t="s">
        <v>576</v>
      </c>
      <c r="C23" s="191"/>
      <c r="D23" s="194"/>
      <c r="E23" s="194"/>
      <c r="F23" s="194"/>
      <c r="G23" s="195"/>
      <c r="H23" s="192"/>
      <c r="I23" s="196"/>
      <c r="J23" s="192"/>
      <c r="K23" s="196"/>
    </row>
    <row r="24" spans="1:11" s="189" customFormat="1" ht="44.25" customHeight="1">
      <c r="A24" s="191" t="s">
        <v>561</v>
      </c>
      <c r="B24" s="192" t="s">
        <v>577</v>
      </c>
      <c r="C24" s="191"/>
      <c r="D24" s="194"/>
      <c r="E24" s="194"/>
      <c r="F24" s="194"/>
      <c r="G24" s="195"/>
      <c r="H24" s="192"/>
      <c r="I24" s="196"/>
      <c r="J24" s="192"/>
      <c r="K24" s="196"/>
    </row>
    <row r="25" spans="1:11" s="189" customFormat="1" ht="57.75" customHeight="1">
      <c r="A25" s="191" t="s">
        <v>385</v>
      </c>
      <c r="B25" s="220" t="s">
        <v>578</v>
      </c>
      <c r="C25" s="191"/>
      <c r="D25" s="194"/>
      <c r="E25" s="194"/>
      <c r="F25" s="194"/>
      <c r="G25" s="195"/>
      <c r="H25" s="192"/>
      <c r="I25" s="196"/>
      <c r="J25" s="192"/>
      <c r="K25" s="196"/>
    </row>
    <row r="26" spans="1:11" s="189" customFormat="1" ht="44.25" customHeight="1">
      <c r="A26" s="191" t="s">
        <v>53</v>
      </c>
      <c r="B26" s="192" t="s">
        <v>579</v>
      </c>
      <c r="C26" s="191"/>
      <c r="D26" s="194"/>
      <c r="E26" s="194"/>
      <c r="F26" s="194"/>
      <c r="G26" s="195"/>
      <c r="H26" s="192"/>
      <c r="I26" s="196"/>
      <c r="J26" s="192"/>
      <c r="K26" s="196"/>
    </row>
    <row r="27" spans="1:11" s="189" customFormat="1" ht="51" customHeight="1">
      <c r="A27" s="191" t="s">
        <v>452</v>
      </c>
      <c r="B27" s="192" t="s">
        <v>580</v>
      </c>
      <c r="C27" s="191"/>
      <c r="D27" s="194"/>
      <c r="E27" s="194"/>
      <c r="F27" s="194"/>
      <c r="G27" s="195"/>
      <c r="H27" s="192"/>
      <c r="I27" s="196"/>
      <c r="J27" s="192"/>
      <c r="K27" s="196"/>
    </row>
    <row r="28" spans="1:11" s="189" customFormat="1" ht="44.25" customHeight="1">
      <c r="A28" s="191" t="s">
        <v>54</v>
      </c>
      <c r="B28" s="192" t="s">
        <v>579</v>
      </c>
      <c r="C28" s="191"/>
      <c r="D28" s="194"/>
      <c r="E28" s="194"/>
      <c r="F28" s="194"/>
      <c r="G28" s="195"/>
      <c r="H28" s="192"/>
      <c r="I28" s="196"/>
      <c r="J28" s="192"/>
      <c r="K28" s="196"/>
    </row>
    <row r="29" spans="1:11" s="189" customFormat="1" ht="44.25" customHeight="1">
      <c r="A29" s="191" t="s">
        <v>562</v>
      </c>
      <c r="B29" s="192" t="s">
        <v>581</v>
      </c>
      <c r="C29" s="191"/>
      <c r="D29" s="194"/>
      <c r="E29" s="194"/>
      <c r="F29" s="194"/>
      <c r="G29" s="195"/>
      <c r="H29" s="192"/>
      <c r="I29" s="196"/>
      <c r="J29" s="192"/>
      <c r="K29" s="196"/>
    </row>
    <row r="30" spans="1:11" s="189" customFormat="1" ht="12.5">
      <c r="A30" s="200"/>
      <c r="B30" s="201"/>
      <c r="C30" s="201"/>
      <c r="D30" s="194"/>
      <c r="E30" s="194"/>
      <c r="F30" s="194"/>
      <c r="G30" s="195"/>
      <c r="H30" s="192"/>
      <c r="I30" s="196"/>
      <c r="J30" s="197"/>
      <c r="K30" s="198"/>
    </row>
    <row r="31" spans="1:11" s="189" customFormat="1" ht="12.5">
      <c r="A31" s="202"/>
      <c r="B31" s="203"/>
      <c r="C31" s="203"/>
      <c r="D31" s="203"/>
      <c r="E31" s="203"/>
      <c r="F31" s="203"/>
      <c r="G31" s="203"/>
      <c r="H31" s="203"/>
      <c r="I31" s="203"/>
      <c r="J31" s="203"/>
      <c r="K31" s="203"/>
    </row>
    <row r="32" spans="1:11" s="189" customFormat="1" ht="12.5">
      <c r="A32" s="202"/>
      <c r="B32" s="203"/>
      <c r="C32" s="203"/>
      <c r="D32" s="203"/>
      <c r="E32" s="203"/>
      <c r="F32" s="203"/>
      <c r="G32" s="203"/>
      <c r="H32" s="203"/>
      <c r="I32" s="203"/>
      <c r="J32" s="203"/>
      <c r="K32" s="203"/>
    </row>
    <row r="33" spans="1:11" s="189" customFormat="1" ht="12.5">
      <c r="A33" s="202"/>
      <c r="B33" s="203"/>
      <c r="C33" s="203"/>
      <c r="D33" s="203"/>
      <c r="E33" s="203"/>
      <c r="F33" s="203"/>
      <c r="G33" s="203"/>
      <c r="H33" s="203"/>
      <c r="I33" s="203"/>
      <c r="J33" s="203"/>
      <c r="K33" s="203"/>
    </row>
    <row r="34" spans="1:11" s="189" customFormat="1" ht="12.5">
      <c r="A34" s="204" t="s">
        <v>10</v>
      </c>
      <c r="B34" s="205"/>
      <c r="C34" s="206"/>
      <c r="D34" s="203"/>
      <c r="E34" s="203"/>
      <c r="F34" s="203"/>
      <c r="G34" s="203"/>
      <c r="H34" s="203"/>
      <c r="I34" s="207" t="s">
        <v>11</v>
      </c>
      <c r="J34" s="203"/>
      <c r="K34" s="203"/>
    </row>
    <row r="35" spans="1:11" s="189" customFormat="1" ht="12.5">
      <c r="A35" s="208" t="s">
        <v>12</v>
      </c>
      <c r="B35" s="205"/>
      <c r="C35" s="206"/>
      <c r="D35" s="203"/>
      <c r="E35" s="203"/>
      <c r="F35" s="203"/>
      <c r="G35" s="203"/>
      <c r="H35" s="203"/>
      <c r="I35" s="209" t="s">
        <v>13</v>
      </c>
      <c r="J35" s="203"/>
      <c r="K35" s="203"/>
    </row>
    <row r="36" spans="1:11">
      <c r="A36" s="205"/>
      <c r="B36" s="205"/>
      <c r="C36" s="206"/>
      <c r="D36" s="181"/>
      <c r="E36" s="181"/>
      <c r="F36" s="181"/>
      <c r="G36" s="181"/>
      <c r="H36" s="181"/>
      <c r="I36" s="206"/>
      <c r="J36" s="181"/>
      <c r="K36" s="181"/>
    </row>
    <row r="37" spans="1:11">
      <c r="A37" s="205"/>
      <c r="B37" s="205"/>
      <c r="C37" s="206"/>
      <c r="D37" s="181"/>
      <c r="E37" s="181"/>
      <c r="F37" s="181"/>
      <c r="G37" s="181"/>
      <c r="H37" s="181"/>
      <c r="I37" s="206"/>
      <c r="J37" s="181"/>
      <c r="K37" s="181"/>
    </row>
    <row r="38" spans="1:11">
      <c r="A38" s="205"/>
      <c r="B38" s="205"/>
      <c r="C38" s="206"/>
      <c r="D38" s="181"/>
      <c r="E38" s="181"/>
      <c r="F38" s="181"/>
      <c r="G38" s="181"/>
      <c r="H38" s="181"/>
      <c r="I38" s="206"/>
      <c r="J38" s="181"/>
      <c r="K38" s="181"/>
    </row>
    <row r="39" spans="1:11">
      <c r="A39" s="205"/>
      <c r="B39" s="205"/>
      <c r="C39" s="206"/>
      <c r="D39" s="181"/>
      <c r="E39" s="181"/>
      <c r="F39" s="181"/>
      <c r="G39" s="181"/>
      <c r="H39" s="181"/>
      <c r="I39" s="206"/>
      <c r="J39" s="181"/>
      <c r="K39" s="181"/>
    </row>
    <row r="40" spans="1:11">
      <c r="A40" s="205"/>
      <c r="B40" s="205"/>
      <c r="C40" s="206"/>
      <c r="D40" s="181"/>
      <c r="E40" s="181"/>
      <c r="F40" s="181"/>
      <c r="G40" s="181"/>
      <c r="H40" s="181"/>
      <c r="I40" s="206"/>
      <c r="J40" s="181"/>
      <c r="K40" s="181"/>
    </row>
    <row r="41" spans="1:11">
      <c r="A41" s="205"/>
      <c r="B41" s="205"/>
      <c r="C41" s="206"/>
      <c r="D41" s="181"/>
      <c r="E41" s="181"/>
      <c r="F41" s="181"/>
      <c r="G41" s="181"/>
      <c r="H41" s="181"/>
      <c r="I41" s="206"/>
      <c r="J41" s="181"/>
      <c r="K41" s="181"/>
    </row>
    <row r="42" spans="1:11">
      <c r="A42" s="205"/>
      <c r="B42" s="205"/>
      <c r="C42" s="206"/>
      <c r="D42" s="181"/>
      <c r="E42" s="181"/>
      <c r="F42" s="181"/>
      <c r="G42" s="181"/>
      <c r="H42" s="181"/>
      <c r="I42" s="206"/>
      <c r="J42" s="181"/>
      <c r="K42" s="181"/>
    </row>
    <row r="43" spans="1:11">
      <c r="A43" s="205"/>
      <c r="B43" s="205"/>
      <c r="C43" s="206"/>
      <c r="D43" s="181"/>
      <c r="E43" s="181"/>
      <c r="F43" s="181"/>
      <c r="G43" s="181"/>
      <c r="H43" s="181"/>
      <c r="I43" s="206"/>
      <c r="J43" s="181"/>
      <c r="K43" s="181"/>
    </row>
    <row r="44" spans="1:11">
      <c r="A44" s="210"/>
      <c r="B44" s="210"/>
      <c r="C44" s="211"/>
      <c r="D44" s="212"/>
      <c r="E44" s="181"/>
      <c r="F44" s="181"/>
      <c r="G44" s="181"/>
      <c r="H44" s="181"/>
      <c r="I44" s="211"/>
      <c r="J44" s="212"/>
      <c r="K44" s="212"/>
    </row>
    <row r="45" spans="1:11">
      <c r="A45" s="204" t="s">
        <v>14</v>
      </c>
      <c r="B45" s="205"/>
      <c r="C45" s="206"/>
      <c r="D45" s="181"/>
      <c r="E45" s="181"/>
      <c r="F45" s="181"/>
      <c r="G45" s="181"/>
      <c r="H45" s="181"/>
      <c r="I45" s="207" t="s">
        <v>779</v>
      </c>
      <c r="J45" s="181"/>
      <c r="K45" s="181"/>
    </row>
    <row r="46" spans="1:11">
      <c r="A46" s="204" t="s">
        <v>582</v>
      </c>
      <c r="B46" s="205"/>
      <c r="C46" s="206"/>
      <c r="D46" s="181"/>
      <c r="E46" s="181"/>
      <c r="F46" s="181"/>
      <c r="G46" s="181"/>
      <c r="H46" s="181"/>
      <c r="I46" s="207" t="s">
        <v>786</v>
      </c>
      <c r="J46" s="181"/>
      <c r="K46" s="181"/>
    </row>
    <row r="47" spans="1:11">
      <c r="A47" s="205" t="s">
        <v>787</v>
      </c>
      <c r="B47" s="205"/>
      <c r="C47" s="206"/>
      <c r="D47" s="181"/>
      <c r="E47" s="181"/>
      <c r="F47" s="181"/>
      <c r="G47" s="181"/>
      <c r="H47" s="181"/>
      <c r="I47" s="206" t="s">
        <v>788</v>
      </c>
      <c r="J47" s="181"/>
      <c r="K47" s="181"/>
    </row>
    <row r="48" spans="1:11">
      <c r="A48" s="188"/>
      <c r="B48" s="181"/>
      <c r="C48" s="181"/>
      <c r="D48" s="181"/>
      <c r="E48" s="181"/>
      <c r="F48" s="181"/>
      <c r="G48" s="181"/>
      <c r="H48" s="181"/>
      <c r="I48" s="181"/>
      <c r="J48" s="181"/>
      <c r="K48" s="181"/>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coOBtQG1KaHV1Cs1GHtlOc7rYQE=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7LKapSgVE4rOvMsoT/7PMRq+23I=</DigestValue>
    </Reference>
  </SignedInfo>
  <SignatureValue>KDHKuDnu7h1b3u68KD9LlF/Tk/Z3aQ7EpgpT74PXlnKYKpmbeheg0SnQuhpAkm7iuQHbnLJkDVP2
OLbV21OJ0mTBmLkcQkayE1dgTQLbo5hkndquBQscciTrFK87H7DF2szawEpdc/VCILwx95Tp4jaZ
4xzJpTy4qYv/jHGuZj+DnaMGpUbu8dpp3ylHnvFkuMtmZggSbBKd5VH1sa0m26I/iMD9BoTCO9LQ
fPn1fCym0OASzax/jfUwo+DYm6STM/4RGTaNEakhOUQbBYWQjBHoFPkNe/RG4EInoWgpQGL+jU+G
r30/nHyJIGNBffV/DMHOveHQTyVfmxqh1Q1Szw==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1hVJ1b/or+VxjHdyxWAnUay8Tig=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3z5k/sMN7+r2InWurr99AFbh51Q=</DigestValue>
      </Reference>
      <Reference URI="/xl/drawings/drawing2.xml?ContentType=application/vnd.openxmlformats-officedocument.drawing+xml">
        <DigestMethod Algorithm="http://www.w3.org/2000/09/xmldsig#sha1"/>
        <DigestValue>4WC6QvXH9W3Off+iLy3xOKIS5z0=</DigestValue>
      </Reference>
      <Reference URI="/xl/drawings/drawing3.xml?ContentType=application/vnd.openxmlformats-officedocument.drawing+xml">
        <DigestMethod Algorithm="http://www.w3.org/2000/09/xmldsig#sha1"/>
        <DigestValue>tsT2CIcz56iFr5fX42juBg0AIrY=</DigestValue>
      </Reference>
      <Reference URI="/xl/drawings/drawing4.xml?ContentType=application/vnd.openxmlformats-officedocument.drawing+xml">
        <DigestMethod Algorithm="http://www.w3.org/2000/09/xmldsig#sha1"/>
        <DigestValue>m46jRROaZqx/HTvWd0UvX8hZAvY=</DigestValue>
      </Reference>
      <Reference URI="/xl/drawings/drawing5.xml?ContentType=application/vnd.openxmlformats-officedocument.drawing+xml">
        <DigestMethod Algorithm="http://www.w3.org/2000/09/xmldsig#sha1"/>
        <DigestValue>HeIHp+JDh8GR5azJ1ujAdIr8Jr0=</DigestValue>
      </Reference>
      <Reference URI="/xl/drawings/drawing6.xml?ContentType=application/vnd.openxmlformats-officedocument.drawing+xml">
        <DigestMethod Algorithm="http://www.w3.org/2000/09/xmldsig#sha1"/>
        <DigestValue>BU3Bbz4dvrQDiFnv1S7RZcOwlso=</DigestValue>
      </Reference>
      <Reference URI="/xl/drawings/drawing7.xml?ContentType=application/vnd.openxmlformats-officedocument.drawing+xml">
        <DigestMethod Algorithm="http://www.w3.org/2000/09/xmldsig#sha1"/>
        <DigestValue>fhh8Dgq4J600oQWgxDkeN3KKWz8=</DigestValue>
      </Reference>
      <Reference URI="/xl/drawings/drawing8.xml?ContentType=application/vnd.openxmlformats-officedocument.drawing+xml">
        <DigestMethod Algorithm="http://www.w3.org/2000/09/xmldsig#sha1"/>
        <DigestValue>zLQftCwWLm6W52KrBrRveogrfPY=</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jZJBdW+AN7ZzDoMGz3I5uwsD1nU=</DigestValue>
      </Reference>
      <Reference URI="/xl/media/image3.jpeg?ContentType=image/jpeg">
        <DigestMethod Algorithm="http://www.w3.org/2000/09/xmldsig#sha1"/>
        <DigestValue>pFhP2VNrzChhARnGHhKIkQ6IEqo=</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NcV4hP+Nm078fZGtbcZuFDauGWs=</DigestValue>
      </Reference>
      <Reference URI="/xl/styles.xml?ContentType=application/vnd.openxmlformats-officedocument.spreadsheetml.styles+xml">
        <DigestMethod Algorithm="http://www.w3.org/2000/09/xmldsig#sha1"/>
        <DigestValue>lbRY3zAPrd8VOp83vGJN7M9ByeI=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GRMMKWdhu0O7zQw1XcJyGt/LR+k=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6OM16B9Bp/mqO1eVyiEY4/ffvoY=</DigestValue>
      </Reference>
      <Reference URI="/xl/worksheets/sheet2.xml?ContentType=application/vnd.openxmlformats-officedocument.spreadsheetml.worksheet+xml">
        <DigestMethod Algorithm="http://www.w3.org/2000/09/xmldsig#sha1"/>
        <DigestValue>oRgm/YJT1yuytTMH3JUzyKwekxQ=</DigestValue>
      </Reference>
      <Reference URI="/xl/worksheets/sheet3.xml?ContentType=application/vnd.openxmlformats-officedocument.spreadsheetml.worksheet+xml">
        <DigestMethod Algorithm="http://www.w3.org/2000/09/xmldsig#sha1"/>
        <DigestValue>+YsQO2BSgMYSuza3X3810bhVrSk=</DigestValue>
      </Reference>
      <Reference URI="/xl/worksheets/sheet4.xml?ContentType=application/vnd.openxmlformats-officedocument.spreadsheetml.worksheet+xml">
        <DigestMethod Algorithm="http://www.w3.org/2000/09/xmldsig#sha1"/>
        <DigestValue>GYm8SEy1/2tnE94BpGtHqs5Yfug=</DigestValue>
      </Reference>
      <Reference URI="/xl/worksheets/sheet5.xml?ContentType=application/vnd.openxmlformats-officedocument.spreadsheetml.worksheet+xml">
        <DigestMethod Algorithm="http://www.w3.org/2000/09/xmldsig#sha1"/>
        <DigestValue>qtI8sgarOLnHVxBS/CsX97b5MRI=</DigestValue>
      </Reference>
      <Reference URI="/xl/worksheets/sheet6.xml?ContentType=application/vnd.openxmlformats-officedocument.spreadsheetml.worksheet+xml">
        <DigestMethod Algorithm="http://www.w3.org/2000/09/xmldsig#sha1"/>
        <DigestValue>agmpfdyHjTQ9p487te66BuJog2Q=</DigestValue>
      </Reference>
      <Reference URI="/xl/worksheets/sheet7.xml?ContentType=application/vnd.openxmlformats-officedocument.spreadsheetml.worksheet+xml">
        <DigestMethod Algorithm="http://www.w3.org/2000/09/xmldsig#sha1"/>
        <DigestValue>sCIsKL0pQsnchXCcXbiSSdbotL4=</DigestValue>
      </Reference>
      <Reference URI="/xl/worksheets/sheet8.xml?ContentType=application/vnd.openxmlformats-officedocument.spreadsheetml.worksheet+xml">
        <DigestMethod Algorithm="http://www.w3.org/2000/09/xmldsig#sha1"/>
        <DigestValue>jsJqmjdFSUHCnV+LREs4RFES86A=</DigestValue>
      </Reference>
      <Reference URI="/xl/worksheets/sheet9.xml?ContentType=application/vnd.openxmlformats-officedocument.spreadsheetml.worksheet+xml">
        <DigestMethod Algorithm="http://www.w3.org/2000/09/xmldsig#sha1"/>
        <DigestValue>fKgphiX6/84rxtBVWsBffF4l5GQ=</DigestValue>
      </Reference>
    </Manifest>
    <SignatureProperties>
      <SignatureProperty Id="idSignatureTime" Target="#idPackageSignature">
        <mdssi:SignatureTime xmlns:mdssi="http://schemas.openxmlformats.org/package/2006/digital-signature">
          <mdssi:Format>YYYY-MM-DDThh:mm:ssTZD</mdssi:Format>
          <mdssi:Value>2021-04-14T04:43:52Z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2021-04-14T04:43:52Z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Khac_06030</vt:lpstr>
      <vt:lpstr>BCHoatDongVay_06026</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2021-04-14T04:42:48Z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2021-04-14T04:21:56.4265143Z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32cb8d94-4304-4363-889b-19b3f847618a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