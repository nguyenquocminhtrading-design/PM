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W:\GTO_SSO_FUNDSERVICES_GSSCKL\10. CLIENT PORTFOLIO-NAV recalculation\1.07 VFMVFC\1. Report\2025\03. Mar\monthly\ky so\"/>
    </mc:Choice>
  </mc:AlternateContent>
  <xr:revisionPtr revIDLastSave="0" documentId="13_ncr:1_{EA02526D-6596-4E43-8C8B-F05BEF599454}" xr6:coauthVersionLast="47" xr6:coauthVersionMax="47" xr10:uidLastSave="{00000000-0000-0000-0000-000000000000}"/>
  <bookViews>
    <workbookView xWindow="-120" yWindow="-120" windowWidth="29040" windowHeight="15840"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32" l="1"/>
  <c r="D64" i="32"/>
  <c r="A65" i="32"/>
  <c r="A64" i="32"/>
  <c r="A63" i="32"/>
  <c r="D53" i="32"/>
  <c r="D52" i="32"/>
  <c r="A53" i="32"/>
  <c r="A52" i="32"/>
  <c r="D107" i="29" l="1"/>
  <c r="D106" i="29"/>
  <c r="A107" i="29"/>
  <c r="A106" i="29"/>
  <c r="A105" i="29"/>
  <c r="F19" i="1" l="1"/>
  <c r="D63" i="32" l="1"/>
  <c r="D105" i="29"/>
</calcChain>
</file>

<file path=xl/sharedStrings.xml><?xml version="1.0" encoding="utf-8"?>
<sst xmlns="http://schemas.openxmlformats.org/spreadsheetml/2006/main" count="985" uniqueCount="747">
  <si>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</si>
  <si>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</si>
  <si>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</si>
  <si>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</si>
  <si>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</si>
  <si>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</si>
  <si>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</si>
  <si>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</si>
  <si>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</si>
  <si>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</si>
  <si>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</si>
  <si>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</si>
  <si>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</si>
  <si>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</si>
  <si>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</si>
  <si>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</si>
  <si>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</si>
  <si>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</si>
  <si>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</si>
  <si>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</si>
  <si>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</si>
  <si>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</si>
  <si>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</si>
  <si>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</si>
  <si>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</si>
  <si>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</si>
  <si>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</si>
  <si>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</si>
  <si>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</si>
  <si>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</si>
  <si>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</si>
  <si>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</si>
  <si>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</si>
  <si>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</si>
  <si>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</si>
  <si>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</si>
  <si>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</si>
  <si>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</si>
  <si>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</si>
  <si>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</si>
  <si>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</si>
  <si>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</si>
  <si>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</si>
  <si>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</si>
  <si>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</si>
  <si>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</si>
  <si>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</si>
  <si>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</si>
  <si>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</si>
  <si>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</si>
  <si>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</si>
  <si>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</si>
  <si>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</si>
  <si>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</si>
  <si>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</si>
  <si>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</si>
  <si>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</si>
  <si>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</si>
  <si>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</si>
  <si>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</si>
  <si>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</si>
  <si>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</si>
  <si>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</si>
  <si>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</si>
  <si>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</si>
  <si>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</si>
  <si>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</si>
  <si>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</si>
  <si>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</si>
  <si>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</si>
  <si>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</si>
  <si>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</si>
  <si>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</si>
  <si>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</si>
  <si>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</si>
  <si>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</si>
  <si>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</si>
  <si>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</si>
  <si>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</si>
  <si>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</si>
  <si>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</si>
  <si>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</si>
  <si>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</si>
  <si>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</si>
  <si>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</si>
  <si>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</si>
  <si>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</si>
  <si>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</si>
  <si>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</si>
  <si>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</si>
  <si>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</si>
  <si>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</si>
  <si>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</si>
  <si>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</si>
  <si>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</si>
  <si>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</si>
  <si>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</si>
  <si>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</si>
  <si>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</si>
  <si>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</si>
  <si>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</si>
  <si>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</si>
  <si>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</si>
  <si>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</si>
  <si>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</si>
  <si>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</si>
  <si>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</si>
  <si>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</si>
  <si>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</si>
  <si>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</si>
  <si>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</si>
  <si>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</si>
  <si>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</si>
  <si>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</si>
  <si>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</si>
  <si>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</si>
  <si>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</si>
  <si>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</si>
  <si>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</si>
  <si>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</si>
  <si>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</si>
  <si>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</si>
  <si>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</si>
  <si>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</si>
  <si>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</si>
  <si>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</si>
  <si>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</si>
  <si>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</si>
  <si>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</si>
  <si>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</si>
  <si>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</si>
  <si>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</si>
  <si>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</si>
  <si>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</si>
  <si>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</si>
  <si>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</si>
  <si>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</si>
  <si>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</si>
  <si>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</si>
  <si>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</si>
  <si>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</si>
  <si>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</si>
  <si>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</si>
  <si>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</si>
  <si>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</si>
  <si>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</si>
  <si>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</si>
  <si>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</si>
  <si>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</si>
  <si>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</si>
  <si>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</si>
  <si>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</si>
  <si>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</si>
  <si>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</si>
  <si>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</si>
  <si>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</si>
  <si>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</si>
  <si>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</si>
  <si>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</si>
  <si>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</si>
  <si>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</si>
  <si>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</si>
  <si>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</si>
  <si>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</si>
  <si>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</si>
  <si>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</si>
  <si>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</si>
  <si>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</si>
  <si>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</si>
  <si>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</si>
  <si>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</si>
  <si>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</si>
  <si>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</si>
  <si>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</si>
  <si>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</si>
  <si>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</si>
  <si>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</si>
  <si>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</si>
  <si>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</si>
  <si>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</si>
  <si>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</si>
  <si>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</si>
  <si>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</si>
  <si>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</si>
  <si>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</si>
  <si>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</si>
  <si>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</si>
  <si>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</si>
  <si>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</si>
  <si>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</si>
  <si>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</si>
  <si>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</si>
  <si>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</si>
  <si>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</si>
  <si>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</si>
  <si>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</si>
  <si>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</si>
  <si>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</si>
  <si>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</si>
  <si>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</si>
  <si>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</si>
  <si>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</si>
  <si>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</si>
  <si>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</si>
  <si>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</si>
  <si>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</si>
  <si>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</si>
  <si>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</si>
  <si>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</si>
  <si>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</si>
  <si>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</si>
  <si>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</si>
  <si>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</si>
  <si>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</si>
  <si>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</si>
  <si>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</si>
  <si>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</si>
  <si>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</si>
  <si>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</si>
  <si>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</si>
  <si>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</si>
  <si>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</si>
  <si>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</si>
  <si>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</si>
  <si>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</si>
  <si>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</si>
  <si>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</si>
  <si>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</si>
  <si>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</si>
  <si>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</si>
  <si>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</si>
  <si>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</si>
  <si>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</si>
  <si>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</si>
  <si>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</si>
  <si>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</si>
  <si>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</si>
  <si>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</si>
  <si>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</si>
  <si>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</si>
  <si>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</si>
  <si>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</si>
  <si>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</si>
  <si>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</si>
  <si>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</si>
  <si>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</si>
  <si>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</si>
  <si>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</si>
  <si>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</si>
  <si>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</si>
  <si>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</si>
  <si>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</si>
  <si>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</si>
  <si>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</si>
  <si>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</si>
  <si>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</si>
  <si>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</si>
  <si>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</si>
  <si>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</si>
  <si>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</si>
  <si>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</si>
  <si>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</si>
  <si>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</si>
  <si>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</si>
  <si>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</si>
  <si>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</si>
  <si>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</si>
  <si>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</si>
  <si>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</si>
  <si>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</si>
  <si>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</si>
  <si>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</si>
  <si>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</si>
  <si>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MSN123008</t>
  </si>
  <si>
    <t>2251.1.3</t>
  </si>
  <si>
    <t>1.4</t>
  </si>
  <si>
    <t>TCX124011</t>
  </si>
  <si>
    <t>2251.1.4</t>
  </si>
  <si>
    <t>1.5</t>
  </si>
  <si>
    <t>TCX124013</t>
  </si>
  <si>
    <t>2251.1.5</t>
  </si>
  <si>
    <t>1.6</t>
  </si>
  <si>
    <t>TNG122017</t>
  </si>
  <si>
    <t>2251.1.6</t>
  </si>
  <si>
    <t>1.7</t>
  </si>
  <si>
    <t>VPI124001</t>
  </si>
  <si>
    <t>2251.1.7</t>
  </si>
  <si>
    <t>2</t>
  </si>
  <si>
    <t>Trái phiếu chưa niêm yết
Unlisted Bonds</t>
  </si>
  <si>
    <t>2251.2</t>
  </si>
  <si>
    <t>2.1</t>
  </si>
  <si>
    <t>KBC12401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</si>
  <si>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</si>
  <si>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</si>
  <si>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</si>
  <si>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</si>
  <si>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</si>
  <si>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</si>
  <si>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</si>
  <si>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</si>
  <si>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</si>
  <si>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</si>
  <si>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</si>
  <si>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</si>
  <si>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</si>
  <si>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</si>
  <si>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</si>
  <si>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</si>
  <si>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</si>
  <si>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</si>
  <si>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</si>
  <si>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</si>
  <si>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</si>
  <si>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</si>
  <si>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</si>
  <si>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</si>
  <si>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</si>
  <si>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</si>
  <si>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</si>
  <si>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</si>
  <si>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</si>
  <si>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</si>
  <si>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</si>
  <si>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</si>
  <si>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</si>
  <si>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</si>
  <si>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</si>
  <si>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</si>
  <si>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</si>
  <si>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</si>
  <si>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</si>
  <si>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</si>
  <si>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</si>
  <si>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</si>
  <si>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</si>
  <si>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</si>
  <si>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</si>
  <si>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</si>
  <si>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</si>
  <si>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</si>
  <si>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</si>
  <si>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</si>
  <si>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</si>
  <si>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</si>
  <si>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</si>
  <si>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</si>
  <si>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</si>
  <si>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</si>
  <si>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</si>
  <si>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</si>
  <si>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</si>
  <si>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</si>
  <si>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</si>
  <si>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</si>
  <si>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</si>
  <si>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</si>
  <si>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</si>
  <si>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</si>
  <si>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</si>
  <si>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</si>
  <si>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</si>
  <si>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</si>
  <si>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</si>
  <si>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</si>
  <si>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</si>
  <si>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</si>
  <si>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</si>
  <si>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</si>
  <si>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</si>
  <si>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</si>
  <si>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</si>
  <si>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</si>
  <si>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</si>
  <si>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</si>
  <si>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</si>
  <si>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</si>
  <si>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</si>
  <si>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</si>
  <si>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</si>
  <si>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</si>
  <si>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</si>
  <si>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</si>
  <si>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</si>
  <si>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</si>
  <si>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</si>
  <si>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</si>
  <si>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</si>
  <si>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</si>
  <si>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</si>
  <si>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</si>
  <si>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</si>
  <si>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</si>
  <si>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</si>
  <si>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</si>
  <si>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</si>
  <si>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</si>
  <si>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</si>
  <si>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</si>
  <si>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</si>
  <si>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</si>
  <si>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</si>
  <si>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</si>
  <si>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</si>
  <si>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</si>
  <si>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</si>
  <si>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</si>
  <si>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</si>
  <si>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</si>
  <si>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</si>
  <si>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</si>
  <si>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</si>
  <si>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</si>
  <si>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</si>
  <si>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</si>
  <si>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</si>
  <si>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</si>
  <si>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</si>
  <si>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</si>
  <si>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</si>
  <si>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</si>
  <si>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</si>
  <si>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</si>
  <si>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</si>
  <si>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</si>
  <si>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</si>
  <si>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</si>
  <si>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</si>
  <si>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</si>
  <si>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</si>
  <si>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</si>
  <si>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</si>
  <si>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</si>
  <si>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</si>
  <si>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</si>
  <si>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</si>
  <si>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</si>
  <si>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</si>
  <si>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</si>
  <si>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</si>
  <si>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</si>
  <si>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</si>
  <si>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</si>
  <si>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</si>
  <si>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</si>
  <si>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</si>
  <si>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</si>
  <si>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</si>
  <si>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</si>
  <si>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</si>
  <si>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</si>
  <si>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</si>
  <si>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</si>
  <si>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</si>
  <si>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</si>
  <si>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</si>
  <si>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</si>
  <si>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</si>
  <si>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</si>
  <si>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</si>
  <si>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</si>
  <si>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</si>
  <si>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</si>
  <si>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</si>
  <si>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</si>
  <si>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</si>
  <si>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</si>
  <si>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</si>
  <si>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</si>
  <si>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</si>
  <si>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</si>
  <si>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</si>
  <si>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</si>
  <si>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</si>
  <si>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</si>
  <si>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</si>
  <si>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</si>
  <si>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</si>
  <si>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</si>
  <si>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</si>
  <si>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</si>
  <si>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</si>
  <si>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</si>
  <si>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</si>
  <si>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</si>
  <si>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</si>
  <si>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</si>
  <si>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</si>
  <si>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</si>
  <si>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</si>
  <si>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</si>
  <si>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</si>
  <si>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</si>
  <si>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</si>
  <si>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</si>
  <si>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</si>
  <si>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</si>
  <si>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</si>
  <si>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</si>
  <si>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</si>
  <si>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</si>
  <si>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</si>
  <si>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</si>
  <si>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</si>
  <si>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</si>
  <si>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</si>
  <si>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</si>
  <si>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</si>
  <si>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</si>
  <si>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</si>
  <si>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</si>
  <si>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</si>
  <si>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</si>
  <si>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</si>
  <si>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</si>
  <si>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</si>
  <si>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</si>
  <si>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</si>
  <si>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</si>
  <si>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</si>
  <si>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</si>
  <si>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</si>
  <si>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</si>
  <si>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</si>
  <si>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</si>
  <si>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</si>
  <si>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</si>
  <si>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</si>
  <si>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</si>
  <si>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</si>
  <si>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</si>
  <si>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</si>
  <si>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</si>
  <si>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</si>
  <si>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</si>
  <si>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</si>
  <si>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</si>
  <si>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</si>
  <si>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</si>
  <si>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</si>
  <si>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</si>
  <si>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</si>
  <si>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</si>
  <si>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</si>
  <si>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</si>
  <si>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</si>
  <si>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</si>
  <si>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</si>
  <si>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</si>
  <si>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</si>
  <si>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</si>
  <si>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</si>
  <si>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</si>
  <si>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</si>
  <si>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</si>
  <si>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</si>
  <si>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</si>
  <si>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</si>
  <si>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</si>
  <si>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</si>
  <si>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</si>
  <si>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</si>
  <si>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</si>
  <si>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</si>
  <si>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</si>
  <si>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</si>
  <si>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</si>
  <si>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</si>
  <si>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</si>
  <si>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</si>
  <si>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</si>
  <si>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</si>
  <si>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</si>
  <si>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</si>
  <si>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</si>
  <si>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</si>
  <si>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</si>
  <si>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</si>
  <si>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</si>
  <si>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</si>
  <si>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</si>
  <si>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</si>
  <si>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</si>
  <si>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</si>
  <si>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</si>
  <si>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</si>
  <si>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</si>
  <si>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</si>
  <si>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</si>
  <si>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</si>
  <si>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</si>
  <si>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</si>
  <si>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</si>
  <si>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</si>
  <si>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</si>
  <si>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</si>
  <si>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</si>
  <si>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</si>
  <si>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</si>
  <si>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</si>
  <si>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</si>
  <si>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</si>
  <si>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</si>
  <si>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</si>
  <si>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</si>
  <si>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</si>
  <si>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</si>
  <si>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</si>
  <si>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</si>
  <si>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</si>
  <si>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</si>
  <si>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</si>
  <si>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</si>
  <si>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</si>
  <si>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</si>
  <si>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</si>
  <si>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</si>
  <si>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</si>
  <si>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</si>
  <si>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</si>
  <si>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</si>
  <si>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</si>
  <si>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</si>
  <si>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</si>
  <si>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</si>
  <si>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</si>
  <si>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</si>
  <si>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</si>
  <si>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</si>
  <si>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</si>
  <si>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</si>
  <si>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</si>
  <si>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</si>
  <si>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</si>
  <si>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</si>
  <si>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</si>
  <si>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</si>
  <si>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</si>
  <si>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</si>
  <si>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</si>
  <si>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</si>
  <si>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</si>
  <si>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</si>
  <si>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</si>
  <si>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</si>
  <si>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</si>
  <si>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</si>
  <si>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</si>
  <si>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</si>
  <si>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</si>
  <si>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</si>
  <si>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</si>
  <si>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</si>
  <si>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</si>
  <si>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</si>
  <si>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</si>
  <si>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</si>
  <si>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</si>
  <si>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</si>
  <si>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</si>
  <si>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</si>
  <si>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</si>
  <si>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</si>
  <si>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</si>
  <si>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</si>
  <si>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</si>
  <si>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</si>
  <si>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</si>
  <si>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</si>
  <si>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</si>
  <si>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</si>
  <si>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</si>
  <si>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</si>
  <si>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</si>
  <si>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</si>
  <si>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</si>
  <si>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</si>
  <si>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</si>
  <si>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</si>
  <si>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</si>
  <si>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</si>
  <si>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</si>
  <si>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</si>
  <si>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</si>
  <si>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</si>
  <si>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</si>
  <si>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</si>
  <si>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</si>
  <si>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</si>
  <si>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</si>
  <si>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</si>
  <si>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</si>
  <si>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</si>
  <si>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</si>
  <si>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</si>
  <si>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</si>
  <si>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</si>
  <si>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</si>
  <si>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</si>
  <si>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</si>
  <si>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</si>
  <si>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</si>
  <si>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</si>
  <si>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</si>
  <si>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</si>
  <si>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</si>
  <si>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</si>
  <si>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</si>
  <si>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</si>
  <si>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</si>
  <si>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</si>
  <si>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</si>
  <si>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</si>
  <si>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</si>
  <si>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</si>
  <si>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</si>
  <si>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</si>
  <si>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</si>
  <si>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</si>
  <si>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</si>
  <si>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</si>
  <si>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</si>
  <si>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</si>
  <si>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</si>
  <si>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</si>
  <si>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</si>
  <si>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</si>
  <si>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</si>
  <si>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</si>
  <si>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</si>
  <si>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2025
/ As at 31 Mar 2025</t>
  </si>
  <si>
    <t>Tháng 03 năm 2025
/ Mar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</si>
  <si>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</si>
  <si>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</si>
  <si>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</si>
  <si>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</si>
  <si>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04 năm 2025</t>
  </si>
  <si>
    <t>01 Apr 2025</t>
  </si>
  <si>
    <t>Vũ Quang Phan</t>
  </si>
  <si>
    <t>Lê Hoàng Anh</t>
  </si>
  <si>
    <t>Phó phòng Dịch vụ nghiệp vụ giám sát Quỹ</t>
  </si>
  <si>
    <t>Quyền Giám đốc nghiệp vụ hỗ trợ đầu tư</t>
  </si>
  <si>
    <t>Ngày 31 tháng 03 năm 2025
 As at 31 Mar 2025</t>
  </si>
  <si>
    <t>Ngày 28 tháng 02 năm 2025
 As at 28 Feb 2025</t>
  </si>
  <si>
    <t>Tháng 03 năm 2025
Mar 2025</t>
  </si>
  <si>
    <t>Tháng 02 năm 2025
Feb 2025</t>
  </si>
  <si>
    <t>DC Income Plus Bond Fund (DCIP)</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</si>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</sst>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C28" sqref="C28"/>
    </sheetView>
  </sheetViews>
  <sheetFormatPr defaultColWidth="9.140625" defaultRowHeight="12.75"/>
  <cols>
    <col min="1" max="2" width="9.140625" style="79"/>
    <col min="3" max="3" width="30.140625" style="79" customWidth="1"/>
    <col min="4" max="4" width="30.85546875" style="79" customWidth="1"/>
    <col min="5" max="5" width="21.140625" style="79" customWidth="1"/>
    <col min="6" max="9" width="9.140625" style="79"/>
    <col min="10" max="10" width="11.85546875" style="79" customWidth="1"/>
    <col min="11" max="11" width="15" style="79" customWidth="1"/>
    <col min="12" max="16384" width="9.140625" style="79"/>
  </cols>
  <sheetData>
    <row r="1" spans="1:11">
      <c r="A1" s="78" t="s">
        <v>0</v>
      </c>
      <c r="C1" s="141" t="s">
        <v>729</v>
      </c>
      <c r="D1" s="142"/>
    </row>
    <row r="2" spans="1:11">
      <c r="C2" s="80" t="s">
        <v>730</v>
      </c>
      <c r="D2" s="81"/>
    </row>
    <row r="3" spans="1:11">
      <c r="D3" s="82"/>
    </row>
    <row r="4" spans="1:11">
      <c r="A4" s="78" t="s">
        <v>1</v>
      </c>
      <c r="D4" s="82"/>
    </row>
    <row r="5" spans="1:11" ht="15" customHeight="1">
      <c r="C5" s="83" t="s">
        <v>2</v>
      </c>
      <c r="D5" s="144" t="s">
        <v>731</v>
      </c>
      <c r="E5" s="144"/>
      <c r="F5" s="144"/>
      <c r="G5" s="144"/>
      <c r="H5" s="144"/>
      <c r="I5" s="144"/>
    </row>
    <row r="6" spans="1:11">
      <c r="C6" s="74" t="s">
        <v>15</v>
      </c>
      <c r="D6" s="143" t="s">
        <v>732</v>
      </c>
      <c r="E6" s="143"/>
      <c r="F6" s="143"/>
      <c r="G6" s="143"/>
      <c r="H6" s="143"/>
      <c r="I6" s="143"/>
    </row>
    <row r="7" spans="1:11">
      <c r="C7" s="84" t="s">
        <v>3</v>
      </c>
      <c r="D7" s="144" t="s">
        <v>733</v>
      </c>
      <c r="E7" s="144"/>
      <c r="F7" s="144"/>
      <c r="G7" s="144"/>
      <c r="H7" s="144"/>
      <c r="I7" s="144"/>
    </row>
    <row r="8" spans="1:11" ht="15" customHeight="1">
      <c r="C8" s="28" t="s">
        <v>4</v>
      </c>
      <c r="D8" s="143" t="s">
        <v>734</v>
      </c>
      <c r="E8" s="143"/>
      <c r="F8" s="143"/>
      <c r="G8" s="143"/>
      <c r="H8" s="143"/>
      <c r="I8" s="143"/>
    </row>
    <row r="9" spans="1:11" ht="15" customHeight="1">
      <c r="C9" s="84" t="s">
        <v>5</v>
      </c>
      <c r="D9" s="144" t="s">
        <v>239</v>
      </c>
      <c r="E9" s="144"/>
      <c r="F9" s="144"/>
      <c r="G9" s="144"/>
      <c r="H9" s="144"/>
      <c r="I9" s="144"/>
    </row>
    <row r="10" spans="1:11" ht="15" customHeight="1">
      <c r="C10" s="85" t="s">
        <v>6</v>
      </c>
      <c r="D10" s="143" t="s">
        <v>745</v>
      </c>
      <c r="E10" s="143"/>
      <c r="F10" s="143"/>
      <c r="G10" s="143"/>
      <c r="H10" s="143"/>
      <c r="I10" s="143"/>
    </row>
    <row r="11" spans="1:11">
      <c r="C11" s="86" t="s">
        <v>7</v>
      </c>
      <c r="D11" s="144" t="s">
        <v>735</v>
      </c>
      <c r="E11" s="144"/>
      <c r="F11" s="144"/>
      <c r="G11" s="144"/>
      <c r="H11" s="144"/>
      <c r="I11" s="144"/>
    </row>
    <row r="12" spans="1:11">
      <c r="C12" s="2" t="s">
        <v>8</v>
      </c>
      <c r="D12" s="143" t="s">
        <v>736</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tr">
        <f>D5</f>
        <v>Công ty Cổ phần Quản lý Quỹ Đầu tư Dragon Capital Việt Nam</v>
      </c>
      <c r="G19" s="1"/>
      <c r="H19" s="1"/>
      <c r="I19" s="1"/>
      <c r="J19" s="1"/>
      <c r="K19" s="93"/>
    </row>
    <row r="20" spans="3:11">
      <c r="C20" s="95" t="s">
        <v>737</v>
      </c>
      <c r="D20" s="92"/>
      <c r="F20" s="95" t="s">
        <v>738</v>
      </c>
      <c r="G20" s="1"/>
      <c r="H20" s="1"/>
      <c r="I20" s="1"/>
      <c r="J20" s="1"/>
      <c r="K20" s="93"/>
    </row>
    <row r="21" spans="3:11">
      <c r="C21" s="96" t="s">
        <v>739</v>
      </c>
      <c r="D21" s="81"/>
      <c r="F21" s="96" t="s">
        <v>740</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 zoomScaleNormal="85" zoomScaleSheetLayoutView="100" workbookViewId="0">
      <selection activeCell="G7" sqref="G7:J14"/>
    </sheetView>
  </sheetViews>
  <sheetFormatPr defaultColWidth="9.140625" defaultRowHeight="12.75"/>
  <cols>
    <col min="1" max="1" width="4.85546875" style="113" customWidth="1"/>
    <col min="2" max="2" width="34.42578125" style="110" customWidth="1"/>
    <col min="3" max="3" width="14.42578125" style="110" customWidth="1"/>
    <col min="4" max="4" width="11.85546875" style="110" customWidth="1"/>
    <col min="5" max="5" width="12.28515625" style="110" customWidth="1"/>
    <col min="6" max="6" width="12.5703125" style="110" customWidth="1"/>
    <col min="7" max="7" width="16.42578125" style="110" customWidth="1"/>
    <col min="8" max="9" width="19" style="110" customWidth="1"/>
    <col min="10" max="10" width="43.5703125" style="110" customWidth="1"/>
    <col min="11" max="16384" width="9.140625" style="110"/>
  </cols>
  <sheetData>
    <row r="1" spans="1:10" s="109" customFormat="1" ht="46.5" customHeight="1">
      <c r="A1" s="145" t="s">
        <v>232</v>
      </c>
      <c r="B1" s="145"/>
      <c r="C1" s="145"/>
      <c r="D1" s="145"/>
      <c r="E1" s="145"/>
      <c r="F1" s="145"/>
      <c r="G1" s="145"/>
      <c r="H1" s="145"/>
      <c r="I1" s="145"/>
      <c r="J1" s="145"/>
    </row>
    <row r="2" spans="1:10" ht="48.95"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 customHeight="1">
      <c r="A4" s="147"/>
      <c r="B4" s="147"/>
      <c r="C4" s="147"/>
      <c r="D4" s="147"/>
      <c r="E4" s="147"/>
      <c r="F4" s="147"/>
      <c r="G4" s="147"/>
      <c r="H4" s="147"/>
      <c r="I4" s="147"/>
      <c r="J4" s="147"/>
    </row>
    <row r="5" spans="1:10">
      <c r="A5" s="148" t="s">
        <v>730</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731</v>
      </c>
      <c r="H7" s="151"/>
      <c r="I7" s="151"/>
      <c r="J7" s="151"/>
    </row>
    <row r="8" spans="1:10" ht="15" customHeight="1">
      <c r="A8" s="152" t="s">
        <v>15</v>
      </c>
      <c r="B8" s="152"/>
      <c r="C8" s="111"/>
      <c r="D8" s="111"/>
      <c r="E8" s="111"/>
      <c r="F8" s="111"/>
      <c r="G8" s="153" t="s">
        <v>732</v>
      </c>
      <c r="H8" s="153"/>
      <c r="I8" s="153"/>
      <c r="J8" s="153"/>
    </row>
    <row r="9" spans="1:10">
      <c r="A9" s="154" t="s">
        <v>3</v>
      </c>
      <c r="B9" s="155"/>
      <c r="C9" s="111"/>
      <c r="D9" s="111"/>
      <c r="E9" s="111"/>
      <c r="F9" s="111"/>
      <c r="G9" s="156" t="s">
        <v>733</v>
      </c>
      <c r="H9" s="156"/>
      <c r="I9" s="156"/>
      <c r="J9" s="156"/>
    </row>
    <row r="10" spans="1:10" ht="15" customHeight="1">
      <c r="A10" s="155" t="s">
        <v>4</v>
      </c>
      <c r="B10" s="155"/>
      <c r="C10" s="111"/>
      <c r="D10" s="111"/>
      <c r="E10" s="111"/>
      <c r="F10" s="111"/>
      <c r="G10" s="153" t="s">
        <v>734</v>
      </c>
      <c r="H10" s="153"/>
      <c r="I10" s="153"/>
      <c r="J10" s="153"/>
    </row>
    <row r="11" spans="1:10" ht="15" customHeight="1">
      <c r="A11" s="154" t="s">
        <v>5</v>
      </c>
      <c r="B11" s="157"/>
      <c r="C11" s="111"/>
      <c r="D11" s="111"/>
      <c r="E11" s="111"/>
      <c r="F11" s="111"/>
      <c r="G11" s="151" t="s">
        <v>239</v>
      </c>
      <c r="H11" s="151"/>
      <c r="I11" s="151"/>
      <c r="J11" s="151"/>
    </row>
    <row r="12" spans="1:10" ht="15" customHeight="1">
      <c r="A12" s="33" t="s">
        <v>180</v>
      </c>
      <c r="B12" s="106"/>
      <c r="C12" s="111"/>
      <c r="D12" s="111"/>
      <c r="E12" s="111"/>
      <c r="F12" s="111"/>
      <c r="G12" s="153" t="s">
        <v>745</v>
      </c>
      <c r="H12" s="153"/>
      <c r="I12" s="153"/>
      <c r="J12" s="153"/>
    </row>
    <row r="13" spans="1:10" ht="15" customHeight="1">
      <c r="A13" s="34" t="s">
        <v>7</v>
      </c>
      <c r="B13" s="35"/>
      <c r="C13" s="111"/>
      <c r="D13" s="111"/>
      <c r="E13" s="111"/>
      <c r="F13" s="111"/>
      <c r="G13" s="151" t="s">
        <v>735</v>
      </c>
      <c r="H13" s="151"/>
      <c r="I13" s="151"/>
      <c r="J13" s="151"/>
    </row>
    <row r="14" spans="1:10">
      <c r="A14" s="36" t="s">
        <v>8</v>
      </c>
      <c r="B14" s="36"/>
      <c r="C14" s="38"/>
      <c r="D14" s="38"/>
      <c r="E14" s="38"/>
      <c r="F14" s="38"/>
      <c r="G14" s="158" t="s">
        <v>736</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360</v>
      </c>
      <c r="B19" s="131" t="s">
        <v>361</v>
      </c>
      <c r="C19" s="131"/>
      <c r="D19" s="131"/>
      <c r="E19" s="131"/>
      <c r="F19" s="134"/>
      <c r="G19" s="131"/>
      <c r="H19" s="133"/>
      <c r="I19" s="131"/>
      <c r="J19" s="133"/>
    </row>
    <row r="20" spans="1:10">
      <c r="A20" s="131" t="s">
        <v>362</v>
      </c>
      <c r="B20" s="131" t="s">
        <v>363</v>
      </c>
      <c r="C20" s="131" t="s">
        <v>364</v>
      </c>
      <c r="D20" s="131" t="s">
        <v>365</v>
      </c>
      <c r="E20" s="131" t="s">
        <v>366</v>
      </c>
      <c r="F20" s="134" t="s">
        <v>367</v>
      </c>
      <c r="G20" s="131" t="s">
        <v>368</v>
      </c>
      <c r="H20" s="133" t="s">
        <v>369</v>
      </c>
      <c r="I20" s="131" t="s">
        <v>370</v>
      </c>
      <c r="J20" s="133" t="s">
        <v>371</v>
      </c>
    </row>
    <row r="21" spans="1:10" ht="25.5">
      <c r="A21" s="136" t="s">
        <v>372</v>
      </c>
      <c r="B21" s="136" t="s">
        <v>373</v>
      </c>
      <c r="C21" s="136"/>
      <c r="D21" s="136"/>
      <c r="E21" s="136"/>
      <c r="F21" s="138">
        <v>0</v>
      </c>
      <c r="G21" s="136"/>
      <c r="H21" s="137">
        <v>0</v>
      </c>
      <c r="I21" s="136"/>
      <c r="J21" s="137">
        <v>0</v>
      </c>
    </row>
    <row r="22" spans="1:10" ht="25.5">
      <c r="A22" s="131" t="s">
        <v>374</v>
      </c>
      <c r="B22" s="131" t="s">
        <v>375</v>
      </c>
      <c r="C22" s="131"/>
      <c r="D22" s="131"/>
      <c r="E22" s="131"/>
      <c r="F22" s="134"/>
      <c r="G22" s="131"/>
      <c r="H22" s="133"/>
      <c r="I22" s="131"/>
      <c r="J22" s="133"/>
    </row>
    <row r="23" spans="1:10">
      <c r="A23" s="131" t="s">
        <v>376</v>
      </c>
      <c r="B23" s="131" t="s">
        <v>377</v>
      </c>
      <c r="C23" s="131" t="s">
        <v>378</v>
      </c>
      <c r="D23" s="131" t="s">
        <v>379</v>
      </c>
      <c r="E23" s="131" t="s">
        <v>380</v>
      </c>
      <c r="F23" s="134" t="s">
        <v>381</v>
      </c>
      <c r="G23" s="131" t="s">
        <v>382</v>
      </c>
      <c r="H23" s="133" t="s">
        <v>383</v>
      </c>
      <c r="I23" s="131" t="s">
        <v>384</v>
      </c>
      <c r="J23" s="133" t="s">
        <v>385</v>
      </c>
    </row>
    <row r="24" spans="1:10" ht="25.5">
      <c r="A24" s="136" t="s">
        <v>386</v>
      </c>
      <c r="B24" s="136" t="s">
        <v>387</v>
      </c>
      <c r="C24" s="136"/>
      <c r="D24" s="136"/>
      <c r="E24" s="136"/>
      <c r="F24" s="138">
        <v>0</v>
      </c>
      <c r="G24" s="136"/>
      <c r="H24" s="137">
        <v>0</v>
      </c>
      <c r="I24" s="136"/>
      <c r="J24" s="137">
        <v>0</v>
      </c>
    </row>
    <row r="25" spans="1:10" ht="25.5">
      <c r="A25" s="136" t="s">
        <v>388</v>
      </c>
      <c r="B25" s="136" t="s">
        <v>389</v>
      </c>
      <c r="C25" s="136"/>
      <c r="D25" s="136"/>
      <c r="E25" s="136"/>
      <c r="F25" s="138">
        <v>0</v>
      </c>
      <c r="G25" s="136"/>
      <c r="H25" s="137">
        <v>0</v>
      </c>
      <c r="I25" s="136"/>
      <c r="J25" s="137">
        <v>0</v>
      </c>
    </row>
    <row r="26" spans="1:10" ht="25.5">
      <c r="A26" s="131" t="s">
        <v>390</v>
      </c>
      <c r="B26" s="131" t="s">
        <v>391</v>
      </c>
      <c r="C26" s="131"/>
      <c r="D26" s="131"/>
      <c r="E26" s="131"/>
      <c r="F26" s="134"/>
      <c r="G26" s="131"/>
      <c r="H26" s="133"/>
      <c r="I26" s="131"/>
      <c r="J26" s="133"/>
    </row>
    <row r="27" spans="1:10">
      <c r="A27" s="131" t="s">
        <v>392</v>
      </c>
      <c r="B27" s="131" t="s">
        <v>393</v>
      </c>
      <c r="C27" s="131" t="s">
        <v>394</v>
      </c>
      <c r="D27" s="131" t="s">
        <v>395</v>
      </c>
      <c r="E27" s="131" t="s">
        <v>396</v>
      </c>
      <c r="F27" s="134" t="s">
        <v>397</v>
      </c>
      <c r="G27" s="131" t="s">
        <v>398</v>
      </c>
      <c r="H27" s="133" t="s">
        <v>399</v>
      </c>
      <c r="I27" s="131" t="s">
        <v>400</v>
      </c>
      <c r="J27" s="133" t="s">
        <v>401</v>
      </c>
    </row>
    <row r="28" spans="1:10" ht="25.5">
      <c r="A28" s="136" t="s">
        <v>402</v>
      </c>
      <c r="B28" s="136" t="s">
        <v>403</v>
      </c>
      <c r="C28" s="136"/>
      <c r="D28" s="136"/>
      <c r="E28" s="136"/>
      <c r="F28" s="138">
        <v>0</v>
      </c>
      <c r="G28" s="136"/>
      <c r="H28" s="137">
        <v>0</v>
      </c>
      <c r="I28" s="136"/>
      <c r="J28" s="137">
        <v>0</v>
      </c>
    </row>
    <row r="29" spans="1:10" ht="25.5">
      <c r="A29" s="131" t="s">
        <v>404</v>
      </c>
      <c r="B29" s="131" t="s">
        <v>405</v>
      </c>
      <c r="C29" s="131"/>
      <c r="D29" s="131"/>
      <c r="E29" s="131"/>
      <c r="F29" s="134"/>
      <c r="G29" s="131"/>
      <c r="H29" s="133"/>
      <c r="I29" s="131"/>
      <c r="J29" s="133"/>
    </row>
    <row r="30" spans="1:10">
      <c r="A30" s="131" t="s">
        <v>406</v>
      </c>
      <c r="B30" s="131" t="s">
        <v>407</v>
      </c>
      <c r="C30" s="131" t="s">
        <v>408</v>
      </c>
      <c r="D30" s="131" t="s">
        <v>409</v>
      </c>
      <c r="E30" s="131" t="s">
        <v>410</v>
      </c>
      <c r="F30" s="134" t="s">
        <v>411</v>
      </c>
      <c r="G30" s="131" t="s">
        <v>412</v>
      </c>
      <c r="H30" s="133" t="s">
        <v>413</v>
      </c>
      <c r="I30" s="131" t="s">
        <v>414</v>
      </c>
      <c r="J30" s="133" t="s">
        <v>415</v>
      </c>
    </row>
    <row r="31" spans="1:10" ht="25.5">
      <c r="A31" s="136" t="s">
        <v>416</v>
      </c>
      <c r="B31" s="136" t="s">
        <v>417</v>
      </c>
      <c r="C31" s="136"/>
      <c r="D31" s="136"/>
      <c r="E31" s="136"/>
      <c r="F31" s="138">
        <v>0</v>
      </c>
      <c r="G31" s="136"/>
      <c r="H31" s="137">
        <v>0</v>
      </c>
      <c r="I31" s="136"/>
      <c r="J31" s="137">
        <v>0</v>
      </c>
    </row>
    <row r="32" spans="1:10" ht="25.5">
      <c r="A32" s="136" t="s">
        <v>418</v>
      </c>
      <c r="B32" s="136" t="s">
        <v>419</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c r="A40" s="159" t="s">
        <v>14</v>
      </c>
      <c r="B40" s="159"/>
      <c r="C40" s="38"/>
      <c r="D40" s="38"/>
      <c r="E40" s="38"/>
      <c r="F40" s="38"/>
      <c r="G40" s="38"/>
      <c r="H40" s="38"/>
      <c r="I40" s="128" t="s">
        <v>731</v>
      </c>
      <c r="J40" s="129"/>
    </row>
    <row r="41" spans="1:10" s="37" customFormat="1">
      <c r="A41" s="49" t="s">
        <v>737</v>
      </c>
      <c r="B41" s="38"/>
      <c r="C41" s="38"/>
      <c r="D41" s="38"/>
      <c r="E41" s="38"/>
      <c r="F41" s="38"/>
      <c r="G41" s="38"/>
      <c r="H41" s="38"/>
      <c r="I41" s="49" t="s">
        <v>738</v>
      </c>
      <c r="J41" s="38"/>
    </row>
    <row r="42" spans="1:10" s="37" customFormat="1">
      <c r="A42" s="38" t="s">
        <v>739</v>
      </c>
      <c r="B42" s="38"/>
      <c r="C42" s="38"/>
      <c r="D42" s="38"/>
      <c r="E42" s="38"/>
      <c r="F42" s="38"/>
      <c r="G42" s="38"/>
      <c r="H42" s="38"/>
      <c r="I42" s="38" t="s">
        <v>740</v>
      </c>
      <c r="J42" s="38"/>
    </row>
    <row r="43" spans="1:10" s="37" customFormat="1">
      <c r="A43" s="127"/>
      <c r="B43" s="38"/>
      <c r="C43" s="38"/>
      <c r="D43" s="38"/>
      <c r="E43" s="38"/>
      <c r="F43" s="38"/>
      <c r="G43" s="38"/>
      <c r="H43" s="38"/>
      <c r="I43" s="38"/>
      <c r="J43" s="38"/>
    </row>
    <row r="44" spans="1:10" s="37" customFormat="1">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3" zoomScaleNormal="100" zoomScaleSheetLayoutView="100" workbookViewId="0">
      <selection activeCell="A5" sqref="A5:F5"/>
    </sheetView>
  </sheetViews>
  <sheetFormatPr defaultColWidth="8.7109375" defaultRowHeight="12.75"/>
  <cols>
    <col min="1" max="1" width="8.7109375" style="1"/>
    <col min="2" max="2" width="44.28515625" style="1" customWidth="1"/>
    <col min="3" max="3" width="10.28515625" style="1" customWidth="1"/>
    <col min="4" max="5" width="41.140625" style="1" customWidth="1"/>
    <col min="6" max="6" width="37.5703125" style="1" customWidth="1"/>
    <col min="7" max="16384" width="8.7109375" style="1"/>
  </cols>
  <sheetData>
    <row r="1" spans="1:6" s="2" customFormat="1" ht="54.75" customHeight="1">
      <c r="A1" s="162" t="s">
        <v>232</v>
      </c>
      <c r="B1" s="162"/>
      <c r="C1" s="162"/>
      <c r="D1" s="162"/>
      <c r="E1" s="162"/>
      <c r="F1" s="162"/>
    </row>
    <row r="2" spans="1:6" s="2" customFormat="1" ht="50.4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729</v>
      </c>
      <c r="B5" s="165"/>
      <c r="C5" s="165"/>
      <c r="D5" s="165"/>
      <c r="E5" s="165"/>
      <c r="F5" s="165"/>
    </row>
    <row r="6" spans="1:6">
      <c r="A6" s="9"/>
      <c r="B6" s="9"/>
      <c r="C6" s="9"/>
      <c r="D6" s="9"/>
      <c r="E6" s="9"/>
      <c r="F6" s="9"/>
    </row>
    <row r="7" spans="1:6" ht="16.899999999999999" customHeight="1">
      <c r="A7" s="144" t="s">
        <v>2</v>
      </c>
      <c r="B7" s="144"/>
      <c r="C7" s="144" t="s">
        <v>731</v>
      </c>
      <c r="D7" s="144"/>
      <c r="E7" s="144"/>
      <c r="F7" s="144"/>
    </row>
    <row r="8" spans="1:6" s="2" customFormat="1" ht="16.899999999999999" customHeight="1">
      <c r="A8" s="143" t="s">
        <v>15</v>
      </c>
      <c r="B8" s="143"/>
      <c r="C8" s="143" t="s">
        <v>732</v>
      </c>
      <c r="D8" s="143"/>
      <c r="E8" s="143"/>
      <c r="F8" s="143"/>
    </row>
    <row r="9" spans="1:6" ht="16.899999999999999" customHeight="1">
      <c r="A9" s="144" t="s">
        <v>3</v>
      </c>
      <c r="B9" s="144"/>
      <c r="C9" s="144" t="s">
        <v>733</v>
      </c>
      <c r="D9" s="144"/>
      <c r="E9" s="144"/>
      <c r="F9" s="144"/>
    </row>
    <row r="10" spans="1:6" s="2" customFormat="1" ht="16.899999999999999" customHeight="1">
      <c r="A10" s="143" t="s">
        <v>4</v>
      </c>
      <c r="B10" s="143"/>
      <c r="C10" s="143" t="s">
        <v>734</v>
      </c>
      <c r="D10" s="143"/>
      <c r="E10" s="143"/>
      <c r="F10" s="143"/>
    </row>
    <row r="11" spans="1:6" ht="16.899999999999999" customHeight="1">
      <c r="A11" s="144" t="s">
        <v>5</v>
      </c>
      <c r="B11" s="144"/>
      <c r="C11" s="144" t="s">
        <v>239</v>
      </c>
      <c r="D11" s="144"/>
      <c r="E11" s="144"/>
      <c r="F11" s="144"/>
    </row>
    <row r="12" spans="1:6" s="2" customFormat="1" ht="16.899999999999999" customHeight="1">
      <c r="A12" s="143" t="s">
        <v>6</v>
      </c>
      <c r="B12" s="143"/>
      <c r="C12" s="143" t="s">
        <v>745</v>
      </c>
      <c r="D12" s="143"/>
      <c r="E12" s="143"/>
      <c r="F12" s="143"/>
    </row>
    <row r="13" spans="1:6" ht="16.899999999999999" customHeight="1">
      <c r="A13" s="144" t="s">
        <v>7</v>
      </c>
      <c r="B13" s="144"/>
      <c r="C13" s="144" t="s">
        <v>735</v>
      </c>
      <c r="D13" s="144"/>
      <c r="E13" s="144"/>
      <c r="F13" s="144"/>
    </row>
    <row r="14" spans="1:6" s="2" customFormat="1" ht="16.899999999999999" customHeight="1">
      <c r="A14" s="143" t="s">
        <v>8</v>
      </c>
      <c r="B14" s="143"/>
      <c r="C14" s="143" t="s">
        <v>736</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741</v>
      </c>
      <c r="E18" s="7" t="s">
        <v>742</v>
      </c>
      <c r="F18" s="30" t="s">
        <v>20</v>
      </c>
    </row>
    <row r="19" spans="1:6" ht="39" customHeight="1">
      <c r="A19" s="136" t="s">
        <v>420</v>
      </c>
      <c r="B19" s="135" t="s">
        <v>421</v>
      </c>
      <c r="C19" s="136" t="s">
        <v>422</v>
      </c>
      <c r="D19" s="138"/>
      <c r="E19" s="138"/>
      <c r="F19" s="137"/>
    </row>
    <row r="20" spans="1:6" ht="39" customHeight="1">
      <c r="A20" s="131" t="s">
        <v>423</v>
      </c>
      <c r="B20" s="130" t="s">
        <v>424</v>
      </c>
      <c r="C20" s="131" t="s">
        <v>425</v>
      </c>
      <c r="D20" s="134">
        <v>448647196936</v>
      </c>
      <c r="E20" s="134">
        <v>625286336249</v>
      </c>
      <c r="F20" s="133">
        <v>0.50550632681337604</v>
      </c>
    </row>
    <row r="21" spans="1:6" ht="39" customHeight="1">
      <c r="A21" s="131" t="s">
        <v>426</v>
      </c>
      <c r="B21" s="130" t="s">
        <v>427</v>
      </c>
      <c r="C21" s="131" t="s">
        <v>428</v>
      </c>
      <c r="D21" s="134"/>
      <c r="E21" s="134"/>
      <c r="F21" s="133"/>
    </row>
    <row r="22" spans="1:6" ht="39" customHeight="1">
      <c r="A22" s="131" t="s">
        <v>429</v>
      </c>
      <c r="B22" s="130" t="s">
        <v>430</v>
      </c>
      <c r="C22" s="131" t="s">
        <v>431</v>
      </c>
      <c r="D22" s="134" t="s">
        <v>432</v>
      </c>
      <c r="E22" s="134" t="s">
        <v>433</v>
      </c>
      <c r="F22" s="133" t="s">
        <v>434</v>
      </c>
    </row>
    <row r="23" spans="1:6" ht="39" customHeight="1">
      <c r="A23" s="131" t="s">
        <v>435</v>
      </c>
      <c r="B23" s="130" t="s">
        <v>436</v>
      </c>
      <c r="C23" s="131" t="s">
        <v>437</v>
      </c>
      <c r="D23" s="134">
        <v>448647196936</v>
      </c>
      <c r="E23" s="134">
        <v>625286336249</v>
      </c>
      <c r="F23" s="133">
        <v>0.50550632681337604</v>
      </c>
    </row>
    <row r="24" spans="1:6" ht="39" customHeight="1">
      <c r="A24" s="131" t="s">
        <v>438</v>
      </c>
      <c r="B24" s="130" t="s">
        <v>439</v>
      </c>
      <c r="C24" s="131" t="s">
        <v>440</v>
      </c>
      <c r="D24" s="134" t="s">
        <v>441</v>
      </c>
      <c r="E24" s="134" t="s">
        <v>442</v>
      </c>
      <c r="F24" s="133" t="s">
        <v>443</v>
      </c>
    </row>
    <row r="25" spans="1:6" ht="48" customHeight="1">
      <c r="A25" s="131" t="s">
        <v>444</v>
      </c>
      <c r="B25" s="130" t="s">
        <v>445</v>
      </c>
      <c r="C25" s="131" t="s">
        <v>446</v>
      </c>
      <c r="D25" s="134">
        <v>26592801680</v>
      </c>
      <c r="E25" s="134">
        <v>37642261615</v>
      </c>
      <c r="F25" s="133">
        <v>0.84557567124570998</v>
      </c>
    </row>
    <row r="26" spans="1:6" ht="45" customHeight="1">
      <c r="A26" s="131" t="s">
        <v>447</v>
      </c>
      <c r="B26" s="130" t="s">
        <v>448</v>
      </c>
      <c r="C26" s="131" t="s">
        <v>449</v>
      </c>
      <c r="D26" s="134">
        <v>213635346</v>
      </c>
      <c r="E26" s="134">
        <v>508731</v>
      </c>
      <c r="F26" s="133">
        <v>336.226584890249</v>
      </c>
    </row>
    <row r="27" spans="1:6" ht="42" customHeight="1">
      <c r="A27" s="131" t="s">
        <v>450</v>
      </c>
      <c r="B27" s="130" t="s">
        <v>451</v>
      </c>
      <c r="C27" s="131" t="s">
        <v>452</v>
      </c>
      <c r="D27" s="134">
        <v>56240759910</v>
      </c>
      <c r="E27" s="134">
        <v>15643565903</v>
      </c>
      <c r="F27" s="133">
        <v>6.1328194209290698</v>
      </c>
    </row>
    <row r="28" spans="1:6" ht="48" customHeight="1">
      <c r="A28" s="131" t="s">
        <v>453</v>
      </c>
      <c r="B28" s="130" t="s">
        <v>454</v>
      </c>
      <c r="C28" s="131" t="s">
        <v>455</v>
      </c>
      <c r="D28" s="134">
        <v>0</v>
      </c>
      <c r="E28" s="134">
        <v>0</v>
      </c>
      <c r="F28" s="133"/>
    </row>
    <row r="29" spans="1:6" ht="39" customHeight="1">
      <c r="A29" s="131" t="s">
        <v>456</v>
      </c>
      <c r="B29" s="130" t="s">
        <v>457</v>
      </c>
      <c r="C29" s="131" t="s">
        <v>458</v>
      </c>
      <c r="D29" s="134">
        <v>365600000000</v>
      </c>
      <c r="E29" s="134">
        <v>572000000000</v>
      </c>
      <c r="F29" s="133">
        <v>0.43169205337111799</v>
      </c>
    </row>
    <row r="30" spans="1:6" ht="39" customHeight="1">
      <c r="A30" s="131" t="s">
        <v>459</v>
      </c>
      <c r="B30" s="130" t="s">
        <v>460</v>
      </c>
      <c r="C30" s="131" t="s">
        <v>461</v>
      </c>
      <c r="D30" s="134">
        <v>772570554749</v>
      </c>
      <c r="E30" s="134">
        <v>632200898273</v>
      </c>
      <c r="F30" s="133">
        <v>0.51079199103732198</v>
      </c>
    </row>
    <row r="31" spans="1:6" ht="39" customHeight="1">
      <c r="A31" s="131" t="s">
        <v>462</v>
      </c>
      <c r="B31" s="130" t="s">
        <v>463</v>
      </c>
      <c r="C31" s="131" t="s">
        <v>464</v>
      </c>
      <c r="D31" s="134" t="s">
        <v>465</v>
      </c>
      <c r="E31" s="134" t="s">
        <v>466</v>
      </c>
      <c r="F31" s="133" t="s">
        <v>467</v>
      </c>
    </row>
    <row r="32" spans="1:6" ht="39" customHeight="1">
      <c r="A32" s="131" t="s">
        <v>468</v>
      </c>
      <c r="B32" s="130" t="s">
        <v>469</v>
      </c>
      <c r="C32" s="131" t="s">
        <v>470</v>
      </c>
      <c r="D32" s="134">
        <v>0</v>
      </c>
      <c r="E32" s="134">
        <v>0</v>
      </c>
      <c r="F32" s="133"/>
    </row>
    <row r="33" spans="1:6" ht="39" customHeight="1">
      <c r="A33" s="131" t="s">
        <v>471</v>
      </c>
      <c r="B33" s="130" t="s">
        <v>472</v>
      </c>
      <c r="C33" s="131" t="s">
        <v>473</v>
      </c>
      <c r="D33" s="134">
        <v>0</v>
      </c>
      <c r="E33" s="134">
        <v>0</v>
      </c>
      <c r="F33" s="133"/>
    </row>
    <row r="34" spans="1:6" ht="39" customHeight="1">
      <c r="A34" s="131" t="s">
        <v>474</v>
      </c>
      <c r="B34" s="130" t="s">
        <v>475</v>
      </c>
      <c r="C34" s="131" t="s">
        <v>476</v>
      </c>
      <c r="D34" s="134">
        <v>384570554749</v>
      </c>
      <c r="E34" s="134">
        <v>392200898273</v>
      </c>
      <c r="F34" s="133">
        <v>0.45798374166317901</v>
      </c>
    </row>
    <row r="35" spans="1:6" ht="39" customHeight="1">
      <c r="A35" s="131" t="s">
        <v>477</v>
      </c>
      <c r="B35" s="130" t="s">
        <v>478</v>
      </c>
      <c r="C35" s="131" t="s">
        <v>479</v>
      </c>
      <c r="D35" s="134">
        <v>260000000000</v>
      </c>
      <c r="E35" s="134">
        <v>240000000000</v>
      </c>
      <c r="F35" s="133">
        <v>0.68966994167912998</v>
      </c>
    </row>
    <row r="36" spans="1:6" ht="39" customHeight="1">
      <c r="A36" s="131" t="s">
        <v>480</v>
      </c>
      <c r="B36" s="130" t="s">
        <v>481</v>
      </c>
      <c r="C36" s="131" t="s">
        <v>482</v>
      </c>
      <c r="D36" s="134">
        <v>128000000000</v>
      </c>
      <c r="E36" s="134">
        <v>0</v>
      </c>
      <c r="F36" s="133">
        <v>0.43272481406355601</v>
      </c>
    </row>
    <row r="37" spans="1:6" ht="39" customHeight="1">
      <c r="A37" s="131" t="s">
        <v>483</v>
      </c>
      <c r="B37" s="130" t="s">
        <v>484</v>
      </c>
      <c r="C37" s="131" t="s">
        <v>485</v>
      </c>
      <c r="D37" s="134">
        <v>0</v>
      </c>
      <c r="E37" s="134">
        <v>0</v>
      </c>
      <c r="F37" s="133"/>
    </row>
    <row r="38" spans="1:6" ht="39" customHeight="1">
      <c r="A38" s="131" t="s">
        <v>486</v>
      </c>
      <c r="B38" s="130" t="s">
        <v>487</v>
      </c>
      <c r="C38" s="131" t="s">
        <v>488</v>
      </c>
      <c r="D38" s="134">
        <v>0</v>
      </c>
      <c r="E38" s="134">
        <v>0</v>
      </c>
      <c r="F38" s="133"/>
    </row>
    <row r="39" spans="1:6" ht="39" customHeight="1">
      <c r="A39" s="131" t="s">
        <v>489</v>
      </c>
      <c r="B39" s="130" t="s">
        <v>490</v>
      </c>
      <c r="C39" s="131" t="s">
        <v>491</v>
      </c>
      <c r="D39" s="134">
        <v>0</v>
      </c>
      <c r="E39" s="134">
        <v>0</v>
      </c>
      <c r="F39" s="133"/>
    </row>
    <row r="40" spans="1:6" ht="39" customHeight="1">
      <c r="A40" s="131" t="s">
        <v>492</v>
      </c>
      <c r="B40" s="130" t="s">
        <v>493</v>
      </c>
      <c r="C40" s="131" t="s">
        <v>494</v>
      </c>
      <c r="D40" s="134">
        <v>0</v>
      </c>
      <c r="E40" s="134">
        <v>0</v>
      </c>
      <c r="F40" s="133"/>
    </row>
    <row r="41" spans="1:6" ht="39" customHeight="1">
      <c r="A41" s="131" t="s">
        <v>495</v>
      </c>
      <c r="B41" s="130" t="s">
        <v>496</v>
      </c>
      <c r="C41" s="131" t="s">
        <v>497</v>
      </c>
      <c r="D41" s="134">
        <v>0</v>
      </c>
      <c r="E41" s="134">
        <v>0</v>
      </c>
      <c r="F41" s="133"/>
    </row>
    <row r="42" spans="1:6" ht="39" customHeight="1">
      <c r="A42" s="131" t="s">
        <v>498</v>
      </c>
      <c r="B42" s="130" t="s">
        <v>499</v>
      </c>
      <c r="C42" s="131" t="s">
        <v>500</v>
      </c>
      <c r="D42" s="134" t="s">
        <v>501</v>
      </c>
      <c r="E42" s="134" t="s">
        <v>502</v>
      </c>
      <c r="F42" s="133" t="s">
        <v>503</v>
      </c>
    </row>
    <row r="43" spans="1:6" ht="39" customHeight="1">
      <c r="A43" s="131" t="s">
        <v>504</v>
      </c>
      <c r="B43" s="130" t="s">
        <v>505</v>
      </c>
      <c r="C43" s="131" t="s">
        <v>506</v>
      </c>
      <c r="D43" s="134">
        <v>4429718946</v>
      </c>
      <c r="E43" s="134">
        <v>2839000351</v>
      </c>
      <c r="F43" s="133">
        <v>0.37027447143882303</v>
      </c>
    </row>
    <row r="44" spans="1:6" ht="39" customHeight="1">
      <c r="A44" s="131" t="s">
        <v>507</v>
      </c>
      <c r="B44" s="130" t="s">
        <v>508</v>
      </c>
      <c r="C44" s="131" t="s">
        <v>509</v>
      </c>
      <c r="D44" s="134" t="s">
        <v>510</v>
      </c>
      <c r="E44" s="134" t="s">
        <v>511</v>
      </c>
      <c r="F44" s="133" t="s">
        <v>512</v>
      </c>
    </row>
    <row r="45" spans="1:6" ht="39" customHeight="1">
      <c r="A45" s="131" t="s">
        <v>513</v>
      </c>
      <c r="B45" s="130" t="s">
        <v>514</v>
      </c>
      <c r="C45" s="131" t="s">
        <v>515</v>
      </c>
      <c r="D45" s="134">
        <v>0</v>
      </c>
      <c r="E45" s="134">
        <v>0</v>
      </c>
      <c r="F45" s="133"/>
    </row>
    <row r="46" spans="1:6" ht="39" customHeight="1">
      <c r="A46" s="131" t="s">
        <v>516</v>
      </c>
      <c r="B46" s="130" t="s">
        <v>517</v>
      </c>
      <c r="C46" s="131" t="s">
        <v>518</v>
      </c>
      <c r="D46" s="134">
        <v>4429718946</v>
      </c>
      <c r="E46" s="134">
        <v>2839000351</v>
      </c>
      <c r="F46" s="133">
        <v>0.37027447143882303</v>
      </c>
    </row>
    <row r="47" spans="1:6" ht="39" customHeight="1">
      <c r="A47" s="131" t="s">
        <v>519</v>
      </c>
      <c r="B47" s="130" t="s">
        <v>520</v>
      </c>
      <c r="C47" s="131" t="s">
        <v>521</v>
      </c>
      <c r="D47" s="134">
        <v>7937938355</v>
      </c>
      <c r="E47" s="134">
        <v>10282294524</v>
      </c>
      <c r="F47" s="133">
        <v>0.38030951499698601</v>
      </c>
    </row>
    <row r="48" spans="1:6" ht="39" customHeight="1">
      <c r="A48" s="131" t="s">
        <v>522</v>
      </c>
      <c r="B48" s="130" t="s">
        <v>523</v>
      </c>
      <c r="C48" s="131" t="s">
        <v>524</v>
      </c>
      <c r="D48" s="134" t="s">
        <v>525</v>
      </c>
      <c r="E48" s="134" t="s">
        <v>526</v>
      </c>
      <c r="F48" s="133" t="s">
        <v>527</v>
      </c>
    </row>
    <row r="49" spans="1:6" ht="39" customHeight="1">
      <c r="A49" s="131" t="s">
        <v>528</v>
      </c>
      <c r="B49" s="130" t="s">
        <v>529</v>
      </c>
      <c r="C49" s="131" t="s">
        <v>530</v>
      </c>
      <c r="D49" s="134">
        <v>1358815068</v>
      </c>
      <c r="E49" s="134">
        <v>1235390414</v>
      </c>
      <c r="F49" s="133">
        <v>0.287128161722081</v>
      </c>
    </row>
    <row r="50" spans="1:6" ht="39" customHeight="1">
      <c r="A50" s="131" t="s">
        <v>531</v>
      </c>
      <c r="B50" s="130" t="s">
        <v>532</v>
      </c>
      <c r="C50" s="131" t="s">
        <v>533</v>
      </c>
      <c r="D50" s="134">
        <v>6579123287</v>
      </c>
      <c r="E50" s="134">
        <v>9046904110</v>
      </c>
      <c r="F50" s="133">
        <v>0.40763157017802898</v>
      </c>
    </row>
    <row r="51" spans="1:6" ht="39" customHeight="1">
      <c r="A51" s="131" t="s">
        <v>534</v>
      </c>
      <c r="B51" s="130" t="s">
        <v>535</v>
      </c>
      <c r="C51" s="131" t="s">
        <v>536</v>
      </c>
      <c r="D51" s="134">
        <v>0</v>
      </c>
      <c r="E51" s="134">
        <v>0</v>
      </c>
      <c r="F51" s="133"/>
    </row>
    <row r="52" spans="1:6" ht="39" customHeight="1">
      <c r="A52" s="131" t="s">
        <v>537</v>
      </c>
      <c r="B52" s="130" t="s">
        <v>538</v>
      </c>
      <c r="C52" s="131" t="s">
        <v>539</v>
      </c>
      <c r="D52" s="134">
        <v>0</v>
      </c>
      <c r="E52" s="134">
        <v>0</v>
      </c>
      <c r="F52" s="133"/>
    </row>
    <row r="53" spans="1:6" ht="39" customHeight="1">
      <c r="A53" s="131" t="s">
        <v>540</v>
      </c>
      <c r="B53" s="130" t="s">
        <v>541</v>
      </c>
      <c r="C53" s="131" t="s">
        <v>542</v>
      </c>
      <c r="D53" s="134" t="s">
        <v>543</v>
      </c>
      <c r="E53" s="134" t="s">
        <v>544</v>
      </c>
      <c r="F53" s="133" t="s">
        <v>545</v>
      </c>
    </row>
    <row r="54" spans="1:6" ht="39" customHeight="1">
      <c r="A54" s="131" t="s">
        <v>546</v>
      </c>
      <c r="B54" s="130" t="s">
        <v>547</v>
      </c>
      <c r="C54" s="131" t="s">
        <v>548</v>
      </c>
      <c r="D54" s="134">
        <v>0</v>
      </c>
      <c r="E54" s="134">
        <v>0</v>
      </c>
      <c r="F54" s="133"/>
    </row>
    <row r="55" spans="1:6" ht="39" customHeight="1">
      <c r="A55" s="131" t="s">
        <v>549</v>
      </c>
      <c r="B55" s="130" t="s">
        <v>550</v>
      </c>
      <c r="C55" s="131" t="s">
        <v>551</v>
      </c>
      <c r="D55" s="134" t="s">
        <v>552</v>
      </c>
      <c r="E55" s="134" t="s">
        <v>553</v>
      </c>
      <c r="F55" s="133" t="s">
        <v>554</v>
      </c>
    </row>
    <row r="56" spans="1:6" ht="39" customHeight="1">
      <c r="A56" s="131" t="s">
        <v>555</v>
      </c>
      <c r="B56" s="130" t="s">
        <v>556</v>
      </c>
      <c r="C56" s="131" t="s">
        <v>557</v>
      </c>
      <c r="D56" s="134">
        <v>0</v>
      </c>
      <c r="E56" s="134">
        <v>0</v>
      </c>
      <c r="F56" s="133"/>
    </row>
    <row r="57" spans="1:6" ht="39" customHeight="1">
      <c r="A57" s="131" t="s">
        <v>558</v>
      </c>
      <c r="B57" s="130" t="s">
        <v>559</v>
      </c>
      <c r="C57" s="131" t="s">
        <v>560</v>
      </c>
      <c r="D57" s="134" t="s">
        <v>561</v>
      </c>
      <c r="E57" s="134" t="s">
        <v>562</v>
      </c>
      <c r="F57" s="133" t="s">
        <v>563</v>
      </c>
    </row>
    <row r="58" spans="1:6" ht="39" customHeight="1">
      <c r="A58" s="131" t="s">
        <v>564</v>
      </c>
      <c r="B58" s="130" t="s">
        <v>565</v>
      </c>
      <c r="C58" s="131" t="s">
        <v>566</v>
      </c>
      <c r="D58" s="134">
        <v>0</v>
      </c>
      <c r="E58" s="134">
        <v>0</v>
      </c>
      <c r="F58" s="133"/>
    </row>
    <row r="59" spans="1:6" ht="39" customHeight="1">
      <c r="A59" s="131" t="s">
        <v>567</v>
      </c>
      <c r="B59" s="130" t="s">
        <v>568</v>
      </c>
      <c r="C59" s="131" t="s">
        <v>569</v>
      </c>
      <c r="D59" s="134">
        <v>0</v>
      </c>
      <c r="E59" s="134">
        <v>0</v>
      </c>
      <c r="F59" s="133"/>
    </row>
    <row r="60" spans="1:6" ht="39" customHeight="1">
      <c r="A60" s="131" t="s">
        <v>570</v>
      </c>
      <c r="B60" s="130" t="s">
        <v>571</v>
      </c>
      <c r="C60" s="131" t="s">
        <v>572</v>
      </c>
      <c r="D60" s="134">
        <v>0</v>
      </c>
      <c r="E60" s="134">
        <v>0</v>
      </c>
      <c r="F60" s="133"/>
    </row>
    <row r="61" spans="1:6" ht="39" customHeight="1">
      <c r="A61" s="131" t="s">
        <v>573</v>
      </c>
      <c r="B61" s="130" t="s">
        <v>574</v>
      </c>
      <c r="C61" s="131" t="s">
        <v>575</v>
      </c>
      <c r="D61" s="134">
        <v>0</v>
      </c>
      <c r="E61" s="134">
        <v>0</v>
      </c>
      <c r="F61" s="133">
        <v>0</v>
      </c>
    </row>
    <row r="62" spans="1:6" ht="39" customHeight="1">
      <c r="A62" s="131" t="s">
        <v>576</v>
      </c>
      <c r="B62" s="130" t="s">
        <v>577</v>
      </c>
      <c r="C62" s="131" t="s">
        <v>578</v>
      </c>
      <c r="D62" s="134" t="s">
        <v>579</v>
      </c>
      <c r="E62" s="134" t="s">
        <v>580</v>
      </c>
      <c r="F62" s="133" t="s">
        <v>581</v>
      </c>
    </row>
    <row r="63" spans="1:6" ht="39" customHeight="1">
      <c r="A63" s="136" t="s">
        <v>582</v>
      </c>
      <c r="B63" s="135" t="s">
        <v>583</v>
      </c>
      <c r="C63" s="136" t="s">
        <v>584</v>
      </c>
      <c r="D63" s="138">
        <v>1233585408986</v>
      </c>
      <c r="E63" s="138">
        <v>1270608529397</v>
      </c>
      <c r="F63" s="137">
        <v>0.50704122743997404</v>
      </c>
    </row>
    <row r="64" spans="1:6" ht="39" customHeight="1">
      <c r="A64" s="136" t="s">
        <v>585</v>
      </c>
      <c r="B64" s="135" t="s">
        <v>586</v>
      </c>
      <c r="C64" s="136" t="s">
        <v>587</v>
      </c>
      <c r="D64" s="138"/>
      <c r="E64" s="138"/>
      <c r="F64" s="137"/>
    </row>
    <row r="65" spans="1:6" ht="39" customHeight="1">
      <c r="A65" s="131" t="s">
        <v>588</v>
      </c>
      <c r="B65" s="130" t="s">
        <v>589</v>
      </c>
      <c r="C65" s="131" t="s">
        <v>590</v>
      </c>
      <c r="D65" s="134">
        <v>0</v>
      </c>
      <c r="E65" s="134">
        <v>0</v>
      </c>
      <c r="F65" s="133"/>
    </row>
    <row r="66" spans="1:6" ht="39" customHeight="1">
      <c r="A66" s="131" t="s">
        <v>591</v>
      </c>
      <c r="B66" s="130" t="s">
        <v>592</v>
      </c>
      <c r="C66" s="131" t="s">
        <v>593</v>
      </c>
      <c r="D66" s="134" t="s">
        <v>594</v>
      </c>
      <c r="E66" s="134" t="s">
        <v>595</v>
      </c>
      <c r="F66" s="133" t="s">
        <v>596</v>
      </c>
    </row>
    <row r="67" spans="1:6" ht="39" customHeight="1">
      <c r="A67" s="131" t="s">
        <v>597</v>
      </c>
      <c r="B67" s="130" t="s">
        <v>598</v>
      </c>
      <c r="C67" s="131" t="s">
        <v>599</v>
      </c>
      <c r="D67" s="134">
        <v>0</v>
      </c>
      <c r="E67" s="134">
        <v>0</v>
      </c>
      <c r="F67" s="133">
        <v>0</v>
      </c>
    </row>
    <row r="68" spans="1:6" ht="39" customHeight="1">
      <c r="A68" s="131" t="s">
        <v>600</v>
      </c>
      <c r="B68" s="130" t="s">
        <v>601</v>
      </c>
      <c r="C68" s="131" t="s">
        <v>602</v>
      </c>
      <c r="D68" s="134" t="s">
        <v>603</v>
      </c>
      <c r="E68" s="134" t="s">
        <v>604</v>
      </c>
      <c r="F68" s="133" t="s">
        <v>605</v>
      </c>
    </row>
    <row r="69" spans="1:6" ht="39" customHeight="1">
      <c r="A69" s="131" t="s">
        <v>606</v>
      </c>
      <c r="B69" s="130" t="s">
        <v>607</v>
      </c>
      <c r="C69" s="131" t="s">
        <v>608</v>
      </c>
      <c r="D69" s="134">
        <v>29076515356</v>
      </c>
      <c r="E69" s="134">
        <v>39563109713</v>
      </c>
      <c r="F69" s="133">
        <v>0.83046788438644403</v>
      </c>
    </row>
    <row r="70" spans="1:6" ht="39" customHeight="1">
      <c r="A70" s="131" t="s">
        <v>609</v>
      </c>
      <c r="B70" s="130" t="s">
        <v>610</v>
      </c>
      <c r="C70" s="131" t="s">
        <v>611</v>
      </c>
      <c r="D70" s="134" t="s">
        <v>612</v>
      </c>
      <c r="E70" s="134" t="s">
        <v>613</v>
      </c>
      <c r="F70" s="133" t="s">
        <v>614</v>
      </c>
    </row>
    <row r="71" spans="1:6" ht="39" customHeight="1">
      <c r="A71" s="131" t="s">
        <v>615</v>
      </c>
      <c r="B71" s="130" t="s">
        <v>616</v>
      </c>
      <c r="C71" s="131" t="s">
        <v>617</v>
      </c>
      <c r="D71" s="134">
        <v>26806437026</v>
      </c>
      <c r="E71" s="134">
        <v>37642770346</v>
      </c>
      <c r="F71" s="133">
        <v>0.85235144874379998</v>
      </c>
    </row>
    <row r="72" spans="1:6" ht="39" customHeight="1">
      <c r="A72" s="131" t="s">
        <v>618</v>
      </c>
      <c r="B72" s="130" t="s">
        <v>619</v>
      </c>
      <c r="C72" s="131" t="s">
        <v>620</v>
      </c>
      <c r="D72" s="134">
        <v>26592801680</v>
      </c>
      <c r="E72" s="134">
        <v>37642261615</v>
      </c>
      <c r="F72" s="133">
        <v>0.84557567124570998</v>
      </c>
    </row>
    <row r="73" spans="1:6" ht="48" customHeight="1">
      <c r="A73" s="131" t="s">
        <v>621</v>
      </c>
      <c r="B73" s="130" t="s">
        <v>622</v>
      </c>
      <c r="C73" s="131" t="s">
        <v>623</v>
      </c>
      <c r="D73" s="134">
        <v>0</v>
      </c>
      <c r="E73" s="134">
        <v>0</v>
      </c>
      <c r="F73" s="133"/>
    </row>
    <row r="74" spans="1:6" ht="39" customHeight="1">
      <c r="A74" s="131" t="s">
        <v>624</v>
      </c>
      <c r="B74" s="130" t="s">
        <v>625</v>
      </c>
      <c r="C74" s="131" t="s">
        <v>626</v>
      </c>
      <c r="D74" s="134">
        <v>0</v>
      </c>
      <c r="E74" s="134">
        <v>0</v>
      </c>
      <c r="F74" s="133"/>
    </row>
    <row r="75" spans="1:6" ht="39" customHeight="1">
      <c r="A75" s="131" t="s">
        <v>627</v>
      </c>
      <c r="B75" s="130" t="s">
        <v>628</v>
      </c>
      <c r="C75" s="131" t="s">
        <v>629</v>
      </c>
      <c r="D75" s="134">
        <v>213635346</v>
      </c>
      <c r="E75" s="134">
        <v>508731</v>
      </c>
      <c r="F75" s="133">
        <v>336.226584890249</v>
      </c>
    </row>
    <row r="76" spans="1:6" ht="39" customHeight="1">
      <c r="A76" s="131" t="s">
        <v>630</v>
      </c>
      <c r="B76" s="130" t="s">
        <v>631</v>
      </c>
      <c r="C76" s="131" t="s">
        <v>632</v>
      </c>
      <c r="D76" s="134">
        <v>664967190</v>
      </c>
      <c r="E76" s="134">
        <v>491067194</v>
      </c>
      <c r="F76" s="133">
        <v>0.79757053210538098</v>
      </c>
    </row>
    <row r="77" spans="1:6" ht="60.95" customHeight="1">
      <c r="A77" s="131" t="s">
        <v>633</v>
      </c>
      <c r="B77" s="130" t="s">
        <v>634</v>
      </c>
      <c r="C77" s="131" t="s">
        <v>635</v>
      </c>
      <c r="D77" s="134">
        <v>0</v>
      </c>
      <c r="E77" s="134">
        <v>0</v>
      </c>
      <c r="F77" s="133"/>
    </row>
    <row r="78" spans="1:6" ht="39" customHeight="1">
      <c r="A78" s="131" t="s">
        <v>636</v>
      </c>
      <c r="B78" s="130" t="s">
        <v>637</v>
      </c>
      <c r="C78" s="131" t="s">
        <v>638</v>
      </c>
      <c r="D78" s="134">
        <v>0</v>
      </c>
      <c r="E78" s="134">
        <v>0</v>
      </c>
      <c r="F78" s="133"/>
    </row>
    <row r="79" spans="1:6" ht="39" customHeight="1">
      <c r="A79" s="131" t="s">
        <v>639</v>
      </c>
      <c r="B79" s="130" t="s">
        <v>640</v>
      </c>
      <c r="C79" s="131" t="s">
        <v>641</v>
      </c>
      <c r="D79" s="134">
        <v>7479452</v>
      </c>
      <c r="E79" s="134">
        <v>6969863</v>
      </c>
      <c r="F79" s="133">
        <v>0.99835139818812602</v>
      </c>
    </row>
    <row r="80" spans="1:6" ht="39" customHeight="1">
      <c r="A80" s="131" t="s">
        <v>642</v>
      </c>
      <c r="B80" s="130" t="s">
        <v>643</v>
      </c>
      <c r="C80" s="131" t="s">
        <v>644</v>
      </c>
      <c r="D80" s="134">
        <v>1257536468</v>
      </c>
      <c r="E80" s="134">
        <v>1120523716</v>
      </c>
      <c r="F80" s="133">
        <v>0.52854799561551202</v>
      </c>
    </row>
    <row r="81" spans="1:6" ht="39" customHeight="1">
      <c r="A81" s="131" t="s">
        <v>645</v>
      </c>
      <c r="B81" s="130" t="s">
        <v>646</v>
      </c>
      <c r="C81" s="131" t="s">
        <v>647</v>
      </c>
      <c r="D81" s="134">
        <v>48402818</v>
      </c>
      <c r="E81" s="134">
        <v>47548370</v>
      </c>
      <c r="F81" s="133">
        <v>0.51656737908971595</v>
      </c>
    </row>
    <row r="82" spans="1:6" ht="39" customHeight="1">
      <c r="A82" s="131" t="s">
        <v>648</v>
      </c>
      <c r="B82" s="130" t="s">
        <v>649</v>
      </c>
      <c r="C82" s="131" t="s">
        <v>650</v>
      </c>
      <c r="D82" s="134">
        <v>34582252</v>
      </c>
      <c r="E82" s="134">
        <v>30814400</v>
      </c>
      <c r="F82" s="133">
        <v>0.52854799393105001</v>
      </c>
    </row>
    <row r="83" spans="1:6" ht="39" customHeight="1">
      <c r="A83" s="131" t="s">
        <v>651</v>
      </c>
      <c r="B83" s="130" t="s">
        <v>652</v>
      </c>
      <c r="C83" s="131" t="s">
        <v>653</v>
      </c>
      <c r="D83" s="134">
        <v>0</v>
      </c>
      <c r="E83" s="134">
        <v>0</v>
      </c>
      <c r="F83" s="133">
        <v>0</v>
      </c>
    </row>
    <row r="84" spans="1:6" ht="39" customHeight="1">
      <c r="A84" s="131" t="s">
        <v>654</v>
      </c>
      <c r="B84" s="130" t="s">
        <v>655</v>
      </c>
      <c r="C84" s="131" t="s">
        <v>656</v>
      </c>
      <c r="D84" s="134">
        <v>0</v>
      </c>
      <c r="E84" s="134">
        <v>0</v>
      </c>
      <c r="F84" s="133">
        <v>0</v>
      </c>
    </row>
    <row r="85" spans="1:6" ht="45.95" customHeight="1">
      <c r="A85" s="131" t="s">
        <v>657</v>
      </c>
      <c r="B85" s="130" t="s">
        <v>658</v>
      </c>
      <c r="C85" s="131" t="s">
        <v>659</v>
      </c>
      <c r="D85" s="134">
        <v>0</v>
      </c>
      <c r="E85" s="134">
        <v>0</v>
      </c>
      <c r="F85" s="133"/>
    </row>
    <row r="86" spans="1:6" ht="39" customHeight="1">
      <c r="A86" s="131" t="s">
        <v>660</v>
      </c>
      <c r="B86" s="130" t="s">
        <v>661</v>
      </c>
      <c r="C86" s="131" t="s">
        <v>662</v>
      </c>
      <c r="D86" s="134">
        <v>53897352</v>
      </c>
      <c r="E86" s="134">
        <v>47888488</v>
      </c>
      <c r="F86" s="133">
        <v>0.53161322328484395</v>
      </c>
    </row>
    <row r="87" spans="1:6" ht="39" customHeight="1">
      <c r="A87" s="131" t="s">
        <v>663</v>
      </c>
      <c r="B87" s="130" t="s">
        <v>664</v>
      </c>
      <c r="C87" s="131" t="s">
        <v>665</v>
      </c>
      <c r="D87" s="134">
        <v>52397352</v>
      </c>
      <c r="E87" s="134">
        <v>46688488</v>
      </c>
      <c r="F87" s="133">
        <v>0.528547991874596</v>
      </c>
    </row>
    <row r="88" spans="1:6" ht="39" customHeight="1">
      <c r="A88" s="131" t="s">
        <v>666</v>
      </c>
      <c r="B88" s="130" t="s">
        <v>667</v>
      </c>
      <c r="C88" s="131" t="s">
        <v>668</v>
      </c>
      <c r="D88" s="134">
        <v>1050000</v>
      </c>
      <c r="E88" s="134">
        <v>750000</v>
      </c>
      <c r="F88" s="133">
        <v>0.58333333333333304</v>
      </c>
    </row>
    <row r="89" spans="1:6" ht="60" customHeight="1">
      <c r="A89" s="131" t="s">
        <v>669</v>
      </c>
      <c r="B89" s="130" t="s">
        <v>670</v>
      </c>
      <c r="C89" s="131" t="s">
        <v>671</v>
      </c>
      <c r="D89" s="134">
        <v>450000</v>
      </c>
      <c r="E89" s="134">
        <v>450000</v>
      </c>
      <c r="F89" s="133">
        <v>1</v>
      </c>
    </row>
    <row r="90" spans="1:6" ht="39" customHeight="1">
      <c r="A90" s="131" t="s">
        <v>672</v>
      </c>
      <c r="B90" s="130" t="s">
        <v>673</v>
      </c>
      <c r="C90" s="131" t="s">
        <v>674</v>
      </c>
      <c r="D90" s="134">
        <v>101410411</v>
      </c>
      <c r="E90" s="134">
        <v>90012603</v>
      </c>
      <c r="F90" s="133">
        <v>3.0392730265806902</v>
      </c>
    </row>
    <row r="91" spans="1:6" ht="39" customHeight="1">
      <c r="A91" s="131" t="s">
        <v>675</v>
      </c>
      <c r="B91" s="130" t="s">
        <v>676</v>
      </c>
      <c r="C91" s="131" t="s">
        <v>677</v>
      </c>
      <c r="D91" s="134">
        <v>51503072</v>
      </c>
      <c r="E91" s="134">
        <v>47994071</v>
      </c>
      <c r="F91" s="133"/>
    </row>
    <row r="92" spans="1:6" ht="39" customHeight="1">
      <c r="A92" s="131" t="s">
        <v>678</v>
      </c>
      <c r="B92" s="130" t="s">
        <v>679</v>
      </c>
      <c r="C92" s="131" t="s">
        <v>680</v>
      </c>
      <c r="D92" s="134">
        <v>0</v>
      </c>
      <c r="E92" s="134">
        <v>0</v>
      </c>
      <c r="F92" s="133"/>
    </row>
    <row r="93" spans="1:6" ht="39" customHeight="1">
      <c r="A93" s="131" t="s">
        <v>681</v>
      </c>
      <c r="B93" s="130" t="s">
        <v>682</v>
      </c>
      <c r="C93" s="131" t="s">
        <v>683</v>
      </c>
      <c r="D93" s="134">
        <v>13200000</v>
      </c>
      <c r="E93" s="134">
        <v>13200000</v>
      </c>
      <c r="F93" s="133">
        <v>1</v>
      </c>
    </row>
    <row r="94" spans="1:6" ht="48" customHeight="1">
      <c r="A94" s="131" t="s">
        <v>684</v>
      </c>
      <c r="B94" s="130" t="s">
        <v>685</v>
      </c>
      <c r="C94" s="131" t="s">
        <v>686</v>
      </c>
      <c r="D94" s="134">
        <v>0</v>
      </c>
      <c r="E94" s="134">
        <v>0</v>
      </c>
      <c r="F94" s="133"/>
    </row>
    <row r="95" spans="1:6" ht="39" customHeight="1">
      <c r="A95" s="131" t="s">
        <v>687</v>
      </c>
      <c r="B95" s="130" t="s">
        <v>688</v>
      </c>
      <c r="C95" s="131" t="s">
        <v>689</v>
      </c>
      <c r="D95" s="134">
        <v>0</v>
      </c>
      <c r="E95" s="134">
        <v>0</v>
      </c>
      <c r="F95" s="133"/>
    </row>
    <row r="96" spans="1:6" ht="39" customHeight="1">
      <c r="A96" s="131" t="s">
        <v>690</v>
      </c>
      <c r="B96" s="130" t="s">
        <v>691</v>
      </c>
      <c r="C96" s="131" t="s">
        <v>692</v>
      </c>
      <c r="D96" s="134">
        <v>37099315</v>
      </c>
      <c r="E96" s="134">
        <v>24320662</v>
      </c>
      <c r="F96" s="133">
        <v>1.1088985701938601</v>
      </c>
    </row>
    <row r="97" spans="1:6" ht="39" customHeight="1">
      <c r="A97" s="131" t="s">
        <v>693</v>
      </c>
      <c r="B97" s="130" t="s">
        <v>694</v>
      </c>
      <c r="C97" s="131" t="s">
        <v>695</v>
      </c>
      <c r="D97" s="134">
        <v>35250000</v>
      </c>
      <c r="E97" s="134">
        <v>23108333</v>
      </c>
      <c r="F97" s="133">
        <v>1.5</v>
      </c>
    </row>
    <row r="98" spans="1:6" ht="48" customHeight="1">
      <c r="A98" s="131" t="s">
        <v>696</v>
      </c>
      <c r="B98" s="130" t="s">
        <v>697</v>
      </c>
      <c r="C98" s="131" t="s">
        <v>698</v>
      </c>
      <c r="D98" s="134">
        <v>0</v>
      </c>
      <c r="E98" s="134">
        <v>0</v>
      </c>
      <c r="F98" s="133"/>
    </row>
    <row r="99" spans="1:6" ht="45" customHeight="1">
      <c r="A99" s="131" t="s">
        <v>699</v>
      </c>
      <c r="B99" s="130" t="s">
        <v>700</v>
      </c>
      <c r="C99" s="131" t="s">
        <v>701</v>
      </c>
      <c r="D99" s="134">
        <v>1849315</v>
      </c>
      <c r="E99" s="134">
        <v>1212329</v>
      </c>
      <c r="F99" s="133">
        <v>0.19747608960149901</v>
      </c>
    </row>
    <row r="100" spans="1:6" ht="39" customHeight="1">
      <c r="A100" s="131" t="s">
        <v>702</v>
      </c>
      <c r="B100" s="130" t="s">
        <v>703</v>
      </c>
      <c r="C100" s="131" t="s">
        <v>704</v>
      </c>
      <c r="D100" s="134">
        <v>0</v>
      </c>
      <c r="E100" s="134">
        <v>0</v>
      </c>
      <c r="F100" s="133">
        <v>0</v>
      </c>
    </row>
    <row r="101" spans="1:6" ht="39" customHeight="1">
      <c r="A101" s="131" t="s">
        <v>705</v>
      </c>
      <c r="B101" s="130" t="s">
        <v>706</v>
      </c>
      <c r="C101" s="131" t="s">
        <v>707</v>
      </c>
      <c r="D101" s="134">
        <v>0</v>
      </c>
      <c r="E101" s="134">
        <v>0</v>
      </c>
      <c r="F101" s="133"/>
    </row>
    <row r="102" spans="1:6" ht="39" customHeight="1">
      <c r="A102" s="131" t="s">
        <v>708</v>
      </c>
      <c r="B102" s="130" t="s">
        <v>709</v>
      </c>
      <c r="C102" s="131" t="s">
        <v>710</v>
      </c>
      <c r="D102" s="134">
        <v>0</v>
      </c>
      <c r="E102" s="134">
        <v>0</v>
      </c>
      <c r="F102" s="133"/>
    </row>
    <row r="103" spans="1:6" ht="39" customHeight="1">
      <c r="A103" s="131" t="s">
        <v>711</v>
      </c>
      <c r="B103" s="130" t="s">
        <v>712</v>
      </c>
      <c r="C103" s="131" t="s">
        <v>713</v>
      </c>
      <c r="D103" s="134">
        <v>0</v>
      </c>
      <c r="E103" s="134">
        <v>0</v>
      </c>
      <c r="F103" s="133"/>
    </row>
    <row r="104" spans="1:6" ht="39" customHeight="1">
      <c r="A104" s="131" t="s">
        <v>714</v>
      </c>
      <c r="B104" s="130" t="s">
        <v>715</v>
      </c>
      <c r="C104" s="131" t="s">
        <v>716</v>
      </c>
      <c r="D104" s="134">
        <v>0</v>
      </c>
      <c r="E104" s="134">
        <v>0</v>
      </c>
      <c r="F104" s="133"/>
    </row>
    <row r="105" spans="1:6" ht="39" customHeight="1">
      <c r="A105" s="136" t="s">
        <v>717</v>
      </c>
      <c r="B105" s="135" t="s">
        <v>718</v>
      </c>
      <c r="C105" s="136" t="s">
        <v>719</v>
      </c>
      <c r="D105" s="138">
        <v>29076515356</v>
      </c>
      <c r="E105" s="138">
        <v>39563109713</v>
      </c>
      <c r="F105" s="137">
        <v>0.67287980668740899</v>
      </c>
    </row>
    <row r="106" spans="1:6" ht="39" customHeight="1">
      <c r="A106" s="131" t="s">
        <v>720</v>
      </c>
      <c r="B106" s="130" t="s">
        <v>721</v>
      </c>
      <c r="C106" s="131" t="s">
        <v>722</v>
      </c>
      <c r="D106" s="134">
        <v>1204508893630</v>
      </c>
      <c r="E106" s="134">
        <v>1231045419684</v>
      </c>
      <c r="F106" s="133">
        <v>0.50404242735577498</v>
      </c>
    </row>
    <row r="107" spans="1:6" ht="39" customHeight="1">
      <c r="A107" s="131" t="s">
        <v>723</v>
      </c>
      <c r="B107" s="130" t="s">
        <v>724</v>
      </c>
      <c r="C107" s="131" t="s">
        <v>725</v>
      </c>
      <c r="D107" s="139">
        <v>105804699.94</v>
      </c>
      <c r="E107" s="139">
        <v>108573676.53</v>
      </c>
      <c r="F107" s="133">
        <v>0.478090001745617</v>
      </c>
    </row>
    <row r="108" spans="1:6" ht="39" customHeight="1">
      <c r="A108" s="131" t="s">
        <v>726</v>
      </c>
      <c r="B108" s="130" t="s">
        <v>727</v>
      </c>
      <c r="C108" s="131" t="s">
        <v>728</v>
      </c>
      <c r="D108" s="139">
        <v>11384.26</v>
      </c>
      <c r="E108" s="139">
        <v>11338.34</v>
      </c>
      <c r="F108" s="133">
        <v>1.0542836239708799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731</v>
      </c>
      <c r="F119" s="46"/>
    </row>
    <row r="120" spans="1:6" s="2" customFormat="1" ht="16.899999999999999" customHeight="1">
      <c r="A120" s="45" t="s">
        <v>737</v>
      </c>
      <c r="B120" s="3"/>
      <c r="C120" s="3"/>
      <c r="E120" s="45" t="s">
        <v>738</v>
      </c>
      <c r="F120" s="3"/>
    </row>
    <row r="121" spans="1:6" s="2" customFormat="1" ht="16.899999999999999" customHeight="1">
      <c r="A121" s="3" t="s">
        <v>739</v>
      </c>
      <c r="B121" s="3"/>
      <c r="C121" s="3"/>
      <c r="E121" s="3" t="s">
        <v>740</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2" zoomScaleNormal="100" zoomScaleSheetLayoutView="100" workbookViewId="0">
      <selection activeCell="C7" sqref="C7:F14"/>
    </sheetView>
  </sheetViews>
  <sheetFormatPr defaultColWidth="8.7109375" defaultRowHeight="12.75"/>
  <cols>
    <col min="1" max="1" width="8.7109375" style="9"/>
    <col min="2" max="2" width="46.28515625" style="9" customWidth="1"/>
    <col min="3" max="3" width="10.7109375" style="9" bestFit="1" customWidth="1"/>
    <col min="4" max="6" width="36.85546875" style="9" customWidth="1"/>
    <col min="7" max="16384" width="8.710937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730</v>
      </c>
      <c r="B5" s="170"/>
      <c r="C5" s="170"/>
      <c r="D5" s="170"/>
      <c r="E5" s="170"/>
      <c r="F5" s="170"/>
    </row>
    <row r="7" spans="1:6" ht="16.899999999999999" customHeight="1">
      <c r="A7" s="75" t="s">
        <v>2</v>
      </c>
      <c r="C7" s="171" t="s">
        <v>731</v>
      </c>
      <c r="D7" s="171"/>
      <c r="E7" s="171"/>
      <c r="F7" s="171"/>
    </row>
    <row r="8" spans="1:6" ht="16.899999999999999" customHeight="1">
      <c r="A8" s="9" t="s">
        <v>15</v>
      </c>
      <c r="C8" s="166" t="s">
        <v>732</v>
      </c>
      <c r="D8" s="166"/>
      <c r="E8" s="166"/>
      <c r="F8" s="166"/>
    </row>
    <row r="9" spans="1:6" ht="16.899999999999999" customHeight="1">
      <c r="A9" s="75" t="s">
        <v>3</v>
      </c>
      <c r="C9" s="171" t="s">
        <v>733</v>
      </c>
      <c r="D9" s="171"/>
      <c r="E9" s="171"/>
      <c r="F9" s="171"/>
    </row>
    <row r="10" spans="1:6" ht="16.899999999999999" customHeight="1">
      <c r="A10" s="9" t="s">
        <v>4</v>
      </c>
      <c r="C10" s="166" t="s">
        <v>734</v>
      </c>
      <c r="D10" s="166"/>
      <c r="E10" s="166"/>
      <c r="F10" s="166"/>
    </row>
    <row r="11" spans="1:6" ht="16.899999999999999" customHeight="1">
      <c r="A11" s="75" t="s">
        <v>5</v>
      </c>
      <c r="C11" s="171" t="s">
        <v>239</v>
      </c>
      <c r="D11" s="171"/>
      <c r="E11" s="171"/>
      <c r="F11" s="171"/>
    </row>
    <row r="12" spans="1:6" ht="16.899999999999999" customHeight="1">
      <c r="A12" s="9" t="s">
        <v>6</v>
      </c>
      <c r="C12" s="166" t="s">
        <v>745</v>
      </c>
      <c r="D12" s="166"/>
      <c r="E12" s="166"/>
      <c r="F12" s="166"/>
    </row>
    <row r="13" spans="1:6" ht="16.899999999999999" customHeight="1">
      <c r="A13" s="75" t="s">
        <v>7</v>
      </c>
      <c r="C13" s="171" t="s">
        <v>735</v>
      </c>
      <c r="D13" s="171"/>
      <c r="E13" s="171"/>
      <c r="F13" s="171"/>
    </row>
    <row r="14" spans="1:6" ht="16.899999999999999" customHeight="1">
      <c r="A14" s="9" t="s">
        <v>8</v>
      </c>
      <c r="C14" s="166" t="s">
        <v>736</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8.25">
      <c r="A18" s="117" t="s">
        <v>17</v>
      </c>
      <c r="B18" s="117" t="s">
        <v>18</v>
      </c>
      <c r="C18" s="117" t="s">
        <v>19</v>
      </c>
      <c r="D18" s="118" t="s">
        <v>743</v>
      </c>
      <c r="E18" s="118" t="s">
        <v>744</v>
      </c>
      <c r="F18" s="118" t="s">
        <v>236</v>
      </c>
    </row>
    <row r="19" spans="1:6" s="17" customFormat="1" ht="25.5">
      <c r="A19" s="119" t="s">
        <v>16</v>
      </c>
      <c r="B19" s="120" t="s">
        <v>30</v>
      </c>
      <c r="C19" s="121" t="s">
        <v>44</v>
      </c>
      <c r="D19" s="122">
        <v>6928081127</v>
      </c>
      <c r="E19" s="122">
        <v>6159173238</v>
      </c>
      <c r="F19" s="122">
        <v>19647373715</v>
      </c>
    </row>
    <row r="20" spans="1:6" ht="25.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5">
      <c r="A22" s="50">
        <v>2</v>
      </c>
      <c r="B22" s="51" t="s">
        <v>146</v>
      </c>
      <c r="C22" s="52" t="s">
        <v>45</v>
      </c>
      <c r="D22" s="123">
        <v>3328335033</v>
      </c>
      <c r="E22" s="123">
        <v>2970850138</v>
      </c>
      <c r="F22" s="123">
        <v>9741306731</v>
      </c>
    </row>
    <row r="23" spans="1:6">
      <c r="A23" s="73" t="s">
        <v>188</v>
      </c>
      <c r="B23" s="73" t="s">
        <v>188</v>
      </c>
      <c r="C23" s="73" t="s">
        <v>188</v>
      </c>
      <c r="D23" s="124" t="s">
        <v>188</v>
      </c>
      <c r="E23" s="124" t="s">
        <v>189</v>
      </c>
      <c r="F23" s="124" t="s">
        <v>189</v>
      </c>
    </row>
    <row r="24" spans="1:6" ht="25.5">
      <c r="A24" s="53"/>
      <c r="B24" s="54" t="s">
        <v>147</v>
      </c>
      <c r="C24" s="55" t="s">
        <v>46</v>
      </c>
      <c r="D24" s="123">
        <v>0</v>
      </c>
      <c r="E24" s="123">
        <v>0</v>
      </c>
      <c r="F24" s="123">
        <v>0</v>
      </c>
    </row>
    <row r="25" spans="1:6" ht="25.5">
      <c r="A25" s="53"/>
      <c r="B25" s="54" t="s">
        <v>148</v>
      </c>
      <c r="C25" s="55" t="s">
        <v>47</v>
      </c>
      <c r="D25" s="123">
        <v>3328335033</v>
      </c>
      <c r="E25" s="123">
        <v>2970850138</v>
      </c>
      <c r="F25" s="123">
        <v>9741306731</v>
      </c>
    </row>
    <row r="26" spans="1:6" ht="25.5">
      <c r="A26" s="50">
        <v>3</v>
      </c>
      <c r="B26" s="51" t="s">
        <v>149</v>
      </c>
      <c r="C26" s="52" t="s">
        <v>48</v>
      </c>
      <c r="D26" s="123">
        <v>3599746094</v>
      </c>
      <c r="E26" s="123">
        <v>3188323100</v>
      </c>
      <c r="F26" s="123">
        <v>9906066984</v>
      </c>
    </row>
    <row r="27" spans="1:6">
      <c r="A27" s="73" t="s">
        <v>188</v>
      </c>
      <c r="B27" s="73" t="s">
        <v>188</v>
      </c>
      <c r="C27" s="73" t="s">
        <v>188</v>
      </c>
      <c r="D27" s="124" t="s">
        <v>188</v>
      </c>
      <c r="E27" s="124" t="s">
        <v>188</v>
      </c>
      <c r="F27" s="124" t="s">
        <v>188</v>
      </c>
    </row>
    <row r="28" spans="1:6" ht="25.5">
      <c r="A28" s="53"/>
      <c r="B28" s="54" t="s">
        <v>145</v>
      </c>
      <c r="C28" s="55" t="s">
        <v>49</v>
      </c>
      <c r="D28" s="123">
        <v>2115307739</v>
      </c>
      <c r="E28" s="123">
        <v>1925638168</v>
      </c>
      <c r="F28" s="123">
        <v>5793190273</v>
      </c>
    </row>
    <row r="29" spans="1:6" ht="25.5">
      <c r="A29" s="53"/>
      <c r="B29" s="54" t="s">
        <v>242</v>
      </c>
      <c r="C29" s="55" t="s">
        <v>50</v>
      </c>
      <c r="D29" s="123">
        <v>1484438355</v>
      </c>
      <c r="E29" s="123">
        <v>1262684932</v>
      </c>
      <c r="F29" s="123">
        <v>4112876711</v>
      </c>
    </row>
    <row r="30" spans="1:6" ht="25.5">
      <c r="A30" s="53"/>
      <c r="B30" s="54" t="s">
        <v>164</v>
      </c>
      <c r="C30" s="55" t="s">
        <v>144</v>
      </c>
      <c r="D30" s="123">
        <v>0</v>
      </c>
      <c r="E30" s="123">
        <v>0</v>
      </c>
      <c r="F30" s="123">
        <v>0</v>
      </c>
    </row>
    <row r="31" spans="1:6" s="17" customFormat="1" ht="25.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5">
      <c r="A33" s="56"/>
      <c r="B33" s="57" t="s">
        <v>151</v>
      </c>
      <c r="C33" s="58" t="s">
        <v>52</v>
      </c>
      <c r="D33" s="123">
        <v>0</v>
      </c>
      <c r="E33" s="123">
        <v>0</v>
      </c>
      <c r="F33" s="123">
        <v>0</v>
      </c>
    </row>
    <row r="34" spans="1:6" ht="25.5">
      <c r="A34" s="56"/>
      <c r="B34" s="57" t="s">
        <v>152</v>
      </c>
      <c r="C34" s="58" t="s">
        <v>53</v>
      </c>
      <c r="D34" s="123">
        <v>0</v>
      </c>
      <c r="E34" s="123">
        <v>0</v>
      </c>
      <c r="F34" s="123">
        <v>0</v>
      </c>
    </row>
    <row r="35" spans="1:6" ht="76.5">
      <c r="A35" s="56"/>
      <c r="B35" s="57" t="s">
        <v>31</v>
      </c>
      <c r="C35" s="58" t="s">
        <v>54</v>
      </c>
      <c r="D35" s="123">
        <v>0</v>
      </c>
      <c r="E35" s="123">
        <v>0</v>
      </c>
      <c r="F35" s="123">
        <v>0</v>
      </c>
    </row>
    <row r="36" spans="1:6" ht="25.5">
      <c r="A36" s="119" t="s">
        <v>21</v>
      </c>
      <c r="B36" s="120" t="s">
        <v>153</v>
      </c>
      <c r="C36" s="121" t="s">
        <v>55</v>
      </c>
      <c r="D36" s="126">
        <v>1483088984</v>
      </c>
      <c r="E36" s="126">
        <v>1330313888</v>
      </c>
      <c r="F36" s="126">
        <v>4206738243</v>
      </c>
    </row>
    <row r="37" spans="1:6" ht="38.25">
      <c r="A37" s="50">
        <v>1</v>
      </c>
      <c r="B37" s="51" t="s">
        <v>190</v>
      </c>
      <c r="C37" s="52" t="s">
        <v>56</v>
      </c>
      <c r="D37" s="123">
        <v>1257536468</v>
      </c>
      <c r="E37" s="123">
        <v>1120523716</v>
      </c>
      <c r="F37" s="123">
        <v>3563412261</v>
      </c>
    </row>
    <row r="38" spans="1:6">
      <c r="A38" s="73" t="s">
        <v>188</v>
      </c>
      <c r="B38" s="73" t="s">
        <v>188</v>
      </c>
      <c r="C38" s="73" t="s">
        <v>188</v>
      </c>
      <c r="D38" s="124" t="s">
        <v>188</v>
      </c>
      <c r="E38" s="124" t="s">
        <v>188</v>
      </c>
      <c r="F38" s="124" t="s">
        <v>188</v>
      </c>
    </row>
    <row r="39" spans="1:6" ht="51">
      <c r="A39" s="50">
        <v>2</v>
      </c>
      <c r="B39" s="51" t="s">
        <v>244</v>
      </c>
      <c r="C39" s="52" t="s">
        <v>57</v>
      </c>
      <c r="D39" s="123">
        <v>89105834</v>
      </c>
      <c r="E39" s="123">
        <v>79423574</v>
      </c>
      <c r="F39" s="123">
        <v>251566265</v>
      </c>
    </row>
    <row r="40" spans="1:6">
      <c r="A40" s="73" t="s">
        <v>188</v>
      </c>
      <c r="B40" s="73" t="s">
        <v>188</v>
      </c>
      <c r="C40" s="73" t="s">
        <v>188</v>
      </c>
      <c r="D40" s="124" t="s">
        <v>188</v>
      </c>
      <c r="E40" s="124" t="s">
        <v>188</v>
      </c>
      <c r="F40" s="124" t="s">
        <v>188</v>
      </c>
    </row>
    <row r="41" spans="1:6" ht="25.5">
      <c r="A41" s="59"/>
      <c r="B41" s="54" t="s">
        <v>191</v>
      </c>
      <c r="C41" s="55" t="s">
        <v>58</v>
      </c>
      <c r="D41" s="123">
        <v>52397352</v>
      </c>
      <c r="E41" s="123">
        <v>46688488</v>
      </c>
      <c r="F41" s="123">
        <v>148475513</v>
      </c>
    </row>
    <row r="42" spans="1:6" ht="25.5">
      <c r="A42" s="59"/>
      <c r="B42" s="54" t="s">
        <v>192</v>
      </c>
      <c r="C42" s="55" t="s">
        <v>59</v>
      </c>
      <c r="D42" s="123">
        <v>1500000</v>
      </c>
      <c r="E42" s="123">
        <v>1050000</v>
      </c>
      <c r="F42" s="123">
        <v>3150000</v>
      </c>
    </row>
    <row r="43" spans="1:6" ht="51">
      <c r="A43" s="59"/>
      <c r="B43" s="54" t="s">
        <v>245</v>
      </c>
      <c r="C43" s="55" t="s">
        <v>60</v>
      </c>
      <c r="D43" s="123">
        <v>626230</v>
      </c>
      <c r="E43" s="123">
        <v>870686</v>
      </c>
      <c r="F43" s="123">
        <v>1946916</v>
      </c>
    </row>
    <row r="44" spans="1:6" ht="25.5">
      <c r="A44" s="59"/>
      <c r="B44" s="54" t="s">
        <v>193</v>
      </c>
      <c r="C44" s="55" t="s">
        <v>61</v>
      </c>
      <c r="D44" s="123">
        <v>34582252</v>
      </c>
      <c r="E44" s="123">
        <v>30814400</v>
      </c>
      <c r="F44" s="123">
        <v>97993836</v>
      </c>
    </row>
    <row r="45" spans="1:6" ht="63.75">
      <c r="A45" s="50">
        <v>3</v>
      </c>
      <c r="B45" s="60" t="s">
        <v>194</v>
      </c>
      <c r="C45" s="52" t="s">
        <v>62</v>
      </c>
      <c r="D45" s="123">
        <v>61602818</v>
      </c>
      <c r="E45" s="123">
        <v>60748370</v>
      </c>
      <c r="F45" s="123">
        <v>185476596</v>
      </c>
    </row>
    <row r="46" spans="1:6">
      <c r="A46" s="73" t="s">
        <v>188</v>
      </c>
      <c r="B46" s="73" t="s">
        <v>188</v>
      </c>
      <c r="C46" s="73" t="s">
        <v>188</v>
      </c>
      <c r="D46" s="124" t="s">
        <v>188</v>
      </c>
      <c r="E46" s="124" t="s">
        <v>188</v>
      </c>
      <c r="F46" s="124" t="s">
        <v>188</v>
      </c>
    </row>
    <row r="47" spans="1:6" ht="25.5">
      <c r="A47" s="59"/>
      <c r="B47" s="61" t="s">
        <v>165</v>
      </c>
      <c r="C47" s="55" t="s">
        <v>63</v>
      </c>
      <c r="D47" s="123">
        <v>48402818</v>
      </c>
      <c r="E47" s="123">
        <v>47548370</v>
      </c>
      <c r="F47" s="123">
        <v>145876596</v>
      </c>
    </row>
    <row r="48" spans="1:6" ht="25.5">
      <c r="A48" s="59"/>
      <c r="B48" s="61" t="s">
        <v>32</v>
      </c>
      <c r="C48" s="55" t="s">
        <v>64</v>
      </c>
      <c r="D48" s="123">
        <v>13200000</v>
      </c>
      <c r="E48" s="123">
        <v>13200000</v>
      </c>
      <c r="F48" s="123">
        <v>39600000</v>
      </c>
    </row>
    <row r="49" spans="1:6" ht="25.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38.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5">
      <c r="A53" s="50">
        <v>6</v>
      </c>
      <c r="B53" s="51" t="s">
        <v>33</v>
      </c>
      <c r="C53" s="52" t="s">
        <v>65</v>
      </c>
      <c r="D53" s="123">
        <v>11397808</v>
      </c>
      <c r="E53" s="123">
        <v>10294795</v>
      </c>
      <c r="F53" s="123">
        <v>33090411</v>
      </c>
    </row>
    <row r="54" spans="1:6">
      <c r="A54" s="73" t="s">
        <v>188</v>
      </c>
      <c r="B54" s="73" t="s">
        <v>188</v>
      </c>
      <c r="C54" s="73" t="s">
        <v>188</v>
      </c>
      <c r="D54" s="124" t="s">
        <v>188</v>
      </c>
      <c r="E54" s="124" t="s">
        <v>188</v>
      </c>
      <c r="F54" s="124" t="s">
        <v>188</v>
      </c>
    </row>
    <row r="55" spans="1:6" ht="63.75">
      <c r="A55" s="50">
        <v>7</v>
      </c>
      <c r="B55" s="51" t="s">
        <v>166</v>
      </c>
      <c r="C55" s="52" t="s">
        <v>66</v>
      </c>
      <c r="D55" s="123">
        <v>18651256</v>
      </c>
      <c r="E55" s="123">
        <v>17426940</v>
      </c>
      <c r="F55" s="123">
        <v>54729452</v>
      </c>
    </row>
    <row r="56" spans="1:6">
      <c r="A56" s="73" t="s">
        <v>188</v>
      </c>
      <c r="B56" s="73" t="s">
        <v>188</v>
      </c>
      <c r="C56" s="73" t="s">
        <v>188</v>
      </c>
      <c r="D56" s="124" t="s">
        <v>188</v>
      </c>
      <c r="E56" s="124" t="s">
        <v>188</v>
      </c>
      <c r="F56" s="124" t="s">
        <v>188</v>
      </c>
    </row>
    <row r="57" spans="1:6" ht="25.5">
      <c r="A57" s="59"/>
      <c r="B57" s="10" t="s">
        <v>167</v>
      </c>
      <c r="C57" s="55" t="s">
        <v>67</v>
      </c>
      <c r="D57" s="123">
        <v>6509589</v>
      </c>
      <c r="E57" s="123">
        <v>6460274</v>
      </c>
      <c r="F57" s="123">
        <v>19479452</v>
      </c>
    </row>
    <row r="58" spans="1:6" ht="25.5">
      <c r="A58" s="59"/>
      <c r="B58" s="10" t="s">
        <v>154</v>
      </c>
      <c r="C58" s="55" t="s">
        <v>68</v>
      </c>
      <c r="D58" s="123">
        <v>12141667</v>
      </c>
      <c r="E58" s="123">
        <v>10966666</v>
      </c>
      <c r="F58" s="123">
        <v>35250000</v>
      </c>
    </row>
    <row r="59" spans="1:6" ht="25.5">
      <c r="A59" s="59"/>
      <c r="B59" s="10" t="s">
        <v>34</v>
      </c>
      <c r="C59" s="55" t="s">
        <v>69</v>
      </c>
      <c r="D59" s="123">
        <v>0</v>
      </c>
      <c r="E59" s="123">
        <v>0</v>
      </c>
      <c r="F59" s="123">
        <v>0</v>
      </c>
    </row>
    <row r="60" spans="1:6" ht="140.25">
      <c r="A60" s="50">
        <v>8</v>
      </c>
      <c r="B60" s="60" t="s">
        <v>168</v>
      </c>
      <c r="C60" s="52" t="s">
        <v>70</v>
      </c>
      <c r="D60" s="123">
        <v>3509001</v>
      </c>
      <c r="E60" s="123">
        <v>3169420</v>
      </c>
      <c r="F60" s="123">
        <v>10187421</v>
      </c>
    </row>
    <row r="61" spans="1:6">
      <c r="A61" s="73" t="s">
        <v>188</v>
      </c>
      <c r="B61" s="73" t="s">
        <v>188</v>
      </c>
      <c r="C61" s="73" t="s">
        <v>188</v>
      </c>
      <c r="D61" s="124" t="s">
        <v>188</v>
      </c>
      <c r="E61" s="124" t="s">
        <v>188</v>
      </c>
      <c r="F61" s="124" t="s">
        <v>188</v>
      </c>
    </row>
    <row r="62" spans="1:6" ht="25.5">
      <c r="A62" s="59"/>
      <c r="B62" s="61" t="s">
        <v>155</v>
      </c>
      <c r="C62" s="55" t="s">
        <v>71</v>
      </c>
      <c r="D62" s="123">
        <v>3509001</v>
      </c>
      <c r="E62" s="123">
        <v>3169420</v>
      </c>
      <c r="F62" s="123">
        <v>10187421</v>
      </c>
    </row>
    <row r="63" spans="1:6" ht="25.5">
      <c r="A63" s="59"/>
      <c r="B63" s="61" t="s">
        <v>142</v>
      </c>
      <c r="C63" s="55" t="s">
        <v>72</v>
      </c>
      <c r="D63" s="123">
        <v>0</v>
      </c>
      <c r="E63" s="123">
        <v>0</v>
      </c>
      <c r="F63" s="123">
        <v>0</v>
      </c>
    </row>
    <row r="64" spans="1:6" s="17" customFormat="1" ht="38.25">
      <c r="A64" s="59"/>
      <c r="B64" s="61" t="s">
        <v>169</v>
      </c>
      <c r="C64" s="55" t="s">
        <v>73</v>
      </c>
      <c r="D64" s="123">
        <v>0</v>
      </c>
      <c r="E64" s="123">
        <v>0</v>
      </c>
      <c r="F64" s="123">
        <v>0</v>
      </c>
    </row>
    <row r="65" spans="1:6" s="17" customFormat="1" ht="25.5">
      <c r="A65" s="59"/>
      <c r="B65" s="10" t="s">
        <v>156</v>
      </c>
      <c r="C65" s="55" t="s">
        <v>74</v>
      </c>
      <c r="D65" s="123">
        <v>0</v>
      </c>
      <c r="E65" s="123">
        <v>0</v>
      </c>
      <c r="F65" s="123">
        <v>0</v>
      </c>
    </row>
    <row r="66" spans="1:6" ht="25.5">
      <c r="A66" s="59"/>
      <c r="B66" s="10" t="s">
        <v>197</v>
      </c>
      <c r="C66" s="55" t="s">
        <v>75</v>
      </c>
      <c r="D66" s="123">
        <v>0</v>
      </c>
      <c r="E66" s="123">
        <v>0</v>
      </c>
      <c r="F66" s="123">
        <v>0</v>
      </c>
    </row>
    <row r="67" spans="1:6" ht="51">
      <c r="A67" s="50">
        <v>9</v>
      </c>
      <c r="B67" s="51" t="s">
        <v>170</v>
      </c>
      <c r="C67" s="52" t="s">
        <v>76</v>
      </c>
      <c r="D67" s="123">
        <v>29050413</v>
      </c>
      <c r="E67" s="123">
        <v>32416330</v>
      </c>
      <c r="F67" s="123">
        <v>86134822</v>
      </c>
    </row>
    <row r="68" spans="1:6" s="17" customFormat="1">
      <c r="A68" s="73" t="s">
        <v>188</v>
      </c>
      <c r="B68" s="73" t="s">
        <v>188</v>
      </c>
      <c r="C68" s="73" t="s">
        <v>188</v>
      </c>
      <c r="D68" s="124" t="s">
        <v>188</v>
      </c>
      <c r="E68" s="124" t="s">
        <v>188</v>
      </c>
      <c r="F68" s="124" t="s">
        <v>188</v>
      </c>
    </row>
    <row r="69" spans="1:6" s="17" customFormat="1" ht="25.5">
      <c r="A69" s="59"/>
      <c r="B69" s="54" t="s">
        <v>35</v>
      </c>
      <c r="C69" s="55" t="s">
        <v>77</v>
      </c>
      <c r="D69" s="123">
        <v>28879255</v>
      </c>
      <c r="E69" s="123">
        <v>31846328</v>
      </c>
      <c r="F69" s="123">
        <v>85393662</v>
      </c>
    </row>
    <row r="70" spans="1:6" s="17" customFormat="1" ht="25.5">
      <c r="A70" s="59"/>
      <c r="B70" s="54" t="s">
        <v>36</v>
      </c>
      <c r="C70" s="55" t="s">
        <v>78</v>
      </c>
      <c r="D70" s="123">
        <v>171158</v>
      </c>
      <c r="E70" s="123">
        <v>570002</v>
      </c>
      <c r="F70" s="123">
        <v>741160</v>
      </c>
    </row>
    <row r="71" spans="1:6" ht="25.5">
      <c r="A71" s="59"/>
      <c r="B71" s="54" t="s">
        <v>37</v>
      </c>
      <c r="C71" s="55" t="s">
        <v>79</v>
      </c>
      <c r="D71" s="123">
        <v>0</v>
      </c>
      <c r="E71" s="123">
        <v>0</v>
      </c>
      <c r="F71" s="123">
        <v>0</v>
      </c>
    </row>
    <row r="72" spans="1:6" ht="25.5">
      <c r="A72" s="50">
        <v>10</v>
      </c>
      <c r="B72" s="51" t="s">
        <v>198</v>
      </c>
      <c r="C72" s="52" t="s">
        <v>80</v>
      </c>
      <c r="D72" s="123">
        <v>12235386</v>
      </c>
      <c r="E72" s="123">
        <v>6310743</v>
      </c>
      <c r="F72" s="123">
        <v>22141015</v>
      </c>
    </row>
    <row r="73" spans="1:6">
      <c r="A73" s="73" t="s">
        <v>188</v>
      </c>
      <c r="B73" s="73" t="s">
        <v>188</v>
      </c>
      <c r="C73" s="73" t="s">
        <v>188</v>
      </c>
      <c r="D73" s="124" t="s">
        <v>188</v>
      </c>
      <c r="E73" s="124" t="s">
        <v>188</v>
      </c>
      <c r="F73" s="124" t="s">
        <v>188</v>
      </c>
    </row>
    <row r="74" spans="1:6" ht="25.5">
      <c r="A74" s="50"/>
      <c r="B74" s="54" t="s">
        <v>38</v>
      </c>
      <c r="C74" s="55" t="s">
        <v>81</v>
      </c>
      <c r="D74" s="123">
        <v>0</v>
      </c>
      <c r="E74" s="123">
        <v>0</v>
      </c>
      <c r="F74" s="123">
        <v>0</v>
      </c>
    </row>
    <row r="75" spans="1:6" ht="25.5">
      <c r="A75" s="50"/>
      <c r="B75" s="54" t="s">
        <v>171</v>
      </c>
      <c r="C75" s="55" t="s">
        <v>82</v>
      </c>
      <c r="D75" s="123">
        <v>0</v>
      </c>
      <c r="E75" s="123">
        <v>0</v>
      </c>
      <c r="F75" s="123">
        <v>0</v>
      </c>
    </row>
    <row r="76" spans="1:6" ht="25.5">
      <c r="A76" s="50"/>
      <c r="B76" s="54" t="s">
        <v>39</v>
      </c>
      <c r="C76" s="55" t="s">
        <v>83</v>
      </c>
      <c r="D76" s="123">
        <v>636986</v>
      </c>
      <c r="E76" s="123">
        <v>575343</v>
      </c>
      <c r="F76" s="123">
        <v>1849315</v>
      </c>
    </row>
    <row r="77" spans="1:6" ht="25.5">
      <c r="A77" s="50"/>
      <c r="B77" s="54" t="s">
        <v>40</v>
      </c>
      <c r="C77" s="55" t="s">
        <v>84</v>
      </c>
      <c r="D77" s="123">
        <v>11598400</v>
      </c>
      <c r="E77" s="123">
        <v>5735400</v>
      </c>
      <c r="F77" s="123">
        <v>20291700</v>
      </c>
    </row>
    <row r="78" spans="1:6" ht="25.5">
      <c r="A78" s="50"/>
      <c r="B78" s="54" t="s">
        <v>172</v>
      </c>
      <c r="C78" s="55" t="s">
        <v>85</v>
      </c>
      <c r="D78" s="123">
        <v>0</v>
      </c>
      <c r="E78" s="123">
        <v>0</v>
      </c>
      <c r="F78" s="123">
        <v>0</v>
      </c>
    </row>
    <row r="79" spans="1:6" ht="25.5">
      <c r="A79" s="50"/>
      <c r="B79" s="54" t="s">
        <v>37</v>
      </c>
      <c r="C79" s="55" t="s">
        <v>86</v>
      </c>
      <c r="D79" s="123">
        <v>0</v>
      </c>
      <c r="E79" s="123">
        <v>0</v>
      </c>
      <c r="F79" s="123">
        <v>0</v>
      </c>
    </row>
    <row r="80" spans="1:6" ht="25.5">
      <c r="A80" s="50"/>
      <c r="B80" s="54" t="s">
        <v>243</v>
      </c>
      <c r="C80" s="55" t="s">
        <v>87</v>
      </c>
      <c r="D80" s="123">
        <v>0</v>
      </c>
      <c r="E80" s="123">
        <v>0</v>
      </c>
      <c r="F80" s="123">
        <v>0</v>
      </c>
    </row>
    <row r="81" spans="1:6" ht="38.25">
      <c r="A81" s="125" t="s">
        <v>23</v>
      </c>
      <c r="B81" s="120" t="s">
        <v>173</v>
      </c>
      <c r="C81" s="121" t="s">
        <v>88</v>
      </c>
      <c r="D81" s="126">
        <v>5444992143</v>
      </c>
      <c r="E81" s="126">
        <v>4828859350</v>
      </c>
      <c r="F81" s="126">
        <v>15440635472</v>
      </c>
    </row>
    <row r="82" spans="1:6" ht="25.5">
      <c r="A82" s="125" t="s">
        <v>24</v>
      </c>
      <c r="B82" s="120" t="s">
        <v>157</v>
      </c>
      <c r="C82" s="121" t="s">
        <v>89</v>
      </c>
      <c r="D82" s="126">
        <v>-436053788</v>
      </c>
      <c r="E82" s="126">
        <v>646014564</v>
      </c>
      <c r="F82" s="126">
        <v>183586952</v>
      </c>
    </row>
    <row r="83" spans="1:6" ht="51">
      <c r="A83" s="50">
        <v>1</v>
      </c>
      <c r="B83" s="51" t="s">
        <v>199</v>
      </c>
      <c r="C83" s="52" t="s">
        <v>90</v>
      </c>
      <c r="D83" s="123">
        <v>-73475958</v>
      </c>
      <c r="E83" s="123">
        <v>49901461</v>
      </c>
      <c r="F83" s="123">
        <v>-89130387</v>
      </c>
    </row>
    <row r="84" spans="1:6" ht="25.5">
      <c r="A84" s="50">
        <v>2</v>
      </c>
      <c r="B84" s="51" t="s">
        <v>41</v>
      </c>
      <c r="C84" s="52" t="s">
        <v>91</v>
      </c>
      <c r="D84" s="123">
        <v>-362577830</v>
      </c>
      <c r="E84" s="123">
        <v>596113103</v>
      </c>
      <c r="F84" s="123">
        <v>272717339</v>
      </c>
    </row>
    <row r="85" spans="1:6" ht="63.75">
      <c r="A85" s="125" t="s">
        <v>25</v>
      </c>
      <c r="B85" s="120" t="s">
        <v>174</v>
      </c>
      <c r="C85" s="121" t="s">
        <v>92</v>
      </c>
      <c r="D85" s="126">
        <v>5008938355</v>
      </c>
      <c r="E85" s="126">
        <v>5474873914</v>
      </c>
      <c r="F85" s="126">
        <v>15624222424</v>
      </c>
    </row>
    <row r="86" spans="1:6" ht="25.5">
      <c r="A86" s="125" t="s">
        <v>26</v>
      </c>
      <c r="B86" s="120" t="s">
        <v>42</v>
      </c>
      <c r="C86" s="121" t="s">
        <v>93</v>
      </c>
      <c r="D86" s="126">
        <v>1231045419684</v>
      </c>
      <c r="E86" s="126">
        <v>1162795600325</v>
      </c>
      <c r="F86" s="126">
        <v>1179091760772</v>
      </c>
    </row>
    <row r="87" spans="1:6" ht="62.25" customHeight="1">
      <c r="A87" s="125" t="s">
        <v>27</v>
      </c>
      <c r="B87" s="120" t="s">
        <v>237</v>
      </c>
      <c r="C87" s="121" t="s">
        <v>94</v>
      </c>
      <c r="D87" s="126">
        <v>-26536526054</v>
      </c>
      <c r="E87" s="126">
        <v>68249819359</v>
      </c>
      <c r="F87" s="126">
        <v>25417132858</v>
      </c>
    </row>
    <row r="88" spans="1:6" s="17" customFormat="1" ht="51">
      <c r="A88" s="50">
        <v>1</v>
      </c>
      <c r="B88" s="51" t="s">
        <v>200</v>
      </c>
      <c r="C88" s="52" t="s">
        <v>95</v>
      </c>
      <c r="D88" s="123">
        <v>5008938355</v>
      </c>
      <c r="E88" s="123">
        <v>5474873914</v>
      </c>
      <c r="F88" s="123">
        <v>15624222424</v>
      </c>
    </row>
    <row r="89" spans="1:6" ht="51">
      <c r="A89" s="50">
        <v>2</v>
      </c>
      <c r="B89" s="51" t="s">
        <v>201</v>
      </c>
      <c r="C89" s="52" t="s">
        <v>96</v>
      </c>
      <c r="D89" s="123">
        <v>0</v>
      </c>
      <c r="E89" s="123">
        <v>0</v>
      </c>
      <c r="F89" s="123">
        <v>0</v>
      </c>
    </row>
    <row r="90" spans="1:6" ht="51">
      <c r="A90" s="50">
        <v>3</v>
      </c>
      <c r="B90" s="51" t="s">
        <v>202</v>
      </c>
      <c r="C90" s="52" t="s">
        <v>97</v>
      </c>
      <c r="D90" s="123">
        <v>-31545464409</v>
      </c>
      <c r="E90" s="123">
        <v>62774945445</v>
      </c>
      <c r="F90" s="123">
        <v>9792910434</v>
      </c>
    </row>
    <row r="91" spans="1:6" ht="51">
      <c r="A91" s="50"/>
      <c r="B91" s="51" t="s">
        <v>175</v>
      </c>
      <c r="C91" s="52" t="s">
        <v>203</v>
      </c>
      <c r="D91" s="123">
        <v>633421831294</v>
      </c>
      <c r="E91" s="123">
        <v>553842409279</v>
      </c>
      <c r="F91" s="123">
        <v>1535663568740</v>
      </c>
    </row>
    <row r="92" spans="1:6" ht="51">
      <c r="A92" s="50"/>
      <c r="B92" s="51" t="s">
        <v>176</v>
      </c>
      <c r="C92" s="52" t="s">
        <v>204</v>
      </c>
      <c r="D92" s="123">
        <v>-664967295703</v>
      </c>
      <c r="E92" s="123">
        <v>-491067463834</v>
      </c>
      <c r="F92" s="123">
        <v>-1525870658306</v>
      </c>
    </row>
    <row r="93" spans="1:6" s="20" customFormat="1" ht="25.5">
      <c r="A93" s="119" t="s">
        <v>28</v>
      </c>
      <c r="B93" s="120" t="s">
        <v>43</v>
      </c>
      <c r="C93" s="121" t="s">
        <v>98</v>
      </c>
      <c r="D93" s="126">
        <v>1204508893630</v>
      </c>
      <c r="E93" s="126">
        <v>1231045419684</v>
      </c>
      <c r="F93" s="126">
        <v>1204508893630</v>
      </c>
    </row>
    <row r="94" spans="1:6" ht="51">
      <c r="A94" s="119" t="s">
        <v>29</v>
      </c>
      <c r="B94" s="120" t="s">
        <v>158</v>
      </c>
      <c r="C94" s="121" t="s">
        <v>99</v>
      </c>
      <c r="D94" s="126">
        <v>0</v>
      </c>
      <c r="E94" s="126">
        <v>0</v>
      </c>
      <c r="F94" s="126">
        <v>0</v>
      </c>
    </row>
    <row r="95" spans="1:6" ht="51">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tr">
        <f>TONGQUAN!C19</f>
        <v>Ngân hàng TNHH MTV Standard Chartered (Việt Nam)</v>
      </c>
      <c r="B105" s="22"/>
      <c r="D105" s="21" t="str">
        <f>TONGQUAN!F19</f>
        <v>Công ty Cổ phần Quản lý Quỹ Đầu tư Dragon Capital Việt Nam</v>
      </c>
      <c r="E105" s="22"/>
      <c r="F105" s="22"/>
    </row>
    <row r="106" spans="1:6" ht="16.899999999999999" customHeight="1">
      <c r="A106" s="18" t="str">
        <f>TONGQUAN!C20</f>
        <v>Vũ Quang Phan</v>
      </c>
      <c r="D106" s="18" t="str">
        <f>TONGQUAN!F20</f>
        <v>Lê Hoàng Anh</v>
      </c>
    </row>
    <row r="107" spans="1:6" ht="16.899999999999999" customHeight="1">
      <c r="A107" s="9" t="str">
        <f>TONGQUAN!C21</f>
        <v>Phó phòng Dịch vụ nghiệp vụ giám sát Quỹ</v>
      </c>
      <c r="D107" s="9"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1"/>
  <sheetViews>
    <sheetView view="pageBreakPreview" zoomScale="95" zoomScaleNormal="100" zoomScaleSheetLayoutView="95" workbookViewId="0">
      <selection activeCell="C7" sqref="C7:G14"/>
    </sheetView>
  </sheetViews>
  <sheetFormatPr defaultColWidth="8.7109375" defaultRowHeight="12.75"/>
  <cols>
    <col min="1" max="1" width="9" style="9" customWidth="1"/>
    <col min="2" max="2" width="39.85546875" style="9" customWidth="1"/>
    <col min="3" max="3" width="9.28515625" style="9" customWidth="1"/>
    <col min="4" max="4" width="28" style="9" customWidth="1"/>
    <col min="5" max="5" width="33.85546875" style="9" customWidth="1"/>
    <col min="6" max="6" width="32.140625" style="9" customWidth="1"/>
    <col min="7" max="7" width="28.5703125" style="9" customWidth="1"/>
    <col min="8" max="16384" width="8.710937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729</v>
      </c>
      <c r="B5" s="170"/>
      <c r="C5" s="170"/>
      <c r="D5" s="170"/>
      <c r="E5" s="170"/>
      <c r="F5" s="170"/>
      <c r="G5" s="170"/>
    </row>
    <row r="6" spans="1:7" ht="16.899999999999999" customHeight="1"/>
    <row r="7" spans="1:7" ht="16.899999999999999" customHeight="1">
      <c r="A7" s="75" t="s">
        <v>2</v>
      </c>
      <c r="C7" s="171" t="s">
        <v>731</v>
      </c>
      <c r="D7" s="171"/>
      <c r="E7" s="171"/>
      <c r="F7" s="171"/>
      <c r="G7" s="171"/>
    </row>
    <row r="8" spans="1:7" ht="16.899999999999999" customHeight="1">
      <c r="A8" s="9" t="s">
        <v>15</v>
      </c>
      <c r="C8" s="166" t="s">
        <v>732</v>
      </c>
      <c r="D8" s="166"/>
      <c r="E8" s="166"/>
      <c r="F8" s="166"/>
      <c r="G8" s="166"/>
    </row>
    <row r="9" spans="1:7" ht="16.899999999999999" customHeight="1">
      <c r="A9" s="75" t="s">
        <v>3</v>
      </c>
      <c r="C9" s="171" t="s">
        <v>733</v>
      </c>
      <c r="D9" s="171"/>
      <c r="E9" s="171"/>
      <c r="F9" s="171"/>
      <c r="G9" s="171"/>
    </row>
    <row r="10" spans="1:7" ht="16.899999999999999" customHeight="1">
      <c r="A10" s="9" t="s">
        <v>4</v>
      </c>
      <c r="C10" s="166" t="s">
        <v>734</v>
      </c>
      <c r="D10" s="166"/>
      <c r="E10" s="166"/>
      <c r="F10" s="166"/>
      <c r="G10" s="166"/>
    </row>
    <row r="11" spans="1:7" ht="16.899999999999999" customHeight="1">
      <c r="A11" s="75" t="s">
        <v>5</v>
      </c>
      <c r="C11" s="171" t="s">
        <v>239</v>
      </c>
      <c r="D11" s="171"/>
      <c r="E11" s="171"/>
      <c r="F11" s="171"/>
      <c r="G11" s="171"/>
    </row>
    <row r="12" spans="1:7" ht="16.899999999999999" customHeight="1">
      <c r="A12" s="9" t="s">
        <v>6</v>
      </c>
      <c r="C12" s="166" t="s">
        <v>745</v>
      </c>
      <c r="D12" s="166"/>
      <c r="E12" s="166"/>
      <c r="F12" s="166"/>
      <c r="G12" s="166"/>
    </row>
    <row r="13" spans="1:7" ht="16.899999999999999" customHeight="1">
      <c r="A13" s="75" t="s">
        <v>7</v>
      </c>
      <c r="C13" s="171" t="s">
        <v>735</v>
      </c>
      <c r="D13" s="171"/>
      <c r="E13" s="171"/>
      <c r="F13" s="171"/>
      <c r="G13" s="171"/>
    </row>
    <row r="14" spans="1:7" ht="16.899999999999999" customHeight="1">
      <c r="A14" s="9" t="s">
        <v>8</v>
      </c>
      <c r="C14" s="166" t="s">
        <v>736</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279517251519</v>
      </c>
      <c r="G30" s="133">
        <v>0.22658929773558301</v>
      </c>
    </row>
    <row r="31" spans="1:7" ht="33.950000000000003" customHeight="1">
      <c r="A31" s="131" t="s">
        <v>266</v>
      </c>
      <c r="B31" s="130" t="s">
        <v>267</v>
      </c>
      <c r="C31" s="132" t="s">
        <v>268</v>
      </c>
      <c r="D31" s="134">
        <v>276091</v>
      </c>
      <c r="E31" s="140">
        <v>100362.054999</v>
      </c>
      <c r="F31" s="134">
        <v>27709060127</v>
      </c>
      <c r="G31" s="133">
        <v>2.2462214553734601E-2</v>
      </c>
    </row>
    <row r="32" spans="1:7" ht="33.950000000000003" customHeight="1">
      <c r="A32" s="131" t="s">
        <v>269</v>
      </c>
      <c r="B32" s="130" t="s">
        <v>270</v>
      </c>
      <c r="C32" s="132" t="s">
        <v>271</v>
      </c>
      <c r="D32" s="134">
        <v>280000</v>
      </c>
      <c r="E32" s="140">
        <v>100606.917</v>
      </c>
      <c r="F32" s="134">
        <v>28169936760</v>
      </c>
      <c r="G32" s="133">
        <v>2.28358219502252E-2</v>
      </c>
    </row>
    <row r="33" spans="1:7" ht="33.950000000000003" customHeight="1">
      <c r="A33" s="131" t="s">
        <v>272</v>
      </c>
      <c r="B33" s="130" t="s">
        <v>273</v>
      </c>
      <c r="C33" s="132" t="s">
        <v>274</v>
      </c>
      <c r="D33" s="134">
        <v>700000</v>
      </c>
      <c r="E33" s="140">
        <v>99671.07</v>
      </c>
      <c r="F33" s="134">
        <v>69769749000</v>
      </c>
      <c r="G33" s="133">
        <v>5.6558507008728602E-2</v>
      </c>
    </row>
    <row r="34" spans="1:7" ht="33.950000000000003" customHeight="1">
      <c r="A34" s="131" t="s">
        <v>275</v>
      </c>
      <c r="B34" s="130" t="s">
        <v>276</v>
      </c>
      <c r="C34" s="132" t="s">
        <v>277</v>
      </c>
      <c r="D34" s="134">
        <v>186856</v>
      </c>
      <c r="E34" s="140">
        <v>99746.466</v>
      </c>
      <c r="F34" s="134">
        <v>18638225651</v>
      </c>
      <c r="G34" s="133">
        <v>1.5108986791859401E-2</v>
      </c>
    </row>
    <row r="35" spans="1:7" ht="33.950000000000003" customHeight="1">
      <c r="A35" s="131" t="s">
        <v>278</v>
      </c>
      <c r="B35" s="130" t="s">
        <v>279</v>
      </c>
      <c r="C35" s="132" t="s">
        <v>280</v>
      </c>
      <c r="D35" s="134">
        <v>500000</v>
      </c>
      <c r="E35" s="140">
        <v>99535.798999999999</v>
      </c>
      <c r="F35" s="134">
        <v>49767899500</v>
      </c>
      <c r="G35" s="133">
        <v>4.0344105189205302E-2</v>
      </c>
    </row>
    <row r="36" spans="1:7" ht="33.950000000000003" customHeight="1">
      <c r="A36" s="131" t="s">
        <v>281</v>
      </c>
      <c r="B36" s="130" t="s">
        <v>282</v>
      </c>
      <c r="C36" s="132" t="s">
        <v>283</v>
      </c>
      <c r="D36" s="134">
        <v>128712</v>
      </c>
      <c r="E36" s="140">
        <v>100843.845997</v>
      </c>
      <c r="F36" s="134">
        <v>12979813106</v>
      </c>
      <c r="G36" s="133">
        <v>1.05220222381435E-2</v>
      </c>
    </row>
    <row r="37" spans="1:7" ht="33.950000000000003" customHeight="1">
      <c r="A37" s="131" t="s">
        <v>284</v>
      </c>
      <c r="B37" s="130" t="s">
        <v>285</v>
      </c>
      <c r="C37" s="132" t="s">
        <v>286</v>
      </c>
      <c r="D37" s="134">
        <v>725000</v>
      </c>
      <c r="E37" s="140">
        <v>99975.955000000002</v>
      </c>
      <c r="F37" s="134">
        <v>72482567375</v>
      </c>
      <c r="G37" s="133">
        <v>5.8757640003686697E-2</v>
      </c>
    </row>
    <row r="38" spans="1:7" ht="39" customHeight="1">
      <c r="A38" s="131" t="s">
        <v>287</v>
      </c>
      <c r="B38" s="130" t="s">
        <v>288</v>
      </c>
      <c r="C38" s="132" t="s">
        <v>289</v>
      </c>
      <c r="D38" s="134"/>
      <c r="E38" s="140"/>
      <c r="F38" s="134">
        <v>105053303230</v>
      </c>
      <c r="G38" s="133">
        <v>8.5160948293278901E-2</v>
      </c>
    </row>
    <row r="39" spans="1:7" ht="33.950000000000003" customHeight="1">
      <c r="A39" s="131" t="s">
        <v>290</v>
      </c>
      <c r="B39" s="130" t="s">
        <v>291</v>
      </c>
      <c r="C39" s="132" t="s">
        <v>292</v>
      </c>
      <c r="D39" s="134">
        <v>103</v>
      </c>
      <c r="E39" s="140">
        <v>1000475290</v>
      </c>
      <c r="F39" s="134">
        <v>103048954870</v>
      </c>
      <c r="G39" s="133">
        <v>8.35361330633001E-2</v>
      </c>
    </row>
    <row r="40" spans="1:7" ht="33.950000000000003" customHeight="1">
      <c r="A40" s="131" t="s">
        <v>293</v>
      </c>
      <c r="B40" s="130" t="s">
        <v>294</v>
      </c>
      <c r="C40" s="132" t="s">
        <v>295</v>
      </c>
      <c r="D40" s="134">
        <v>2</v>
      </c>
      <c r="E40" s="140">
        <v>1002174180</v>
      </c>
      <c r="F40" s="134">
        <v>2004348360</v>
      </c>
      <c r="G40" s="133">
        <v>1.62481522997874E-3</v>
      </c>
    </row>
    <row r="41" spans="1:7" ht="39" customHeight="1">
      <c r="A41" s="136"/>
      <c r="B41" s="135" t="s">
        <v>296</v>
      </c>
      <c r="C41" s="136" t="s">
        <v>297</v>
      </c>
      <c r="D41" s="138"/>
      <c r="E41" s="138"/>
      <c r="F41" s="138">
        <v>384570554749</v>
      </c>
      <c r="G41" s="137">
        <v>0.31175024602886198</v>
      </c>
    </row>
    <row r="42" spans="1:7" ht="39" customHeight="1">
      <c r="A42" s="136" t="s">
        <v>298</v>
      </c>
      <c r="B42" s="135" t="s">
        <v>299</v>
      </c>
      <c r="C42" s="136" t="s">
        <v>300</v>
      </c>
      <c r="D42" s="138"/>
      <c r="E42" s="138"/>
      <c r="F42" s="138"/>
      <c r="G42" s="137"/>
    </row>
    <row r="43" spans="1:7" ht="39" customHeight="1">
      <c r="A43" s="131"/>
      <c r="B43" s="130"/>
      <c r="C43" s="132"/>
      <c r="D43" s="134"/>
      <c r="E43" s="140"/>
      <c r="F43" s="134"/>
      <c r="G43" s="133"/>
    </row>
    <row r="44" spans="1:7" ht="39" customHeight="1">
      <c r="A44" s="131" t="s">
        <v>301</v>
      </c>
      <c r="B44" s="130" t="s">
        <v>302</v>
      </c>
      <c r="C44" s="132" t="s">
        <v>303</v>
      </c>
      <c r="D44" s="134"/>
      <c r="E44" s="140"/>
      <c r="F44" s="134">
        <v>0</v>
      </c>
      <c r="G44" s="133">
        <v>0</v>
      </c>
    </row>
    <row r="45" spans="1:7" ht="39" customHeight="1">
      <c r="A45" s="131" t="s">
        <v>304</v>
      </c>
      <c r="B45" s="130" t="s">
        <v>305</v>
      </c>
      <c r="C45" s="132" t="s">
        <v>306</v>
      </c>
      <c r="D45" s="134"/>
      <c r="E45" s="140"/>
      <c r="F45" s="134">
        <v>0</v>
      </c>
      <c r="G45" s="133">
        <v>0</v>
      </c>
    </row>
    <row r="46" spans="1:7" ht="33.950000000000003" customHeight="1">
      <c r="A46" s="136"/>
      <c r="B46" s="135" t="s">
        <v>307</v>
      </c>
      <c r="C46" s="136" t="s">
        <v>308</v>
      </c>
      <c r="D46" s="138"/>
      <c r="E46" s="138"/>
      <c r="F46" s="138">
        <v>0</v>
      </c>
      <c r="G46" s="137">
        <v>0</v>
      </c>
    </row>
    <row r="47" spans="1:7" ht="39" customHeight="1">
      <c r="A47" s="136"/>
      <c r="B47" s="135" t="s">
        <v>309</v>
      </c>
      <c r="C47" s="136" t="s">
        <v>310</v>
      </c>
      <c r="D47" s="138"/>
      <c r="E47" s="138"/>
      <c r="F47" s="138">
        <v>384570554749</v>
      </c>
      <c r="G47" s="137">
        <v>0.31175024602886198</v>
      </c>
    </row>
    <row r="48" spans="1:7" ht="39" customHeight="1">
      <c r="A48" s="136" t="s">
        <v>311</v>
      </c>
      <c r="B48" s="135" t="s">
        <v>312</v>
      </c>
      <c r="C48" s="136" t="s">
        <v>313</v>
      </c>
      <c r="D48" s="138"/>
      <c r="E48" s="138"/>
      <c r="F48" s="138"/>
      <c r="G48" s="137"/>
    </row>
    <row r="49" spans="1:7" ht="39" customHeight="1">
      <c r="A49" s="131"/>
      <c r="B49" s="130"/>
      <c r="C49" s="132"/>
      <c r="D49" s="134"/>
      <c r="E49" s="140"/>
      <c r="F49" s="134"/>
      <c r="G49" s="133"/>
    </row>
    <row r="50" spans="1:7" ht="39" customHeight="1">
      <c r="A50" s="131" t="s">
        <v>314</v>
      </c>
      <c r="B50" s="130" t="s">
        <v>315</v>
      </c>
      <c r="C50" s="132" t="s">
        <v>316</v>
      </c>
      <c r="D50" s="134"/>
      <c r="E50" s="140"/>
      <c r="F50" s="134">
        <v>0</v>
      </c>
      <c r="G50" s="133">
        <v>0</v>
      </c>
    </row>
    <row r="51" spans="1:7" ht="39" customHeight="1">
      <c r="A51" s="131" t="s">
        <v>317</v>
      </c>
      <c r="B51" s="130" t="s">
        <v>318</v>
      </c>
      <c r="C51" s="132" t="s">
        <v>319</v>
      </c>
      <c r="D51" s="134"/>
      <c r="E51" s="140"/>
      <c r="F51" s="134">
        <v>4429718946</v>
      </c>
      <c r="G51" s="133">
        <v>3.5909300756412198E-3</v>
      </c>
    </row>
    <row r="52" spans="1:7" ht="47.1" customHeight="1">
      <c r="A52" s="131" t="s">
        <v>320</v>
      </c>
      <c r="B52" s="130" t="s">
        <v>321</v>
      </c>
      <c r="C52" s="132" t="s">
        <v>322</v>
      </c>
      <c r="D52" s="134"/>
      <c r="E52" s="140"/>
      <c r="F52" s="134">
        <v>7937938355</v>
      </c>
      <c r="G52" s="133">
        <v>6.4348510424786396E-3</v>
      </c>
    </row>
    <row r="53" spans="1:7" ht="45" customHeight="1">
      <c r="A53" s="131" t="s">
        <v>323</v>
      </c>
      <c r="B53" s="130" t="s">
        <v>324</v>
      </c>
      <c r="C53" s="132" t="s">
        <v>325</v>
      </c>
      <c r="D53" s="134"/>
      <c r="E53" s="140"/>
      <c r="F53" s="134">
        <v>0</v>
      </c>
      <c r="G53" s="133">
        <v>0</v>
      </c>
    </row>
    <row r="54" spans="1:7" ht="57" customHeight="1">
      <c r="A54" s="131" t="s">
        <v>326</v>
      </c>
      <c r="B54" s="130" t="s">
        <v>327</v>
      </c>
      <c r="C54" s="132" t="s">
        <v>328</v>
      </c>
      <c r="D54" s="134"/>
      <c r="E54" s="140"/>
      <c r="F54" s="134">
        <v>0</v>
      </c>
      <c r="G54" s="133">
        <v>0</v>
      </c>
    </row>
    <row r="55" spans="1:7" ht="39" customHeight="1">
      <c r="A55" s="131" t="s">
        <v>329</v>
      </c>
      <c r="B55" s="130" t="s">
        <v>330</v>
      </c>
      <c r="C55" s="132" t="s">
        <v>331</v>
      </c>
      <c r="D55" s="134"/>
      <c r="E55" s="140"/>
      <c r="F55" s="134">
        <v>0</v>
      </c>
      <c r="G55" s="133">
        <v>0</v>
      </c>
    </row>
    <row r="56" spans="1:7" ht="39" customHeight="1">
      <c r="A56" s="131" t="s">
        <v>332</v>
      </c>
      <c r="B56" s="130" t="s">
        <v>333</v>
      </c>
      <c r="C56" s="132" t="s">
        <v>334</v>
      </c>
      <c r="D56" s="134"/>
      <c r="E56" s="140"/>
      <c r="F56" s="134">
        <v>0</v>
      </c>
      <c r="G56" s="133">
        <v>0</v>
      </c>
    </row>
    <row r="57" spans="1:7" ht="39" customHeight="1">
      <c r="A57" s="136"/>
      <c r="B57" s="135" t="s">
        <v>335</v>
      </c>
      <c r="C57" s="136" t="s">
        <v>336</v>
      </c>
      <c r="D57" s="138"/>
      <c r="E57" s="138"/>
      <c r="F57" s="138">
        <v>12367657301</v>
      </c>
      <c r="G57" s="137">
        <v>1.00257811181199E-2</v>
      </c>
    </row>
    <row r="58" spans="1:7" ht="39" customHeight="1">
      <c r="A58" s="136" t="s">
        <v>337</v>
      </c>
      <c r="B58" s="135" t="s">
        <v>338</v>
      </c>
      <c r="C58" s="136" t="s">
        <v>339</v>
      </c>
      <c r="D58" s="138"/>
      <c r="E58" s="138"/>
      <c r="F58" s="138"/>
      <c r="G58" s="137"/>
    </row>
    <row r="59" spans="1:7" ht="39" customHeight="1">
      <c r="A59" s="131" t="s">
        <v>340</v>
      </c>
      <c r="B59" s="130" t="s">
        <v>341</v>
      </c>
      <c r="C59" s="132" t="s">
        <v>342</v>
      </c>
      <c r="D59" s="134"/>
      <c r="E59" s="140"/>
      <c r="F59" s="134">
        <v>448647196936</v>
      </c>
      <c r="G59" s="133">
        <v>0.36369366374460099</v>
      </c>
    </row>
    <row r="60" spans="1:7" ht="39" customHeight="1">
      <c r="A60" s="131"/>
      <c r="B60" s="130"/>
      <c r="C60" s="132"/>
      <c r="D60" s="134"/>
      <c r="E60" s="140"/>
      <c r="F60" s="134"/>
      <c r="G60" s="133"/>
    </row>
    <row r="61" spans="1:7" ht="39" customHeight="1">
      <c r="A61" s="131" t="s">
        <v>343</v>
      </c>
      <c r="B61" s="130" t="s">
        <v>344</v>
      </c>
      <c r="C61" s="132" t="s">
        <v>345</v>
      </c>
      <c r="D61" s="134"/>
      <c r="E61" s="140"/>
      <c r="F61" s="134">
        <v>83047196936</v>
      </c>
      <c r="G61" s="133">
        <v>6.7321805471308505E-2</v>
      </c>
    </row>
    <row r="62" spans="1:7" ht="39" customHeight="1">
      <c r="A62" s="131" t="s">
        <v>346</v>
      </c>
      <c r="B62" s="130" t="s">
        <v>347</v>
      </c>
      <c r="C62" s="132" t="s">
        <v>348</v>
      </c>
      <c r="D62" s="134"/>
      <c r="E62" s="140"/>
      <c r="F62" s="134">
        <v>365600000000</v>
      </c>
      <c r="G62" s="133">
        <v>0.29637185827329199</v>
      </c>
    </row>
    <row r="63" spans="1:7" ht="39" customHeight="1">
      <c r="A63" s="131" t="s">
        <v>349</v>
      </c>
      <c r="B63" s="130" t="s">
        <v>350</v>
      </c>
      <c r="C63" s="132" t="s">
        <v>351</v>
      </c>
      <c r="D63" s="134"/>
      <c r="E63" s="140"/>
      <c r="F63" s="134">
        <v>128000000000</v>
      </c>
      <c r="G63" s="133">
        <v>0.103762576200715</v>
      </c>
    </row>
    <row r="64" spans="1:7" ht="39" customHeight="1">
      <c r="A64" s="131"/>
      <c r="B64" s="130"/>
      <c r="C64" s="132"/>
      <c r="D64" s="134"/>
      <c r="E64" s="140"/>
      <c r="F64" s="134"/>
      <c r="G64" s="133"/>
    </row>
    <row r="65" spans="1:7" ht="39" customHeight="1">
      <c r="A65" s="131" t="s">
        <v>352</v>
      </c>
      <c r="B65" s="130" t="s">
        <v>353</v>
      </c>
      <c r="C65" s="132" t="s">
        <v>354</v>
      </c>
      <c r="D65" s="134"/>
      <c r="E65" s="140"/>
      <c r="F65" s="134">
        <v>260000000000</v>
      </c>
      <c r="G65" s="133">
        <v>0.21076773290770201</v>
      </c>
    </row>
    <row r="66" spans="1:7" ht="39" customHeight="1">
      <c r="A66" s="136"/>
      <c r="B66" s="135" t="s">
        <v>355</v>
      </c>
      <c r="C66" s="136" t="s">
        <v>356</v>
      </c>
      <c r="D66" s="138"/>
      <c r="E66" s="138"/>
      <c r="F66" s="138">
        <v>836647196936</v>
      </c>
      <c r="G66" s="137">
        <v>0.67822397285301805</v>
      </c>
    </row>
    <row r="67" spans="1:7" ht="39" customHeight="1">
      <c r="A67" s="136" t="s">
        <v>357</v>
      </c>
      <c r="B67" s="135" t="s">
        <v>358</v>
      </c>
      <c r="C67" s="136" t="s">
        <v>359</v>
      </c>
      <c r="D67" s="138"/>
      <c r="E67" s="138"/>
      <c r="F67" s="138">
        <v>1233585408986</v>
      </c>
      <c r="G67" s="137">
        <v>1</v>
      </c>
    </row>
    <row r="68" spans="1:7" ht="16.899999999999999" customHeight="1">
      <c r="A68" s="31"/>
      <c r="E68" s="12"/>
    </row>
    <row r="69" spans="1:7" ht="16.899999999999999" customHeight="1">
      <c r="A69" s="12" t="s">
        <v>10</v>
      </c>
      <c r="E69" s="12" t="s">
        <v>11</v>
      </c>
    </row>
    <row r="70" spans="1:7" ht="16.899999999999999" customHeight="1">
      <c r="A70" s="13" t="s">
        <v>12</v>
      </c>
      <c r="E70" s="13" t="s">
        <v>13</v>
      </c>
    </row>
    <row r="71" spans="1:7" ht="16.899999999999999" customHeight="1"/>
    <row r="72" spans="1:7" ht="16.899999999999999" customHeight="1">
      <c r="A72" s="18"/>
      <c r="E72" s="18"/>
    </row>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c r="A79" s="24" t="s">
        <v>14</v>
      </c>
      <c r="B79" s="22"/>
      <c r="C79" s="22"/>
      <c r="E79" s="24" t="s">
        <v>731</v>
      </c>
      <c r="F79" s="22"/>
      <c r="G79" s="22"/>
    </row>
    <row r="80" spans="1:7" ht="16.899999999999999" customHeight="1">
      <c r="A80" s="25" t="s">
        <v>737</v>
      </c>
      <c r="E80" s="25" t="s">
        <v>738</v>
      </c>
    </row>
    <row r="81" spans="1:5" ht="16.899999999999999" customHeight="1">
      <c r="A81" s="26" t="s">
        <v>739</v>
      </c>
      <c r="E81" s="26" t="s">
        <v>740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24" zoomScaleNormal="100" zoomScaleSheetLayoutView="100" workbookViewId="0">
      <selection activeCell="C8" sqref="C8:E8"/>
    </sheetView>
  </sheetViews>
  <sheetFormatPr defaultColWidth="8.7109375" defaultRowHeight="53.25" customHeight="1"/>
  <cols>
    <col min="1" max="1" width="8.7109375" style="9"/>
    <col min="2" max="2" width="59.85546875" style="9" customWidth="1"/>
    <col min="3" max="3" width="10.7109375" style="9" bestFit="1" customWidth="1"/>
    <col min="4" max="4" width="41.7109375" style="9" customWidth="1"/>
    <col min="5" max="5" width="39.5703125" style="9" customWidth="1"/>
    <col min="6" max="6" width="8.42578125" style="100" customWidth="1"/>
    <col min="7" max="16384" width="8.710937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75" hidden="1">
      <c r="A4" s="169"/>
      <c r="B4" s="169"/>
      <c r="C4" s="169"/>
      <c r="D4" s="169"/>
      <c r="E4" s="169"/>
      <c r="F4" s="101"/>
    </row>
    <row r="5" spans="1:6" ht="12.75">
      <c r="A5" s="170" t="s">
        <v>730</v>
      </c>
      <c r="B5" s="170"/>
      <c r="C5" s="170"/>
      <c r="D5" s="170"/>
      <c r="E5" s="170"/>
      <c r="F5" s="103"/>
    </row>
    <row r="6" spans="1:6" ht="12.75"/>
    <row r="7" spans="1:6" ht="12.75">
      <c r="A7" s="75" t="s">
        <v>2</v>
      </c>
      <c r="C7" s="171" t="s">
        <v>731</v>
      </c>
      <c r="D7" s="171"/>
      <c r="E7" s="171"/>
    </row>
    <row r="8" spans="1:6" ht="12.75">
      <c r="A8" s="9" t="s">
        <v>15</v>
      </c>
      <c r="C8" s="166" t="s">
        <v>732</v>
      </c>
      <c r="D8" s="166"/>
      <c r="E8" s="166"/>
    </row>
    <row r="9" spans="1:6" ht="12.75">
      <c r="A9" s="75" t="s">
        <v>3</v>
      </c>
      <c r="C9" s="171" t="s">
        <v>733</v>
      </c>
      <c r="D9" s="171"/>
      <c r="E9" s="171"/>
    </row>
    <row r="10" spans="1:6" ht="12.75">
      <c r="A10" s="9" t="s">
        <v>4</v>
      </c>
      <c r="C10" s="166" t="s">
        <v>734</v>
      </c>
      <c r="D10" s="166"/>
      <c r="E10" s="166"/>
    </row>
    <row r="11" spans="1:6" ht="12.75">
      <c r="A11" s="75" t="s">
        <v>5</v>
      </c>
      <c r="C11" s="171" t="s">
        <v>239</v>
      </c>
      <c r="D11" s="171"/>
      <c r="E11" s="171"/>
    </row>
    <row r="12" spans="1:6" ht="12.75">
      <c r="A12" s="9" t="s">
        <v>6</v>
      </c>
      <c r="C12" s="166" t="s">
        <v>745</v>
      </c>
      <c r="D12" s="166"/>
      <c r="E12" s="166"/>
    </row>
    <row r="13" spans="1:6" ht="12.75">
      <c r="A13" s="75" t="s">
        <v>7</v>
      </c>
      <c r="C13" s="171" t="s">
        <v>735</v>
      </c>
      <c r="D13" s="171"/>
      <c r="E13" s="171"/>
    </row>
    <row r="14" spans="1:6" ht="12.75">
      <c r="A14" s="9" t="s">
        <v>8</v>
      </c>
      <c r="C14" s="166" t="s">
        <v>736</v>
      </c>
      <c r="D14" s="166"/>
      <c r="E14" s="166"/>
    </row>
    <row r="15" spans="1:6" ht="12.75"/>
    <row r="16" spans="1:6" ht="12.75">
      <c r="A16" s="69" t="s">
        <v>230</v>
      </c>
      <c r="B16" s="70" t="s">
        <v>231</v>
      </c>
    </row>
    <row r="17" spans="1:5" ht="12.75">
      <c r="A17" s="14" t="s">
        <v>25</v>
      </c>
      <c r="B17" s="15" t="s">
        <v>177</v>
      </c>
    </row>
    <row r="18" spans="1:5" ht="38.25">
      <c r="A18" s="115" t="s">
        <v>17</v>
      </c>
      <c r="B18" s="115" t="s">
        <v>220</v>
      </c>
      <c r="C18" s="115" t="s">
        <v>19</v>
      </c>
      <c r="D18" s="116" t="s">
        <v>743</v>
      </c>
      <c r="E18" s="116" t="s">
        <v>744</v>
      </c>
    </row>
    <row r="19" spans="1:5" s="104" customFormat="1" ht="25.5">
      <c r="A19" s="29" t="s">
        <v>16</v>
      </c>
      <c r="B19" s="63" t="s">
        <v>106</v>
      </c>
      <c r="C19" s="64" t="s">
        <v>107</v>
      </c>
      <c r="D19" s="133"/>
      <c r="E19" s="133"/>
    </row>
    <row r="20" spans="1:5" ht="51">
      <c r="A20" s="76">
        <v>1</v>
      </c>
      <c r="B20" s="65" t="s">
        <v>205</v>
      </c>
      <c r="C20" s="66" t="s">
        <v>108</v>
      </c>
      <c r="D20" s="133">
        <v>1.2230955187522499E-2</v>
      </c>
      <c r="E20" s="133">
        <v>1.10472671553481E-2</v>
      </c>
    </row>
    <row r="21" spans="1:5" ht="51">
      <c r="A21" s="76">
        <v>2</v>
      </c>
      <c r="B21" s="65" t="s">
        <v>206</v>
      </c>
      <c r="C21" s="66" t="s">
        <v>109</v>
      </c>
      <c r="D21" s="133">
        <v>8.6056356938488002E-4</v>
      </c>
      <c r="E21" s="133">
        <v>7.7445459401604799E-4</v>
      </c>
    </row>
    <row r="22" spans="1:5" ht="63.75">
      <c r="A22" s="76">
        <v>3</v>
      </c>
      <c r="B22" s="65" t="s">
        <v>207</v>
      </c>
      <c r="C22" s="66" t="s">
        <v>110</v>
      </c>
      <c r="D22" s="133">
        <v>6.0524741573553004E-4</v>
      </c>
      <c r="E22" s="133">
        <v>6.0750358405832505E-4</v>
      </c>
    </row>
    <row r="23" spans="1:5" ht="38.25">
      <c r="A23" s="76">
        <v>4</v>
      </c>
      <c r="B23" s="65" t="s">
        <v>178</v>
      </c>
      <c r="C23" s="66" t="s">
        <v>111</v>
      </c>
      <c r="D23" s="133">
        <v>1.10856489995633E-4</v>
      </c>
      <c r="E23" s="133">
        <v>1.0149660292825199E-4</v>
      </c>
    </row>
    <row r="24" spans="1:5" ht="51">
      <c r="A24" s="76">
        <v>5</v>
      </c>
      <c r="B24" s="65" t="s">
        <v>208</v>
      </c>
      <c r="C24" s="66" t="s">
        <v>209</v>
      </c>
      <c r="D24" s="68"/>
      <c r="E24" s="68"/>
    </row>
    <row r="25" spans="1:5" ht="76.5">
      <c r="A25" s="76">
        <v>6</v>
      </c>
      <c r="B25" s="65" t="s">
        <v>210</v>
      </c>
      <c r="C25" s="66"/>
      <c r="D25" s="68"/>
      <c r="E25" s="68"/>
    </row>
    <row r="26" spans="1:5" ht="76.5">
      <c r="A26" s="76">
        <v>7</v>
      </c>
      <c r="B26" s="65" t="s">
        <v>179</v>
      </c>
      <c r="C26" s="66" t="s">
        <v>112</v>
      </c>
      <c r="D26" s="133">
        <v>1.8140442216345301E-4</v>
      </c>
      <c r="E26" s="133">
        <v>1.7181257222066801E-4</v>
      </c>
    </row>
    <row r="27" spans="1:5" ht="25.5">
      <c r="A27" s="76">
        <v>8</v>
      </c>
      <c r="B27" s="65" t="s">
        <v>211</v>
      </c>
      <c r="C27" s="66" t="s">
        <v>113</v>
      </c>
      <c r="D27" s="133">
        <v>1.3876043045599499E-2</v>
      </c>
      <c r="E27" s="133">
        <v>1.39004162726407E-2</v>
      </c>
    </row>
    <row r="28" spans="1:5" ht="12.75">
      <c r="A28" s="76">
        <v>9</v>
      </c>
      <c r="B28" s="65" t="s">
        <v>241</v>
      </c>
      <c r="C28" s="66" t="s">
        <v>114</v>
      </c>
      <c r="D28" s="133">
        <v>1.42203938317782</v>
      </c>
      <c r="E28" s="133">
        <v>1.25889103048726</v>
      </c>
    </row>
    <row r="29" spans="1:5" ht="51">
      <c r="A29" s="76">
        <v>10</v>
      </c>
      <c r="B29" s="65" t="s">
        <v>212</v>
      </c>
      <c r="C29" s="66" t="s">
        <v>181</v>
      </c>
      <c r="D29" s="68"/>
      <c r="E29" s="68"/>
    </row>
    <row r="30" spans="1:5" s="104" customFormat="1" ht="25.5">
      <c r="A30" s="29" t="s">
        <v>21</v>
      </c>
      <c r="B30" s="63" t="s">
        <v>115</v>
      </c>
      <c r="C30" s="64" t="s">
        <v>116</v>
      </c>
      <c r="D30" s="67"/>
      <c r="E30" s="67"/>
    </row>
    <row r="31" spans="1:5" ht="38.25">
      <c r="A31" s="174">
        <v>1</v>
      </c>
      <c r="B31" s="65" t="s">
        <v>117</v>
      </c>
      <c r="C31" s="66" t="s">
        <v>118</v>
      </c>
      <c r="D31" s="77">
        <v>1085736765300</v>
      </c>
      <c r="E31" s="77">
        <v>1030169444400</v>
      </c>
    </row>
    <row r="32" spans="1:5" ht="25.5">
      <c r="A32" s="175"/>
      <c r="B32" s="65" t="s">
        <v>119</v>
      </c>
      <c r="C32" s="66" t="s">
        <v>120</v>
      </c>
      <c r="D32" s="77">
        <v>1085736765300</v>
      </c>
      <c r="E32" s="77">
        <v>1030169444400</v>
      </c>
    </row>
    <row r="33" spans="1:5" ht="38.25">
      <c r="A33" s="176"/>
      <c r="B33" s="65" t="s">
        <v>213</v>
      </c>
      <c r="C33" s="66" t="s">
        <v>121</v>
      </c>
      <c r="D33" s="68">
        <v>108573676.53</v>
      </c>
      <c r="E33" s="68">
        <v>103016944.44</v>
      </c>
    </row>
    <row r="34" spans="1:5" ht="38.25">
      <c r="A34" s="173">
        <v>2</v>
      </c>
      <c r="B34" s="65" t="s">
        <v>122</v>
      </c>
      <c r="C34" s="66" t="s">
        <v>123</v>
      </c>
      <c r="D34" s="77">
        <v>-27689765900</v>
      </c>
      <c r="E34" s="77">
        <v>55567320900</v>
      </c>
    </row>
    <row r="35" spans="1:5" ht="25.5">
      <c r="A35" s="173"/>
      <c r="B35" s="65" t="s">
        <v>124</v>
      </c>
      <c r="C35" s="66" t="s">
        <v>214</v>
      </c>
      <c r="D35" s="68">
        <v>-2768976.59</v>
      </c>
      <c r="E35" s="68">
        <v>5556732.0899999999</v>
      </c>
    </row>
    <row r="36" spans="1:5" ht="25.5">
      <c r="A36" s="173"/>
      <c r="B36" s="65" t="s">
        <v>125</v>
      </c>
      <c r="C36" s="66" t="s">
        <v>215</v>
      </c>
      <c r="D36" s="77">
        <v>-27689765900</v>
      </c>
      <c r="E36" s="77">
        <v>55567320900</v>
      </c>
    </row>
    <row r="37" spans="1:5" ht="25.5">
      <c r="A37" s="173"/>
      <c r="B37" s="65" t="s">
        <v>216</v>
      </c>
      <c r="C37" s="66" t="s">
        <v>126</v>
      </c>
      <c r="D37" s="68">
        <v>55753070.810000002</v>
      </c>
      <c r="E37" s="68">
        <v>48955527.520000003</v>
      </c>
    </row>
    <row r="38" spans="1:5" ht="25.5">
      <c r="A38" s="173"/>
      <c r="B38" s="65" t="s">
        <v>160</v>
      </c>
      <c r="C38" s="66" t="s">
        <v>127</v>
      </c>
      <c r="D38" s="77">
        <v>557530708100</v>
      </c>
      <c r="E38" s="77">
        <v>489555275200</v>
      </c>
    </row>
    <row r="39" spans="1:5" ht="25.5">
      <c r="A39" s="173"/>
      <c r="B39" s="65" t="s">
        <v>238</v>
      </c>
      <c r="C39" s="66" t="s">
        <v>128</v>
      </c>
      <c r="D39" s="68">
        <v>-58522047.399999999</v>
      </c>
      <c r="E39" s="68">
        <v>-43398795.43</v>
      </c>
    </row>
    <row r="40" spans="1:5" ht="38.25">
      <c r="A40" s="173"/>
      <c r="B40" s="65" t="s">
        <v>161</v>
      </c>
      <c r="C40" s="66" t="s">
        <v>129</v>
      </c>
      <c r="D40" s="77">
        <v>-585220474000</v>
      </c>
      <c r="E40" s="77">
        <v>-433987954300</v>
      </c>
    </row>
    <row r="41" spans="1:5" ht="25.5">
      <c r="A41" s="173">
        <v>3</v>
      </c>
      <c r="B41" s="65" t="s">
        <v>162</v>
      </c>
      <c r="C41" s="66" t="s">
        <v>130</v>
      </c>
      <c r="D41" s="77">
        <v>1058046999400</v>
      </c>
      <c r="E41" s="77">
        <v>1085736765300</v>
      </c>
    </row>
    <row r="42" spans="1:5" ht="38.25">
      <c r="A42" s="173"/>
      <c r="B42" s="65" t="s">
        <v>217</v>
      </c>
      <c r="C42" s="66" t="s">
        <v>131</v>
      </c>
      <c r="D42" s="77">
        <v>1058046999400</v>
      </c>
      <c r="E42" s="77">
        <v>1085736765300</v>
      </c>
    </row>
    <row r="43" spans="1:5" ht="25.5">
      <c r="A43" s="173"/>
      <c r="B43" s="65" t="s">
        <v>218</v>
      </c>
      <c r="C43" s="66" t="s">
        <v>132</v>
      </c>
      <c r="D43" s="68">
        <v>105804699.94</v>
      </c>
      <c r="E43" s="68">
        <v>108573676.53</v>
      </c>
    </row>
    <row r="44" spans="1:5" ht="51">
      <c r="A44" s="76">
        <v>4</v>
      </c>
      <c r="B44" s="65" t="s">
        <v>133</v>
      </c>
      <c r="C44" s="66" t="s">
        <v>134</v>
      </c>
      <c r="D44" s="133"/>
      <c r="E44" s="133"/>
    </row>
    <row r="45" spans="1:5" ht="25.5">
      <c r="A45" s="76">
        <v>5</v>
      </c>
      <c r="B45" s="65" t="s">
        <v>135</v>
      </c>
      <c r="C45" s="66" t="s">
        <v>136</v>
      </c>
      <c r="D45" s="133">
        <v>0.26240000000000002</v>
      </c>
      <c r="E45" s="133">
        <v>0.26429999999999998</v>
      </c>
    </row>
    <row r="46" spans="1:5" ht="25.5">
      <c r="A46" s="76">
        <v>6</v>
      </c>
      <c r="B46" s="65" t="s">
        <v>137</v>
      </c>
      <c r="C46" s="66" t="s">
        <v>138</v>
      </c>
      <c r="D46" s="133">
        <v>2.7699999999999999E-2</v>
      </c>
      <c r="E46" s="133">
        <v>1.6400000000000001E-2</v>
      </c>
    </row>
    <row r="47" spans="1:5" ht="25.5">
      <c r="A47" s="76">
        <v>7</v>
      </c>
      <c r="B47" s="65" t="s">
        <v>139</v>
      </c>
      <c r="C47" s="66" t="s">
        <v>140</v>
      </c>
      <c r="D47" s="77">
        <v>21140</v>
      </c>
      <c r="E47" s="77">
        <v>21133</v>
      </c>
    </row>
    <row r="48" spans="1:5" ht="25.5">
      <c r="A48" s="76">
        <v>8</v>
      </c>
      <c r="B48" s="65" t="s">
        <v>163</v>
      </c>
      <c r="C48" s="66" t="s">
        <v>141</v>
      </c>
      <c r="D48" s="68">
        <v>11384.26</v>
      </c>
      <c r="E48" s="68">
        <v>11338.34</v>
      </c>
    </row>
    <row r="49" spans="1:5" ht="38.25">
      <c r="A49" s="76">
        <v>9</v>
      </c>
      <c r="B49" s="65" t="s">
        <v>219</v>
      </c>
      <c r="C49" s="66" t="s">
        <v>182</v>
      </c>
      <c r="D49" s="68"/>
      <c r="E49" s="68"/>
    </row>
    <row r="50" spans="1:5" ht="31.5" customHeight="1">
      <c r="A50" s="172" t="s">
        <v>240</v>
      </c>
      <c r="B50" s="166"/>
      <c r="C50" s="166"/>
      <c r="D50" s="166"/>
      <c r="E50" s="166"/>
    </row>
    <row r="51" spans="1:5" ht="95.25" customHeight="1">
      <c r="A51" s="172" t="s">
        <v>746</v>
      </c>
      <c r="B51" s="166"/>
      <c r="C51" s="166"/>
      <c r="D51" s="166"/>
      <c r="E51" s="166"/>
    </row>
    <row r="52" spans="1:5" ht="12.75">
      <c r="A52" s="18" t="str">
        <f>TONGQUAN!C16</f>
        <v>Đại diện có thẩm quyền của Ngân hàng giám sát</v>
      </c>
      <c r="D52" s="18" t="str">
        <f>TONGQUAN!F16</f>
        <v>Đại diện có thẩm quyền của Công ty quản lý Quỹ</v>
      </c>
    </row>
    <row r="53" spans="1:5" s="103" customFormat="1" ht="12.75">
      <c r="A53" s="19" t="str">
        <f>TONGQUAN!C17</f>
        <v>Authorised Representative of Supervisory Bank</v>
      </c>
      <c r="B53" s="19"/>
      <c r="C53" s="19"/>
      <c r="D53" s="19" t="str">
        <f>TONGQUAN!F17</f>
        <v>Authorised Representative of Fund Management Company</v>
      </c>
      <c r="E53" s="19"/>
    </row>
    <row r="54" spans="1:5" ht="12.75"/>
    <row r="55" spans="1:5" ht="12.75"/>
    <row r="56" spans="1:5" ht="12.75"/>
    <row r="57" spans="1:5" ht="12.75"/>
    <row r="58" spans="1:5" ht="12.75"/>
    <row r="59" spans="1:5" ht="12.75"/>
    <row r="60" spans="1:5" ht="12.75"/>
    <row r="61" spans="1:5" ht="12.75"/>
    <row r="62" spans="1:5" ht="12.75">
      <c r="A62" s="27"/>
      <c r="B62" s="27"/>
      <c r="D62" s="27"/>
      <c r="E62" s="27"/>
    </row>
    <row r="63" spans="1:5" ht="12.75">
      <c r="A63" s="18" t="str">
        <f>TONGQUAN!C19</f>
        <v>Ngân hàng TNHH MTV Standard Chartered (Việt Nam)</v>
      </c>
      <c r="D63" s="18" t="str">
        <f>TONGQUAN!F19</f>
        <v>Công ty Cổ phần Quản lý Quỹ Đầu tư Dragon Capital Việt Nam</v>
      </c>
    </row>
    <row r="64" spans="1:5" ht="12.75">
      <c r="A64" s="18" t="str">
        <f>TONGQUAN!C20</f>
        <v>Vũ Quang Phan</v>
      </c>
      <c r="D64" s="18" t="str">
        <f>TONGQUAN!F20</f>
        <v>Lê Hoàng Anh</v>
      </c>
    </row>
    <row r="65" spans="1:4" ht="12.75">
      <c r="A65" s="9" t="str">
        <f>TONGQUAN!C21</f>
        <v>Phó phòng Dịch vụ nghiệp vụ giám sát Quỹ</v>
      </c>
      <c r="D65" s="9" t="str">
        <f>TONGQUAN!F21</f>
        <v>Quyền Giám đốc nghiệp vụ hỗ trợ đầu tư</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ZaxcUNVR2rco3Of5PC595bZ0AQ5xpizE97EjIt6BOFc=</DigestValue>
    </Reference>
    <Reference Type="http://www.w3.org/2000/09/xmldsig#Object" URI="#idOfficeObject">
      <DigestMethod Algorithm="http://www.w3.org/2001/04/xmlenc#sha256"/>
      <DigestValue>vUhSmLhkk5FOQrFgeII5jeaIgypnQtvZmrEJgCf0/+4=</DigestValue>
    </Reference>
    <Reference Type="http://uri.etsi.org/01903#SignedProperties" URI="#idSignedProperties">
      <Transforms>
        <Transform Algorithm="http://www.w3.org/TR/2001/REC-xml-c14n-20010315"/>
      </Transforms>
      <DigestMethod Algorithm="http://www.w3.org/2001/04/xmlenc#sha256"/>
      <DigestValue>0k8//EbQTL4yKGQUYtwKvflo4NBjfyE1dlj8LHdwhME=</DigestValue>
    </Reference>
  </SignedInfo>
  <SignatureValue>uxwRBbSvsMNJJGhRuAIUUxt9NEURfGNhwBzI3V8k/0DlB3c+7EREpG0i0jw/pNdTDjTiPeDzl0Vr
mFM0HP7Z6MtRl/Fbv3z9LGfp+tRkb1Qj6BoyK9fiheP/pMYMHM1V80yNIJUfShS3Ea1ibpf2bRRk
iq58c8Ei3EJev85ENCqvXK7TPo8/cjrsAHex5xhLMP5MON1a/LdOARamE25mTqrjI2F5PqrdbFl2
14Nfy533O6Hj+LTUaKwqFgQbZ0zBbaPc8fYd0bV/pHaaAFYECfTqvkLuBT1VhfpIVwmRe1fDkRoP
+xtUGu/hdO0PbJI9fJ8MsRlyfVFKIHnms1QV2w==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Uiv1CoPtHCEuCjTGJ3nfKuLJNi/SZssLbRmIle0ZsDo=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vBMQFXj4nB7Kpb2LgNXQ+QXktnbtnBUgvlWsPwJ9MeE=</DigestValue>
      </Reference>
      <Reference URI="/xl/drawings/drawing2.xml?ContentType=application/vnd.openxmlformats-officedocument.drawing+xml">
        <DigestMethod Algorithm="http://www.w3.org/2001/04/xmlenc#sha256"/>
        <DigestValue>q88z4VLRIajcCLLkUJPxxC9XKSYNwJi9q2Y4H+xPIhg=</DigestValue>
      </Reference>
      <Reference URI="/xl/drawings/drawing3.xml?ContentType=application/vnd.openxmlformats-officedocument.drawing+xml">
        <DigestMethod Algorithm="http://www.w3.org/2001/04/xmlenc#sha256"/>
        <DigestValue>KbJCLUadWnlanlRoFAVvB+djgnHQn8J1O9Hqqf66xDk=</DigestValue>
      </Reference>
      <Reference URI="/xl/drawings/drawing4.xml?ContentType=application/vnd.openxmlformats-officedocument.drawing+xml">
        <DigestMethod Algorithm="http://www.w3.org/2001/04/xmlenc#sha256"/>
        <DigestValue>1w/zgflay2J6aTgFHcI0t9JjH75X3x2QmN33UykuKUY=</DigestValue>
      </Reference>
      <Reference URI="/xl/drawings/drawing5.xml?ContentType=application/vnd.openxmlformats-officedocument.drawing+xml">
        <DigestMethod Algorithm="http://www.w3.org/2001/04/xmlenc#sha256"/>
        <DigestValue>xG2/hFtRCwpopFCbJPzhTJ+mRHuNGcYL6LW358xPhqM=</DigestValue>
      </Reference>
      <Reference URI="/xl/drawings/vmlDrawing1.vml?ContentType=application/vnd.openxmlformats-officedocument.vmlDrawing">
        <DigestMethod Algorithm="http://www.w3.org/2001/04/xmlenc#sha256"/>
        <DigestValue>Y/HmFwqnZYOcY1VqLlg/RLeHQGLiyNH9tUH8WuEmqvk=</DigestValue>
      </Reference>
      <Reference URI="/xl/drawings/vmlDrawing2.vml?ContentType=application/vnd.openxmlformats-officedocument.vmlDrawing">
        <DigestMethod Algorithm="http://www.w3.org/2001/04/xmlenc#sha256"/>
        <DigestValue>aqJwbPuVGEGU6O77YCryUdyuAoLjUwK73MMJeQCcUtc=</DigestValue>
      </Reference>
      <Reference URI="/xl/drawings/vmlDrawing3.vml?ContentType=application/vnd.openxmlformats-officedocument.vmlDrawing">
        <DigestMethod Algorithm="http://www.w3.org/2001/04/xmlenc#sha256"/>
        <DigestValue>rrtzT1gRrpOBV9PkWRIgVLp95yLdbIDWBLZoZZ3rc+w=</DigestValue>
      </Reference>
      <Reference URI="/xl/drawings/vmlDrawing4.vml?ContentType=application/vnd.openxmlformats-officedocument.vmlDrawing">
        <DigestMethod Algorithm="http://www.w3.org/2001/04/xmlenc#sha256"/>
        <DigestValue>badvMZ3S7Kc3xFtdzbaIP71Pj8HDQ1V80Dfp5XvoxHc=</DigestValue>
      </Reference>
      <Reference URI="/xl/drawings/vmlDrawing5.vml?ContentType=application/vnd.openxmlformats-officedocument.vmlDrawing">
        <DigestMethod Algorithm="http://www.w3.org/2001/04/xmlenc#sha256"/>
        <DigestValue>OIjOWybC3AekF5Kbnr8eHjFD9QZl4xlAUwa9eWVdsF0=</DigestValue>
      </Reference>
      <Reference URI="/xl/media/image1.emf?ContentType=image/x-emf">
        <DigestMethod Algorithm="http://www.w3.org/2001/04/xmlenc#sha256"/>
        <DigestValue>Ho0Us6kzISPwlNjMCbTTueSHKAUvtpx5TNxrSD88AZY=</DigestValue>
      </Reference>
      <Reference URI="/xl/media/image2.emf?ContentType=image/x-emf">
        <DigestMethod Algorithm="http://www.w3.org/2001/04/xmlenc#sha256"/>
        <DigestValue>Ho0Us6kzISPwlNjMCbTTueSHKAUvtpx5TNxrSD88AZY=</DigestValue>
      </Reference>
      <Reference URI="/xl/printerSettings/printerSettings1.bin?ContentType=application/vnd.openxmlformats-officedocument.spreadsheetml.printerSettings">
        <DigestMethod Algorithm="http://www.w3.org/2001/04/xmlenc#sha256"/>
        <DigestValue>gNwenVv0a8/zIT5viLFVspQ8fBQJrc+YeTJ+8aDnaP4=</DigestValue>
      </Reference>
      <Reference URI="/xl/printerSettings/printerSettings2.bin?ContentType=application/vnd.openxmlformats-officedocument.spreadsheetml.printerSettings">
        <DigestMethod Algorithm="http://www.w3.org/2001/04/xmlenc#sha256"/>
        <DigestValue>SFfiUGG9TIfJIy4CjE9MDLpNxoJP/Yphtah2zncx0/4=</DigestValue>
      </Reference>
      <Reference URI="/xl/printerSettings/printerSettings3.bin?ContentType=application/vnd.openxmlformats-officedocument.spreadsheetml.printerSettings">
        <DigestMethod Algorithm="http://www.w3.org/2001/04/xmlenc#sha256"/>
        <DigestValue>k4yMIL6g0DIhmbmgEcqwjq8yuubVL96CnR8rGv4WY2U=</DigestValue>
      </Reference>
      <Reference URI="/xl/printerSettings/printerSettings4.bin?ContentType=application/vnd.openxmlformats-officedocument.spreadsheetml.printerSettings">
        <DigestMethod Algorithm="http://www.w3.org/2001/04/xmlenc#sha256"/>
        <DigestValue>kUf9Li7brWqUZ7h9PEnAmmtw25fYCv+vLDlVGI9audY=</DigestValue>
      </Reference>
      <Reference URI="/xl/printerSettings/printerSettings5.bin?ContentType=application/vnd.openxmlformats-officedocument.spreadsheetml.printerSettings">
        <DigestMethod Algorithm="http://www.w3.org/2001/04/xmlenc#sha256"/>
        <DigestValue>kUf9Li7brWqUZ7h9PEnAmmtw25fYCv+vLDlVGI9audY=</DigestValue>
      </Reference>
      <Reference URI="/xl/printerSettings/printerSettings6.bin?ContentType=application/vnd.openxmlformats-officedocument.spreadsheetml.printerSettings">
        <DigestMethod Algorithm="http://www.w3.org/2001/04/xmlenc#sha256"/>
        <DigestValue>kUf9Li7brWqUZ7h9PEnAmmtw25fYCv+vLDlVGI9audY=</DigestValue>
      </Reference>
      <Reference URI="/xl/sharedStrings.xml?ContentType=application/vnd.openxmlformats-officedocument.spreadsheetml.sharedStrings+xml">
        <DigestMethod Algorithm="http://www.w3.org/2001/04/xmlenc#sha256"/>
        <DigestValue>vZT/pWB06GdwniqRKMnNvuSrURDbbpw0l7IHzxV6ImY=</DigestValue>
      </Reference>
      <Reference URI="/xl/styles.xml?ContentType=application/vnd.openxmlformats-officedocument.spreadsheetml.styles+xml">
        <DigestMethod Algorithm="http://www.w3.org/2001/04/xmlenc#sha256"/>
        <DigestValue>YILK38eiVpZtBOwXCPrWs51kS8ShT40EKysN4mghoJw=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MOfRxsKHLYHqCinCiAAJ+CFR7RANsV2rUYe40lQG9cU=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wDcehjc0jNuunRK1ShvvxUzx625p/jhn0irTo+sUzWU=</DigestValue>
      </Reference>
      <Reference URI="/xl/worksheets/sheet2.xml?ContentType=application/vnd.openxmlformats-officedocument.spreadsheetml.worksheet+xml">
        <DigestMethod Algorithm="http://www.w3.org/2001/04/xmlenc#sha256"/>
        <DigestValue>40Xi7lcRGSbMkPWYjB4cF5UDr3nTkYsRjocdVm8mnHg=</DigestValue>
      </Reference>
      <Reference URI="/xl/worksheets/sheet3.xml?ContentType=application/vnd.openxmlformats-officedocument.spreadsheetml.worksheet+xml">
        <DigestMethod Algorithm="http://www.w3.org/2001/04/xmlenc#sha256"/>
        <DigestValue>nAA4H1iSvS4B85mQY129ULVnHxLY1vMyRWw26dioIPg=</DigestValue>
      </Reference>
      <Reference URI="/xl/worksheets/sheet4.xml?ContentType=application/vnd.openxmlformats-officedocument.spreadsheetml.worksheet+xml">
        <DigestMethod Algorithm="http://www.w3.org/2001/04/xmlenc#sha256"/>
        <DigestValue>gTHtiEkg/y98tk31+GqTgjx4J0cEarBSpm4CTtgVosw=</DigestValue>
      </Reference>
      <Reference URI="/xl/worksheets/sheet5.xml?ContentType=application/vnd.openxmlformats-officedocument.spreadsheetml.worksheet+xml">
        <DigestMethod Algorithm="http://www.w3.org/2001/04/xmlenc#sha256"/>
        <DigestValue>j79NAAk3iGE/WyjJYnFDmNaggXUepcKxwqvzkIH12T8=</DigestValue>
      </Reference>
      <Reference URI="/xl/worksheets/sheet6.xml?ContentType=application/vnd.openxmlformats-officedocument.spreadsheetml.worksheet+xml">
        <DigestMethod Algorithm="http://www.w3.org/2001/04/xmlenc#sha256"/>
        <DigestValue>0sSSGfEZI1Mv21AlsekrX8wZgVbNzWDNVk4wGLDkQ14=</DigestValue>
      </Reference>
    </Manifest>
    <SignatureProperties>
      <SignatureProperty Id="idSignatureTime" Target="#idPackageSignature">
        <mdssi:SignatureTime xmlns:mdssi="http://schemas.openxmlformats.org/package/2006/digital-signature">
          <mdssi:Format>YYYY-MM-DDThh:mm:ssTZD</mdssi:Format>
          <mdssi:Value>2025-04-03T10:31:39Z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16.0.17328/26</OfficeVersion>
          <ApplicationVersion>16.0.17328</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2025-04-03T10:31:39Z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2025-04-03T10:31:22Z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