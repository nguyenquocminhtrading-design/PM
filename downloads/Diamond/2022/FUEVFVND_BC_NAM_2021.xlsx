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filterPrivacy="1" codeName="ThisWorkbook" defaultThemeVersion="124226"/>
  <xr:revisionPtr revIDLastSave="0" documentId="13_ncr:1_{9E41BD7A-0A1F-4F04-8659-E3FB712ED301}" xr6:coauthVersionLast="47" xr6:coauthVersionMax="47" xr10:uidLastSave="{00000000-0000-0000-0000-000000000000}"/>
  <bookViews>
    <workbookView xWindow="-110" yWindow="-110" windowWidth="19420" windowHeight="10420" firstSheet="4" activeTab="6" xr2:uid="{00000000-000D-0000-FFFF-FFFF00000000}"/>
  </bookViews>
  <sheets>
    <sheet name="TONGQUAN" sheetId="20" r:id="rId1"/>
    <sheet name="BCTaiSan_06134" sheetId="8" r:id="rId2"/>
    <sheet name="BCKetQuaHoatDong_06135" sheetId="9" r:id="rId3"/>
    <sheet name="BCDanhMucDauTu_06136" sheetId="10" r:id="rId4"/>
    <sheet name="BCHDVay_GDMuaBanLai" sheetId="16" r:id="rId5"/>
    <sheet name="Khac_06137" sheetId="17" r:id="rId6"/>
    <sheet name="ThongKePhiGiaoDich_06145" sheetId="19" r:id="rId7"/>
    <sheet name="BCThuNhap_06203" sheetId="13" r:id="rId8"/>
    <sheet name="BCTinhHinhTaiChinh_06105" sheetId="12" r:id="rId9"/>
    <sheet name="GTTSRong_06107" sheetId="14" r:id="rId10"/>
    <sheet name="BCLCGT_06262" sheetId="15" r:id="rId11"/>
  </sheets>
  <definedNames>
    <definedName name="_xlnm._FilterDatabase" localSheetId="6" hidden="1">ThongKePhiGiaoDich_06145!$A$20:$N$26</definedName>
    <definedName name="_xlnm.Print_Area" localSheetId="4">BCHDVay_GDMuaBanLai!$A$1:$K$36</definedName>
    <definedName name="_xlnm.Print_Area" localSheetId="0">TONGQUAN!$A$1:$I$47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13" i="20" l="1"/>
  <c r="F27" i="19" l="1"/>
  <c r="C13" i="16" l="1"/>
  <c r="G76" i="13" l="1"/>
  <c r="F76" i="13"/>
  <c r="E76" i="13"/>
  <c r="D76" i="13"/>
  <c r="G60" i="13"/>
  <c r="F60" i="13"/>
  <c r="E60" i="13"/>
  <c r="D60" i="13"/>
  <c r="G53" i="13"/>
  <c r="F53" i="13"/>
  <c r="E53" i="13"/>
  <c r="D53" i="13"/>
  <c r="G45" i="13"/>
  <c r="F45" i="13"/>
  <c r="E45" i="13"/>
  <c r="D45" i="13"/>
  <c r="G36" i="13"/>
  <c r="G35" i="13" s="1"/>
  <c r="F36" i="13"/>
  <c r="F35" i="13" s="1"/>
  <c r="E36" i="13"/>
  <c r="E35" i="13" s="1"/>
  <c r="D36" i="13"/>
  <c r="D35" i="13" s="1"/>
  <c r="G26" i="13"/>
  <c r="F26" i="13"/>
  <c r="E26" i="13"/>
  <c r="D26" i="13"/>
  <c r="G23" i="13"/>
  <c r="F23" i="13"/>
  <c r="E23" i="13"/>
  <c r="D23" i="13"/>
  <c r="G20" i="13"/>
  <c r="F20" i="13"/>
  <c r="E20" i="13"/>
  <c r="D20" i="13"/>
  <c r="D43" i="13" l="1"/>
  <c r="E43" i="13"/>
  <c r="E75" i="13" s="1"/>
  <c r="E79" i="13" s="1"/>
  <c r="E83" i="13" s="1"/>
  <c r="G43" i="13"/>
  <c r="F43" i="13"/>
  <c r="E19" i="13"/>
  <c r="F19" i="13"/>
  <c r="G19" i="13"/>
  <c r="G75" i="13" s="1"/>
  <c r="G79" i="13" s="1"/>
  <c r="G83" i="13" s="1"/>
  <c r="D19" i="13"/>
  <c r="D75" i="13" s="1"/>
  <c r="D79" i="13" s="1"/>
  <c r="D83" i="13" s="1"/>
  <c r="F118" i="12"/>
  <c r="E118" i="12"/>
  <c r="F114" i="12"/>
  <c r="E114" i="12"/>
  <c r="F110" i="12"/>
  <c r="E110" i="12"/>
  <c r="F102" i="12"/>
  <c r="F99" i="12" s="1"/>
  <c r="E102" i="12"/>
  <c r="E99" i="12" s="1"/>
  <c r="F88" i="12"/>
  <c r="F86" i="12" s="1"/>
  <c r="E88" i="12"/>
  <c r="E86" i="12" s="1"/>
  <c r="F76" i="12"/>
  <c r="E76" i="12"/>
  <c r="F71" i="12"/>
  <c r="E71" i="12"/>
  <c r="F58" i="12"/>
  <c r="F56" i="12" s="1"/>
  <c r="E58" i="12"/>
  <c r="E56" i="12" s="1"/>
  <c r="F50" i="12"/>
  <c r="E50" i="12"/>
  <c r="F43" i="12"/>
  <c r="E43" i="12"/>
  <c r="F28" i="12"/>
  <c r="F27" i="12" s="1"/>
  <c r="E28" i="12"/>
  <c r="E27" i="12" s="1"/>
  <c r="F20" i="12"/>
  <c r="F19" i="12" s="1"/>
  <c r="E20" i="12"/>
  <c r="E19" i="12" s="1"/>
  <c r="E42" i="12" l="1"/>
  <c r="E39" i="12" s="1"/>
  <c r="E65" i="12" s="1"/>
  <c r="F42" i="12"/>
  <c r="F39" i="12" s="1"/>
  <c r="F65" i="12" s="1"/>
  <c r="F75" i="13"/>
  <c r="F79" i="13" s="1"/>
  <c r="F83" i="13" s="1"/>
  <c r="E108" i="12"/>
  <c r="F108" i="12"/>
  <c r="F109" i="12" l="1"/>
  <c r="E109" i="12"/>
</calcChain>
</file>

<file path=xl/sharedStrings.xml><?xml version="1.0" encoding="utf-8"?>
<sst xmlns="http://schemas.openxmlformats.org/spreadsheetml/2006/main" count="1626" uniqueCount="1167">
  <si>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</si>
  <si>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</si>
  <si>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</si>
  <si>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Năm 2021 / Year 2021</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</si>
  <si>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</si>
  <si>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</si>
  <si>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</si>
  <si>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</si>
  <si>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</si>
  <si>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</si>
  <si>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</si>
  <si>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</si>
  <si>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</si>
  <si>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</si>
  <si>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</si>
  <si>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</si>
  <si>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</si>
  <si>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</si>
  <si>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</si>
  <si>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</si>
  <si>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</si>
  <si>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</si>
  <si>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</si>
  <si>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</si>
  <si>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</si>
  <si>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</si>
  <si>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</si>
  <si>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</si>
  <si>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năm2021 
As at 31 Dec 2021</t>
  </si>
  <si>
    <t>Tại ngày 31 tháng 12  năm 2020 
As at 31 Dec 2020</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</si>
  <si>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</si>
  <si>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</si>
  <si>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</si>
  <si>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</si>
  <si>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</si>
  <si>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</si>
  <si>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</si>
  <si>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</si>
  <si>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</si>
  <si>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</si>
  <si>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</si>
  <si>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</si>
  <si>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</si>
  <si>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</si>
  <si>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</si>
  <si>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</si>
  <si>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</si>
  <si>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</si>
  <si>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</si>
  <si>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</si>
  <si>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</si>
  <si>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</si>
  <si>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</si>
  <si>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</si>
  <si>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</si>
  <si>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</si>
  <si>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</si>
  <si>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</si>
  <si>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</si>
  <si>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</si>
  <si>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</si>
  <si>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</si>
  <si>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</si>
  <si>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</si>
  <si>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</si>
  <si>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</si>
  <si>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</si>
  <si>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</si>
  <si>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</si>
  <si>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</si>
  <si>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</si>
  <si>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</si>
  <si>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</si>
  <si>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</si>
  <si>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</si>
  <si>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</si>
  <si>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</si>
  <si>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</si>
  <si>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</si>
  <si>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</si>
  <si>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</si>
  <si>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</si>
  <si>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</si>
  <si>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</si>
  <si>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</si>
  <si>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</si>
  <si>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</si>
  <si>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</si>
  <si>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</si>
  <si>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</si>
  <si>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</si>
  <si>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</si>
  <si>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</si>
  <si>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</si>
  <si>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</si>
  <si>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</si>
  <si>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</si>
  <si>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</si>
  <si>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</si>
  <si>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</si>
  <si>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</si>
  <si>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</si>
  <si>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</si>
  <si>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</si>
  <si>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</si>
  <si>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</si>
  <si>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</si>
  <si>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</si>
  <si>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</si>
  <si>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</si>
  <si>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</si>
  <si>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</si>
  <si>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</si>
  <si>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</si>
  <si>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</si>
  <si>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</si>
  <si>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</si>
  <si>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</si>
  <si>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</si>
  <si>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</si>
  <si>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</si>
  <si>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</si>
  <si>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</si>
  <si>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</si>
  <si>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</si>
  <si>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</si>
  <si>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</si>
  <si>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</si>
  <si>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</si>
  <si>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</si>
  <si>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</si>
  <si>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</si>
  <si>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</si>
  <si>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</si>
  <si>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</si>
  <si>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</si>
  <si>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</si>
  <si>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</si>
  <si>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</si>
  <si>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</si>
  <si>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</si>
  <si>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</si>
  <si>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</si>
  <si>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</si>
  <si>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</si>
  <si>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</si>
  <si>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</si>
  <si>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</si>
  <si>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</si>
  <si>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</si>
  <si>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</si>
  <si>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</si>
  <si>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</si>
  <si>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</si>
  <si>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</si>
  <si>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</si>
  <si>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</si>
  <si>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</si>
  <si>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</si>
  <si>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</si>
  <si>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</si>
  <si>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</si>
  <si>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</si>
  <si>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</si>
  <si>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</si>
  <si>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</si>
  <si>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</si>
  <si>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</si>
  <si>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</si>
  <si>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</si>
  <si>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</si>
  <si>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</si>
  <si>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</si>
  <si>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</si>
  <si>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</si>
  <si>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</si>
  <si>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</si>
  <si>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</si>
  <si>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</si>
  <si>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</si>
  <si>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</si>
  <si>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</si>
  <si>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</si>
  <si>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</si>
  <si>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</si>
  <si>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</si>
  <si>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</si>
  <si>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</si>
  <si>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</si>
  <si>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</si>
  <si>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</si>
  <si>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</si>
  <si>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</si>
  <si>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</si>
  <si>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</si>
  <si>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</si>
  <si>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</si>
  <si>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</si>
  <si>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</si>
  <si>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</si>
  <si>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</si>
  <si>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</si>
  <si>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</si>
  <si>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</si>
  <si>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</si>
  <si>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</si>
  <si>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</si>
  <si>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</si>
  <si>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</si>
  <si>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</si>
  <si>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</si>
  <si>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</si>
  <si>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</si>
  <si>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</si>
  <si>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</si>
  <si>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</si>
  <si>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</si>
  <si>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</si>
  <si>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</si>
  <si>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</si>
  <si>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</si>
  <si>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</si>
  <si>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</si>
  <si>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</si>
  <si>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</si>
  <si>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</si>
  <si>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</si>
  <si>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</si>
  <si>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</si>
  <si>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</si>
  <si>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</si>
  <si>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</si>
  <si>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</si>
  <si>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</si>
  <si>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Năm 2021
Year 2021</t>
  </si>
  <si>
    <t>Năm 2020
Year 2020</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</si>
  <si>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</si>
  <si>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</si>
  <si>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</si>
  <si>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</si>
  <si>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</si>
  <si>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</si>
  <si>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</si>
  <si>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</si>
  <si>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</si>
  <si>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</si>
  <si>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</si>
  <si>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</si>
  <si>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</si>
  <si>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</si>
  <si>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</si>
  <si>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</si>
  <si>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</si>
  <si>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</si>
  <si>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</si>
  <si>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</si>
  <si>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</si>
  <si>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</si>
  <si>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</si>
  <si>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</si>
  <si>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</si>
  <si>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</si>
  <si>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</si>
  <si>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</si>
  <si>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</si>
  <si>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</si>
  <si>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</si>
  <si>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</si>
  <si>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</si>
  <si>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</si>
  <si>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</si>
  <si>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</si>
  <si>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</si>
  <si>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</si>
  <si>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</si>
  <si>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</si>
  <si>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</si>
  <si>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</si>
  <si>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</si>
  <si>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</si>
  <si>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</si>
  <si>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</si>
  <si>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</si>
  <si>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</si>
  <si>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</si>
  <si>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</si>
  <si>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</si>
  <si>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</si>
  <si>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</si>
  <si>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</si>
  <si>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</si>
  <si>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</si>
  <si>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</si>
  <si>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</si>
  <si>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</si>
  <si>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</si>
  <si>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</si>
  <si>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</si>
  <si>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</si>
  <si>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</si>
  <si>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</si>
  <si>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</si>
  <si>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</si>
  <si>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</si>
  <si>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</si>
  <si>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</si>
  <si>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</si>
  <si>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</si>
  <si>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</si>
  <si>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</si>
  <si>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</si>
  <si>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</si>
  <si>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</si>
  <si>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</si>
  <si>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</si>
  <si>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</si>
  <si>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</si>
  <si>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</si>
  <si>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</si>
  <si>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</si>
  <si>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</si>
  <si>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</si>
  <si>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</si>
  <si>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</si>
  <si>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</si>
  <si>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</si>
  <si>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</si>
  <si>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</si>
  <si>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</si>
  <si>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</si>
  <si>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</si>
  <si>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</si>
  <si>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</si>
  <si>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</si>
  <si>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</si>
  <si>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</si>
  <si>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</si>
  <si>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</si>
  <si>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</si>
  <si>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</si>
  <si>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</si>
  <si>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</si>
  <si>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</si>
  <si>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</si>
  <si>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</si>
  <si>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</si>
  <si>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</si>
  <si>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</si>
  <si>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</si>
  <si>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</si>
  <si>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</si>
  <si>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</si>
  <si>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</si>
  <si>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</si>
  <si>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</si>
  <si>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</si>
  <si>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</si>
  <si>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</si>
  <si>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</si>
  <si>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</si>
  <si>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</si>
  <si>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</si>
  <si>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</si>
  <si>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</si>
  <si>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</si>
  <si>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</si>
  <si>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</si>
  <si>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</si>
  <si>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</si>
  <si>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</si>
  <si>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</si>
  <si>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</si>
  <si>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</si>
  <si>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</si>
  <si>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</si>
  <si>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</si>
  <si>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</si>
  <si>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</si>
  <si>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</si>
  <si>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</si>
  <si>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</si>
  <si>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</si>
  <si>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</si>
  <si>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</si>
  <si>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2021 / As at 31 Dec 2021</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</si>
  <si>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</si>
  <si>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</si>
  <si>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</si>
  <si>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</si>
  <si>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</si>
  <si>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</si>
  <si>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</si>
  <si>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</si>
  <si>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</si>
  <si>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</si>
  <si>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</si>
  <si>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</si>
  <si>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</si>
  <si>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</si>
  <si>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</si>
  <si>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</si>
  <si>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</si>
  <si>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</si>
  <si>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</si>
  <si>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</si>
  <si>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</si>
  <si>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</si>
  <si>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</si>
  <si>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</si>
  <si>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</si>
  <si>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</si>
  <si>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MBB</t>
  </si>
  <si>
    <t>2246.8</t>
  </si>
  <si>
    <t>MSB</t>
  </si>
  <si>
    <t>2246.9</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</si>
  <si>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</si>
  <si>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</si>
  <si>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</si>
  <si>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</si>
  <si>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</si>
  <si>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</si>
  <si>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</si>
  <si>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</si>
  <si>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</si>
  <si>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</si>
  <si>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</si>
  <si>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</si>
  <si>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</si>
  <si>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</si>
  <si>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</si>
  <si>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</si>
  <si>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</si>
  <si>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</si>
  <si>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</si>
  <si>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</si>
  <si>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</si>
  <si>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</si>
  <si>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</si>
  <si>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</si>
  <si>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</si>
  <si>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</si>
  <si>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</si>
  <si>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</si>
  <si>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</si>
  <si>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</si>
  <si>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</si>
  <si>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</si>
  <si>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</si>
  <si>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</si>
  <si>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</si>
  <si>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</si>
  <si>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</si>
  <si>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</si>
  <si>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</si>
  <si>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</si>
  <si>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</si>
  <si>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</si>
  <si>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</si>
  <si>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</si>
  <si>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</si>
  <si>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</si>
  <si>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</si>
  <si>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</si>
  <si>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</si>
  <si>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</si>
  <si>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</si>
  <si>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</si>
  <si>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</si>
  <si>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</si>
  <si>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</si>
  <si>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</si>
  <si>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</si>
  <si>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</si>
  <si>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</si>
  <si>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</si>
  <si>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</si>
  <si>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</si>
  <si>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</si>
  <si>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</si>
  <si>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</si>
  <si>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</si>
  <si>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</si>
  <si>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</si>
  <si>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</si>
  <si>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</si>
  <si>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</si>
  <si>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</si>
  <si>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</si>
  <si>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</si>
  <si>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</si>
  <si>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</si>
  <si>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</si>
  <si>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</si>
  <si>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</si>
  <si>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</si>
  <si>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</si>
  <si>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</si>
  <si>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</si>
  <si>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</si>
  <si>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</si>
  <si>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</si>
  <si>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</si>
  <si>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</si>
  <si>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</si>
  <si>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</si>
  <si>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</si>
  <si>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</si>
  <si>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</si>
  <si>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</si>
  <si>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</si>
  <si>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</si>
  <si>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</si>
  <si>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</si>
  <si>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</si>
  <si>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</si>
  <si>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</si>
  <si>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</si>
  <si>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</si>
  <si>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</si>
  <si>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</si>
  <si>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</si>
  <si>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</si>
  <si>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</si>
  <si>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</si>
  <si>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</si>
  <si>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</si>
  <si>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</si>
  <si>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</si>
  <si>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</si>
  <si>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</si>
  <si>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</si>
  <si>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</si>
  <si>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</si>
  <si>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</si>
  <si>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</si>
  <si>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</si>
  <si>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</si>
  <si>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</si>
  <si>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</si>
  <si>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</si>
  <si>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</si>
  <si>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</si>
  <si>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</si>
  <si>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</si>
  <si>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</si>
  <si>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</si>
  <si>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</si>
  <si>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</si>
  <si>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</si>
  <si>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</si>
  <si>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</si>
  <si>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</si>
  <si>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</si>
  <si>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</si>
  <si>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</si>
  <si>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</si>
  <si>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</si>
  <si>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</si>
  <si>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</si>
  <si>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</si>
  <si>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</si>
  <si>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</si>
  <si>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</si>
  <si>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</si>
  <si>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</si>
  <si>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</si>
  <si>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</si>
  <si>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</si>
  <si>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</si>
  <si>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</si>
  <si>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</si>
  <si>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</si>
  <si>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</si>
  <si>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</si>
  <si>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</si>
  <si>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</si>
  <si>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</si>
  <si>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</si>
  <si>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</si>
  <si>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</si>
  <si>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</si>
  <si>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</si>
  <si>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</si>
  <si>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</si>
  <si>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Tại ngày 31 tháng 12  năm 2021 
As at 31 Dec 2021</t>
  </si>
  <si>
    <t>Tại ngày 31 tháng 12  năm 2020 
As at 31 Dec 2020</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</si>
  <si>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</si>
  <si>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</si>
  <si>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</si>
  <si>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</si>
  <si>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</si>
  <si>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</si>
  <si>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</si>
  <si>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</si>
  <si>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</si>
  <si>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</si>
  <si>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</si>
  <si>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</si>
  <si>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</si>
  <si>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</si>
  <si>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</si>
  <si>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</si>
  <si>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</si>
  <si>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</si>
  <si>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</si>
  <si>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</si>
  <si>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</si>
  <si>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</si>
  <si>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</si>
  <si>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</si>
  <si>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</si>
  <si>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</si>
  <si>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</si>
  <si>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</si>
  <si>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</si>
  <si>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</si>
  <si>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</si>
  <si>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</si>
  <si>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</si>
  <si>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</si>
  <si>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</si>
  <si>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</si>
  <si>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</si>
  <si>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</si>
  <si>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</si>
  <si>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</si>
  <si>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</si>
  <si>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</si>
  <si>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</si>
  <si>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</si>
  <si>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</si>
  <si>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</si>
  <si>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</si>
  <si>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</si>
  <si>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</si>
  <si>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</si>
  <si>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</si>
  <si>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</si>
  <si>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</si>
  <si>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</si>
  <si>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</si>
  <si>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</si>
  <si>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</si>
  <si>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</si>
  <si>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</si>
  <si>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</si>
  <si>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</si>
  <si>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</si>
  <si>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</si>
  <si>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</si>
  <si>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</si>
  <si>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</si>
  <si>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</si>
  <si>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</si>
  <si>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</si>
  <si>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</si>
  <si>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</si>
  <si>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</si>
  <si>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</si>
  <si>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</si>
  <si>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</si>
  <si>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</si>
  <si>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</si>
  <si>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</si>
  <si>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</si>
  <si>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</si>
  <si>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</si>
  <si>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</si>
  <si>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</si>
  <si>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</si>
  <si>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</si>
  <si>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</si>
  <si>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</si>
  <si>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</si>
  <si>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</si>
  <si>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</si>
  <si>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</si>
  <si>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</si>
  <si>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</si>
  <si>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</si>
  <si>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</si>
  <si>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</si>
  <si>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</si>
  <si>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</si>
  <si>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</si>
  <si>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</si>
  <si>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</si>
  <si>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</si>
  <si>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</si>
  <si>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</si>
  <si>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</si>
  <si>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</si>
  <si>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</si>
  <si>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</si>
  <si>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</si>
  <si>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</si>
  <si>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</si>
  <si>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</si>
  <si>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</si>
  <si>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</si>
  <si>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</si>
  <si>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</si>
  <si>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</si>
  <si>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</si>
  <si>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</si>
  <si>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</si>
  <si>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</si>
  <si>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</si>
  <si>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</si>
  <si>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</si>
  <si>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</si>
  <si>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</si>
  <si>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</si>
  <si>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</si>
  <si>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</si>
  <si>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</si>
  <si>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</si>
  <si>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</si>
  <si>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</si>
  <si>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</si>
  <si>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</si>
  <si>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</si>
  <si>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</si>
  <si>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</si>
  <si>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</si>
  <si>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</si>
  <si>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</si>
  <si>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</si>
  <si>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</si>
  <si>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</si>
  <si>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</si>
  <si>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</si>
  <si>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</si>
  <si>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</si>
  <si>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</si>
  <si>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</si>
  <si>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</si>
  <si>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</si>
  <si>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</si>
  <si>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</si>
  <si>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</si>
  <si>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</si>
  <si>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</si>
  <si>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</si>
  <si>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</si>
  <si>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</si>
  <si>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</si>
  <si>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</si>
  <si>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</si>
  <si>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</si>
  <si>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</si>
  <si>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</si>
  <si>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</si>
  <si>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</si>
  <si>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</si>
  <si>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</si>
  <si>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</si>
  <si>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</si>
  <si>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</si>
  <si>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</si>
  <si>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</si>
  <si>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</si>
  <si>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</si>
  <si>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</si>
  <si>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</si>
  <si>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</si>
  <si>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</si>
  <si>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</si>
  <si>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</si>
  <si>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</si>
  <si>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</si>
  <si>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</si>
  <si>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</si>
  <si>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</si>
  <si>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</si>
  <si>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</si>
  <si>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</si>
  <si>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</si>
  <si>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</si>
  <si>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</si>
  <si>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</si>
  <si>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</si>
  <si>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</si>
  <si>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</si>
  <si>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</si>
  <si>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</si>
  <si>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</si>
  <si>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</si>
  <si>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</si>
  <si>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</si>
  <si>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</si>
  <si>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</si>
  <si>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</si>
  <si>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</si>
  <si>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</si>
  <si>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</si>
  <si>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</si>
  <si>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</si>
  <si>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</si>
  <si>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</si>
  <si>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</si>
  <si>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</si>
  <si>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</si>
  <si>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</si>
  <si>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</si>
  <si>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</si>
  <si>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</si>
  <si>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</si>
  <si>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</si>
  <si>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</si>
  <si>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</si>
  <si>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</si>
  <si>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</si>
  <si>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</si>
  <si>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</si>
  <si>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</si>
  <si>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</si>
  <si>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</si>
  <si>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</si>
  <si>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</si>
  <si>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</si>
  <si>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</si>
  <si>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</si>
  <si>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</si>
  <si>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2021
YEAR 2021</t>
  </si>
  <si>
    <t>NĂM 2020
YEAR 2020</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</si>
  <si>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</si>
  <si>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</si>
  <si>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</si>
  <si>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</si>
  <si>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</si>
  <si>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</si>
  <si>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</si>
  <si>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</si>
  <si>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</si>
  <si>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</si>
  <si>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</si>
  <si>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</si>
  <si>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</si>
  <si>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</si>
  <si>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</si>
  <si>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</si>
  <si>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</si>
  <si>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</si>
  <si>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</si>
  <si>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</si>
  <si>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</si>
  <si>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</si>
  <si>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</si>
  <si>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</si>
  <si>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</si>
  <si>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</si>
  <si>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</si>
  <si>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</si>
  <si>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</si>
  <si>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</si>
  <si>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</si>
  <si>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</si>
  <si>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</si>
  <si>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</si>
  <si>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</si>
  <si>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</si>
  <si>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</si>
  <si>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</si>
  <si>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</si>
  <si>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</si>
  <si>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</si>
  <si>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</si>
  <si>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</si>
  <si>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</si>
  <si>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</si>
  <si>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</si>
  <si>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</si>
  <si>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</si>
  <si>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</si>
  <si>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</si>
  <si>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</si>
  <si>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</si>
  <si>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</si>
  <si>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</si>
  <si>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</si>
  <si>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</si>
  <si>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</si>
  <si>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</si>
  <si>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</si>
  <si>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</si>
  <si>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</si>
  <si>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</si>
  <si>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</si>
  <si>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</si>
  <si>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</si>
  <si>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</si>
  <si>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</si>
  <si>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</si>
  <si>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</si>
  <si>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</si>
  <si>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</si>
  <si>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</si>
  <si>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</si>
  <si>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</si>
  <si>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</si>
  <si>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</si>
  <si>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</si>
  <si>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</si>
  <si>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</si>
  <si>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</si>
  <si>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</si>
  <si>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</si>
  <si>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</si>
  <si>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</si>
  <si>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</si>
  <si>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</si>
  <si>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</si>
  <si>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</si>
  <si>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</si>
  <si>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</si>
  <si>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</si>
  <si>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</si>
  <si>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</si>
  <si>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</si>
  <si>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</si>
  <si>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</si>
  <si>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</si>
  <si>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</si>
  <si>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</si>
  <si>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</si>
  <si>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</si>
  <si>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</si>
  <si>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</si>
  <si>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</si>
  <si>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</si>
  <si>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</si>
  <si>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</si>
  <si>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</si>
  <si>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</si>
  <si>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</si>
  <si>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</si>
  <si>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</si>
  <si>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</si>
  <si>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</si>
  <si>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</si>
  <si>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</si>
  <si>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</si>
  <si>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</si>
  <si>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</si>
  <si>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</si>
  <si>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</si>
  <si>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</si>
  <si>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</si>
  <si>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</si>
  <si>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</si>
  <si>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</si>
  <si>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</si>
  <si>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</si>
  <si>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</si>
  <si>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</si>
  <si>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</si>
  <si>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</si>
  <si>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</si>
  <si>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</si>
  <si>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</si>
  <si>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</si>
  <si>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</si>
  <si>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</si>
  <si>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</si>
  <si>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</si>
  <si>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</si>
  <si>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</si>
  <si>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</si>
  <si>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</si>
  <si>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</si>
  <si>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</si>
  <si>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</si>
  <si>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</si>
  <si>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</si>
  <si>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</si>
  <si>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</si>
  <si>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</si>
  <si>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</si>
  <si>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</si>
  <si>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</si>
  <si>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</si>
  <si>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</si>
  <si>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</si>
  <si>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</si>
  <si>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</si>
  <si>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</si>
  <si>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</si>
  <si>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</si>
  <si>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</si>
  <si>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</si>
  <si>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</si>
  <si>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</si>
  <si>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</si>
  <si>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</si>
  <si>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</si>
  <si>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</si>
  <si>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</si>
  <si>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</si>
  <si>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</si>
  <si>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</si>
  <si>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</si>
  <si>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</si>
  <si>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</si>
  <si>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</si>
  <si>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</si>
  <si>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</si>
  <si>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</si>
  <si>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</si>
  <si>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</si>
  <si>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</si>
  <si>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</si>
  <si>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</si>
  <si>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</si>
  <si>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</si>
  <si>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</si>
  <si>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</si>
  <si>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</si>
  <si>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</si>
  <si>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</si>
  <si>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</si>
  <si>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</si>
  <si>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</si>
  <si>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</si>
  <si>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</si>
  <si>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</si>
  <si>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</si>
  <si>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</si>
  <si>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</si>
  <si>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</si>
  <si>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</si>
  <si>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</si>
  <si>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</si>
  <si>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</si>
  <si>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</si>
  <si>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</si>
  <si>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</si>
  <si>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</si>
  <si>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</si>
  <si>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</si>
  <si>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</si>
  <si>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</si>
  <si>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</si>
  <si>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</si>
  <si>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</si>
  <si>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</si>
  <si>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</si>
  <si>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</si>
  <si>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</si>
  <si>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</si>
  <si>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</si>
  <si>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</si>
  <si>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</si>
  <si>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</si>
  <si>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</si>
  <si>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</si>
  <si>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Ngân hàng TMCP Ngoại thương Việt Nam - CN TP.HCM</t>
  </si>
  <si>
    <t xml:space="preserve">Supervising bank: </t>
  </si>
  <si>
    <t>Quỹ ETF DCVFMVN Diamond (FUEVFVND)</t>
  </si>
  <si>
    <t xml:space="preserve">Fund name: </t>
  </si>
  <si>
    <t>DCVFMVN Diamond ETF (FUEVFVND)</t>
  </si>
  <si>
    <t>A</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</si>
  <si>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</si>
  <si>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</si>
  <si>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</si>
  <si>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</si>
  <si>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</si>
  <si>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</si>
  <si>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</si>
  <si>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</si>
  <si>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</si>
  <si>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</si>
  <si>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</si>
  <si>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</si>
  <si>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</si>
  <si>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</si>
  <si>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</si>
  <si>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</si>
  <si>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</si>
  <si>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</si>
  <si>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</si>
  <si>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</si>
  <si>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</si>
  <si>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</si>
  <si>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</si>
  <si>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</si>
  <si>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</si>
  <si>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</si>
  <si>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</si>
  <si>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</si>
  <si>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</si>
  <si>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B</t>
  </si>
  <si>
    <t>Tổng giá trị các khoản cho vay/giá trị tài sản ròng  (=III + IV)
Total Loans/NAV (=III+IV)</t>
  </si>
  <si>
    <t>2297</t>
  </si>
  <si>
    <t>NGÂN HÀNG TMCP NGOẠI THƯƠNG VIỆT NAM - CN TP.HCM</t>
  </si>
  <si>
    <t>CTCP Quản Lý Quỹ Đầu Tư Dragon Capital Việt Nam</t>
  </si>
  <si>
    <t>(Ban hành kèm theo Thông tư số 98/2020/TT-BTC ngày 16 tháng 11  năm 2020 của Bộ trưởng Bộ Tài chính)
(Issued in association with Circular 98/2020/TT-BTC dated 16 Nov 2020 by Ministry of Finance)</t>
  </si>
  <si>
    <t>A. BÁO CÁO CHUNG VỀ HOẠT ĐỘNG ĐẦU TƯ CỦA QUỸ/GENERAL INFORMATION ON FUND'S INVESTMENT ACTIVITIES</t>
  </si>
  <si>
    <t>VI. THỐNG KÊ GIÁ DỊCH VỤ GIAO DỊCH/DETAILS OF TRANSACTION FEES</t>
  </si>
  <si>
    <t>Tên Công ty Quản lý Quỹ:</t>
  </si>
  <si>
    <t>Ngân hàng Giám sát:</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</si>
  <si>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</si>
  <si>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</si>
  <si>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</si>
  <si>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</si>
  <si>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</si>
  <si>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</si>
  <si>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</si>
  <si>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</si>
  <si>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</si>
  <si>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</si>
  <si>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</si>
  <si>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</si>
  <si>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</si>
  <si>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</si>
  <si>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</si>
  <si>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</si>
  <si>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Công ty Cổ phần Chứng khoán Bảo Việt</t>
  </si>
  <si>
    <t>Công ty CP Chứng khoán Bản Việt</t>
  </si>
  <si>
    <t>Công ty Cổ phần Chứng khoán Thành Phố Hồ Chí Minh</t>
  </si>
  <si>
    <t>Công ty Cổ phần Chứng khoán KIS Việt Nam</t>
  </si>
  <si>
    <t>Công ty Cổ phần Chứng Khoán Tân Việt</t>
  </si>
  <si>
    <t>Tổng cộng:</t>
  </si>
  <si>
    <t>Đại diện có thẩm quyền của Công ty Quản lý Quỹ</t>
  </si>
  <si>
    <t>Kỳ báo cáo:</t>
  </si>
  <si>
    <t>Tại ngày 31 tháng 12 năm 2021/ As at 31 Dec 2021</t>
  </si>
  <si>
    <t>Thông tin chung:</t>
  </si>
  <si>
    <t>Người ký báo cáo:</t>
  </si>
  <si>
    <t>Đại diện có thẩm quyền của Công ty quản lý Quỹ</t>
  </si>
  <si>
    <t>NGÔ THÙY DƯƠNG</t>
  </si>
  <si>
    <t>NGUYỄN MINH ĐĂNG KHÁNH</t>
  </si>
  <si>
    <t>Nội dung</t>
  </si>
  <si>
    <t>Tên sheet</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</si>
  <si>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</si>
  <si>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</si>
  <si>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</si>
  <si>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</si>
  <si>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</si>
  <si>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</si>
  <si>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</si>
  <si>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</si>
  <si>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</si>
  <si>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</si>
  <si>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</si>
  <si>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</si>
  <si>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</si>
  <si>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</si>
  <si>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</si>
  <si>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</si>
  <si>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</si>
  <si>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</si>
  <si>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</si>
  <si>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</si>
  <si>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</si>
  <si>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</si>
  <si>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</si>
  <si>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</si>
  <si>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</si>
  <si>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</si>
  <si>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</si>
  <si>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</si>
  <si>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</si>
  <si>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</si>
  <si>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</si>
  <si>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Năm 2021/ Year 2021</t>
  </si>
  <si>
    <t>Không liên quan</t>
  </si>
  <si>
    <t>3. Tiền vay gốc
Principle borrowings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</si>
</sst>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0%"/>
    <numFmt numFmtId="165" formatCode="#,##0;\(#,##0\);"/>
    <numFmt numFmtId="166" formatCode="&quot;&quot;#,##0"/>
    <numFmt numFmtId="167" formatCode="_(* #,##0_);_(* \(#,##0\);_(* &quot;-&quot;??_);_(@_)"/>
    <numFmt numFmtId="168" formatCode="_-* #,##0.00&quot; &quot;_₫_-;\-* #,##0.00&quot; &quot;_₫_-;_-* &quot;-&quot;??&quot; &quot;_₫_-;_-@_-"/>
    <numFmt numFmtId="169" formatCode="[$-409]d\-mmm\-yyyy;@"/>
    <numFmt numFmtId="170" formatCode="_-* #,##0.00\ _₫_-;\-* #,##0.00\ _₫_-;_-* &quot;-&quot;??\ _₫_-;_-@_-"/>
    <numFmt numFmtId="171" formatCode="[$-1010000]d/m/yyyy;@"/>
    <numFmt numFmtId="172" formatCode="#,##0.000%"/>
    <numFmt numFmtId="173" formatCode="dd/mmm/yyyy"/>
    <numFmt numFmtId="174" formatCode="0.000000000000000000%"/>
  </numFmts>
  <fonts count="41">
    <font>
      <sz val="11"/>
      <color theme="1"/>
      <name val="Calibri"/>
      <family val="2"/>
      <scheme val="minor"/>
    </font>
    <font>
      <sz val="10"/>
      <color theme="1"/>
      <name val="Calibri"/>
      <family val="2"/>
      <scheme val="minor"/>
    </font>
    <font>
      <sz val="11"/>
      <color theme="1"/>
      <name val="Calibri"/>
      <family val="2"/>
      <scheme val="minor"/>
    </font>
    <font>
      <sz val="8"/>
      <color rgb="FF000000"/>
      <name val="Tahoma"/>
      <family val="2"/>
    </font>
    <font>
      <sz val="11"/>
      <color indexed="8"/>
      <name val="Calibri"/>
      <family val="2"/>
      <scheme val="minor"/>
    </font>
    <font>
      <sz val="8"/>
      <color indexed="8"/>
      <name val="Tahoma"/>
      <family val="2"/>
    </font>
    <font>
      <b/>
      <sz val="8"/>
      <color indexed="8"/>
      <name val="Tahoma"/>
      <family val="2"/>
    </font>
    <font>
      <i/>
      <sz val="7"/>
      <color indexed="8"/>
      <name val="Tahoma"/>
      <family val="2"/>
    </font>
    <font>
      <b/>
      <sz val="9"/>
      <color indexed="8"/>
      <name val="Tahoma"/>
      <family val="2"/>
    </font>
    <font>
      <i/>
      <sz val="8"/>
      <color indexed="8"/>
      <name val="Tahoma"/>
      <family val="2"/>
    </font>
    <font>
      <sz val="8"/>
      <color theme="1"/>
      <name val="Tahoma"/>
      <family val="2"/>
    </font>
    <font>
      <b/>
      <i/>
      <sz val="8"/>
      <color indexed="8"/>
      <name val="Tahoma"/>
      <family val="2"/>
    </font>
    <font>
      <sz val="11"/>
      <name val="Times New Roman"/>
      <family val="1"/>
    </font>
    <font>
      <sz val="10"/>
      <color indexed="8"/>
      <name val="Calibri"/>
      <family val="2"/>
      <scheme val="minor"/>
    </font>
    <font>
      <b/>
      <sz val="8"/>
      <color theme="1"/>
      <name val="Tahoma"/>
      <family val="2"/>
    </font>
    <font>
      <sz val="8"/>
      <name val="Tahoma"/>
      <family val="2"/>
    </font>
    <font>
      <sz val="8"/>
      <color theme="0"/>
      <name val="Tahoma"/>
      <family val="2"/>
    </font>
    <font>
      <sz val="12"/>
      <name val=".VnTime"/>
      <family val="2"/>
    </font>
    <font>
      <b/>
      <sz val="8"/>
      <name val="Tahoma"/>
      <family val="2"/>
    </font>
    <font>
      <sz val="10"/>
      <color indexed="8"/>
      <name val="Arial"/>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2"/>
      <color indexed="8"/>
      <name val="Times New Roman"/>
      <family val="1"/>
    </font>
    <font>
      <i/>
      <sz val="12"/>
      <color theme="1"/>
      <name val="Times New Roman"/>
      <family val="1"/>
    </font>
    <font>
      <b/>
      <sz val="12"/>
      <color indexed="8"/>
      <name val="Times New Roman"/>
      <family val="1"/>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
      <i/>
      <sz val="7.5"/>
      <color indexed="8"/>
      <name val="Tahoma"/>
      <family val="2"/>
    </font>
    <font>
      <b/>
      <sz val="10"/>
      <color indexed="8"/>
      <name val="Tahoma"/>
      <family val="2"/>
    </font>
  </fonts>
  <fills count="9">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bgColor indexed="64"/>
      </patternFill>
    </fill>
    <fill>
      <patternFill patternType="solid">
        <fgColor rgb="FFFFFFF0"/>
        <bgColor indexed="64"/>
      </patternFill>
    </fill>
    <fill>
      <patternFill patternType="solid">
        <fgColor rgb="FFFAFAD2"/>
        <bgColor indexed="64"/>
      </patternFill>
    </fill>
    <fill>
      <patternFill patternType="solid">
        <fgColor theme="0" tint="-4.9989318521683403E-2"/>
        <bgColor indexed="64"/>
      </patternFill>
    </fill>
  </fills>
  <borders count="45">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rgb="FFA0A0A0"/>
      </right>
      <top/>
      <bottom style="thin">
        <color rgb="FFA0A0A0"/>
      </bottom>
      <diagonal/>
    </border>
    <border>
      <left/>
      <right style="thin">
        <color indexed="8"/>
      </right>
      <top/>
      <bottom style="thin">
        <color rgb="FFA0A0A0"/>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rgb="FFE3E3E3"/>
      </bottom>
      <diagonal/>
    </border>
  </borders>
  <cellStyleXfs count="12">
    <xf numFmtId="0" fontId="0" fillId="0" borderId="0"/>
    <xf numFmtId="0" fontId="1" fillId="0" borderId="0"/>
    <xf numFmtId="43" fontId="2" fillId="0" borderId="0" applyFont="0" applyFill="0" applyBorder="0" applyAlignment="0" applyProtection="0"/>
    <xf numFmtId="0" fontId="4" fillId="0" borderId="0">
      <alignment vertical="center"/>
    </xf>
    <xf numFmtId="0" fontId="2" fillId="0" borderId="0"/>
    <xf numFmtId="168" fontId="12" fillId="0" borderId="0" applyFont="0" applyFill="0" applyBorder="0" applyAlignment="0" applyProtection="0"/>
    <xf numFmtId="0" fontId="1" fillId="0" borderId="0"/>
    <xf numFmtId="0" fontId="13" fillId="0" borderId="0">
      <alignment vertical="center"/>
    </xf>
    <xf numFmtId="0" fontId="17" fillId="0" borderId="0"/>
    <xf numFmtId="43" fontId="19" fillId="0" borderId="0" applyFont="0" applyFill="0" applyBorder="0" applyAlignment="0" applyProtection="0">
      <alignment vertical="center"/>
    </xf>
    <xf numFmtId="9" fontId="19" fillId="0" borderId="0" applyFont="0" applyFill="0" applyBorder="0" applyAlignment="0" applyProtection="0">
      <alignment vertical="center"/>
    </xf>
    <xf numFmtId="0" fontId="30" fillId="0" borderId="0" applyNumberFormat="0" applyFill="0" applyBorder="0" applyAlignment="0" applyProtection="0"/>
  </cellStyleXfs>
  <cellXfs count="438">
    <xf numFmtId="0" fontId="0" fillId="0" borderId="0" xfId="0"/>
    <xf numFmtId="0" fontId="5" fillId="0" borderId="0" xfId="3" applyFont="1">
      <alignment vertical="center"/>
    </xf>
    <xf numFmtId="0" fontId="5" fillId="4" borderId="0" xfId="3" applyNumberFormat="1" applyFont="1" applyFill="1" applyBorder="1" applyAlignment="1" applyProtection="1">
      <alignment horizontal="left" vertical="top"/>
    </xf>
    <xf numFmtId="0" fontId="6" fillId="4" borderId="0" xfId="3" applyNumberFormat="1" applyFont="1" applyFill="1" applyBorder="1" applyAlignment="1" applyProtection="1">
      <alignment horizontal="center" vertical="top"/>
    </xf>
    <xf numFmtId="0" fontId="5" fillId="4" borderId="3" xfId="3" applyNumberFormat="1" applyFont="1" applyFill="1" applyBorder="1" applyAlignment="1" applyProtection="1">
      <alignment horizontal="left" vertical="top"/>
    </xf>
    <xf numFmtId="0" fontId="6" fillId="3" borderId="5" xfId="3" applyNumberFormat="1" applyFont="1" applyFill="1" applyBorder="1" applyAlignment="1" applyProtection="1">
      <alignment horizontal="center" vertical="center" wrapText="1"/>
    </xf>
    <xf numFmtId="0" fontId="6" fillId="3" borderId="6" xfId="3" applyNumberFormat="1" applyFont="1" applyFill="1" applyBorder="1" applyAlignment="1" applyProtection="1">
      <alignment horizontal="center" vertical="center" wrapText="1"/>
    </xf>
    <xf numFmtId="0" fontId="5" fillId="4" borderId="7" xfId="3" applyNumberFormat="1" applyFont="1" applyFill="1" applyBorder="1" applyAlignment="1" applyProtection="1">
      <alignment horizontal="center" vertical="center"/>
    </xf>
    <xf numFmtId="0" fontId="5" fillId="4" borderId="1" xfId="3" applyNumberFormat="1" applyFont="1" applyFill="1" applyBorder="1" applyAlignment="1" applyProtection="1">
      <alignment horizontal="center" vertical="center"/>
    </xf>
    <xf numFmtId="164" fontId="5" fillId="4" borderId="8" xfId="3" applyNumberFormat="1" applyFont="1" applyFill="1" applyBorder="1" applyAlignment="1" applyProtection="1">
      <alignment horizontal="right" vertical="center"/>
    </xf>
    <xf numFmtId="3" fontId="5" fillId="4" borderId="1" xfId="3" applyNumberFormat="1" applyFont="1" applyFill="1" applyBorder="1" applyAlignment="1" applyProtection="1">
      <alignment horizontal="right" vertical="center"/>
    </xf>
    <xf numFmtId="0" fontId="6" fillId="4" borderId="1" xfId="3" applyNumberFormat="1" applyFont="1" applyFill="1" applyBorder="1" applyAlignment="1" applyProtection="1">
      <alignment horizontal="center" vertical="center"/>
    </xf>
    <xf numFmtId="0" fontId="9" fillId="4" borderId="0" xfId="3" applyNumberFormat="1" applyFont="1" applyFill="1" applyBorder="1" applyAlignment="1" applyProtection="1">
      <alignment horizontal="center"/>
    </xf>
    <xf numFmtId="0" fontId="6" fillId="4" borderId="0" xfId="3" applyNumberFormat="1" applyFont="1" applyFill="1" applyBorder="1" applyAlignment="1" applyProtection="1">
      <alignment horizontal="center" vertical="center"/>
    </xf>
    <xf numFmtId="167" fontId="6" fillId="4" borderId="1" xfId="2" applyNumberFormat="1" applyFont="1" applyFill="1" applyBorder="1" applyAlignment="1" applyProtection="1">
      <alignment horizontal="right" vertical="center"/>
    </xf>
    <xf numFmtId="167" fontId="6" fillId="4" borderId="8" xfId="2" applyNumberFormat="1" applyFont="1" applyFill="1" applyBorder="1" applyAlignment="1" applyProtection="1">
      <alignment horizontal="right" vertical="center"/>
    </xf>
    <xf numFmtId="0" fontId="5" fillId="0" borderId="0" xfId="3" applyFont="1" applyAlignment="1">
      <alignment vertical="center"/>
    </xf>
    <xf numFmtId="167" fontId="5" fillId="0" borderId="0" xfId="3" applyNumberFormat="1" applyFont="1" applyAlignment="1">
      <alignment vertical="center"/>
    </xf>
    <xf numFmtId="167" fontId="5" fillId="4" borderId="1" xfId="2" applyNumberFormat="1" applyFont="1" applyFill="1" applyBorder="1" applyAlignment="1" applyProtection="1">
      <alignment horizontal="right" vertical="center"/>
    </xf>
    <xf numFmtId="167" fontId="5" fillId="4" borderId="8" xfId="2" applyNumberFormat="1" applyFont="1" applyFill="1" applyBorder="1" applyAlignment="1" applyProtection="1">
      <alignment horizontal="right" vertical="center"/>
    </xf>
    <xf numFmtId="167" fontId="9" fillId="4" borderId="1" xfId="2" applyNumberFormat="1" applyFont="1" applyFill="1" applyBorder="1" applyAlignment="1" applyProtection="1">
      <alignment horizontal="right" vertical="center"/>
    </xf>
    <xf numFmtId="167" fontId="9" fillId="4" borderId="8" xfId="2" applyNumberFormat="1" applyFont="1" applyFill="1" applyBorder="1" applyAlignment="1" applyProtection="1">
      <alignment horizontal="right" vertical="center"/>
    </xf>
    <xf numFmtId="167" fontId="5" fillId="4" borderId="10" xfId="2" applyNumberFormat="1" applyFont="1" applyFill="1" applyBorder="1" applyAlignment="1" applyProtection="1">
      <alignment horizontal="right" vertical="center"/>
    </xf>
    <xf numFmtId="167" fontId="5" fillId="4" borderId="11" xfId="2" applyNumberFormat="1" applyFont="1" applyFill="1" applyBorder="1" applyAlignment="1" applyProtection="1">
      <alignment horizontal="right" vertical="center"/>
    </xf>
    <xf numFmtId="0" fontId="5" fillId="4" borderId="0" xfId="3" applyNumberFormat="1" applyFont="1" applyFill="1" applyBorder="1" applyAlignment="1" applyProtection="1">
      <alignment horizontal="left" vertical="center"/>
    </xf>
    <xf numFmtId="0" fontId="5" fillId="4" borderId="10" xfId="3" applyNumberFormat="1" applyFont="1" applyFill="1" applyBorder="1" applyAlignment="1" applyProtection="1">
      <alignment horizontal="center" vertical="center"/>
    </xf>
    <xf numFmtId="0" fontId="5" fillId="4" borderId="3" xfId="3" applyNumberFormat="1" applyFont="1" applyFill="1" applyBorder="1" applyAlignment="1" applyProtection="1">
      <alignment horizontal="left" vertical="center"/>
    </xf>
    <xf numFmtId="164" fontId="5" fillId="4" borderId="1" xfId="3" applyNumberFormat="1" applyFont="1" applyFill="1" applyBorder="1" applyAlignment="1" applyProtection="1">
      <alignment horizontal="right" vertical="center"/>
    </xf>
    <xf numFmtId="0" fontId="10" fillId="5" borderId="0" xfId="4" applyFont="1" applyFill="1"/>
    <xf numFmtId="0" fontId="11" fillId="5" borderId="0" xfId="4" applyFont="1" applyFill="1" applyAlignment="1">
      <alignment wrapText="1"/>
    </xf>
    <xf numFmtId="0" fontId="9" fillId="5" borderId="0" xfId="4" applyFont="1" applyFill="1" applyAlignment="1">
      <alignment horizontal="center"/>
    </xf>
    <xf numFmtId="0" fontId="6" fillId="5" borderId="0" xfId="4" applyFont="1" applyFill="1" applyAlignment="1">
      <alignment horizontal="center"/>
    </xf>
    <xf numFmtId="167" fontId="6" fillId="5" borderId="0" xfId="5" applyNumberFormat="1" applyFont="1" applyFill="1" applyAlignment="1">
      <alignment horizontal="center"/>
    </xf>
    <xf numFmtId="0" fontId="6" fillId="5" borderId="0" xfId="4" applyFont="1" applyFill="1" applyAlignment="1">
      <alignment horizontal="center" vertical="center" wrapText="1"/>
    </xf>
    <xf numFmtId="0" fontId="6" fillId="5" borderId="0" xfId="4" applyFont="1" applyFill="1" applyAlignment="1">
      <alignment horizontal="left" vertical="center"/>
    </xf>
    <xf numFmtId="0" fontId="5" fillId="5" borderId="0" xfId="4" applyFont="1" applyFill="1" applyAlignment="1">
      <alignment horizontal="left" vertical="center"/>
    </xf>
    <xf numFmtId="167" fontId="5" fillId="5" borderId="0" xfId="5" applyNumberFormat="1" applyFont="1" applyFill="1" applyAlignment="1">
      <alignment horizontal="center"/>
    </xf>
    <xf numFmtId="0" fontId="5" fillId="5" borderId="0" xfId="4" applyFont="1" applyFill="1" applyAlignment="1">
      <alignment horizontal="center"/>
    </xf>
    <xf numFmtId="0" fontId="6" fillId="5" borderId="0" xfId="4" applyFont="1" applyFill="1" applyAlignment="1">
      <alignment horizontal="center" vertical="center"/>
    </xf>
    <xf numFmtId="0" fontId="6" fillId="5" borderId="0" xfId="4" applyFont="1" applyFill="1" applyAlignment="1">
      <alignment horizontal="left" wrapText="1"/>
    </xf>
    <xf numFmtId="0" fontId="6" fillId="5" borderId="0" xfId="4" applyFont="1" applyFill="1" applyAlignment="1">
      <alignment vertical="center"/>
    </xf>
    <xf numFmtId="48" fontId="5" fillId="5" borderId="0" xfId="4" applyNumberFormat="1" applyFont="1" applyFill="1" applyAlignment="1" applyProtection="1">
      <alignment horizontal="left" vertical="center" wrapText="1"/>
      <protection locked="0"/>
    </xf>
    <xf numFmtId="0" fontId="5" fillId="5" borderId="0" xfId="4" applyFont="1" applyFill="1" applyAlignment="1">
      <alignment horizontal="left" wrapText="1"/>
    </xf>
    <xf numFmtId="0" fontId="3" fillId="2" borderId="0" xfId="6" applyNumberFormat="1" applyFont="1" applyFill="1" applyBorder="1" applyAlignment="1" applyProtection="1">
      <alignment vertical="top"/>
    </xf>
    <xf numFmtId="0" fontId="5" fillId="5" borderId="0" xfId="4" applyFont="1" applyFill="1" applyAlignment="1">
      <alignment vertical="center"/>
    </xf>
    <xf numFmtId="3" fontId="5" fillId="5" borderId="0" xfId="4" applyNumberFormat="1" applyFont="1" applyFill="1" applyAlignment="1">
      <alignment horizontal="left" vertical="center" wrapText="1"/>
    </xf>
    <xf numFmtId="48" fontId="6" fillId="5" borderId="0" xfId="4" applyNumberFormat="1" applyFont="1" applyFill="1" applyAlignment="1" applyProtection="1">
      <alignment horizontal="left" vertical="center" wrapText="1"/>
      <protection locked="0"/>
    </xf>
    <xf numFmtId="48" fontId="5" fillId="5" borderId="0" xfId="4" applyNumberFormat="1" applyFont="1" applyFill="1" applyAlignment="1" applyProtection="1">
      <alignment vertical="center" wrapText="1"/>
      <protection locked="0"/>
    </xf>
    <xf numFmtId="0" fontId="14" fillId="5" borderId="0" xfId="0" applyFont="1" applyFill="1" applyAlignment="1">
      <alignment vertical="center"/>
    </xf>
    <xf numFmtId="170" fontId="5" fillId="5" borderId="0" xfId="4" applyNumberFormat="1" applyFont="1" applyFill="1" applyAlignment="1">
      <alignment horizontal="left" vertical="center" wrapText="1"/>
    </xf>
    <xf numFmtId="0" fontId="5" fillId="5" borderId="0" xfId="4" applyFont="1" applyFill="1" applyAlignment="1">
      <alignment horizontal="left" vertical="center" wrapText="1"/>
    </xf>
    <xf numFmtId="0" fontId="10" fillId="5" borderId="0" xfId="4" applyFont="1" applyFill="1" applyAlignment="1">
      <alignment horizontal="left"/>
    </xf>
    <xf numFmtId="3" fontId="5" fillId="5" borderId="0" xfId="4" applyNumberFormat="1" applyFont="1" applyFill="1" applyAlignment="1">
      <alignment wrapText="1"/>
    </xf>
    <xf numFmtId="3" fontId="6" fillId="5" borderId="0" xfId="4" applyNumberFormat="1" applyFont="1" applyFill="1" applyAlignment="1">
      <alignment wrapText="1"/>
    </xf>
    <xf numFmtId="0" fontId="15" fillId="5" borderId="0" xfId="4" applyFont="1" applyFill="1"/>
    <xf numFmtId="0" fontId="6" fillId="3" borderId="12" xfId="3" applyNumberFormat="1" applyFont="1" applyFill="1" applyBorder="1" applyAlignment="1" applyProtection="1">
      <alignment horizontal="center" vertical="center" wrapText="1"/>
    </xf>
    <xf numFmtId="0" fontId="10" fillId="0" borderId="16" xfId="4" applyFont="1" applyFill="1" applyBorder="1" applyAlignment="1">
      <alignment horizontal="center" vertical="center"/>
    </xf>
    <xf numFmtId="49" fontId="10" fillId="0" borderId="16" xfId="4" applyNumberFormat="1" applyFont="1" applyFill="1" applyBorder="1" applyAlignment="1" applyProtection="1">
      <alignment horizontal="left" vertical="center" wrapText="1"/>
    </xf>
    <xf numFmtId="49" fontId="16" fillId="0" borderId="16" xfId="4" applyNumberFormat="1" applyFont="1" applyFill="1" applyBorder="1" applyAlignment="1" applyProtection="1">
      <alignment horizontal="center" vertical="center" wrapText="1"/>
    </xf>
    <xf numFmtId="49" fontId="15" fillId="0" borderId="16" xfId="4" applyNumberFormat="1" applyFont="1" applyFill="1" applyBorder="1" applyAlignment="1" applyProtection="1">
      <alignment horizontal="left" vertical="center" wrapText="1"/>
    </xf>
    <xf numFmtId="49" fontId="10" fillId="0" borderId="16" xfId="4" applyNumberFormat="1" applyFont="1" applyFill="1" applyBorder="1" applyAlignment="1" applyProtection="1">
      <alignment horizontal="center" vertical="center" wrapText="1"/>
    </xf>
    <xf numFmtId="0" fontId="9" fillId="5" borderId="0" xfId="4" applyFont="1" applyFill="1"/>
    <xf numFmtId="171" fontId="18" fillId="5" borderId="0" xfId="8" applyNumberFormat="1" applyFont="1" applyFill="1" applyAlignment="1">
      <alignment vertical="center" wrapText="1"/>
    </xf>
    <xf numFmtId="0" fontId="15" fillId="5" borderId="0" xfId="8" applyFont="1" applyFill="1" applyBorder="1" applyAlignment="1">
      <alignment vertical="center"/>
    </xf>
    <xf numFmtId="167" fontId="18" fillId="5" borderId="0" xfId="5" applyNumberFormat="1" applyFont="1" applyFill="1" applyBorder="1" applyAlignment="1">
      <alignment vertical="center" wrapText="1"/>
    </xf>
    <xf numFmtId="0" fontId="18" fillId="5" borderId="0" xfId="8" applyFont="1" applyFill="1" applyBorder="1" applyAlignment="1">
      <alignment vertical="center"/>
    </xf>
    <xf numFmtId="0" fontId="18" fillId="5" borderId="0" xfId="8" applyFont="1" applyFill="1" applyBorder="1" applyAlignment="1">
      <alignment vertical="center" wrapText="1"/>
    </xf>
    <xf numFmtId="167" fontId="18" fillId="5" borderId="0" xfId="5" applyNumberFormat="1" applyFont="1" applyFill="1" applyBorder="1" applyAlignment="1">
      <alignment horizontal="right" vertical="center" wrapText="1"/>
    </xf>
    <xf numFmtId="167" fontId="18" fillId="5" borderId="0" xfId="5" applyNumberFormat="1" applyFont="1" applyFill="1" applyBorder="1" applyAlignment="1">
      <alignment horizontal="left" vertical="center"/>
    </xf>
    <xf numFmtId="2" fontId="15" fillId="5" borderId="0" xfId="8" applyNumberFormat="1" applyFont="1" applyFill="1" applyAlignment="1">
      <alignment vertical="center"/>
    </xf>
    <xf numFmtId="167" fontId="18" fillId="5" borderId="0" xfId="5" applyNumberFormat="1" applyFont="1" applyFill="1" applyBorder="1" applyAlignment="1">
      <alignment horizontal="right" vertical="center"/>
    </xf>
    <xf numFmtId="167" fontId="18" fillId="5" borderId="0" xfId="5" applyNumberFormat="1" applyFont="1" applyFill="1" applyAlignment="1">
      <alignment horizontal="right" vertical="center"/>
    </xf>
    <xf numFmtId="2" fontId="15" fillId="5" borderId="0" xfId="8" applyNumberFormat="1" applyFont="1" applyFill="1" applyAlignment="1">
      <alignment horizontal="right" vertical="center"/>
    </xf>
    <xf numFmtId="167" fontId="15" fillId="5" borderId="0" xfId="5" applyNumberFormat="1" applyFont="1" applyFill="1" applyAlignment="1">
      <alignment horizontal="right" vertical="center"/>
    </xf>
    <xf numFmtId="2" fontId="18" fillId="5" borderId="0" xfId="8" applyNumberFormat="1" applyFont="1" applyFill="1" applyAlignment="1">
      <alignment vertical="center"/>
    </xf>
    <xf numFmtId="2" fontId="15" fillId="5" borderId="23" xfId="8" applyNumberFormat="1" applyFont="1" applyFill="1" applyBorder="1" applyAlignment="1">
      <alignment vertical="center"/>
    </xf>
    <xf numFmtId="167" fontId="15" fillId="5" borderId="23" xfId="5" applyNumberFormat="1" applyFont="1" applyFill="1" applyBorder="1" applyAlignment="1">
      <alignment horizontal="right" vertical="center"/>
    </xf>
    <xf numFmtId="2" fontId="15" fillId="5" borderId="0" xfId="8" applyNumberFormat="1" applyFont="1" applyFill="1" applyBorder="1" applyAlignment="1">
      <alignment horizontal="right" vertical="center"/>
    </xf>
    <xf numFmtId="0" fontId="10" fillId="5" borderId="0" xfId="4" applyFont="1" applyFill="1" applyBorder="1"/>
    <xf numFmtId="2" fontId="15" fillId="5" borderId="0" xfId="8" applyNumberFormat="1" applyFont="1" applyFill="1" applyBorder="1" applyAlignment="1">
      <alignment vertical="center"/>
    </xf>
    <xf numFmtId="0" fontId="10" fillId="5" borderId="0" xfId="4" applyFont="1" applyFill="1" applyAlignment="1">
      <alignment vertical="center"/>
    </xf>
    <xf numFmtId="2" fontId="10" fillId="5" borderId="0" xfId="8" applyNumberFormat="1" applyFont="1" applyFill="1" applyAlignment="1">
      <alignment vertical="center"/>
    </xf>
    <xf numFmtId="0" fontId="18" fillId="0" borderId="0" xfId="4" applyFont="1" applyFill="1" applyAlignment="1">
      <alignment vertical="center"/>
    </xf>
    <xf numFmtId="0" fontId="18" fillId="5" borderId="0" xfId="4" applyFont="1" applyFill="1" applyAlignment="1">
      <alignment vertical="center"/>
    </xf>
    <xf numFmtId="0" fontId="9" fillId="4" borderId="1" xfId="3" applyNumberFormat="1" applyFont="1" applyFill="1" applyBorder="1" applyAlignment="1" applyProtection="1">
      <alignment horizontal="center" vertical="center"/>
    </xf>
    <xf numFmtId="0" fontId="11" fillId="4" borderId="1" xfId="3" applyNumberFormat="1" applyFont="1" applyFill="1" applyBorder="1" applyAlignment="1" applyProtection="1">
      <alignment horizontal="center" vertical="center"/>
    </xf>
    <xf numFmtId="167" fontId="11" fillId="4" borderId="1" xfId="2" applyNumberFormat="1" applyFont="1" applyFill="1" applyBorder="1" applyAlignment="1" applyProtection="1">
      <alignment horizontal="right" vertical="center"/>
    </xf>
    <xf numFmtId="167" fontId="11" fillId="4" borderId="8" xfId="2" applyNumberFormat="1" applyFont="1" applyFill="1" applyBorder="1" applyAlignment="1" applyProtection="1">
      <alignment horizontal="right" vertical="center"/>
    </xf>
    <xf numFmtId="167" fontId="5" fillId="4" borderId="0" xfId="2" applyNumberFormat="1" applyFont="1" applyFill="1" applyBorder="1" applyAlignment="1" applyProtection="1">
      <alignment horizontal="left" vertical="center"/>
    </xf>
    <xf numFmtId="0" fontId="5" fillId="0" borderId="0" xfId="3" applyFont="1" applyAlignment="1">
      <alignment vertical="top"/>
    </xf>
    <xf numFmtId="0" fontId="5" fillId="0" borderId="0" xfId="3" applyFont="1" applyAlignment="1">
      <alignment horizontal="center" vertical="center"/>
    </xf>
    <xf numFmtId="167" fontId="5" fillId="0" borderId="0" xfId="2" applyNumberFormat="1" applyFont="1" applyAlignment="1">
      <alignment vertical="center"/>
    </xf>
    <xf numFmtId="0" fontId="5" fillId="4" borderId="0" xfId="3" applyNumberFormat="1" applyFont="1" applyFill="1" applyBorder="1" applyAlignment="1" applyProtection="1">
      <alignment horizontal="center" vertical="center"/>
    </xf>
    <xf numFmtId="0" fontId="6" fillId="4" borderId="0" xfId="3" applyNumberFormat="1" applyFont="1" applyFill="1" applyBorder="1" applyAlignment="1" applyProtection="1">
      <alignment vertical="center" wrapText="1"/>
    </xf>
    <xf numFmtId="0" fontId="6" fillId="4" borderId="0" xfId="3" applyNumberFormat="1" applyFont="1" applyFill="1" applyBorder="1" applyAlignment="1" applyProtection="1">
      <alignment horizontal="left" vertical="top" wrapText="1"/>
    </xf>
    <xf numFmtId="43" fontId="5" fillId="0" borderId="0" xfId="9" applyFont="1">
      <alignment vertical="center"/>
    </xf>
    <xf numFmtId="0" fontId="6" fillId="3" borderId="2" xfId="3" applyNumberFormat="1" applyFont="1" applyFill="1" applyBorder="1" applyAlignment="1" applyProtection="1">
      <alignment horizontal="center" vertical="center" wrapText="1"/>
    </xf>
    <xf numFmtId="0" fontId="5" fillId="6" borderId="25" xfId="3" applyNumberFormat="1" applyFont="1" applyFill="1" applyBorder="1" applyAlignment="1" applyProtection="1">
      <alignment horizontal="center" vertical="center" wrapText="1"/>
    </xf>
    <xf numFmtId="0" fontId="5" fillId="6" borderId="2" xfId="3" applyNumberFormat="1" applyFont="1" applyFill="1" applyBorder="1" applyAlignment="1" applyProtection="1">
      <alignment horizontal="center" vertical="center" wrapText="1"/>
    </xf>
    <xf numFmtId="0" fontId="5" fillId="6" borderId="26" xfId="3" applyNumberFormat="1" applyFont="1" applyFill="1" applyBorder="1" applyAlignment="1" applyProtection="1">
      <alignment horizontal="center" vertical="center" wrapText="1"/>
    </xf>
    <xf numFmtId="15" fontId="5" fillId="4" borderId="0" xfId="3" applyNumberFormat="1" applyFont="1" applyFill="1" applyBorder="1" applyAlignment="1" applyProtection="1">
      <alignment horizontal="left" vertical="top"/>
    </xf>
    <xf numFmtId="0" fontId="21" fillId="8" borderId="0" xfId="0" applyFont="1" applyFill="1"/>
    <xf numFmtId="0" fontId="22" fillId="8" borderId="0" xfId="0" applyFont="1" applyFill="1" applyAlignment="1">
      <alignment horizontal="left"/>
    </xf>
    <xf numFmtId="0" fontId="21" fillId="8" borderId="0" xfId="0" applyFont="1" applyFill="1" applyAlignment="1">
      <alignment horizontal="left"/>
    </xf>
    <xf numFmtId="0" fontId="22" fillId="8" borderId="0" xfId="0" applyFont="1" applyFill="1"/>
    <xf numFmtId="0" fontId="20" fillId="5" borderId="18" xfId="0" applyFont="1" applyFill="1" applyBorder="1" applyAlignment="1">
      <alignment vertical="center"/>
    </xf>
    <xf numFmtId="0" fontId="20" fillId="5" borderId="18" xfId="0" applyFont="1" applyFill="1" applyBorder="1" applyAlignment="1">
      <alignment vertical="center" wrapText="1"/>
    </xf>
    <xf numFmtId="0" fontId="20" fillId="5" borderId="19" xfId="0" applyFont="1" applyFill="1" applyBorder="1" applyAlignment="1">
      <alignment vertical="center" wrapText="1"/>
    </xf>
    <xf numFmtId="0" fontId="22" fillId="5" borderId="0" xfId="0" applyFont="1" applyFill="1" applyBorder="1" applyAlignment="1">
      <alignment vertical="center"/>
    </xf>
    <xf numFmtId="0" fontId="22" fillId="5" borderId="0" xfId="0" applyFont="1" applyFill="1" applyBorder="1" applyAlignment="1">
      <alignment vertical="center" wrapText="1"/>
    </xf>
    <xf numFmtId="0" fontId="22" fillId="5" borderId="21" xfId="0" applyFont="1" applyFill="1" applyBorder="1" applyAlignment="1">
      <alignment vertical="center" wrapText="1"/>
    </xf>
    <xf numFmtId="0" fontId="23" fillId="8" borderId="0" xfId="0" applyFont="1" applyFill="1" applyBorder="1"/>
    <xf numFmtId="0" fontId="20" fillId="5" borderId="0" xfId="0" applyFont="1" applyFill="1" applyBorder="1" applyAlignment="1">
      <alignment vertical="center"/>
    </xf>
    <xf numFmtId="0" fontId="20" fillId="5" borderId="0" xfId="0" applyFont="1" applyFill="1" applyBorder="1" applyAlignment="1">
      <alignment vertical="center" wrapText="1"/>
    </xf>
    <xf numFmtId="0" fontId="20" fillId="5" borderId="21" xfId="0" applyFont="1" applyFill="1" applyBorder="1" applyAlignment="1">
      <alignment vertical="center" wrapText="1"/>
    </xf>
    <xf numFmtId="14" fontId="20" fillId="5" borderId="0" xfId="0" applyNumberFormat="1" applyFont="1" applyFill="1" applyBorder="1" applyAlignment="1">
      <alignment horizontal="left" vertical="center"/>
    </xf>
    <xf numFmtId="173" fontId="22" fillId="5" borderId="24" xfId="0" applyNumberFormat="1" applyFont="1" applyFill="1" applyBorder="1" applyAlignment="1"/>
    <xf numFmtId="0" fontId="25" fillId="8" borderId="0" xfId="0" applyFont="1" applyFill="1"/>
    <xf numFmtId="0" fontId="29" fillId="8" borderId="0" xfId="8" applyFont="1" applyFill="1" applyBorder="1" applyAlignment="1">
      <alignment horizontal="center" vertical="center"/>
    </xf>
    <xf numFmtId="0" fontId="28" fillId="8" borderId="0" xfId="8" applyFont="1" applyFill="1" applyBorder="1" applyAlignment="1">
      <alignment horizontal="center" vertical="center"/>
    </xf>
    <xf numFmtId="0" fontId="20" fillId="8" borderId="16" xfId="0" applyFont="1" applyFill="1" applyBorder="1" applyAlignment="1">
      <alignment horizontal="center" vertical="center"/>
    </xf>
    <xf numFmtId="0" fontId="20" fillId="8" borderId="16" xfId="0" applyFont="1" applyFill="1" applyBorder="1" applyAlignment="1">
      <alignment horizontal="left" vertical="center"/>
    </xf>
    <xf numFmtId="0" fontId="22" fillId="8" borderId="16" xfId="0" applyFont="1" applyFill="1" applyBorder="1" applyAlignment="1">
      <alignment horizontal="center" vertical="center"/>
    </xf>
    <xf numFmtId="0" fontId="31" fillId="8" borderId="16" xfId="11" applyFont="1" applyFill="1" applyBorder="1" applyAlignment="1">
      <alignment horizontal="center" vertical="center"/>
    </xf>
    <xf numFmtId="0" fontId="32" fillId="8" borderId="16" xfId="11" quotePrefix="1" applyFont="1" applyFill="1" applyBorder="1" applyAlignment="1">
      <alignment horizontal="center" vertical="center"/>
    </xf>
    <xf numFmtId="0" fontId="28" fillId="8" borderId="16" xfId="8" applyFont="1" applyFill="1" applyBorder="1" applyAlignment="1">
      <alignment horizontal="center" vertical="center"/>
    </xf>
    <xf numFmtId="0" fontId="32" fillId="8" borderId="16" xfId="11" applyFont="1" applyFill="1" applyBorder="1" applyAlignment="1">
      <alignment horizontal="center" vertical="center"/>
    </xf>
    <xf numFmtId="0" fontId="33" fillId="8" borderId="0" xfId="0" applyFont="1" applyFill="1" applyBorder="1"/>
    <xf numFmtId="0" fontId="25" fillId="8" borderId="0" xfId="0" applyFont="1" applyFill="1" applyBorder="1" applyAlignment="1">
      <alignment vertical="center"/>
    </xf>
    <xf numFmtId="0" fontId="5" fillId="4" borderId="1" xfId="3" applyNumberFormat="1" applyFont="1" applyFill="1" applyBorder="1" applyAlignment="1" applyProtection="1">
      <alignment horizontal="left" vertical="center" wrapText="1"/>
    </xf>
    <xf numFmtId="0" fontId="34" fillId="2" borderId="0" xfId="0" applyFont="1" applyFill="1" applyAlignment="1">
      <alignment horizontal="right" vertical="center"/>
    </xf>
    <xf numFmtId="0" fontId="10" fillId="0" borderId="0" xfId="0" applyFont="1"/>
    <xf numFmtId="0" fontId="3" fillId="2" borderId="0" xfId="0" applyFont="1" applyFill="1" applyAlignment="1">
      <alignment horizontal="left" vertical="top"/>
    </xf>
    <xf numFmtId="0" fontId="34" fillId="2" borderId="0" xfId="0" applyFont="1" applyFill="1" applyAlignment="1">
      <alignment horizontal="center" vertical="top"/>
    </xf>
    <xf numFmtId="0" fontId="34" fillId="2" borderId="0" xfId="0" applyFont="1" applyFill="1" applyAlignment="1">
      <alignment horizontal="left" vertical="top"/>
    </xf>
    <xf numFmtId="0" fontId="3" fillId="2" borderId="27" xfId="0" applyFont="1" applyFill="1" applyBorder="1" applyAlignment="1">
      <alignment horizontal="left" vertical="top"/>
    </xf>
    <xf numFmtId="0" fontId="3" fillId="2" borderId="27" xfId="0" applyFont="1" applyFill="1" applyBorder="1" applyAlignment="1">
      <alignment horizontal="right" vertical="top"/>
    </xf>
    <xf numFmtId="0" fontId="34" fillId="3" borderId="28" xfId="0" applyFont="1" applyFill="1" applyBorder="1" applyAlignment="1">
      <alignment horizontal="center" vertical="center" wrapText="1"/>
    </xf>
    <xf numFmtId="0" fontId="34" fillId="3" borderId="29" xfId="0" applyFont="1" applyFill="1" applyBorder="1" applyAlignment="1">
      <alignment horizontal="center" vertical="center" wrapText="1"/>
    </xf>
    <xf numFmtId="0" fontId="34" fillId="3" borderId="30" xfId="0" applyFont="1" applyFill="1" applyBorder="1" applyAlignment="1">
      <alignment horizontal="center" vertical="center" wrapText="1"/>
    </xf>
    <xf numFmtId="0" fontId="3" fillId="2" borderId="3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3" fontId="34" fillId="2" borderId="1" xfId="0" applyNumberFormat="1" applyFont="1" applyFill="1" applyBorder="1" applyAlignment="1">
      <alignment horizontal="right" vertical="center"/>
    </xf>
    <xf numFmtId="164" fontId="3" fillId="2" borderId="32" xfId="0" applyNumberFormat="1" applyFont="1" applyFill="1" applyBorder="1" applyAlignment="1">
      <alignment horizontal="right" vertical="center"/>
    </xf>
    <xf numFmtId="3" fontId="3" fillId="2" borderId="1" xfId="0" applyNumberFormat="1" applyFont="1" applyFill="1" applyBorder="1" applyAlignment="1">
      <alignment horizontal="right" vertical="center"/>
    </xf>
    <xf numFmtId="3" fontId="37" fillId="2" borderId="1" xfId="0" applyNumberFormat="1" applyFont="1" applyFill="1" applyBorder="1" applyAlignment="1">
      <alignment horizontal="right" vertical="center"/>
    </xf>
    <xf numFmtId="0" fontId="3" fillId="2" borderId="33" xfId="0" applyFont="1" applyFill="1" applyBorder="1" applyAlignment="1">
      <alignment horizontal="center" vertical="center"/>
    </xf>
    <xf numFmtId="0" fontId="3" fillId="2" borderId="34" xfId="0" applyFont="1" applyFill="1" applyBorder="1" applyAlignment="1">
      <alignment horizontal="left" vertical="center" wrapText="1"/>
    </xf>
    <xf numFmtId="0" fontId="3" fillId="2" borderId="34" xfId="0" applyFont="1" applyFill="1" applyBorder="1" applyAlignment="1">
      <alignment horizontal="center" vertical="center"/>
    </xf>
    <xf numFmtId="4" fontId="34" fillId="2" borderId="34" xfId="0" applyNumberFormat="1" applyFont="1" applyFill="1" applyBorder="1" applyAlignment="1">
      <alignment horizontal="right" vertical="center"/>
    </xf>
    <xf numFmtId="164" fontId="3" fillId="2" borderId="35" xfId="0" applyNumberFormat="1" applyFont="1" applyFill="1" applyBorder="1" applyAlignment="1">
      <alignment horizontal="right" vertical="center"/>
    </xf>
    <xf numFmtId="0" fontId="37" fillId="2" borderId="0" xfId="0" applyFont="1" applyFill="1" applyAlignment="1">
      <alignment horizontal="center"/>
    </xf>
    <xf numFmtId="0" fontId="10" fillId="0" borderId="0" xfId="0" applyFont="1" applyAlignment="1">
      <alignment vertical="top"/>
    </xf>
    <xf numFmtId="0" fontId="34" fillId="2" borderId="0" xfId="0" applyFont="1" applyFill="1" applyAlignment="1">
      <alignment horizontal="center" vertical="center"/>
    </xf>
    <xf numFmtId="0" fontId="10" fillId="0" borderId="0" xfId="0" applyFont="1" applyAlignment="1">
      <alignment vertical="center"/>
    </xf>
    <xf numFmtId="165" fontId="34" fillId="2" borderId="31" xfId="0" applyNumberFormat="1" applyFont="1" applyFill="1" applyBorder="1" applyAlignment="1">
      <alignment horizontal="center" vertical="center"/>
    </xf>
    <xf numFmtId="165" fontId="34" fillId="2" borderId="1" xfId="0" applyNumberFormat="1" applyFont="1" applyFill="1" applyBorder="1" applyAlignment="1">
      <alignment horizontal="left" vertical="center" wrapText="1"/>
    </xf>
    <xf numFmtId="165" fontId="34" fillId="2" borderId="1" xfId="0" applyNumberFormat="1" applyFont="1" applyFill="1" applyBorder="1" applyAlignment="1">
      <alignment horizontal="center" vertical="center"/>
    </xf>
    <xf numFmtId="165" fontId="34" fillId="2" borderId="1" xfId="0" applyNumberFormat="1" applyFont="1" applyFill="1" applyBorder="1" applyAlignment="1">
      <alignment horizontal="right" vertical="center"/>
    </xf>
    <xf numFmtId="165" fontId="34" fillId="2" borderId="32" xfId="0" applyNumberFormat="1" applyFont="1" applyFill="1" applyBorder="1" applyAlignment="1">
      <alignment horizontal="right" vertical="center"/>
    </xf>
    <xf numFmtId="165" fontId="3" fillId="2" borderId="31" xfId="0" applyNumberFormat="1" applyFont="1" applyFill="1" applyBorder="1" applyAlignment="1">
      <alignment horizontal="center" vertical="center"/>
    </xf>
    <xf numFmtId="165" fontId="3" fillId="2" borderId="1" xfId="0" applyNumberFormat="1" applyFont="1" applyFill="1" applyBorder="1" applyAlignment="1">
      <alignment horizontal="left" vertical="center" wrapText="1"/>
    </xf>
    <xf numFmtId="165" fontId="3" fillId="2" borderId="1" xfId="0" applyNumberFormat="1" applyFont="1" applyFill="1" applyBorder="1" applyAlignment="1">
      <alignment horizontal="center" vertical="center"/>
    </xf>
    <xf numFmtId="165" fontId="3" fillId="2" borderId="1" xfId="0" applyNumberFormat="1" applyFont="1" applyFill="1" applyBorder="1" applyAlignment="1">
      <alignment horizontal="right" vertical="center"/>
    </xf>
    <xf numFmtId="165" fontId="3" fillId="2" borderId="32" xfId="0" applyNumberFormat="1" applyFont="1" applyFill="1" applyBorder="1" applyAlignment="1">
      <alignment horizontal="right" vertical="center"/>
    </xf>
    <xf numFmtId="165" fontId="37" fillId="2" borderId="31" xfId="0" applyNumberFormat="1" applyFont="1" applyFill="1" applyBorder="1" applyAlignment="1">
      <alignment horizontal="center" vertical="center"/>
    </xf>
    <xf numFmtId="165" fontId="37" fillId="2" borderId="1" xfId="0" applyNumberFormat="1" applyFont="1" applyFill="1" applyBorder="1" applyAlignment="1">
      <alignment horizontal="left" vertical="center" wrapText="1"/>
    </xf>
    <xf numFmtId="165" fontId="37" fillId="2" borderId="1" xfId="0" applyNumberFormat="1" applyFont="1" applyFill="1" applyBorder="1" applyAlignment="1">
      <alignment horizontal="center" vertical="center"/>
    </xf>
    <xf numFmtId="165" fontId="37" fillId="2" borderId="1" xfId="0" applyNumberFormat="1" applyFont="1" applyFill="1" applyBorder="1" applyAlignment="1">
      <alignment horizontal="right" vertical="center"/>
    </xf>
    <xf numFmtId="165" fontId="37" fillId="2" borderId="32" xfId="0" applyNumberFormat="1" applyFont="1" applyFill="1" applyBorder="1" applyAlignment="1">
      <alignment horizontal="right" vertical="center"/>
    </xf>
    <xf numFmtId="165" fontId="10" fillId="0" borderId="0" xfId="0" applyNumberFormat="1" applyFont="1" applyAlignment="1">
      <alignment vertical="center"/>
    </xf>
    <xf numFmtId="165" fontId="3" fillId="2" borderId="33" xfId="0" applyNumberFormat="1" applyFont="1" applyFill="1" applyBorder="1" applyAlignment="1">
      <alignment horizontal="center" vertical="center"/>
    </xf>
    <xf numFmtId="165" fontId="3" fillId="2" borderId="34" xfId="0" applyNumberFormat="1" applyFont="1" applyFill="1" applyBorder="1" applyAlignment="1">
      <alignment horizontal="left" vertical="center" wrapText="1"/>
    </xf>
    <xf numFmtId="165" fontId="3" fillId="2" borderId="34" xfId="0" applyNumberFormat="1" applyFont="1" applyFill="1" applyBorder="1" applyAlignment="1">
      <alignment horizontal="center" vertical="center"/>
    </xf>
    <xf numFmtId="165" fontId="3" fillId="2" borderId="34" xfId="0" applyNumberFormat="1" applyFont="1" applyFill="1" applyBorder="1" applyAlignment="1">
      <alignment horizontal="right" vertical="center"/>
    </xf>
    <xf numFmtId="165" fontId="3" fillId="2" borderId="35" xfId="0" applyNumberFormat="1" applyFont="1" applyFill="1" applyBorder="1" applyAlignment="1">
      <alignment horizontal="right" vertical="center"/>
    </xf>
    <xf numFmtId="0" fontId="3" fillId="2" borderId="0" xfId="0" applyFont="1" applyFill="1" applyAlignment="1">
      <alignment horizontal="left" vertical="center"/>
    </xf>
    <xf numFmtId="0" fontId="34" fillId="2" borderId="0" xfId="0" applyFont="1" applyFill="1" applyAlignment="1">
      <alignment horizontal="left" vertical="center"/>
    </xf>
    <xf numFmtId="0" fontId="37" fillId="2" borderId="0" xfId="0" applyFont="1" applyFill="1" applyAlignment="1">
      <alignment horizontal="right" vertical="center"/>
    </xf>
    <xf numFmtId="0" fontId="3" fillId="2" borderId="27" xfId="0" applyFont="1" applyFill="1" applyBorder="1" applyAlignment="1">
      <alignment horizontal="left" vertical="center"/>
    </xf>
    <xf numFmtId="0" fontId="3" fillId="2" borderId="27" xfId="0" applyFont="1" applyFill="1" applyBorder="1" applyAlignment="1">
      <alignment horizontal="right" vertical="center"/>
    </xf>
    <xf numFmtId="4" fontId="3" fillId="2" borderId="1" xfId="0" applyNumberFormat="1" applyFont="1" applyFill="1" applyBorder="1" applyAlignment="1">
      <alignment horizontal="right" vertical="center"/>
    </xf>
    <xf numFmtId="3" fontId="3" fillId="2" borderId="34" xfId="0" applyNumberFormat="1" applyFont="1" applyFill="1" applyBorder="1" applyAlignment="1">
      <alignment horizontal="right" vertical="center"/>
    </xf>
    <xf numFmtId="0" fontId="34" fillId="3" borderId="36"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34" fillId="3" borderId="38" xfId="0" applyFont="1" applyFill="1" applyBorder="1" applyAlignment="1">
      <alignment horizontal="center" vertical="center" wrapText="1"/>
    </xf>
    <xf numFmtId="0" fontId="37" fillId="2" borderId="27" xfId="0" applyFont="1" applyFill="1" applyBorder="1" applyAlignment="1">
      <alignment horizontal="right" vertical="center"/>
    </xf>
    <xf numFmtId="3" fontId="34" fillId="2" borderId="32" xfId="0" applyNumberFormat="1" applyFont="1" applyFill="1" applyBorder="1" applyAlignment="1">
      <alignment horizontal="right" vertical="center"/>
    </xf>
    <xf numFmtId="164" fontId="3" fillId="2" borderId="1" xfId="0" applyNumberFormat="1" applyFont="1" applyFill="1" applyBorder="1" applyAlignment="1">
      <alignment horizontal="right" vertical="center"/>
    </xf>
    <xf numFmtId="174" fontId="10" fillId="0" borderId="0" xfId="0" applyNumberFormat="1" applyFont="1" applyAlignment="1">
      <alignment vertical="center"/>
    </xf>
    <xf numFmtId="3" fontId="3" fillId="2" borderId="32" xfId="0" applyNumberFormat="1" applyFont="1" applyFill="1" applyBorder="1" applyAlignment="1">
      <alignment horizontal="right" vertical="center"/>
    </xf>
    <xf numFmtId="167" fontId="3" fillId="2" borderId="1" xfId="2" applyNumberFormat="1" applyFont="1" applyFill="1" applyBorder="1" applyAlignment="1" applyProtection="1">
      <alignment horizontal="right" vertical="center"/>
    </xf>
    <xf numFmtId="167" fontId="3" fillId="2" borderId="32" xfId="2" applyNumberFormat="1" applyFont="1" applyFill="1" applyBorder="1" applyAlignment="1" applyProtection="1">
      <alignment horizontal="right" vertical="center"/>
    </xf>
    <xf numFmtId="164" fontId="3" fillId="0" borderId="1" xfId="0" applyNumberFormat="1" applyFont="1" applyBorder="1" applyAlignment="1">
      <alignment horizontal="right" vertical="center"/>
    </xf>
    <xf numFmtId="164" fontId="3" fillId="0" borderId="32" xfId="0" applyNumberFormat="1" applyFont="1" applyBorder="1" applyAlignment="1">
      <alignment horizontal="right" vertical="center"/>
    </xf>
    <xf numFmtId="4" fontId="3" fillId="0" borderId="1" xfId="0" applyNumberFormat="1" applyFont="1" applyBorder="1" applyAlignment="1">
      <alignment horizontal="right" vertical="center"/>
    </xf>
    <xf numFmtId="4" fontId="3" fillId="0" borderId="32" xfId="0" applyNumberFormat="1" applyFont="1" applyBorder="1" applyAlignment="1">
      <alignment horizontal="right" vertical="center"/>
    </xf>
    <xf numFmtId="3" fontId="3" fillId="0" borderId="1" xfId="0" applyNumberFormat="1" applyFont="1" applyBorder="1" applyAlignment="1">
      <alignment horizontal="right" vertical="center"/>
    </xf>
    <xf numFmtId="3" fontId="3" fillId="0" borderId="32" xfId="0" applyNumberFormat="1" applyFont="1" applyBorder="1" applyAlignment="1">
      <alignment horizontal="right" vertical="center"/>
    </xf>
    <xf numFmtId="3" fontId="3" fillId="0" borderId="34" xfId="0" applyNumberFormat="1" applyFont="1" applyBorder="1" applyAlignment="1">
      <alignment horizontal="right" vertical="center"/>
    </xf>
    <xf numFmtId="3" fontId="3" fillId="0" borderId="35" xfId="0" applyNumberFormat="1" applyFont="1" applyBorder="1" applyAlignment="1">
      <alignment horizontal="right" vertical="center"/>
    </xf>
    <xf numFmtId="0" fontId="3" fillId="0" borderId="0" xfId="0" applyFont="1" applyAlignment="1">
      <alignment horizontal="left" vertical="center"/>
    </xf>
    <xf numFmtId="0" fontId="37" fillId="2" borderId="0" xfId="0" applyFont="1" applyFill="1" applyAlignment="1">
      <alignment horizontal="center" vertical="center"/>
    </xf>
    <xf numFmtId="172" fontId="5" fillId="4" borderId="1" xfId="3" applyNumberFormat="1" applyFont="1" applyFill="1" applyBorder="1" applyAlignment="1" applyProtection="1">
      <alignment horizontal="right" vertical="center"/>
    </xf>
    <xf numFmtId="43" fontId="5" fillId="0" borderId="0" xfId="9" applyFont="1" applyAlignment="1">
      <alignment vertical="center"/>
    </xf>
    <xf numFmtId="10" fontId="5" fillId="0" borderId="0" xfId="10" applyNumberFormat="1" applyFont="1" applyAlignment="1">
      <alignment vertical="center"/>
    </xf>
    <xf numFmtId="43" fontId="5" fillId="0" borderId="0" xfId="3" applyNumberFormat="1" applyFont="1" applyAlignment="1">
      <alignment vertical="center"/>
    </xf>
    <xf numFmtId="3" fontId="6" fillId="7" borderId="10" xfId="3" applyNumberFormat="1" applyFont="1" applyFill="1" applyBorder="1" applyAlignment="1" applyProtection="1">
      <alignment horizontal="right" vertical="center"/>
    </xf>
    <xf numFmtId="164" fontId="6" fillId="7" borderId="10" xfId="3" applyNumberFormat="1" applyFont="1" applyFill="1" applyBorder="1" applyAlignment="1" applyProtection="1">
      <alignment horizontal="right" vertical="center"/>
    </xf>
    <xf numFmtId="172" fontId="6" fillId="7" borderId="10" xfId="3" applyNumberFormat="1" applyFont="1" applyFill="1" applyBorder="1" applyAlignment="1" applyProtection="1">
      <alignment horizontal="right" vertical="center"/>
    </xf>
    <xf numFmtId="164" fontId="6" fillId="7" borderId="11" xfId="3" applyNumberFormat="1" applyFont="1" applyFill="1" applyBorder="1" applyAlignment="1" applyProtection="1">
      <alignment horizontal="right" vertical="center"/>
    </xf>
    <xf numFmtId="0" fontId="38" fillId="0" borderId="0" xfId="0" applyFont="1"/>
    <xf numFmtId="0" fontId="10" fillId="0" borderId="0" xfId="0" applyFont="1" applyAlignment="1">
      <alignment horizontal="center" vertical="center"/>
    </xf>
    <xf numFmtId="0" fontId="34" fillId="3" borderId="2" xfId="0" applyFont="1" applyFill="1" applyBorder="1" applyAlignment="1">
      <alignment horizontal="center" vertical="center" wrapText="1"/>
    </xf>
    <xf numFmtId="0" fontId="34" fillId="3" borderId="43" xfId="0" applyFont="1" applyFill="1" applyBorder="1" applyAlignment="1">
      <alignment horizontal="center" vertical="center" wrapText="1"/>
    </xf>
    <xf numFmtId="0" fontId="34" fillId="2" borderId="31" xfId="0" applyFont="1" applyFill="1" applyBorder="1" applyAlignment="1">
      <alignment horizontal="left" vertical="center" wrapText="1"/>
    </xf>
    <xf numFmtId="0" fontId="34" fillId="2" borderId="1" xfId="0" applyFont="1" applyFill="1" applyBorder="1" applyAlignment="1">
      <alignment horizontal="center" vertical="center"/>
    </xf>
    <xf numFmtId="0" fontId="3" fillId="2" borderId="31" xfId="0" applyFont="1" applyFill="1" applyBorder="1" applyAlignment="1">
      <alignment horizontal="left" vertical="center" wrapText="1"/>
    </xf>
    <xf numFmtId="0" fontId="37" fillId="2" borderId="31" xfId="0" applyFont="1" applyFill="1" applyBorder="1" applyAlignment="1">
      <alignment horizontal="left" vertical="center" wrapText="1"/>
    </xf>
    <xf numFmtId="0" fontId="37" fillId="2" borderId="1" xfId="0" applyFont="1" applyFill="1" applyBorder="1" applyAlignment="1">
      <alignment horizontal="center" vertical="center"/>
    </xf>
    <xf numFmtId="0" fontId="34" fillId="2" borderId="33" xfId="0" applyFont="1" applyFill="1" applyBorder="1" applyAlignment="1">
      <alignment horizontal="left" vertical="center" wrapText="1"/>
    </xf>
    <xf numFmtId="0" fontId="34" fillId="2" borderId="34" xfId="0" applyFont="1" applyFill="1" applyBorder="1" applyAlignment="1">
      <alignment horizontal="center" vertical="center"/>
    </xf>
    <xf numFmtId="165" fontId="34" fillId="2" borderId="34" xfId="0" applyNumberFormat="1" applyFont="1" applyFill="1" applyBorder="1" applyAlignment="1">
      <alignment horizontal="right" vertical="center"/>
    </xf>
    <xf numFmtId="165" fontId="34" fillId="2" borderId="35" xfId="0" applyNumberFormat="1" applyFont="1" applyFill="1" applyBorder="1" applyAlignment="1">
      <alignment horizontal="right" vertical="center"/>
    </xf>
    <xf numFmtId="0" fontId="37" fillId="2" borderId="0" xfId="0" applyFont="1" applyFill="1" applyAlignment="1">
      <alignment horizontal="center" vertical="top"/>
    </xf>
    <xf numFmtId="0" fontId="37" fillId="2" borderId="0" xfId="0" applyFont="1" applyFill="1" applyAlignment="1">
      <alignment horizontal="right" vertical="top"/>
    </xf>
    <xf numFmtId="14" fontId="34" fillId="3" borderId="29" xfId="0" applyNumberFormat="1" applyFont="1" applyFill="1" applyBorder="1" applyAlignment="1">
      <alignment horizontal="center" vertical="center" wrapText="1"/>
    </xf>
    <xf numFmtId="166" fontId="34" fillId="2" borderId="31" xfId="0" applyNumberFormat="1" applyFont="1" applyFill="1" applyBorder="1" applyAlignment="1">
      <alignment horizontal="center" vertical="top"/>
    </xf>
    <xf numFmtId="166" fontId="34" fillId="2" borderId="1" xfId="0" applyNumberFormat="1" applyFont="1" applyFill="1" applyBorder="1" applyAlignment="1">
      <alignment horizontal="left" vertical="top" wrapText="1"/>
    </xf>
    <xf numFmtId="166" fontId="34" fillId="2" borderId="1" xfId="0" applyNumberFormat="1" applyFont="1" applyFill="1" applyBorder="1" applyAlignment="1">
      <alignment horizontal="center" vertical="top"/>
    </xf>
    <xf numFmtId="166" fontId="34" fillId="2" borderId="1" xfId="0" applyNumberFormat="1" applyFont="1" applyFill="1" applyBorder="1" applyAlignment="1">
      <alignment horizontal="right" vertical="top"/>
    </xf>
    <xf numFmtId="166" fontId="34" fillId="2" borderId="32" xfId="0" applyNumberFormat="1" applyFont="1" applyFill="1" applyBorder="1" applyAlignment="1">
      <alignment horizontal="right" vertical="top"/>
    </xf>
    <xf numFmtId="166" fontId="3" fillId="2" borderId="31" xfId="0" applyNumberFormat="1" applyFont="1" applyFill="1" applyBorder="1" applyAlignment="1">
      <alignment horizontal="center" vertical="top"/>
    </xf>
    <xf numFmtId="166" fontId="3" fillId="2" borderId="1" xfId="0" applyNumberFormat="1" applyFont="1" applyFill="1" applyBorder="1" applyAlignment="1">
      <alignment horizontal="left" vertical="top" wrapText="1"/>
    </xf>
    <xf numFmtId="166" fontId="3" fillId="2" borderId="1" xfId="0" applyNumberFormat="1" applyFont="1" applyFill="1" applyBorder="1" applyAlignment="1">
      <alignment horizontal="center" vertical="top"/>
    </xf>
    <xf numFmtId="166" fontId="3" fillId="2" borderId="1" xfId="0" applyNumberFormat="1" applyFont="1" applyFill="1" applyBorder="1" applyAlignment="1">
      <alignment horizontal="right" vertical="top"/>
    </xf>
    <xf numFmtId="166" fontId="3" fillId="2" borderId="32" xfId="0" applyNumberFormat="1" applyFont="1" applyFill="1" applyBorder="1" applyAlignment="1">
      <alignment horizontal="right" vertical="top"/>
    </xf>
    <xf numFmtId="166" fontId="37" fillId="2" borderId="31" xfId="0" applyNumberFormat="1" applyFont="1" applyFill="1" applyBorder="1" applyAlignment="1">
      <alignment horizontal="center" vertical="top"/>
    </xf>
    <xf numFmtId="166" fontId="37" fillId="2" borderId="1" xfId="0" applyNumberFormat="1" applyFont="1" applyFill="1" applyBorder="1" applyAlignment="1">
      <alignment horizontal="left" vertical="top" wrapText="1"/>
    </xf>
    <xf numFmtId="166" fontId="37" fillId="2" borderId="1" xfId="0" applyNumberFormat="1" applyFont="1" applyFill="1" applyBorder="1" applyAlignment="1">
      <alignment horizontal="center" vertical="top"/>
    </xf>
    <xf numFmtId="166" fontId="37" fillId="2" borderId="1" xfId="0" applyNumberFormat="1" applyFont="1" applyFill="1" applyBorder="1" applyAlignment="1">
      <alignment horizontal="right" vertical="top"/>
    </xf>
    <xf numFmtId="166" fontId="37" fillId="2" borderId="32" xfId="0" applyNumberFormat="1" applyFont="1" applyFill="1" applyBorder="1" applyAlignment="1">
      <alignment horizontal="right" vertical="top"/>
    </xf>
    <xf numFmtId="167" fontId="3" fillId="2" borderId="1" xfId="2" applyNumberFormat="1" applyFont="1" applyFill="1" applyBorder="1" applyAlignment="1" applyProtection="1">
      <alignment horizontal="right" vertical="top"/>
    </xf>
    <xf numFmtId="167" fontId="3" fillId="2" borderId="32" xfId="2" applyNumberFormat="1" applyFont="1" applyFill="1" applyBorder="1" applyAlignment="1" applyProtection="1">
      <alignment horizontal="right" vertical="top"/>
    </xf>
    <xf numFmtId="166" fontId="10" fillId="0" borderId="0" xfId="0" applyNumberFormat="1" applyFont="1"/>
    <xf numFmtId="4" fontId="34" fillId="2" borderId="31" xfId="0" applyNumberFormat="1" applyFont="1" applyFill="1" applyBorder="1" applyAlignment="1">
      <alignment horizontal="center" vertical="top"/>
    </xf>
    <xf numFmtId="4" fontId="34" fillId="2" borderId="1" xfId="0" applyNumberFormat="1" applyFont="1" applyFill="1" applyBorder="1" applyAlignment="1">
      <alignment horizontal="left" vertical="top" wrapText="1"/>
    </xf>
    <xf numFmtId="4" fontId="34" fillId="2" borderId="1" xfId="0" applyNumberFormat="1" applyFont="1" applyFill="1" applyBorder="1" applyAlignment="1">
      <alignment horizontal="center" vertical="top"/>
    </xf>
    <xf numFmtId="4" fontId="34" fillId="2" borderId="1" xfId="0" applyNumberFormat="1" applyFont="1" applyFill="1" applyBorder="1" applyAlignment="1">
      <alignment horizontal="right" vertical="top"/>
    </xf>
    <xf numFmtId="4" fontId="34" fillId="2" borderId="32" xfId="0" applyNumberFormat="1" applyFont="1" applyFill="1" applyBorder="1" applyAlignment="1">
      <alignment horizontal="right" vertical="top"/>
    </xf>
    <xf numFmtId="166" fontId="3" fillId="2" borderId="33" xfId="0" applyNumberFormat="1" applyFont="1" applyFill="1" applyBorder="1" applyAlignment="1">
      <alignment horizontal="center" vertical="top"/>
    </xf>
    <xf numFmtId="166" fontId="3" fillId="2" borderId="34" xfId="0" applyNumberFormat="1" applyFont="1" applyFill="1" applyBorder="1" applyAlignment="1">
      <alignment horizontal="left" vertical="top" wrapText="1"/>
    </xf>
    <xf numFmtId="166" fontId="3" fillId="2" borderId="34" xfId="0" applyNumberFormat="1" applyFont="1" applyFill="1" applyBorder="1" applyAlignment="1">
      <alignment horizontal="center" vertical="top"/>
    </xf>
    <xf numFmtId="166" fontId="3" fillId="2" borderId="34" xfId="0" applyNumberFormat="1" applyFont="1" applyFill="1" applyBorder="1" applyAlignment="1">
      <alignment horizontal="right" vertical="top"/>
    </xf>
    <xf numFmtId="166" fontId="3" fillId="2" borderId="35" xfId="0" applyNumberFormat="1" applyFont="1" applyFill="1" applyBorder="1" applyAlignment="1">
      <alignment horizontal="right" vertical="top"/>
    </xf>
    <xf numFmtId="0" fontId="5" fillId="4" borderId="0" xfId="3" applyFont="1" applyFill="1" applyAlignment="1">
      <alignment horizontal="left" vertical="top"/>
    </xf>
    <xf numFmtId="0" fontId="5" fillId="4" borderId="3" xfId="3" applyFont="1" applyFill="1" applyBorder="1" applyAlignment="1">
      <alignment horizontal="left" vertical="top"/>
    </xf>
    <xf numFmtId="0" fontId="9" fillId="4" borderId="0" xfId="3" applyFont="1" applyFill="1" applyAlignment="1">
      <alignment horizontal="center" vertical="center"/>
    </xf>
    <xf numFmtId="0" fontId="6" fillId="4" borderId="0" xfId="3" applyFont="1" applyFill="1" applyAlignment="1">
      <alignment horizontal="center" vertical="top"/>
    </xf>
    <xf numFmtId="0" fontId="6" fillId="3" borderId="4" xfId="3" applyFont="1" applyFill="1" applyBorder="1" applyAlignment="1">
      <alignment horizontal="center" vertical="center" wrapText="1"/>
    </xf>
    <xf numFmtId="0" fontId="6" fillId="3" borderId="5" xfId="3" applyFont="1" applyFill="1" applyBorder="1" applyAlignment="1">
      <alignment horizontal="center" vertical="center" wrapText="1"/>
    </xf>
    <xf numFmtId="0" fontId="6" fillId="3" borderId="6" xfId="3" applyFont="1" applyFill="1" applyBorder="1" applyAlignment="1">
      <alignment horizontal="center" vertical="center" wrapText="1"/>
    </xf>
    <xf numFmtId="165" fontId="6" fillId="4" borderId="7" xfId="3" applyNumberFormat="1" applyFont="1" applyFill="1" applyBorder="1" applyAlignment="1">
      <alignment horizontal="center" vertical="center"/>
    </xf>
    <xf numFmtId="165" fontId="6" fillId="4" borderId="1" xfId="3" applyNumberFormat="1" applyFont="1" applyFill="1" applyBorder="1" applyAlignment="1">
      <alignment horizontal="left" vertical="center" wrapText="1"/>
    </xf>
    <xf numFmtId="165" fontId="6" fillId="4" borderId="1" xfId="3" applyNumberFormat="1" applyFont="1" applyFill="1" applyBorder="1" applyAlignment="1">
      <alignment horizontal="center" vertical="center"/>
    </xf>
    <xf numFmtId="165" fontId="6" fillId="4" borderId="1" xfId="3" applyNumberFormat="1" applyFont="1" applyFill="1" applyBorder="1" applyAlignment="1">
      <alignment horizontal="right" vertical="center"/>
    </xf>
    <xf numFmtId="165" fontId="6" fillId="4" borderId="8" xfId="3" applyNumberFormat="1" applyFont="1" applyFill="1" applyBorder="1" applyAlignment="1">
      <alignment horizontal="right" vertical="center"/>
    </xf>
    <xf numFmtId="165" fontId="5" fillId="4" borderId="7" xfId="3" applyNumberFormat="1" applyFont="1" applyFill="1" applyBorder="1" applyAlignment="1">
      <alignment horizontal="center" vertical="center"/>
    </xf>
    <xf numFmtId="165" fontId="5" fillId="4" borderId="1" xfId="3" applyNumberFormat="1" applyFont="1" applyFill="1" applyBorder="1" applyAlignment="1">
      <alignment horizontal="left" vertical="center" wrapText="1"/>
    </xf>
    <xf numFmtId="165" fontId="5" fillId="4" borderId="1" xfId="3" applyNumberFormat="1" applyFont="1" applyFill="1" applyBorder="1" applyAlignment="1">
      <alignment horizontal="center" vertical="center"/>
    </xf>
    <xf numFmtId="165" fontId="5" fillId="4" borderId="1" xfId="3" applyNumberFormat="1" applyFont="1" applyFill="1" applyBorder="1" applyAlignment="1">
      <alignment horizontal="right" vertical="center"/>
    </xf>
    <xf numFmtId="165" fontId="5" fillId="4" borderId="8" xfId="3" applyNumberFormat="1" applyFont="1" applyFill="1" applyBorder="1" applyAlignment="1">
      <alignment horizontal="right" vertical="center"/>
    </xf>
    <xf numFmtId="4" fontId="6" fillId="4" borderId="9" xfId="3" applyNumberFormat="1" applyFont="1" applyFill="1" applyBorder="1" applyAlignment="1">
      <alignment horizontal="center" vertical="center"/>
    </xf>
    <xf numFmtId="4" fontId="6" fillId="4" borderId="10" xfId="3" applyNumberFormat="1" applyFont="1" applyFill="1" applyBorder="1" applyAlignment="1">
      <alignment horizontal="left" vertical="center" wrapText="1"/>
    </xf>
    <xf numFmtId="4" fontId="6" fillId="4" borderId="10" xfId="3" applyNumberFormat="1" applyFont="1" applyFill="1" applyBorder="1" applyAlignment="1">
      <alignment horizontal="center" vertical="center"/>
    </xf>
    <xf numFmtId="4" fontId="6" fillId="4" borderId="10" xfId="3" applyNumberFormat="1" applyFont="1" applyFill="1" applyBorder="1" applyAlignment="1">
      <alignment horizontal="right" vertical="center"/>
    </xf>
    <xf numFmtId="4" fontId="6" fillId="4" borderId="11" xfId="3" applyNumberFormat="1" applyFont="1" applyFill="1" applyBorder="1" applyAlignment="1">
      <alignment horizontal="right" vertical="center"/>
    </xf>
    <xf numFmtId="0" fontId="6" fillId="4" borderId="0" xfId="3" applyFont="1" applyFill="1" applyAlignment="1">
      <alignment horizontal="center" vertical="center" wrapText="1"/>
    </xf>
    <xf numFmtId="0" fontId="20" fillId="8" borderId="16" xfId="0" applyFont="1" applyFill="1" applyBorder="1" applyAlignment="1">
      <alignment horizontal="left" wrapText="1"/>
    </xf>
    <xf numFmtId="0" fontId="22" fillId="8" borderId="16" xfId="0" applyFont="1" applyFill="1" applyBorder="1" applyAlignment="1">
      <alignment horizontal="left" vertical="center"/>
    </xf>
    <xf numFmtId="0" fontId="27" fillId="5" borderId="20" xfId="8" applyFont="1" applyFill="1" applyBorder="1" applyAlignment="1">
      <alignment horizontal="center" vertical="center"/>
    </xf>
    <xf numFmtId="0" fontId="27" fillId="5" borderId="0" xfId="8" applyFont="1" applyFill="1" applyBorder="1" applyAlignment="1">
      <alignment horizontal="center" vertical="center"/>
    </xf>
    <xf numFmtId="0" fontId="27" fillId="5" borderId="21" xfId="8" applyFont="1" applyFill="1" applyBorder="1" applyAlignment="1">
      <alignment horizontal="center" vertical="center"/>
    </xf>
    <xf numFmtId="0" fontId="28" fillId="5" borderId="20" xfId="8" applyFont="1" applyFill="1" applyBorder="1" applyAlignment="1">
      <alignment horizontal="center" vertical="center"/>
    </xf>
    <xf numFmtId="0" fontId="28" fillId="5" borderId="0" xfId="8" applyFont="1" applyFill="1" applyBorder="1" applyAlignment="1">
      <alignment horizontal="center" vertical="center"/>
    </xf>
    <xf numFmtId="0" fontId="28" fillId="5" borderId="21" xfId="8" applyFont="1" applyFill="1" applyBorder="1" applyAlignment="1">
      <alignment horizontal="center" vertical="center"/>
    </xf>
    <xf numFmtId="0" fontId="29" fillId="5" borderId="20" xfId="8" applyFont="1" applyFill="1" applyBorder="1" applyAlignment="1">
      <alignment horizontal="center" vertical="center"/>
    </xf>
    <xf numFmtId="0" fontId="29" fillId="5" borderId="0" xfId="8" applyFont="1" applyFill="1" applyBorder="1" applyAlignment="1">
      <alignment horizontal="center" vertical="center"/>
    </xf>
    <xf numFmtId="0" fontId="29" fillId="5" borderId="21" xfId="8" applyFont="1" applyFill="1" applyBorder="1" applyAlignment="1">
      <alignment horizontal="center" vertical="center"/>
    </xf>
    <xf numFmtId="0" fontId="29" fillId="5" borderId="22" xfId="8" applyFont="1" applyFill="1" applyBorder="1" applyAlignment="1">
      <alignment horizontal="center" vertical="center"/>
    </xf>
    <xf numFmtId="0" fontId="29" fillId="5" borderId="23" xfId="8" applyFont="1" applyFill="1" applyBorder="1" applyAlignment="1">
      <alignment horizontal="center" vertical="center"/>
    </xf>
    <xf numFmtId="0" fontId="29" fillId="5" borderId="24" xfId="8" applyFont="1" applyFill="1" applyBorder="1" applyAlignment="1">
      <alignment horizontal="center" vertical="center"/>
    </xf>
    <xf numFmtId="0" fontId="20" fillId="8" borderId="16" xfId="0" applyFont="1" applyFill="1" applyBorder="1" applyAlignment="1">
      <alignment horizontal="left" vertical="center"/>
    </xf>
    <xf numFmtId="169" fontId="24" fillId="4" borderId="23" xfId="7" applyNumberFormat="1" applyFont="1" applyFill="1" applyBorder="1" applyAlignment="1" applyProtection="1">
      <alignment horizontal="left" vertical="top"/>
    </xf>
    <xf numFmtId="0" fontId="20" fillId="8" borderId="0" xfId="0" applyFont="1" applyFill="1" applyAlignment="1">
      <alignment horizontal="left"/>
    </xf>
    <xf numFmtId="0" fontId="26" fillId="5" borderId="17" xfId="0" applyFont="1" applyFill="1" applyBorder="1" applyAlignment="1">
      <alignment horizontal="center" vertical="center"/>
    </xf>
    <xf numFmtId="0" fontId="26" fillId="5" borderId="18" xfId="0" applyFont="1" applyFill="1" applyBorder="1" applyAlignment="1">
      <alignment horizontal="center" vertical="center"/>
    </xf>
    <xf numFmtId="0" fontId="26" fillId="5" borderId="19" xfId="0" applyFont="1" applyFill="1" applyBorder="1" applyAlignment="1">
      <alignment horizontal="center" vertical="center"/>
    </xf>
    <xf numFmtId="0" fontId="22" fillId="5" borderId="22" xfId="0" applyFont="1" applyFill="1" applyBorder="1" applyAlignment="1">
      <alignment horizontal="left"/>
    </xf>
    <xf numFmtId="0" fontId="22" fillId="5" borderId="23" xfId="0" applyFont="1" applyFill="1" applyBorder="1" applyAlignment="1">
      <alignment horizontal="left"/>
    </xf>
    <xf numFmtId="0" fontId="20" fillId="5" borderId="20" xfId="0" applyFont="1" applyFill="1" applyBorder="1" applyAlignment="1">
      <alignment horizontal="left" vertical="center" wrapText="1"/>
    </xf>
    <xf numFmtId="0" fontId="20" fillId="5" borderId="0" xfId="0" applyFont="1" applyFill="1" applyBorder="1" applyAlignment="1">
      <alignment horizontal="left" vertical="center" wrapText="1"/>
    </xf>
    <xf numFmtId="0" fontId="22" fillId="5" borderId="20" xfId="0" applyFont="1" applyFill="1" applyBorder="1" applyAlignment="1">
      <alignment horizontal="left" vertical="center" wrapText="1"/>
    </xf>
    <xf numFmtId="0" fontId="22" fillId="5" borderId="0" xfId="0" applyFont="1" applyFill="1" applyBorder="1" applyAlignment="1">
      <alignment horizontal="left" vertical="center" wrapText="1"/>
    </xf>
    <xf numFmtId="0" fontId="20" fillId="8" borderId="0" xfId="0" applyFont="1" applyFill="1" applyBorder="1" applyAlignment="1">
      <alignment horizontal="left"/>
    </xf>
    <xf numFmtId="0" fontId="22" fillId="5" borderId="17" xfId="0" applyFont="1" applyFill="1" applyBorder="1" applyAlignment="1">
      <alignment horizontal="left" wrapText="1"/>
    </xf>
    <xf numFmtId="0" fontId="22" fillId="5" borderId="18" xfId="0" applyFont="1" applyFill="1" applyBorder="1" applyAlignment="1">
      <alignment horizontal="left"/>
    </xf>
    <xf numFmtId="0" fontId="22" fillId="5" borderId="19" xfId="0" applyFont="1" applyFill="1" applyBorder="1" applyAlignment="1">
      <alignment horizontal="left"/>
    </xf>
    <xf numFmtId="0" fontId="22" fillId="5" borderId="22" xfId="0" applyFont="1" applyFill="1" applyBorder="1" applyAlignment="1">
      <alignment horizontal="left" wrapText="1"/>
    </xf>
    <xf numFmtId="0" fontId="22" fillId="5" borderId="24" xfId="0" applyFont="1" applyFill="1" applyBorder="1" applyAlignment="1">
      <alignment horizontal="left"/>
    </xf>
    <xf numFmtId="0" fontId="20" fillId="5" borderId="17" xfId="0" applyFont="1" applyFill="1" applyBorder="1" applyAlignment="1">
      <alignment horizontal="left" vertical="center" wrapText="1"/>
    </xf>
    <xf numFmtId="0" fontId="20" fillId="5" borderId="18" xfId="0" applyFont="1" applyFill="1" applyBorder="1" applyAlignment="1">
      <alignment horizontal="left" vertical="center" wrapText="1"/>
    </xf>
    <xf numFmtId="0" fontId="34" fillId="2" borderId="0" xfId="0" applyFont="1" applyFill="1" applyAlignment="1">
      <alignment horizontal="center" vertical="top"/>
    </xf>
    <xf numFmtId="0" fontId="3" fillId="2" borderId="0" xfId="0" applyFont="1" applyFill="1" applyAlignment="1">
      <alignment horizontal="center" vertical="top"/>
    </xf>
    <xf numFmtId="0" fontId="3" fillId="2" borderId="0" xfId="0" applyFont="1" applyFill="1" applyAlignment="1">
      <alignment horizontal="center" vertical="center"/>
    </xf>
    <xf numFmtId="0" fontId="34" fillId="2" borderId="0" xfId="0" applyFont="1" applyFill="1" applyAlignment="1">
      <alignment horizontal="center" vertical="center" wrapText="1"/>
    </xf>
    <xf numFmtId="0" fontId="3" fillId="2" borderId="0" xfId="0" applyFont="1" applyFill="1" applyAlignment="1">
      <alignment horizontal="left" vertical="top"/>
    </xf>
    <xf numFmtId="0" fontId="34" fillId="2" borderId="0" xfId="0" applyFont="1" applyFill="1" applyAlignment="1">
      <alignment horizontal="left" vertical="top"/>
    </xf>
    <xf numFmtId="14" fontId="34" fillId="2" borderId="0" xfId="0" applyNumberFormat="1" applyFont="1" applyFill="1" applyAlignment="1">
      <alignment horizontal="left" vertical="top"/>
    </xf>
    <xf numFmtId="15" fontId="3" fillId="2" borderId="0" xfId="0" applyNumberFormat="1" applyFont="1" applyFill="1" applyAlignment="1">
      <alignment horizontal="left" vertical="top"/>
    </xf>
    <xf numFmtId="0" fontId="34" fillId="2" borderId="0" xfId="0" applyFont="1" applyFill="1" applyAlignment="1">
      <alignment horizontal="left" vertical="top" wrapText="1"/>
    </xf>
    <xf numFmtId="0" fontId="3" fillId="2" borderId="27" xfId="0" applyFont="1" applyFill="1" applyBorder="1" applyAlignment="1">
      <alignment horizontal="right" vertical="top"/>
    </xf>
    <xf numFmtId="0" fontId="3" fillId="2" borderId="0" xfId="0" applyFont="1" applyFill="1" applyAlignment="1">
      <alignment horizontal="left" vertical="center" wrapText="1"/>
    </xf>
    <xf numFmtId="0" fontId="35" fillId="2" borderId="0" xfId="0" applyFont="1" applyFill="1" applyAlignment="1">
      <alignment horizontal="center" vertical="center" wrapText="1"/>
    </xf>
    <xf numFmtId="0" fontId="36" fillId="2" borderId="0" xfId="0" applyFont="1" applyFill="1" applyAlignment="1">
      <alignment horizontal="center" vertical="center" wrapText="1"/>
    </xf>
    <xf numFmtId="0" fontId="34" fillId="2" borderId="0" xfId="0" applyFont="1" applyFill="1" applyAlignment="1">
      <alignment horizontal="center" vertical="center"/>
    </xf>
    <xf numFmtId="0" fontId="34" fillId="2" borderId="0" xfId="0" applyFont="1" applyFill="1" applyAlignment="1">
      <alignment horizontal="left" vertical="center"/>
    </xf>
    <xf numFmtId="0" fontId="3" fillId="2" borderId="0" xfId="0" applyFont="1" applyFill="1" applyAlignment="1">
      <alignment horizontal="left" vertical="center"/>
    </xf>
    <xf numFmtId="14" fontId="34" fillId="2" borderId="0" xfId="0" applyNumberFormat="1" applyFont="1" applyFill="1" applyAlignment="1">
      <alignment horizontal="left" vertical="center"/>
    </xf>
    <xf numFmtId="15" fontId="3" fillId="2" borderId="0" xfId="0" applyNumberFormat="1" applyFont="1" applyFill="1" applyAlignment="1">
      <alignment horizontal="left" vertical="center"/>
    </xf>
    <xf numFmtId="0" fontId="34" fillId="2" borderId="0" xfId="0" applyFont="1" applyFill="1" applyAlignment="1">
      <alignment horizontal="left" vertical="center" wrapText="1"/>
    </xf>
    <xf numFmtId="0" fontId="3" fillId="2" borderId="27" xfId="0" applyFont="1" applyFill="1" applyBorder="1" applyAlignment="1">
      <alignment horizontal="right" vertical="center"/>
    </xf>
    <xf numFmtId="0" fontId="37" fillId="2" borderId="0" xfId="0" applyFont="1" applyFill="1" applyAlignment="1">
      <alignment horizontal="left" vertical="center"/>
    </xf>
    <xf numFmtId="0" fontId="37" fillId="2" borderId="0" xfId="0" applyFont="1" applyFill="1" applyAlignment="1">
      <alignment horizontal="left" vertical="center" wrapText="1"/>
    </xf>
    <xf numFmtId="0" fontId="18" fillId="5" borderId="0" xfId="8" applyFont="1" applyFill="1" applyBorder="1" applyAlignment="1">
      <alignment horizontal="center" vertical="center"/>
    </xf>
    <xf numFmtId="0" fontId="6" fillId="4" borderId="0" xfId="3" applyNumberFormat="1" applyFont="1" applyFill="1" applyBorder="1" applyAlignment="1" applyProtection="1">
      <alignment horizontal="center" vertical="center"/>
    </xf>
    <xf numFmtId="167" fontId="18" fillId="5" borderId="0" xfId="5" applyNumberFormat="1" applyFont="1" applyFill="1" applyBorder="1" applyAlignment="1">
      <alignment horizontal="center" vertical="center"/>
    </xf>
    <xf numFmtId="0" fontId="18" fillId="5" borderId="18" xfId="8" applyFont="1" applyFill="1" applyBorder="1" applyAlignment="1">
      <alignment horizontal="center" vertical="center"/>
    </xf>
    <xf numFmtId="0" fontId="6" fillId="3" borderId="12" xfId="3" applyNumberFormat="1" applyFont="1" applyFill="1" applyBorder="1" applyAlignment="1" applyProtection="1">
      <alignment horizontal="center" vertical="center" wrapText="1"/>
    </xf>
    <xf numFmtId="0" fontId="6" fillId="3" borderId="15" xfId="3" applyNumberFormat="1" applyFont="1" applyFill="1" applyBorder="1" applyAlignment="1" applyProtection="1">
      <alignment horizontal="center" vertical="center" wrapText="1"/>
    </xf>
    <xf numFmtId="0" fontId="6" fillId="3" borderId="13" xfId="3" applyNumberFormat="1" applyFont="1" applyFill="1" applyBorder="1" applyAlignment="1" applyProtection="1">
      <alignment horizontal="center" vertical="center" wrapText="1"/>
    </xf>
    <xf numFmtId="0" fontId="6" fillId="3" borderId="14" xfId="3" applyNumberFormat="1" applyFont="1" applyFill="1" applyBorder="1" applyAlignment="1" applyProtection="1">
      <alignment horizontal="center" vertical="center" wrapText="1"/>
    </xf>
    <xf numFmtId="0" fontId="10" fillId="0" borderId="17" xfId="4" applyFont="1" applyBorder="1" applyAlignment="1">
      <alignment horizontal="center" vertical="center" wrapText="1"/>
    </xf>
    <xf numFmtId="0" fontId="10" fillId="0" borderId="18" xfId="4" applyFont="1" applyBorder="1" applyAlignment="1">
      <alignment horizontal="center" vertical="center" wrapText="1"/>
    </xf>
    <xf numFmtId="0" fontId="10" fillId="0" borderId="19" xfId="4" applyFont="1" applyBorder="1" applyAlignment="1">
      <alignment horizontal="center" vertical="center" wrapText="1"/>
    </xf>
    <xf numFmtId="0" fontId="10" fillId="0" borderId="20" xfId="4" applyFont="1" applyBorder="1" applyAlignment="1">
      <alignment horizontal="center" vertical="center" wrapText="1"/>
    </xf>
    <xf numFmtId="0" fontId="10" fillId="0" borderId="0" xfId="4" applyFont="1" applyBorder="1" applyAlignment="1">
      <alignment horizontal="center" vertical="center" wrapText="1"/>
    </xf>
    <xf numFmtId="0" fontId="10" fillId="0" borderId="21" xfId="4" applyFont="1" applyBorder="1" applyAlignment="1">
      <alignment horizontal="center" vertical="center" wrapText="1"/>
    </xf>
    <xf numFmtId="0" fontId="10" fillId="0" borderId="22" xfId="4" applyFont="1" applyBorder="1" applyAlignment="1">
      <alignment horizontal="center" vertical="center" wrapText="1"/>
    </xf>
    <xf numFmtId="0" fontId="10" fillId="0" borderId="23" xfId="4" applyFont="1" applyBorder="1" applyAlignment="1">
      <alignment horizontal="center" vertical="center" wrapText="1"/>
    </xf>
    <xf numFmtId="0" fontId="10" fillId="0" borderId="24" xfId="4" applyFont="1" applyBorder="1" applyAlignment="1">
      <alignment horizontal="center" vertical="center" wrapText="1"/>
    </xf>
    <xf numFmtId="0" fontId="18" fillId="5" borderId="0" xfId="8" applyFont="1" applyFill="1" applyAlignment="1">
      <alignment horizontal="center" vertical="center"/>
    </xf>
    <xf numFmtId="171" fontId="18" fillId="5" borderId="0" xfId="8" applyNumberFormat="1" applyFont="1" applyFill="1" applyAlignment="1">
      <alignment horizontal="center" vertical="center"/>
    </xf>
    <xf numFmtId="169" fontId="5" fillId="4" borderId="0" xfId="7" applyNumberFormat="1" applyFont="1" applyFill="1" applyBorder="1" applyAlignment="1" applyProtection="1">
      <alignment horizontal="left" vertical="top"/>
    </xf>
    <xf numFmtId="0" fontId="10" fillId="5" borderId="0" xfId="4" applyFont="1" applyFill="1" applyAlignment="1">
      <alignment horizontal="left"/>
    </xf>
    <xf numFmtId="0" fontId="11" fillId="5" borderId="0" xfId="4" applyFont="1" applyFill="1" applyAlignment="1">
      <alignment horizontal="center" vertical="center" wrapText="1"/>
    </xf>
    <xf numFmtId="0" fontId="7" fillId="5" borderId="0" xfId="4" applyFont="1" applyFill="1" applyAlignment="1">
      <alignment horizontal="center" vertical="center" wrapText="1"/>
    </xf>
    <xf numFmtId="0" fontId="6" fillId="5" borderId="0" xfId="4" applyFont="1" applyFill="1" applyAlignment="1">
      <alignment horizontal="center" vertical="center" wrapText="1"/>
    </xf>
    <xf numFmtId="3" fontId="11" fillId="5" borderId="0" xfId="4" applyNumberFormat="1" applyFont="1" applyFill="1" applyAlignment="1">
      <alignment horizontal="center" vertical="center" wrapText="1"/>
    </xf>
    <xf numFmtId="0" fontId="11" fillId="5" borderId="0" xfId="4" applyFont="1" applyFill="1" applyAlignment="1">
      <alignment horizontal="center" vertical="center"/>
    </xf>
    <xf numFmtId="14" fontId="6" fillId="5" borderId="0" xfId="4" applyNumberFormat="1" applyFont="1" applyFill="1" applyAlignment="1">
      <alignment horizontal="left" vertical="center"/>
    </xf>
    <xf numFmtId="0" fontId="3" fillId="2" borderId="1" xfId="0" applyFont="1" applyFill="1" applyBorder="1" applyAlignment="1">
      <alignment horizontal="left" vertical="center" wrapText="1"/>
    </xf>
    <xf numFmtId="0" fontId="3" fillId="2" borderId="34" xfId="0" applyFont="1" applyFill="1" applyBorder="1" applyAlignment="1">
      <alignment horizontal="left" vertical="center" wrapText="1"/>
    </xf>
    <xf numFmtId="0" fontId="3" fillId="2" borderId="39" xfId="0" applyFont="1" applyFill="1" applyBorder="1" applyAlignment="1">
      <alignment horizontal="left" vertical="center" wrapText="1"/>
    </xf>
    <xf numFmtId="0" fontId="3" fillId="2" borderId="40" xfId="0" applyFont="1" applyFill="1" applyBorder="1" applyAlignment="1">
      <alignment horizontal="left" vertical="center" wrapText="1"/>
    </xf>
    <xf numFmtId="0" fontId="3" fillId="2" borderId="41" xfId="0" applyFont="1" applyFill="1" applyBorder="1" applyAlignment="1">
      <alignment horizontal="left" vertical="center" wrapText="1"/>
    </xf>
    <xf numFmtId="0" fontId="34" fillId="3" borderId="29" xfId="0" applyFont="1" applyFill="1" applyBorder="1" applyAlignment="1">
      <alignment horizontal="center" vertical="center" wrapText="1"/>
    </xf>
    <xf numFmtId="0" fontId="37" fillId="2" borderId="0" xfId="0" applyFont="1" applyFill="1" applyAlignment="1">
      <alignment horizontal="right" vertical="center"/>
    </xf>
    <xf numFmtId="0" fontId="6" fillId="7" borderId="9" xfId="3" applyNumberFormat="1" applyFont="1" applyFill="1" applyBorder="1" applyAlignment="1" applyProtection="1">
      <alignment horizontal="center" vertical="center"/>
    </xf>
    <xf numFmtId="0" fontId="6" fillId="7" borderId="10" xfId="3" applyNumberFormat="1" applyFont="1" applyFill="1" applyBorder="1" applyAlignment="1" applyProtection="1">
      <alignment horizontal="center" vertical="center"/>
    </xf>
    <xf numFmtId="0" fontId="6" fillId="4" borderId="0" xfId="3" applyNumberFormat="1" applyFont="1" applyFill="1" applyBorder="1" applyAlignment="1" applyProtection="1">
      <alignment horizontal="center" vertical="top"/>
    </xf>
    <xf numFmtId="0" fontId="5" fillId="4" borderId="0" xfId="3" applyNumberFormat="1" applyFont="1" applyFill="1" applyBorder="1" applyAlignment="1" applyProtection="1">
      <alignment horizontal="center" vertical="top"/>
    </xf>
    <xf numFmtId="15" fontId="5" fillId="4" borderId="0" xfId="3" applyNumberFormat="1" applyFont="1" applyFill="1" applyBorder="1" applyAlignment="1" applyProtection="1">
      <alignment horizontal="left" vertical="top"/>
    </xf>
    <xf numFmtId="0" fontId="5" fillId="4" borderId="0" xfId="3" applyNumberFormat="1" applyFont="1" applyFill="1" applyBorder="1" applyAlignment="1" applyProtection="1">
      <alignment horizontal="left" vertical="top"/>
    </xf>
    <xf numFmtId="0" fontId="5" fillId="4" borderId="3" xfId="3" applyNumberFormat="1" applyFont="1" applyFill="1" applyBorder="1" applyAlignment="1" applyProtection="1">
      <alignment horizontal="right" vertical="top"/>
    </xf>
    <xf numFmtId="0" fontId="6" fillId="3" borderId="4" xfId="3" applyNumberFormat="1" applyFont="1" applyFill="1" applyBorder="1" applyAlignment="1" applyProtection="1">
      <alignment horizontal="center" vertical="center" wrapText="1"/>
    </xf>
    <xf numFmtId="0" fontId="6" fillId="3" borderId="25" xfId="3" applyNumberFormat="1" applyFont="1" applyFill="1" applyBorder="1" applyAlignment="1" applyProtection="1">
      <alignment horizontal="center" vertical="center" wrapText="1"/>
    </xf>
    <xf numFmtId="0" fontId="6" fillId="3" borderId="5" xfId="3" applyNumberFormat="1" applyFont="1" applyFill="1" applyBorder="1" applyAlignment="1" applyProtection="1">
      <alignment horizontal="center" vertical="center" wrapText="1"/>
    </xf>
    <xf numFmtId="0" fontId="6" fillId="3" borderId="2" xfId="3" applyNumberFormat="1" applyFont="1" applyFill="1" applyBorder="1" applyAlignment="1" applyProtection="1">
      <alignment horizontal="center" vertical="center" wrapText="1"/>
    </xf>
    <xf numFmtId="0" fontId="6" fillId="3" borderId="6" xfId="3" applyNumberFormat="1" applyFont="1" applyFill="1" applyBorder="1" applyAlignment="1" applyProtection="1">
      <alignment horizontal="center" vertical="center" wrapText="1"/>
    </xf>
    <xf numFmtId="0" fontId="6" fillId="3" borderId="26" xfId="3" applyNumberFormat="1" applyFont="1" applyFill="1" applyBorder="1" applyAlignment="1" applyProtection="1">
      <alignment horizontal="center" vertical="center" wrapText="1"/>
    </xf>
    <xf numFmtId="0" fontId="6" fillId="4" borderId="0" xfId="3" applyNumberFormat="1" applyFont="1" applyFill="1" applyBorder="1" applyAlignment="1" applyProtection="1">
      <alignment horizontal="left" vertical="top"/>
    </xf>
    <xf numFmtId="14" fontId="6" fillId="4" borderId="0" xfId="3" applyNumberFormat="1" applyFont="1" applyFill="1" applyBorder="1" applyAlignment="1" applyProtection="1">
      <alignment horizontal="left" vertical="top" wrapText="1"/>
    </xf>
    <xf numFmtId="0" fontId="6" fillId="4" borderId="0" xfId="3" applyNumberFormat="1" applyFont="1" applyFill="1" applyBorder="1" applyAlignment="1" applyProtection="1">
      <alignment horizontal="left" vertical="top" wrapText="1"/>
    </xf>
    <xf numFmtId="0" fontId="6" fillId="4" borderId="0" xfId="3" applyNumberFormat="1" applyFont="1" applyFill="1" applyBorder="1" applyAlignment="1" applyProtection="1">
      <alignment horizontal="center" vertical="center" wrapText="1"/>
    </xf>
    <xf numFmtId="0" fontId="7" fillId="4" borderId="0" xfId="3" applyNumberFormat="1" applyFont="1" applyFill="1" applyBorder="1" applyAlignment="1" applyProtection="1">
      <alignment horizontal="center" vertical="top" wrapText="1"/>
    </xf>
    <xf numFmtId="0" fontId="8" fillId="4" borderId="0" xfId="3" applyNumberFormat="1" applyFont="1" applyFill="1" applyBorder="1" applyAlignment="1" applyProtection="1">
      <alignment horizontal="center" vertical="center" wrapText="1"/>
    </xf>
    <xf numFmtId="0" fontId="9" fillId="4" borderId="0" xfId="3" applyNumberFormat="1" applyFont="1" applyFill="1" applyBorder="1" applyAlignment="1" applyProtection="1">
      <alignment horizontal="center" vertical="top"/>
    </xf>
    <xf numFmtId="0" fontId="37" fillId="2" borderId="0" xfId="0" applyFont="1" applyFill="1" applyAlignment="1">
      <alignment horizontal="center" vertical="center"/>
    </xf>
    <xf numFmtId="0" fontId="37" fillId="2" borderId="0" xfId="0" applyFont="1" applyFill="1" applyAlignment="1">
      <alignment horizontal="center"/>
    </xf>
    <xf numFmtId="14" fontId="34" fillId="2" borderId="0" xfId="0" applyNumberFormat="1" applyFont="1" applyFill="1" applyAlignment="1">
      <alignment horizontal="left" vertical="top" wrapText="1"/>
    </xf>
    <xf numFmtId="0" fontId="3" fillId="2" borderId="27" xfId="0" applyFont="1" applyFill="1" applyBorder="1" applyAlignment="1">
      <alignment horizontal="left" vertical="top"/>
    </xf>
    <xf numFmtId="0" fontId="34" fillId="2" borderId="0" xfId="0" applyFont="1" applyFill="1" applyAlignment="1">
      <alignment horizontal="center"/>
    </xf>
    <xf numFmtId="0" fontId="34" fillId="3" borderId="28" xfId="0" applyFont="1" applyFill="1" applyBorder="1" applyAlignment="1">
      <alignment horizontal="center" vertical="center" wrapText="1"/>
    </xf>
    <xf numFmtId="0" fontId="34" fillId="3" borderId="42"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30" xfId="0" applyFont="1" applyFill="1" applyBorder="1" applyAlignment="1">
      <alignment horizontal="center" vertical="center" wrapText="1"/>
    </xf>
    <xf numFmtId="0" fontId="36" fillId="2" borderId="0" xfId="0" applyFont="1" applyFill="1" applyAlignment="1">
      <alignment horizontal="center" vertical="center"/>
    </xf>
    <xf numFmtId="0" fontId="36" fillId="2" borderId="0" xfId="0" applyFont="1" applyFill="1" applyAlignment="1">
      <alignment horizontal="center" vertical="top"/>
    </xf>
    <xf numFmtId="0" fontId="37" fillId="2" borderId="0" xfId="0" applyFont="1" applyFill="1" applyAlignment="1">
      <alignment horizontal="center" vertical="top" wrapText="1"/>
    </xf>
    <xf numFmtId="0" fontId="5" fillId="4" borderId="0" xfId="3" applyFont="1" applyFill="1" applyAlignment="1">
      <alignment horizontal="left" vertical="top"/>
    </xf>
    <xf numFmtId="0" fontId="6" fillId="4" borderId="0" xfId="3" applyFont="1" applyFill="1" applyAlignment="1">
      <alignment horizontal="center" vertical="top"/>
    </xf>
    <xf numFmtId="0" fontId="9" fillId="4" borderId="0" xfId="3" applyFont="1" applyFill="1" applyAlignment="1">
      <alignment horizontal="center" vertical="center"/>
    </xf>
    <xf numFmtId="0" fontId="5" fillId="4" borderId="0" xfId="3" applyFont="1" applyFill="1" applyAlignment="1">
      <alignment horizontal="center" vertical="center"/>
    </xf>
    <xf numFmtId="0" fontId="5" fillId="4" borderId="3" xfId="3" applyFont="1" applyFill="1" applyBorder="1" applyAlignment="1">
      <alignment horizontal="right" vertical="top"/>
    </xf>
    <xf numFmtId="0" fontId="6" fillId="4" borderId="0" xfId="3" applyFont="1" applyFill="1" applyAlignment="1">
      <alignment horizontal="center" vertical="center"/>
    </xf>
    <xf numFmtId="0" fontId="6" fillId="4" borderId="0" xfId="3" applyFont="1" applyFill="1" applyAlignment="1">
      <alignment horizontal="left" vertical="top"/>
    </xf>
    <xf numFmtId="14" fontId="6" fillId="4" borderId="0" xfId="3" applyNumberFormat="1" applyFont="1" applyFill="1" applyAlignment="1">
      <alignment horizontal="left" vertical="top"/>
    </xf>
    <xf numFmtId="15" fontId="5" fillId="4" borderId="0" xfId="3" applyNumberFormat="1" applyFont="1" applyFill="1" applyAlignment="1">
      <alignment horizontal="left" vertical="top"/>
    </xf>
    <xf numFmtId="0" fontId="6" fillId="4" borderId="0" xfId="3" applyFont="1" applyFill="1" applyAlignment="1">
      <alignment horizontal="right" vertical="center" wrapText="1"/>
    </xf>
    <xf numFmtId="0" fontId="39" fillId="4" borderId="0" xfId="3" applyFont="1" applyFill="1" applyAlignment="1">
      <alignment horizontal="center" vertical="top" wrapText="1"/>
    </xf>
    <xf numFmtId="0" fontId="40" fillId="4" borderId="0" xfId="3" applyFont="1" applyFill="1" applyAlignment="1">
      <alignment horizontal="center" vertical="center" wrapText="1"/>
    </xf>
    <xf numFmtId="0" fontId="5" fillId="4" borderId="0" xfId="3" applyFont="1" applyFill="1" applyAlignment="1">
      <alignment horizontal="center" vertical="top"/>
    </xf>
    <xf numFmtId="0" fontId="6" fillId="4" borderId="7" xfId="3" applyNumberFormat="1" applyFont="1" applyFill="1" applyBorder="1" applyAlignment="1" applyProtection="1">
      <alignment horizontal="left" vertical="center" wrapText="1"/>
    </xf>
    <xf numFmtId="0" fontId="6" fillId="4" borderId="1" xfId="3" applyNumberFormat="1" applyFont="1" applyFill="1" applyBorder="1" applyAlignment="1" applyProtection="1">
      <alignment horizontal="left" vertical="center" wrapText="1"/>
    </xf>
    <xf numFmtId="0" fontId="9" fillId="4" borderId="0" xfId="3" applyNumberFormat="1" applyFont="1" applyFill="1" applyBorder="1" applyAlignment="1" applyProtection="1">
      <alignment horizontal="center" vertical="center"/>
    </xf>
    <xf numFmtId="0" fontId="5" fillId="4" borderId="0" xfId="3" applyNumberFormat="1" applyFont="1" applyFill="1" applyBorder="1" applyAlignment="1" applyProtection="1">
      <alignment horizontal="left" vertical="center"/>
    </xf>
    <xf numFmtId="0" fontId="6" fillId="4" borderId="0" xfId="3" applyNumberFormat="1" applyFont="1" applyFill="1" applyBorder="1" applyAlignment="1" applyProtection="1">
      <alignment horizontal="center" vertical="top" wrapText="1"/>
    </xf>
    <xf numFmtId="0" fontId="5" fillId="4" borderId="0" xfId="3" applyNumberFormat="1" applyFont="1" applyFill="1" applyBorder="1" applyAlignment="1" applyProtection="1">
      <alignment horizontal="center" vertical="center"/>
    </xf>
    <xf numFmtId="0" fontId="5" fillId="4" borderId="9" xfId="3" applyNumberFormat="1" applyFont="1" applyFill="1" applyBorder="1" applyAlignment="1" applyProtection="1">
      <alignment horizontal="left" vertical="center" wrapText="1"/>
    </xf>
    <xf numFmtId="0" fontId="5" fillId="4" borderId="10" xfId="3" applyNumberFormat="1" applyFont="1" applyFill="1" applyBorder="1" applyAlignment="1" applyProtection="1">
      <alignment horizontal="left" vertical="center" wrapText="1"/>
    </xf>
    <xf numFmtId="0" fontId="9" fillId="4" borderId="7" xfId="3" applyNumberFormat="1" applyFont="1" applyFill="1" applyBorder="1" applyAlignment="1" applyProtection="1">
      <alignment horizontal="left" vertical="center" wrapText="1"/>
    </xf>
    <xf numFmtId="0" fontId="9" fillId="4" borderId="1" xfId="3" applyNumberFormat="1" applyFont="1" applyFill="1" applyBorder="1" applyAlignment="1" applyProtection="1">
      <alignment horizontal="left" vertical="center" wrapText="1"/>
    </xf>
    <xf numFmtId="0" fontId="5" fillId="4" borderId="7" xfId="3" applyNumberFormat="1" applyFont="1" applyFill="1" applyBorder="1" applyAlignment="1" applyProtection="1">
      <alignment horizontal="left" vertical="center" wrapText="1"/>
    </xf>
    <xf numFmtId="0" fontId="5" fillId="4" borderId="1" xfId="3" applyNumberFormat="1" applyFont="1" applyFill="1" applyBorder="1" applyAlignment="1" applyProtection="1">
      <alignment horizontal="left" vertical="center" wrapText="1"/>
    </xf>
    <xf numFmtId="0" fontId="11" fillId="4" borderId="7" xfId="3" applyNumberFormat="1" applyFont="1" applyFill="1" applyBorder="1" applyAlignment="1" applyProtection="1">
      <alignment horizontal="left" vertical="center" wrapText="1"/>
    </xf>
    <xf numFmtId="0" fontId="11" fillId="4" borderId="1" xfId="3" applyNumberFormat="1" applyFont="1" applyFill="1" applyBorder="1" applyAlignment="1" applyProtection="1">
      <alignment horizontal="left" vertical="center" wrapText="1"/>
    </xf>
    <xf numFmtId="0" fontId="6" fillId="4" borderId="44" xfId="3" applyNumberFormat="1" applyFont="1" applyFill="1" applyBorder="1" applyAlignment="1" applyProtection="1">
      <alignment horizontal="left" vertical="center" wrapText="1"/>
    </xf>
    <xf numFmtId="0" fontId="6" fillId="4" borderId="41" xfId="3" applyNumberFormat="1" applyFont="1" applyFill="1" applyBorder="1" applyAlignment="1" applyProtection="1">
      <alignment horizontal="left" vertical="center" wrapText="1"/>
    </xf>
    <xf numFmtId="0" fontId="5" fillId="4" borderId="3" xfId="3" applyNumberFormat="1" applyFont="1" applyFill="1" applyBorder="1" applyAlignment="1" applyProtection="1">
      <alignment horizontal="left" vertical="center"/>
    </xf>
    <xf numFmtId="0" fontId="5" fillId="4" borderId="3" xfId="3" applyNumberFormat="1" applyFont="1" applyFill="1" applyBorder="1" applyAlignment="1" applyProtection="1">
      <alignment horizontal="right" vertical="center"/>
    </xf>
    <xf numFmtId="0" fontId="6" fillId="4" borderId="0" xfId="3" applyNumberFormat="1" applyFont="1" applyFill="1" applyBorder="1" applyAlignment="1" applyProtection="1">
      <alignment horizontal="left" vertical="center"/>
    </xf>
    <xf numFmtId="14" fontId="6" fillId="4" borderId="0" xfId="3" applyNumberFormat="1" applyFont="1" applyFill="1" applyBorder="1" applyAlignment="1" applyProtection="1">
      <alignment horizontal="left" vertical="center"/>
    </xf>
    <xf numFmtId="15" fontId="5" fillId="4" borderId="0" xfId="3" applyNumberFormat="1" applyFont="1" applyFill="1" applyBorder="1" applyAlignment="1" applyProtection="1">
      <alignment horizontal="left" vertical="center"/>
    </xf>
    <xf numFmtId="0" fontId="8" fillId="4" borderId="0" xfId="3" applyNumberFormat="1" applyFont="1" applyFill="1" applyBorder="1" applyAlignment="1" applyProtection="1">
      <alignment horizontal="center" vertical="center"/>
    </xf>
    <xf numFmtId="0" fontId="9" fillId="4" borderId="0" xfId="3" applyNumberFormat="1" applyFont="1" applyFill="1" applyBorder="1" applyAlignment="1" applyProtection="1">
      <alignment horizontal="right" vertical="center"/>
    </xf>
    <xf numFmtId="0" fontId="7" fillId="4" borderId="0" xfId="3" applyNumberFormat="1" applyFont="1" applyFill="1" applyBorder="1" applyAlignment="1" applyProtection="1">
      <alignment horizontal="center" vertical="center" wrapText="1"/>
    </xf>
  </cellXfs>
  <cellStyles count="12">
    <cellStyle name="Comma" xfId="2" builtinId="3"/>
    <cellStyle name="Comma 2" xfId="9" xr:uid="{00000000-0005-0000-0000-000001000000}"/>
    <cellStyle name="Comma 4" xfId="5" xr:uid="{00000000-0005-0000-0000-000002000000}"/>
    <cellStyle name="Hyperlink" xfId="11" builtinId="8"/>
    <cellStyle name="Normal" xfId="0" builtinId="0"/>
    <cellStyle name="Normal 2" xfId="1" xr:uid="{00000000-0005-0000-0000-000005000000}"/>
    <cellStyle name="Normal 3" xfId="3" xr:uid="{00000000-0005-0000-0000-000006000000}"/>
    <cellStyle name="Normal 3 2 3" xfId="4" xr:uid="{00000000-0005-0000-0000-000007000000}"/>
    <cellStyle name="Normal 5" xfId="6" xr:uid="{00000000-0005-0000-0000-000008000000}"/>
    <cellStyle name="Normal 6" xfId="7" xr:uid="{00000000-0005-0000-0000-000009000000}"/>
    <cellStyle name="Normal_Bao cao tai chinh 280405 2" xfId="8" xr:uid="{00000000-0005-0000-0000-00000A000000}"/>
    <cellStyle name="Percent 2" xfId="10" xr:uid="{00000000-0005-0000-0000-00000C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117475</xdr:colOff>
      <xdr:row>0</xdr:row>
      <xdr:rowOff>0</xdr:rowOff>
    </xdr:from>
    <xdr:ext cx="745067"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7475" y="0"/>
          <a:ext cx="745067" cy="4191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15875</xdr:colOff>
      <xdr:row>0</xdr:row>
      <xdr:rowOff>19051</xdr:rowOff>
    </xdr:from>
    <xdr:ext cx="866775" cy="4699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5875" y="19051"/>
          <a:ext cx="866775" cy="4699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38100</xdr:rowOff>
    </xdr:from>
    <xdr:ext cx="621323" cy="33655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38100"/>
          <a:ext cx="621323" cy="3365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0</xdr:row>
      <xdr:rowOff>3175</xdr:rowOff>
    </xdr:from>
    <xdr:to>
      <xdr:col>1</xdr:col>
      <xdr:colOff>371475</xdr:colOff>
      <xdr:row>1</xdr:row>
      <xdr:rowOff>102592</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17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34925</xdr:colOff>
      <xdr:row>0</xdr:row>
      <xdr:rowOff>6350</xdr:rowOff>
    </xdr:from>
    <xdr:ext cx="710142" cy="38735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4925" y="6350"/>
          <a:ext cx="710142" cy="38735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291367</xdr:colOff>
      <xdr:row>1</xdr:row>
      <xdr:rowOff>19050</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80317"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101601</xdr:colOff>
      <xdr:row>0</xdr:row>
      <xdr:rowOff>38101</xdr:rowOff>
    </xdr:from>
    <xdr:ext cx="781050" cy="438876"/>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01601" y="38101"/>
          <a:ext cx="781050" cy="438876"/>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22225</xdr:rowOff>
    </xdr:from>
    <xdr:ext cx="742950" cy="4191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22225"/>
          <a:ext cx="742950" cy="4191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41274</xdr:colOff>
      <xdr:row>0</xdr:row>
      <xdr:rowOff>9525</xdr:rowOff>
    </xdr:from>
    <xdr:ext cx="743857" cy="390525"/>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41274" y="9525"/>
          <a:ext cx="743857" cy="390525"/>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19050</xdr:rowOff>
    </xdr:from>
    <xdr:ext cx="823971" cy="466725"/>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19050"/>
          <a:ext cx="823971" cy="4667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view="pageBreakPreview" zoomScale="80" zoomScaleNormal="50" zoomScaleSheetLayoutView="80" workbookViewId="0">
      <selection activeCell="E13" sqref="E13:H13"/>
    </sheetView>
  </sheetViews>
  <sheetFormatPr defaultColWidth="9.1796875" defaultRowHeight="14"/>
  <cols>
    <col min="1" max="1" width="11.81640625" style="101" customWidth="1"/>
    <col min="2" max="2" width="6.1796875" style="101" customWidth="1"/>
    <col min="3" max="3" width="11.453125" style="101" customWidth="1"/>
    <col min="4" max="4" width="24.26953125" style="101" customWidth="1"/>
    <col min="5" max="5" width="23.1796875" style="101" customWidth="1"/>
    <col min="6" max="6" width="5.26953125" style="101" customWidth="1"/>
    <col min="7" max="7" width="24.54296875" style="101" customWidth="1"/>
    <col min="8" max="8" width="21.453125" style="101" customWidth="1"/>
    <col min="9" max="9" width="12.81640625" style="101" customWidth="1"/>
    <col min="10" max="16384" width="9.1796875" style="101"/>
  </cols>
  <sheetData>
    <row r="1" spans="1:10" ht="15">
      <c r="A1" s="305" t="s">
        <v>1124</v>
      </c>
      <c r="B1" s="305"/>
    </row>
    <row r="2" spans="1:10" ht="15.5">
      <c r="C2" s="306" t="s">
        <v>1125</v>
      </c>
      <c r="D2" s="307"/>
      <c r="E2" s="308"/>
    </row>
    <row r="3" spans="1:10" ht="15.5">
      <c r="A3" s="102"/>
      <c r="B3" s="102"/>
      <c r="C3" s="309" t="s">
        <v>1164</v>
      </c>
      <c r="D3" s="300"/>
      <c r="E3" s="310"/>
    </row>
    <row r="4" spans="1:10">
      <c r="A4" s="103"/>
      <c r="B4" s="103"/>
    </row>
    <row r="5" spans="1:10" ht="15.5">
      <c r="A5" s="295" t="s">
        <v>1126</v>
      </c>
      <c r="B5" s="295"/>
      <c r="E5" s="104"/>
      <c r="F5" s="104"/>
      <c r="G5" s="104"/>
      <c r="H5" s="104"/>
      <c r="I5" s="104"/>
    </row>
    <row r="6" spans="1:10" ht="15.5">
      <c r="A6" s="102"/>
      <c r="B6" s="102"/>
      <c r="C6" s="311" t="s">
        <v>10</v>
      </c>
      <c r="D6" s="312"/>
      <c r="E6" s="105" t="s">
        <v>1095</v>
      </c>
      <c r="F6" s="106"/>
      <c r="G6" s="106"/>
      <c r="H6" s="106"/>
      <c r="I6" s="107"/>
    </row>
    <row r="7" spans="1:10" ht="15.5">
      <c r="A7" s="102"/>
      <c r="B7" s="102"/>
      <c r="C7" s="303" t="s">
        <v>12</v>
      </c>
      <c r="D7" s="304"/>
      <c r="E7" s="108" t="s">
        <v>13</v>
      </c>
      <c r="F7" s="109"/>
      <c r="G7" s="109"/>
      <c r="H7" s="109"/>
      <c r="I7" s="110"/>
      <c r="J7" s="111"/>
    </row>
    <row r="8" spans="1:10" ht="15.5">
      <c r="A8" s="102"/>
      <c r="B8" s="102"/>
      <c r="C8" s="301" t="s">
        <v>385</v>
      </c>
      <c r="D8" s="302"/>
      <c r="E8" s="112" t="s">
        <v>1056</v>
      </c>
      <c r="F8" s="113"/>
      <c r="G8" s="113"/>
      <c r="H8" s="113"/>
      <c r="I8" s="114"/>
      <c r="J8" s="111"/>
    </row>
    <row r="9" spans="1:10" ht="15.5">
      <c r="A9" s="102"/>
      <c r="B9" s="102"/>
      <c r="C9" s="303" t="s">
        <v>1057</v>
      </c>
      <c r="D9" s="304"/>
      <c r="E9" s="108" t="s">
        <v>822</v>
      </c>
      <c r="F9" s="109"/>
      <c r="G9" s="109"/>
      <c r="H9" s="109"/>
      <c r="I9" s="110"/>
      <c r="J9" s="111"/>
    </row>
    <row r="10" spans="1:10" ht="15.5">
      <c r="A10" s="102"/>
      <c r="B10" s="102"/>
      <c r="C10" s="301" t="s">
        <v>5</v>
      </c>
      <c r="D10" s="302"/>
      <c r="E10" s="112" t="s">
        <v>1058</v>
      </c>
      <c r="F10" s="113"/>
      <c r="G10" s="113"/>
      <c r="H10" s="113"/>
      <c r="I10" s="114"/>
      <c r="J10" s="111"/>
    </row>
    <row r="11" spans="1:10" ht="15.5">
      <c r="A11" s="102"/>
      <c r="B11" s="102"/>
      <c r="C11" s="303" t="s">
        <v>1059</v>
      </c>
      <c r="D11" s="304"/>
      <c r="E11" s="108" t="s">
        <v>1060</v>
      </c>
      <c r="F11" s="109"/>
      <c r="G11" s="109"/>
      <c r="H11" s="109"/>
      <c r="I11" s="110"/>
      <c r="J11" s="111"/>
    </row>
    <row r="12" spans="1:10" ht="15.5">
      <c r="A12" s="102"/>
      <c r="B12" s="102"/>
      <c r="C12" s="301" t="s">
        <v>20</v>
      </c>
      <c r="D12" s="302"/>
      <c r="E12" s="115">
        <v>44624</v>
      </c>
      <c r="F12" s="113"/>
      <c r="G12" s="113"/>
      <c r="H12" s="113"/>
      <c r="I12" s="114"/>
      <c r="J12" s="111"/>
    </row>
    <row r="13" spans="1:10" ht="15.5">
      <c r="A13" s="102"/>
      <c r="B13" s="102"/>
      <c r="C13" s="299" t="s">
        <v>21</v>
      </c>
      <c r="D13" s="300"/>
      <c r="E13" s="294">
        <f>+E12</f>
        <v>44624</v>
      </c>
      <c r="F13" s="294"/>
      <c r="G13" s="294"/>
      <c r="H13" s="294"/>
      <c r="I13" s="116"/>
      <c r="J13" s="111"/>
    </row>
    <row r="14" spans="1:10" ht="15.5">
      <c r="C14" s="104"/>
      <c r="D14" s="117"/>
      <c r="E14" s="104"/>
      <c r="F14" s="104"/>
      <c r="G14" s="104"/>
      <c r="H14" s="104"/>
      <c r="I14" s="104"/>
      <c r="J14" s="104"/>
    </row>
    <row r="15" spans="1:10" ht="15.5">
      <c r="A15" s="295" t="s">
        <v>1127</v>
      </c>
      <c r="B15" s="295"/>
      <c r="E15" s="104"/>
      <c r="F15" s="104"/>
      <c r="G15" s="104"/>
      <c r="H15" s="104"/>
      <c r="I15" s="104"/>
      <c r="J15" s="104"/>
    </row>
    <row r="16" spans="1:10" ht="15">
      <c r="C16" s="296" t="s">
        <v>221</v>
      </c>
      <c r="D16" s="297"/>
      <c r="E16" s="298"/>
      <c r="G16" s="296" t="s">
        <v>1128</v>
      </c>
      <c r="H16" s="297"/>
      <c r="I16" s="298"/>
    </row>
    <row r="17" spans="1:9" ht="15.5">
      <c r="A17" s="104"/>
      <c r="B17" s="104"/>
      <c r="C17" s="281" t="s">
        <v>223</v>
      </c>
      <c r="D17" s="282"/>
      <c r="E17" s="283"/>
      <c r="G17" s="281" t="s">
        <v>224</v>
      </c>
      <c r="H17" s="282"/>
      <c r="I17" s="283"/>
    </row>
    <row r="18" spans="1:9" ht="15.5">
      <c r="A18" s="104"/>
      <c r="B18" s="104"/>
      <c r="C18" s="281"/>
      <c r="D18" s="282"/>
      <c r="E18" s="283"/>
      <c r="G18" s="284"/>
      <c r="H18" s="285"/>
      <c r="I18" s="286"/>
    </row>
    <row r="19" spans="1:9" ht="27" customHeight="1">
      <c r="A19" s="104"/>
      <c r="B19" s="104"/>
      <c r="C19" s="281"/>
      <c r="D19" s="282"/>
      <c r="E19" s="283"/>
      <c r="G19" s="284"/>
      <c r="H19" s="285"/>
      <c r="I19" s="286"/>
    </row>
    <row r="20" spans="1:9" ht="15.5">
      <c r="A20" s="104"/>
      <c r="B20" s="104"/>
      <c r="C20" s="281"/>
      <c r="D20" s="282"/>
      <c r="E20" s="283"/>
      <c r="G20" s="284"/>
      <c r="H20" s="285"/>
      <c r="I20" s="286"/>
    </row>
    <row r="21" spans="1:9" ht="15.5">
      <c r="A21" s="104"/>
      <c r="B21" s="104"/>
      <c r="C21" s="281"/>
      <c r="D21" s="282"/>
      <c r="E21" s="283"/>
      <c r="G21" s="284"/>
      <c r="H21" s="285"/>
      <c r="I21" s="286"/>
    </row>
    <row r="22" spans="1:9" ht="15.5">
      <c r="A22" s="104"/>
      <c r="B22" s="104"/>
      <c r="C22" s="281"/>
      <c r="D22" s="282"/>
      <c r="E22" s="283"/>
      <c r="G22" s="284"/>
      <c r="H22" s="285"/>
      <c r="I22" s="286"/>
    </row>
    <row r="23" spans="1:9" ht="15.5">
      <c r="A23" s="104"/>
      <c r="B23" s="104"/>
      <c r="C23" s="281"/>
      <c r="D23" s="282"/>
      <c r="E23" s="283"/>
      <c r="G23" s="284"/>
      <c r="H23" s="285"/>
      <c r="I23" s="286"/>
    </row>
    <row r="24" spans="1:9" ht="15.5">
      <c r="A24" s="104"/>
      <c r="B24" s="104"/>
      <c r="C24" s="287" t="s">
        <v>1056</v>
      </c>
      <c r="D24" s="288"/>
      <c r="E24" s="289"/>
      <c r="G24" s="287" t="s">
        <v>1095</v>
      </c>
      <c r="H24" s="288"/>
      <c r="I24" s="289"/>
    </row>
    <row r="25" spans="1:9" ht="15.5">
      <c r="A25" s="104"/>
      <c r="B25" s="104"/>
      <c r="C25" s="287" t="s">
        <v>227</v>
      </c>
      <c r="D25" s="288"/>
      <c r="E25" s="289"/>
      <c r="G25" s="287" t="s">
        <v>228</v>
      </c>
      <c r="H25" s="288"/>
      <c r="I25" s="289"/>
    </row>
    <row r="26" spans="1:9" ht="15.5">
      <c r="A26" s="104"/>
      <c r="B26" s="104"/>
      <c r="C26" s="290" t="s">
        <v>1129</v>
      </c>
      <c r="D26" s="291"/>
      <c r="E26" s="292"/>
      <c r="G26" s="290" t="s">
        <v>1130</v>
      </c>
      <c r="H26" s="291"/>
      <c r="I26" s="292"/>
    </row>
    <row r="27" spans="1:9" ht="15.5">
      <c r="A27" s="104"/>
      <c r="B27" s="104"/>
      <c r="C27" s="118"/>
      <c r="D27" s="118"/>
      <c r="E27" s="118"/>
      <c r="G27" s="119"/>
      <c r="H27" s="119"/>
      <c r="I27" s="119"/>
    </row>
    <row r="28" spans="1:9" ht="15.5">
      <c r="A28" s="104"/>
      <c r="B28" s="104"/>
      <c r="C28" s="118"/>
      <c r="D28" s="118"/>
      <c r="E28" s="118"/>
      <c r="G28" s="119"/>
      <c r="H28" s="119"/>
      <c r="I28" s="119"/>
    </row>
    <row r="29" spans="1:9" ht="15.5">
      <c r="A29" s="104"/>
      <c r="B29" s="104"/>
      <c r="C29" s="120" t="s">
        <v>500</v>
      </c>
      <c r="D29" s="293" t="s">
        <v>1131</v>
      </c>
      <c r="E29" s="293"/>
      <c r="F29" s="293"/>
      <c r="G29" s="293"/>
      <c r="H29" s="121" t="s">
        <v>1132</v>
      </c>
      <c r="I29" s="119"/>
    </row>
    <row r="30" spans="1:9" ht="15.5">
      <c r="A30" s="104"/>
      <c r="B30" s="104"/>
      <c r="C30" s="120" t="s">
        <v>1061</v>
      </c>
      <c r="D30" s="293" t="s">
        <v>1133</v>
      </c>
      <c r="E30" s="293"/>
      <c r="F30" s="293"/>
      <c r="G30" s="293"/>
      <c r="H30" s="121"/>
      <c r="I30" s="119"/>
    </row>
    <row r="31" spans="1:9" ht="15.5">
      <c r="A31" s="104"/>
      <c r="B31" s="104"/>
      <c r="C31" s="122" t="s">
        <v>1134</v>
      </c>
      <c r="D31" s="280" t="s">
        <v>1135</v>
      </c>
      <c r="E31" s="280"/>
      <c r="F31" s="280"/>
      <c r="G31" s="280"/>
      <c r="H31" s="123" t="s">
        <v>1136</v>
      </c>
      <c r="I31" s="119"/>
    </row>
    <row r="32" spans="1:9" ht="15.5">
      <c r="A32" s="104"/>
      <c r="B32" s="104"/>
      <c r="C32" s="122" t="s">
        <v>1137</v>
      </c>
      <c r="D32" s="280" t="s">
        <v>1138</v>
      </c>
      <c r="E32" s="280"/>
      <c r="F32" s="280"/>
      <c r="G32" s="280"/>
      <c r="H32" s="123" t="s">
        <v>1139</v>
      </c>
      <c r="I32" s="119"/>
    </row>
    <row r="33" spans="1:9" ht="15.5">
      <c r="A33" s="104"/>
      <c r="B33" s="104"/>
      <c r="C33" s="122" t="s">
        <v>1140</v>
      </c>
      <c r="D33" s="280" t="s">
        <v>1141</v>
      </c>
      <c r="E33" s="280"/>
      <c r="F33" s="280"/>
      <c r="G33" s="280"/>
      <c r="H33" s="123" t="s">
        <v>1142</v>
      </c>
      <c r="I33" s="119"/>
    </row>
    <row r="34" spans="1:9" ht="15.5">
      <c r="A34" s="104"/>
      <c r="B34" s="104"/>
      <c r="C34" s="122" t="s">
        <v>1143</v>
      </c>
      <c r="D34" s="280" t="s">
        <v>1144</v>
      </c>
      <c r="E34" s="280"/>
      <c r="F34" s="280"/>
      <c r="G34" s="280"/>
      <c r="H34" s="123" t="s">
        <v>1145</v>
      </c>
      <c r="I34" s="119"/>
    </row>
    <row r="35" spans="1:9" ht="15.5">
      <c r="A35" s="104"/>
      <c r="B35" s="104"/>
      <c r="C35" s="122" t="s">
        <v>1146</v>
      </c>
      <c r="D35" s="280" t="s">
        <v>1147</v>
      </c>
      <c r="E35" s="280"/>
      <c r="F35" s="280"/>
      <c r="G35" s="280"/>
      <c r="H35" s="123" t="s">
        <v>1148</v>
      </c>
      <c r="I35" s="119"/>
    </row>
    <row r="36" spans="1:9" ht="15.5">
      <c r="A36" s="104"/>
      <c r="B36" s="104"/>
      <c r="C36" s="122" t="s">
        <v>1149</v>
      </c>
      <c r="D36" s="280" t="s">
        <v>1150</v>
      </c>
      <c r="E36" s="280"/>
      <c r="F36" s="280"/>
      <c r="G36" s="280"/>
      <c r="H36" s="124" t="s">
        <v>1151</v>
      </c>
      <c r="I36" s="119"/>
    </row>
    <row r="37" spans="1:9" ht="15.5">
      <c r="A37" s="104"/>
      <c r="B37" s="104"/>
      <c r="C37" s="122" t="s">
        <v>1152</v>
      </c>
      <c r="D37" s="280" t="s">
        <v>1153</v>
      </c>
      <c r="E37" s="280"/>
      <c r="F37" s="280"/>
      <c r="G37" s="280"/>
      <c r="H37" s="125" t="s">
        <v>1154</v>
      </c>
      <c r="I37" s="119"/>
    </row>
    <row r="38" spans="1:9" ht="15.5">
      <c r="A38" s="104"/>
      <c r="B38" s="104"/>
      <c r="C38" s="122" t="s">
        <v>1155</v>
      </c>
      <c r="D38" s="280" t="s">
        <v>1156</v>
      </c>
      <c r="E38" s="280"/>
      <c r="F38" s="280"/>
      <c r="G38" s="280"/>
      <c r="H38" s="125" t="s">
        <v>1154</v>
      </c>
      <c r="I38" s="119"/>
    </row>
    <row r="39" spans="1:9" ht="15.5">
      <c r="A39" s="104"/>
      <c r="B39" s="104"/>
      <c r="C39" s="120" t="s">
        <v>1091</v>
      </c>
      <c r="D39" s="279" t="s">
        <v>1157</v>
      </c>
      <c r="E39" s="279"/>
      <c r="F39" s="279"/>
      <c r="G39" s="279"/>
      <c r="H39" s="125" t="s">
        <v>1154</v>
      </c>
      <c r="I39" s="119"/>
    </row>
    <row r="40" spans="1:9" ht="15.5">
      <c r="A40" s="104"/>
      <c r="B40" s="104"/>
      <c r="C40" s="122">
        <v>6</v>
      </c>
      <c r="D40" s="280" t="s">
        <v>1158</v>
      </c>
      <c r="E40" s="280"/>
      <c r="F40" s="280"/>
      <c r="G40" s="280"/>
      <c r="H40" s="123" t="s">
        <v>1159</v>
      </c>
      <c r="I40" s="119"/>
    </row>
    <row r="41" spans="1:9" ht="15.5">
      <c r="A41" s="104"/>
      <c r="B41" s="104"/>
      <c r="C41" s="122">
        <v>7</v>
      </c>
      <c r="D41" s="280" t="s">
        <v>1160</v>
      </c>
      <c r="E41" s="280"/>
      <c r="F41" s="280"/>
      <c r="G41" s="280"/>
      <c r="H41" s="123" t="s">
        <v>1161</v>
      </c>
      <c r="I41" s="119"/>
    </row>
    <row r="42" spans="1:9" ht="15.5">
      <c r="A42" s="104"/>
      <c r="B42" s="104"/>
      <c r="C42" s="122">
        <v>8</v>
      </c>
      <c r="D42" s="280" t="s">
        <v>1162</v>
      </c>
      <c r="E42" s="280"/>
      <c r="F42" s="280"/>
      <c r="G42" s="280"/>
      <c r="H42" s="126" t="s">
        <v>1163</v>
      </c>
      <c r="I42" s="119"/>
    </row>
    <row r="43" spans="1:9" ht="15.5">
      <c r="A43" s="104"/>
      <c r="B43" s="104"/>
      <c r="C43" s="118"/>
      <c r="D43" s="118"/>
      <c r="E43" s="118"/>
      <c r="G43" s="119"/>
      <c r="H43" s="119"/>
      <c r="I43" s="119"/>
    </row>
    <row r="44" spans="1:9" ht="15.5">
      <c r="A44" s="104"/>
      <c r="B44" s="104"/>
      <c r="C44" s="118"/>
      <c r="D44" s="118"/>
      <c r="E44" s="118"/>
      <c r="G44" s="119"/>
      <c r="H44" s="119"/>
      <c r="I44" s="119"/>
    </row>
    <row r="45" spans="1:9" ht="15.5">
      <c r="A45" s="104"/>
      <c r="B45" s="104"/>
      <c r="C45" s="118"/>
      <c r="D45" s="118"/>
      <c r="E45" s="118"/>
      <c r="G45" s="119"/>
      <c r="H45" s="119"/>
      <c r="I45" s="119"/>
    </row>
    <row r="46" spans="1:9" ht="15.5">
      <c r="A46" s="104"/>
      <c r="B46" s="104"/>
      <c r="C46" s="118"/>
      <c r="D46" s="118"/>
      <c r="E46" s="118"/>
      <c r="G46" s="119"/>
      <c r="H46" s="119"/>
      <c r="I46" s="119"/>
    </row>
    <row r="47" spans="1:9" ht="15.5">
      <c r="A47" s="104"/>
      <c r="B47" s="104"/>
      <c r="C47" s="118"/>
      <c r="D47" s="118"/>
      <c r="E47" s="118"/>
      <c r="G47" s="119"/>
      <c r="H47" s="119"/>
      <c r="I47" s="119"/>
    </row>
    <row r="48" spans="1:9" ht="15.5">
      <c r="A48" s="104"/>
      <c r="B48" s="104"/>
      <c r="C48" s="118"/>
      <c r="D48" s="118"/>
      <c r="E48" s="118"/>
      <c r="G48" s="119"/>
      <c r="H48" s="119"/>
      <c r="I48" s="119"/>
    </row>
    <row r="49" spans="1:9" ht="15.5">
      <c r="A49" s="104"/>
      <c r="B49" s="104"/>
      <c r="C49" s="118"/>
      <c r="D49" s="118"/>
      <c r="E49" s="118"/>
      <c r="G49" s="119"/>
      <c r="H49" s="119"/>
      <c r="I49" s="119"/>
    </row>
    <row r="50" spans="1:9" ht="15.5">
      <c r="A50" s="104"/>
      <c r="B50" s="104"/>
      <c r="C50" s="118"/>
      <c r="D50" s="118"/>
      <c r="E50" s="118"/>
      <c r="G50" s="119"/>
      <c r="H50" s="119"/>
      <c r="I50" s="119"/>
    </row>
    <row r="51" spans="1:9" ht="15.5">
      <c r="B51" s="127"/>
      <c r="C51" s="12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F118"/>
  <sheetViews>
    <sheetView showGridLines="0" showZeros="0" showOutlineSymbols="0" view="pageBreakPreview" zoomScaleNormal="100" zoomScaleSheetLayoutView="100" workbookViewId="0">
      <selection activeCell="E14" sqref="E14"/>
    </sheetView>
  </sheetViews>
  <sheetFormatPr defaultColWidth="9.1796875" defaultRowHeight="10"/>
  <cols>
    <col min="1" max="1" width="6" style="131" customWidth="1"/>
    <col min="2" max="2" width="36" style="131" customWidth="1"/>
    <col min="3" max="3" width="8.1796875" style="131" bestFit="1" customWidth="1"/>
    <col min="4" max="5" width="18.26953125" style="131" customWidth="1"/>
    <col min="6" max="6" width="11.1796875" style="131" customWidth="1"/>
    <col min="7" max="16384" width="9.1796875" style="131"/>
  </cols>
  <sheetData>
    <row r="1" spans="1:6" ht="36" customHeight="1">
      <c r="A1" s="317"/>
      <c r="B1" s="317"/>
      <c r="C1" s="130"/>
      <c r="D1" s="316" t="s">
        <v>0</v>
      </c>
      <c r="E1" s="316"/>
      <c r="F1" s="316"/>
    </row>
    <row r="2" spans="1:6" ht="27.75" customHeight="1">
      <c r="A2" s="324" t="s">
        <v>1</v>
      </c>
      <c r="B2" s="324"/>
      <c r="C2" s="324"/>
      <c r="D2" s="324"/>
      <c r="E2" s="324"/>
      <c r="F2" s="324"/>
    </row>
    <row r="3" spans="1:6" ht="7.5" customHeight="1">
      <c r="A3" s="132"/>
      <c r="B3" s="132"/>
      <c r="C3" s="132"/>
      <c r="D3" s="132"/>
      <c r="E3" s="132"/>
      <c r="F3" s="132"/>
    </row>
    <row r="4" spans="1:6" ht="27" customHeight="1">
      <c r="A4" s="325" t="s">
        <v>2</v>
      </c>
      <c r="B4" s="325"/>
      <c r="C4" s="325"/>
      <c r="D4" s="325"/>
      <c r="E4" s="325"/>
      <c r="F4" s="325"/>
    </row>
    <row r="5" spans="1:6" ht="18" customHeight="1">
      <c r="A5" s="314" t="s">
        <v>3</v>
      </c>
      <c r="B5" s="314"/>
      <c r="C5" s="314"/>
      <c r="D5" s="314"/>
      <c r="E5" s="314"/>
      <c r="F5" s="314"/>
    </row>
    <row r="6" spans="1:6" ht="12.75" customHeight="1">
      <c r="A6" s="133" t="s">
        <v>4</v>
      </c>
      <c r="B6" s="134" t="s">
        <v>5</v>
      </c>
      <c r="C6" s="318" t="s">
        <v>6</v>
      </c>
      <c r="D6" s="318"/>
      <c r="E6" s="318"/>
      <c r="F6" s="318"/>
    </row>
    <row r="7" spans="1:6" ht="12.75" customHeight="1">
      <c r="A7" s="132"/>
      <c r="B7" s="132" t="s">
        <v>7</v>
      </c>
      <c r="C7" s="317" t="s">
        <v>8</v>
      </c>
      <c r="D7" s="317"/>
      <c r="E7" s="317"/>
      <c r="F7" s="317"/>
    </row>
    <row r="8" spans="1:6" ht="12.75" customHeight="1">
      <c r="A8" s="133" t="s">
        <v>9</v>
      </c>
      <c r="B8" s="134" t="s">
        <v>10</v>
      </c>
      <c r="C8" s="318" t="s">
        <v>11</v>
      </c>
      <c r="D8" s="318"/>
      <c r="E8" s="318"/>
      <c r="F8" s="318"/>
    </row>
    <row r="9" spans="1:6" ht="12.75" customHeight="1">
      <c r="A9" s="132"/>
      <c r="B9" s="132" t="s">
        <v>12</v>
      </c>
      <c r="C9" s="317" t="s">
        <v>13</v>
      </c>
      <c r="D9" s="317"/>
      <c r="E9" s="317"/>
      <c r="F9" s="317"/>
    </row>
    <row r="10" spans="1:6" ht="12.75" customHeight="1">
      <c r="A10" s="133" t="s">
        <v>14</v>
      </c>
      <c r="B10" s="134" t="s">
        <v>15</v>
      </c>
      <c r="C10" s="318" t="s">
        <v>16</v>
      </c>
      <c r="D10" s="318"/>
      <c r="E10" s="318"/>
      <c r="F10" s="318"/>
    </row>
    <row r="11" spans="1:6" ht="12.75" customHeight="1">
      <c r="A11" s="132"/>
      <c r="B11" s="132" t="s">
        <v>17</v>
      </c>
      <c r="C11" s="317" t="s">
        <v>18</v>
      </c>
      <c r="D11" s="317"/>
      <c r="E11" s="317"/>
      <c r="F11" s="317"/>
    </row>
    <row r="12" spans="1:6" ht="12.75" customHeight="1">
      <c r="A12" s="133" t="s">
        <v>19</v>
      </c>
      <c r="B12" s="134" t="s">
        <v>20</v>
      </c>
      <c r="C12" s="319">
        <v>44624</v>
      </c>
      <c r="D12" s="318"/>
      <c r="E12" s="318"/>
      <c r="F12" s="318"/>
    </row>
    <row r="13" spans="1:6" ht="12.75" customHeight="1">
      <c r="A13" s="132"/>
      <c r="B13" s="132" t="s">
        <v>21</v>
      </c>
      <c r="C13" s="320">
        <v>44624</v>
      </c>
      <c r="D13" s="317"/>
      <c r="E13" s="317"/>
      <c r="F13" s="317"/>
    </row>
    <row r="14" spans="1:6" ht="12.75" customHeight="1">
      <c r="A14" s="132"/>
      <c r="B14" s="132"/>
      <c r="C14" s="132"/>
      <c r="D14" s="132"/>
      <c r="E14" s="132"/>
      <c r="F14" s="132"/>
    </row>
    <row r="15" spans="1:6" ht="12.75" customHeight="1">
      <c r="A15" s="321" t="s">
        <v>22</v>
      </c>
      <c r="B15" s="321"/>
      <c r="C15" s="321"/>
      <c r="D15" s="321"/>
      <c r="E15" s="321"/>
      <c r="F15" s="321"/>
    </row>
    <row r="16" spans="1:6" ht="12.75" customHeight="1">
      <c r="A16" s="318" t="s">
        <v>23</v>
      </c>
      <c r="B16" s="318"/>
      <c r="C16" s="318"/>
      <c r="D16" s="318"/>
      <c r="E16" s="318"/>
      <c r="F16" s="318"/>
    </row>
    <row r="17" spans="1:6" ht="12.75" customHeight="1">
      <c r="A17" s="135"/>
      <c r="B17" s="136"/>
      <c r="C17" s="135"/>
      <c r="D17" s="135"/>
      <c r="E17" s="322" t="s">
        <v>24</v>
      </c>
      <c r="F17" s="322"/>
    </row>
    <row r="18" spans="1:6" ht="40">
      <c r="A18" s="137" t="s">
        <v>25</v>
      </c>
      <c r="B18" s="138" t="s">
        <v>26</v>
      </c>
      <c r="C18" s="138" t="s">
        <v>27</v>
      </c>
      <c r="D18" s="138" t="s">
        <v>28</v>
      </c>
      <c r="E18" s="138" t="s">
        <v>29</v>
      </c>
      <c r="F18" s="139" t="s">
        <v>30</v>
      </c>
    </row>
    <row r="19" spans="1:6" ht="23.15" customHeight="1">
      <c r="A19" s="140" t="s">
        <v>31</v>
      </c>
      <c r="B19" s="141" t="s">
        <v>32</v>
      </c>
      <c r="C19" s="142" t="s">
        <v>33</v>
      </c>
      <c r="D19" s="143">
        <v>0</v>
      </c>
      <c r="E19" s="143">
        <v>0</v>
      </c>
      <c r="F19" s="144">
        <v>0</v>
      </c>
    </row>
    <row r="20" spans="1:6" ht="23.15" customHeight="1">
      <c r="A20" s="140" t="s">
        <v>34</v>
      </c>
      <c r="B20" s="141" t="s">
        <v>35</v>
      </c>
      <c r="C20" s="142" t="s">
        <v>36</v>
      </c>
      <c r="D20" s="145">
        <v>43242266392</v>
      </c>
      <c r="E20" s="145">
        <v>39013886580</v>
      </c>
      <c r="F20" s="144">
        <v>1.1084000000000001</v>
      </c>
    </row>
    <row r="21" spans="1:6" ht="23.15" customHeight="1">
      <c r="A21" s="140"/>
      <c r="B21" s="141" t="s">
        <v>37</v>
      </c>
      <c r="C21" s="142" t="s">
        <v>38</v>
      </c>
      <c r="D21" s="145">
        <v>0</v>
      </c>
      <c r="E21" s="145">
        <v>0</v>
      </c>
      <c r="F21" s="144">
        <v>0</v>
      </c>
    </row>
    <row r="22" spans="1:6" ht="23.15" customHeight="1">
      <c r="A22" s="140"/>
      <c r="B22" s="141" t="s">
        <v>39</v>
      </c>
      <c r="C22" s="142" t="s">
        <v>40</v>
      </c>
      <c r="D22" s="145">
        <v>43242266392</v>
      </c>
      <c r="E22" s="145">
        <v>14013886580</v>
      </c>
      <c r="F22" s="144">
        <v>3.0857000000000001</v>
      </c>
    </row>
    <row r="23" spans="1:6" ht="33" customHeight="1">
      <c r="A23" s="140"/>
      <c r="B23" s="141" t="s">
        <v>41</v>
      </c>
      <c r="C23" s="142" t="s">
        <v>42</v>
      </c>
      <c r="D23" s="146">
        <v>0</v>
      </c>
      <c r="E23" s="146">
        <v>118102320</v>
      </c>
      <c r="F23" s="144">
        <v>0</v>
      </c>
    </row>
    <row r="24" spans="1:6" ht="33" customHeight="1">
      <c r="A24" s="140"/>
      <c r="B24" s="141" t="s">
        <v>43</v>
      </c>
      <c r="C24" s="142" t="s">
        <v>44</v>
      </c>
      <c r="D24" s="146">
        <v>0</v>
      </c>
      <c r="E24" s="146">
        <v>0</v>
      </c>
      <c r="F24" s="144">
        <v>0</v>
      </c>
    </row>
    <row r="25" spans="1:6" ht="23.15" customHeight="1">
      <c r="A25" s="140"/>
      <c r="B25" s="141" t="s">
        <v>45</v>
      </c>
      <c r="C25" s="142" t="s">
        <v>46</v>
      </c>
      <c r="D25" s="146">
        <v>43242266392</v>
      </c>
      <c r="E25" s="146">
        <v>13895784260</v>
      </c>
      <c r="F25" s="144">
        <v>3.1118999999999999</v>
      </c>
    </row>
    <row r="26" spans="1:6" ht="33" customHeight="1">
      <c r="A26" s="140"/>
      <c r="B26" s="141" t="s">
        <v>47</v>
      </c>
      <c r="C26" s="142" t="s">
        <v>48</v>
      </c>
      <c r="D26" s="146">
        <v>0</v>
      </c>
      <c r="E26" s="146">
        <v>0</v>
      </c>
      <c r="F26" s="144">
        <v>0</v>
      </c>
    </row>
    <row r="27" spans="1:6" ht="23.15" customHeight="1">
      <c r="A27" s="140"/>
      <c r="B27" s="141" t="s">
        <v>49</v>
      </c>
      <c r="C27" s="142" t="s">
        <v>50</v>
      </c>
      <c r="D27" s="146">
        <v>0</v>
      </c>
      <c r="E27" s="146">
        <v>0</v>
      </c>
      <c r="F27" s="144">
        <v>0</v>
      </c>
    </row>
    <row r="28" spans="1:6" ht="23.15" customHeight="1">
      <c r="A28" s="140"/>
      <c r="B28" s="141" t="s">
        <v>51</v>
      </c>
      <c r="C28" s="142" t="s">
        <v>52</v>
      </c>
      <c r="D28" s="145">
        <v>0</v>
      </c>
      <c r="E28" s="145">
        <v>25000000000</v>
      </c>
      <c r="F28" s="144">
        <v>0</v>
      </c>
    </row>
    <row r="29" spans="1:6" ht="23.15" customHeight="1">
      <c r="A29" s="140" t="s">
        <v>53</v>
      </c>
      <c r="B29" s="141" t="s">
        <v>54</v>
      </c>
      <c r="C29" s="142" t="s">
        <v>55</v>
      </c>
      <c r="D29" s="145">
        <v>13755212515450</v>
      </c>
      <c r="E29" s="145">
        <v>5245932380150</v>
      </c>
      <c r="F29" s="144">
        <v>2.6221000000000001</v>
      </c>
    </row>
    <row r="30" spans="1:6" ht="23.15" customHeight="1">
      <c r="A30" s="140"/>
      <c r="B30" s="141" t="s">
        <v>56</v>
      </c>
      <c r="C30" s="142" t="s">
        <v>57</v>
      </c>
      <c r="D30" s="145">
        <v>13755212515450</v>
      </c>
      <c r="E30" s="145">
        <v>5245932380150</v>
      </c>
      <c r="F30" s="144">
        <v>2.6221000000000001</v>
      </c>
    </row>
    <row r="31" spans="1:6" ht="23.15" customHeight="1">
      <c r="A31" s="140"/>
      <c r="B31" s="141" t="s">
        <v>58</v>
      </c>
      <c r="C31" s="142" t="s">
        <v>59</v>
      </c>
      <c r="D31" s="145">
        <v>0</v>
      </c>
      <c r="E31" s="145">
        <v>0</v>
      </c>
      <c r="F31" s="144">
        <v>0</v>
      </c>
    </row>
    <row r="32" spans="1:6" ht="23.15" customHeight="1">
      <c r="A32" s="140"/>
      <c r="B32" s="141" t="s">
        <v>60</v>
      </c>
      <c r="C32" s="142" t="s">
        <v>61</v>
      </c>
      <c r="D32" s="145">
        <v>0</v>
      </c>
      <c r="E32" s="145">
        <v>0</v>
      </c>
      <c r="F32" s="144">
        <v>0</v>
      </c>
    </row>
    <row r="33" spans="1:6" ht="23.15" customHeight="1">
      <c r="A33" s="140"/>
      <c r="B33" s="141" t="s">
        <v>62</v>
      </c>
      <c r="C33" s="142" t="s">
        <v>63</v>
      </c>
      <c r="D33" s="145">
        <v>0</v>
      </c>
      <c r="E33" s="145">
        <v>0</v>
      </c>
      <c r="F33" s="144">
        <v>0</v>
      </c>
    </row>
    <row r="34" spans="1:6" ht="23.15" customHeight="1">
      <c r="A34" s="140"/>
      <c r="B34" s="141" t="s">
        <v>64</v>
      </c>
      <c r="C34" s="142" t="s">
        <v>65</v>
      </c>
      <c r="D34" s="145">
        <v>0</v>
      </c>
      <c r="E34" s="145">
        <v>0</v>
      </c>
      <c r="F34" s="144">
        <v>0</v>
      </c>
    </row>
    <row r="35" spans="1:6" ht="23.15" customHeight="1">
      <c r="A35" s="140"/>
      <c r="B35" s="141" t="s">
        <v>66</v>
      </c>
      <c r="C35" s="142" t="s">
        <v>67</v>
      </c>
      <c r="D35" s="145">
        <v>0</v>
      </c>
      <c r="E35" s="145">
        <v>0</v>
      </c>
      <c r="F35" s="144">
        <v>0</v>
      </c>
    </row>
    <row r="36" spans="1:6" ht="23.15" customHeight="1">
      <c r="A36" s="140"/>
      <c r="B36" s="141" t="s">
        <v>68</v>
      </c>
      <c r="C36" s="142" t="s">
        <v>69</v>
      </c>
      <c r="D36" s="145">
        <v>0</v>
      </c>
      <c r="E36" s="145">
        <v>0</v>
      </c>
      <c r="F36" s="144">
        <v>0</v>
      </c>
    </row>
    <row r="37" spans="1:6" ht="23.15" customHeight="1">
      <c r="A37" s="140"/>
      <c r="B37" s="141" t="s">
        <v>70</v>
      </c>
      <c r="C37" s="142" t="s">
        <v>71</v>
      </c>
      <c r="D37" s="145">
        <v>0</v>
      </c>
      <c r="E37" s="145">
        <v>0</v>
      </c>
      <c r="F37" s="144">
        <v>0</v>
      </c>
    </row>
    <row r="38" spans="1:6" ht="44.15" customHeight="1">
      <c r="A38" s="140" t="s">
        <v>72</v>
      </c>
      <c r="B38" s="141" t="s">
        <v>73</v>
      </c>
      <c r="C38" s="142"/>
      <c r="D38" s="145">
        <v>0</v>
      </c>
      <c r="E38" s="145">
        <v>0</v>
      </c>
      <c r="F38" s="144">
        <v>0</v>
      </c>
    </row>
    <row r="39" spans="1:6" ht="23.15" customHeight="1">
      <c r="A39" s="140" t="s">
        <v>74</v>
      </c>
      <c r="B39" s="141" t="s">
        <v>75</v>
      </c>
      <c r="C39" s="142" t="s">
        <v>76</v>
      </c>
      <c r="D39" s="145">
        <v>13504668800</v>
      </c>
      <c r="E39" s="145">
        <v>0</v>
      </c>
      <c r="F39" s="144">
        <v>0</v>
      </c>
    </row>
    <row r="40" spans="1:6" ht="23.15" customHeight="1">
      <c r="A40" s="140"/>
      <c r="B40" s="141" t="s">
        <v>77</v>
      </c>
      <c r="C40" s="142" t="s">
        <v>78</v>
      </c>
      <c r="D40" s="145">
        <v>13504668800</v>
      </c>
      <c r="E40" s="145">
        <v>0</v>
      </c>
      <c r="F40" s="144">
        <v>0</v>
      </c>
    </row>
    <row r="41" spans="1:6" ht="23.15" customHeight="1">
      <c r="A41" s="140"/>
      <c r="B41" s="141" t="s">
        <v>79</v>
      </c>
      <c r="C41" s="142" t="s">
        <v>80</v>
      </c>
      <c r="D41" s="145">
        <v>0</v>
      </c>
      <c r="E41" s="145">
        <v>0</v>
      </c>
      <c r="F41" s="144">
        <v>0</v>
      </c>
    </row>
    <row r="42" spans="1:6" ht="23.15" customHeight="1">
      <c r="A42" s="140" t="s">
        <v>81</v>
      </c>
      <c r="B42" s="141" t="s">
        <v>82</v>
      </c>
      <c r="C42" s="142" t="s">
        <v>83</v>
      </c>
      <c r="D42" s="145">
        <v>0</v>
      </c>
      <c r="E42" s="145">
        <v>30821921</v>
      </c>
      <c r="F42" s="144">
        <v>0</v>
      </c>
    </row>
    <row r="43" spans="1:6" ht="33" customHeight="1">
      <c r="A43" s="140"/>
      <c r="B43" s="141" t="s">
        <v>84</v>
      </c>
      <c r="C43" s="142" t="s">
        <v>85</v>
      </c>
      <c r="D43" s="145">
        <v>0</v>
      </c>
      <c r="E43" s="145">
        <v>30821921</v>
      </c>
      <c r="F43" s="144">
        <v>0</v>
      </c>
    </row>
    <row r="44" spans="1:6" ht="33" customHeight="1">
      <c r="A44" s="140"/>
      <c r="B44" s="141" t="s">
        <v>86</v>
      </c>
      <c r="C44" s="142" t="s">
        <v>87</v>
      </c>
      <c r="D44" s="145">
        <v>0</v>
      </c>
      <c r="E44" s="145">
        <v>0</v>
      </c>
      <c r="F44" s="144">
        <v>0</v>
      </c>
    </row>
    <row r="45" spans="1:6" ht="23.15" customHeight="1">
      <c r="A45" s="140"/>
      <c r="B45" s="141" t="s">
        <v>88</v>
      </c>
      <c r="C45" s="142" t="s">
        <v>89</v>
      </c>
      <c r="D45" s="145">
        <v>0</v>
      </c>
      <c r="E45" s="145">
        <v>0</v>
      </c>
      <c r="F45" s="144">
        <v>0</v>
      </c>
    </row>
    <row r="46" spans="1:6" ht="23.15" customHeight="1">
      <c r="A46" s="140" t="s">
        <v>90</v>
      </c>
      <c r="B46" s="141" t="s">
        <v>91</v>
      </c>
      <c r="C46" s="142" t="s">
        <v>92</v>
      </c>
      <c r="D46" s="145">
        <v>0</v>
      </c>
      <c r="E46" s="145">
        <v>0</v>
      </c>
      <c r="F46" s="144">
        <v>0</v>
      </c>
    </row>
    <row r="47" spans="1:6" ht="23.15" customHeight="1">
      <c r="A47" s="140" t="s">
        <v>93</v>
      </c>
      <c r="B47" s="141" t="s">
        <v>94</v>
      </c>
      <c r="C47" s="142" t="s">
        <v>95</v>
      </c>
      <c r="D47" s="145">
        <v>1672185000</v>
      </c>
      <c r="E47" s="145">
        <v>0</v>
      </c>
      <c r="F47" s="144">
        <v>0</v>
      </c>
    </row>
    <row r="48" spans="1:6" ht="23.15" customHeight="1">
      <c r="A48" s="140" t="s">
        <v>96</v>
      </c>
      <c r="B48" s="141" t="s">
        <v>97</v>
      </c>
      <c r="C48" s="142" t="s">
        <v>98</v>
      </c>
      <c r="D48" s="145">
        <v>0</v>
      </c>
      <c r="E48" s="145">
        <v>0</v>
      </c>
      <c r="F48" s="144">
        <v>0</v>
      </c>
    </row>
    <row r="49" spans="1:6" ht="23.15" customHeight="1">
      <c r="A49" s="140"/>
      <c r="B49" s="141" t="s">
        <v>99</v>
      </c>
      <c r="C49" s="142" t="s">
        <v>100</v>
      </c>
      <c r="D49" s="145">
        <v>0</v>
      </c>
      <c r="E49" s="145">
        <v>0</v>
      </c>
      <c r="F49" s="144">
        <v>0</v>
      </c>
    </row>
    <row r="50" spans="1:6" ht="23.15" customHeight="1">
      <c r="A50" s="140"/>
      <c r="B50" s="141" t="s">
        <v>101</v>
      </c>
      <c r="C50" s="142" t="s">
        <v>102</v>
      </c>
      <c r="D50" s="145">
        <v>0</v>
      </c>
      <c r="E50" s="145">
        <v>0</v>
      </c>
      <c r="F50" s="144">
        <v>0</v>
      </c>
    </row>
    <row r="51" spans="1:6" ht="23.15" customHeight="1">
      <c r="A51" s="140"/>
      <c r="B51" s="141" t="s">
        <v>103</v>
      </c>
      <c r="C51" s="142" t="s">
        <v>104</v>
      </c>
      <c r="D51" s="145">
        <v>0</v>
      </c>
      <c r="E51" s="145">
        <v>0</v>
      </c>
      <c r="F51" s="144">
        <v>0</v>
      </c>
    </row>
    <row r="52" spans="1:6" ht="23.15" customHeight="1">
      <c r="A52" s="140" t="s">
        <v>105</v>
      </c>
      <c r="B52" s="141" t="s">
        <v>106</v>
      </c>
      <c r="C52" s="142" t="s">
        <v>107</v>
      </c>
      <c r="D52" s="145">
        <v>0</v>
      </c>
      <c r="E52" s="145">
        <v>0</v>
      </c>
      <c r="F52" s="144">
        <v>0</v>
      </c>
    </row>
    <row r="53" spans="1:6" ht="23.15" customHeight="1">
      <c r="A53" s="140"/>
      <c r="B53" s="141" t="s">
        <v>108</v>
      </c>
      <c r="C53" s="142" t="s">
        <v>109</v>
      </c>
      <c r="D53" s="145">
        <v>0</v>
      </c>
      <c r="E53" s="145">
        <v>0</v>
      </c>
      <c r="F53" s="144">
        <v>0</v>
      </c>
    </row>
    <row r="54" spans="1:6" ht="23.15" customHeight="1">
      <c r="A54" s="140"/>
      <c r="B54" s="141" t="s">
        <v>110</v>
      </c>
      <c r="C54" s="142" t="s">
        <v>111</v>
      </c>
      <c r="D54" s="145">
        <v>0</v>
      </c>
      <c r="E54" s="145">
        <v>0</v>
      </c>
      <c r="F54" s="144">
        <v>0</v>
      </c>
    </row>
    <row r="55" spans="1:6" ht="23.15" customHeight="1">
      <c r="A55" s="140"/>
      <c r="B55" s="141" t="s">
        <v>112</v>
      </c>
      <c r="C55" s="142" t="s">
        <v>113</v>
      </c>
      <c r="D55" s="145">
        <v>0</v>
      </c>
      <c r="E55" s="145">
        <v>0</v>
      </c>
      <c r="F55" s="144">
        <v>0</v>
      </c>
    </row>
    <row r="56" spans="1:6" ht="23.15" customHeight="1">
      <c r="A56" s="140"/>
      <c r="B56" s="141" t="s">
        <v>114</v>
      </c>
      <c r="C56" s="142" t="s">
        <v>115</v>
      </c>
      <c r="D56" s="145">
        <v>0</v>
      </c>
      <c r="E56" s="145">
        <v>0</v>
      </c>
      <c r="F56" s="144">
        <v>0</v>
      </c>
    </row>
    <row r="57" spans="1:6" ht="44.15" customHeight="1">
      <c r="A57" s="140"/>
      <c r="B57" s="141" t="s">
        <v>116</v>
      </c>
      <c r="C57" s="142" t="s">
        <v>117</v>
      </c>
      <c r="D57" s="145">
        <v>0</v>
      </c>
      <c r="E57" s="145">
        <v>0</v>
      </c>
      <c r="F57" s="144">
        <v>0</v>
      </c>
    </row>
    <row r="58" spans="1:6" ht="23.15" customHeight="1">
      <c r="A58" s="140" t="s">
        <v>118</v>
      </c>
      <c r="B58" s="141" t="s">
        <v>119</v>
      </c>
      <c r="C58" s="142" t="s">
        <v>120</v>
      </c>
      <c r="D58" s="143">
        <v>13813631635642</v>
      </c>
      <c r="E58" s="143">
        <v>5284977088651</v>
      </c>
      <c r="F58" s="144">
        <v>2.6137999999999999</v>
      </c>
    </row>
    <row r="59" spans="1:6" ht="23.15" customHeight="1">
      <c r="A59" s="140" t="s">
        <v>121</v>
      </c>
      <c r="B59" s="141" t="s">
        <v>122</v>
      </c>
      <c r="C59" s="142" t="s">
        <v>123</v>
      </c>
      <c r="D59" s="143">
        <v>0</v>
      </c>
      <c r="E59" s="143">
        <v>0</v>
      </c>
      <c r="F59" s="144">
        <v>0</v>
      </c>
    </row>
    <row r="60" spans="1:6" ht="33" customHeight="1">
      <c r="A60" s="140" t="s">
        <v>124</v>
      </c>
      <c r="B60" s="141" t="s">
        <v>125</v>
      </c>
      <c r="C60" s="142"/>
      <c r="D60" s="145">
        <v>0</v>
      </c>
      <c r="E60" s="145">
        <v>0</v>
      </c>
      <c r="F60" s="144">
        <v>0</v>
      </c>
    </row>
    <row r="61" spans="1:6" ht="23.15" customHeight="1">
      <c r="A61" s="140" t="s">
        <v>126</v>
      </c>
      <c r="B61" s="141" t="s">
        <v>127</v>
      </c>
      <c r="C61" s="142" t="s">
        <v>128</v>
      </c>
      <c r="D61" s="145">
        <v>0</v>
      </c>
      <c r="E61" s="145">
        <v>0</v>
      </c>
      <c r="F61" s="144">
        <v>0</v>
      </c>
    </row>
    <row r="62" spans="1:6" ht="23.15" customHeight="1">
      <c r="A62" s="140" t="s">
        <v>129</v>
      </c>
      <c r="B62" s="141" t="s">
        <v>130</v>
      </c>
      <c r="C62" s="142" t="s">
        <v>131</v>
      </c>
      <c r="D62" s="145">
        <v>21886528429</v>
      </c>
      <c r="E62" s="145">
        <v>4546960310</v>
      </c>
      <c r="F62" s="144">
        <v>4.8133999999999997</v>
      </c>
    </row>
    <row r="63" spans="1:6" ht="23.15" customHeight="1">
      <c r="A63" s="140"/>
      <c r="B63" s="141" t="s">
        <v>132</v>
      </c>
      <c r="C63" s="142" t="s">
        <v>133</v>
      </c>
      <c r="D63" s="145">
        <v>3235508687</v>
      </c>
      <c r="E63" s="145">
        <v>0</v>
      </c>
      <c r="F63" s="144">
        <v>0</v>
      </c>
    </row>
    <row r="64" spans="1:6" ht="23.15" customHeight="1">
      <c r="A64" s="140"/>
      <c r="B64" s="141" t="s">
        <v>134</v>
      </c>
      <c r="C64" s="142" t="s">
        <v>135</v>
      </c>
      <c r="D64" s="146">
        <v>0</v>
      </c>
      <c r="E64" s="146">
        <v>0</v>
      </c>
      <c r="F64" s="144">
        <v>0</v>
      </c>
    </row>
    <row r="65" spans="1:6" ht="23.15" customHeight="1">
      <c r="A65" s="140"/>
      <c r="B65" s="141" t="s">
        <v>136</v>
      </c>
      <c r="C65" s="142" t="s">
        <v>137</v>
      </c>
      <c r="D65" s="146">
        <v>0</v>
      </c>
      <c r="E65" s="146">
        <v>0</v>
      </c>
      <c r="F65" s="144">
        <v>0</v>
      </c>
    </row>
    <row r="66" spans="1:6" ht="33" customHeight="1">
      <c r="A66" s="140"/>
      <c r="B66" s="141" t="s">
        <v>138</v>
      </c>
      <c r="C66" s="142" t="s">
        <v>139</v>
      </c>
      <c r="D66" s="146">
        <v>3235508687</v>
      </c>
      <c r="E66" s="146">
        <v>0</v>
      </c>
      <c r="F66" s="144">
        <v>0</v>
      </c>
    </row>
    <row r="67" spans="1:6" ht="33" customHeight="1">
      <c r="A67" s="140"/>
      <c r="B67" s="141" t="s">
        <v>140</v>
      </c>
      <c r="C67" s="142" t="s">
        <v>141</v>
      </c>
      <c r="D67" s="145">
        <v>0</v>
      </c>
      <c r="E67" s="145">
        <v>0</v>
      </c>
      <c r="F67" s="144">
        <v>0</v>
      </c>
    </row>
    <row r="68" spans="1:6" ht="44.15" customHeight="1">
      <c r="A68" s="140"/>
      <c r="B68" s="141" t="s">
        <v>142</v>
      </c>
      <c r="C68" s="142" t="s">
        <v>143</v>
      </c>
      <c r="D68" s="145">
        <v>0</v>
      </c>
      <c r="E68" s="145">
        <v>0</v>
      </c>
      <c r="F68" s="144">
        <v>0</v>
      </c>
    </row>
    <row r="69" spans="1:6" ht="44.15" customHeight="1">
      <c r="A69" s="140"/>
      <c r="B69" s="141" t="s">
        <v>144</v>
      </c>
      <c r="C69" s="142" t="s">
        <v>145</v>
      </c>
      <c r="D69" s="146">
        <v>0</v>
      </c>
      <c r="E69" s="146">
        <v>0</v>
      </c>
      <c r="F69" s="144">
        <v>0</v>
      </c>
    </row>
    <row r="70" spans="1:6" ht="44.15" customHeight="1">
      <c r="A70" s="140"/>
      <c r="B70" s="141" t="s">
        <v>146</v>
      </c>
      <c r="C70" s="142" t="s">
        <v>147</v>
      </c>
      <c r="D70" s="146">
        <v>0</v>
      </c>
      <c r="E70" s="146">
        <v>0</v>
      </c>
      <c r="F70" s="144">
        <v>0</v>
      </c>
    </row>
    <row r="71" spans="1:6" ht="23.15" customHeight="1">
      <c r="A71" s="140"/>
      <c r="B71" s="141" t="s">
        <v>148</v>
      </c>
      <c r="C71" s="142" t="s">
        <v>149</v>
      </c>
      <c r="D71" s="145">
        <v>0</v>
      </c>
      <c r="E71" s="145">
        <v>0</v>
      </c>
      <c r="F71" s="144">
        <v>0</v>
      </c>
    </row>
    <row r="72" spans="1:6" ht="33" customHeight="1">
      <c r="A72" s="140"/>
      <c r="B72" s="141" t="s">
        <v>150</v>
      </c>
      <c r="C72" s="142" t="s">
        <v>151</v>
      </c>
      <c r="D72" s="145">
        <v>18000000</v>
      </c>
      <c r="E72" s="145">
        <v>14262295</v>
      </c>
      <c r="F72" s="144">
        <v>1.2621</v>
      </c>
    </row>
    <row r="73" spans="1:6" ht="23.15" customHeight="1">
      <c r="A73" s="140"/>
      <c r="B73" s="141" t="s">
        <v>152</v>
      </c>
      <c r="C73" s="142" t="s">
        <v>153</v>
      </c>
      <c r="D73" s="145">
        <v>9181043402</v>
      </c>
      <c r="E73" s="145">
        <v>2974769149</v>
      </c>
      <c r="F73" s="144">
        <v>3.0863</v>
      </c>
    </row>
    <row r="74" spans="1:6" ht="23.15" customHeight="1">
      <c r="A74" s="140"/>
      <c r="B74" s="141" t="s">
        <v>154</v>
      </c>
      <c r="C74" s="142" t="s">
        <v>155</v>
      </c>
      <c r="D74" s="145">
        <v>252478696</v>
      </c>
      <c r="E74" s="145">
        <v>81806152</v>
      </c>
      <c r="F74" s="144">
        <v>3.0863</v>
      </c>
    </row>
    <row r="75" spans="1:6" ht="23.15" customHeight="1">
      <c r="A75" s="140"/>
      <c r="B75" s="141" t="s">
        <v>156</v>
      </c>
      <c r="C75" s="142" t="s">
        <v>157</v>
      </c>
      <c r="D75" s="145">
        <v>504957390</v>
      </c>
      <c r="E75" s="145">
        <v>163612301</v>
      </c>
      <c r="F75" s="144">
        <v>3.0863</v>
      </c>
    </row>
    <row r="76" spans="1:6" ht="23.15" customHeight="1">
      <c r="A76" s="140"/>
      <c r="B76" s="141" t="s">
        <v>158</v>
      </c>
      <c r="C76" s="142" t="s">
        <v>159</v>
      </c>
      <c r="D76" s="145">
        <v>0</v>
      </c>
      <c r="E76" s="145">
        <v>0</v>
      </c>
      <c r="F76" s="144">
        <v>0</v>
      </c>
    </row>
    <row r="77" spans="1:6" ht="23.15" customHeight="1">
      <c r="A77" s="140"/>
      <c r="B77" s="141" t="s">
        <v>160</v>
      </c>
      <c r="C77" s="142" t="s">
        <v>161</v>
      </c>
      <c r="D77" s="146">
        <v>0</v>
      </c>
      <c r="E77" s="146">
        <v>0</v>
      </c>
      <c r="F77" s="144">
        <v>0</v>
      </c>
    </row>
    <row r="78" spans="1:6" ht="23.15" customHeight="1">
      <c r="A78" s="140"/>
      <c r="B78" s="141" t="s">
        <v>162</v>
      </c>
      <c r="C78" s="142" t="s">
        <v>163</v>
      </c>
      <c r="D78" s="146">
        <v>0</v>
      </c>
      <c r="E78" s="146">
        <v>0</v>
      </c>
      <c r="F78" s="144">
        <v>0</v>
      </c>
    </row>
    <row r="79" spans="1:6" ht="23.15" customHeight="1">
      <c r="A79" s="140"/>
      <c r="B79" s="141" t="s">
        <v>164</v>
      </c>
      <c r="C79" s="142" t="s">
        <v>165</v>
      </c>
      <c r="D79" s="145">
        <v>236726087</v>
      </c>
      <c r="E79" s="145">
        <v>74669228</v>
      </c>
      <c r="F79" s="144">
        <v>3.1703000000000001</v>
      </c>
    </row>
    <row r="80" spans="1:6" ht="23.15" customHeight="1">
      <c r="A80" s="140"/>
      <c r="B80" s="141" t="s">
        <v>166</v>
      </c>
      <c r="C80" s="142" t="s">
        <v>167</v>
      </c>
      <c r="D80" s="146">
        <v>229526087</v>
      </c>
      <c r="E80" s="146">
        <v>74369228</v>
      </c>
      <c r="F80" s="144">
        <v>3.0863</v>
      </c>
    </row>
    <row r="81" spans="1:6" ht="23.15" customHeight="1">
      <c r="A81" s="140"/>
      <c r="B81" s="141" t="s">
        <v>168</v>
      </c>
      <c r="C81" s="142" t="s">
        <v>169</v>
      </c>
      <c r="D81" s="146">
        <v>7200000</v>
      </c>
      <c r="E81" s="146">
        <v>300000</v>
      </c>
      <c r="F81" s="144">
        <v>24</v>
      </c>
    </row>
    <row r="82" spans="1:6" ht="23.15" customHeight="1">
      <c r="A82" s="140"/>
      <c r="B82" s="141" t="s">
        <v>170</v>
      </c>
      <c r="C82" s="142" t="s">
        <v>171</v>
      </c>
      <c r="D82" s="146">
        <v>0</v>
      </c>
      <c r="E82" s="146">
        <v>0</v>
      </c>
      <c r="F82" s="144">
        <v>0</v>
      </c>
    </row>
    <row r="83" spans="1:6" ht="44.15" customHeight="1">
      <c r="A83" s="140"/>
      <c r="B83" s="141" t="s">
        <v>172</v>
      </c>
      <c r="C83" s="142" t="s">
        <v>173</v>
      </c>
      <c r="D83" s="146">
        <v>0</v>
      </c>
      <c r="E83" s="146">
        <v>0</v>
      </c>
      <c r="F83" s="144">
        <v>0</v>
      </c>
    </row>
    <row r="84" spans="1:6" ht="23.15" customHeight="1">
      <c r="A84" s="140"/>
      <c r="B84" s="141" t="s">
        <v>174</v>
      </c>
      <c r="C84" s="142" t="s">
        <v>175</v>
      </c>
      <c r="D84" s="145">
        <v>110000000</v>
      </c>
      <c r="E84" s="145">
        <v>76999997</v>
      </c>
      <c r="F84" s="144">
        <v>1.4286000000000001</v>
      </c>
    </row>
    <row r="85" spans="1:6" ht="23.15" customHeight="1">
      <c r="A85" s="140"/>
      <c r="B85" s="141" t="s">
        <v>176</v>
      </c>
      <c r="C85" s="142" t="s">
        <v>177</v>
      </c>
      <c r="D85" s="145">
        <v>0</v>
      </c>
      <c r="E85" s="145">
        <v>0</v>
      </c>
      <c r="F85" s="144">
        <v>0</v>
      </c>
    </row>
    <row r="86" spans="1:6" ht="23.15" customHeight="1">
      <c r="A86" s="140"/>
      <c r="B86" s="141" t="s">
        <v>178</v>
      </c>
      <c r="C86" s="142" t="s">
        <v>179</v>
      </c>
      <c r="D86" s="145">
        <v>0</v>
      </c>
      <c r="E86" s="145">
        <v>0</v>
      </c>
      <c r="F86" s="144">
        <v>0</v>
      </c>
    </row>
    <row r="87" spans="1:6" ht="23.15" customHeight="1">
      <c r="A87" s="140"/>
      <c r="B87" s="141" t="s">
        <v>180</v>
      </c>
      <c r="C87" s="142" t="s">
        <v>181</v>
      </c>
      <c r="D87" s="145">
        <v>16500000</v>
      </c>
      <c r="E87" s="145">
        <v>16500000</v>
      </c>
      <c r="F87" s="144">
        <v>1</v>
      </c>
    </row>
    <row r="88" spans="1:6" ht="44.15" customHeight="1">
      <c r="A88" s="140"/>
      <c r="B88" s="141" t="s">
        <v>182</v>
      </c>
      <c r="C88" s="142" t="s">
        <v>183</v>
      </c>
      <c r="D88" s="145">
        <v>3324229869</v>
      </c>
      <c r="E88" s="145">
        <v>606808158</v>
      </c>
      <c r="F88" s="144">
        <v>5.4782000000000002</v>
      </c>
    </row>
    <row r="89" spans="1:6" ht="33" customHeight="1">
      <c r="A89" s="140"/>
      <c r="B89" s="141" t="s">
        <v>184</v>
      </c>
      <c r="C89" s="142" t="s">
        <v>185</v>
      </c>
      <c r="D89" s="145">
        <v>2659383907</v>
      </c>
      <c r="E89" s="145">
        <v>532159025</v>
      </c>
      <c r="F89" s="144">
        <v>4.9973000000000001</v>
      </c>
    </row>
    <row r="90" spans="1:6" ht="23.15" customHeight="1">
      <c r="A90" s="140"/>
      <c r="B90" s="141" t="s">
        <v>186</v>
      </c>
      <c r="C90" s="142" t="s">
        <v>187</v>
      </c>
      <c r="D90" s="145">
        <v>2342326386</v>
      </c>
      <c r="E90" s="145">
        <v>0</v>
      </c>
      <c r="F90" s="144">
        <v>0</v>
      </c>
    </row>
    <row r="91" spans="1:6" ht="23.15" customHeight="1">
      <c r="A91" s="140"/>
      <c r="B91" s="141" t="s">
        <v>188</v>
      </c>
      <c r="C91" s="142" t="s">
        <v>189</v>
      </c>
      <c r="D91" s="145">
        <v>5374005</v>
      </c>
      <c r="E91" s="145">
        <v>5374005</v>
      </c>
      <c r="F91" s="144">
        <v>1</v>
      </c>
    </row>
    <row r="92" spans="1:6" ht="23.15" customHeight="1">
      <c r="A92" s="140"/>
      <c r="B92" s="141" t="s">
        <v>190</v>
      </c>
      <c r="C92" s="142" t="s">
        <v>191</v>
      </c>
      <c r="D92" s="146">
        <v>0</v>
      </c>
      <c r="E92" s="146">
        <v>0</v>
      </c>
      <c r="F92" s="144">
        <v>0</v>
      </c>
    </row>
    <row r="93" spans="1:6" ht="33" customHeight="1">
      <c r="A93" s="140"/>
      <c r="B93" s="141" t="s">
        <v>192</v>
      </c>
      <c r="C93" s="142" t="s">
        <v>193</v>
      </c>
      <c r="D93" s="146">
        <v>0</v>
      </c>
      <c r="E93" s="146">
        <v>0</v>
      </c>
      <c r="F93" s="144">
        <v>0</v>
      </c>
    </row>
    <row r="94" spans="1:6" ht="23.15" customHeight="1">
      <c r="A94" s="140"/>
      <c r="B94" s="141" t="s">
        <v>194</v>
      </c>
      <c r="C94" s="142" t="s">
        <v>195</v>
      </c>
      <c r="D94" s="146">
        <v>5374005</v>
      </c>
      <c r="E94" s="146">
        <v>5374005</v>
      </c>
      <c r="F94" s="144">
        <v>1</v>
      </c>
    </row>
    <row r="95" spans="1:6" ht="23.15" customHeight="1">
      <c r="A95" s="140"/>
      <c r="B95" s="141" t="s">
        <v>196</v>
      </c>
      <c r="C95" s="142" t="s">
        <v>197</v>
      </c>
      <c r="D95" s="146">
        <v>0</v>
      </c>
      <c r="E95" s="146">
        <v>0</v>
      </c>
      <c r="F95" s="144">
        <v>0</v>
      </c>
    </row>
    <row r="96" spans="1:6" ht="33" customHeight="1">
      <c r="A96" s="140"/>
      <c r="B96" s="141" t="s">
        <v>198</v>
      </c>
      <c r="C96" s="142" t="s">
        <v>199</v>
      </c>
      <c r="D96" s="146">
        <v>0</v>
      </c>
      <c r="E96" s="146">
        <v>0</v>
      </c>
      <c r="F96" s="144">
        <v>0</v>
      </c>
    </row>
    <row r="97" spans="1:6" ht="23.15" customHeight="1">
      <c r="A97" s="140"/>
      <c r="B97" s="141" t="s">
        <v>200</v>
      </c>
      <c r="C97" s="142" t="s">
        <v>201</v>
      </c>
      <c r="D97" s="146">
        <v>0</v>
      </c>
      <c r="E97" s="146">
        <v>0</v>
      </c>
      <c r="F97" s="144">
        <v>0</v>
      </c>
    </row>
    <row r="98" spans="1:6" ht="23.15" customHeight="1">
      <c r="A98" s="140"/>
      <c r="B98" s="141" t="s">
        <v>202</v>
      </c>
      <c r="C98" s="142" t="s">
        <v>203</v>
      </c>
      <c r="D98" s="146">
        <v>0</v>
      </c>
      <c r="E98" s="146">
        <v>0</v>
      </c>
      <c r="F98" s="144">
        <v>0</v>
      </c>
    </row>
    <row r="99" spans="1:6" ht="23.15" customHeight="1">
      <c r="A99" s="140"/>
      <c r="B99" s="141" t="s">
        <v>204</v>
      </c>
      <c r="C99" s="142" t="s">
        <v>205</v>
      </c>
      <c r="D99" s="146">
        <v>0</v>
      </c>
      <c r="E99" s="146">
        <v>0</v>
      </c>
      <c r="F99" s="144">
        <v>0</v>
      </c>
    </row>
    <row r="100" spans="1:6" ht="23.15" customHeight="1">
      <c r="A100" s="140"/>
      <c r="B100" s="141" t="s">
        <v>206</v>
      </c>
      <c r="C100" s="142" t="s">
        <v>207</v>
      </c>
      <c r="D100" s="145">
        <v>0</v>
      </c>
      <c r="E100" s="145">
        <v>0</v>
      </c>
      <c r="F100" s="144">
        <v>0</v>
      </c>
    </row>
    <row r="101" spans="1:6" ht="23.15" customHeight="1">
      <c r="A101" s="140"/>
      <c r="B101" s="141" t="s">
        <v>208</v>
      </c>
      <c r="C101" s="142" t="s">
        <v>209</v>
      </c>
      <c r="D101" s="146">
        <v>0</v>
      </c>
      <c r="E101" s="146">
        <v>0</v>
      </c>
      <c r="F101" s="144">
        <v>0</v>
      </c>
    </row>
    <row r="102" spans="1:6" ht="23.15" customHeight="1">
      <c r="A102" s="140"/>
      <c r="B102" s="141" t="s">
        <v>210</v>
      </c>
      <c r="C102" s="142" t="s">
        <v>211</v>
      </c>
      <c r="D102" s="146">
        <v>0</v>
      </c>
      <c r="E102" s="146">
        <v>0</v>
      </c>
      <c r="F102" s="144">
        <v>0</v>
      </c>
    </row>
    <row r="103" spans="1:6" ht="23.15" customHeight="1">
      <c r="A103" s="140" t="s">
        <v>212</v>
      </c>
      <c r="B103" s="141" t="s">
        <v>213</v>
      </c>
      <c r="C103" s="142" t="s">
        <v>214</v>
      </c>
      <c r="D103" s="143">
        <v>21886528429</v>
      </c>
      <c r="E103" s="143">
        <v>4546960310</v>
      </c>
      <c r="F103" s="144">
        <v>4.8133999999999997</v>
      </c>
    </row>
    <row r="104" spans="1:6" ht="23.15" customHeight="1">
      <c r="A104" s="140"/>
      <c r="B104" s="141" t="s">
        <v>215</v>
      </c>
      <c r="C104" s="142" t="s">
        <v>216</v>
      </c>
      <c r="D104" s="143">
        <v>13791745107213</v>
      </c>
      <c r="E104" s="143">
        <v>5280430128341</v>
      </c>
      <c r="F104" s="144">
        <v>2.6118999999999999</v>
      </c>
    </row>
    <row r="105" spans="1:6" ht="23.15" customHeight="1">
      <c r="A105" s="140"/>
      <c r="B105" s="141" t="s">
        <v>217</v>
      </c>
      <c r="C105" s="142" t="s">
        <v>218</v>
      </c>
      <c r="D105" s="143">
        <v>489800000</v>
      </c>
      <c r="E105" s="143">
        <v>311100000</v>
      </c>
      <c r="F105" s="144">
        <v>1.5744</v>
      </c>
    </row>
    <row r="106" spans="1:6" ht="23.15" customHeight="1">
      <c r="A106" s="147"/>
      <c r="B106" s="148" t="s">
        <v>219</v>
      </c>
      <c r="C106" s="149" t="s">
        <v>220</v>
      </c>
      <c r="D106" s="150">
        <v>28157.91</v>
      </c>
      <c r="E106" s="150">
        <v>16973.41</v>
      </c>
      <c r="F106" s="151">
        <v>1.6589</v>
      </c>
    </row>
    <row r="107" spans="1:6" ht="2.25" customHeight="1">
      <c r="A107" s="323"/>
      <c r="B107" s="323"/>
      <c r="C107" s="323"/>
      <c r="D107" s="323"/>
      <c r="E107" s="323"/>
      <c r="F107" s="323"/>
    </row>
    <row r="108" spans="1:6" ht="2.25" customHeight="1">
      <c r="A108" s="132"/>
      <c r="B108" s="132"/>
      <c r="C108" s="152"/>
      <c r="D108" s="132"/>
      <c r="E108" s="132"/>
      <c r="F108" s="132"/>
    </row>
    <row r="109" spans="1:6" ht="12.75" customHeight="1">
      <c r="A109" s="316" t="s">
        <v>221</v>
      </c>
      <c r="B109" s="316"/>
      <c r="C109" s="316"/>
      <c r="D109" s="316" t="s">
        <v>222</v>
      </c>
      <c r="E109" s="316"/>
      <c r="F109" s="316"/>
    </row>
    <row r="110" spans="1:6" ht="12.75" customHeight="1">
      <c r="A110" s="314" t="s">
        <v>223</v>
      </c>
      <c r="B110" s="314"/>
      <c r="C110" s="314"/>
      <c r="D110" s="315" t="s">
        <v>224</v>
      </c>
      <c r="E110" s="315"/>
      <c r="F110" s="315"/>
    </row>
    <row r="111" spans="1:6" ht="18" customHeight="1">
      <c r="A111" s="132"/>
      <c r="B111" s="132"/>
      <c r="C111" s="132"/>
      <c r="D111" s="132"/>
      <c r="E111" s="132"/>
      <c r="F111" s="132"/>
    </row>
    <row r="112" spans="1:6" ht="18" customHeight="1">
      <c r="A112" s="132"/>
      <c r="B112" s="132"/>
      <c r="C112" s="132"/>
      <c r="D112" s="132"/>
      <c r="E112" s="132"/>
      <c r="F112" s="132"/>
    </row>
    <row r="113" spans="1:6" ht="18" customHeight="1">
      <c r="A113" s="132"/>
      <c r="B113" s="132"/>
      <c r="C113" s="132"/>
      <c r="D113" s="132"/>
      <c r="E113" s="132"/>
      <c r="F113" s="132"/>
    </row>
    <row r="114" spans="1:6" ht="18" customHeight="1">
      <c r="A114" s="132"/>
      <c r="B114" s="132"/>
      <c r="C114" s="132"/>
      <c r="D114" s="132"/>
      <c r="E114" s="132"/>
      <c r="F114" s="132"/>
    </row>
    <row r="115" spans="1:6" ht="18" customHeight="1">
      <c r="A115" s="132"/>
      <c r="B115" s="132"/>
      <c r="C115" s="132"/>
      <c r="D115" s="132"/>
      <c r="E115" s="132"/>
      <c r="F115" s="132"/>
    </row>
    <row r="116" spans="1:6" ht="12.75" customHeight="1">
      <c r="A116" s="316" t="s">
        <v>225</v>
      </c>
      <c r="B116" s="316"/>
      <c r="C116" s="316"/>
      <c r="D116" s="316" t="s">
        <v>226</v>
      </c>
      <c r="E116" s="316"/>
      <c r="F116" s="316"/>
    </row>
    <row r="117" spans="1:6" ht="12.75" customHeight="1">
      <c r="A117" s="313" t="s">
        <v>227</v>
      </c>
      <c r="B117" s="313"/>
      <c r="C117" s="313"/>
      <c r="D117" s="313" t="s">
        <v>228</v>
      </c>
      <c r="E117" s="313"/>
      <c r="F117" s="313"/>
    </row>
    <row r="118" spans="1:6" ht="12.75" customHeight="1">
      <c r="A118" s="313" t="s">
        <v>229</v>
      </c>
      <c r="B118" s="313"/>
      <c r="C118" s="313"/>
      <c r="D118" s="313" t="s">
        <v>230</v>
      </c>
      <c r="E118" s="313"/>
      <c r="F118" s="313"/>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G99"/>
  <sheetViews>
    <sheetView showGridLines="0" showZeros="0" showOutlineSymbols="0" view="pageBreakPreview" zoomScaleNormal="100" zoomScaleSheetLayoutView="100" workbookViewId="0">
      <selection activeCell="C6" sqref="C6:F6"/>
    </sheetView>
  </sheetViews>
  <sheetFormatPr defaultColWidth="9.1796875" defaultRowHeight="10"/>
  <cols>
    <col min="1" max="1" width="5.1796875" style="131" customWidth="1"/>
    <col min="2" max="2" width="39.26953125" style="131" customWidth="1"/>
    <col min="3" max="3" width="6.54296875" style="131" bestFit="1" customWidth="1"/>
    <col min="4" max="6" width="16.81640625" style="131" customWidth="1"/>
    <col min="7" max="7" width="12.1796875" style="131" bestFit="1" customWidth="1"/>
    <col min="8" max="16384" width="9.1796875" style="131"/>
  </cols>
  <sheetData>
    <row r="1" spans="1:6" ht="36.75" customHeight="1">
      <c r="A1" s="317"/>
      <c r="B1" s="317"/>
      <c r="C1" s="130"/>
      <c r="D1" s="316" t="s">
        <v>0</v>
      </c>
      <c r="E1" s="316"/>
      <c r="F1" s="316"/>
    </row>
    <row r="2" spans="1:6" ht="27.75" customHeight="1">
      <c r="A2" s="324" t="s">
        <v>1</v>
      </c>
      <c r="B2" s="324"/>
      <c r="C2" s="324"/>
      <c r="D2" s="324"/>
      <c r="E2" s="324"/>
      <c r="F2" s="324"/>
    </row>
    <row r="3" spans="1:6" ht="4.5" customHeight="1">
      <c r="A3" s="132"/>
      <c r="B3" s="132"/>
      <c r="C3" s="132"/>
      <c r="D3" s="132"/>
      <c r="E3" s="132"/>
      <c r="F3" s="132"/>
    </row>
    <row r="4" spans="1:6" ht="28.5" customHeight="1">
      <c r="A4" s="325" t="s">
        <v>231</v>
      </c>
      <c r="B4" s="325"/>
      <c r="C4" s="325"/>
      <c r="D4" s="325"/>
      <c r="E4" s="325"/>
      <c r="F4" s="325"/>
    </row>
    <row r="5" spans="1:6" s="153" customFormat="1" ht="16.5" customHeight="1">
      <c r="A5" s="314" t="s">
        <v>3</v>
      </c>
      <c r="B5" s="314"/>
      <c r="C5" s="314"/>
      <c r="D5" s="314"/>
      <c r="E5" s="314"/>
      <c r="F5" s="314"/>
    </row>
    <row r="6" spans="1:6" ht="12" customHeight="1">
      <c r="A6" s="154" t="s">
        <v>4</v>
      </c>
      <c r="B6" s="134" t="s">
        <v>232</v>
      </c>
      <c r="C6" s="318" t="s">
        <v>6</v>
      </c>
      <c r="D6" s="318"/>
      <c r="E6" s="318"/>
      <c r="F6" s="318"/>
    </row>
    <row r="7" spans="1:6" ht="12" customHeight="1">
      <c r="A7" s="132"/>
      <c r="B7" s="132" t="s">
        <v>7</v>
      </c>
      <c r="C7" s="317" t="s">
        <v>8</v>
      </c>
      <c r="D7" s="317"/>
      <c r="E7" s="317"/>
      <c r="F7" s="317"/>
    </row>
    <row r="8" spans="1:6" ht="12" customHeight="1">
      <c r="A8" s="133" t="s">
        <v>9</v>
      </c>
      <c r="B8" s="134" t="s">
        <v>10</v>
      </c>
      <c r="C8" s="318" t="s">
        <v>11</v>
      </c>
      <c r="D8" s="318"/>
      <c r="E8" s="318"/>
      <c r="F8" s="318"/>
    </row>
    <row r="9" spans="1:6" ht="12" customHeight="1">
      <c r="A9" s="132"/>
      <c r="B9" s="132" t="s">
        <v>12</v>
      </c>
      <c r="C9" s="317" t="s">
        <v>13</v>
      </c>
      <c r="D9" s="317"/>
      <c r="E9" s="317"/>
      <c r="F9" s="317"/>
    </row>
    <row r="10" spans="1:6" ht="12" customHeight="1">
      <c r="A10" s="133" t="s">
        <v>14</v>
      </c>
      <c r="B10" s="134" t="s">
        <v>15</v>
      </c>
      <c r="C10" s="318" t="s">
        <v>16</v>
      </c>
      <c r="D10" s="318"/>
      <c r="E10" s="318"/>
      <c r="F10" s="318"/>
    </row>
    <row r="11" spans="1:6" ht="12" customHeight="1">
      <c r="A11" s="132"/>
      <c r="B11" s="132" t="s">
        <v>17</v>
      </c>
      <c r="C11" s="317" t="s">
        <v>18</v>
      </c>
      <c r="D11" s="317"/>
      <c r="E11" s="317"/>
      <c r="F11" s="317"/>
    </row>
    <row r="12" spans="1:6" ht="12" customHeight="1">
      <c r="A12" s="133" t="s">
        <v>19</v>
      </c>
      <c r="B12" s="134" t="s">
        <v>20</v>
      </c>
      <c r="C12" s="319">
        <v>44624</v>
      </c>
      <c r="D12" s="318"/>
      <c r="E12" s="318"/>
      <c r="F12" s="318"/>
    </row>
    <row r="13" spans="1:6" ht="12" customHeight="1">
      <c r="A13" s="132"/>
      <c r="B13" s="132" t="s">
        <v>21</v>
      </c>
      <c r="C13" s="320">
        <v>44624</v>
      </c>
      <c r="D13" s="317"/>
      <c r="E13" s="317"/>
      <c r="F13" s="317"/>
    </row>
    <row r="14" spans="1:6">
      <c r="A14" s="132"/>
      <c r="B14" s="132"/>
      <c r="C14" s="132"/>
      <c r="D14" s="132"/>
      <c r="E14" s="132"/>
      <c r="F14" s="132"/>
    </row>
    <row r="15" spans="1:6">
      <c r="A15" s="321" t="s">
        <v>22</v>
      </c>
      <c r="B15" s="321"/>
      <c r="C15" s="321"/>
      <c r="D15" s="321"/>
      <c r="E15" s="321"/>
      <c r="F15" s="321"/>
    </row>
    <row r="16" spans="1:6">
      <c r="A16" s="318" t="s">
        <v>233</v>
      </c>
      <c r="B16" s="318"/>
      <c r="C16" s="318"/>
      <c r="D16" s="318"/>
      <c r="E16" s="318"/>
      <c r="F16" s="318"/>
    </row>
    <row r="17" spans="1:6">
      <c r="A17" s="135"/>
      <c r="B17" s="136"/>
      <c r="C17" s="135"/>
      <c r="D17" s="135"/>
      <c r="E17" s="322" t="s">
        <v>24</v>
      </c>
      <c r="F17" s="322"/>
    </row>
    <row r="18" spans="1:6" s="155" customFormat="1" ht="48" customHeight="1">
      <c r="A18" s="137" t="s">
        <v>25</v>
      </c>
      <c r="B18" s="138" t="s">
        <v>26</v>
      </c>
      <c r="C18" s="138" t="s">
        <v>27</v>
      </c>
      <c r="D18" s="138" t="s">
        <v>234</v>
      </c>
      <c r="E18" s="138" t="s">
        <v>235</v>
      </c>
      <c r="F18" s="139" t="s">
        <v>236</v>
      </c>
    </row>
    <row r="19" spans="1:6" s="155" customFormat="1" ht="20">
      <c r="A19" s="156" t="s">
        <v>31</v>
      </c>
      <c r="B19" s="157" t="s">
        <v>237</v>
      </c>
      <c r="C19" s="158" t="s">
        <v>238</v>
      </c>
      <c r="D19" s="159">
        <v>106609734213</v>
      </c>
      <c r="E19" s="159">
        <v>28031859345</v>
      </c>
      <c r="F19" s="160">
        <v>106609734213</v>
      </c>
    </row>
    <row r="20" spans="1:6" s="155" customFormat="1" ht="20">
      <c r="A20" s="161" t="s">
        <v>4</v>
      </c>
      <c r="B20" s="162" t="s">
        <v>239</v>
      </c>
      <c r="C20" s="163"/>
      <c r="D20" s="164">
        <v>0</v>
      </c>
      <c r="E20" s="164">
        <v>0</v>
      </c>
      <c r="F20" s="165">
        <v>0</v>
      </c>
    </row>
    <row r="21" spans="1:6" s="155" customFormat="1" ht="20">
      <c r="A21" s="161" t="s">
        <v>9</v>
      </c>
      <c r="B21" s="162" t="s">
        <v>240</v>
      </c>
      <c r="C21" s="163" t="s">
        <v>241</v>
      </c>
      <c r="D21" s="164">
        <v>106057369934</v>
      </c>
      <c r="E21" s="164">
        <v>27932075326</v>
      </c>
      <c r="F21" s="165">
        <v>106057369934</v>
      </c>
    </row>
    <row r="22" spans="1:6" s="155" customFormat="1" ht="20">
      <c r="A22" s="166"/>
      <c r="B22" s="167" t="s">
        <v>242</v>
      </c>
      <c r="C22" s="168" t="s">
        <v>243</v>
      </c>
      <c r="D22" s="169">
        <v>106057369934</v>
      </c>
      <c r="E22" s="169">
        <v>27932075326</v>
      </c>
      <c r="F22" s="170">
        <v>106057369934</v>
      </c>
    </row>
    <row r="23" spans="1:6" s="155" customFormat="1" ht="20">
      <c r="A23" s="166"/>
      <c r="B23" s="167" t="s">
        <v>244</v>
      </c>
      <c r="C23" s="168" t="s">
        <v>245</v>
      </c>
      <c r="D23" s="169">
        <v>0</v>
      </c>
      <c r="E23" s="169">
        <v>0</v>
      </c>
      <c r="F23" s="170">
        <v>0</v>
      </c>
    </row>
    <row r="24" spans="1:6" s="155" customFormat="1" ht="20">
      <c r="A24" s="161" t="s">
        <v>14</v>
      </c>
      <c r="B24" s="162" t="s">
        <v>246</v>
      </c>
      <c r="C24" s="163" t="s">
        <v>247</v>
      </c>
      <c r="D24" s="164">
        <v>552364279</v>
      </c>
      <c r="E24" s="164">
        <v>99784019</v>
      </c>
      <c r="F24" s="165">
        <v>552364279</v>
      </c>
    </row>
    <row r="25" spans="1:6" s="155" customFormat="1" ht="20">
      <c r="A25" s="166"/>
      <c r="B25" s="167" t="s">
        <v>248</v>
      </c>
      <c r="C25" s="168" t="s">
        <v>249</v>
      </c>
      <c r="D25" s="169">
        <v>552364279</v>
      </c>
      <c r="E25" s="169">
        <v>99784019</v>
      </c>
      <c r="F25" s="170">
        <v>552364279</v>
      </c>
    </row>
    <row r="26" spans="1:6" s="155" customFormat="1" ht="20">
      <c r="A26" s="166"/>
      <c r="B26" s="167" t="s">
        <v>250</v>
      </c>
      <c r="C26" s="168" t="s">
        <v>251</v>
      </c>
      <c r="D26" s="169">
        <v>0</v>
      </c>
      <c r="E26" s="169">
        <v>0</v>
      </c>
      <c r="F26" s="170">
        <v>0</v>
      </c>
    </row>
    <row r="27" spans="1:6" s="155" customFormat="1" ht="20">
      <c r="A27" s="161" t="s">
        <v>19</v>
      </c>
      <c r="B27" s="162" t="s">
        <v>252</v>
      </c>
      <c r="C27" s="163" t="s">
        <v>253</v>
      </c>
      <c r="D27" s="164">
        <v>0</v>
      </c>
      <c r="E27" s="164">
        <v>0</v>
      </c>
      <c r="F27" s="165">
        <v>0</v>
      </c>
    </row>
    <row r="28" spans="1:6" s="155" customFormat="1" ht="20">
      <c r="A28" s="166"/>
      <c r="B28" s="167" t="s">
        <v>254</v>
      </c>
      <c r="C28" s="168" t="s">
        <v>255</v>
      </c>
      <c r="D28" s="169">
        <v>0</v>
      </c>
      <c r="E28" s="169">
        <v>0</v>
      </c>
      <c r="F28" s="170">
        <v>0</v>
      </c>
    </row>
    <row r="29" spans="1:6" s="155" customFormat="1" ht="20">
      <c r="A29" s="166"/>
      <c r="B29" s="167" t="s">
        <v>256</v>
      </c>
      <c r="C29" s="168" t="s">
        <v>257</v>
      </c>
      <c r="D29" s="169">
        <v>0</v>
      </c>
      <c r="E29" s="169">
        <v>0</v>
      </c>
      <c r="F29" s="170">
        <v>0</v>
      </c>
    </row>
    <row r="30" spans="1:6" s="155" customFormat="1" ht="53.25" customHeight="1">
      <c r="A30" s="166"/>
      <c r="B30" s="167" t="s">
        <v>258</v>
      </c>
      <c r="C30" s="168" t="s">
        <v>259</v>
      </c>
      <c r="D30" s="169">
        <v>0</v>
      </c>
      <c r="E30" s="169">
        <v>0</v>
      </c>
      <c r="F30" s="170">
        <v>0</v>
      </c>
    </row>
    <row r="31" spans="1:6" s="155" customFormat="1" ht="20">
      <c r="A31" s="156" t="s">
        <v>121</v>
      </c>
      <c r="B31" s="157" t="s">
        <v>260</v>
      </c>
      <c r="C31" s="158" t="s">
        <v>261</v>
      </c>
      <c r="D31" s="159">
        <v>132517448684</v>
      </c>
      <c r="E31" s="159">
        <v>14156037273</v>
      </c>
      <c r="F31" s="160">
        <v>132517448684</v>
      </c>
    </row>
    <row r="32" spans="1:6" s="155" customFormat="1" ht="20">
      <c r="A32" s="161" t="s">
        <v>4</v>
      </c>
      <c r="B32" s="162" t="s">
        <v>262</v>
      </c>
      <c r="C32" s="163" t="s">
        <v>263</v>
      </c>
      <c r="D32" s="164">
        <v>92637743009</v>
      </c>
      <c r="E32" s="164">
        <v>10722660176</v>
      </c>
      <c r="F32" s="165">
        <v>92637743009</v>
      </c>
    </row>
    <row r="33" spans="1:6" s="155" customFormat="1" ht="20">
      <c r="A33" s="161" t="s">
        <v>9</v>
      </c>
      <c r="B33" s="162" t="s">
        <v>264</v>
      </c>
      <c r="C33" s="163" t="s">
        <v>265</v>
      </c>
      <c r="D33" s="164">
        <v>8144651453</v>
      </c>
      <c r="E33" s="164">
        <v>997685864</v>
      </c>
      <c r="F33" s="165">
        <v>8144651453</v>
      </c>
    </row>
    <row r="34" spans="1:6" s="155" customFormat="1" ht="20">
      <c r="A34" s="166"/>
      <c r="B34" s="167" t="s">
        <v>266</v>
      </c>
      <c r="C34" s="168" t="s">
        <v>267</v>
      </c>
      <c r="D34" s="169">
        <v>2315943575</v>
      </c>
      <c r="E34" s="169">
        <v>274828176</v>
      </c>
      <c r="F34" s="170">
        <v>2315943575</v>
      </c>
    </row>
    <row r="35" spans="1:6" s="155" customFormat="1" ht="20">
      <c r="A35" s="166"/>
      <c r="B35" s="167" t="s">
        <v>268</v>
      </c>
      <c r="C35" s="168" t="s">
        <v>269</v>
      </c>
      <c r="D35" s="169">
        <v>57500000</v>
      </c>
      <c r="E35" s="169">
        <v>10000000</v>
      </c>
      <c r="F35" s="170">
        <v>57500000</v>
      </c>
    </row>
    <row r="36" spans="1:6" s="155" customFormat="1" ht="20">
      <c r="A36" s="166"/>
      <c r="B36" s="167" t="s">
        <v>170</v>
      </c>
      <c r="C36" s="168" t="s">
        <v>270</v>
      </c>
      <c r="D36" s="169">
        <v>676131996</v>
      </c>
      <c r="E36" s="169">
        <v>107893566</v>
      </c>
      <c r="F36" s="170">
        <v>676131996</v>
      </c>
    </row>
    <row r="37" spans="1:6" s="155" customFormat="1" ht="20">
      <c r="A37" s="166"/>
      <c r="B37" s="167" t="s">
        <v>271</v>
      </c>
      <c r="C37" s="168" t="s">
        <v>272</v>
      </c>
      <c r="D37" s="169">
        <v>5095075882</v>
      </c>
      <c r="E37" s="169">
        <v>604964122</v>
      </c>
      <c r="F37" s="170">
        <v>5095075882</v>
      </c>
    </row>
    <row r="38" spans="1:6" s="155" customFormat="1" ht="40">
      <c r="A38" s="166"/>
      <c r="B38" s="167" t="s">
        <v>172</v>
      </c>
      <c r="C38" s="168" t="s">
        <v>273</v>
      </c>
      <c r="D38" s="169">
        <v>0</v>
      </c>
      <c r="E38" s="169">
        <v>0</v>
      </c>
      <c r="F38" s="170">
        <v>0</v>
      </c>
    </row>
    <row r="39" spans="1:6" s="155" customFormat="1" ht="50">
      <c r="A39" s="161" t="s">
        <v>14</v>
      </c>
      <c r="B39" s="162" t="s">
        <v>274</v>
      </c>
      <c r="C39" s="163" t="s">
        <v>275</v>
      </c>
      <c r="D39" s="164">
        <v>19577737376</v>
      </c>
      <c r="E39" s="164">
        <v>1637848241</v>
      </c>
      <c r="F39" s="165">
        <v>19577737376</v>
      </c>
    </row>
    <row r="40" spans="1:6" s="155" customFormat="1" ht="20">
      <c r="A40" s="166"/>
      <c r="B40" s="167" t="s">
        <v>276</v>
      </c>
      <c r="C40" s="168" t="s">
        <v>277</v>
      </c>
      <c r="D40" s="169">
        <v>2547537930</v>
      </c>
      <c r="E40" s="169">
        <v>311812823</v>
      </c>
      <c r="F40" s="170">
        <v>2547537930</v>
      </c>
    </row>
    <row r="41" spans="1:6" s="155" customFormat="1" ht="20">
      <c r="A41" s="166"/>
      <c r="B41" s="167" t="s">
        <v>278</v>
      </c>
      <c r="C41" s="168" t="s">
        <v>279</v>
      </c>
      <c r="D41" s="169">
        <v>66000000</v>
      </c>
      <c r="E41" s="169">
        <v>42048387</v>
      </c>
      <c r="F41" s="170">
        <v>66000000</v>
      </c>
    </row>
    <row r="42" spans="1:6" s="155" customFormat="1" ht="30">
      <c r="A42" s="166"/>
      <c r="B42" s="167" t="s">
        <v>280</v>
      </c>
      <c r="C42" s="168" t="s">
        <v>281</v>
      </c>
      <c r="D42" s="169">
        <v>5789858935</v>
      </c>
      <c r="E42" s="169">
        <v>667098878</v>
      </c>
      <c r="F42" s="170">
        <v>5789858935</v>
      </c>
    </row>
    <row r="43" spans="1:6" s="155" customFormat="1" ht="20">
      <c r="A43" s="166"/>
      <c r="B43" s="167" t="s">
        <v>282</v>
      </c>
      <c r="C43" s="168" t="s">
        <v>283</v>
      </c>
      <c r="D43" s="169">
        <v>4631887164</v>
      </c>
      <c r="E43" s="169">
        <v>616888153</v>
      </c>
      <c r="F43" s="170">
        <v>4631887164</v>
      </c>
    </row>
    <row r="44" spans="1:6" s="155" customFormat="1" ht="20">
      <c r="A44" s="166"/>
      <c r="B44" s="167" t="s">
        <v>284</v>
      </c>
      <c r="C44" s="168" t="s">
        <v>285</v>
      </c>
      <c r="D44" s="169">
        <v>6542453347</v>
      </c>
      <c r="E44" s="169">
        <v>0</v>
      </c>
      <c r="F44" s="170">
        <v>6542453347</v>
      </c>
    </row>
    <row r="45" spans="1:6" s="155" customFormat="1" ht="20">
      <c r="A45" s="161" t="s">
        <v>19</v>
      </c>
      <c r="B45" s="162" t="s">
        <v>286</v>
      </c>
      <c r="C45" s="163"/>
      <c r="D45" s="164">
        <v>0</v>
      </c>
      <c r="E45" s="164">
        <v>0</v>
      </c>
      <c r="F45" s="165">
        <v>0</v>
      </c>
    </row>
    <row r="46" spans="1:6" s="155" customFormat="1" ht="20">
      <c r="A46" s="161" t="s">
        <v>287</v>
      </c>
      <c r="B46" s="162" t="s">
        <v>288</v>
      </c>
      <c r="C46" s="163"/>
      <c r="D46" s="164">
        <v>0</v>
      </c>
      <c r="E46" s="164">
        <v>0</v>
      </c>
      <c r="F46" s="165">
        <v>0</v>
      </c>
    </row>
    <row r="47" spans="1:6" s="155" customFormat="1" ht="20">
      <c r="A47" s="161" t="s">
        <v>289</v>
      </c>
      <c r="B47" s="162" t="s">
        <v>290</v>
      </c>
      <c r="C47" s="163" t="s">
        <v>291</v>
      </c>
      <c r="D47" s="164">
        <v>165000003</v>
      </c>
      <c r="E47" s="164">
        <v>109999997</v>
      </c>
      <c r="F47" s="165">
        <v>165000003</v>
      </c>
    </row>
    <row r="48" spans="1:6" s="155" customFormat="1" ht="50">
      <c r="A48" s="161" t="s">
        <v>292</v>
      </c>
      <c r="B48" s="162" t="s">
        <v>293</v>
      </c>
      <c r="C48" s="163" t="s">
        <v>294</v>
      </c>
      <c r="D48" s="164">
        <v>117000000</v>
      </c>
      <c r="E48" s="164">
        <v>68262295</v>
      </c>
      <c r="F48" s="165">
        <v>117000000</v>
      </c>
    </row>
    <row r="49" spans="1:6" s="155" customFormat="1" ht="20">
      <c r="A49" s="166"/>
      <c r="B49" s="167" t="s">
        <v>295</v>
      </c>
      <c r="C49" s="168" t="s">
        <v>296</v>
      </c>
      <c r="D49" s="169">
        <v>117000000</v>
      </c>
      <c r="E49" s="169">
        <v>68262295</v>
      </c>
      <c r="F49" s="170">
        <v>117000000</v>
      </c>
    </row>
    <row r="50" spans="1:6" s="155" customFormat="1" ht="20">
      <c r="A50" s="166"/>
      <c r="B50" s="167" t="s">
        <v>297</v>
      </c>
      <c r="C50" s="168" t="s">
        <v>298</v>
      </c>
      <c r="D50" s="169">
        <v>0</v>
      </c>
      <c r="E50" s="169">
        <v>0</v>
      </c>
      <c r="F50" s="170">
        <v>0</v>
      </c>
    </row>
    <row r="51" spans="1:6" s="155" customFormat="1" ht="20">
      <c r="A51" s="166"/>
      <c r="B51" s="167" t="s">
        <v>299</v>
      </c>
      <c r="C51" s="168" t="s">
        <v>300</v>
      </c>
      <c r="D51" s="169">
        <v>0</v>
      </c>
      <c r="E51" s="169">
        <v>0</v>
      </c>
      <c r="F51" s="170">
        <v>0</v>
      </c>
    </row>
    <row r="52" spans="1:6" s="155" customFormat="1" ht="110">
      <c r="A52" s="161" t="s">
        <v>301</v>
      </c>
      <c r="B52" s="162" t="s">
        <v>302</v>
      </c>
      <c r="C52" s="163" t="s">
        <v>303</v>
      </c>
      <c r="D52" s="164">
        <v>45425688</v>
      </c>
      <c r="E52" s="164">
        <v>0</v>
      </c>
      <c r="F52" s="165">
        <v>45425688</v>
      </c>
    </row>
    <row r="53" spans="1:6" s="155" customFormat="1" ht="20">
      <c r="A53" s="166"/>
      <c r="B53" s="167" t="s">
        <v>304</v>
      </c>
      <c r="C53" s="168" t="s">
        <v>305</v>
      </c>
      <c r="D53" s="169">
        <v>27142500</v>
      </c>
      <c r="E53" s="169">
        <v>0</v>
      </c>
      <c r="F53" s="170">
        <v>27142500</v>
      </c>
    </row>
    <row r="54" spans="1:6" s="155" customFormat="1" ht="20">
      <c r="A54" s="166"/>
      <c r="B54" s="167" t="s">
        <v>306</v>
      </c>
      <c r="C54" s="168" t="s">
        <v>307</v>
      </c>
      <c r="D54" s="169">
        <v>0</v>
      </c>
      <c r="E54" s="169">
        <v>0</v>
      </c>
      <c r="F54" s="170">
        <v>0</v>
      </c>
    </row>
    <row r="55" spans="1:6" s="155" customFormat="1" ht="30">
      <c r="A55" s="166"/>
      <c r="B55" s="167" t="s">
        <v>308</v>
      </c>
      <c r="C55" s="168" t="s">
        <v>309</v>
      </c>
      <c r="D55" s="169">
        <v>0</v>
      </c>
      <c r="E55" s="169">
        <v>0</v>
      </c>
      <c r="F55" s="170">
        <v>0</v>
      </c>
    </row>
    <row r="56" spans="1:6" s="155" customFormat="1" ht="20">
      <c r="A56" s="166"/>
      <c r="B56" s="167" t="s">
        <v>310</v>
      </c>
      <c r="C56" s="168" t="s">
        <v>311</v>
      </c>
      <c r="D56" s="169">
        <v>0</v>
      </c>
      <c r="E56" s="169">
        <v>0</v>
      </c>
      <c r="F56" s="170">
        <v>0</v>
      </c>
    </row>
    <row r="57" spans="1:6" s="155" customFormat="1" ht="20">
      <c r="A57" s="166"/>
      <c r="B57" s="167" t="s">
        <v>312</v>
      </c>
      <c r="C57" s="168" t="s">
        <v>313</v>
      </c>
      <c r="D57" s="169">
        <v>18283188</v>
      </c>
      <c r="E57" s="169">
        <v>0</v>
      </c>
      <c r="F57" s="170">
        <v>18283188</v>
      </c>
    </row>
    <row r="58" spans="1:6" s="155" customFormat="1" ht="30">
      <c r="A58" s="161" t="s">
        <v>314</v>
      </c>
      <c r="B58" s="162" t="s">
        <v>315</v>
      </c>
      <c r="C58" s="163" t="s">
        <v>316</v>
      </c>
      <c r="D58" s="164">
        <v>11740518301</v>
      </c>
      <c r="E58" s="164">
        <v>532491764</v>
      </c>
      <c r="F58" s="165">
        <v>11740518301</v>
      </c>
    </row>
    <row r="59" spans="1:6" s="155" customFormat="1" ht="20">
      <c r="A59" s="166"/>
      <c r="B59" s="167" t="s">
        <v>317</v>
      </c>
      <c r="C59" s="168" t="s">
        <v>318</v>
      </c>
      <c r="D59" s="169">
        <v>11740518301</v>
      </c>
      <c r="E59" s="169">
        <v>532491764</v>
      </c>
      <c r="F59" s="170">
        <v>11740518301</v>
      </c>
    </row>
    <row r="60" spans="1:6" s="155" customFormat="1" ht="20">
      <c r="A60" s="166"/>
      <c r="B60" s="167" t="s">
        <v>319</v>
      </c>
      <c r="C60" s="168" t="s">
        <v>320</v>
      </c>
      <c r="D60" s="169">
        <v>0</v>
      </c>
      <c r="E60" s="169">
        <v>0</v>
      </c>
      <c r="F60" s="170">
        <v>0</v>
      </c>
    </row>
    <row r="61" spans="1:6" s="155" customFormat="1" ht="20">
      <c r="A61" s="161" t="s">
        <v>321</v>
      </c>
      <c r="B61" s="162" t="s">
        <v>322</v>
      </c>
      <c r="C61" s="163" t="s">
        <v>323</v>
      </c>
      <c r="D61" s="164">
        <v>89372854</v>
      </c>
      <c r="E61" s="164">
        <v>87088936</v>
      </c>
      <c r="F61" s="165">
        <v>89372854</v>
      </c>
    </row>
    <row r="62" spans="1:6" s="155" customFormat="1" ht="20">
      <c r="A62" s="166"/>
      <c r="B62" s="167" t="s">
        <v>324</v>
      </c>
      <c r="C62" s="168" t="s">
        <v>325</v>
      </c>
      <c r="D62" s="169">
        <v>0</v>
      </c>
      <c r="E62" s="169">
        <v>50000000</v>
      </c>
      <c r="F62" s="170">
        <v>0</v>
      </c>
    </row>
    <row r="63" spans="1:6" s="155" customFormat="1" ht="20">
      <c r="A63" s="166"/>
      <c r="B63" s="167" t="s">
        <v>326</v>
      </c>
      <c r="C63" s="168" t="s">
        <v>327</v>
      </c>
      <c r="D63" s="169">
        <v>30000000</v>
      </c>
      <c r="E63" s="169">
        <v>17500000</v>
      </c>
      <c r="F63" s="170">
        <v>30000000</v>
      </c>
    </row>
    <row r="64" spans="1:6" s="155" customFormat="1" ht="20">
      <c r="A64" s="166"/>
      <c r="B64" s="167" t="s">
        <v>328</v>
      </c>
      <c r="C64" s="168" t="s">
        <v>329</v>
      </c>
      <c r="D64" s="169">
        <v>0</v>
      </c>
      <c r="E64" s="169">
        <v>5374005</v>
      </c>
      <c r="F64" s="170">
        <v>0</v>
      </c>
    </row>
    <row r="65" spans="1:7" s="155" customFormat="1" ht="20">
      <c r="A65" s="166"/>
      <c r="B65" s="167" t="s">
        <v>330</v>
      </c>
      <c r="C65" s="168" t="s">
        <v>331</v>
      </c>
      <c r="D65" s="169">
        <v>48872854</v>
      </c>
      <c r="E65" s="169">
        <v>14214931</v>
      </c>
      <c r="F65" s="170">
        <v>48872854</v>
      </c>
    </row>
    <row r="66" spans="1:7" s="155" customFormat="1" ht="20">
      <c r="A66" s="166"/>
      <c r="B66" s="167" t="s">
        <v>332</v>
      </c>
      <c r="C66" s="168" t="s">
        <v>333</v>
      </c>
      <c r="D66" s="169">
        <v>0</v>
      </c>
      <c r="E66" s="169">
        <v>0</v>
      </c>
      <c r="F66" s="170">
        <v>0</v>
      </c>
    </row>
    <row r="67" spans="1:7" s="155" customFormat="1" ht="20">
      <c r="A67" s="166"/>
      <c r="B67" s="167" t="s">
        <v>334</v>
      </c>
      <c r="C67" s="168" t="s">
        <v>335</v>
      </c>
      <c r="D67" s="169">
        <v>0</v>
      </c>
      <c r="E67" s="169">
        <v>0</v>
      </c>
      <c r="F67" s="170">
        <v>0</v>
      </c>
    </row>
    <row r="68" spans="1:7" s="155" customFormat="1" ht="20">
      <c r="A68" s="166"/>
      <c r="B68" s="167" t="s">
        <v>336</v>
      </c>
      <c r="C68" s="168" t="s">
        <v>337</v>
      </c>
      <c r="D68" s="169">
        <v>10500000</v>
      </c>
      <c r="E68" s="169">
        <v>0</v>
      </c>
      <c r="F68" s="170">
        <v>10500000</v>
      </c>
    </row>
    <row r="69" spans="1:7" s="155" customFormat="1" ht="20">
      <c r="A69" s="166"/>
      <c r="B69" s="167" t="s">
        <v>338</v>
      </c>
      <c r="C69" s="168" t="s">
        <v>339</v>
      </c>
      <c r="D69" s="169">
        <v>0</v>
      </c>
      <c r="E69" s="169">
        <v>0</v>
      </c>
      <c r="F69" s="170">
        <v>0</v>
      </c>
    </row>
    <row r="70" spans="1:7" s="155" customFormat="1" ht="20">
      <c r="A70" s="156" t="s">
        <v>340</v>
      </c>
      <c r="B70" s="157" t="s">
        <v>341</v>
      </c>
      <c r="C70" s="158" t="s">
        <v>342</v>
      </c>
      <c r="D70" s="159">
        <v>-25907714471</v>
      </c>
      <c r="E70" s="159">
        <v>13875822072</v>
      </c>
      <c r="F70" s="160">
        <v>-25907714471</v>
      </c>
    </row>
    <row r="71" spans="1:7" s="155" customFormat="1" ht="20">
      <c r="A71" s="156" t="s">
        <v>343</v>
      </c>
      <c r="B71" s="157" t="s">
        <v>344</v>
      </c>
      <c r="C71" s="158" t="s">
        <v>345</v>
      </c>
      <c r="D71" s="159">
        <v>5345289617305</v>
      </c>
      <c r="E71" s="159">
        <v>1016684450167</v>
      </c>
      <c r="F71" s="160">
        <v>5345289617305</v>
      </c>
    </row>
    <row r="72" spans="1:7" s="155" customFormat="1" ht="40">
      <c r="A72" s="161" t="s">
        <v>4</v>
      </c>
      <c r="B72" s="162" t="s">
        <v>346</v>
      </c>
      <c r="C72" s="163" t="s">
        <v>347</v>
      </c>
      <c r="D72" s="164">
        <v>2334623910509</v>
      </c>
      <c r="E72" s="164">
        <v>30697822855</v>
      </c>
      <c r="F72" s="165">
        <v>2334623910509</v>
      </c>
      <c r="G72" s="171"/>
    </row>
    <row r="73" spans="1:7" s="155" customFormat="1" ht="20">
      <c r="A73" s="166"/>
      <c r="B73" s="167" t="s">
        <v>348</v>
      </c>
      <c r="C73" s="168" t="s">
        <v>349</v>
      </c>
      <c r="D73" s="169">
        <v>1331925231675</v>
      </c>
      <c r="E73" s="169">
        <v>14056355590</v>
      </c>
      <c r="F73" s="170">
        <v>1331925231675</v>
      </c>
    </row>
    <row r="74" spans="1:7" s="155" customFormat="1" ht="20">
      <c r="A74" s="166"/>
      <c r="B74" s="167" t="s">
        <v>350</v>
      </c>
      <c r="C74" s="168" t="s">
        <v>351</v>
      </c>
      <c r="D74" s="169">
        <v>1002698678834</v>
      </c>
      <c r="E74" s="169">
        <v>16641467265</v>
      </c>
      <c r="F74" s="170">
        <v>1002698678834</v>
      </c>
    </row>
    <row r="75" spans="1:7" s="155" customFormat="1" ht="30">
      <c r="A75" s="166"/>
      <c r="B75" s="167" t="s">
        <v>352</v>
      </c>
      <c r="C75" s="168" t="s">
        <v>353</v>
      </c>
      <c r="D75" s="169">
        <v>0</v>
      </c>
      <c r="E75" s="169">
        <v>0</v>
      </c>
      <c r="F75" s="170">
        <v>0</v>
      </c>
    </row>
    <row r="76" spans="1:7" s="155" customFormat="1" ht="20">
      <c r="A76" s="161" t="s">
        <v>9</v>
      </c>
      <c r="B76" s="162" t="s">
        <v>354</v>
      </c>
      <c r="C76" s="163" t="s">
        <v>355</v>
      </c>
      <c r="D76" s="164">
        <v>3010665706796</v>
      </c>
      <c r="E76" s="164">
        <v>985986627312</v>
      </c>
      <c r="F76" s="165">
        <v>3010665706796</v>
      </c>
      <c r="G76" s="171"/>
    </row>
    <row r="77" spans="1:7" s="155" customFormat="1" ht="45" customHeight="1">
      <c r="A77" s="156" t="s">
        <v>356</v>
      </c>
      <c r="B77" s="157" t="s">
        <v>357</v>
      </c>
      <c r="C77" s="158" t="s">
        <v>358</v>
      </c>
      <c r="D77" s="159">
        <v>5319381902834</v>
      </c>
      <c r="E77" s="159">
        <v>1030560272239</v>
      </c>
      <c r="F77" s="160">
        <v>5319381902834</v>
      </c>
    </row>
    <row r="78" spans="1:7" s="155" customFormat="1" ht="20">
      <c r="A78" s="156" t="s">
        <v>359</v>
      </c>
      <c r="B78" s="157" t="s">
        <v>360</v>
      </c>
      <c r="C78" s="158" t="s">
        <v>361</v>
      </c>
      <c r="D78" s="159">
        <v>5280430128341</v>
      </c>
      <c r="E78" s="159">
        <v>0</v>
      </c>
      <c r="F78" s="160">
        <v>5280430128341</v>
      </c>
    </row>
    <row r="79" spans="1:7" s="155" customFormat="1" ht="30">
      <c r="A79" s="156" t="s">
        <v>362</v>
      </c>
      <c r="B79" s="157" t="s">
        <v>363</v>
      </c>
      <c r="C79" s="158" t="s">
        <v>364</v>
      </c>
      <c r="D79" s="159">
        <v>8511314978872</v>
      </c>
      <c r="E79" s="159">
        <v>5280430128341</v>
      </c>
      <c r="F79" s="160">
        <v>8511314978872</v>
      </c>
    </row>
    <row r="80" spans="1:7" s="155" customFormat="1" ht="20">
      <c r="A80" s="161"/>
      <c r="B80" s="162" t="s">
        <v>365</v>
      </c>
      <c r="C80" s="163" t="s">
        <v>366</v>
      </c>
      <c r="D80" s="164">
        <v>0</v>
      </c>
      <c r="E80" s="164">
        <v>0</v>
      </c>
      <c r="F80" s="165">
        <v>0</v>
      </c>
    </row>
    <row r="81" spans="1:6" s="155" customFormat="1" ht="40">
      <c r="A81" s="161" t="s">
        <v>4</v>
      </c>
      <c r="B81" s="162" t="s">
        <v>367</v>
      </c>
      <c r="C81" s="163" t="s">
        <v>368</v>
      </c>
      <c r="D81" s="164">
        <v>5319381902834</v>
      </c>
      <c r="E81" s="164">
        <v>1030560272239</v>
      </c>
      <c r="F81" s="165">
        <v>5319381902834</v>
      </c>
    </row>
    <row r="82" spans="1:6" s="155" customFormat="1" ht="40">
      <c r="A82" s="161" t="s">
        <v>9</v>
      </c>
      <c r="B82" s="162" t="s">
        <v>369</v>
      </c>
      <c r="C82" s="163"/>
      <c r="D82" s="164">
        <v>0</v>
      </c>
      <c r="E82" s="164">
        <v>0</v>
      </c>
      <c r="F82" s="165">
        <v>0</v>
      </c>
    </row>
    <row r="83" spans="1:6" s="155" customFormat="1" ht="40">
      <c r="A83" s="161" t="s">
        <v>14</v>
      </c>
      <c r="B83" s="162" t="s">
        <v>370</v>
      </c>
      <c r="C83" s="163" t="s">
        <v>371</v>
      </c>
      <c r="D83" s="164">
        <v>3191933076038</v>
      </c>
      <c r="E83" s="164">
        <v>4249869856102</v>
      </c>
      <c r="F83" s="165">
        <v>3191933076038</v>
      </c>
    </row>
    <row r="84" spans="1:6" s="155" customFormat="1" ht="40">
      <c r="A84" s="166"/>
      <c r="B84" s="167" t="s">
        <v>372</v>
      </c>
      <c r="C84" s="168" t="s">
        <v>373</v>
      </c>
      <c r="D84" s="169">
        <v>6738824812297</v>
      </c>
      <c r="E84" s="169">
        <v>4411668821681</v>
      </c>
      <c r="F84" s="170">
        <v>6738824812297</v>
      </c>
    </row>
    <row r="85" spans="1:6" s="155" customFormat="1" ht="30">
      <c r="A85" s="166"/>
      <c r="B85" s="167" t="s">
        <v>374</v>
      </c>
      <c r="C85" s="168" t="s">
        <v>375</v>
      </c>
      <c r="D85" s="169">
        <v>-3546891736259</v>
      </c>
      <c r="E85" s="169">
        <v>-161798965579</v>
      </c>
      <c r="F85" s="170">
        <v>-3546891736259</v>
      </c>
    </row>
    <row r="86" spans="1:6" s="155" customFormat="1" ht="20">
      <c r="A86" s="156" t="s">
        <v>376</v>
      </c>
      <c r="B86" s="157" t="s">
        <v>377</v>
      </c>
      <c r="C86" s="158" t="s">
        <v>378</v>
      </c>
      <c r="D86" s="159">
        <v>13791745107213</v>
      </c>
      <c r="E86" s="159">
        <v>5280430128341</v>
      </c>
      <c r="F86" s="160">
        <v>13791745107213</v>
      </c>
    </row>
    <row r="87" spans="1:6" s="155" customFormat="1" ht="40">
      <c r="A87" s="156" t="s">
        <v>379</v>
      </c>
      <c r="B87" s="157" t="s">
        <v>380</v>
      </c>
      <c r="C87" s="158" t="s">
        <v>381</v>
      </c>
      <c r="D87" s="159">
        <v>5319381902834</v>
      </c>
      <c r="E87" s="159">
        <v>1030560272239</v>
      </c>
      <c r="F87" s="160">
        <v>5319381902834</v>
      </c>
    </row>
    <row r="88" spans="1:6" s="155" customFormat="1" ht="40">
      <c r="A88" s="172"/>
      <c r="B88" s="173" t="s">
        <v>382</v>
      </c>
      <c r="C88" s="174" t="s">
        <v>383</v>
      </c>
      <c r="D88" s="175">
        <v>0.459395</v>
      </c>
      <c r="E88" s="175">
        <v>0.52371100000000004</v>
      </c>
      <c r="F88" s="176">
        <v>0.459395</v>
      </c>
    </row>
    <row r="89" spans="1:6">
      <c r="A89" s="132"/>
      <c r="B89" s="132"/>
      <c r="C89" s="152"/>
      <c r="D89" s="132"/>
      <c r="E89" s="132"/>
      <c r="F89" s="132"/>
    </row>
    <row r="90" spans="1:6" ht="12.75" customHeight="1">
      <c r="A90" s="316" t="s">
        <v>221</v>
      </c>
      <c r="B90" s="316"/>
      <c r="C90" s="316"/>
      <c r="D90" s="316" t="s">
        <v>222</v>
      </c>
      <c r="E90" s="316"/>
      <c r="F90" s="316"/>
    </row>
    <row r="91" spans="1:6" ht="12.75" customHeight="1">
      <c r="A91" s="314" t="s">
        <v>223</v>
      </c>
      <c r="B91" s="314"/>
      <c r="C91" s="314"/>
      <c r="D91" s="315" t="s">
        <v>224</v>
      </c>
      <c r="E91" s="315"/>
      <c r="F91" s="315"/>
    </row>
    <row r="92" spans="1:6" ht="12.75" customHeight="1">
      <c r="A92" s="132"/>
      <c r="B92" s="132"/>
      <c r="C92" s="132"/>
      <c r="D92" s="132"/>
      <c r="E92" s="132"/>
      <c r="F92" s="132"/>
    </row>
    <row r="93" spans="1:6" ht="12.75" customHeight="1">
      <c r="A93" s="132"/>
      <c r="B93" s="132"/>
      <c r="C93" s="132"/>
      <c r="D93" s="132"/>
      <c r="E93" s="132"/>
      <c r="F93" s="132"/>
    </row>
    <row r="94" spans="1:6" ht="12.75" customHeight="1">
      <c r="A94" s="132"/>
      <c r="B94" s="132"/>
      <c r="C94" s="132"/>
      <c r="D94" s="132"/>
      <c r="E94" s="132"/>
      <c r="F94" s="132"/>
    </row>
    <row r="95" spans="1:6" ht="12.75" customHeight="1">
      <c r="A95" s="132"/>
      <c r="B95" s="132"/>
      <c r="C95" s="132"/>
      <c r="D95" s="132"/>
      <c r="E95" s="132"/>
      <c r="F95" s="132"/>
    </row>
    <row r="96" spans="1:6" ht="12.75" customHeight="1">
      <c r="A96" s="132"/>
      <c r="B96" s="132"/>
      <c r="C96" s="132"/>
      <c r="D96" s="132"/>
      <c r="E96" s="132"/>
      <c r="F96" s="132"/>
    </row>
    <row r="97" spans="1:6" ht="12.75" customHeight="1">
      <c r="A97" s="316" t="s">
        <v>225</v>
      </c>
      <c r="B97" s="316"/>
      <c r="C97" s="316"/>
      <c r="D97" s="316" t="s">
        <v>226</v>
      </c>
      <c r="E97" s="316"/>
      <c r="F97" s="316"/>
    </row>
    <row r="98" spans="1:6" ht="12.75" customHeight="1">
      <c r="A98" s="313" t="s">
        <v>227</v>
      </c>
      <c r="B98" s="313"/>
      <c r="C98" s="313"/>
      <c r="D98" s="313" t="s">
        <v>228</v>
      </c>
      <c r="E98" s="313"/>
      <c r="F98" s="313"/>
    </row>
    <row r="99" spans="1:6" ht="12.75" customHeight="1">
      <c r="A99" s="313" t="s">
        <v>229</v>
      </c>
      <c r="B99" s="313"/>
      <c r="C99" s="313"/>
      <c r="D99" s="313" t="s">
        <v>230</v>
      </c>
      <c r="E99" s="313"/>
      <c r="F99" s="313"/>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37" bottom="0.25" header="0.32" footer="0.22"/>
  <pageSetup paperSize="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I86"/>
  <sheetViews>
    <sheetView showGridLines="0" showZeros="0" showOutlineSymbols="0" view="pageBreakPreview" zoomScaleNormal="100" zoomScaleSheetLayoutView="100" workbookViewId="0">
      <selection activeCell="A4" sqref="A4:G4"/>
    </sheetView>
  </sheetViews>
  <sheetFormatPr defaultColWidth="9.1796875" defaultRowHeight="10"/>
  <cols>
    <col min="1" max="1" width="4.81640625" style="155" customWidth="1"/>
    <col min="2" max="2" width="35.81640625" style="155" customWidth="1"/>
    <col min="3" max="3" width="9.1796875" style="155"/>
    <col min="4" max="4" width="12.1796875" style="155" bestFit="1" customWidth="1"/>
    <col min="5" max="5" width="11.26953125" style="155" customWidth="1"/>
    <col min="6" max="6" width="15.453125" style="155" bestFit="1" customWidth="1"/>
    <col min="7" max="7" width="12.08984375" style="155" customWidth="1"/>
    <col min="8" max="8" width="9.1796875" style="155"/>
    <col min="9" max="9" width="16.54296875" style="155" bestFit="1" customWidth="1"/>
    <col min="10" max="16384" width="9.1796875" style="155"/>
  </cols>
  <sheetData>
    <row r="1" spans="1:7" ht="35" customHeight="1">
      <c r="A1" s="177"/>
      <c r="B1" s="177"/>
      <c r="C1" s="130"/>
      <c r="D1" s="316" t="s">
        <v>0</v>
      </c>
      <c r="E1" s="316"/>
      <c r="F1" s="316"/>
      <c r="G1" s="316"/>
    </row>
    <row r="2" spans="1:7" ht="26.5" customHeight="1">
      <c r="A2" s="324" t="s">
        <v>1</v>
      </c>
      <c r="B2" s="324"/>
      <c r="C2" s="324"/>
      <c r="D2" s="324"/>
      <c r="E2" s="324"/>
      <c r="F2" s="324"/>
      <c r="G2" s="324"/>
    </row>
    <row r="3" spans="1:7" ht="6" customHeight="1">
      <c r="A3" s="177"/>
      <c r="B3" s="177"/>
      <c r="C3" s="177"/>
      <c r="D3" s="177"/>
      <c r="E3" s="177"/>
      <c r="F3" s="177"/>
      <c r="G3" s="177"/>
    </row>
    <row r="4" spans="1:7" ht="30" customHeight="1">
      <c r="A4" s="325" t="s">
        <v>231</v>
      </c>
      <c r="B4" s="325"/>
      <c r="C4" s="325"/>
      <c r="D4" s="325"/>
      <c r="E4" s="325"/>
      <c r="F4" s="325"/>
      <c r="G4" s="325"/>
    </row>
    <row r="5" spans="1:7" ht="12.75" customHeight="1">
      <c r="A5" s="315" t="s">
        <v>384</v>
      </c>
      <c r="B5" s="315"/>
      <c r="C5" s="315"/>
      <c r="D5" s="315"/>
      <c r="E5" s="315"/>
      <c r="F5" s="315"/>
      <c r="G5" s="315"/>
    </row>
    <row r="6" spans="1:7" ht="12.75" customHeight="1">
      <c r="A6" s="154" t="s">
        <v>4</v>
      </c>
      <c r="B6" s="178" t="s">
        <v>232</v>
      </c>
      <c r="C6" s="327" t="s">
        <v>6</v>
      </c>
      <c r="D6" s="327"/>
      <c r="E6" s="327"/>
      <c r="F6" s="327"/>
      <c r="G6" s="327"/>
    </row>
    <row r="7" spans="1:7" ht="12.75" customHeight="1">
      <c r="A7" s="177"/>
      <c r="B7" s="177" t="s">
        <v>7</v>
      </c>
      <c r="C7" s="328" t="s">
        <v>8</v>
      </c>
      <c r="D7" s="328"/>
      <c r="E7" s="328"/>
      <c r="F7" s="328"/>
      <c r="G7" s="328"/>
    </row>
    <row r="8" spans="1:7" ht="12.75" customHeight="1">
      <c r="A8" s="154" t="s">
        <v>9</v>
      </c>
      <c r="B8" s="178" t="s">
        <v>10</v>
      </c>
      <c r="C8" s="327" t="s">
        <v>11</v>
      </c>
      <c r="D8" s="327"/>
      <c r="E8" s="327"/>
      <c r="F8" s="327"/>
      <c r="G8" s="327"/>
    </row>
    <row r="9" spans="1:7" ht="12.75" customHeight="1">
      <c r="A9" s="177"/>
      <c r="B9" s="177" t="s">
        <v>12</v>
      </c>
      <c r="C9" s="328" t="s">
        <v>13</v>
      </c>
      <c r="D9" s="328"/>
      <c r="E9" s="328"/>
      <c r="F9" s="328"/>
      <c r="G9" s="328"/>
    </row>
    <row r="10" spans="1:7" ht="12.75" customHeight="1">
      <c r="A10" s="154" t="s">
        <v>14</v>
      </c>
      <c r="B10" s="178" t="s">
        <v>385</v>
      </c>
      <c r="C10" s="327" t="s">
        <v>16</v>
      </c>
      <c r="D10" s="327"/>
      <c r="E10" s="327"/>
      <c r="F10" s="327"/>
      <c r="G10" s="327"/>
    </row>
    <row r="11" spans="1:7" ht="12.75" customHeight="1">
      <c r="A11" s="177"/>
      <c r="B11" s="177" t="s">
        <v>17</v>
      </c>
      <c r="C11" s="328" t="s">
        <v>18</v>
      </c>
      <c r="D11" s="328"/>
      <c r="E11" s="328"/>
      <c r="F11" s="328"/>
      <c r="G11" s="328"/>
    </row>
    <row r="12" spans="1:7" ht="12.75" customHeight="1">
      <c r="A12" s="154" t="s">
        <v>19</v>
      </c>
      <c r="B12" s="178" t="s">
        <v>20</v>
      </c>
      <c r="C12" s="329">
        <v>44624</v>
      </c>
      <c r="D12" s="327"/>
      <c r="E12" s="327"/>
      <c r="F12" s="327"/>
      <c r="G12" s="327"/>
    </row>
    <row r="13" spans="1:7" ht="12.75" customHeight="1">
      <c r="A13" s="177"/>
      <c r="B13" s="177" t="s">
        <v>21</v>
      </c>
      <c r="C13" s="330">
        <v>44624</v>
      </c>
      <c r="D13" s="328"/>
      <c r="E13" s="328"/>
      <c r="F13" s="328"/>
      <c r="G13" s="328"/>
    </row>
    <row r="14" spans="1:7" ht="9" customHeight="1">
      <c r="A14" s="177"/>
      <c r="B14" s="177"/>
      <c r="C14" s="179"/>
      <c r="D14" s="177"/>
      <c r="E14" s="177"/>
      <c r="F14" s="177"/>
      <c r="G14" s="177"/>
    </row>
    <row r="15" spans="1:7" ht="12.75" customHeight="1">
      <c r="A15" s="331" t="s">
        <v>386</v>
      </c>
      <c r="B15" s="331"/>
      <c r="C15" s="331"/>
      <c r="D15" s="331"/>
      <c r="E15" s="331"/>
      <c r="F15" s="331"/>
      <c r="G15" s="331"/>
    </row>
    <row r="16" spans="1:7" ht="12.75" customHeight="1">
      <c r="A16" s="327" t="s">
        <v>387</v>
      </c>
      <c r="B16" s="327"/>
      <c r="C16" s="327"/>
      <c r="D16" s="327"/>
      <c r="E16" s="327"/>
      <c r="F16" s="327"/>
      <c r="G16" s="327"/>
    </row>
    <row r="17" spans="1:7" ht="12.75" customHeight="1">
      <c r="A17" s="180"/>
      <c r="B17" s="180"/>
      <c r="C17" s="181"/>
      <c r="D17" s="180"/>
      <c r="E17" s="180"/>
      <c r="F17" s="332" t="s">
        <v>24</v>
      </c>
      <c r="G17" s="332"/>
    </row>
    <row r="18" spans="1:7" ht="64.5" customHeight="1">
      <c r="A18" s="137" t="s">
        <v>388</v>
      </c>
      <c r="B18" s="138" t="s">
        <v>389</v>
      </c>
      <c r="C18" s="138" t="s">
        <v>27</v>
      </c>
      <c r="D18" s="138" t="s">
        <v>390</v>
      </c>
      <c r="E18" s="138" t="s">
        <v>391</v>
      </c>
      <c r="F18" s="138" t="s">
        <v>392</v>
      </c>
      <c r="G18" s="139" t="s">
        <v>393</v>
      </c>
    </row>
    <row r="19" spans="1:7" ht="20">
      <c r="A19" s="140" t="s">
        <v>31</v>
      </c>
      <c r="B19" s="141" t="s">
        <v>394</v>
      </c>
      <c r="C19" s="142"/>
      <c r="D19" s="182">
        <v>0</v>
      </c>
      <c r="E19" s="164">
        <v>0</v>
      </c>
      <c r="F19" s="164">
        <v>0</v>
      </c>
      <c r="G19" s="144">
        <v>0</v>
      </c>
    </row>
    <row r="20" spans="1:7" ht="40">
      <c r="A20" s="140" t="s">
        <v>121</v>
      </c>
      <c r="B20" s="141" t="s">
        <v>395</v>
      </c>
      <c r="C20" s="142" t="s">
        <v>396</v>
      </c>
      <c r="D20" s="182">
        <v>0</v>
      </c>
      <c r="E20" s="164">
        <v>0</v>
      </c>
      <c r="F20" s="164">
        <v>0</v>
      </c>
      <c r="G20" s="144">
        <v>0</v>
      </c>
    </row>
    <row r="21" spans="1:7" ht="15" customHeight="1">
      <c r="A21" s="140" t="s">
        <v>4</v>
      </c>
      <c r="B21" s="141" t="s">
        <v>397</v>
      </c>
      <c r="C21" s="142" t="s">
        <v>398</v>
      </c>
      <c r="D21" s="145">
        <v>31116293</v>
      </c>
      <c r="E21" s="164">
        <v>34500</v>
      </c>
      <c r="F21" s="164">
        <v>1073512108500</v>
      </c>
      <c r="G21" s="144">
        <v>7.7700000000000005E-2</v>
      </c>
    </row>
    <row r="22" spans="1:7" ht="15" customHeight="1">
      <c r="A22" s="140" t="s">
        <v>9</v>
      </c>
      <c r="B22" s="141" t="s">
        <v>399</v>
      </c>
      <c r="C22" s="142" t="s">
        <v>400</v>
      </c>
      <c r="D22" s="145">
        <v>3244160</v>
      </c>
      <c r="E22" s="164">
        <v>109500</v>
      </c>
      <c r="F22" s="164">
        <v>355235520000</v>
      </c>
      <c r="G22" s="144">
        <v>2.5700000000000001E-2</v>
      </c>
    </row>
    <row r="23" spans="1:7" ht="15" customHeight="1">
      <c r="A23" s="140" t="s">
        <v>14</v>
      </c>
      <c r="B23" s="141" t="s">
        <v>401</v>
      </c>
      <c r="C23" s="142" t="s">
        <v>402</v>
      </c>
      <c r="D23" s="145">
        <v>5288715</v>
      </c>
      <c r="E23" s="164">
        <v>33900</v>
      </c>
      <c r="F23" s="164">
        <v>179287438500</v>
      </c>
      <c r="G23" s="144">
        <v>1.2999999999999999E-2</v>
      </c>
    </row>
    <row r="24" spans="1:7" ht="15" customHeight="1">
      <c r="A24" s="140" t="s">
        <v>19</v>
      </c>
      <c r="B24" s="141" t="s">
        <v>403</v>
      </c>
      <c r="C24" s="142" t="s">
        <v>404</v>
      </c>
      <c r="D24" s="145">
        <v>3521400</v>
      </c>
      <c r="E24" s="164">
        <v>33700</v>
      </c>
      <c r="F24" s="164">
        <v>118671180000</v>
      </c>
      <c r="G24" s="144">
        <v>8.6E-3</v>
      </c>
    </row>
    <row r="25" spans="1:7" ht="15" customHeight="1">
      <c r="A25" s="140" t="s">
        <v>287</v>
      </c>
      <c r="B25" s="141" t="s">
        <v>405</v>
      </c>
      <c r="C25" s="142" t="s">
        <v>406</v>
      </c>
      <c r="D25" s="145">
        <v>21290012</v>
      </c>
      <c r="E25" s="164">
        <v>93000</v>
      </c>
      <c r="F25" s="164">
        <v>1979971116000</v>
      </c>
      <c r="G25" s="144">
        <v>0.14330000000000001</v>
      </c>
    </row>
    <row r="26" spans="1:7" ht="15" customHeight="1">
      <c r="A26" s="140" t="s">
        <v>289</v>
      </c>
      <c r="B26" s="141" t="s">
        <v>407</v>
      </c>
      <c r="C26" s="142" t="s">
        <v>408</v>
      </c>
      <c r="D26" s="145">
        <v>7800750</v>
      </c>
      <c r="E26" s="164">
        <v>47300</v>
      </c>
      <c r="F26" s="164">
        <v>368975475000</v>
      </c>
      <c r="G26" s="144">
        <v>2.6700000000000002E-2</v>
      </c>
    </row>
    <row r="27" spans="1:7" ht="15" customHeight="1">
      <c r="A27" s="140" t="s">
        <v>292</v>
      </c>
      <c r="B27" s="141" t="s">
        <v>409</v>
      </c>
      <c r="C27" s="142" t="s">
        <v>410</v>
      </c>
      <c r="D27" s="145">
        <v>5401702</v>
      </c>
      <c r="E27" s="164">
        <v>51000</v>
      </c>
      <c r="F27" s="164">
        <v>275486802000</v>
      </c>
      <c r="G27" s="144">
        <v>1.9900000000000001E-2</v>
      </c>
    </row>
    <row r="28" spans="1:7" ht="15" customHeight="1">
      <c r="A28" s="140" t="s">
        <v>301</v>
      </c>
      <c r="B28" s="141" t="s">
        <v>411</v>
      </c>
      <c r="C28" s="142" t="s">
        <v>412</v>
      </c>
      <c r="D28" s="145">
        <v>28571694</v>
      </c>
      <c r="E28" s="164">
        <v>28900</v>
      </c>
      <c r="F28" s="164">
        <v>825721956600</v>
      </c>
      <c r="G28" s="144">
        <v>5.9799999999999999E-2</v>
      </c>
    </row>
    <row r="29" spans="1:7" ht="15" customHeight="1">
      <c r="A29" s="140" t="s">
        <v>314</v>
      </c>
      <c r="B29" s="141" t="s">
        <v>413</v>
      </c>
      <c r="C29" s="142" t="s">
        <v>414</v>
      </c>
      <c r="D29" s="145">
        <v>16587404</v>
      </c>
      <c r="E29" s="164">
        <v>29000</v>
      </c>
      <c r="F29" s="164">
        <v>481034716000</v>
      </c>
      <c r="G29" s="144">
        <v>3.4799999999999998E-2</v>
      </c>
    </row>
    <row r="30" spans="1:7" ht="15" customHeight="1">
      <c r="A30" s="140" t="s">
        <v>321</v>
      </c>
      <c r="B30" s="141" t="s">
        <v>415</v>
      </c>
      <c r="C30" s="142" t="s">
        <v>416</v>
      </c>
      <c r="D30" s="145">
        <v>16233326</v>
      </c>
      <c r="E30" s="164">
        <v>135900</v>
      </c>
      <c r="F30" s="164">
        <v>2206109003400</v>
      </c>
      <c r="G30" s="144">
        <v>0.15970000000000001</v>
      </c>
    </row>
    <row r="31" spans="1:7" ht="15" customHeight="1">
      <c r="A31" s="140" t="s">
        <v>417</v>
      </c>
      <c r="B31" s="141" t="s">
        <v>418</v>
      </c>
      <c r="C31" s="142" t="s">
        <v>419</v>
      </c>
      <c r="D31" s="145">
        <v>7697588</v>
      </c>
      <c r="E31" s="164">
        <v>64200</v>
      </c>
      <c r="F31" s="164">
        <v>494185149600</v>
      </c>
      <c r="G31" s="144">
        <v>3.5799999999999998E-2</v>
      </c>
    </row>
    <row r="32" spans="1:7" ht="15" customHeight="1">
      <c r="A32" s="140" t="s">
        <v>420</v>
      </c>
      <c r="B32" s="141" t="s">
        <v>421</v>
      </c>
      <c r="C32" s="142" t="s">
        <v>422</v>
      </c>
      <c r="D32" s="145">
        <v>15854028</v>
      </c>
      <c r="E32" s="164">
        <v>96200</v>
      </c>
      <c r="F32" s="164">
        <v>1525157493600</v>
      </c>
      <c r="G32" s="144">
        <v>0.1104</v>
      </c>
    </row>
    <row r="33" spans="1:7" ht="15" customHeight="1">
      <c r="A33" s="140" t="s">
        <v>423</v>
      </c>
      <c r="B33" s="141" t="s">
        <v>424</v>
      </c>
      <c r="C33" s="142" t="s">
        <v>425</v>
      </c>
      <c r="D33" s="145">
        <v>12173966</v>
      </c>
      <c r="E33" s="164">
        <v>69100</v>
      </c>
      <c r="F33" s="164">
        <v>841221050600</v>
      </c>
      <c r="G33" s="144">
        <v>6.0900000000000003E-2</v>
      </c>
    </row>
    <row r="34" spans="1:7" ht="15" customHeight="1">
      <c r="A34" s="140" t="s">
        <v>426</v>
      </c>
      <c r="B34" s="141" t="s">
        <v>427</v>
      </c>
      <c r="C34" s="142" t="s">
        <v>428</v>
      </c>
      <c r="D34" s="145">
        <v>22564900</v>
      </c>
      <c r="E34" s="164">
        <v>50000</v>
      </c>
      <c r="F34" s="164">
        <v>1128245000000</v>
      </c>
      <c r="G34" s="144">
        <v>8.1699999999999995E-2</v>
      </c>
    </row>
    <row r="35" spans="1:7" ht="15" customHeight="1">
      <c r="A35" s="140" t="s">
        <v>429</v>
      </c>
      <c r="B35" s="141" t="s">
        <v>430</v>
      </c>
      <c r="C35" s="142" t="s">
        <v>431</v>
      </c>
      <c r="D35" s="145">
        <v>12874425</v>
      </c>
      <c r="E35" s="164">
        <v>41050</v>
      </c>
      <c r="F35" s="164">
        <v>528495146250</v>
      </c>
      <c r="G35" s="144">
        <v>3.8300000000000001E-2</v>
      </c>
    </row>
    <row r="36" spans="1:7" ht="15" customHeight="1">
      <c r="A36" s="140" t="s">
        <v>432</v>
      </c>
      <c r="B36" s="141" t="s">
        <v>433</v>
      </c>
      <c r="C36" s="142" t="s">
        <v>434</v>
      </c>
      <c r="D36" s="145">
        <v>5063072</v>
      </c>
      <c r="E36" s="164">
        <v>47300</v>
      </c>
      <c r="F36" s="164">
        <v>239483305600</v>
      </c>
      <c r="G36" s="144">
        <v>1.7299999999999999E-2</v>
      </c>
    </row>
    <row r="37" spans="1:7" ht="15" customHeight="1">
      <c r="A37" s="140" t="s">
        <v>435</v>
      </c>
      <c r="B37" s="141" t="s">
        <v>436</v>
      </c>
      <c r="C37" s="142" t="s">
        <v>437</v>
      </c>
      <c r="D37" s="145">
        <v>31687711</v>
      </c>
      <c r="E37" s="164">
        <v>35800</v>
      </c>
      <c r="F37" s="164">
        <v>1134420053800</v>
      </c>
      <c r="G37" s="144">
        <v>8.2100000000000006E-2</v>
      </c>
    </row>
    <row r="38" spans="1:7" ht="20">
      <c r="A38" s="140"/>
      <c r="B38" s="141" t="s">
        <v>441</v>
      </c>
      <c r="C38" s="142" t="s">
        <v>438</v>
      </c>
      <c r="D38" s="145"/>
      <c r="E38" s="164">
        <v>0</v>
      </c>
      <c r="F38" s="164">
        <v>13755212515450</v>
      </c>
      <c r="G38" s="144">
        <v>0.99580000000000002</v>
      </c>
    </row>
    <row r="39" spans="1:7" ht="40">
      <c r="A39" s="140" t="s">
        <v>340</v>
      </c>
      <c r="B39" s="141" t="s">
        <v>439</v>
      </c>
      <c r="C39" s="142" t="s">
        <v>440</v>
      </c>
      <c r="D39" s="145">
        <v>0</v>
      </c>
      <c r="E39" s="164">
        <v>0</v>
      </c>
      <c r="F39" s="164">
        <v>0</v>
      </c>
      <c r="G39" s="144">
        <v>0</v>
      </c>
    </row>
    <row r="40" spans="1:7" ht="20">
      <c r="A40" s="140"/>
      <c r="B40" s="141" t="s">
        <v>441</v>
      </c>
      <c r="C40" s="142" t="s">
        <v>442</v>
      </c>
      <c r="D40" s="145">
        <v>0</v>
      </c>
      <c r="E40" s="164">
        <v>0</v>
      </c>
      <c r="F40" s="164">
        <v>0</v>
      </c>
      <c r="G40" s="144">
        <v>0</v>
      </c>
    </row>
    <row r="41" spans="1:7" ht="20">
      <c r="A41" s="140"/>
      <c r="B41" s="141" t="s">
        <v>443</v>
      </c>
      <c r="C41" s="142" t="s">
        <v>444</v>
      </c>
      <c r="D41" s="145"/>
      <c r="E41" s="164">
        <v>0</v>
      </c>
      <c r="F41" s="164">
        <v>13755212515450</v>
      </c>
      <c r="G41" s="144">
        <v>0.99580000000000002</v>
      </c>
    </row>
    <row r="42" spans="1:7" ht="20">
      <c r="A42" s="140" t="s">
        <v>343</v>
      </c>
      <c r="B42" s="141" t="s">
        <v>445</v>
      </c>
      <c r="C42" s="142" t="s">
        <v>446</v>
      </c>
      <c r="D42" s="145">
        <v>0</v>
      </c>
      <c r="E42" s="164">
        <v>0</v>
      </c>
      <c r="F42" s="164">
        <v>0</v>
      </c>
      <c r="G42" s="144">
        <v>0</v>
      </c>
    </row>
    <row r="43" spans="1:7" ht="20">
      <c r="A43" s="140"/>
      <c r="B43" s="141" t="s">
        <v>441</v>
      </c>
      <c r="C43" s="142" t="s">
        <v>447</v>
      </c>
      <c r="D43" s="145">
        <v>0</v>
      </c>
      <c r="E43" s="164">
        <v>0</v>
      </c>
      <c r="F43" s="164">
        <v>0</v>
      </c>
      <c r="G43" s="144">
        <v>0</v>
      </c>
    </row>
    <row r="44" spans="1:7" ht="20">
      <c r="A44" s="140" t="s">
        <v>356</v>
      </c>
      <c r="B44" s="141" t="s">
        <v>448</v>
      </c>
      <c r="C44" s="142" t="s">
        <v>449</v>
      </c>
      <c r="D44" s="145">
        <v>0</v>
      </c>
      <c r="E44" s="164">
        <v>0</v>
      </c>
      <c r="F44" s="164">
        <v>0</v>
      </c>
      <c r="G44" s="144">
        <v>0</v>
      </c>
    </row>
    <row r="45" spans="1:7" ht="20">
      <c r="A45" s="140" t="s">
        <v>4</v>
      </c>
      <c r="B45" s="141" t="s">
        <v>450</v>
      </c>
      <c r="C45" s="142" t="s">
        <v>451</v>
      </c>
      <c r="D45" s="145">
        <v>0</v>
      </c>
      <c r="E45" s="164">
        <v>0</v>
      </c>
      <c r="F45" s="164">
        <v>0</v>
      </c>
      <c r="G45" s="144">
        <v>0</v>
      </c>
    </row>
    <row r="46" spans="1:7" ht="20">
      <c r="A46" s="140" t="s">
        <v>9</v>
      </c>
      <c r="B46" s="141" t="s">
        <v>452</v>
      </c>
      <c r="C46" s="142" t="s">
        <v>453</v>
      </c>
      <c r="D46" s="145">
        <v>0</v>
      </c>
      <c r="E46" s="164">
        <v>0</v>
      </c>
      <c r="F46" s="164">
        <v>0</v>
      </c>
      <c r="G46" s="144">
        <v>0</v>
      </c>
    </row>
    <row r="47" spans="1:7" ht="20">
      <c r="A47" s="140"/>
      <c r="B47" s="141" t="s">
        <v>441</v>
      </c>
      <c r="C47" s="142" t="s">
        <v>454</v>
      </c>
      <c r="D47" s="145">
        <v>0</v>
      </c>
      <c r="E47" s="164">
        <v>0</v>
      </c>
      <c r="F47" s="164">
        <v>0</v>
      </c>
      <c r="G47" s="144">
        <v>0</v>
      </c>
    </row>
    <row r="48" spans="1:7" ht="20">
      <c r="A48" s="140"/>
      <c r="B48" s="141" t="s">
        <v>455</v>
      </c>
      <c r="C48" s="142" t="s">
        <v>456</v>
      </c>
      <c r="D48" s="145"/>
      <c r="E48" s="164">
        <v>0</v>
      </c>
      <c r="F48" s="164">
        <v>13755212515450</v>
      </c>
      <c r="G48" s="144">
        <v>0.99580000000000002</v>
      </c>
    </row>
    <row r="49" spans="1:7" ht="20">
      <c r="A49" s="140" t="s">
        <v>359</v>
      </c>
      <c r="B49" s="141" t="s">
        <v>457</v>
      </c>
      <c r="C49" s="142" t="s">
        <v>458</v>
      </c>
      <c r="D49" s="145">
        <v>0</v>
      </c>
      <c r="E49" s="164">
        <v>0</v>
      </c>
      <c r="F49" s="164">
        <v>0</v>
      </c>
      <c r="G49" s="144">
        <v>0</v>
      </c>
    </row>
    <row r="50" spans="1:7" ht="20">
      <c r="A50" s="140" t="s">
        <v>4</v>
      </c>
      <c r="B50" s="141" t="s">
        <v>459</v>
      </c>
      <c r="C50" s="142" t="s">
        <v>460</v>
      </c>
      <c r="D50" s="145">
        <v>0</v>
      </c>
      <c r="E50" s="164">
        <v>0</v>
      </c>
      <c r="F50" s="164">
        <v>13504668800</v>
      </c>
      <c r="G50" s="144">
        <v>1E-3</v>
      </c>
    </row>
    <row r="51" spans="1:7" ht="20">
      <c r="A51" s="140" t="s">
        <v>9</v>
      </c>
      <c r="B51" s="141" t="s">
        <v>461</v>
      </c>
      <c r="C51" s="142" t="s">
        <v>462</v>
      </c>
      <c r="D51" s="145">
        <v>0</v>
      </c>
      <c r="E51" s="164">
        <v>0</v>
      </c>
      <c r="F51" s="164">
        <v>0</v>
      </c>
      <c r="G51" s="144">
        <v>0</v>
      </c>
    </row>
    <row r="52" spans="1:7" ht="20">
      <c r="A52" s="140" t="s">
        <v>14</v>
      </c>
      <c r="B52" s="141" t="s">
        <v>463</v>
      </c>
      <c r="C52" s="142" t="s">
        <v>464</v>
      </c>
      <c r="D52" s="145">
        <v>0</v>
      </c>
      <c r="E52" s="164">
        <v>0</v>
      </c>
      <c r="F52" s="164">
        <v>0</v>
      </c>
      <c r="G52" s="144">
        <v>0</v>
      </c>
    </row>
    <row r="53" spans="1:7" ht="30">
      <c r="A53" s="140" t="s">
        <v>19</v>
      </c>
      <c r="B53" s="141" t="s">
        <v>465</v>
      </c>
      <c r="C53" s="142" t="s">
        <v>466</v>
      </c>
      <c r="D53" s="145">
        <v>0</v>
      </c>
      <c r="E53" s="164">
        <v>0</v>
      </c>
      <c r="F53" s="164">
        <v>1672185000</v>
      </c>
      <c r="G53" s="144">
        <v>1E-4</v>
      </c>
    </row>
    <row r="54" spans="1:7" ht="30">
      <c r="A54" s="140" t="s">
        <v>287</v>
      </c>
      <c r="B54" s="141" t="s">
        <v>467</v>
      </c>
      <c r="C54" s="142" t="s">
        <v>468</v>
      </c>
      <c r="D54" s="145">
        <v>0</v>
      </c>
      <c r="E54" s="164">
        <v>0</v>
      </c>
      <c r="F54" s="164">
        <v>0</v>
      </c>
      <c r="G54" s="144">
        <v>0</v>
      </c>
    </row>
    <row r="55" spans="1:7" ht="20">
      <c r="A55" s="140" t="s">
        <v>289</v>
      </c>
      <c r="B55" s="141" t="s">
        <v>469</v>
      </c>
      <c r="C55" s="142" t="s">
        <v>470</v>
      </c>
      <c r="D55" s="145">
        <v>0</v>
      </c>
      <c r="E55" s="164">
        <v>0</v>
      </c>
      <c r="F55" s="164">
        <v>0</v>
      </c>
      <c r="G55" s="144">
        <v>0</v>
      </c>
    </row>
    <row r="56" spans="1:7" ht="20">
      <c r="A56" s="140" t="s">
        <v>292</v>
      </c>
      <c r="B56" s="141" t="s">
        <v>471</v>
      </c>
      <c r="C56" s="142" t="s">
        <v>472</v>
      </c>
      <c r="D56" s="145">
        <v>0</v>
      </c>
      <c r="E56" s="164">
        <v>0</v>
      </c>
      <c r="F56" s="164">
        <v>0</v>
      </c>
      <c r="G56" s="144">
        <v>0</v>
      </c>
    </row>
    <row r="57" spans="1:7" ht="20">
      <c r="A57" s="140" t="s">
        <v>301</v>
      </c>
      <c r="B57" s="141" t="s">
        <v>473</v>
      </c>
      <c r="C57" s="142" t="s">
        <v>474</v>
      </c>
      <c r="D57" s="145">
        <v>0</v>
      </c>
      <c r="E57" s="164">
        <v>0</v>
      </c>
      <c r="F57" s="164">
        <v>0</v>
      </c>
      <c r="G57" s="144">
        <v>0</v>
      </c>
    </row>
    <row r="58" spans="1:7" ht="20">
      <c r="A58" s="140" t="s">
        <v>314</v>
      </c>
      <c r="B58" s="141" t="s">
        <v>475</v>
      </c>
      <c r="C58" s="142" t="s">
        <v>476</v>
      </c>
      <c r="D58" s="145">
        <v>0</v>
      </c>
      <c r="E58" s="164">
        <v>0</v>
      </c>
      <c r="F58" s="164">
        <v>0</v>
      </c>
      <c r="G58" s="144">
        <v>0</v>
      </c>
    </row>
    <row r="59" spans="1:7" ht="40">
      <c r="A59" s="140" t="s">
        <v>321</v>
      </c>
      <c r="B59" s="141" t="s">
        <v>477</v>
      </c>
      <c r="C59" s="142" t="s">
        <v>478</v>
      </c>
      <c r="D59" s="145">
        <v>0</v>
      </c>
      <c r="E59" s="164">
        <v>0</v>
      </c>
      <c r="F59" s="164">
        <v>0</v>
      </c>
      <c r="G59" s="144">
        <v>0</v>
      </c>
    </row>
    <row r="60" spans="1:7" ht="20">
      <c r="A60" s="140"/>
      <c r="B60" s="141" t="s">
        <v>441</v>
      </c>
      <c r="C60" s="142" t="s">
        <v>479</v>
      </c>
      <c r="D60" s="145">
        <v>0</v>
      </c>
      <c r="E60" s="164">
        <v>0</v>
      </c>
      <c r="F60" s="164">
        <v>15176853800</v>
      </c>
      <c r="G60" s="144">
        <v>1.1000000000000001E-3</v>
      </c>
    </row>
    <row r="61" spans="1:7" ht="20">
      <c r="A61" s="140" t="s">
        <v>362</v>
      </c>
      <c r="B61" s="141" t="s">
        <v>37</v>
      </c>
      <c r="C61" s="142" t="s">
        <v>480</v>
      </c>
      <c r="D61" s="145">
        <v>0</v>
      </c>
      <c r="E61" s="164">
        <v>0</v>
      </c>
      <c r="F61" s="164">
        <v>0</v>
      </c>
      <c r="G61" s="144">
        <v>0</v>
      </c>
    </row>
    <row r="62" spans="1:7" ht="20">
      <c r="A62" s="140" t="s">
        <v>4</v>
      </c>
      <c r="B62" s="141" t="s">
        <v>481</v>
      </c>
      <c r="C62" s="142" t="s">
        <v>482</v>
      </c>
      <c r="D62" s="145">
        <v>0</v>
      </c>
      <c r="E62" s="164">
        <v>0</v>
      </c>
      <c r="F62" s="164">
        <v>43242266392</v>
      </c>
      <c r="G62" s="144">
        <v>3.0999999999999999E-3</v>
      </c>
    </row>
    <row r="63" spans="1:7" ht="20">
      <c r="A63" s="140"/>
      <c r="B63" s="141" t="s">
        <v>483</v>
      </c>
      <c r="C63" s="142" t="s">
        <v>484</v>
      </c>
      <c r="D63" s="145">
        <v>0</v>
      </c>
      <c r="E63" s="164">
        <v>0</v>
      </c>
      <c r="F63" s="164">
        <v>0</v>
      </c>
      <c r="G63" s="144">
        <v>0</v>
      </c>
    </row>
    <row r="64" spans="1:7" ht="20">
      <c r="A64" s="140"/>
      <c r="B64" s="141" t="s">
        <v>485</v>
      </c>
      <c r="C64" s="142" t="s">
        <v>486</v>
      </c>
      <c r="D64" s="145">
        <v>0</v>
      </c>
      <c r="E64" s="164">
        <v>0</v>
      </c>
      <c r="F64" s="164">
        <v>43242266392</v>
      </c>
      <c r="G64" s="144">
        <v>3.0999999999999999E-3</v>
      </c>
    </row>
    <row r="65" spans="1:9" ht="20">
      <c r="A65" s="140"/>
      <c r="B65" s="141" t="s">
        <v>487</v>
      </c>
      <c r="C65" s="142" t="s">
        <v>488</v>
      </c>
      <c r="D65" s="145">
        <v>0</v>
      </c>
      <c r="E65" s="164">
        <v>0</v>
      </c>
      <c r="F65" s="164">
        <v>0</v>
      </c>
      <c r="G65" s="144">
        <v>0</v>
      </c>
    </row>
    <row r="66" spans="1:9" ht="20">
      <c r="A66" s="140" t="s">
        <v>9</v>
      </c>
      <c r="B66" s="141" t="s">
        <v>489</v>
      </c>
      <c r="C66" s="142" t="s">
        <v>490</v>
      </c>
      <c r="D66" s="145">
        <v>0</v>
      </c>
      <c r="E66" s="164">
        <v>0</v>
      </c>
      <c r="F66" s="164">
        <v>0</v>
      </c>
      <c r="G66" s="144">
        <v>0</v>
      </c>
    </row>
    <row r="67" spans="1:9" ht="20">
      <c r="A67" s="140" t="s">
        <v>14</v>
      </c>
      <c r="B67" s="141" t="s">
        <v>491</v>
      </c>
      <c r="C67" s="142" t="s">
        <v>492</v>
      </c>
      <c r="D67" s="145">
        <v>0</v>
      </c>
      <c r="E67" s="164">
        <v>0</v>
      </c>
      <c r="F67" s="164">
        <v>0</v>
      </c>
      <c r="G67" s="144">
        <v>0</v>
      </c>
    </row>
    <row r="68" spans="1:9" ht="20">
      <c r="A68" s="140" t="s">
        <v>19</v>
      </c>
      <c r="B68" s="141" t="s">
        <v>493</v>
      </c>
      <c r="C68" s="142" t="s">
        <v>494</v>
      </c>
      <c r="D68" s="145">
        <v>0</v>
      </c>
      <c r="E68" s="164">
        <v>0</v>
      </c>
      <c r="F68" s="164">
        <v>0</v>
      </c>
      <c r="G68" s="144">
        <v>0</v>
      </c>
    </row>
    <row r="69" spans="1:9" ht="20">
      <c r="A69" s="140"/>
      <c r="B69" s="141" t="s">
        <v>441</v>
      </c>
      <c r="C69" s="142" t="s">
        <v>495</v>
      </c>
      <c r="D69" s="145">
        <v>0</v>
      </c>
      <c r="E69" s="164">
        <v>0</v>
      </c>
      <c r="F69" s="164">
        <v>43242266392</v>
      </c>
      <c r="G69" s="144">
        <v>3.0999999999999999E-3</v>
      </c>
    </row>
    <row r="70" spans="1:9" ht="20">
      <c r="A70" s="147" t="s">
        <v>376</v>
      </c>
      <c r="B70" s="148" t="s">
        <v>496</v>
      </c>
      <c r="C70" s="149" t="s">
        <v>497</v>
      </c>
      <c r="D70" s="183"/>
      <c r="E70" s="175">
        <v>0</v>
      </c>
      <c r="F70" s="175">
        <v>13813631635642</v>
      </c>
      <c r="G70" s="151">
        <v>1</v>
      </c>
      <c r="I70" s="171"/>
    </row>
    <row r="71" spans="1:9" ht="4.5" customHeight="1">
      <c r="A71" s="177"/>
      <c r="B71" s="177"/>
      <c r="C71" s="177"/>
      <c r="D71" s="177"/>
      <c r="E71" s="177"/>
      <c r="F71" s="177"/>
      <c r="G71" s="177"/>
    </row>
    <row r="72" spans="1:9" ht="11.25" customHeight="1">
      <c r="A72" s="333" t="s">
        <v>498</v>
      </c>
      <c r="B72" s="333"/>
      <c r="C72" s="177"/>
      <c r="D72" s="177"/>
      <c r="E72" s="177"/>
      <c r="F72" s="177"/>
      <c r="G72" s="177"/>
    </row>
    <row r="73" spans="1:9" ht="19.5" customHeight="1">
      <c r="A73" s="334" t="s">
        <v>499</v>
      </c>
      <c r="B73" s="334"/>
      <c r="C73" s="334"/>
      <c r="D73" s="334"/>
      <c r="E73" s="334"/>
      <c r="F73" s="334"/>
      <c r="G73" s="334"/>
    </row>
    <row r="74" spans="1:9" ht="3.75" customHeight="1">
      <c r="A74" s="180"/>
      <c r="B74" s="180"/>
      <c r="C74" s="180"/>
      <c r="D74" s="180"/>
      <c r="E74" s="180"/>
      <c r="F74" s="180"/>
      <c r="G74" s="180"/>
    </row>
    <row r="75" spans="1:9" ht="54.75" customHeight="1">
      <c r="A75" s="184" t="s">
        <v>500</v>
      </c>
      <c r="B75" s="185" t="s">
        <v>501</v>
      </c>
      <c r="C75" s="185" t="s">
        <v>502</v>
      </c>
      <c r="D75" s="185" t="s">
        <v>503</v>
      </c>
      <c r="E75" s="185" t="s">
        <v>504</v>
      </c>
      <c r="F75" s="185" t="s">
        <v>505</v>
      </c>
      <c r="G75" s="186" t="s">
        <v>506</v>
      </c>
    </row>
    <row r="76" spans="1:9" ht="3" customHeight="1">
      <c r="A76" s="177"/>
      <c r="B76" s="177"/>
      <c r="C76" s="177"/>
      <c r="D76" s="177"/>
      <c r="E76" s="177"/>
      <c r="F76" s="177"/>
      <c r="G76" s="177"/>
    </row>
    <row r="77" spans="1:9" ht="15" customHeight="1">
      <c r="A77" s="326" t="s">
        <v>221</v>
      </c>
      <c r="B77" s="326"/>
      <c r="C77" s="326"/>
      <c r="D77" s="326" t="s">
        <v>222</v>
      </c>
      <c r="E77" s="326"/>
      <c r="F77" s="326"/>
      <c r="G77" s="326"/>
    </row>
    <row r="78" spans="1:9" ht="15" customHeight="1">
      <c r="A78" s="315" t="s">
        <v>223</v>
      </c>
      <c r="B78" s="315"/>
      <c r="C78" s="315"/>
      <c r="D78" s="315" t="s">
        <v>224</v>
      </c>
      <c r="E78" s="315"/>
      <c r="F78" s="315"/>
      <c r="G78" s="315"/>
    </row>
    <row r="79" spans="1:9" ht="15" customHeight="1">
      <c r="A79" s="177"/>
      <c r="B79" s="177"/>
      <c r="C79" s="177"/>
      <c r="D79" s="177"/>
      <c r="E79" s="177"/>
      <c r="F79" s="177"/>
      <c r="G79" s="177"/>
    </row>
    <row r="80" spans="1:9" ht="15" customHeight="1">
      <c r="A80" s="177"/>
      <c r="B80" s="177"/>
      <c r="C80" s="177"/>
      <c r="D80" s="177"/>
      <c r="E80" s="177"/>
      <c r="F80" s="177"/>
      <c r="G80" s="177"/>
    </row>
    <row r="81" spans="1:7" ht="15.75" customHeight="1">
      <c r="A81" s="177"/>
      <c r="B81" s="177"/>
      <c r="C81" s="177"/>
      <c r="D81" s="177"/>
      <c r="E81" s="177"/>
      <c r="F81" s="177"/>
      <c r="G81" s="177"/>
    </row>
    <row r="82" spans="1:7" ht="15.75" customHeight="1">
      <c r="A82" s="177"/>
      <c r="B82" s="177"/>
      <c r="C82" s="177"/>
      <c r="D82" s="177"/>
      <c r="E82" s="177"/>
      <c r="F82" s="177"/>
      <c r="G82" s="177"/>
    </row>
    <row r="83" spans="1:7" ht="15.75" customHeight="1">
      <c r="A83" s="177"/>
      <c r="B83" s="177"/>
      <c r="C83" s="177"/>
      <c r="D83" s="177"/>
      <c r="E83" s="177"/>
      <c r="F83" s="177"/>
      <c r="G83" s="177"/>
    </row>
    <row r="84" spans="1:7" ht="15" customHeight="1">
      <c r="A84" s="326" t="s">
        <v>225</v>
      </c>
      <c r="B84" s="326"/>
      <c r="C84" s="326"/>
      <c r="D84" s="326" t="s">
        <v>226</v>
      </c>
      <c r="E84" s="326"/>
      <c r="F84" s="326"/>
      <c r="G84" s="326"/>
    </row>
    <row r="85" spans="1:7" ht="15" customHeight="1">
      <c r="A85" s="326" t="s">
        <v>507</v>
      </c>
      <c r="B85" s="326"/>
      <c r="C85" s="326"/>
      <c r="D85" s="326" t="s">
        <v>228</v>
      </c>
      <c r="E85" s="326"/>
      <c r="F85" s="326"/>
      <c r="G85" s="326"/>
    </row>
    <row r="86" spans="1:7" ht="15" customHeight="1">
      <c r="A86" s="326" t="s">
        <v>229</v>
      </c>
      <c r="B86" s="326"/>
      <c r="C86" s="326"/>
      <c r="D86" s="326" t="s">
        <v>230</v>
      </c>
      <c r="E86" s="326"/>
      <c r="F86" s="326"/>
      <c r="G86" s="326"/>
    </row>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 right="0" top="0.22" bottom="0.25" header="0.23" footer="0.2"/>
  <pageSetup paperSize="9" scale="99"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view="pageBreakPreview" zoomScaleNormal="90" zoomScaleSheetLayoutView="100" workbookViewId="0">
      <selection activeCell="I8" sqref="I8"/>
    </sheetView>
  </sheetViews>
  <sheetFormatPr defaultColWidth="9.26953125" defaultRowHeight="10"/>
  <cols>
    <col min="1" max="1" width="5.453125" style="28" customWidth="1"/>
    <col min="2" max="2" width="42.81640625" style="28" customWidth="1"/>
    <col min="3" max="3" width="7.26953125" style="28" customWidth="1"/>
    <col min="4" max="4" width="13.26953125" style="28" customWidth="1"/>
    <col min="5" max="5" width="14.54296875" style="28" customWidth="1"/>
    <col min="6" max="6" width="11.7265625" style="28" customWidth="1"/>
    <col min="7" max="7" width="16.1796875" style="28" customWidth="1"/>
    <col min="8" max="8" width="8.26953125" style="28" customWidth="1"/>
    <col min="9" max="9" width="18.7265625" style="28" customWidth="1"/>
    <col min="10" max="10" width="8.54296875" style="28" customWidth="1"/>
    <col min="11" max="11" width="20.453125" style="28" customWidth="1"/>
    <col min="12" max="256" width="9.26953125" style="28"/>
    <col min="257" max="257" width="5.453125" style="28" customWidth="1"/>
    <col min="258" max="258" width="42.81640625" style="28" customWidth="1"/>
    <col min="259" max="259" width="7.26953125" style="28" customWidth="1"/>
    <col min="260" max="260" width="20.26953125" style="28" customWidth="1"/>
    <col min="261" max="261" width="14.54296875" style="28" customWidth="1"/>
    <col min="262" max="262" width="11.7265625" style="28" customWidth="1"/>
    <col min="263" max="263" width="17.54296875" style="28" customWidth="1"/>
    <col min="264" max="264" width="8.26953125" style="28" customWidth="1"/>
    <col min="265" max="265" width="16.26953125" style="28" customWidth="1"/>
    <col min="266" max="266" width="8.54296875" style="28" customWidth="1"/>
    <col min="267" max="267" width="18.54296875" style="28" customWidth="1"/>
    <col min="268" max="512" width="9.26953125" style="28"/>
    <col min="513" max="513" width="5.453125" style="28" customWidth="1"/>
    <col min="514" max="514" width="42.81640625" style="28" customWidth="1"/>
    <col min="515" max="515" width="7.26953125" style="28" customWidth="1"/>
    <col min="516" max="516" width="20.26953125" style="28" customWidth="1"/>
    <col min="517" max="517" width="14.54296875" style="28" customWidth="1"/>
    <col min="518" max="518" width="11.7265625" style="28" customWidth="1"/>
    <col min="519" max="519" width="17.54296875" style="28" customWidth="1"/>
    <col min="520" max="520" width="8.26953125" style="28" customWidth="1"/>
    <col min="521" max="521" width="16.26953125" style="28" customWidth="1"/>
    <col min="522" max="522" width="8.54296875" style="28" customWidth="1"/>
    <col min="523" max="523" width="18.54296875" style="28" customWidth="1"/>
    <col min="524" max="768" width="9.26953125" style="28"/>
    <col min="769" max="769" width="5.453125" style="28" customWidth="1"/>
    <col min="770" max="770" width="42.81640625" style="28" customWidth="1"/>
    <col min="771" max="771" width="7.26953125" style="28" customWidth="1"/>
    <col min="772" max="772" width="20.26953125" style="28" customWidth="1"/>
    <col min="773" max="773" width="14.54296875" style="28" customWidth="1"/>
    <col min="774" max="774" width="11.7265625" style="28" customWidth="1"/>
    <col min="775" max="775" width="17.54296875" style="28" customWidth="1"/>
    <col min="776" max="776" width="8.26953125" style="28" customWidth="1"/>
    <col min="777" max="777" width="16.26953125" style="28" customWidth="1"/>
    <col min="778" max="778" width="8.54296875" style="28" customWidth="1"/>
    <col min="779" max="779" width="18.54296875" style="28" customWidth="1"/>
    <col min="780" max="1024" width="9.26953125" style="28"/>
    <col min="1025" max="1025" width="5.453125" style="28" customWidth="1"/>
    <col min="1026" max="1026" width="42.81640625" style="28" customWidth="1"/>
    <col min="1027" max="1027" width="7.26953125" style="28" customWidth="1"/>
    <col min="1028" max="1028" width="20.26953125" style="28" customWidth="1"/>
    <col min="1029" max="1029" width="14.54296875" style="28" customWidth="1"/>
    <col min="1030" max="1030" width="11.7265625" style="28" customWidth="1"/>
    <col min="1031" max="1031" width="17.54296875" style="28" customWidth="1"/>
    <col min="1032" max="1032" width="8.26953125" style="28" customWidth="1"/>
    <col min="1033" max="1033" width="16.26953125" style="28" customWidth="1"/>
    <col min="1034" max="1034" width="8.54296875" style="28" customWidth="1"/>
    <col min="1035" max="1035" width="18.54296875" style="28" customWidth="1"/>
    <col min="1036" max="1280" width="9.26953125" style="28"/>
    <col min="1281" max="1281" width="5.453125" style="28" customWidth="1"/>
    <col min="1282" max="1282" width="42.81640625" style="28" customWidth="1"/>
    <col min="1283" max="1283" width="7.26953125" style="28" customWidth="1"/>
    <col min="1284" max="1284" width="20.26953125" style="28" customWidth="1"/>
    <col min="1285" max="1285" width="14.54296875" style="28" customWidth="1"/>
    <col min="1286" max="1286" width="11.7265625" style="28" customWidth="1"/>
    <col min="1287" max="1287" width="17.54296875" style="28" customWidth="1"/>
    <col min="1288" max="1288" width="8.26953125" style="28" customWidth="1"/>
    <col min="1289" max="1289" width="16.26953125" style="28" customWidth="1"/>
    <col min="1290" max="1290" width="8.54296875" style="28" customWidth="1"/>
    <col min="1291" max="1291" width="18.54296875" style="28" customWidth="1"/>
    <col min="1292" max="1536" width="9.26953125" style="28"/>
    <col min="1537" max="1537" width="5.453125" style="28" customWidth="1"/>
    <col min="1538" max="1538" width="42.81640625" style="28" customWidth="1"/>
    <col min="1539" max="1539" width="7.26953125" style="28" customWidth="1"/>
    <col min="1540" max="1540" width="20.26953125" style="28" customWidth="1"/>
    <col min="1541" max="1541" width="14.54296875" style="28" customWidth="1"/>
    <col min="1542" max="1542" width="11.7265625" style="28" customWidth="1"/>
    <col min="1543" max="1543" width="17.54296875" style="28" customWidth="1"/>
    <col min="1544" max="1544" width="8.26953125" style="28" customWidth="1"/>
    <col min="1545" max="1545" width="16.26953125" style="28" customWidth="1"/>
    <col min="1546" max="1546" width="8.54296875" style="28" customWidth="1"/>
    <col min="1547" max="1547" width="18.54296875" style="28" customWidth="1"/>
    <col min="1548" max="1792" width="9.26953125" style="28"/>
    <col min="1793" max="1793" width="5.453125" style="28" customWidth="1"/>
    <col min="1794" max="1794" width="42.81640625" style="28" customWidth="1"/>
    <col min="1795" max="1795" width="7.26953125" style="28" customWidth="1"/>
    <col min="1796" max="1796" width="20.26953125" style="28" customWidth="1"/>
    <col min="1797" max="1797" width="14.54296875" style="28" customWidth="1"/>
    <col min="1798" max="1798" width="11.7265625" style="28" customWidth="1"/>
    <col min="1799" max="1799" width="17.54296875" style="28" customWidth="1"/>
    <col min="1800" max="1800" width="8.26953125" style="28" customWidth="1"/>
    <col min="1801" max="1801" width="16.26953125" style="28" customWidth="1"/>
    <col min="1802" max="1802" width="8.54296875" style="28" customWidth="1"/>
    <col min="1803" max="1803" width="18.54296875" style="28" customWidth="1"/>
    <col min="1804" max="2048" width="9.26953125" style="28"/>
    <col min="2049" max="2049" width="5.453125" style="28" customWidth="1"/>
    <col min="2050" max="2050" width="42.81640625" style="28" customWidth="1"/>
    <col min="2051" max="2051" width="7.26953125" style="28" customWidth="1"/>
    <col min="2052" max="2052" width="20.26953125" style="28" customWidth="1"/>
    <col min="2053" max="2053" width="14.54296875" style="28" customWidth="1"/>
    <col min="2054" max="2054" width="11.7265625" style="28" customWidth="1"/>
    <col min="2055" max="2055" width="17.54296875" style="28" customWidth="1"/>
    <col min="2056" max="2056" width="8.26953125" style="28" customWidth="1"/>
    <col min="2057" max="2057" width="16.26953125" style="28" customWidth="1"/>
    <col min="2058" max="2058" width="8.54296875" style="28" customWidth="1"/>
    <col min="2059" max="2059" width="18.54296875" style="28" customWidth="1"/>
    <col min="2060" max="2304" width="9.26953125" style="28"/>
    <col min="2305" max="2305" width="5.453125" style="28" customWidth="1"/>
    <col min="2306" max="2306" width="42.81640625" style="28" customWidth="1"/>
    <col min="2307" max="2307" width="7.26953125" style="28" customWidth="1"/>
    <col min="2308" max="2308" width="20.26953125" style="28" customWidth="1"/>
    <col min="2309" max="2309" width="14.54296875" style="28" customWidth="1"/>
    <col min="2310" max="2310" width="11.7265625" style="28" customWidth="1"/>
    <col min="2311" max="2311" width="17.54296875" style="28" customWidth="1"/>
    <col min="2312" max="2312" width="8.26953125" style="28" customWidth="1"/>
    <col min="2313" max="2313" width="16.26953125" style="28" customWidth="1"/>
    <col min="2314" max="2314" width="8.54296875" style="28" customWidth="1"/>
    <col min="2315" max="2315" width="18.54296875" style="28" customWidth="1"/>
    <col min="2316" max="2560" width="9.26953125" style="28"/>
    <col min="2561" max="2561" width="5.453125" style="28" customWidth="1"/>
    <col min="2562" max="2562" width="42.81640625" style="28" customWidth="1"/>
    <col min="2563" max="2563" width="7.26953125" style="28" customWidth="1"/>
    <col min="2564" max="2564" width="20.26953125" style="28" customWidth="1"/>
    <col min="2565" max="2565" width="14.54296875" style="28" customWidth="1"/>
    <col min="2566" max="2566" width="11.7265625" style="28" customWidth="1"/>
    <col min="2567" max="2567" width="17.54296875" style="28" customWidth="1"/>
    <col min="2568" max="2568" width="8.26953125" style="28" customWidth="1"/>
    <col min="2569" max="2569" width="16.26953125" style="28" customWidth="1"/>
    <col min="2570" max="2570" width="8.54296875" style="28" customWidth="1"/>
    <col min="2571" max="2571" width="18.54296875" style="28" customWidth="1"/>
    <col min="2572" max="2816" width="9.26953125" style="28"/>
    <col min="2817" max="2817" width="5.453125" style="28" customWidth="1"/>
    <col min="2818" max="2818" width="42.81640625" style="28" customWidth="1"/>
    <col min="2819" max="2819" width="7.26953125" style="28" customWidth="1"/>
    <col min="2820" max="2820" width="20.26953125" style="28" customWidth="1"/>
    <col min="2821" max="2821" width="14.54296875" style="28" customWidth="1"/>
    <col min="2822" max="2822" width="11.7265625" style="28" customWidth="1"/>
    <col min="2823" max="2823" width="17.54296875" style="28" customWidth="1"/>
    <col min="2824" max="2824" width="8.26953125" style="28" customWidth="1"/>
    <col min="2825" max="2825" width="16.26953125" style="28" customWidth="1"/>
    <col min="2826" max="2826" width="8.54296875" style="28" customWidth="1"/>
    <col min="2827" max="2827" width="18.54296875" style="28" customWidth="1"/>
    <col min="2828" max="3072" width="9.26953125" style="28"/>
    <col min="3073" max="3073" width="5.453125" style="28" customWidth="1"/>
    <col min="3074" max="3074" width="42.81640625" style="28" customWidth="1"/>
    <col min="3075" max="3075" width="7.26953125" style="28" customWidth="1"/>
    <col min="3076" max="3076" width="20.26953125" style="28" customWidth="1"/>
    <col min="3077" max="3077" width="14.54296875" style="28" customWidth="1"/>
    <col min="3078" max="3078" width="11.7265625" style="28" customWidth="1"/>
    <col min="3079" max="3079" width="17.54296875" style="28" customWidth="1"/>
    <col min="3080" max="3080" width="8.26953125" style="28" customWidth="1"/>
    <col min="3081" max="3081" width="16.26953125" style="28" customWidth="1"/>
    <col min="3082" max="3082" width="8.54296875" style="28" customWidth="1"/>
    <col min="3083" max="3083" width="18.54296875" style="28" customWidth="1"/>
    <col min="3084" max="3328" width="9.26953125" style="28"/>
    <col min="3329" max="3329" width="5.453125" style="28" customWidth="1"/>
    <col min="3330" max="3330" width="42.81640625" style="28" customWidth="1"/>
    <col min="3331" max="3331" width="7.26953125" style="28" customWidth="1"/>
    <col min="3332" max="3332" width="20.26953125" style="28" customWidth="1"/>
    <col min="3333" max="3333" width="14.54296875" style="28" customWidth="1"/>
    <col min="3334" max="3334" width="11.7265625" style="28" customWidth="1"/>
    <col min="3335" max="3335" width="17.54296875" style="28" customWidth="1"/>
    <col min="3336" max="3336" width="8.26953125" style="28" customWidth="1"/>
    <col min="3337" max="3337" width="16.26953125" style="28" customWidth="1"/>
    <col min="3338" max="3338" width="8.54296875" style="28" customWidth="1"/>
    <col min="3339" max="3339" width="18.54296875" style="28" customWidth="1"/>
    <col min="3340" max="3584" width="9.26953125" style="28"/>
    <col min="3585" max="3585" width="5.453125" style="28" customWidth="1"/>
    <col min="3586" max="3586" width="42.81640625" style="28" customWidth="1"/>
    <col min="3587" max="3587" width="7.26953125" style="28" customWidth="1"/>
    <col min="3588" max="3588" width="20.26953125" style="28" customWidth="1"/>
    <col min="3589" max="3589" width="14.54296875" style="28" customWidth="1"/>
    <col min="3590" max="3590" width="11.7265625" style="28" customWidth="1"/>
    <col min="3591" max="3591" width="17.54296875" style="28" customWidth="1"/>
    <col min="3592" max="3592" width="8.26953125" style="28" customWidth="1"/>
    <col min="3593" max="3593" width="16.26953125" style="28" customWidth="1"/>
    <col min="3594" max="3594" width="8.54296875" style="28" customWidth="1"/>
    <col min="3595" max="3595" width="18.54296875" style="28" customWidth="1"/>
    <col min="3596" max="3840" width="9.26953125" style="28"/>
    <col min="3841" max="3841" width="5.453125" style="28" customWidth="1"/>
    <col min="3842" max="3842" width="42.81640625" style="28" customWidth="1"/>
    <col min="3843" max="3843" width="7.26953125" style="28" customWidth="1"/>
    <col min="3844" max="3844" width="20.26953125" style="28" customWidth="1"/>
    <col min="3845" max="3845" width="14.54296875" style="28" customWidth="1"/>
    <col min="3846" max="3846" width="11.7265625" style="28" customWidth="1"/>
    <col min="3847" max="3847" width="17.54296875" style="28" customWidth="1"/>
    <col min="3848" max="3848" width="8.26953125" style="28" customWidth="1"/>
    <col min="3849" max="3849" width="16.26953125" style="28" customWidth="1"/>
    <col min="3850" max="3850" width="8.54296875" style="28" customWidth="1"/>
    <col min="3851" max="3851" width="18.54296875" style="28" customWidth="1"/>
    <col min="3852" max="4096" width="9.26953125" style="28"/>
    <col min="4097" max="4097" width="5.453125" style="28" customWidth="1"/>
    <col min="4098" max="4098" width="42.81640625" style="28" customWidth="1"/>
    <col min="4099" max="4099" width="7.26953125" style="28" customWidth="1"/>
    <col min="4100" max="4100" width="20.26953125" style="28" customWidth="1"/>
    <col min="4101" max="4101" width="14.54296875" style="28" customWidth="1"/>
    <col min="4102" max="4102" width="11.7265625" style="28" customWidth="1"/>
    <col min="4103" max="4103" width="17.54296875" style="28" customWidth="1"/>
    <col min="4104" max="4104" width="8.26953125" style="28" customWidth="1"/>
    <col min="4105" max="4105" width="16.26953125" style="28" customWidth="1"/>
    <col min="4106" max="4106" width="8.54296875" style="28" customWidth="1"/>
    <col min="4107" max="4107" width="18.54296875" style="28" customWidth="1"/>
    <col min="4108" max="4352" width="9.26953125" style="28"/>
    <col min="4353" max="4353" width="5.453125" style="28" customWidth="1"/>
    <col min="4354" max="4354" width="42.81640625" style="28" customWidth="1"/>
    <col min="4355" max="4355" width="7.26953125" style="28" customWidth="1"/>
    <col min="4356" max="4356" width="20.26953125" style="28" customWidth="1"/>
    <col min="4357" max="4357" width="14.54296875" style="28" customWidth="1"/>
    <col min="4358" max="4358" width="11.7265625" style="28" customWidth="1"/>
    <col min="4359" max="4359" width="17.54296875" style="28" customWidth="1"/>
    <col min="4360" max="4360" width="8.26953125" style="28" customWidth="1"/>
    <col min="4361" max="4361" width="16.26953125" style="28" customWidth="1"/>
    <col min="4362" max="4362" width="8.54296875" style="28" customWidth="1"/>
    <col min="4363" max="4363" width="18.54296875" style="28" customWidth="1"/>
    <col min="4364" max="4608" width="9.26953125" style="28"/>
    <col min="4609" max="4609" width="5.453125" style="28" customWidth="1"/>
    <col min="4610" max="4610" width="42.81640625" style="28" customWidth="1"/>
    <col min="4611" max="4611" width="7.26953125" style="28" customWidth="1"/>
    <col min="4612" max="4612" width="20.26953125" style="28" customWidth="1"/>
    <col min="4613" max="4613" width="14.54296875" style="28" customWidth="1"/>
    <col min="4614" max="4614" width="11.7265625" style="28" customWidth="1"/>
    <col min="4615" max="4615" width="17.54296875" style="28" customWidth="1"/>
    <col min="4616" max="4616" width="8.26953125" style="28" customWidth="1"/>
    <col min="4617" max="4617" width="16.26953125" style="28" customWidth="1"/>
    <col min="4618" max="4618" width="8.54296875" style="28" customWidth="1"/>
    <col min="4619" max="4619" width="18.54296875" style="28" customWidth="1"/>
    <col min="4620" max="4864" width="9.26953125" style="28"/>
    <col min="4865" max="4865" width="5.453125" style="28" customWidth="1"/>
    <col min="4866" max="4866" width="42.81640625" style="28" customWidth="1"/>
    <col min="4867" max="4867" width="7.26953125" style="28" customWidth="1"/>
    <col min="4868" max="4868" width="20.26953125" style="28" customWidth="1"/>
    <col min="4869" max="4869" width="14.54296875" style="28" customWidth="1"/>
    <col min="4870" max="4870" width="11.7265625" style="28" customWidth="1"/>
    <col min="4871" max="4871" width="17.54296875" style="28" customWidth="1"/>
    <col min="4872" max="4872" width="8.26953125" style="28" customWidth="1"/>
    <col min="4873" max="4873" width="16.26953125" style="28" customWidth="1"/>
    <col min="4874" max="4874" width="8.54296875" style="28" customWidth="1"/>
    <col min="4875" max="4875" width="18.54296875" style="28" customWidth="1"/>
    <col min="4876" max="5120" width="9.26953125" style="28"/>
    <col min="5121" max="5121" width="5.453125" style="28" customWidth="1"/>
    <col min="5122" max="5122" width="42.81640625" style="28" customWidth="1"/>
    <col min="5123" max="5123" width="7.26953125" style="28" customWidth="1"/>
    <col min="5124" max="5124" width="20.26953125" style="28" customWidth="1"/>
    <col min="5125" max="5125" width="14.54296875" style="28" customWidth="1"/>
    <col min="5126" max="5126" width="11.7265625" style="28" customWidth="1"/>
    <col min="5127" max="5127" width="17.54296875" style="28" customWidth="1"/>
    <col min="5128" max="5128" width="8.26953125" style="28" customWidth="1"/>
    <col min="5129" max="5129" width="16.26953125" style="28" customWidth="1"/>
    <col min="5130" max="5130" width="8.54296875" style="28" customWidth="1"/>
    <col min="5131" max="5131" width="18.54296875" style="28" customWidth="1"/>
    <col min="5132" max="5376" width="9.26953125" style="28"/>
    <col min="5377" max="5377" width="5.453125" style="28" customWidth="1"/>
    <col min="5378" max="5378" width="42.81640625" style="28" customWidth="1"/>
    <col min="5379" max="5379" width="7.26953125" style="28" customWidth="1"/>
    <col min="5380" max="5380" width="20.26953125" style="28" customWidth="1"/>
    <col min="5381" max="5381" width="14.54296875" style="28" customWidth="1"/>
    <col min="5382" max="5382" width="11.7265625" style="28" customWidth="1"/>
    <col min="5383" max="5383" width="17.54296875" style="28" customWidth="1"/>
    <col min="5384" max="5384" width="8.26953125" style="28" customWidth="1"/>
    <col min="5385" max="5385" width="16.26953125" style="28" customWidth="1"/>
    <col min="5386" max="5386" width="8.54296875" style="28" customWidth="1"/>
    <col min="5387" max="5387" width="18.54296875" style="28" customWidth="1"/>
    <col min="5388" max="5632" width="9.26953125" style="28"/>
    <col min="5633" max="5633" width="5.453125" style="28" customWidth="1"/>
    <col min="5634" max="5634" width="42.81640625" style="28" customWidth="1"/>
    <col min="5635" max="5635" width="7.26953125" style="28" customWidth="1"/>
    <col min="5636" max="5636" width="20.26953125" style="28" customWidth="1"/>
    <col min="5637" max="5637" width="14.54296875" style="28" customWidth="1"/>
    <col min="5638" max="5638" width="11.7265625" style="28" customWidth="1"/>
    <col min="5639" max="5639" width="17.54296875" style="28" customWidth="1"/>
    <col min="5640" max="5640" width="8.26953125" style="28" customWidth="1"/>
    <col min="5641" max="5641" width="16.26953125" style="28" customWidth="1"/>
    <col min="5642" max="5642" width="8.54296875" style="28" customWidth="1"/>
    <col min="5643" max="5643" width="18.54296875" style="28" customWidth="1"/>
    <col min="5644" max="5888" width="9.26953125" style="28"/>
    <col min="5889" max="5889" width="5.453125" style="28" customWidth="1"/>
    <col min="5890" max="5890" width="42.81640625" style="28" customWidth="1"/>
    <col min="5891" max="5891" width="7.26953125" style="28" customWidth="1"/>
    <col min="5892" max="5892" width="20.26953125" style="28" customWidth="1"/>
    <col min="5893" max="5893" width="14.54296875" style="28" customWidth="1"/>
    <col min="5894" max="5894" width="11.7265625" style="28" customWidth="1"/>
    <col min="5895" max="5895" width="17.54296875" style="28" customWidth="1"/>
    <col min="5896" max="5896" width="8.26953125" style="28" customWidth="1"/>
    <col min="5897" max="5897" width="16.26953125" style="28" customWidth="1"/>
    <col min="5898" max="5898" width="8.54296875" style="28" customWidth="1"/>
    <col min="5899" max="5899" width="18.54296875" style="28" customWidth="1"/>
    <col min="5900" max="6144" width="9.26953125" style="28"/>
    <col min="6145" max="6145" width="5.453125" style="28" customWidth="1"/>
    <col min="6146" max="6146" width="42.81640625" style="28" customWidth="1"/>
    <col min="6147" max="6147" width="7.26953125" style="28" customWidth="1"/>
    <col min="6148" max="6148" width="20.26953125" style="28" customWidth="1"/>
    <col min="6149" max="6149" width="14.54296875" style="28" customWidth="1"/>
    <col min="6150" max="6150" width="11.7265625" style="28" customWidth="1"/>
    <col min="6151" max="6151" width="17.54296875" style="28" customWidth="1"/>
    <col min="6152" max="6152" width="8.26953125" style="28" customWidth="1"/>
    <col min="6153" max="6153" width="16.26953125" style="28" customWidth="1"/>
    <col min="6154" max="6154" width="8.54296875" style="28" customWidth="1"/>
    <col min="6155" max="6155" width="18.54296875" style="28" customWidth="1"/>
    <col min="6156" max="6400" width="9.26953125" style="28"/>
    <col min="6401" max="6401" width="5.453125" style="28" customWidth="1"/>
    <col min="6402" max="6402" width="42.81640625" style="28" customWidth="1"/>
    <col min="6403" max="6403" width="7.26953125" style="28" customWidth="1"/>
    <col min="6404" max="6404" width="20.26953125" style="28" customWidth="1"/>
    <col min="6405" max="6405" width="14.54296875" style="28" customWidth="1"/>
    <col min="6406" max="6406" width="11.7265625" style="28" customWidth="1"/>
    <col min="6407" max="6407" width="17.54296875" style="28" customWidth="1"/>
    <col min="6408" max="6408" width="8.26953125" style="28" customWidth="1"/>
    <col min="6409" max="6409" width="16.26953125" style="28" customWidth="1"/>
    <col min="6410" max="6410" width="8.54296875" style="28" customWidth="1"/>
    <col min="6411" max="6411" width="18.54296875" style="28" customWidth="1"/>
    <col min="6412" max="6656" width="9.26953125" style="28"/>
    <col min="6657" max="6657" width="5.453125" style="28" customWidth="1"/>
    <col min="6658" max="6658" width="42.81640625" style="28" customWidth="1"/>
    <col min="6659" max="6659" width="7.26953125" style="28" customWidth="1"/>
    <col min="6660" max="6660" width="20.26953125" style="28" customWidth="1"/>
    <col min="6661" max="6661" width="14.54296875" style="28" customWidth="1"/>
    <col min="6662" max="6662" width="11.7265625" style="28" customWidth="1"/>
    <col min="6663" max="6663" width="17.54296875" style="28" customWidth="1"/>
    <col min="6664" max="6664" width="8.26953125" style="28" customWidth="1"/>
    <col min="6665" max="6665" width="16.26953125" style="28" customWidth="1"/>
    <col min="6666" max="6666" width="8.54296875" style="28" customWidth="1"/>
    <col min="6667" max="6667" width="18.54296875" style="28" customWidth="1"/>
    <col min="6668" max="6912" width="9.26953125" style="28"/>
    <col min="6913" max="6913" width="5.453125" style="28" customWidth="1"/>
    <col min="6914" max="6914" width="42.81640625" style="28" customWidth="1"/>
    <col min="6915" max="6915" width="7.26953125" style="28" customWidth="1"/>
    <col min="6916" max="6916" width="20.26953125" style="28" customWidth="1"/>
    <col min="6917" max="6917" width="14.54296875" style="28" customWidth="1"/>
    <col min="6918" max="6918" width="11.7265625" style="28" customWidth="1"/>
    <col min="6919" max="6919" width="17.54296875" style="28" customWidth="1"/>
    <col min="6920" max="6920" width="8.26953125" style="28" customWidth="1"/>
    <col min="6921" max="6921" width="16.26953125" style="28" customWidth="1"/>
    <col min="6922" max="6922" width="8.54296875" style="28" customWidth="1"/>
    <col min="6923" max="6923" width="18.54296875" style="28" customWidth="1"/>
    <col min="6924" max="7168" width="9.26953125" style="28"/>
    <col min="7169" max="7169" width="5.453125" style="28" customWidth="1"/>
    <col min="7170" max="7170" width="42.81640625" style="28" customWidth="1"/>
    <col min="7171" max="7171" width="7.26953125" style="28" customWidth="1"/>
    <col min="7172" max="7172" width="20.26953125" style="28" customWidth="1"/>
    <col min="7173" max="7173" width="14.54296875" style="28" customWidth="1"/>
    <col min="7174" max="7174" width="11.7265625" style="28" customWidth="1"/>
    <col min="7175" max="7175" width="17.54296875" style="28" customWidth="1"/>
    <col min="7176" max="7176" width="8.26953125" style="28" customWidth="1"/>
    <col min="7177" max="7177" width="16.26953125" style="28" customWidth="1"/>
    <col min="7178" max="7178" width="8.54296875" style="28" customWidth="1"/>
    <col min="7179" max="7179" width="18.54296875" style="28" customWidth="1"/>
    <col min="7180" max="7424" width="9.26953125" style="28"/>
    <col min="7425" max="7425" width="5.453125" style="28" customWidth="1"/>
    <col min="7426" max="7426" width="42.81640625" style="28" customWidth="1"/>
    <col min="7427" max="7427" width="7.26953125" style="28" customWidth="1"/>
    <col min="7428" max="7428" width="20.26953125" style="28" customWidth="1"/>
    <col min="7429" max="7429" width="14.54296875" style="28" customWidth="1"/>
    <col min="7430" max="7430" width="11.7265625" style="28" customWidth="1"/>
    <col min="7431" max="7431" width="17.54296875" style="28" customWidth="1"/>
    <col min="7432" max="7432" width="8.26953125" style="28" customWidth="1"/>
    <col min="7433" max="7433" width="16.26953125" style="28" customWidth="1"/>
    <col min="7434" max="7434" width="8.54296875" style="28" customWidth="1"/>
    <col min="7435" max="7435" width="18.54296875" style="28" customWidth="1"/>
    <col min="7436" max="7680" width="9.26953125" style="28"/>
    <col min="7681" max="7681" width="5.453125" style="28" customWidth="1"/>
    <col min="7682" max="7682" width="42.81640625" style="28" customWidth="1"/>
    <col min="7683" max="7683" width="7.26953125" style="28" customWidth="1"/>
    <col min="7684" max="7684" width="20.26953125" style="28" customWidth="1"/>
    <col min="7685" max="7685" width="14.54296875" style="28" customWidth="1"/>
    <col min="7686" max="7686" width="11.7265625" style="28" customWidth="1"/>
    <col min="7687" max="7687" width="17.54296875" style="28" customWidth="1"/>
    <col min="7688" max="7688" width="8.26953125" style="28" customWidth="1"/>
    <col min="7689" max="7689" width="16.26953125" style="28" customWidth="1"/>
    <col min="7690" max="7690" width="8.54296875" style="28" customWidth="1"/>
    <col min="7691" max="7691" width="18.54296875" style="28" customWidth="1"/>
    <col min="7692" max="7936" width="9.26953125" style="28"/>
    <col min="7937" max="7937" width="5.453125" style="28" customWidth="1"/>
    <col min="7938" max="7938" width="42.81640625" style="28" customWidth="1"/>
    <col min="7939" max="7939" width="7.26953125" style="28" customWidth="1"/>
    <col min="7940" max="7940" width="20.26953125" style="28" customWidth="1"/>
    <col min="7941" max="7941" width="14.54296875" style="28" customWidth="1"/>
    <col min="7942" max="7942" width="11.7265625" style="28" customWidth="1"/>
    <col min="7943" max="7943" width="17.54296875" style="28" customWidth="1"/>
    <col min="7944" max="7944" width="8.26953125" style="28" customWidth="1"/>
    <col min="7945" max="7945" width="16.26953125" style="28" customWidth="1"/>
    <col min="7946" max="7946" width="8.54296875" style="28" customWidth="1"/>
    <col min="7947" max="7947" width="18.54296875" style="28" customWidth="1"/>
    <col min="7948" max="8192" width="9.26953125" style="28"/>
    <col min="8193" max="8193" width="5.453125" style="28" customWidth="1"/>
    <col min="8194" max="8194" width="42.81640625" style="28" customWidth="1"/>
    <col min="8195" max="8195" width="7.26953125" style="28" customWidth="1"/>
    <col min="8196" max="8196" width="20.26953125" style="28" customWidth="1"/>
    <col min="8197" max="8197" width="14.54296875" style="28" customWidth="1"/>
    <col min="8198" max="8198" width="11.7265625" style="28" customWidth="1"/>
    <col min="8199" max="8199" width="17.54296875" style="28" customWidth="1"/>
    <col min="8200" max="8200" width="8.26953125" style="28" customWidth="1"/>
    <col min="8201" max="8201" width="16.26953125" style="28" customWidth="1"/>
    <col min="8202" max="8202" width="8.54296875" style="28" customWidth="1"/>
    <col min="8203" max="8203" width="18.54296875" style="28" customWidth="1"/>
    <col min="8204" max="8448" width="9.26953125" style="28"/>
    <col min="8449" max="8449" width="5.453125" style="28" customWidth="1"/>
    <col min="8450" max="8450" width="42.81640625" style="28" customWidth="1"/>
    <col min="8451" max="8451" width="7.26953125" style="28" customWidth="1"/>
    <col min="8452" max="8452" width="20.26953125" style="28" customWidth="1"/>
    <col min="8453" max="8453" width="14.54296875" style="28" customWidth="1"/>
    <col min="8454" max="8454" width="11.7265625" style="28" customWidth="1"/>
    <col min="8455" max="8455" width="17.54296875" style="28" customWidth="1"/>
    <col min="8456" max="8456" width="8.26953125" style="28" customWidth="1"/>
    <col min="8457" max="8457" width="16.26953125" style="28" customWidth="1"/>
    <col min="8458" max="8458" width="8.54296875" style="28" customWidth="1"/>
    <col min="8459" max="8459" width="18.54296875" style="28" customWidth="1"/>
    <col min="8460" max="8704" width="9.26953125" style="28"/>
    <col min="8705" max="8705" width="5.453125" style="28" customWidth="1"/>
    <col min="8706" max="8706" width="42.81640625" style="28" customWidth="1"/>
    <col min="8707" max="8707" width="7.26953125" style="28" customWidth="1"/>
    <col min="8708" max="8708" width="20.26953125" style="28" customWidth="1"/>
    <col min="8709" max="8709" width="14.54296875" style="28" customWidth="1"/>
    <col min="8710" max="8710" width="11.7265625" style="28" customWidth="1"/>
    <col min="8711" max="8711" width="17.54296875" style="28" customWidth="1"/>
    <col min="8712" max="8712" width="8.26953125" style="28" customWidth="1"/>
    <col min="8713" max="8713" width="16.26953125" style="28" customWidth="1"/>
    <col min="8714" max="8714" width="8.54296875" style="28" customWidth="1"/>
    <col min="8715" max="8715" width="18.54296875" style="28" customWidth="1"/>
    <col min="8716" max="8960" width="9.26953125" style="28"/>
    <col min="8961" max="8961" width="5.453125" style="28" customWidth="1"/>
    <col min="8962" max="8962" width="42.81640625" style="28" customWidth="1"/>
    <col min="8963" max="8963" width="7.26953125" style="28" customWidth="1"/>
    <col min="8964" max="8964" width="20.26953125" style="28" customWidth="1"/>
    <col min="8965" max="8965" width="14.54296875" style="28" customWidth="1"/>
    <col min="8966" max="8966" width="11.7265625" style="28" customWidth="1"/>
    <col min="8967" max="8967" width="17.54296875" style="28" customWidth="1"/>
    <col min="8968" max="8968" width="8.26953125" style="28" customWidth="1"/>
    <col min="8969" max="8969" width="16.26953125" style="28" customWidth="1"/>
    <col min="8970" max="8970" width="8.54296875" style="28" customWidth="1"/>
    <col min="8971" max="8971" width="18.54296875" style="28" customWidth="1"/>
    <col min="8972" max="9216" width="9.26953125" style="28"/>
    <col min="9217" max="9217" width="5.453125" style="28" customWidth="1"/>
    <col min="9218" max="9218" width="42.81640625" style="28" customWidth="1"/>
    <col min="9219" max="9219" width="7.26953125" style="28" customWidth="1"/>
    <col min="9220" max="9220" width="20.26953125" style="28" customWidth="1"/>
    <col min="9221" max="9221" width="14.54296875" style="28" customWidth="1"/>
    <col min="9222" max="9222" width="11.7265625" style="28" customWidth="1"/>
    <col min="9223" max="9223" width="17.54296875" style="28" customWidth="1"/>
    <col min="9224" max="9224" width="8.26953125" style="28" customWidth="1"/>
    <col min="9225" max="9225" width="16.26953125" style="28" customWidth="1"/>
    <col min="9226" max="9226" width="8.54296875" style="28" customWidth="1"/>
    <col min="9227" max="9227" width="18.54296875" style="28" customWidth="1"/>
    <col min="9228" max="9472" width="9.26953125" style="28"/>
    <col min="9473" max="9473" width="5.453125" style="28" customWidth="1"/>
    <col min="9474" max="9474" width="42.81640625" style="28" customWidth="1"/>
    <col min="9475" max="9475" width="7.26953125" style="28" customWidth="1"/>
    <col min="9476" max="9476" width="20.26953125" style="28" customWidth="1"/>
    <col min="9477" max="9477" width="14.54296875" style="28" customWidth="1"/>
    <col min="9478" max="9478" width="11.7265625" style="28" customWidth="1"/>
    <col min="9479" max="9479" width="17.54296875" style="28" customWidth="1"/>
    <col min="9480" max="9480" width="8.26953125" style="28" customWidth="1"/>
    <col min="9481" max="9481" width="16.26953125" style="28" customWidth="1"/>
    <col min="9482" max="9482" width="8.54296875" style="28" customWidth="1"/>
    <col min="9483" max="9483" width="18.54296875" style="28" customWidth="1"/>
    <col min="9484" max="9728" width="9.26953125" style="28"/>
    <col min="9729" max="9729" width="5.453125" style="28" customWidth="1"/>
    <col min="9730" max="9730" width="42.81640625" style="28" customWidth="1"/>
    <col min="9731" max="9731" width="7.26953125" style="28" customWidth="1"/>
    <col min="9732" max="9732" width="20.26953125" style="28" customWidth="1"/>
    <col min="9733" max="9733" width="14.54296875" style="28" customWidth="1"/>
    <col min="9734" max="9734" width="11.7265625" style="28" customWidth="1"/>
    <col min="9735" max="9735" width="17.54296875" style="28" customWidth="1"/>
    <col min="9736" max="9736" width="8.26953125" style="28" customWidth="1"/>
    <col min="9737" max="9737" width="16.26953125" style="28" customWidth="1"/>
    <col min="9738" max="9738" width="8.54296875" style="28" customWidth="1"/>
    <col min="9739" max="9739" width="18.54296875" style="28" customWidth="1"/>
    <col min="9740" max="9984" width="9.26953125" style="28"/>
    <col min="9985" max="9985" width="5.453125" style="28" customWidth="1"/>
    <col min="9986" max="9986" width="42.81640625" style="28" customWidth="1"/>
    <col min="9987" max="9987" width="7.26953125" style="28" customWidth="1"/>
    <col min="9988" max="9988" width="20.26953125" style="28" customWidth="1"/>
    <col min="9989" max="9989" width="14.54296875" style="28" customWidth="1"/>
    <col min="9990" max="9990" width="11.7265625" style="28" customWidth="1"/>
    <col min="9991" max="9991" width="17.54296875" style="28" customWidth="1"/>
    <col min="9992" max="9992" width="8.26953125" style="28" customWidth="1"/>
    <col min="9993" max="9993" width="16.26953125" style="28" customWidth="1"/>
    <col min="9994" max="9994" width="8.54296875" style="28" customWidth="1"/>
    <col min="9995" max="9995" width="18.54296875" style="28" customWidth="1"/>
    <col min="9996" max="10240" width="9.26953125" style="28"/>
    <col min="10241" max="10241" width="5.453125" style="28" customWidth="1"/>
    <col min="10242" max="10242" width="42.81640625" style="28" customWidth="1"/>
    <col min="10243" max="10243" width="7.26953125" style="28" customWidth="1"/>
    <col min="10244" max="10244" width="20.26953125" style="28" customWidth="1"/>
    <col min="10245" max="10245" width="14.54296875" style="28" customWidth="1"/>
    <col min="10246" max="10246" width="11.7265625" style="28" customWidth="1"/>
    <col min="10247" max="10247" width="17.54296875" style="28" customWidth="1"/>
    <col min="10248" max="10248" width="8.26953125" style="28" customWidth="1"/>
    <col min="10249" max="10249" width="16.26953125" style="28" customWidth="1"/>
    <col min="10250" max="10250" width="8.54296875" style="28" customWidth="1"/>
    <col min="10251" max="10251" width="18.54296875" style="28" customWidth="1"/>
    <col min="10252" max="10496" width="9.26953125" style="28"/>
    <col min="10497" max="10497" width="5.453125" style="28" customWidth="1"/>
    <col min="10498" max="10498" width="42.81640625" style="28" customWidth="1"/>
    <col min="10499" max="10499" width="7.26953125" style="28" customWidth="1"/>
    <col min="10500" max="10500" width="20.26953125" style="28" customWidth="1"/>
    <col min="10501" max="10501" width="14.54296875" style="28" customWidth="1"/>
    <col min="10502" max="10502" width="11.7265625" style="28" customWidth="1"/>
    <col min="10503" max="10503" width="17.54296875" style="28" customWidth="1"/>
    <col min="10504" max="10504" width="8.26953125" style="28" customWidth="1"/>
    <col min="10505" max="10505" width="16.26953125" style="28" customWidth="1"/>
    <col min="10506" max="10506" width="8.54296875" style="28" customWidth="1"/>
    <col min="10507" max="10507" width="18.54296875" style="28" customWidth="1"/>
    <col min="10508" max="10752" width="9.26953125" style="28"/>
    <col min="10753" max="10753" width="5.453125" style="28" customWidth="1"/>
    <col min="10754" max="10754" width="42.81640625" style="28" customWidth="1"/>
    <col min="10755" max="10755" width="7.26953125" style="28" customWidth="1"/>
    <col min="10756" max="10756" width="20.26953125" style="28" customWidth="1"/>
    <col min="10757" max="10757" width="14.54296875" style="28" customWidth="1"/>
    <col min="10758" max="10758" width="11.7265625" style="28" customWidth="1"/>
    <col min="10759" max="10759" width="17.54296875" style="28" customWidth="1"/>
    <col min="10760" max="10760" width="8.26953125" style="28" customWidth="1"/>
    <col min="10761" max="10761" width="16.26953125" style="28" customWidth="1"/>
    <col min="10762" max="10762" width="8.54296875" style="28" customWidth="1"/>
    <col min="10763" max="10763" width="18.54296875" style="28" customWidth="1"/>
    <col min="10764" max="11008" width="9.26953125" style="28"/>
    <col min="11009" max="11009" width="5.453125" style="28" customWidth="1"/>
    <col min="11010" max="11010" width="42.81640625" style="28" customWidth="1"/>
    <col min="11011" max="11011" width="7.26953125" style="28" customWidth="1"/>
    <col min="11012" max="11012" width="20.26953125" style="28" customWidth="1"/>
    <col min="11013" max="11013" width="14.54296875" style="28" customWidth="1"/>
    <col min="11014" max="11014" width="11.7265625" style="28" customWidth="1"/>
    <col min="11015" max="11015" width="17.54296875" style="28" customWidth="1"/>
    <col min="11016" max="11016" width="8.26953125" style="28" customWidth="1"/>
    <col min="11017" max="11017" width="16.26953125" style="28" customWidth="1"/>
    <col min="11018" max="11018" width="8.54296875" style="28" customWidth="1"/>
    <col min="11019" max="11019" width="18.54296875" style="28" customWidth="1"/>
    <col min="11020" max="11264" width="9.26953125" style="28"/>
    <col min="11265" max="11265" width="5.453125" style="28" customWidth="1"/>
    <col min="11266" max="11266" width="42.81640625" style="28" customWidth="1"/>
    <col min="11267" max="11267" width="7.26953125" style="28" customWidth="1"/>
    <col min="11268" max="11268" width="20.26953125" style="28" customWidth="1"/>
    <col min="11269" max="11269" width="14.54296875" style="28" customWidth="1"/>
    <col min="11270" max="11270" width="11.7265625" style="28" customWidth="1"/>
    <col min="11271" max="11271" width="17.54296875" style="28" customWidth="1"/>
    <col min="11272" max="11272" width="8.26953125" style="28" customWidth="1"/>
    <col min="11273" max="11273" width="16.26953125" style="28" customWidth="1"/>
    <col min="11274" max="11274" width="8.54296875" style="28" customWidth="1"/>
    <col min="11275" max="11275" width="18.54296875" style="28" customWidth="1"/>
    <col min="11276" max="11520" width="9.26953125" style="28"/>
    <col min="11521" max="11521" width="5.453125" style="28" customWidth="1"/>
    <col min="11522" max="11522" width="42.81640625" style="28" customWidth="1"/>
    <col min="11523" max="11523" width="7.26953125" style="28" customWidth="1"/>
    <col min="11524" max="11524" width="20.26953125" style="28" customWidth="1"/>
    <col min="11525" max="11525" width="14.54296875" style="28" customWidth="1"/>
    <col min="11526" max="11526" width="11.7265625" style="28" customWidth="1"/>
    <col min="11527" max="11527" width="17.54296875" style="28" customWidth="1"/>
    <col min="11528" max="11528" width="8.26953125" style="28" customWidth="1"/>
    <col min="11529" max="11529" width="16.26953125" style="28" customWidth="1"/>
    <col min="11530" max="11530" width="8.54296875" style="28" customWidth="1"/>
    <col min="11531" max="11531" width="18.54296875" style="28" customWidth="1"/>
    <col min="11532" max="11776" width="9.26953125" style="28"/>
    <col min="11777" max="11777" width="5.453125" style="28" customWidth="1"/>
    <col min="11778" max="11778" width="42.81640625" style="28" customWidth="1"/>
    <col min="11779" max="11779" width="7.26953125" style="28" customWidth="1"/>
    <col min="11780" max="11780" width="20.26953125" style="28" customWidth="1"/>
    <col min="11781" max="11781" width="14.54296875" style="28" customWidth="1"/>
    <col min="11782" max="11782" width="11.7265625" style="28" customWidth="1"/>
    <col min="11783" max="11783" width="17.54296875" style="28" customWidth="1"/>
    <col min="11784" max="11784" width="8.26953125" style="28" customWidth="1"/>
    <col min="11785" max="11785" width="16.26953125" style="28" customWidth="1"/>
    <col min="11786" max="11786" width="8.54296875" style="28" customWidth="1"/>
    <col min="11787" max="11787" width="18.54296875" style="28" customWidth="1"/>
    <col min="11788" max="12032" width="9.26953125" style="28"/>
    <col min="12033" max="12033" width="5.453125" style="28" customWidth="1"/>
    <col min="12034" max="12034" width="42.81640625" style="28" customWidth="1"/>
    <col min="12035" max="12035" width="7.26953125" style="28" customWidth="1"/>
    <col min="12036" max="12036" width="20.26953125" style="28" customWidth="1"/>
    <col min="12037" max="12037" width="14.54296875" style="28" customWidth="1"/>
    <col min="12038" max="12038" width="11.7265625" style="28" customWidth="1"/>
    <col min="12039" max="12039" width="17.54296875" style="28" customWidth="1"/>
    <col min="12040" max="12040" width="8.26953125" style="28" customWidth="1"/>
    <col min="12041" max="12041" width="16.26953125" style="28" customWidth="1"/>
    <col min="12042" max="12042" width="8.54296875" style="28" customWidth="1"/>
    <col min="12043" max="12043" width="18.54296875" style="28" customWidth="1"/>
    <col min="12044" max="12288" width="9.26953125" style="28"/>
    <col min="12289" max="12289" width="5.453125" style="28" customWidth="1"/>
    <col min="12290" max="12290" width="42.81640625" style="28" customWidth="1"/>
    <col min="12291" max="12291" width="7.26953125" style="28" customWidth="1"/>
    <col min="12292" max="12292" width="20.26953125" style="28" customWidth="1"/>
    <col min="12293" max="12293" width="14.54296875" style="28" customWidth="1"/>
    <col min="12294" max="12294" width="11.7265625" style="28" customWidth="1"/>
    <col min="12295" max="12295" width="17.54296875" style="28" customWidth="1"/>
    <col min="12296" max="12296" width="8.26953125" style="28" customWidth="1"/>
    <col min="12297" max="12297" width="16.26953125" style="28" customWidth="1"/>
    <col min="12298" max="12298" width="8.54296875" style="28" customWidth="1"/>
    <col min="12299" max="12299" width="18.54296875" style="28" customWidth="1"/>
    <col min="12300" max="12544" width="9.26953125" style="28"/>
    <col min="12545" max="12545" width="5.453125" style="28" customWidth="1"/>
    <col min="12546" max="12546" width="42.81640625" style="28" customWidth="1"/>
    <col min="12547" max="12547" width="7.26953125" style="28" customWidth="1"/>
    <col min="12548" max="12548" width="20.26953125" style="28" customWidth="1"/>
    <col min="12549" max="12549" width="14.54296875" style="28" customWidth="1"/>
    <col min="12550" max="12550" width="11.7265625" style="28" customWidth="1"/>
    <col min="12551" max="12551" width="17.54296875" style="28" customWidth="1"/>
    <col min="12552" max="12552" width="8.26953125" style="28" customWidth="1"/>
    <col min="12553" max="12553" width="16.26953125" style="28" customWidth="1"/>
    <col min="12554" max="12554" width="8.54296875" style="28" customWidth="1"/>
    <col min="12555" max="12555" width="18.54296875" style="28" customWidth="1"/>
    <col min="12556" max="12800" width="9.26953125" style="28"/>
    <col min="12801" max="12801" width="5.453125" style="28" customWidth="1"/>
    <col min="12802" max="12802" width="42.81640625" style="28" customWidth="1"/>
    <col min="12803" max="12803" width="7.26953125" style="28" customWidth="1"/>
    <col min="12804" max="12804" width="20.26953125" style="28" customWidth="1"/>
    <col min="12805" max="12805" width="14.54296875" style="28" customWidth="1"/>
    <col min="12806" max="12806" width="11.7265625" style="28" customWidth="1"/>
    <col min="12807" max="12807" width="17.54296875" style="28" customWidth="1"/>
    <col min="12808" max="12808" width="8.26953125" style="28" customWidth="1"/>
    <col min="12809" max="12809" width="16.26953125" style="28" customWidth="1"/>
    <col min="12810" max="12810" width="8.54296875" style="28" customWidth="1"/>
    <col min="12811" max="12811" width="18.54296875" style="28" customWidth="1"/>
    <col min="12812" max="13056" width="9.26953125" style="28"/>
    <col min="13057" max="13057" width="5.453125" style="28" customWidth="1"/>
    <col min="13058" max="13058" width="42.81640625" style="28" customWidth="1"/>
    <col min="13059" max="13059" width="7.26953125" style="28" customWidth="1"/>
    <col min="13060" max="13060" width="20.26953125" style="28" customWidth="1"/>
    <col min="13061" max="13061" width="14.54296875" style="28" customWidth="1"/>
    <col min="13062" max="13062" width="11.7265625" style="28" customWidth="1"/>
    <col min="13063" max="13063" width="17.54296875" style="28" customWidth="1"/>
    <col min="13064" max="13064" width="8.26953125" style="28" customWidth="1"/>
    <col min="13065" max="13065" width="16.26953125" style="28" customWidth="1"/>
    <col min="13066" max="13066" width="8.54296875" style="28" customWidth="1"/>
    <col min="13067" max="13067" width="18.54296875" style="28" customWidth="1"/>
    <col min="13068" max="13312" width="9.26953125" style="28"/>
    <col min="13313" max="13313" width="5.453125" style="28" customWidth="1"/>
    <col min="13314" max="13314" width="42.81640625" style="28" customWidth="1"/>
    <col min="13315" max="13315" width="7.26953125" style="28" customWidth="1"/>
    <col min="13316" max="13316" width="20.26953125" style="28" customWidth="1"/>
    <col min="13317" max="13317" width="14.54296875" style="28" customWidth="1"/>
    <col min="13318" max="13318" width="11.7265625" style="28" customWidth="1"/>
    <col min="13319" max="13319" width="17.54296875" style="28" customWidth="1"/>
    <col min="13320" max="13320" width="8.26953125" style="28" customWidth="1"/>
    <col min="13321" max="13321" width="16.26953125" style="28" customWidth="1"/>
    <col min="13322" max="13322" width="8.54296875" style="28" customWidth="1"/>
    <col min="13323" max="13323" width="18.54296875" style="28" customWidth="1"/>
    <col min="13324" max="13568" width="9.26953125" style="28"/>
    <col min="13569" max="13569" width="5.453125" style="28" customWidth="1"/>
    <col min="13570" max="13570" width="42.81640625" style="28" customWidth="1"/>
    <col min="13571" max="13571" width="7.26953125" style="28" customWidth="1"/>
    <col min="13572" max="13572" width="20.26953125" style="28" customWidth="1"/>
    <col min="13573" max="13573" width="14.54296875" style="28" customWidth="1"/>
    <col min="13574" max="13574" width="11.7265625" style="28" customWidth="1"/>
    <col min="13575" max="13575" width="17.54296875" style="28" customWidth="1"/>
    <col min="13576" max="13576" width="8.26953125" style="28" customWidth="1"/>
    <col min="13577" max="13577" width="16.26953125" style="28" customWidth="1"/>
    <col min="13578" max="13578" width="8.54296875" style="28" customWidth="1"/>
    <col min="13579" max="13579" width="18.54296875" style="28" customWidth="1"/>
    <col min="13580" max="13824" width="9.26953125" style="28"/>
    <col min="13825" max="13825" width="5.453125" style="28" customWidth="1"/>
    <col min="13826" max="13826" width="42.81640625" style="28" customWidth="1"/>
    <col min="13827" max="13827" width="7.26953125" style="28" customWidth="1"/>
    <col min="13828" max="13828" width="20.26953125" style="28" customWidth="1"/>
    <col min="13829" max="13829" width="14.54296875" style="28" customWidth="1"/>
    <col min="13830" max="13830" width="11.7265625" style="28" customWidth="1"/>
    <col min="13831" max="13831" width="17.54296875" style="28" customWidth="1"/>
    <col min="13832" max="13832" width="8.26953125" style="28" customWidth="1"/>
    <col min="13833" max="13833" width="16.26953125" style="28" customWidth="1"/>
    <col min="13834" max="13834" width="8.54296875" style="28" customWidth="1"/>
    <col min="13835" max="13835" width="18.54296875" style="28" customWidth="1"/>
    <col min="13836" max="14080" width="9.26953125" style="28"/>
    <col min="14081" max="14081" width="5.453125" style="28" customWidth="1"/>
    <col min="14082" max="14082" width="42.81640625" style="28" customWidth="1"/>
    <col min="14083" max="14083" width="7.26953125" style="28" customWidth="1"/>
    <col min="14084" max="14084" width="20.26953125" style="28" customWidth="1"/>
    <col min="14085" max="14085" width="14.54296875" style="28" customWidth="1"/>
    <col min="14086" max="14086" width="11.7265625" style="28" customWidth="1"/>
    <col min="14087" max="14087" width="17.54296875" style="28" customWidth="1"/>
    <col min="14088" max="14088" width="8.26953125" style="28" customWidth="1"/>
    <col min="14089" max="14089" width="16.26953125" style="28" customWidth="1"/>
    <col min="14090" max="14090" width="8.54296875" style="28" customWidth="1"/>
    <col min="14091" max="14091" width="18.54296875" style="28" customWidth="1"/>
    <col min="14092" max="14336" width="9.26953125" style="28"/>
    <col min="14337" max="14337" width="5.453125" style="28" customWidth="1"/>
    <col min="14338" max="14338" width="42.81640625" style="28" customWidth="1"/>
    <col min="14339" max="14339" width="7.26953125" style="28" customWidth="1"/>
    <col min="14340" max="14340" width="20.26953125" style="28" customWidth="1"/>
    <col min="14341" max="14341" width="14.54296875" style="28" customWidth="1"/>
    <col min="14342" max="14342" width="11.7265625" style="28" customWidth="1"/>
    <col min="14343" max="14343" width="17.54296875" style="28" customWidth="1"/>
    <col min="14344" max="14344" width="8.26953125" style="28" customWidth="1"/>
    <col min="14345" max="14345" width="16.26953125" style="28" customWidth="1"/>
    <col min="14346" max="14346" width="8.54296875" style="28" customWidth="1"/>
    <col min="14347" max="14347" width="18.54296875" style="28" customWidth="1"/>
    <col min="14348" max="14592" width="9.26953125" style="28"/>
    <col min="14593" max="14593" width="5.453125" style="28" customWidth="1"/>
    <col min="14594" max="14594" width="42.81640625" style="28" customWidth="1"/>
    <col min="14595" max="14595" width="7.26953125" style="28" customWidth="1"/>
    <col min="14596" max="14596" width="20.26953125" style="28" customWidth="1"/>
    <col min="14597" max="14597" width="14.54296875" style="28" customWidth="1"/>
    <col min="14598" max="14598" width="11.7265625" style="28" customWidth="1"/>
    <col min="14599" max="14599" width="17.54296875" style="28" customWidth="1"/>
    <col min="14600" max="14600" width="8.26953125" style="28" customWidth="1"/>
    <col min="14601" max="14601" width="16.26953125" style="28" customWidth="1"/>
    <col min="14602" max="14602" width="8.54296875" style="28" customWidth="1"/>
    <col min="14603" max="14603" width="18.54296875" style="28" customWidth="1"/>
    <col min="14604" max="14848" width="9.26953125" style="28"/>
    <col min="14849" max="14849" width="5.453125" style="28" customWidth="1"/>
    <col min="14850" max="14850" width="42.81640625" style="28" customWidth="1"/>
    <col min="14851" max="14851" width="7.26953125" style="28" customWidth="1"/>
    <col min="14852" max="14852" width="20.26953125" style="28" customWidth="1"/>
    <col min="14853" max="14853" width="14.54296875" style="28" customWidth="1"/>
    <col min="14854" max="14854" width="11.7265625" style="28" customWidth="1"/>
    <col min="14855" max="14855" width="17.54296875" style="28" customWidth="1"/>
    <col min="14856" max="14856" width="8.26953125" style="28" customWidth="1"/>
    <col min="14857" max="14857" width="16.26953125" style="28" customWidth="1"/>
    <col min="14858" max="14858" width="8.54296875" style="28" customWidth="1"/>
    <col min="14859" max="14859" width="18.54296875" style="28" customWidth="1"/>
    <col min="14860" max="15104" width="9.26953125" style="28"/>
    <col min="15105" max="15105" width="5.453125" style="28" customWidth="1"/>
    <col min="15106" max="15106" width="42.81640625" style="28" customWidth="1"/>
    <col min="15107" max="15107" width="7.26953125" style="28" customWidth="1"/>
    <col min="15108" max="15108" width="20.26953125" style="28" customWidth="1"/>
    <col min="15109" max="15109" width="14.54296875" style="28" customWidth="1"/>
    <col min="15110" max="15110" width="11.7265625" style="28" customWidth="1"/>
    <col min="15111" max="15111" width="17.54296875" style="28" customWidth="1"/>
    <col min="15112" max="15112" width="8.26953125" style="28" customWidth="1"/>
    <col min="15113" max="15113" width="16.26953125" style="28" customWidth="1"/>
    <col min="15114" max="15114" width="8.54296875" style="28" customWidth="1"/>
    <col min="15115" max="15115" width="18.54296875" style="28" customWidth="1"/>
    <col min="15116" max="15360" width="9.26953125" style="28"/>
    <col min="15361" max="15361" width="5.453125" style="28" customWidth="1"/>
    <col min="15362" max="15362" width="42.81640625" style="28" customWidth="1"/>
    <col min="15363" max="15363" width="7.26953125" style="28" customWidth="1"/>
    <col min="15364" max="15364" width="20.26953125" style="28" customWidth="1"/>
    <col min="15365" max="15365" width="14.54296875" style="28" customWidth="1"/>
    <col min="15366" max="15366" width="11.7265625" style="28" customWidth="1"/>
    <col min="15367" max="15367" width="17.54296875" style="28" customWidth="1"/>
    <col min="15368" max="15368" width="8.26953125" style="28" customWidth="1"/>
    <col min="15369" max="15369" width="16.26953125" style="28" customWidth="1"/>
    <col min="15370" max="15370" width="8.54296875" style="28" customWidth="1"/>
    <col min="15371" max="15371" width="18.54296875" style="28" customWidth="1"/>
    <col min="15372" max="15616" width="9.26953125" style="28"/>
    <col min="15617" max="15617" width="5.453125" style="28" customWidth="1"/>
    <col min="15618" max="15618" width="42.81640625" style="28" customWidth="1"/>
    <col min="15619" max="15619" width="7.26953125" style="28" customWidth="1"/>
    <col min="15620" max="15620" width="20.26953125" style="28" customWidth="1"/>
    <col min="15621" max="15621" width="14.54296875" style="28" customWidth="1"/>
    <col min="15622" max="15622" width="11.7265625" style="28" customWidth="1"/>
    <col min="15623" max="15623" width="17.54296875" style="28" customWidth="1"/>
    <col min="15624" max="15624" width="8.26953125" style="28" customWidth="1"/>
    <col min="15625" max="15625" width="16.26953125" style="28" customWidth="1"/>
    <col min="15626" max="15626" width="8.54296875" style="28" customWidth="1"/>
    <col min="15627" max="15627" width="18.54296875" style="28" customWidth="1"/>
    <col min="15628" max="15872" width="9.26953125" style="28"/>
    <col min="15873" max="15873" width="5.453125" style="28" customWidth="1"/>
    <col min="15874" max="15874" width="42.81640625" style="28" customWidth="1"/>
    <col min="15875" max="15875" width="7.26953125" style="28" customWidth="1"/>
    <col min="15876" max="15876" width="20.26953125" style="28" customWidth="1"/>
    <col min="15877" max="15877" width="14.54296875" style="28" customWidth="1"/>
    <col min="15878" max="15878" width="11.7265625" style="28" customWidth="1"/>
    <col min="15879" max="15879" width="17.54296875" style="28" customWidth="1"/>
    <col min="15880" max="15880" width="8.26953125" style="28" customWidth="1"/>
    <col min="15881" max="15881" width="16.26953125" style="28" customWidth="1"/>
    <col min="15882" max="15882" width="8.54296875" style="28" customWidth="1"/>
    <col min="15883" max="15883" width="18.54296875" style="28" customWidth="1"/>
    <col min="15884" max="16128" width="9.26953125" style="28"/>
    <col min="16129" max="16129" width="5.453125" style="28" customWidth="1"/>
    <col min="16130" max="16130" width="42.81640625" style="28" customWidth="1"/>
    <col min="16131" max="16131" width="7.26953125" style="28" customWidth="1"/>
    <col min="16132" max="16132" width="20.26953125" style="28" customWidth="1"/>
    <col min="16133" max="16133" width="14.54296875" style="28" customWidth="1"/>
    <col min="16134" max="16134" width="11.7265625" style="28" customWidth="1"/>
    <col min="16135" max="16135" width="17.54296875" style="28" customWidth="1"/>
    <col min="16136" max="16136" width="8.26953125" style="28" customWidth="1"/>
    <col min="16137" max="16137" width="16.26953125" style="28" customWidth="1"/>
    <col min="16138" max="16138" width="8.54296875" style="28" customWidth="1"/>
    <col min="16139" max="16139" width="18.54296875" style="28" customWidth="1"/>
    <col min="16140" max="16384" width="9.26953125" style="28"/>
  </cols>
  <sheetData>
    <row r="1" spans="1:11" ht="24" customHeight="1">
      <c r="B1" s="29"/>
      <c r="C1" s="29"/>
      <c r="D1" s="29"/>
      <c r="E1" s="29"/>
      <c r="F1" s="29"/>
      <c r="G1" s="29"/>
      <c r="H1" s="356" t="s">
        <v>508</v>
      </c>
      <c r="I1" s="356"/>
      <c r="J1" s="356"/>
      <c r="K1" s="356"/>
    </row>
    <row r="2" spans="1:11" ht="26.25" customHeight="1">
      <c r="A2" s="357" t="s">
        <v>1053</v>
      </c>
      <c r="B2" s="357"/>
      <c r="C2" s="357"/>
      <c r="D2" s="357"/>
      <c r="E2" s="357"/>
      <c r="F2" s="357"/>
      <c r="G2" s="357"/>
      <c r="H2" s="357"/>
      <c r="I2" s="357"/>
      <c r="J2" s="357"/>
      <c r="K2" s="357"/>
    </row>
    <row r="3" spans="1:11" ht="28.5" customHeight="1">
      <c r="A3" s="358" t="s">
        <v>1054</v>
      </c>
      <c r="B3" s="358"/>
      <c r="C3" s="358"/>
      <c r="D3" s="358"/>
      <c r="E3" s="358"/>
      <c r="F3" s="358"/>
      <c r="G3" s="358"/>
      <c r="H3" s="358"/>
      <c r="I3" s="358"/>
      <c r="J3" s="358"/>
      <c r="K3" s="358"/>
    </row>
    <row r="4" spans="1:11" ht="18" customHeight="1">
      <c r="A4" s="359" t="s">
        <v>1164</v>
      </c>
      <c r="B4" s="360"/>
      <c r="C4" s="360"/>
      <c r="D4" s="360"/>
      <c r="E4" s="360"/>
      <c r="F4" s="360"/>
      <c r="G4" s="360"/>
      <c r="H4" s="360"/>
      <c r="I4" s="360"/>
      <c r="J4" s="360"/>
      <c r="K4" s="360"/>
    </row>
    <row r="5" spans="1:11">
      <c r="A5" s="30"/>
      <c r="B5" s="31"/>
      <c r="C5" s="31"/>
      <c r="D5" s="32"/>
      <c r="E5" s="32"/>
      <c r="F5" s="31"/>
      <c r="G5" s="31"/>
      <c r="H5" s="31"/>
      <c r="I5" s="31"/>
      <c r="J5" s="31"/>
      <c r="K5" s="31"/>
    </row>
    <row r="6" spans="1:11">
      <c r="A6" s="33">
        <v>1</v>
      </c>
      <c r="B6" s="34" t="s">
        <v>10</v>
      </c>
      <c r="C6" s="34" t="s">
        <v>1055</v>
      </c>
      <c r="D6" s="32"/>
      <c r="E6" s="32"/>
      <c r="F6" s="31"/>
      <c r="G6" s="31"/>
      <c r="H6" s="31"/>
      <c r="I6" s="31"/>
      <c r="J6" s="31"/>
      <c r="K6" s="31"/>
    </row>
    <row r="7" spans="1:11">
      <c r="A7" s="33"/>
      <c r="B7" s="35" t="s">
        <v>12</v>
      </c>
      <c r="C7" s="35" t="s">
        <v>13</v>
      </c>
      <c r="D7" s="36"/>
      <c r="E7" s="36"/>
      <c r="F7" s="37"/>
      <c r="G7" s="37"/>
      <c r="H7" s="37"/>
      <c r="I7" s="37"/>
      <c r="J7" s="37"/>
      <c r="K7" s="37"/>
    </row>
    <row r="8" spans="1:11" ht="12.75" customHeight="1">
      <c r="A8" s="38">
        <v>2</v>
      </c>
      <c r="B8" s="39" t="s">
        <v>385</v>
      </c>
      <c r="C8" s="40" t="s">
        <v>1056</v>
      </c>
      <c r="D8" s="40"/>
      <c r="E8" s="40"/>
      <c r="F8" s="40"/>
      <c r="G8" s="40"/>
      <c r="H8" s="40"/>
      <c r="I8" s="41"/>
      <c r="J8" s="41"/>
      <c r="K8" s="41"/>
    </row>
    <row r="9" spans="1:11" ht="12.75" customHeight="1">
      <c r="A9" s="38"/>
      <c r="B9" s="42" t="s">
        <v>1057</v>
      </c>
      <c r="C9" s="43" t="s">
        <v>822</v>
      </c>
      <c r="D9" s="44"/>
      <c r="E9" s="44"/>
      <c r="F9" s="44"/>
      <c r="G9" s="44"/>
      <c r="H9" s="44"/>
      <c r="I9" s="45"/>
      <c r="J9" s="45"/>
      <c r="K9" s="45"/>
    </row>
    <row r="10" spans="1:11" ht="12.75" customHeight="1">
      <c r="A10" s="38">
        <v>3</v>
      </c>
      <c r="B10" s="39" t="s">
        <v>5</v>
      </c>
      <c r="C10" s="40" t="s">
        <v>1058</v>
      </c>
      <c r="D10" s="40"/>
      <c r="E10" s="40"/>
      <c r="F10" s="40"/>
      <c r="G10" s="40"/>
      <c r="H10" s="40"/>
      <c r="I10" s="41"/>
      <c r="J10" s="41"/>
      <c r="K10" s="41"/>
    </row>
    <row r="11" spans="1:11" ht="12.75" customHeight="1">
      <c r="A11" s="38"/>
      <c r="B11" s="42" t="s">
        <v>1059</v>
      </c>
      <c r="C11" s="44" t="s">
        <v>1060</v>
      </c>
      <c r="D11" s="44"/>
      <c r="E11" s="44"/>
      <c r="F11" s="44"/>
      <c r="G11" s="44"/>
      <c r="H11" s="44"/>
      <c r="I11" s="41"/>
      <c r="J11" s="41"/>
      <c r="K11" s="41"/>
    </row>
    <row r="12" spans="1:11" ht="13.5" customHeight="1">
      <c r="A12" s="38">
        <v>4</v>
      </c>
      <c r="B12" s="39" t="s">
        <v>20</v>
      </c>
      <c r="C12" s="361">
        <v>44624</v>
      </c>
      <c r="D12" s="361"/>
      <c r="E12" s="40"/>
      <c r="F12" s="40"/>
      <c r="G12" s="40"/>
      <c r="H12" s="40"/>
      <c r="I12" s="46"/>
      <c r="J12" s="46"/>
      <c r="K12" s="46"/>
    </row>
    <row r="13" spans="1:11" ht="13.5" customHeight="1">
      <c r="A13" s="44"/>
      <c r="B13" s="42" t="s">
        <v>21</v>
      </c>
      <c r="C13" s="354">
        <f>+C12</f>
        <v>44624</v>
      </c>
      <c r="D13" s="354"/>
      <c r="E13" s="354"/>
      <c r="F13" s="354"/>
      <c r="G13" s="355"/>
      <c r="H13" s="355"/>
      <c r="I13" s="47"/>
      <c r="J13" s="47"/>
      <c r="K13" s="47"/>
    </row>
    <row r="14" spans="1:11">
      <c r="A14" s="48" t="s">
        <v>1061</v>
      </c>
      <c r="B14" s="48" t="s">
        <v>1062</v>
      </c>
      <c r="C14" s="49"/>
      <c r="D14" s="50"/>
      <c r="E14" s="50"/>
      <c r="F14" s="50"/>
      <c r="G14" s="51"/>
      <c r="H14" s="51"/>
      <c r="I14" s="47"/>
      <c r="J14" s="47"/>
      <c r="K14" s="47"/>
    </row>
    <row r="15" spans="1:11">
      <c r="A15" s="34" t="s">
        <v>343</v>
      </c>
      <c r="B15" s="34" t="s">
        <v>1063</v>
      </c>
      <c r="C15" s="52"/>
      <c r="D15" s="53"/>
      <c r="E15" s="53"/>
      <c r="F15" s="54"/>
      <c r="G15" s="54"/>
      <c r="H15" s="54"/>
      <c r="I15" s="54"/>
      <c r="J15" s="54"/>
      <c r="K15" s="54"/>
    </row>
    <row r="16" spans="1:11" ht="24.75" customHeight="1">
      <c r="A16" s="339" t="s">
        <v>388</v>
      </c>
      <c r="B16" s="339" t="s">
        <v>1064</v>
      </c>
      <c r="C16" s="339" t="s">
        <v>27</v>
      </c>
      <c r="D16" s="339" t="s">
        <v>1065</v>
      </c>
      <c r="E16" s="339" t="s">
        <v>1066</v>
      </c>
      <c r="F16" s="339" t="s">
        <v>1067</v>
      </c>
      <c r="G16" s="339" t="s">
        <v>1068</v>
      </c>
      <c r="H16" s="341" t="s">
        <v>1069</v>
      </c>
      <c r="I16" s="342"/>
      <c r="J16" s="341" t="s">
        <v>1070</v>
      </c>
      <c r="K16" s="342"/>
    </row>
    <row r="17" spans="1:11" ht="58.5" customHeight="1">
      <c r="A17" s="340"/>
      <c r="B17" s="340"/>
      <c r="C17" s="340"/>
      <c r="D17" s="340"/>
      <c r="E17" s="340"/>
      <c r="F17" s="340"/>
      <c r="G17" s="340"/>
      <c r="H17" s="55" t="s">
        <v>1071</v>
      </c>
      <c r="I17" s="55" t="s">
        <v>1072</v>
      </c>
      <c r="J17" s="55" t="s">
        <v>1073</v>
      </c>
      <c r="K17" s="55" t="s">
        <v>1074</v>
      </c>
    </row>
    <row r="18" spans="1:11" ht="20">
      <c r="A18" s="56">
        <v>1</v>
      </c>
      <c r="B18" s="57" t="s">
        <v>1075</v>
      </c>
      <c r="C18" s="58" t="s">
        <v>573</v>
      </c>
      <c r="D18" s="343"/>
      <c r="E18" s="344"/>
      <c r="F18" s="344"/>
      <c r="G18" s="344"/>
      <c r="H18" s="344"/>
      <c r="I18" s="344"/>
      <c r="J18" s="344"/>
      <c r="K18" s="345"/>
    </row>
    <row r="19" spans="1:11" ht="20">
      <c r="A19" s="56" t="s">
        <v>31</v>
      </c>
      <c r="B19" s="57" t="s">
        <v>1076</v>
      </c>
      <c r="C19" s="58" t="s">
        <v>1077</v>
      </c>
      <c r="D19" s="346"/>
      <c r="E19" s="347"/>
      <c r="F19" s="347"/>
      <c r="G19" s="347"/>
      <c r="H19" s="347"/>
      <c r="I19" s="347"/>
      <c r="J19" s="347"/>
      <c r="K19" s="348"/>
    </row>
    <row r="20" spans="1:11" ht="20">
      <c r="A20" s="56">
        <v>2</v>
      </c>
      <c r="B20" s="57" t="s">
        <v>1078</v>
      </c>
      <c r="C20" s="58" t="s">
        <v>1079</v>
      </c>
      <c r="D20" s="346"/>
      <c r="E20" s="347"/>
      <c r="F20" s="347"/>
      <c r="G20" s="347"/>
      <c r="H20" s="347"/>
      <c r="I20" s="347"/>
      <c r="J20" s="347"/>
      <c r="K20" s="348"/>
    </row>
    <row r="21" spans="1:11" ht="20">
      <c r="A21" s="56" t="s">
        <v>121</v>
      </c>
      <c r="B21" s="57" t="s">
        <v>1080</v>
      </c>
      <c r="C21" s="58" t="s">
        <v>1081</v>
      </c>
      <c r="D21" s="346"/>
      <c r="E21" s="347"/>
      <c r="F21" s="347"/>
      <c r="G21" s="347"/>
      <c r="H21" s="347"/>
      <c r="I21" s="347"/>
      <c r="J21" s="347"/>
      <c r="K21" s="348"/>
    </row>
    <row r="22" spans="1:11" ht="20">
      <c r="A22" s="56" t="s">
        <v>1061</v>
      </c>
      <c r="B22" s="59" t="s">
        <v>1082</v>
      </c>
      <c r="C22" s="58" t="s">
        <v>1083</v>
      </c>
      <c r="D22" s="346"/>
      <c r="E22" s="347"/>
      <c r="F22" s="347"/>
      <c r="G22" s="347"/>
      <c r="H22" s="347"/>
      <c r="I22" s="347"/>
      <c r="J22" s="347"/>
      <c r="K22" s="348"/>
    </row>
    <row r="23" spans="1:11" ht="20">
      <c r="A23" s="60" t="s">
        <v>14</v>
      </c>
      <c r="B23" s="59" t="s">
        <v>1084</v>
      </c>
      <c r="C23" s="58" t="s">
        <v>1085</v>
      </c>
      <c r="D23" s="346"/>
      <c r="E23" s="347"/>
      <c r="F23" s="347"/>
      <c r="G23" s="347"/>
      <c r="H23" s="347"/>
      <c r="I23" s="347"/>
      <c r="J23" s="347"/>
      <c r="K23" s="348"/>
    </row>
    <row r="24" spans="1:11" ht="20">
      <c r="A24" s="60" t="s">
        <v>340</v>
      </c>
      <c r="B24" s="57" t="s">
        <v>1086</v>
      </c>
      <c r="C24" s="58" t="s">
        <v>1087</v>
      </c>
      <c r="D24" s="346"/>
      <c r="E24" s="347"/>
      <c r="F24" s="347"/>
      <c r="G24" s="347"/>
      <c r="H24" s="347"/>
      <c r="I24" s="347"/>
      <c r="J24" s="347"/>
      <c r="K24" s="348"/>
    </row>
    <row r="25" spans="1:11" ht="20">
      <c r="A25" s="60" t="s">
        <v>19</v>
      </c>
      <c r="B25" s="57" t="s">
        <v>1088</v>
      </c>
      <c r="C25" s="58" t="s">
        <v>1089</v>
      </c>
      <c r="D25" s="346"/>
      <c r="E25" s="347"/>
      <c r="F25" s="347"/>
      <c r="G25" s="347"/>
      <c r="H25" s="347"/>
      <c r="I25" s="347"/>
      <c r="J25" s="347"/>
      <c r="K25" s="348"/>
    </row>
    <row r="26" spans="1:11" ht="20">
      <c r="A26" s="60" t="s">
        <v>343</v>
      </c>
      <c r="B26" s="57" t="s">
        <v>1086</v>
      </c>
      <c r="C26" s="58" t="s">
        <v>1090</v>
      </c>
      <c r="D26" s="346"/>
      <c r="E26" s="347"/>
      <c r="F26" s="347"/>
      <c r="G26" s="347"/>
      <c r="H26" s="347"/>
      <c r="I26" s="347"/>
      <c r="J26" s="347"/>
      <c r="K26" s="348"/>
    </row>
    <row r="27" spans="1:11" ht="25.5" customHeight="1">
      <c r="A27" s="56" t="s">
        <v>1091</v>
      </c>
      <c r="B27" s="59" t="s">
        <v>1092</v>
      </c>
      <c r="C27" s="58" t="s">
        <v>1093</v>
      </c>
      <c r="D27" s="349"/>
      <c r="E27" s="350"/>
      <c r="F27" s="350"/>
      <c r="G27" s="350"/>
      <c r="H27" s="350"/>
      <c r="I27" s="350"/>
      <c r="J27" s="350"/>
      <c r="K27" s="351"/>
    </row>
    <row r="28" spans="1:11" ht="9" customHeight="1">
      <c r="A28" s="54"/>
      <c r="B28" s="61"/>
      <c r="C28" s="61"/>
      <c r="D28" s="54"/>
      <c r="E28" s="54"/>
      <c r="F28" s="54"/>
      <c r="G28" s="54"/>
      <c r="H28" s="54"/>
      <c r="I28" s="54"/>
      <c r="J28" s="54"/>
      <c r="K28" s="54"/>
    </row>
    <row r="29" spans="1:11">
      <c r="A29" s="352" t="s">
        <v>221</v>
      </c>
      <c r="B29" s="352"/>
      <c r="C29" s="352"/>
      <c r="E29" s="62"/>
      <c r="F29" s="63"/>
      <c r="G29" s="63"/>
      <c r="H29" s="353" t="s">
        <v>222</v>
      </c>
      <c r="I29" s="353"/>
      <c r="J29" s="353"/>
      <c r="K29" s="353"/>
    </row>
    <row r="30" spans="1:11">
      <c r="A30" s="335" t="s">
        <v>223</v>
      </c>
      <c r="B30" s="335"/>
      <c r="C30" s="335"/>
      <c r="E30" s="64"/>
      <c r="F30" s="65"/>
      <c r="G30" s="65"/>
      <c r="H30" s="337" t="s">
        <v>224</v>
      </c>
      <c r="I30" s="337"/>
      <c r="J30" s="337"/>
      <c r="K30" s="337"/>
    </row>
    <row r="31" spans="1:11" ht="36.75" customHeight="1">
      <c r="A31" s="65"/>
      <c r="B31" s="66"/>
      <c r="C31" s="67"/>
      <c r="E31" s="64"/>
      <c r="F31" s="65"/>
      <c r="G31" s="65"/>
      <c r="H31" s="68"/>
      <c r="J31" s="69"/>
      <c r="K31" s="70"/>
    </row>
    <row r="32" spans="1:11" ht="36.75" customHeight="1">
      <c r="A32" s="66"/>
      <c r="B32" s="66"/>
      <c r="C32" s="71"/>
      <c r="D32" s="72"/>
      <c r="E32" s="73"/>
      <c r="F32" s="74"/>
      <c r="G32" s="69"/>
      <c r="H32" s="69"/>
      <c r="J32" s="69"/>
      <c r="K32" s="69"/>
    </row>
    <row r="33" spans="1:11">
      <c r="A33" s="75"/>
      <c r="B33" s="75"/>
      <c r="C33" s="76"/>
      <c r="D33" s="77"/>
      <c r="E33" s="78"/>
      <c r="F33" s="74"/>
      <c r="G33" s="79"/>
      <c r="H33" s="75"/>
      <c r="I33" s="75"/>
      <c r="J33" s="76"/>
      <c r="K33" s="69"/>
    </row>
    <row r="34" spans="1:11" s="80" customFormat="1" ht="12.75" customHeight="1">
      <c r="A34" s="335" t="s">
        <v>1094</v>
      </c>
      <c r="B34" s="335"/>
      <c r="C34" s="335"/>
      <c r="E34" s="65"/>
      <c r="F34" s="65"/>
      <c r="G34" s="81"/>
      <c r="H34" s="338" t="s">
        <v>1095</v>
      </c>
      <c r="I34" s="338"/>
      <c r="J34" s="338"/>
      <c r="K34" s="338"/>
    </row>
    <row r="35" spans="1:11" s="80" customFormat="1" ht="12.75" customHeight="1">
      <c r="A35" s="335" t="s">
        <v>227</v>
      </c>
      <c r="B35" s="335"/>
      <c r="C35" s="335"/>
      <c r="E35" s="82"/>
      <c r="F35" s="83"/>
      <c r="G35" s="81"/>
      <c r="H35" s="336" t="s">
        <v>228</v>
      </c>
      <c r="I35" s="336"/>
      <c r="J35" s="336"/>
      <c r="K35" s="336"/>
    </row>
    <row r="36" spans="1:11" s="80" customFormat="1" ht="12.75" customHeight="1">
      <c r="A36" s="335" t="s">
        <v>229</v>
      </c>
      <c r="B36" s="335"/>
      <c r="C36" s="335"/>
      <c r="H36" s="336" t="s">
        <v>230</v>
      </c>
      <c r="I36" s="336"/>
      <c r="J36" s="336"/>
      <c r="K36" s="336"/>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I65"/>
  <sheetViews>
    <sheetView showGridLines="0" showZeros="0" showOutlineSymbols="0" view="pageBreakPreview" zoomScaleNormal="100" zoomScaleSheetLayoutView="100" workbookViewId="0">
      <selection activeCell="C57" sqref="C57"/>
    </sheetView>
  </sheetViews>
  <sheetFormatPr defaultColWidth="9.1796875" defaultRowHeight="10"/>
  <cols>
    <col min="1" max="1" width="4.26953125" style="155" customWidth="1"/>
    <col min="2" max="2" width="12.54296875" style="155" customWidth="1"/>
    <col min="3" max="3" width="16.26953125" style="155" customWidth="1"/>
    <col min="4" max="4" width="16.1796875" style="155" customWidth="1"/>
    <col min="5" max="5" width="9.1796875" style="155"/>
    <col min="6" max="6" width="19.26953125" style="155" customWidth="1"/>
    <col min="7" max="7" width="20.54296875" style="155" customWidth="1"/>
    <col min="8" max="8" width="9.1796875" style="155"/>
    <col min="9" max="9" width="19" style="155" bestFit="1" customWidth="1"/>
    <col min="10" max="16384" width="9.1796875" style="155"/>
  </cols>
  <sheetData>
    <row r="1" spans="1:7" ht="30.75" customHeight="1">
      <c r="A1" s="328"/>
      <c r="B1" s="328"/>
      <c r="C1" s="177"/>
      <c r="D1" s="177"/>
      <c r="E1" s="316" t="s">
        <v>508</v>
      </c>
      <c r="F1" s="316"/>
      <c r="G1" s="316"/>
    </row>
    <row r="2" spans="1:7" ht="32.25" customHeight="1">
      <c r="A2" s="324" t="s">
        <v>1</v>
      </c>
      <c r="B2" s="324"/>
      <c r="C2" s="324"/>
      <c r="D2" s="324"/>
      <c r="E2" s="324"/>
      <c r="F2" s="324"/>
      <c r="G2" s="324"/>
    </row>
    <row r="3" spans="1:7" ht="6.75" customHeight="1">
      <c r="A3" s="177"/>
      <c r="B3" s="177"/>
      <c r="C3" s="177"/>
      <c r="D3" s="177"/>
      <c r="E3" s="177"/>
      <c r="F3" s="177"/>
      <c r="G3" s="177"/>
    </row>
    <row r="4" spans="1:7" ht="24.75" customHeight="1">
      <c r="A4" s="325" t="s">
        <v>231</v>
      </c>
      <c r="B4" s="325"/>
      <c r="C4" s="325"/>
      <c r="D4" s="325"/>
      <c r="E4" s="325"/>
      <c r="F4" s="325"/>
      <c r="G4" s="325"/>
    </row>
    <row r="5" spans="1:7" ht="22.5" customHeight="1">
      <c r="A5" s="315" t="s">
        <v>3</v>
      </c>
      <c r="B5" s="315"/>
      <c r="C5" s="315"/>
      <c r="D5" s="315"/>
      <c r="E5" s="315"/>
      <c r="F5" s="315"/>
      <c r="G5" s="315"/>
    </row>
    <row r="6" spans="1:7" ht="12.75" customHeight="1">
      <c r="A6" s="154" t="s">
        <v>4</v>
      </c>
      <c r="B6" s="327" t="s">
        <v>232</v>
      </c>
      <c r="C6" s="327"/>
      <c r="D6" s="327" t="s">
        <v>6</v>
      </c>
      <c r="E6" s="327"/>
      <c r="F6" s="327"/>
      <c r="G6" s="327"/>
    </row>
    <row r="7" spans="1:7" ht="12.75" customHeight="1">
      <c r="A7" s="177"/>
      <c r="B7" s="328" t="s">
        <v>7</v>
      </c>
      <c r="C7" s="328"/>
      <c r="D7" s="328" t="s">
        <v>8</v>
      </c>
      <c r="E7" s="328"/>
      <c r="F7" s="328"/>
      <c r="G7" s="328"/>
    </row>
    <row r="8" spans="1:7" ht="12.75" customHeight="1">
      <c r="A8" s="154" t="s">
        <v>9</v>
      </c>
      <c r="B8" s="327" t="s">
        <v>10</v>
      </c>
      <c r="C8" s="327"/>
      <c r="D8" s="327" t="s">
        <v>11</v>
      </c>
      <c r="E8" s="327"/>
      <c r="F8" s="327"/>
      <c r="G8" s="327"/>
    </row>
    <row r="9" spans="1:7" ht="12.75" customHeight="1">
      <c r="A9" s="177"/>
      <c r="B9" s="328" t="s">
        <v>12</v>
      </c>
      <c r="C9" s="328"/>
      <c r="D9" s="328" t="s">
        <v>13</v>
      </c>
      <c r="E9" s="328"/>
      <c r="F9" s="328"/>
      <c r="G9" s="328"/>
    </row>
    <row r="10" spans="1:7" ht="12.75" customHeight="1">
      <c r="A10" s="154" t="s">
        <v>14</v>
      </c>
      <c r="B10" s="327" t="s">
        <v>15</v>
      </c>
      <c r="C10" s="327"/>
      <c r="D10" s="327" t="s">
        <v>16</v>
      </c>
      <c r="E10" s="327"/>
      <c r="F10" s="327"/>
      <c r="G10" s="327"/>
    </row>
    <row r="11" spans="1:7" ht="12.75" customHeight="1">
      <c r="A11" s="177"/>
      <c r="B11" s="328" t="s">
        <v>17</v>
      </c>
      <c r="C11" s="328"/>
      <c r="D11" s="328" t="s">
        <v>18</v>
      </c>
      <c r="E11" s="328"/>
      <c r="F11" s="328"/>
      <c r="G11" s="328"/>
    </row>
    <row r="12" spans="1:7" ht="12.75" customHeight="1">
      <c r="A12" s="154" t="s">
        <v>19</v>
      </c>
      <c r="B12" s="327" t="s">
        <v>20</v>
      </c>
      <c r="C12" s="327"/>
      <c r="D12" s="329">
        <v>44624</v>
      </c>
      <c r="E12" s="327"/>
      <c r="F12" s="327"/>
      <c r="G12" s="327"/>
    </row>
    <row r="13" spans="1:7" ht="12.75" customHeight="1">
      <c r="A13" s="177"/>
      <c r="B13" s="328" t="s">
        <v>21</v>
      </c>
      <c r="C13" s="328"/>
      <c r="D13" s="330">
        <v>44624</v>
      </c>
      <c r="E13" s="328"/>
      <c r="F13" s="328"/>
      <c r="G13" s="328"/>
    </row>
    <row r="14" spans="1:7" ht="9" customHeight="1">
      <c r="A14" s="177"/>
      <c r="B14" s="177"/>
      <c r="C14" s="177"/>
      <c r="D14" s="177"/>
      <c r="E14" s="368"/>
      <c r="F14" s="368"/>
      <c r="G14" s="368"/>
    </row>
    <row r="15" spans="1:7" ht="12.75" customHeight="1">
      <c r="A15" s="331" t="s">
        <v>22</v>
      </c>
      <c r="B15" s="331"/>
      <c r="C15" s="331"/>
      <c r="D15" s="331"/>
      <c r="E15" s="331"/>
      <c r="F15" s="331"/>
      <c r="G15" s="331"/>
    </row>
    <row r="16" spans="1:7" ht="12.75" customHeight="1">
      <c r="A16" s="327" t="s">
        <v>509</v>
      </c>
      <c r="B16" s="327"/>
      <c r="C16" s="327"/>
      <c r="D16" s="327"/>
      <c r="E16" s="327"/>
      <c r="F16" s="327"/>
      <c r="G16" s="327"/>
    </row>
    <row r="17" spans="1:9" ht="12.75" customHeight="1">
      <c r="A17" s="180"/>
      <c r="B17" s="187"/>
      <c r="C17" s="180"/>
      <c r="D17" s="332" t="s">
        <v>24</v>
      </c>
      <c r="E17" s="332"/>
      <c r="F17" s="332"/>
      <c r="G17" s="332"/>
    </row>
    <row r="18" spans="1:9" ht="26.5" customHeight="1">
      <c r="A18" s="137" t="s">
        <v>510</v>
      </c>
      <c r="B18" s="367" t="s">
        <v>26</v>
      </c>
      <c r="C18" s="367"/>
      <c r="D18" s="367"/>
      <c r="E18" s="138" t="s">
        <v>27</v>
      </c>
      <c r="F18" s="138" t="s">
        <v>234</v>
      </c>
      <c r="G18" s="139" t="s">
        <v>235</v>
      </c>
    </row>
    <row r="19" spans="1:9" ht="22" customHeight="1">
      <c r="A19" s="140" t="s">
        <v>31</v>
      </c>
      <c r="B19" s="362" t="s">
        <v>511</v>
      </c>
      <c r="C19" s="362"/>
      <c r="D19" s="362"/>
      <c r="E19" s="142" t="s">
        <v>512</v>
      </c>
      <c r="F19" s="143">
        <v>0</v>
      </c>
      <c r="G19" s="188">
        <v>0</v>
      </c>
    </row>
    <row r="20" spans="1:9" ht="31.5" customHeight="1">
      <c r="A20" s="140" t="s">
        <v>4</v>
      </c>
      <c r="B20" s="362" t="s">
        <v>513</v>
      </c>
      <c r="C20" s="362"/>
      <c r="D20" s="362"/>
      <c r="E20" s="142" t="s">
        <v>514</v>
      </c>
      <c r="F20" s="189">
        <v>8.0000000000000002E-3</v>
      </c>
      <c r="G20" s="144">
        <v>7.9880000000000003E-3</v>
      </c>
      <c r="I20" s="190"/>
    </row>
    <row r="21" spans="1:9" ht="31.5" customHeight="1">
      <c r="A21" s="140" t="s">
        <v>9</v>
      </c>
      <c r="B21" s="362" t="s">
        <v>515</v>
      </c>
      <c r="C21" s="362"/>
      <c r="D21" s="362"/>
      <c r="E21" s="142" t="s">
        <v>516</v>
      </c>
      <c r="F21" s="189">
        <v>7.0299999999999996E-4</v>
      </c>
      <c r="G21" s="144">
        <v>6.6299999999999996E-4</v>
      </c>
      <c r="I21" s="190"/>
    </row>
    <row r="22" spans="1:9" ht="41" customHeight="1">
      <c r="A22" s="140" t="s">
        <v>14</v>
      </c>
      <c r="B22" s="362" t="s">
        <v>518</v>
      </c>
      <c r="C22" s="362"/>
      <c r="D22" s="362"/>
      <c r="E22" s="142" t="s">
        <v>519</v>
      </c>
      <c r="F22" s="189">
        <v>1.691E-3</v>
      </c>
      <c r="G22" s="144">
        <v>1.2999999999999999E-3</v>
      </c>
      <c r="I22" s="190"/>
    </row>
    <row r="23" spans="1:9" ht="31.5" customHeight="1">
      <c r="A23" s="140" t="s">
        <v>19</v>
      </c>
      <c r="B23" s="364" t="s">
        <v>521</v>
      </c>
      <c r="C23" s="365"/>
      <c r="D23" s="366"/>
      <c r="E23" s="142" t="s">
        <v>522</v>
      </c>
      <c r="F23" s="189">
        <v>1.4E-5</v>
      </c>
      <c r="G23" s="144">
        <v>8.2000000000000001E-5</v>
      </c>
      <c r="I23" s="190"/>
    </row>
    <row r="24" spans="1:9" ht="41" customHeight="1">
      <c r="A24" s="140" t="s">
        <v>287</v>
      </c>
      <c r="B24" s="362" t="s">
        <v>523</v>
      </c>
      <c r="C24" s="362"/>
      <c r="D24" s="362"/>
      <c r="E24" s="142"/>
      <c r="F24" s="189"/>
      <c r="G24" s="144">
        <v>0</v>
      </c>
      <c r="I24" s="190"/>
    </row>
    <row r="25" spans="1:9" ht="41" customHeight="1">
      <c r="A25" s="140" t="s">
        <v>289</v>
      </c>
      <c r="B25" s="362" t="s">
        <v>524</v>
      </c>
      <c r="C25" s="362"/>
      <c r="D25" s="362"/>
      <c r="E25" s="142"/>
      <c r="F25" s="189"/>
      <c r="G25" s="144">
        <v>0</v>
      </c>
      <c r="I25" s="190"/>
    </row>
    <row r="26" spans="1:9" ht="41" customHeight="1">
      <c r="A26" s="140" t="s">
        <v>292</v>
      </c>
      <c r="B26" s="362" t="s">
        <v>525</v>
      </c>
      <c r="C26" s="362"/>
      <c r="D26" s="362"/>
      <c r="E26" s="142" t="s">
        <v>526</v>
      </c>
      <c r="F26" s="189">
        <v>1.0000000000000001E-5</v>
      </c>
      <c r="G26" s="144">
        <v>5.1E-5</v>
      </c>
      <c r="I26" s="190"/>
    </row>
    <row r="27" spans="1:9" ht="22" customHeight="1">
      <c r="A27" s="140" t="s">
        <v>301</v>
      </c>
      <c r="B27" s="362" t="s">
        <v>528</v>
      </c>
      <c r="C27" s="362"/>
      <c r="D27" s="362"/>
      <c r="E27" s="142" t="s">
        <v>529</v>
      </c>
      <c r="F27" s="189">
        <v>1.1445E-2</v>
      </c>
      <c r="G27" s="144">
        <v>1.0545000000000001E-2</v>
      </c>
      <c r="I27" s="190"/>
    </row>
    <row r="28" spans="1:9" ht="56" customHeight="1">
      <c r="A28" s="140" t="s">
        <v>314</v>
      </c>
      <c r="B28" s="362" t="s">
        <v>531</v>
      </c>
      <c r="C28" s="362"/>
      <c r="D28" s="362"/>
      <c r="E28" s="142" t="s">
        <v>532</v>
      </c>
      <c r="F28" s="189">
        <v>0.389932</v>
      </c>
      <c r="G28" s="144">
        <v>0.140318</v>
      </c>
      <c r="I28" s="190"/>
    </row>
    <row r="29" spans="1:9" ht="41.5" customHeight="1">
      <c r="A29" s="140" t="s">
        <v>321</v>
      </c>
      <c r="B29" s="362" t="s">
        <v>533</v>
      </c>
      <c r="C29" s="362"/>
      <c r="D29" s="362"/>
      <c r="E29" s="142"/>
      <c r="F29" s="145">
        <v>0</v>
      </c>
      <c r="G29" s="191">
        <v>0</v>
      </c>
      <c r="I29" s="190"/>
    </row>
    <row r="30" spans="1:9" ht="22" customHeight="1">
      <c r="A30" s="140" t="s">
        <v>121</v>
      </c>
      <c r="B30" s="362" t="s">
        <v>534</v>
      </c>
      <c r="C30" s="362"/>
      <c r="D30" s="362"/>
      <c r="E30" s="142" t="s">
        <v>535</v>
      </c>
      <c r="F30" s="143">
        <v>0</v>
      </c>
      <c r="G30" s="188">
        <v>0</v>
      </c>
      <c r="I30" s="190"/>
    </row>
    <row r="31" spans="1:9" ht="22" customHeight="1">
      <c r="A31" s="140" t="s">
        <v>4</v>
      </c>
      <c r="B31" s="362" t="s">
        <v>536</v>
      </c>
      <c r="C31" s="362"/>
      <c r="D31" s="362"/>
      <c r="E31" s="142" t="s">
        <v>537</v>
      </c>
      <c r="F31" s="192">
        <v>3111000000000</v>
      </c>
      <c r="G31" s="193">
        <v>0</v>
      </c>
      <c r="I31" s="190"/>
    </row>
    <row r="32" spans="1:9" ht="22" customHeight="1">
      <c r="A32" s="140"/>
      <c r="B32" s="362" t="s">
        <v>538</v>
      </c>
      <c r="C32" s="362"/>
      <c r="D32" s="362"/>
      <c r="E32" s="142" t="s">
        <v>539</v>
      </c>
      <c r="F32" s="192">
        <v>3111000000000</v>
      </c>
      <c r="G32" s="193">
        <v>0</v>
      </c>
      <c r="I32" s="190"/>
    </row>
    <row r="33" spans="1:9" ht="22" customHeight="1">
      <c r="A33" s="140"/>
      <c r="B33" s="362" t="s">
        <v>540</v>
      </c>
      <c r="C33" s="362"/>
      <c r="D33" s="362"/>
      <c r="E33" s="142" t="s">
        <v>541</v>
      </c>
      <c r="F33" s="192">
        <v>311100000</v>
      </c>
      <c r="G33" s="193"/>
      <c r="I33" s="190"/>
    </row>
    <row r="34" spans="1:9" ht="22" customHeight="1">
      <c r="A34" s="140" t="s">
        <v>9</v>
      </c>
      <c r="B34" s="362" t="s">
        <v>542</v>
      </c>
      <c r="C34" s="362"/>
      <c r="D34" s="362"/>
      <c r="E34" s="142" t="s">
        <v>543</v>
      </c>
      <c r="F34" s="192">
        <v>1787000000000</v>
      </c>
      <c r="G34" s="193">
        <v>3111000000000</v>
      </c>
      <c r="I34" s="190"/>
    </row>
    <row r="35" spans="1:9" ht="22" customHeight="1">
      <c r="A35" s="140"/>
      <c r="B35" s="362" t="s">
        <v>544</v>
      </c>
      <c r="C35" s="362"/>
      <c r="D35" s="362"/>
      <c r="E35" s="142" t="s">
        <v>545</v>
      </c>
      <c r="F35" s="192">
        <v>178700000</v>
      </c>
      <c r="G35" s="193">
        <v>311100000</v>
      </c>
      <c r="I35" s="190"/>
    </row>
    <row r="36" spans="1:9" ht="22" customHeight="1">
      <c r="A36" s="140"/>
      <c r="B36" s="362" t="s">
        <v>546</v>
      </c>
      <c r="C36" s="362"/>
      <c r="D36" s="362"/>
      <c r="E36" s="142" t="s">
        <v>547</v>
      </c>
      <c r="F36" s="192">
        <v>1787000000000</v>
      </c>
      <c r="G36" s="193">
        <v>3111000000000</v>
      </c>
      <c r="I36" s="190"/>
    </row>
    <row r="37" spans="1:9" ht="22" customHeight="1">
      <c r="A37" s="140"/>
      <c r="B37" s="362" t="s">
        <v>548</v>
      </c>
      <c r="C37" s="362"/>
      <c r="D37" s="362"/>
      <c r="E37" s="142" t="s">
        <v>549</v>
      </c>
      <c r="F37" s="192">
        <v>319000000</v>
      </c>
      <c r="G37" s="193">
        <v>322900000</v>
      </c>
      <c r="I37" s="190"/>
    </row>
    <row r="38" spans="1:9" ht="22" customHeight="1">
      <c r="A38" s="140"/>
      <c r="B38" s="362" t="s">
        <v>550</v>
      </c>
      <c r="C38" s="362"/>
      <c r="D38" s="362"/>
      <c r="E38" s="142" t="s">
        <v>551</v>
      </c>
      <c r="F38" s="192">
        <v>3190000000000</v>
      </c>
      <c r="G38" s="193">
        <v>3229000000000</v>
      </c>
      <c r="I38" s="190"/>
    </row>
    <row r="39" spans="1:9" ht="22" customHeight="1">
      <c r="A39" s="140"/>
      <c r="B39" s="362" t="s">
        <v>552</v>
      </c>
      <c r="C39" s="362"/>
      <c r="D39" s="362"/>
      <c r="E39" s="142" t="s">
        <v>553</v>
      </c>
      <c r="F39" s="192">
        <v>-140300000</v>
      </c>
      <c r="G39" s="193">
        <v>-11800000</v>
      </c>
      <c r="I39" s="190"/>
    </row>
    <row r="40" spans="1:9" ht="22" customHeight="1">
      <c r="A40" s="140"/>
      <c r="B40" s="362" t="s">
        <v>554</v>
      </c>
      <c r="C40" s="362"/>
      <c r="D40" s="362"/>
      <c r="E40" s="142" t="s">
        <v>555</v>
      </c>
      <c r="F40" s="192">
        <v>-1403000000000</v>
      </c>
      <c r="G40" s="193">
        <v>-118000000000</v>
      </c>
      <c r="I40" s="190"/>
    </row>
    <row r="41" spans="1:9" ht="22" customHeight="1">
      <c r="A41" s="140" t="s">
        <v>14</v>
      </c>
      <c r="B41" s="362" t="s">
        <v>556</v>
      </c>
      <c r="C41" s="362"/>
      <c r="D41" s="362"/>
      <c r="E41" s="142" t="s">
        <v>557</v>
      </c>
      <c r="F41" s="192">
        <v>4898000000000</v>
      </c>
      <c r="G41" s="193">
        <v>3111000000000</v>
      </c>
      <c r="I41" s="190"/>
    </row>
    <row r="42" spans="1:9" ht="22" customHeight="1">
      <c r="A42" s="140"/>
      <c r="B42" s="362" t="s">
        <v>558</v>
      </c>
      <c r="C42" s="362"/>
      <c r="D42" s="362"/>
      <c r="E42" s="142" t="s">
        <v>559</v>
      </c>
      <c r="F42" s="192">
        <v>4898000000000</v>
      </c>
      <c r="G42" s="193">
        <v>3111000000000</v>
      </c>
      <c r="I42" s="190"/>
    </row>
    <row r="43" spans="1:9" ht="22" customHeight="1">
      <c r="A43" s="140"/>
      <c r="B43" s="362" t="s">
        <v>560</v>
      </c>
      <c r="C43" s="362"/>
      <c r="D43" s="362"/>
      <c r="E43" s="142" t="s">
        <v>561</v>
      </c>
      <c r="F43" s="192">
        <v>489800000</v>
      </c>
      <c r="G43" s="193">
        <v>311100000</v>
      </c>
      <c r="I43" s="190"/>
    </row>
    <row r="44" spans="1:9" ht="41.25" customHeight="1">
      <c r="A44" s="140" t="s">
        <v>19</v>
      </c>
      <c r="B44" s="362" t="s">
        <v>562</v>
      </c>
      <c r="C44" s="362"/>
      <c r="D44" s="362"/>
      <c r="E44" s="142" t="s">
        <v>563</v>
      </c>
      <c r="F44" s="194">
        <v>5.3890000000000001E-5</v>
      </c>
      <c r="G44" s="195">
        <v>5.9279600000000003E-3</v>
      </c>
      <c r="I44" s="190"/>
    </row>
    <row r="45" spans="1:9" ht="21.75" customHeight="1">
      <c r="A45" s="140" t="s">
        <v>287</v>
      </c>
      <c r="B45" s="362" t="s">
        <v>564</v>
      </c>
      <c r="C45" s="362"/>
      <c r="D45" s="362"/>
      <c r="E45" s="142" t="s">
        <v>565</v>
      </c>
      <c r="F45" s="194">
        <v>0.65316585000000005</v>
      </c>
      <c r="G45" s="195">
        <v>0.70200841999999997</v>
      </c>
      <c r="I45" s="190"/>
    </row>
    <row r="46" spans="1:9" ht="21.75" customHeight="1">
      <c r="A46" s="140" t="s">
        <v>289</v>
      </c>
      <c r="B46" s="362" t="s">
        <v>566</v>
      </c>
      <c r="C46" s="362"/>
      <c r="D46" s="362"/>
      <c r="E46" s="142" t="s">
        <v>567</v>
      </c>
      <c r="F46" s="194">
        <v>0.97731574999999804</v>
      </c>
      <c r="G46" s="195">
        <v>0.98770000000000002</v>
      </c>
      <c r="I46" s="190"/>
    </row>
    <row r="47" spans="1:9" ht="25" customHeight="1">
      <c r="A47" s="140" t="s">
        <v>292</v>
      </c>
      <c r="B47" s="362" t="s">
        <v>568</v>
      </c>
      <c r="C47" s="362"/>
      <c r="D47" s="362"/>
      <c r="E47" s="142" t="s">
        <v>569</v>
      </c>
      <c r="F47" s="196">
        <v>28157.91</v>
      </c>
      <c r="G47" s="197">
        <v>16973.41</v>
      </c>
      <c r="I47" s="190"/>
    </row>
    <row r="48" spans="1:9" ht="25" customHeight="1">
      <c r="A48" s="140" t="s">
        <v>301</v>
      </c>
      <c r="B48" s="362" t="s">
        <v>570</v>
      </c>
      <c r="C48" s="362"/>
      <c r="D48" s="362"/>
      <c r="E48" s="142" t="s">
        <v>571</v>
      </c>
      <c r="F48" s="198">
        <v>28050</v>
      </c>
      <c r="G48" s="199">
        <v>17200</v>
      </c>
      <c r="I48" s="190"/>
    </row>
    <row r="49" spans="1:9" ht="25" customHeight="1">
      <c r="A49" s="147" t="s">
        <v>314</v>
      </c>
      <c r="B49" s="363" t="s">
        <v>572</v>
      </c>
      <c r="C49" s="363"/>
      <c r="D49" s="363"/>
      <c r="E49" s="149" t="s">
        <v>573</v>
      </c>
      <c r="F49" s="200">
        <v>3348</v>
      </c>
      <c r="G49" s="201">
        <v>601</v>
      </c>
      <c r="I49" s="190"/>
    </row>
    <row r="50" spans="1:9" ht="2.5" customHeight="1">
      <c r="A50" s="177"/>
      <c r="B50" s="177"/>
      <c r="C50" s="177"/>
      <c r="D50" s="177"/>
      <c r="E50" s="177"/>
      <c r="F50" s="202"/>
      <c r="G50" s="202"/>
      <c r="I50" s="190"/>
    </row>
    <row r="51" spans="1:9" ht="15.75" customHeight="1">
      <c r="A51" s="328" t="s">
        <v>574</v>
      </c>
      <c r="B51" s="328"/>
      <c r="C51" s="328"/>
      <c r="D51" s="328"/>
      <c r="E51" s="328"/>
      <c r="F51" s="328"/>
      <c r="G51" s="328"/>
    </row>
    <row r="52" spans="1:9" ht="51" customHeight="1">
      <c r="A52" s="323" t="s">
        <v>575</v>
      </c>
      <c r="B52" s="323"/>
      <c r="C52" s="323"/>
      <c r="D52" s="323"/>
      <c r="E52" s="323"/>
      <c r="F52" s="323"/>
      <c r="G52" s="323"/>
    </row>
    <row r="53" spans="1:9" ht="41.25" customHeight="1">
      <c r="A53" s="323" t="s">
        <v>576</v>
      </c>
      <c r="B53" s="323"/>
      <c r="C53" s="323"/>
      <c r="D53" s="323"/>
      <c r="E53" s="323"/>
      <c r="F53" s="323"/>
      <c r="G53" s="323"/>
    </row>
    <row r="54" spans="1:9" ht="7.5" customHeight="1">
      <c r="A54" s="177"/>
      <c r="B54" s="203"/>
      <c r="C54" s="177"/>
      <c r="D54" s="177"/>
      <c r="E54" s="177"/>
      <c r="F54" s="177"/>
      <c r="G54" s="177"/>
    </row>
    <row r="55" spans="1:9" ht="14.25" customHeight="1">
      <c r="A55" s="326" t="s">
        <v>577</v>
      </c>
      <c r="B55" s="326"/>
      <c r="C55" s="326"/>
      <c r="D55" s="326"/>
      <c r="E55" s="326" t="s">
        <v>222</v>
      </c>
      <c r="F55" s="326"/>
      <c r="G55" s="326"/>
    </row>
    <row r="56" spans="1:9" ht="12" customHeight="1">
      <c r="A56" s="315" t="s">
        <v>223</v>
      </c>
      <c r="B56" s="315"/>
      <c r="C56" s="315"/>
      <c r="D56" s="315"/>
      <c r="E56" s="315" t="s">
        <v>224</v>
      </c>
      <c r="F56" s="315"/>
      <c r="G56" s="315"/>
    </row>
    <row r="57" spans="1:9" ht="15" customHeight="1">
      <c r="A57" s="177"/>
      <c r="B57" s="177"/>
      <c r="C57" s="177"/>
      <c r="D57" s="177"/>
      <c r="E57" s="177"/>
      <c r="F57" s="177"/>
      <c r="G57" s="177"/>
    </row>
    <row r="58" spans="1:9" ht="15" customHeight="1">
      <c r="A58" s="177"/>
      <c r="B58" s="177"/>
      <c r="C58" s="177"/>
      <c r="D58" s="177"/>
      <c r="E58" s="177"/>
      <c r="F58" s="177"/>
      <c r="G58" s="177"/>
    </row>
    <row r="59" spans="1:9" ht="15.75" customHeight="1">
      <c r="A59" s="177"/>
      <c r="B59" s="177"/>
      <c r="C59" s="177"/>
      <c r="D59" s="177"/>
      <c r="E59" s="177"/>
      <c r="F59" s="177"/>
      <c r="G59" s="177"/>
    </row>
    <row r="60" spans="1:9" ht="15" customHeight="1">
      <c r="A60" s="177"/>
      <c r="B60" s="177"/>
      <c r="C60" s="177"/>
      <c r="D60" s="177"/>
      <c r="E60" s="177"/>
      <c r="F60" s="177"/>
      <c r="G60" s="177"/>
    </row>
    <row r="61" spans="1:9" ht="15.75" customHeight="1">
      <c r="A61" s="177"/>
      <c r="B61" s="177"/>
      <c r="C61" s="177"/>
      <c r="D61" s="177"/>
      <c r="E61" s="177"/>
      <c r="F61" s="177"/>
      <c r="G61" s="177"/>
    </row>
    <row r="62" spans="1:9" ht="15.75" customHeight="1">
      <c r="A62" s="177"/>
      <c r="B62" s="177"/>
      <c r="C62" s="177"/>
      <c r="D62" s="177"/>
      <c r="E62" s="177"/>
      <c r="F62" s="177"/>
      <c r="G62" s="177"/>
    </row>
    <row r="63" spans="1:9" ht="15.75" customHeight="1">
      <c r="A63" s="326" t="s">
        <v>225</v>
      </c>
      <c r="B63" s="326"/>
      <c r="C63" s="326"/>
      <c r="D63" s="326"/>
      <c r="E63" s="326" t="s">
        <v>226</v>
      </c>
      <c r="F63" s="326"/>
      <c r="G63" s="326"/>
    </row>
    <row r="64" spans="1:9" ht="15.75" customHeight="1">
      <c r="A64" s="326" t="s">
        <v>507</v>
      </c>
      <c r="B64" s="326"/>
      <c r="C64" s="326"/>
      <c r="D64" s="326"/>
      <c r="E64" s="326" t="s">
        <v>228</v>
      </c>
      <c r="F64" s="326"/>
      <c r="G64" s="326"/>
    </row>
    <row r="65" spans="1:7" ht="15.75" customHeight="1">
      <c r="A65" s="326" t="s">
        <v>229</v>
      </c>
      <c r="B65" s="326"/>
      <c r="C65" s="326"/>
      <c r="D65" s="326"/>
      <c r="E65" s="326" t="s">
        <v>230</v>
      </c>
      <c r="F65" s="326"/>
      <c r="G65" s="326"/>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E14:G14"/>
    <mergeCell ref="A15:G15"/>
    <mergeCell ref="A16:G16"/>
    <mergeCell ref="D17:G17"/>
    <mergeCell ref="B22:D22"/>
    <mergeCell ref="B18:D18"/>
    <mergeCell ref="B19:D19"/>
    <mergeCell ref="B20:D20"/>
    <mergeCell ref="B21:D21"/>
    <mergeCell ref="B27:D27"/>
    <mergeCell ref="B28:D28"/>
    <mergeCell ref="B25:D25"/>
    <mergeCell ref="B23:D23"/>
    <mergeCell ref="B24:D24"/>
    <mergeCell ref="B26:D26"/>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 right="0" top="0.58999997377395597" bottom="0.58999997377395597" header="0.5" footer="0.5"/>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N37"/>
  <sheetViews>
    <sheetView showGridLines="0" showZeros="0" tabSelected="1" showOutlineSymbols="0" view="pageBreakPreview" zoomScaleNormal="100" zoomScaleSheetLayoutView="100" workbookViewId="0">
      <selection activeCell="A5" sqref="A5:H5"/>
    </sheetView>
  </sheetViews>
  <sheetFormatPr defaultColWidth="9.1796875" defaultRowHeight="10"/>
  <cols>
    <col min="1" max="1" width="7" style="1" customWidth="1"/>
    <col min="2" max="2" width="39.1796875" style="1" customWidth="1"/>
    <col min="3" max="3" width="12.7265625" style="1" customWidth="1"/>
    <col min="4" max="6" width="20.453125" style="1" customWidth="1"/>
    <col min="7" max="8" width="9.453125" style="1" customWidth="1"/>
    <col min="9" max="9" width="10.7265625" style="1" bestFit="1" customWidth="1"/>
    <col min="10" max="10" width="18.1796875" style="95" bestFit="1" customWidth="1"/>
    <col min="11" max="11" width="18" style="95" bestFit="1" customWidth="1"/>
    <col min="12" max="12" width="9.1796875" style="95"/>
    <col min="13" max="13" width="9.1796875" style="1"/>
    <col min="14" max="14" width="18.7265625" style="1" bestFit="1" customWidth="1"/>
    <col min="15" max="16384" width="9.1796875" style="1"/>
  </cols>
  <sheetData>
    <row r="1" spans="1:8" ht="32.25" customHeight="1">
      <c r="A1" s="2"/>
      <c r="B1" s="93"/>
      <c r="C1" s="93"/>
      <c r="D1" s="93"/>
      <c r="E1" s="385" t="s">
        <v>508</v>
      </c>
      <c r="F1" s="385"/>
      <c r="G1" s="385"/>
      <c r="H1" s="385"/>
    </row>
    <row r="2" spans="1:8" ht="19.5" customHeight="1">
      <c r="A2" s="386" t="s">
        <v>1096</v>
      </c>
      <c r="B2" s="386"/>
      <c r="C2" s="386"/>
      <c r="D2" s="386"/>
      <c r="E2" s="386"/>
      <c r="F2" s="386"/>
      <c r="G2" s="386"/>
      <c r="H2" s="386"/>
    </row>
    <row r="3" spans="1:8" ht="4.5" customHeight="1">
      <c r="A3" s="2"/>
      <c r="B3" s="2"/>
      <c r="C3" s="2"/>
      <c r="D3" s="2"/>
      <c r="E3" s="2"/>
      <c r="F3" s="2"/>
      <c r="G3" s="2"/>
      <c r="H3" s="2"/>
    </row>
    <row r="4" spans="1:8" ht="24.75" customHeight="1">
      <c r="A4" s="387" t="s">
        <v>231</v>
      </c>
      <c r="B4" s="387"/>
      <c r="C4" s="387"/>
      <c r="D4" s="387"/>
      <c r="E4" s="387"/>
      <c r="F4" s="387"/>
      <c r="G4" s="387"/>
      <c r="H4" s="387"/>
    </row>
    <row r="5" spans="1:8" ht="15.75" customHeight="1">
      <c r="A5" s="388" t="s">
        <v>3</v>
      </c>
      <c r="B5" s="388"/>
      <c r="C5" s="388"/>
      <c r="D5" s="388"/>
      <c r="E5" s="388"/>
      <c r="F5" s="388"/>
      <c r="G5" s="388"/>
      <c r="H5" s="388"/>
    </row>
    <row r="6" spans="1:8" ht="12.75" customHeight="1">
      <c r="A6" s="2"/>
      <c r="B6" s="2"/>
      <c r="C6" s="2"/>
      <c r="D6" s="2"/>
      <c r="E6" s="2"/>
      <c r="F6" s="2"/>
      <c r="G6" s="2"/>
      <c r="H6" s="2"/>
    </row>
    <row r="7" spans="1:8" ht="12.75" customHeight="1">
      <c r="A7" s="13" t="s">
        <v>4</v>
      </c>
      <c r="B7" s="94" t="s">
        <v>5</v>
      </c>
      <c r="C7" s="384" t="s">
        <v>6</v>
      </c>
      <c r="D7" s="384"/>
      <c r="E7" s="384"/>
      <c r="F7" s="2"/>
      <c r="G7" s="2"/>
      <c r="H7" s="2"/>
    </row>
    <row r="8" spans="1:8" ht="12.75" customHeight="1">
      <c r="A8" s="2"/>
      <c r="B8" s="2" t="s">
        <v>7</v>
      </c>
      <c r="C8" s="2" t="s">
        <v>8</v>
      </c>
      <c r="D8" s="2"/>
      <c r="E8" s="2"/>
      <c r="F8" s="2"/>
      <c r="G8" s="2"/>
      <c r="H8" s="2"/>
    </row>
    <row r="9" spans="1:8" ht="12.75" customHeight="1">
      <c r="A9" s="13" t="s">
        <v>9</v>
      </c>
      <c r="B9" s="94" t="s">
        <v>1099</v>
      </c>
      <c r="C9" s="384" t="s">
        <v>11</v>
      </c>
      <c r="D9" s="384"/>
      <c r="E9" s="384"/>
      <c r="F9" s="384"/>
      <c r="G9" s="384"/>
      <c r="H9" s="384"/>
    </row>
    <row r="10" spans="1:8" ht="12.75" customHeight="1">
      <c r="A10" s="13"/>
      <c r="B10" s="2" t="s">
        <v>12</v>
      </c>
      <c r="C10" s="374" t="s">
        <v>13</v>
      </c>
      <c r="D10" s="374"/>
      <c r="E10" s="374"/>
      <c r="F10" s="374"/>
      <c r="G10" s="374"/>
      <c r="H10" s="374"/>
    </row>
    <row r="11" spans="1:8" ht="12.75" customHeight="1">
      <c r="A11" s="13" t="s">
        <v>14</v>
      </c>
      <c r="B11" s="94" t="s">
        <v>1100</v>
      </c>
      <c r="C11" s="384" t="s">
        <v>16</v>
      </c>
      <c r="D11" s="384"/>
      <c r="E11" s="384"/>
      <c r="F11" s="384"/>
      <c r="G11" s="384"/>
      <c r="H11" s="384"/>
    </row>
    <row r="12" spans="1:8" ht="12.75" customHeight="1">
      <c r="A12" s="13"/>
      <c r="B12" s="2" t="s">
        <v>17</v>
      </c>
      <c r="C12" s="374" t="s">
        <v>18</v>
      </c>
      <c r="D12" s="374"/>
      <c r="E12" s="374"/>
      <c r="F12" s="374"/>
      <c r="G12" s="374"/>
      <c r="H12" s="374"/>
    </row>
    <row r="13" spans="1:8" ht="12.75" customHeight="1">
      <c r="A13" s="13" t="s">
        <v>19</v>
      </c>
      <c r="B13" s="94" t="s">
        <v>20</v>
      </c>
      <c r="C13" s="383">
        <v>44624</v>
      </c>
      <c r="D13" s="384"/>
      <c r="E13" s="384"/>
      <c r="F13" s="384"/>
      <c r="G13" s="384"/>
      <c r="H13" s="384"/>
    </row>
    <row r="14" spans="1:8" ht="12.75" customHeight="1">
      <c r="A14" s="2"/>
      <c r="B14" s="2" t="s">
        <v>954</v>
      </c>
      <c r="C14" s="373">
        <v>44624</v>
      </c>
      <c r="D14" s="374"/>
      <c r="E14" s="374"/>
      <c r="F14" s="374"/>
      <c r="G14" s="374"/>
      <c r="H14" s="374"/>
    </row>
    <row r="15" spans="1:8" ht="12.75" customHeight="1">
      <c r="A15" s="2"/>
      <c r="B15" s="2"/>
      <c r="C15" s="100"/>
      <c r="D15" s="2"/>
      <c r="E15" s="2"/>
      <c r="F15" s="2"/>
      <c r="G15" s="2"/>
      <c r="H15" s="2"/>
    </row>
    <row r="16" spans="1:8" ht="12.75" customHeight="1">
      <c r="A16" s="382" t="s">
        <v>1097</v>
      </c>
      <c r="B16" s="382"/>
      <c r="C16" s="382"/>
      <c r="D16" s="382"/>
      <c r="E16" s="382"/>
      <c r="F16" s="382"/>
      <c r="G16" s="382"/>
      <c r="H16" s="382"/>
    </row>
    <row r="17" spans="1:14" ht="12.75" customHeight="1">
      <c r="A17" s="382" t="s">
        <v>1098</v>
      </c>
      <c r="B17" s="382"/>
      <c r="C17" s="382"/>
      <c r="D17" s="382"/>
      <c r="E17" s="382"/>
      <c r="F17" s="382"/>
      <c r="G17" s="382"/>
      <c r="H17" s="382"/>
    </row>
    <row r="18" spans="1:14" ht="12.75" customHeight="1">
      <c r="A18" s="4"/>
      <c r="B18" s="4"/>
      <c r="C18" s="4"/>
      <c r="D18" s="4"/>
      <c r="E18" s="4"/>
      <c r="F18" s="375" t="s">
        <v>24</v>
      </c>
      <c r="G18" s="375"/>
      <c r="H18" s="375"/>
    </row>
    <row r="19" spans="1:14" ht="24.75" customHeight="1">
      <c r="A19" s="376" t="s">
        <v>500</v>
      </c>
      <c r="B19" s="378" t="s">
        <v>1101</v>
      </c>
      <c r="C19" s="378" t="s">
        <v>1102</v>
      </c>
      <c r="D19" s="378" t="s">
        <v>1103</v>
      </c>
      <c r="E19" s="378"/>
      <c r="F19" s="378"/>
      <c r="G19" s="378" t="s">
        <v>1104</v>
      </c>
      <c r="H19" s="380" t="s">
        <v>1105</v>
      </c>
    </row>
    <row r="20" spans="1:14" ht="30">
      <c r="A20" s="377"/>
      <c r="B20" s="379"/>
      <c r="C20" s="379"/>
      <c r="D20" s="96" t="s">
        <v>1106</v>
      </c>
      <c r="E20" s="96" t="s">
        <v>1107</v>
      </c>
      <c r="F20" s="96" t="s">
        <v>1108</v>
      </c>
      <c r="G20" s="379"/>
      <c r="H20" s="381"/>
    </row>
    <row r="21" spans="1:14" ht="16.5" customHeight="1">
      <c r="A21" s="97" t="s">
        <v>1109</v>
      </c>
      <c r="B21" s="98" t="s">
        <v>1110</v>
      </c>
      <c r="C21" s="98" t="s">
        <v>1111</v>
      </c>
      <c r="D21" s="98" t="s">
        <v>1112</v>
      </c>
      <c r="E21" s="98" t="s">
        <v>1113</v>
      </c>
      <c r="F21" s="98" t="s">
        <v>1114</v>
      </c>
      <c r="G21" s="98" t="s">
        <v>1115</v>
      </c>
      <c r="H21" s="99" t="s">
        <v>1116</v>
      </c>
    </row>
    <row r="22" spans="1:14" s="16" customFormat="1" ht="16.5" customHeight="1">
      <c r="A22" s="7" t="s">
        <v>4</v>
      </c>
      <c r="B22" s="129" t="s">
        <v>1117</v>
      </c>
      <c r="C22" s="129" t="s">
        <v>1165</v>
      </c>
      <c r="D22" s="10">
        <v>2511194670000</v>
      </c>
      <c r="E22" s="10">
        <v>9030112537605</v>
      </c>
      <c r="F22" s="27">
        <v>0.27809118209129524</v>
      </c>
      <c r="G22" s="204">
        <v>1.500000002389301E-3</v>
      </c>
      <c r="H22" s="9"/>
      <c r="J22" s="205"/>
      <c r="K22" s="205"/>
      <c r="L22" s="206"/>
      <c r="M22" s="206"/>
      <c r="N22" s="207"/>
    </row>
    <row r="23" spans="1:14" s="16" customFormat="1" ht="16.5" customHeight="1">
      <c r="A23" s="7" t="s">
        <v>9</v>
      </c>
      <c r="B23" s="129" t="s">
        <v>1118</v>
      </c>
      <c r="C23" s="129" t="s">
        <v>1165</v>
      </c>
      <c r="D23" s="10">
        <v>1084211648550</v>
      </c>
      <c r="E23" s="10">
        <v>9030112537605</v>
      </c>
      <c r="F23" s="27">
        <v>0.12006623882425707</v>
      </c>
      <c r="G23" s="204">
        <v>1.4999898065797257E-3</v>
      </c>
      <c r="H23" s="9"/>
      <c r="J23" s="205"/>
      <c r="K23" s="205"/>
      <c r="L23" s="206"/>
      <c r="M23" s="206"/>
      <c r="N23" s="207"/>
    </row>
    <row r="24" spans="1:14" s="16" customFormat="1" ht="16.5" customHeight="1">
      <c r="A24" s="7" t="s">
        <v>14</v>
      </c>
      <c r="B24" s="129" t="s">
        <v>1119</v>
      </c>
      <c r="C24" s="129" t="s">
        <v>1165</v>
      </c>
      <c r="D24" s="10">
        <v>721251930000</v>
      </c>
      <c r="E24" s="10">
        <v>9030112537605</v>
      </c>
      <c r="F24" s="27">
        <v>7.9871865051118526E-2</v>
      </c>
      <c r="G24" s="204">
        <v>1.500000001386478E-3</v>
      </c>
      <c r="H24" s="9"/>
      <c r="J24" s="205"/>
      <c r="K24" s="205"/>
      <c r="L24" s="206"/>
      <c r="M24" s="206"/>
      <c r="N24" s="207"/>
    </row>
    <row r="25" spans="1:14" s="16" customFormat="1" ht="16.5" customHeight="1">
      <c r="A25" s="7" t="s">
        <v>19</v>
      </c>
      <c r="B25" s="129" t="s">
        <v>1120</v>
      </c>
      <c r="C25" s="129" t="s">
        <v>1165</v>
      </c>
      <c r="D25" s="10">
        <v>2244531209055</v>
      </c>
      <c r="E25" s="10">
        <v>9030112537605</v>
      </c>
      <c r="F25" s="27">
        <v>0.24856071280483763</v>
      </c>
      <c r="G25" s="204">
        <v>6.9994548111516279E-4</v>
      </c>
      <c r="H25" s="9"/>
      <c r="J25" s="205"/>
      <c r="K25" s="205"/>
      <c r="L25" s="206"/>
      <c r="M25" s="206"/>
      <c r="N25" s="207"/>
    </row>
    <row r="26" spans="1:14" s="16" customFormat="1" ht="16.5" customHeight="1">
      <c r="A26" s="7">
        <v>5</v>
      </c>
      <c r="B26" s="129" t="s">
        <v>1121</v>
      </c>
      <c r="C26" s="129" t="s">
        <v>1165</v>
      </c>
      <c r="D26" s="10">
        <v>2046834620000</v>
      </c>
      <c r="E26" s="10">
        <v>9030112537605</v>
      </c>
      <c r="F26" s="27">
        <v>0.22666767567692672</v>
      </c>
      <c r="G26" s="204">
        <v>1.5000000229622851E-3</v>
      </c>
      <c r="H26" s="9"/>
      <c r="J26" s="205"/>
      <c r="K26" s="205"/>
      <c r="L26" s="206"/>
      <c r="M26" s="206"/>
      <c r="N26" s="207"/>
    </row>
    <row r="27" spans="1:14" s="16" customFormat="1" ht="16.5" customHeight="1">
      <c r="A27" s="369" t="s">
        <v>1122</v>
      </c>
      <c r="B27" s="370"/>
      <c r="C27" s="370"/>
      <c r="D27" s="208">
        <v>8608024077605</v>
      </c>
      <c r="E27" s="208"/>
      <c r="F27" s="209">
        <f>SUBTOTAL(9,F22:F26)</f>
        <v>0.95325767444843512</v>
      </c>
      <c r="G27" s="210"/>
      <c r="H27" s="211"/>
      <c r="J27" s="205"/>
      <c r="K27" s="205"/>
      <c r="L27" s="205"/>
    </row>
    <row r="28" spans="1:14" ht="6" customHeight="1">
      <c r="A28" s="2"/>
      <c r="B28" s="2"/>
      <c r="C28" s="12"/>
      <c r="D28" s="2"/>
      <c r="E28" s="2"/>
      <c r="F28" s="2"/>
      <c r="G28" s="2"/>
      <c r="H28" s="2"/>
    </row>
    <row r="29" spans="1:14" ht="12.75" customHeight="1">
      <c r="A29" s="3"/>
      <c r="B29" s="371" t="s">
        <v>221</v>
      </c>
      <c r="C29" s="371"/>
      <c r="D29" s="2"/>
      <c r="E29" s="371" t="s">
        <v>1123</v>
      </c>
      <c r="F29" s="371"/>
      <c r="G29" s="371"/>
      <c r="H29" s="371"/>
    </row>
    <row r="30" spans="1:14">
      <c r="A30" s="92"/>
      <c r="B30" s="372" t="s">
        <v>223</v>
      </c>
      <c r="C30" s="372"/>
      <c r="D30" s="2"/>
      <c r="E30" s="372" t="s">
        <v>224</v>
      </c>
      <c r="F30" s="372"/>
      <c r="G30" s="372"/>
      <c r="H30" s="372"/>
    </row>
    <row r="31" spans="1:14" ht="15.75" customHeight="1">
      <c r="A31" s="2"/>
      <c r="B31" s="2"/>
      <c r="C31" s="2"/>
      <c r="D31" s="2"/>
      <c r="E31" s="2"/>
      <c r="F31" s="2"/>
      <c r="G31" s="2"/>
      <c r="H31" s="2"/>
    </row>
    <row r="32" spans="1:14" ht="15.75" customHeight="1">
      <c r="A32" s="2"/>
      <c r="B32" s="2"/>
      <c r="C32" s="2"/>
      <c r="D32" s="2"/>
      <c r="E32" s="2"/>
      <c r="F32" s="2"/>
      <c r="G32" s="2"/>
      <c r="H32" s="2"/>
    </row>
    <row r="33" spans="1:8" ht="15.75" customHeight="1">
      <c r="A33" s="2"/>
      <c r="B33" s="2"/>
      <c r="C33" s="2"/>
      <c r="D33" s="2"/>
      <c r="E33" s="2"/>
      <c r="F33" s="2"/>
      <c r="G33" s="2"/>
      <c r="H33" s="2"/>
    </row>
    <row r="34" spans="1:8" ht="15.75" customHeight="1">
      <c r="A34" s="2"/>
      <c r="B34" s="2"/>
      <c r="C34" s="2"/>
      <c r="D34" s="2"/>
      <c r="E34" s="2"/>
      <c r="F34" s="2"/>
      <c r="G34" s="2"/>
      <c r="H34" s="2"/>
    </row>
    <row r="35" spans="1:8" ht="12.75" customHeight="1">
      <c r="A35" s="2"/>
      <c r="B35" s="336" t="s">
        <v>225</v>
      </c>
      <c r="C35" s="336"/>
      <c r="D35" s="2"/>
      <c r="E35" s="336" t="s">
        <v>226</v>
      </c>
      <c r="F35" s="336"/>
      <c r="G35" s="336"/>
      <c r="H35" s="336"/>
    </row>
    <row r="36" spans="1:8" ht="12.75" customHeight="1">
      <c r="A36" s="2"/>
      <c r="B36" s="336" t="s">
        <v>507</v>
      </c>
      <c r="C36" s="336"/>
      <c r="D36" s="2"/>
      <c r="E36" s="336" t="s">
        <v>228</v>
      </c>
      <c r="F36" s="336"/>
      <c r="G36" s="336"/>
      <c r="H36" s="336"/>
    </row>
    <row r="37" spans="1:8" ht="12.75" customHeight="1">
      <c r="A37" s="2"/>
      <c r="B37" s="336" t="s">
        <v>229</v>
      </c>
      <c r="C37" s="336"/>
      <c r="D37" s="2"/>
      <c r="E37" s="336" t="s">
        <v>230</v>
      </c>
      <c r="F37" s="336"/>
      <c r="G37" s="336"/>
      <c r="H37" s="336"/>
    </row>
  </sheetData>
  <mergeCells count="31">
    <mergeCell ref="C13:H13"/>
    <mergeCell ref="E1:H1"/>
    <mergeCell ref="A2:H2"/>
    <mergeCell ref="A4:H4"/>
    <mergeCell ref="A5:H5"/>
    <mergeCell ref="C7:E7"/>
    <mergeCell ref="C9:H9"/>
    <mergeCell ref="C10:H10"/>
    <mergeCell ref="C11:H11"/>
    <mergeCell ref="C12:H12"/>
    <mergeCell ref="C14:H14"/>
    <mergeCell ref="F18:H18"/>
    <mergeCell ref="A19:A20"/>
    <mergeCell ref="B19:B20"/>
    <mergeCell ref="C19:C20"/>
    <mergeCell ref="D19:F19"/>
    <mergeCell ref="G19:G20"/>
    <mergeCell ref="H19:H20"/>
    <mergeCell ref="A16:H16"/>
    <mergeCell ref="A17:H17"/>
    <mergeCell ref="B36:C36"/>
    <mergeCell ref="E36:H36"/>
    <mergeCell ref="B37:C37"/>
    <mergeCell ref="E37:H37"/>
    <mergeCell ref="A27:C27"/>
    <mergeCell ref="B29:C29"/>
    <mergeCell ref="E29:H29"/>
    <mergeCell ref="B30:C30"/>
    <mergeCell ref="E30:H30"/>
    <mergeCell ref="B35:C35"/>
    <mergeCell ref="E35:H35"/>
  </mergeCells>
  <printOptions horizontalCentered="1"/>
  <pageMargins left="0.12" right="7.0000000000000007E-2" top="0.24" bottom="7.0000000000000007E-2" header="0.22" footer="0"/>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G88"/>
  <sheetViews>
    <sheetView showGridLines="0" showZeros="0" showOutlineSymbols="0" view="pageBreakPreview" zoomScaleNormal="100" zoomScaleSheetLayoutView="100" workbookViewId="0">
      <selection activeCell="D19" sqref="D19"/>
    </sheetView>
  </sheetViews>
  <sheetFormatPr defaultColWidth="9.1796875" defaultRowHeight="10"/>
  <cols>
    <col min="1" max="1" width="30.81640625" style="131" customWidth="1"/>
    <col min="2" max="2" width="7.54296875" style="131" customWidth="1"/>
    <col min="3" max="3" width="6.90625" style="131" customWidth="1"/>
    <col min="4" max="6" width="17.7265625" style="131" customWidth="1"/>
    <col min="7" max="7" width="18.36328125" style="131" customWidth="1"/>
    <col min="8" max="16384" width="9.1796875" style="131"/>
  </cols>
  <sheetData>
    <row r="1" spans="1:7" ht="42" customHeight="1">
      <c r="A1" s="132"/>
      <c r="B1" s="317"/>
      <c r="C1" s="317"/>
      <c r="D1" s="316" t="s">
        <v>819</v>
      </c>
      <c r="E1" s="316"/>
      <c r="F1" s="316"/>
      <c r="G1" s="316"/>
    </row>
    <row r="2" spans="1:7" ht="23.25" customHeight="1">
      <c r="A2" s="400" t="s">
        <v>579</v>
      </c>
      <c r="B2" s="400"/>
      <c r="C2" s="400"/>
      <c r="D2" s="400"/>
      <c r="E2" s="400"/>
      <c r="F2" s="400"/>
      <c r="G2" s="400"/>
    </row>
    <row r="3" spans="1:7" ht="6" customHeight="1">
      <c r="A3" s="132"/>
      <c r="B3" s="317"/>
      <c r="C3" s="317"/>
      <c r="D3" s="317"/>
      <c r="E3" s="317"/>
      <c r="F3" s="317"/>
      <c r="G3" s="317"/>
    </row>
    <row r="4" spans="1:7" s="212" customFormat="1" ht="12.75" customHeight="1">
      <c r="A4" s="398" t="s">
        <v>820</v>
      </c>
      <c r="B4" s="398"/>
      <c r="C4" s="398"/>
      <c r="D4" s="398"/>
      <c r="E4" s="398"/>
      <c r="F4" s="398"/>
      <c r="G4" s="398"/>
    </row>
    <row r="5" spans="1:7" s="212" customFormat="1" ht="12.75" customHeight="1">
      <c r="A5" s="399" t="s">
        <v>821</v>
      </c>
      <c r="B5" s="399"/>
      <c r="C5" s="399"/>
      <c r="D5" s="399"/>
      <c r="E5" s="399"/>
      <c r="F5" s="399"/>
      <c r="G5" s="399"/>
    </row>
    <row r="6" spans="1:7" ht="12.75" customHeight="1">
      <c r="A6" s="315" t="s">
        <v>3</v>
      </c>
      <c r="B6" s="315"/>
      <c r="C6" s="315"/>
      <c r="D6" s="315"/>
      <c r="E6" s="315"/>
      <c r="F6" s="315"/>
      <c r="G6" s="315"/>
    </row>
    <row r="7" spans="1:7" ht="12.75" customHeight="1">
      <c r="A7" s="132"/>
      <c r="B7" s="317"/>
      <c r="C7" s="317"/>
      <c r="D7" s="317"/>
      <c r="E7" s="317"/>
      <c r="F7" s="317"/>
      <c r="G7" s="317"/>
    </row>
    <row r="8" spans="1:7" ht="12.75" customHeight="1">
      <c r="A8" s="178" t="s">
        <v>10</v>
      </c>
      <c r="B8" s="318" t="s">
        <v>11</v>
      </c>
      <c r="C8" s="318"/>
      <c r="D8" s="318"/>
      <c r="E8" s="318"/>
      <c r="F8" s="318"/>
      <c r="G8" s="318"/>
    </row>
    <row r="9" spans="1:7" ht="12.75" customHeight="1">
      <c r="A9" s="177" t="s">
        <v>12</v>
      </c>
      <c r="B9" s="317" t="s">
        <v>13</v>
      </c>
      <c r="C9" s="317"/>
      <c r="D9" s="317"/>
      <c r="E9" s="317"/>
      <c r="F9" s="317"/>
      <c r="G9" s="317"/>
    </row>
    <row r="10" spans="1:7" ht="12.75" customHeight="1">
      <c r="A10" s="178" t="s">
        <v>385</v>
      </c>
      <c r="B10" s="318" t="s">
        <v>16</v>
      </c>
      <c r="C10" s="318"/>
      <c r="D10" s="318"/>
      <c r="E10" s="318"/>
      <c r="F10" s="318"/>
      <c r="G10" s="318"/>
    </row>
    <row r="11" spans="1:7" ht="12.75" customHeight="1">
      <c r="A11" s="177" t="s">
        <v>17</v>
      </c>
      <c r="B11" s="317" t="s">
        <v>822</v>
      </c>
      <c r="C11" s="317"/>
      <c r="D11" s="317"/>
      <c r="E11" s="317"/>
      <c r="F11" s="317"/>
      <c r="G11" s="317"/>
    </row>
    <row r="12" spans="1:7" ht="12.75" customHeight="1">
      <c r="A12" s="178" t="s">
        <v>5</v>
      </c>
      <c r="B12" s="321" t="s">
        <v>6</v>
      </c>
      <c r="C12" s="321"/>
      <c r="D12" s="321"/>
      <c r="E12" s="321"/>
      <c r="F12" s="321"/>
      <c r="G12" s="321"/>
    </row>
    <row r="13" spans="1:7" ht="12.75" customHeight="1">
      <c r="A13" s="177" t="s">
        <v>7</v>
      </c>
      <c r="B13" s="317" t="s">
        <v>8</v>
      </c>
      <c r="C13" s="317"/>
      <c r="D13" s="317"/>
      <c r="E13" s="317"/>
      <c r="F13" s="317"/>
      <c r="G13" s="317"/>
    </row>
    <row r="14" spans="1:7" ht="12.75" customHeight="1">
      <c r="A14" s="178" t="s">
        <v>20</v>
      </c>
      <c r="B14" s="391">
        <v>44624</v>
      </c>
      <c r="C14" s="321"/>
      <c r="D14" s="321"/>
      <c r="E14" s="321"/>
      <c r="F14" s="321"/>
      <c r="G14" s="321"/>
    </row>
    <row r="15" spans="1:7" ht="12.75" customHeight="1">
      <c r="A15" s="177" t="s">
        <v>21</v>
      </c>
      <c r="B15" s="320">
        <v>44624</v>
      </c>
      <c r="C15" s="317"/>
      <c r="D15" s="317"/>
      <c r="E15" s="317"/>
      <c r="F15" s="317"/>
      <c r="G15" s="317"/>
    </row>
    <row r="16" spans="1:7" ht="12.75" customHeight="1">
      <c r="A16" s="135"/>
      <c r="B16" s="392"/>
      <c r="C16" s="392"/>
      <c r="D16" s="392"/>
      <c r="E16" s="392"/>
      <c r="F16" s="322" t="s">
        <v>24</v>
      </c>
      <c r="G16" s="322"/>
    </row>
    <row r="17" spans="1:7" s="213" customFormat="1" ht="27" customHeight="1">
      <c r="A17" s="394" t="s">
        <v>26</v>
      </c>
      <c r="B17" s="367" t="s">
        <v>582</v>
      </c>
      <c r="C17" s="367" t="s">
        <v>823</v>
      </c>
      <c r="D17" s="367" t="s">
        <v>824</v>
      </c>
      <c r="E17" s="367"/>
      <c r="F17" s="367" t="s">
        <v>825</v>
      </c>
      <c r="G17" s="397"/>
    </row>
    <row r="18" spans="1:7" s="213" customFormat="1" ht="27" customHeight="1">
      <c r="A18" s="395"/>
      <c r="B18" s="396"/>
      <c r="C18" s="396"/>
      <c r="D18" s="214" t="s">
        <v>234</v>
      </c>
      <c r="E18" s="214" t="s">
        <v>826</v>
      </c>
      <c r="F18" s="214" t="s">
        <v>235</v>
      </c>
      <c r="G18" s="215" t="s">
        <v>826</v>
      </c>
    </row>
    <row r="19" spans="1:7" s="155" customFormat="1" ht="30">
      <c r="A19" s="216" t="s">
        <v>827</v>
      </c>
      <c r="B19" s="217" t="s">
        <v>828</v>
      </c>
      <c r="C19" s="217"/>
      <c r="D19" s="159">
        <f>D20+D23+D26+D30+D31+D32+D33+D34</f>
        <v>5451899351518</v>
      </c>
      <c r="E19" s="159">
        <f>E20+E23+E26+E30+E31+E32+E33+E34</f>
        <v>5451899351518</v>
      </c>
      <c r="F19" s="159">
        <f>F20+F23+F26+F30+F31+F32+F33+F34</f>
        <v>1044716309512</v>
      </c>
      <c r="G19" s="160">
        <f>G20+G23+G26+G30+G31+G32+G33+G34</f>
        <v>1044716309512</v>
      </c>
    </row>
    <row r="20" spans="1:7" s="155" customFormat="1" ht="20">
      <c r="A20" s="218" t="s">
        <v>829</v>
      </c>
      <c r="B20" s="142" t="s">
        <v>830</v>
      </c>
      <c r="C20" s="142"/>
      <c r="D20" s="164">
        <f>D21+D22</f>
        <v>106057369934</v>
      </c>
      <c r="E20" s="164">
        <f>E21+E22</f>
        <v>106057369934</v>
      </c>
      <c r="F20" s="164">
        <f>F21+F22</f>
        <v>27932075326</v>
      </c>
      <c r="G20" s="165">
        <f>G21+G22</f>
        <v>27932075326</v>
      </c>
    </row>
    <row r="21" spans="1:7" s="155" customFormat="1" ht="20">
      <c r="A21" s="219" t="s">
        <v>831</v>
      </c>
      <c r="B21" s="220" t="s">
        <v>832</v>
      </c>
      <c r="C21" s="220"/>
      <c r="D21" s="169">
        <v>106057369934</v>
      </c>
      <c r="E21" s="169">
        <v>106057369934</v>
      </c>
      <c r="F21" s="169">
        <v>27932075326</v>
      </c>
      <c r="G21" s="170">
        <v>27932075326</v>
      </c>
    </row>
    <row r="22" spans="1:7" s="155" customFormat="1" ht="20">
      <c r="A22" s="219" t="s">
        <v>833</v>
      </c>
      <c r="B22" s="220" t="s">
        <v>834</v>
      </c>
      <c r="C22" s="220"/>
      <c r="D22" s="169">
        <v>0</v>
      </c>
      <c r="E22" s="169">
        <v>0</v>
      </c>
      <c r="F22" s="169">
        <v>0</v>
      </c>
      <c r="G22" s="170">
        <v>0</v>
      </c>
    </row>
    <row r="23" spans="1:7" s="155" customFormat="1" ht="20">
      <c r="A23" s="218" t="s">
        <v>835</v>
      </c>
      <c r="B23" s="142" t="s">
        <v>836</v>
      </c>
      <c r="C23" s="142"/>
      <c r="D23" s="164">
        <f>D24+D25</f>
        <v>552364279</v>
      </c>
      <c r="E23" s="164">
        <f>E24+E25</f>
        <v>552364279</v>
      </c>
      <c r="F23" s="164">
        <f>F24+F25</f>
        <v>99784019</v>
      </c>
      <c r="G23" s="165">
        <f>G24+G25</f>
        <v>99784019</v>
      </c>
    </row>
    <row r="24" spans="1:7" s="155" customFormat="1" ht="20">
      <c r="A24" s="219" t="s">
        <v>837</v>
      </c>
      <c r="B24" s="220" t="s">
        <v>838</v>
      </c>
      <c r="C24" s="220"/>
      <c r="D24" s="169">
        <v>552364279</v>
      </c>
      <c r="E24" s="169">
        <v>552364279</v>
      </c>
      <c r="F24" s="169">
        <v>99784019</v>
      </c>
      <c r="G24" s="170">
        <v>99784019</v>
      </c>
    </row>
    <row r="25" spans="1:7" s="155" customFormat="1" ht="20">
      <c r="A25" s="219" t="s">
        <v>839</v>
      </c>
      <c r="B25" s="220" t="s">
        <v>840</v>
      </c>
      <c r="C25" s="220"/>
      <c r="D25" s="169">
        <v>0</v>
      </c>
      <c r="E25" s="169">
        <v>0</v>
      </c>
      <c r="F25" s="169">
        <v>0</v>
      </c>
      <c r="G25" s="170">
        <v>0</v>
      </c>
    </row>
    <row r="26" spans="1:7" s="155" customFormat="1" ht="40">
      <c r="A26" s="218" t="s">
        <v>841</v>
      </c>
      <c r="B26" s="142" t="s">
        <v>842</v>
      </c>
      <c r="C26" s="142"/>
      <c r="D26" s="164">
        <f>D27+D28+D29</f>
        <v>2334623910509</v>
      </c>
      <c r="E26" s="164">
        <f>E27+E28+E29</f>
        <v>2334623910509</v>
      </c>
      <c r="F26" s="164">
        <f>F27+F28+F29</f>
        <v>30697822855</v>
      </c>
      <c r="G26" s="165">
        <f>G27+G28+G29</f>
        <v>30697822855</v>
      </c>
    </row>
    <row r="27" spans="1:7" s="155" customFormat="1" ht="20">
      <c r="A27" s="219" t="s">
        <v>843</v>
      </c>
      <c r="B27" s="220" t="s">
        <v>844</v>
      </c>
      <c r="C27" s="220"/>
      <c r="D27" s="169">
        <v>1331925231675</v>
      </c>
      <c r="E27" s="169">
        <v>1331925231675</v>
      </c>
      <c r="F27" s="169">
        <v>14056355590</v>
      </c>
      <c r="G27" s="170">
        <v>14056355590</v>
      </c>
    </row>
    <row r="28" spans="1:7" s="155" customFormat="1" ht="40">
      <c r="A28" s="219" t="s">
        <v>845</v>
      </c>
      <c r="B28" s="220" t="s">
        <v>846</v>
      </c>
      <c r="C28" s="220"/>
      <c r="D28" s="169">
        <v>1002698678834</v>
      </c>
      <c r="E28" s="169">
        <v>1002698678834</v>
      </c>
      <c r="F28" s="169">
        <v>16641467265</v>
      </c>
      <c r="G28" s="170">
        <v>16641467265</v>
      </c>
    </row>
    <row r="29" spans="1:7" s="155" customFormat="1" ht="40">
      <c r="A29" s="219" t="s">
        <v>847</v>
      </c>
      <c r="B29" s="220" t="s">
        <v>848</v>
      </c>
      <c r="C29" s="220"/>
      <c r="D29" s="169">
        <v>0</v>
      </c>
      <c r="E29" s="169">
        <v>0</v>
      </c>
      <c r="F29" s="169">
        <v>0</v>
      </c>
      <c r="G29" s="170">
        <v>0</v>
      </c>
    </row>
    <row r="30" spans="1:7" s="155" customFormat="1" ht="40">
      <c r="A30" s="218" t="s">
        <v>849</v>
      </c>
      <c r="B30" s="142" t="s">
        <v>850</v>
      </c>
      <c r="C30" s="142"/>
      <c r="D30" s="164">
        <v>3010665706796</v>
      </c>
      <c r="E30" s="164">
        <v>3010665706796</v>
      </c>
      <c r="F30" s="164">
        <v>985986627312</v>
      </c>
      <c r="G30" s="165">
        <v>985986627312</v>
      </c>
    </row>
    <row r="31" spans="1:7" s="155" customFormat="1" ht="20">
      <c r="A31" s="218" t="s">
        <v>851</v>
      </c>
      <c r="B31" s="142" t="s">
        <v>852</v>
      </c>
      <c r="C31" s="142"/>
      <c r="D31" s="164">
        <v>0</v>
      </c>
      <c r="E31" s="164">
        <v>0</v>
      </c>
      <c r="F31" s="164">
        <v>0</v>
      </c>
      <c r="G31" s="165">
        <v>0</v>
      </c>
    </row>
    <row r="32" spans="1:7" s="155" customFormat="1" ht="40">
      <c r="A32" s="218" t="s">
        <v>853</v>
      </c>
      <c r="B32" s="142" t="s">
        <v>854</v>
      </c>
      <c r="C32" s="142"/>
      <c r="D32" s="164">
        <v>0</v>
      </c>
      <c r="E32" s="164">
        <v>0</v>
      </c>
      <c r="F32" s="164">
        <v>0</v>
      </c>
      <c r="G32" s="165">
        <v>0</v>
      </c>
    </row>
    <row r="33" spans="1:7" s="155" customFormat="1" ht="20">
      <c r="A33" s="218" t="s">
        <v>855</v>
      </c>
      <c r="B33" s="142" t="s">
        <v>856</v>
      </c>
      <c r="C33" s="142"/>
      <c r="D33" s="164">
        <v>0</v>
      </c>
      <c r="E33" s="164">
        <v>0</v>
      </c>
      <c r="F33" s="164">
        <v>0</v>
      </c>
      <c r="G33" s="165">
        <v>0</v>
      </c>
    </row>
    <row r="34" spans="1:7" s="155" customFormat="1" ht="60">
      <c r="A34" s="218" t="s">
        <v>857</v>
      </c>
      <c r="B34" s="142" t="s">
        <v>858</v>
      </c>
      <c r="C34" s="142"/>
      <c r="D34" s="164">
        <v>0</v>
      </c>
      <c r="E34" s="164">
        <v>0</v>
      </c>
      <c r="F34" s="164">
        <v>0</v>
      </c>
      <c r="G34" s="165">
        <v>0</v>
      </c>
    </row>
    <row r="35" spans="1:7" s="155" customFormat="1" ht="20">
      <c r="A35" s="216" t="s">
        <v>859</v>
      </c>
      <c r="B35" s="217" t="s">
        <v>321</v>
      </c>
      <c r="C35" s="217"/>
      <c r="D35" s="159">
        <f>D36+D39+D40+D41+D42</f>
        <v>11740518301</v>
      </c>
      <c r="E35" s="159">
        <f>E36+E39+E40+E41+E42</f>
        <v>11740518301</v>
      </c>
      <c r="F35" s="159">
        <f>F36+F39+F40+F41+F42</f>
        <v>532491764</v>
      </c>
      <c r="G35" s="160">
        <f>G36+G39+G40+G41+G42</f>
        <v>532491764</v>
      </c>
    </row>
    <row r="36" spans="1:7" s="155" customFormat="1" ht="40">
      <c r="A36" s="218" t="s">
        <v>860</v>
      </c>
      <c r="B36" s="142" t="s">
        <v>417</v>
      </c>
      <c r="C36" s="142"/>
      <c r="D36" s="164">
        <f>D37+D38</f>
        <v>11740518301</v>
      </c>
      <c r="E36" s="164">
        <f>E37+E38</f>
        <v>11740518301</v>
      </c>
      <c r="F36" s="164">
        <f>F37+F38</f>
        <v>532491764</v>
      </c>
      <c r="G36" s="165">
        <f>G37+G38</f>
        <v>532491764</v>
      </c>
    </row>
    <row r="37" spans="1:7" s="155" customFormat="1" ht="20">
      <c r="A37" s="219" t="s">
        <v>861</v>
      </c>
      <c r="B37" s="220" t="s">
        <v>862</v>
      </c>
      <c r="C37" s="220"/>
      <c r="D37" s="169">
        <v>11740518301</v>
      </c>
      <c r="E37" s="169">
        <v>11740518301</v>
      </c>
      <c r="F37" s="169">
        <v>532491764</v>
      </c>
      <c r="G37" s="170">
        <v>532491764</v>
      </c>
    </row>
    <row r="38" spans="1:7" s="155" customFormat="1" ht="20">
      <c r="A38" s="219" t="s">
        <v>863</v>
      </c>
      <c r="B38" s="220" t="s">
        <v>864</v>
      </c>
      <c r="C38" s="220"/>
      <c r="D38" s="169">
        <v>0</v>
      </c>
      <c r="E38" s="169">
        <v>0</v>
      </c>
      <c r="F38" s="169">
        <v>0</v>
      </c>
      <c r="G38" s="170">
        <v>0</v>
      </c>
    </row>
    <row r="39" spans="1:7" s="155" customFormat="1" ht="30">
      <c r="A39" s="218" t="s">
        <v>865</v>
      </c>
      <c r="B39" s="142" t="s">
        <v>420</v>
      </c>
      <c r="C39" s="142"/>
      <c r="D39" s="164">
        <v>0</v>
      </c>
      <c r="E39" s="164">
        <v>0</v>
      </c>
      <c r="F39" s="164">
        <v>0</v>
      </c>
      <c r="G39" s="165">
        <v>0</v>
      </c>
    </row>
    <row r="40" spans="1:7" s="155" customFormat="1" ht="20">
      <c r="A40" s="218" t="s">
        <v>866</v>
      </c>
      <c r="B40" s="142" t="s">
        <v>423</v>
      </c>
      <c r="C40" s="142"/>
      <c r="D40" s="164">
        <v>0</v>
      </c>
      <c r="E40" s="164">
        <v>0</v>
      </c>
      <c r="F40" s="164">
        <v>0</v>
      </c>
      <c r="G40" s="165">
        <v>0</v>
      </c>
    </row>
    <row r="41" spans="1:7" s="155" customFormat="1" ht="50">
      <c r="A41" s="218" t="s">
        <v>867</v>
      </c>
      <c r="B41" s="142" t="s">
        <v>426</v>
      </c>
      <c r="C41" s="142"/>
      <c r="D41" s="164">
        <v>0</v>
      </c>
      <c r="E41" s="164">
        <v>0</v>
      </c>
      <c r="F41" s="164">
        <v>0</v>
      </c>
      <c r="G41" s="165">
        <v>0</v>
      </c>
    </row>
    <row r="42" spans="1:7" s="155" customFormat="1" ht="20">
      <c r="A42" s="218" t="s">
        <v>868</v>
      </c>
      <c r="B42" s="142" t="s">
        <v>429</v>
      </c>
      <c r="C42" s="142"/>
      <c r="D42" s="164">
        <v>0</v>
      </c>
      <c r="E42" s="164">
        <v>0</v>
      </c>
      <c r="F42" s="164">
        <v>0</v>
      </c>
      <c r="G42" s="165">
        <v>0</v>
      </c>
    </row>
    <row r="43" spans="1:7" s="155" customFormat="1" ht="20">
      <c r="A43" s="216" t="s">
        <v>869</v>
      </c>
      <c r="B43" s="217" t="s">
        <v>517</v>
      </c>
      <c r="C43" s="217"/>
      <c r="D43" s="159">
        <f>D44+D45+D50+D51+D52+D53+D57+D58+D59+D60</f>
        <v>120776930383</v>
      </c>
      <c r="E43" s="159">
        <f>E44+E45+E50+E51+E52+E53+E57+E58+E59+E60</f>
        <v>120776930383</v>
      </c>
      <c r="F43" s="159">
        <f>F44+F45+F50+F51+F52+F53+F57+F58+F59+F60</f>
        <v>13623545509</v>
      </c>
      <c r="G43" s="160">
        <f>G44+G45+G50+G51+G52+G53+G57+G58+G59+G60</f>
        <v>13623545509</v>
      </c>
    </row>
    <row r="44" spans="1:7" s="155" customFormat="1" ht="20">
      <c r="A44" s="218" t="s">
        <v>870</v>
      </c>
      <c r="B44" s="142" t="s">
        <v>871</v>
      </c>
      <c r="C44" s="142"/>
      <c r="D44" s="164">
        <v>92637743009</v>
      </c>
      <c r="E44" s="164">
        <v>92637743009</v>
      </c>
      <c r="F44" s="164">
        <v>10722660176</v>
      </c>
      <c r="G44" s="165">
        <v>10722660176</v>
      </c>
    </row>
    <row r="45" spans="1:7" s="155" customFormat="1" ht="20">
      <c r="A45" s="218" t="s">
        <v>872</v>
      </c>
      <c r="B45" s="142" t="s">
        <v>873</v>
      </c>
      <c r="C45" s="142"/>
      <c r="D45" s="164">
        <f>D46+D47+D48+D49</f>
        <v>3049575571</v>
      </c>
      <c r="E45" s="164">
        <f>E46+E47+E48+E49</f>
        <v>3049575571</v>
      </c>
      <c r="F45" s="164">
        <f>F46+F47+F48+F49</f>
        <v>392721742</v>
      </c>
      <c r="G45" s="165">
        <f>G46+G47+G48+G49</f>
        <v>392721742</v>
      </c>
    </row>
    <row r="46" spans="1:7" s="155" customFormat="1" ht="20">
      <c r="A46" s="219" t="s">
        <v>874</v>
      </c>
      <c r="B46" s="220" t="s">
        <v>875</v>
      </c>
      <c r="C46" s="220"/>
      <c r="D46" s="169">
        <v>2315943575</v>
      </c>
      <c r="E46" s="169">
        <v>2315943575</v>
      </c>
      <c r="F46" s="169">
        <v>274828176</v>
      </c>
      <c r="G46" s="170">
        <v>274828176</v>
      </c>
    </row>
    <row r="47" spans="1:7" s="155" customFormat="1" ht="30">
      <c r="A47" s="219" t="s">
        <v>876</v>
      </c>
      <c r="B47" s="220" t="s">
        <v>877</v>
      </c>
      <c r="C47" s="220"/>
      <c r="D47" s="169">
        <v>57500000</v>
      </c>
      <c r="E47" s="169">
        <v>57500000</v>
      </c>
      <c r="F47" s="169">
        <v>10000000</v>
      </c>
      <c r="G47" s="170">
        <v>10000000</v>
      </c>
    </row>
    <row r="48" spans="1:7" s="155" customFormat="1" ht="20">
      <c r="A48" s="219" t="s">
        <v>878</v>
      </c>
      <c r="B48" s="220" t="s">
        <v>879</v>
      </c>
      <c r="C48" s="220"/>
      <c r="D48" s="169">
        <v>676131996</v>
      </c>
      <c r="E48" s="169">
        <v>676131996</v>
      </c>
      <c r="F48" s="169">
        <v>107893566</v>
      </c>
      <c r="G48" s="170">
        <v>107893566</v>
      </c>
    </row>
    <row r="49" spans="1:7" s="155" customFormat="1" ht="60">
      <c r="A49" s="219" t="s">
        <v>880</v>
      </c>
      <c r="B49" s="220" t="s">
        <v>881</v>
      </c>
      <c r="C49" s="220"/>
      <c r="D49" s="169">
        <v>0</v>
      </c>
      <c r="E49" s="169">
        <v>0</v>
      </c>
      <c r="F49" s="169">
        <v>0</v>
      </c>
      <c r="G49" s="170">
        <v>0</v>
      </c>
    </row>
    <row r="50" spans="1:7" s="155" customFormat="1" ht="20">
      <c r="A50" s="218" t="s">
        <v>882</v>
      </c>
      <c r="B50" s="142" t="s">
        <v>883</v>
      </c>
      <c r="C50" s="142"/>
      <c r="D50" s="164">
        <v>5095075882</v>
      </c>
      <c r="E50" s="164">
        <v>5095075882</v>
      </c>
      <c r="F50" s="164">
        <v>604964122</v>
      </c>
      <c r="G50" s="165">
        <v>604964122</v>
      </c>
    </row>
    <row r="51" spans="1:7" s="155" customFormat="1" ht="20">
      <c r="A51" s="218" t="s">
        <v>884</v>
      </c>
      <c r="B51" s="142" t="s">
        <v>885</v>
      </c>
      <c r="C51" s="142"/>
      <c r="D51" s="164">
        <v>2547537930</v>
      </c>
      <c r="E51" s="164">
        <v>2547537930</v>
      </c>
      <c r="F51" s="164">
        <v>311812823</v>
      </c>
      <c r="G51" s="165">
        <v>311812823</v>
      </c>
    </row>
    <row r="52" spans="1:7" s="155" customFormat="1" ht="20">
      <c r="A52" s="218" t="s">
        <v>886</v>
      </c>
      <c r="B52" s="142" t="s">
        <v>887</v>
      </c>
      <c r="C52" s="142"/>
      <c r="D52" s="164">
        <v>66000000</v>
      </c>
      <c r="E52" s="164">
        <v>66000000</v>
      </c>
      <c r="F52" s="164">
        <v>42048387</v>
      </c>
      <c r="G52" s="165">
        <v>42048387</v>
      </c>
    </row>
    <row r="53" spans="1:7" s="155" customFormat="1" ht="30">
      <c r="A53" s="218" t="s">
        <v>888</v>
      </c>
      <c r="B53" s="142" t="s">
        <v>889</v>
      </c>
      <c r="C53" s="142"/>
      <c r="D53" s="164">
        <f>D54+D55+D56</f>
        <v>16964199446</v>
      </c>
      <c r="E53" s="164">
        <f>E54+E55+E56</f>
        <v>16964199446</v>
      </c>
      <c r="F53" s="164">
        <f>F54+F55+F56</f>
        <v>1283987031</v>
      </c>
      <c r="G53" s="165">
        <f>G54+G55+G56</f>
        <v>1283987031</v>
      </c>
    </row>
    <row r="54" spans="1:7" s="155" customFormat="1" ht="40">
      <c r="A54" s="219" t="s">
        <v>890</v>
      </c>
      <c r="B54" s="220" t="s">
        <v>891</v>
      </c>
      <c r="C54" s="220"/>
      <c r="D54" s="169">
        <v>5789858935</v>
      </c>
      <c r="E54" s="169">
        <v>5789858935</v>
      </c>
      <c r="F54" s="169">
        <v>667098878</v>
      </c>
      <c r="G54" s="170">
        <v>667098878</v>
      </c>
    </row>
    <row r="55" spans="1:7" s="155" customFormat="1" ht="40">
      <c r="A55" s="219" t="s">
        <v>892</v>
      </c>
      <c r="B55" s="220" t="s">
        <v>893</v>
      </c>
      <c r="C55" s="220"/>
      <c r="D55" s="169">
        <v>4631887164</v>
      </c>
      <c r="E55" s="169">
        <v>4631887164</v>
      </c>
      <c r="F55" s="169">
        <v>616888153</v>
      </c>
      <c r="G55" s="170">
        <v>616888153</v>
      </c>
    </row>
    <row r="56" spans="1:7" s="155" customFormat="1" ht="20">
      <c r="A56" s="219" t="s">
        <v>894</v>
      </c>
      <c r="B56" s="220" t="s">
        <v>895</v>
      </c>
      <c r="C56" s="220"/>
      <c r="D56" s="169">
        <v>6542453347</v>
      </c>
      <c r="E56" s="169">
        <v>6542453347</v>
      </c>
      <c r="F56" s="169">
        <v>0</v>
      </c>
      <c r="G56" s="170">
        <v>0</v>
      </c>
    </row>
    <row r="57" spans="1:7" s="155" customFormat="1" ht="20">
      <c r="A57" s="218" t="s">
        <v>896</v>
      </c>
      <c r="B57" s="142" t="s">
        <v>897</v>
      </c>
      <c r="C57" s="142"/>
      <c r="D57" s="164">
        <v>27142500</v>
      </c>
      <c r="E57" s="164">
        <v>27142500</v>
      </c>
      <c r="F57" s="164">
        <v>0</v>
      </c>
      <c r="G57" s="165">
        <v>0</v>
      </c>
    </row>
    <row r="58" spans="1:7" s="155" customFormat="1" ht="20">
      <c r="A58" s="218" t="s">
        <v>898</v>
      </c>
      <c r="B58" s="142" t="s">
        <v>899</v>
      </c>
      <c r="C58" s="142"/>
      <c r="D58" s="164">
        <v>165000003</v>
      </c>
      <c r="E58" s="164">
        <v>165000003</v>
      </c>
      <c r="F58" s="164">
        <v>109999997</v>
      </c>
      <c r="G58" s="165">
        <v>109999997</v>
      </c>
    </row>
    <row r="59" spans="1:7" s="155" customFormat="1" ht="20">
      <c r="A59" s="218" t="s">
        <v>900</v>
      </c>
      <c r="B59" s="142" t="s">
        <v>901</v>
      </c>
      <c r="C59" s="142"/>
      <c r="D59" s="164">
        <v>0</v>
      </c>
      <c r="E59" s="164">
        <v>0</v>
      </c>
      <c r="F59" s="164">
        <v>0</v>
      </c>
      <c r="G59" s="165">
        <v>0</v>
      </c>
    </row>
    <row r="60" spans="1:7" s="155" customFormat="1" ht="20">
      <c r="A60" s="218" t="s">
        <v>902</v>
      </c>
      <c r="B60" s="142" t="s">
        <v>903</v>
      </c>
      <c r="C60" s="142"/>
      <c r="D60" s="164">
        <f>D61+D62+D63+D64+D65+D66+D67+D68+D69+D70+D71+D72+D73+D74</f>
        <v>224656042</v>
      </c>
      <c r="E60" s="164">
        <f>E61+E62+E63+E64+E65+E66+E67+E68+E69+E70+E71+E72+E73+E74</f>
        <v>224656042</v>
      </c>
      <c r="F60" s="164">
        <f>F61+F62+F63+F64+F65+F66+F67+F68+F69+F70+F71+F72+F73+F74</f>
        <v>155351231</v>
      </c>
      <c r="G60" s="165">
        <f>G61+G62+G63+G64+G65+G66+G67+G68+G69+G70+G71+G72+G73+G74</f>
        <v>155351231</v>
      </c>
    </row>
    <row r="61" spans="1:7" s="155" customFormat="1" ht="30">
      <c r="A61" s="219" t="s">
        <v>904</v>
      </c>
      <c r="B61" s="220" t="s">
        <v>905</v>
      </c>
      <c r="C61" s="220"/>
      <c r="D61" s="169">
        <v>117000000</v>
      </c>
      <c r="E61" s="169">
        <v>117000000</v>
      </c>
      <c r="F61" s="169">
        <v>68262295</v>
      </c>
      <c r="G61" s="170">
        <v>68262295</v>
      </c>
    </row>
    <row r="62" spans="1:7" s="155" customFormat="1" ht="30">
      <c r="A62" s="219" t="s">
        <v>906</v>
      </c>
      <c r="B62" s="220" t="s">
        <v>907</v>
      </c>
      <c r="C62" s="220"/>
      <c r="D62" s="169">
        <v>0</v>
      </c>
      <c r="E62" s="169">
        <v>0</v>
      </c>
      <c r="F62" s="169">
        <v>0</v>
      </c>
      <c r="G62" s="170">
        <v>0</v>
      </c>
    </row>
    <row r="63" spans="1:7" s="155" customFormat="1" ht="20">
      <c r="A63" s="219" t="s">
        <v>908</v>
      </c>
      <c r="B63" s="220" t="s">
        <v>909</v>
      </c>
      <c r="C63" s="220"/>
      <c r="D63" s="169">
        <v>0</v>
      </c>
      <c r="E63" s="169">
        <v>0</v>
      </c>
      <c r="F63" s="169">
        <v>0</v>
      </c>
      <c r="G63" s="170">
        <v>0</v>
      </c>
    </row>
    <row r="64" spans="1:7" s="155" customFormat="1" ht="20">
      <c r="A64" s="219" t="s">
        <v>910</v>
      </c>
      <c r="B64" s="220" t="s">
        <v>911</v>
      </c>
      <c r="C64" s="220"/>
      <c r="D64" s="169">
        <v>0</v>
      </c>
      <c r="E64" s="169">
        <v>0</v>
      </c>
      <c r="F64" s="169">
        <v>0</v>
      </c>
      <c r="G64" s="170">
        <v>0</v>
      </c>
    </row>
    <row r="65" spans="1:7" s="155" customFormat="1" ht="20">
      <c r="A65" s="219" t="s">
        <v>912</v>
      </c>
      <c r="B65" s="220" t="s">
        <v>913</v>
      </c>
      <c r="C65" s="220"/>
      <c r="D65" s="169">
        <v>0</v>
      </c>
      <c r="E65" s="169">
        <v>0</v>
      </c>
      <c r="F65" s="169">
        <v>0</v>
      </c>
      <c r="G65" s="170">
        <v>0</v>
      </c>
    </row>
    <row r="66" spans="1:7" s="155" customFormat="1" ht="20">
      <c r="A66" s="219" t="s">
        <v>914</v>
      </c>
      <c r="B66" s="220" t="s">
        <v>915</v>
      </c>
      <c r="C66" s="220"/>
      <c r="D66" s="169">
        <v>0</v>
      </c>
      <c r="E66" s="169">
        <v>0</v>
      </c>
      <c r="F66" s="169">
        <v>50000000</v>
      </c>
      <c r="G66" s="170">
        <v>50000000</v>
      </c>
    </row>
    <row r="67" spans="1:7" s="155" customFormat="1" ht="20">
      <c r="A67" s="219" t="s">
        <v>916</v>
      </c>
      <c r="B67" s="220" t="s">
        <v>917</v>
      </c>
      <c r="C67" s="220"/>
      <c r="D67" s="169">
        <v>0</v>
      </c>
      <c r="E67" s="169">
        <v>0</v>
      </c>
      <c r="F67" s="169">
        <v>5374005</v>
      </c>
      <c r="G67" s="170">
        <v>5374005</v>
      </c>
    </row>
    <row r="68" spans="1:7" s="155" customFormat="1" ht="20">
      <c r="A68" s="219" t="s">
        <v>918</v>
      </c>
      <c r="B68" s="220" t="s">
        <v>919</v>
      </c>
      <c r="C68" s="220"/>
      <c r="D68" s="169">
        <v>48872854</v>
      </c>
      <c r="E68" s="169">
        <v>48872854</v>
      </c>
      <c r="F68" s="169">
        <v>14214931</v>
      </c>
      <c r="G68" s="170">
        <v>14214931</v>
      </c>
    </row>
    <row r="69" spans="1:7" s="155" customFormat="1" ht="30">
      <c r="A69" s="219" t="s">
        <v>920</v>
      </c>
      <c r="B69" s="220" t="s">
        <v>921</v>
      </c>
      <c r="C69" s="220"/>
      <c r="D69" s="169">
        <v>0</v>
      </c>
      <c r="E69" s="169">
        <v>0</v>
      </c>
      <c r="F69" s="169">
        <v>0</v>
      </c>
      <c r="G69" s="170">
        <v>0</v>
      </c>
    </row>
    <row r="70" spans="1:7" s="155" customFormat="1" ht="20">
      <c r="A70" s="219" t="s">
        <v>922</v>
      </c>
      <c r="B70" s="220" t="s">
        <v>923</v>
      </c>
      <c r="C70" s="220"/>
      <c r="D70" s="169">
        <v>18283188</v>
      </c>
      <c r="E70" s="169">
        <v>18283188</v>
      </c>
      <c r="F70" s="169">
        <v>0</v>
      </c>
      <c r="G70" s="170">
        <v>0</v>
      </c>
    </row>
    <row r="71" spans="1:7" s="155" customFormat="1" ht="30">
      <c r="A71" s="219" t="s">
        <v>924</v>
      </c>
      <c r="B71" s="220" t="s">
        <v>925</v>
      </c>
      <c r="C71" s="220"/>
      <c r="D71" s="169">
        <v>10500000</v>
      </c>
      <c r="E71" s="169">
        <v>10500000</v>
      </c>
      <c r="F71" s="169">
        <v>0</v>
      </c>
      <c r="G71" s="170">
        <v>0</v>
      </c>
    </row>
    <row r="72" spans="1:7" s="155" customFormat="1" ht="20">
      <c r="A72" s="219" t="s">
        <v>926</v>
      </c>
      <c r="B72" s="220" t="s">
        <v>927</v>
      </c>
      <c r="C72" s="220"/>
      <c r="D72" s="169">
        <v>0</v>
      </c>
      <c r="E72" s="169">
        <v>0</v>
      </c>
      <c r="F72" s="169">
        <v>0</v>
      </c>
      <c r="G72" s="170">
        <v>0</v>
      </c>
    </row>
    <row r="73" spans="1:7" s="155" customFormat="1" ht="20">
      <c r="A73" s="219" t="s">
        <v>928</v>
      </c>
      <c r="B73" s="220" t="s">
        <v>929</v>
      </c>
      <c r="C73" s="220"/>
      <c r="D73" s="169">
        <v>30000000</v>
      </c>
      <c r="E73" s="169">
        <v>30000000</v>
      </c>
      <c r="F73" s="169">
        <v>17500000</v>
      </c>
      <c r="G73" s="170">
        <v>17500000</v>
      </c>
    </row>
    <row r="74" spans="1:7" s="155" customFormat="1" ht="20">
      <c r="A74" s="219" t="s">
        <v>930</v>
      </c>
      <c r="B74" s="220" t="s">
        <v>931</v>
      </c>
      <c r="C74" s="220"/>
      <c r="D74" s="169">
        <v>0</v>
      </c>
      <c r="E74" s="169">
        <v>0</v>
      </c>
      <c r="F74" s="169">
        <v>0</v>
      </c>
      <c r="G74" s="170">
        <v>0</v>
      </c>
    </row>
    <row r="75" spans="1:7" s="155" customFormat="1" ht="30">
      <c r="A75" s="216" t="s">
        <v>932</v>
      </c>
      <c r="B75" s="217" t="s">
        <v>933</v>
      </c>
      <c r="C75" s="217"/>
      <c r="D75" s="159">
        <f>D19-D35-D43</f>
        <v>5319381902834</v>
      </c>
      <c r="E75" s="159">
        <f>E19-E35-E43</f>
        <v>5319381902834</v>
      </c>
      <c r="F75" s="159">
        <f>F19-F35-F43</f>
        <v>1030560272239</v>
      </c>
      <c r="G75" s="160">
        <f>G19-G35-G43</f>
        <v>1030560272239</v>
      </c>
    </row>
    <row r="76" spans="1:7" s="155" customFormat="1" ht="30">
      <c r="A76" s="216" t="s">
        <v>934</v>
      </c>
      <c r="B76" s="217" t="s">
        <v>935</v>
      </c>
      <c r="C76" s="217"/>
      <c r="D76" s="159">
        <f>D77-D78</f>
        <v>0</v>
      </c>
      <c r="E76" s="159">
        <f>E77-E78</f>
        <v>0</v>
      </c>
      <c r="F76" s="159">
        <f>F77-F78</f>
        <v>0</v>
      </c>
      <c r="G76" s="160">
        <f>G77-G78</f>
        <v>0</v>
      </c>
    </row>
    <row r="77" spans="1:7" s="155" customFormat="1" ht="20">
      <c r="A77" s="218" t="s">
        <v>936</v>
      </c>
      <c r="B77" s="142" t="s">
        <v>937</v>
      </c>
      <c r="C77" s="142"/>
      <c r="D77" s="164">
        <v>0</v>
      </c>
      <c r="E77" s="164">
        <v>0</v>
      </c>
      <c r="F77" s="164">
        <v>0</v>
      </c>
      <c r="G77" s="165">
        <v>0</v>
      </c>
    </row>
    <row r="78" spans="1:7" s="155" customFormat="1" ht="20">
      <c r="A78" s="218" t="s">
        <v>938</v>
      </c>
      <c r="B78" s="142" t="s">
        <v>939</v>
      </c>
      <c r="C78" s="142"/>
      <c r="D78" s="164">
        <v>0</v>
      </c>
      <c r="E78" s="164">
        <v>0</v>
      </c>
      <c r="F78" s="164">
        <v>0</v>
      </c>
      <c r="G78" s="165">
        <v>0</v>
      </c>
    </row>
    <row r="79" spans="1:7" s="155" customFormat="1" ht="40">
      <c r="A79" s="216" t="s">
        <v>940</v>
      </c>
      <c r="B79" s="217" t="s">
        <v>520</v>
      </c>
      <c r="C79" s="217"/>
      <c r="D79" s="159">
        <f>D75+D76</f>
        <v>5319381902834</v>
      </c>
      <c r="E79" s="159">
        <f>E75+E76</f>
        <v>5319381902834</v>
      </c>
      <c r="F79" s="159">
        <f>F75+F76</f>
        <v>1030560272239</v>
      </c>
      <c r="G79" s="160">
        <f>G75+G76</f>
        <v>1030560272239</v>
      </c>
    </row>
    <row r="80" spans="1:7" s="155" customFormat="1" ht="20">
      <c r="A80" s="218" t="s">
        <v>941</v>
      </c>
      <c r="B80" s="142" t="s">
        <v>942</v>
      </c>
      <c r="C80" s="142"/>
      <c r="D80" s="164">
        <v>2308716196038</v>
      </c>
      <c r="E80" s="164">
        <v>2308716196038</v>
      </c>
      <c r="F80" s="164">
        <v>44573644927</v>
      </c>
      <c r="G80" s="165">
        <v>44573644927</v>
      </c>
    </row>
    <row r="81" spans="1:7" s="155" customFormat="1" ht="20">
      <c r="A81" s="218" t="s">
        <v>943</v>
      </c>
      <c r="B81" s="142" t="s">
        <v>944</v>
      </c>
      <c r="C81" s="142"/>
      <c r="D81" s="164">
        <v>3010665706796</v>
      </c>
      <c r="E81" s="164">
        <v>3010665706796</v>
      </c>
      <c r="F81" s="164">
        <v>985986627312</v>
      </c>
      <c r="G81" s="165">
        <v>985986627312</v>
      </c>
    </row>
    <row r="82" spans="1:7" s="155" customFormat="1" ht="20">
      <c r="A82" s="216" t="s">
        <v>945</v>
      </c>
      <c r="B82" s="217" t="s">
        <v>946</v>
      </c>
      <c r="C82" s="217"/>
      <c r="D82" s="159">
        <v>0</v>
      </c>
      <c r="E82" s="159">
        <v>0</v>
      </c>
      <c r="F82" s="159">
        <v>0</v>
      </c>
      <c r="G82" s="160">
        <v>0</v>
      </c>
    </row>
    <row r="83" spans="1:7" s="155" customFormat="1" ht="40">
      <c r="A83" s="221" t="s">
        <v>947</v>
      </c>
      <c r="B83" s="222" t="s">
        <v>948</v>
      </c>
      <c r="C83" s="222"/>
      <c r="D83" s="223">
        <f>D79</f>
        <v>5319381902834</v>
      </c>
      <c r="E83" s="223">
        <f>E79</f>
        <v>5319381902834</v>
      </c>
      <c r="F83" s="223">
        <f>F79</f>
        <v>1030560272239</v>
      </c>
      <c r="G83" s="224">
        <f>G79</f>
        <v>1030560272239</v>
      </c>
    </row>
    <row r="84" spans="1:7" ht="10.5" customHeight="1">
      <c r="A84" s="132"/>
      <c r="B84" s="317"/>
      <c r="C84" s="317"/>
      <c r="D84" s="317"/>
      <c r="E84" s="317"/>
      <c r="F84" s="317"/>
      <c r="G84" s="317"/>
    </row>
    <row r="85" spans="1:7" ht="15" customHeight="1">
      <c r="A85" s="133" t="s">
        <v>813</v>
      </c>
      <c r="B85" s="316" t="s">
        <v>814</v>
      </c>
      <c r="C85" s="316"/>
      <c r="D85" s="316"/>
      <c r="E85" s="316"/>
      <c r="F85" s="393" t="s">
        <v>228</v>
      </c>
      <c r="G85" s="393"/>
    </row>
    <row r="86" spans="1:7" ht="15" customHeight="1">
      <c r="A86" s="225" t="s">
        <v>815</v>
      </c>
      <c r="B86" s="389" t="s">
        <v>815</v>
      </c>
      <c r="C86" s="389"/>
      <c r="D86" s="389"/>
      <c r="E86" s="389"/>
      <c r="F86" s="390" t="s">
        <v>816</v>
      </c>
      <c r="G86" s="390"/>
    </row>
    <row r="87" spans="1:7" ht="86" customHeight="1">
      <c r="A87" s="132"/>
      <c r="B87" s="317"/>
      <c r="C87" s="317"/>
      <c r="D87" s="317"/>
      <c r="E87" s="317"/>
      <c r="F87" s="317"/>
      <c r="G87" s="317"/>
    </row>
    <row r="88" spans="1:7" ht="15.75" customHeight="1">
      <c r="A88" s="133" t="s">
        <v>817</v>
      </c>
      <c r="B88" s="313" t="s">
        <v>818</v>
      </c>
      <c r="C88" s="313"/>
      <c r="D88" s="313"/>
      <c r="E88" s="313"/>
      <c r="F88" s="313" t="s">
        <v>230</v>
      </c>
      <c r="G88" s="313"/>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22" right="0.18" top="0.32" bottom="0.36" header="0.44" footer="0.34"/>
  <pageSetup paperSize="9" scale="85" fitToHeight="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H130"/>
  <sheetViews>
    <sheetView showGridLines="0" showZeros="0" showOutlineSymbols="0" view="pageBreakPreview" zoomScaleNormal="100" zoomScaleSheetLayoutView="100" workbookViewId="0">
      <selection activeCell="C16" sqref="C16"/>
    </sheetView>
  </sheetViews>
  <sheetFormatPr defaultColWidth="9.1796875" defaultRowHeight="10"/>
  <cols>
    <col min="1" max="1" width="6" style="131" customWidth="1"/>
    <col min="2" max="2" width="38.7265625" style="131" customWidth="1"/>
    <col min="3" max="3" width="7.81640625" style="131" customWidth="1"/>
    <col min="4" max="4" width="7" style="131" customWidth="1"/>
    <col min="5" max="6" width="19.7265625" style="131" customWidth="1"/>
    <col min="7" max="16384" width="9.1796875" style="131"/>
  </cols>
  <sheetData>
    <row r="1" spans="1:6" ht="33" customHeight="1">
      <c r="A1" s="317"/>
      <c r="B1" s="317"/>
      <c r="C1" s="316" t="s">
        <v>578</v>
      </c>
      <c r="D1" s="316"/>
      <c r="E1" s="316"/>
      <c r="F1" s="316"/>
    </row>
    <row r="2" spans="1:6" ht="27" customHeight="1">
      <c r="A2" s="324" t="s">
        <v>579</v>
      </c>
      <c r="B2" s="324"/>
      <c r="C2" s="324"/>
      <c r="D2" s="324"/>
      <c r="E2" s="324"/>
      <c r="F2" s="324"/>
    </row>
    <row r="3" spans="1:6" ht="3.75" customHeight="1">
      <c r="A3" s="132"/>
      <c r="B3" s="132"/>
      <c r="C3" s="132"/>
      <c r="D3" s="132"/>
      <c r="E3" s="132"/>
      <c r="F3" s="132"/>
    </row>
    <row r="4" spans="1:6" ht="30.75" customHeight="1">
      <c r="A4" s="325" t="s">
        <v>580</v>
      </c>
      <c r="B4" s="325"/>
      <c r="C4" s="325"/>
      <c r="D4" s="325"/>
      <c r="E4" s="325"/>
      <c r="F4" s="325"/>
    </row>
    <row r="5" spans="1:6" ht="11.25" customHeight="1">
      <c r="A5" s="315" t="s">
        <v>384</v>
      </c>
      <c r="B5" s="315"/>
      <c r="C5" s="315"/>
      <c r="D5" s="315"/>
      <c r="E5" s="315"/>
      <c r="F5" s="315"/>
    </row>
    <row r="6" spans="1:6" ht="5.25" customHeight="1">
      <c r="A6" s="132"/>
      <c r="B6" s="132"/>
      <c r="C6" s="226"/>
      <c r="D6" s="132"/>
      <c r="E6" s="132"/>
      <c r="F6" s="132"/>
    </row>
    <row r="7" spans="1:6" ht="4.5" customHeight="1">
      <c r="A7" s="132"/>
      <c r="B7" s="132"/>
      <c r="C7" s="132"/>
      <c r="D7" s="132"/>
      <c r="E7" s="132"/>
      <c r="F7" s="132"/>
    </row>
    <row r="8" spans="1:6" ht="12.75" customHeight="1">
      <c r="A8" s="318" t="s">
        <v>10</v>
      </c>
      <c r="B8" s="318"/>
      <c r="C8" s="318" t="s">
        <v>11</v>
      </c>
      <c r="D8" s="318"/>
      <c r="E8" s="318"/>
      <c r="F8" s="318"/>
    </row>
    <row r="9" spans="1:6" ht="12.75" customHeight="1">
      <c r="A9" s="317" t="s">
        <v>12</v>
      </c>
      <c r="B9" s="317"/>
      <c r="C9" s="317" t="s">
        <v>13</v>
      </c>
      <c r="D9" s="317"/>
      <c r="E9" s="317"/>
      <c r="F9" s="317"/>
    </row>
    <row r="10" spans="1:6" ht="12.75" customHeight="1">
      <c r="A10" s="318" t="s">
        <v>385</v>
      </c>
      <c r="B10" s="318"/>
      <c r="C10" s="318" t="s">
        <v>16</v>
      </c>
      <c r="D10" s="318"/>
      <c r="E10" s="318"/>
      <c r="F10" s="318"/>
    </row>
    <row r="11" spans="1:6" ht="12.75" customHeight="1">
      <c r="A11" s="317" t="s">
        <v>17</v>
      </c>
      <c r="B11" s="317"/>
      <c r="C11" s="317" t="s">
        <v>18</v>
      </c>
      <c r="D11" s="317"/>
      <c r="E11" s="317"/>
      <c r="F11" s="317"/>
    </row>
    <row r="12" spans="1:6" ht="12.75" customHeight="1">
      <c r="A12" s="318" t="s">
        <v>5</v>
      </c>
      <c r="B12" s="318"/>
      <c r="C12" s="318" t="s">
        <v>6</v>
      </c>
      <c r="D12" s="318"/>
      <c r="E12" s="318"/>
      <c r="F12" s="318"/>
    </row>
    <row r="13" spans="1:6" ht="12.75" customHeight="1">
      <c r="A13" s="317" t="s">
        <v>7</v>
      </c>
      <c r="B13" s="317"/>
      <c r="C13" s="317" t="s">
        <v>8</v>
      </c>
      <c r="D13" s="317"/>
      <c r="E13" s="317"/>
      <c r="F13" s="317"/>
    </row>
    <row r="14" spans="1:6" ht="12.75" customHeight="1">
      <c r="A14" s="318" t="s">
        <v>20</v>
      </c>
      <c r="B14" s="318"/>
      <c r="C14" s="319">
        <v>44624</v>
      </c>
      <c r="D14" s="318"/>
      <c r="E14" s="318"/>
      <c r="F14" s="318"/>
    </row>
    <row r="15" spans="1:6" ht="12.75" customHeight="1">
      <c r="A15" s="317" t="s">
        <v>21</v>
      </c>
      <c r="B15" s="317"/>
      <c r="C15" s="320">
        <v>44624</v>
      </c>
      <c r="D15" s="317"/>
      <c r="E15" s="317"/>
      <c r="F15" s="317"/>
    </row>
    <row r="16" spans="1:6" ht="12.75" customHeight="1">
      <c r="A16" s="135"/>
      <c r="B16" s="135"/>
      <c r="C16" s="135"/>
      <c r="D16" s="135"/>
      <c r="E16" s="135"/>
      <c r="F16" s="136" t="s">
        <v>24</v>
      </c>
    </row>
    <row r="17" spans="1:6" ht="39.75" customHeight="1">
      <c r="A17" s="137" t="s">
        <v>388</v>
      </c>
      <c r="B17" s="138" t="s">
        <v>581</v>
      </c>
      <c r="C17" s="138" t="s">
        <v>582</v>
      </c>
      <c r="D17" s="138" t="s">
        <v>583</v>
      </c>
      <c r="E17" s="227" t="s">
        <v>584</v>
      </c>
      <c r="F17" s="139" t="s">
        <v>585</v>
      </c>
    </row>
    <row r="18" spans="1:6" ht="20">
      <c r="A18" s="228" t="s">
        <v>31</v>
      </c>
      <c r="B18" s="229" t="s">
        <v>586</v>
      </c>
      <c r="C18" s="230" t="s">
        <v>31</v>
      </c>
      <c r="D18" s="230"/>
      <c r="E18" s="231">
        <v>0</v>
      </c>
      <c r="F18" s="232">
        <v>0</v>
      </c>
    </row>
    <row r="19" spans="1:6" ht="20">
      <c r="A19" s="228" t="s">
        <v>4</v>
      </c>
      <c r="B19" s="229" t="s">
        <v>587</v>
      </c>
      <c r="C19" s="230" t="s">
        <v>588</v>
      </c>
      <c r="D19" s="230"/>
      <c r="E19" s="231">
        <f>E20+E25+E26</f>
        <v>43242266392</v>
      </c>
      <c r="F19" s="232">
        <f>F20+F25+F26</f>
        <v>39013886580</v>
      </c>
    </row>
    <row r="20" spans="1:6" ht="20">
      <c r="A20" s="233" t="s">
        <v>589</v>
      </c>
      <c r="B20" s="234" t="s">
        <v>590</v>
      </c>
      <c r="C20" s="235" t="s">
        <v>591</v>
      </c>
      <c r="D20" s="235"/>
      <c r="E20" s="236">
        <f>E21+E22+E23+E24</f>
        <v>43242266392</v>
      </c>
      <c r="F20" s="237">
        <f>F21+F22+F23+F24</f>
        <v>14013886580</v>
      </c>
    </row>
    <row r="21" spans="1:6" ht="30">
      <c r="A21" s="238"/>
      <c r="B21" s="239" t="s">
        <v>592</v>
      </c>
      <c r="C21" s="240" t="s">
        <v>593</v>
      </c>
      <c r="D21" s="240"/>
      <c r="E21" s="241">
        <v>0</v>
      </c>
      <c r="F21" s="242">
        <v>118102320</v>
      </c>
    </row>
    <row r="22" spans="1:6" ht="24" customHeight="1">
      <c r="A22" s="238"/>
      <c r="B22" s="239" t="s">
        <v>594</v>
      </c>
      <c r="C22" s="240" t="s">
        <v>595</v>
      </c>
      <c r="D22" s="240"/>
      <c r="E22" s="241">
        <v>0</v>
      </c>
      <c r="F22" s="242">
        <v>0</v>
      </c>
    </row>
    <row r="23" spans="1:6" ht="20">
      <c r="A23" s="238"/>
      <c r="B23" s="239" t="s">
        <v>485</v>
      </c>
      <c r="C23" s="240" t="s">
        <v>596</v>
      </c>
      <c r="D23" s="240"/>
      <c r="E23" s="241">
        <v>43242266392</v>
      </c>
      <c r="F23" s="242">
        <v>13895784260</v>
      </c>
    </row>
    <row r="24" spans="1:6" ht="30">
      <c r="A24" s="238"/>
      <c r="B24" s="239" t="s">
        <v>597</v>
      </c>
      <c r="C24" s="240" t="s">
        <v>598</v>
      </c>
      <c r="D24" s="240"/>
      <c r="E24" s="241">
        <v>0</v>
      </c>
      <c r="F24" s="242">
        <v>0</v>
      </c>
    </row>
    <row r="25" spans="1:6" ht="20">
      <c r="A25" s="233" t="s">
        <v>599</v>
      </c>
      <c r="B25" s="234" t="s">
        <v>600</v>
      </c>
      <c r="C25" s="235" t="s">
        <v>601</v>
      </c>
      <c r="D25" s="235"/>
      <c r="E25" s="236">
        <v>0</v>
      </c>
      <c r="F25" s="237">
        <v>25000000000</v>
      </c>
    </row>
    <row r="26" spans="1:6" ht="20">
      <c r="A26" s="233" t="s">
        <v>602</v>
      </c>
      <c r="B26" s="234" t="s">
        <v>603</v>
      </c>
      <c r="C26" s="235" t="s">
        <v>604</v>
      </c>
      <c r="D26" s="235"/>
      <c r="E26" s="236">
        <v>0</v>
      </c>
      <c r="F26" s="237">
        <v>0</v>
      </c>
    </row>
    <row r="27" spans="1:6" ht="20">
      <c r="A27" s="228" t="s">
        <v>9</v>
      </c>
      <c r="B27" s="229" t="s">
        <v>605</v>
      </c>
      <c r="C27" s="230" t="s">
        <v>606</v>
      </c>
      <c r="D27" s="230"/>
      <c r="E27" s="231">
        <f>E28-E38</f>
        <v>13755212515450</v>
      </c>
      <c r="F27" s="232">
        <f>F28-F38</f>
        <v>5245932380150</v>
      </c>
    </row>
    <row r="28" spans="1:6" ht="20">
      <c r="A28" s="233" t="s">
        <v>607</v>
      </c>
      <c r="B28" s="234" t="s">
        <v>608</v>
      </c>
      <c r="C28" s="235" t="s">
        <v>609</v>
      </c>
      <c r="D28" s="235"/>
      <c r="E28" s="236">
        <f>E29+E30+E31+E32+E33+E34+E35+E36+E37</f>
        <v>13755212515450</v>
      </c>
      <c r="F28" s="237">
        <f>F29+F30+F31+F32+F33+F34+F35+F36+F37</f>
        <v>5245932380150</v>
      </c>
    </row>
    <row r="29" spans="1:6" ht="20">
      <c r="A29" s="238"/>
      <c r="B29" s="239" t="s">
        <v>610</v>
      </c>
      <c r="C29" s="240" t="s">
        <v>611</v>
      </c>
      <c r="D29" s="240"/>
      <c r="E29" s="241">
        <v>13755212515450</v>
      </c>
      <c r="F29" s="242">
        <v>5245932380150</v>
      </c>
    </row>
    <row r="30" spans="1:6" ht="20">
      <c r="A30" s="238"/>
      <c r="B30" s="239" t="s">
        <v>612</v>
      </c>
      <c r="C30" s="240" t="s">
        <v>613</v>
      </c>
      <c r="D30" s="240"/>
      <c r="E30" s="241">
        <v>0</v>
      </c>
      <c r="F30" s="242">
        <v>0</v>
      </c>
    </row>
    <row r="31" spans="1:6" ht="20">
      <c r="A31" s="238"/>
      <c r="B31" s="239" t="s">
        <v>614</v>
      </c>
      <c r="C31" s="240" t="s">
        <v>615</v>
      </c>
      <c r="D31" s="240"/>
      <c r="E31" s="241">
        <v>0</v>
      </c>
      <c r="F31" s="242">
        <v>0</v>
      </c>
    </row>
    <row r="32" spans="1:6" ht="20">
      <c r="A32" s="238"/>
      <c r="B32" s="239" t="s">
        <v>616</v>
      </c>
      <c r="C32" s="240" t="s">
        <v>617</v>
      </c>
      <c r="D32" s="240"/>
      <c r="E32" s="241">
        <v>0</v>
      </c>
      <c r="F32" s="242">
        <v>0</v>
      </c>
    </row>
    <row r="33" spans="1:6" ht="20">
      <c r="A33" s="238"/>
      <c r="B33" s="239" t="s">
        <v>618</v>
      </c>
      <c r="C33" s="240" t="s">
        <v>619</v>
      </c>
      <c r="D33" s="240"/>
      <c r="E33" s="241">
        <v>0</v>
      </c>
      <c r="F33" s="242">
        <v>0</v>
      </c>
    </row>
    <row r="34" spans="1:6" ht="20">
      <c r="A34" s="238"/>
      <c r="B34" s="239" t="s">
        <v>620</v>
      </c>
      <c r="C34" s="240" t="s">
        <v>621</v>
      </c>
      <c r="D34" s="240"/>
      <c r="E34" s="241">
        <v>0</v>
      </c>
      <c r="F34" s="242">
        <v>0</v>
      </c>
    </row>
    <row r="35" spans="1:6" ht="20">
      <c r="A35" s="238"/>
      <c r="B35" s="239" t="s">
        <v>450</v>
      </c>
      <c r="C35" s="240" t="s">
        <v>622</v>
      </c>
      <c r="D35" s="240"/>
      <c r="E35" s="241">
        <v>0</v>
      </c>
      <c r="F35" s="242">
        <v>0</v>
      </c>
    </row>
    <row r="36" spans="1:6" ht="20">
      <c r="A36" s="238"/>
      <c r="B36" s="239" t="s">
        <v>623</v>
      </c>
      <c r="C36" s="240" t="s">
        <v>624</v>
      </c>
      <c r="D36" s="240"/>
      <c r="E36" s="241">
        <v>0</v>
      </c>
      <c r="F36" s="242">
        <v>0</v>
      </c>
    </row>
    <row r="37" spans="1:6" ht="20">
      <c r="A37" s="238"/>
      <c r="B37" s="239" t="s">
        <v>70</v>
      </c>
      <c r="C37" s="240" t="s">
        <v>625</v>
      </c>
      <c r="D37" s="240"/>
      <c r="E37" s="241">
        <v>0</v>
      </c>
      <c r="F37" s="242">
        <v>0</v>
      </c>
    </row>
    <row r="38" spans="1:6" ht="20">
      <c r="A38" s="233" t="s">
        <v>626</v>
      </c>
      <c r="B38" s="234" t="s">
        <v>627</v>
      </c>
      <c r="C38" s="235" t="s">
        <v>628</v>
      </c>
      <c r="D38" s="235"/>
      <c r="E38" s="236">
        <v>0</v>
      </c>
      <c r="F38" s="237">
        <v>0</v>
      </c>
    </row>
    <row r="39" spans="1:6" ht="20">
      <c r="A39" s="228" t="s">
        <v>14</v>
      </c>
      <c r="B39" s="229" t="s">
        <v>629</v>
      </c>
      <c r="C39" s="230" t="s">
        <v>630</v>
      </c>
      <c r="D39" s="230"/>
      <c r="E39" s="231">
        <f>E40+E42+E56-E64</f>
        <v>15176853800</v>
      </c>
      <c r="F39" s="232">
        <f>F40+F42+F56-F64</f>
        <v>30821921</v>
      </c>
    </row>
    <row r="40" spans="1:6" ht="22.5" customHeight="1">
      <c r="A40" s="233" t="s">
        <v>631</v>
      </c>
      <c r="B40" s="234" t="s">
        <v>632</v>
      </c>
      <c r="C40" s="235" t="s">
        <v>633</v>
      </c>
      <c r="D40" s="235"/>
      <c r="E40" s="236">
        <v>1672185000</v>
      </c>
      <c r="F40" s="237">
        <v>0</v>
      </c>
    </row>
    <row r="41" spans="1:6" ht="22.5" customHeight="1">
      <c r="A41" s="233"/>
      <c r="B41" s="234" t="s">
        <v>634</v>
      </c>
      <c r="C41" s="235" t="s">
        <v>635</v>
      </c>
      <c r="D41" s="235"/>
      <c r="E41" s="236">
        <v>0</v>
      </c>
      <c r="F41" s="237">
        <v>0</v>
      </c>
    </row>
    <row r="42" spans="1:6" ht="20">
      <c r="A42" s="233" t="s">
        <v>636</v>
      </c>
      <c r="B42" s="234" t="s">
        <v>637</v>
      </c>
      <c r="C42" s="235" t="s">
        <v>638</v>
      </c>
      <c r="D42" s="235"/>
      <c r="E42" s="236">
        <f>E43+E49+E50</f>
        <v>13504668800</v>
      </c>
      <c r="F42" s="237">
        <f>F43+F49+F50</f>
        <v>30821921</v>
      </c>
    </row>
    <row r="43" spans="1:6" ht="30">
      <c r="A43" s="233" t="s">
        <v>639</v>
      </c>
      <c r="B43" s="234" t="s">
        <v>640</v>
      </c>
      <c r="C43" s="235" t="s">
        <v>641</v>
      </c>
      <c r="D43" s="235"/>
      <c r="E43" s="236">
        <f>E44+E45+E46+E47+E48</f>
        <v>0</v>
      </c>
      <c r="F43" s="237">
        <f>F44+F45+F46+F47+F48</f>
        <v>0</v>
      </c>
    </row>
    <row r="44" spans="1:6" ht="20">
      <c r="A44" s="238"/>
      <c r="B44" s="239" t="s">
        <v>642</v>
      </c>
      <c r="C44" s="240" t="s">
        <v>643</v>
      </c>
      <c r="D44" s="240"/>
      <c r="E44" s="241">
        <v>0</v>
      </c>
      <c r="F44" s="242">
        <v>0</v>
      </c>
    </row>
    <row r="45" spans="1:6" ht="20">
      <c r="A45" s="238"/>
      <c r="B45" s="239" t="s">
        <v>644</v>
      </c>
      <c r="C45" s="240" t="s">
        <v>645</v>
      </c>
      <c r="D45" s="240"/>
      <c r="E45" s="241">
        <v>0</v>
      </c>
      <c r="F45" s="242">
        <v>0</v>
      </c>
    </row>
    <row r="46" spans="1:6" ht="30">
      <c r="A46" s="238"/>
      <c r="B46" s="239" t="s">
        <v>646</v>
      </c>
      <c r="C46" s="240" t="s">
        <v>647</v>
      </c>
      <c r="D46" s="240"/>
      <c r="E46" s="241">
        <v>0</v>
      </c>
      <c r="F46" s="242">
        <v>0</v>
      </c>
    </row>
    <row r="47" spans="1:6" ht="30">
      <c r="A47" s="238"/>
      <c r="B47" s="239" t="s">
        <v>648</v>
      </c>
      <c r="C47" s="240" t="s">
        <v>649</v>
      </c>
      <c r="D47" s="240"/>
      <c r="E47" s="241">
        <v>0</v>
      </c>
      <c r="F47" s="242">
        <v>0</v>
      </c>
    </row>
    <row r="48" spans="1:6" ht="20">
      <c r="A48" s="238"/>
      <c r="B48" s="239" t="s">
        <v>650</v>
      </c>
      <c r="C48" s="240" t="s">
        <v>651</v>
      </c>
      <c r="D48" s="240"/>
      <c r="E48" s="241">
        <v>0</v>
      </c>
      <c r="F48" s="242">
        <v>0</v>
      </c>
    </row>
    <row r="49" spans="1:6" ht="40">
      <c r="A49" s="233"/>
      <c r="B49" s="234" t="s">
        <v>652</v>
      </c>
      <c r="C49" s="235" t="s">
        <v>653</v>
      </c>
      <c r="D49" s="235"/>
      <c r="E49" s="236">
        <v>0</v>
      </c>
      <c r="F49" s="237">
        <v>0</v>
      </c>
    </row>
    <row r="50" spans="1:6" ht="24" customHeight="1">
      <c r="A50" s="233" t="s">
        <v>654</v>
      </c>
      <c r="B50" s="234" t="s">
        <v>655</v>
      </c>
      <c r="C50" s="235" t="s">
        <v>656</v>
      </c>
      <c r="D50" s="235"/>
      <c r="E50" s="236">
        <f>E51+E52+E53+E54+E55</f>
        <v>13504668800</v>
      </c>
      <c r="F50" s="237">
        <f>F51+F52+F53+F54+F55</f>
        <v>30821921</v>
      </c>
    </row>
    <row r="51" spans="1:6" ht="20">
      <c r="A51" s="238"/>
      <c r="B51" s="239" t="s">
        <v>657</v>
      </c>
      <c r="C51" s="240" t="s">
        <v>658</v>
      </c>
      <c r="D51" s="240"/>
      <c r="E51" s="241">
        <v>13504668800</v>
      </c>
      <c r="F51" s="242">
        <v>0</v>
      </c>
    </row>
    <row r="52" spans="1:6" ht="20">
      <c r="A52" s="238"/>
      <c r="B52" s="239" t="s">
        <v>659</v>
      </c>
      <c r="C52" s="240" t="s">
        <v>660</v>
      </c>
      <c r="D52" s="240"/>
      <c r="E52" s="241">
        <v>0</v>
      </c>
      <c r="F52" s="242">
        <v>0</v>
      </c>
    </row>
    <row r="53" spans="1:6" ht="30">
      <c r="A53" s="238"/>
      <c r="B53" s="239" t="s">
        <v>661</v>
      </c>
      <c r="C53" s="240" t="s">
        <v>662</v>
      </c>
      <c r="D53" s="240"/>
      <c r="E53" s="241">
        <v>0</v>
      </c>
      <c r="F53" s="242">
        <v>30821921</v>
      </c>
    </row>
    <row r="54" spans="1:6" ht="30">
      <c r="A54" s="238"/>
      <c r="B54" s="239" t="s">
        <v>663</v>
      </c>
      <c r="C54" s="240" t="s">
        <v>664</v>
      </c>
      <c r="D54" s="240"/>
      <c r="E54" s="241">
        <v>0</v>
      </c>
      <c r="F54" s="242">
        <v>0</v>
      </c>
    </row>
    <row r="55" spans="1:6" ht="20">
      <c r="A55" s="238"/>
      <c r="B55" s="239" t="s">
        <v>665</v>
      </c>
      <c r="C55" s="240" t="s">
        <v>666</v>
      </c>
      <c r="D55" s="240"/>
      <c r="E55" s="241">
        <v>0</v>
      </c>
      <c r="F55" s="242">
        <v>0</v>
      </c>
    </row>
    <row r="56" spans="1:6" ht="20">
      <c r="A56" s="233" t="s">
        <v>667</v>
      </c>
      <c r="B56" s="234" t="s">
        <v>668</v>
      </c>
      <c r="C56" s="235" t="s">
        <v>669</v>
      </c>
      <c r="D56" s="235"/>
      <c r="E56" s="236">
        <f>E57+E58+E63</f>
        <v>0</v>
      </c>
      <c r="F56" s="237">
        <f>F57+F58+F63</f>
        <v>0</v>
      </c>
    </row>
    <row r="57" spans="1:6" ht="40">
      <c r="A57" s="238"/>
      <c r="B57" s="239" t="s">
        <v>670</v>
      </c>
      <c r="C57" s="240" t="s">
        <v>671</v>
      </c>
      <c r="D57" s="240"/>
      <c r="E57" s="241">
        <v>0</v>
      </c>
      <c r="F57" s="242">
        <v>0</v>
      </c>
    </row>
    <row r="58" spans="1:6" ht="20">
      <c r="A58" s="238"/>
      <c r="B58" s="239" t="s">
        <v>457</v>
      </c>
      <c r="C58" s="240" t="s">
        <v>672</v>
      </c>
      <c r="D58" s="240"/>
      <c r="E58" s="241">
        <f>E59+E60+E61+E62</f>
        <v>0</v>
      </c>
      <c r="F58" s="242">
        <f>F59+F60+F61+F62</f>
        <v>0</v>
      </c>
    </row>
    <row r="59" spans="1:6" ht="20">
      <c r="A59" s="238"/>
      <c r="B59" s="239" t="s">
        <v>471</v>
      </c>
      <c r="C59" s="240" t="s">
        <v>673</v>
      </c>
      <c r="D59" s="240"/>
      <c r="E59" s="241">
        <v>0</v>
      </c>
      <c r="F59" s="242">
        <v>0</v>
      </c>
    </row>
    <row r="60" spans="1:6" ht="20">
      <c r="A60" s="238"/>
      <c r="B60" s="239" t="s">
        <v>674</v>
      </c>
      <c r="C60" s="240" t="s">
        <v>675</v>
      </c>
      <c r="D60" s="240"/>
      <c r="E60" s="241">
        <v>0</v>
      </c>
      <c r="F60" s="242">
        <v>0</v>
      </c>
    </row>
    <row r="61" spans="1:6" ht="20">
      <c r="A61" s="238"/>
      <c r="B61" s="239" t="s">
        <v>475</v>
      </c>
      <c r="C61" s="240" t="s">
        <v>676</v>
      </c>
      <c r="D61" s="240"/>
      <c r="E61" s="241">
        <v>0</v>
      </c>
      <c r="F61" s="242">
        <v>0</v>
      </c>
    </row>
    <row r="62" spans="1:6" ht="30">
      <c r="A62" s="238"/>
      <c r="B62" s="239" t="s">
        <v>477</v>
      </c>
      <c r="C62" s="240" t="s">
        <v>677</v>
      </c>
      <c r="D62" s="240"/>
      <c r="E62" s="241">
        <v>0</v>
      </c>
      <c r="F62" s="242">
        <v>0</v>
      </c>
    </row>
    <row r="63" spans="1:6" ht="20">
      <c r="A63" s="238"/>
      <c r="B63" s="239" t="s">
        <v>678</v>
      </c>
      <c r="C63" s="240" t="s">
        <v>679</v>
      </c>
      <c r="D63" s="240"/>
      <c r="E63" s="241">
        <v>0</v>
      </c>
      <c r="F63" s="242">
        <v>0</v>
      </c>
    </row>
    <row r="64" spans="1:6" ht="20">
      <c r="A64" s="233" t="s">
        <v>680</v>
      </c>
      <c r="B64" s="234" t="s">
        <v>681</v>
      </c>
      <c r="C64" s="235" t="s">
        <v>682</v>
      </c>
      <c r="D64" s="235"/>
      <c r="E64" s="236">
        <v>0</v>
      </c>
      <c r="F64" s="237">
        <v>0</v>
      </c>
    </row>
    <row r="65" spans="1:6" ht="20">
      <c r="A65" s="228"/>
      <c r="B65" s="229" t="s">
        <v>683</v>
      </c>
      <c r="C65" s="230" t="s">
        <v>684</v>
      </c>
      <c r="D65" s="230"/>
      <c r="E65" s="231">
        <f>E19+E27+E39</f>
        <v>13813631635642</v>
      </c>
      <c r="F65" s="232">
        <f>F19+F27+F39</f>
        <v>5284977088651</v>
      </c>
    </row>
    <row r="66" spans="1:6" ht="20">
      <c r="A66" s="228" t="s">
        <v>121</v>
      </c>
      <c r="B66" s="229" t="s">
        <v>685</v>
      </c>
      <c r="C66" s="230" t="s">
        <v>121</v>
      </c>
      <c r="D66" s="230"/>
      <c r="E66" s="231">
        <v>0</v>
      </c>
      <c r="F66" s="232">
        <v>0</v>
      </c>
    </row>
    <row r="67" spans="1:6" ht="20">
      <c r="A67" s="233" t="s">
        <v>4</v>
      </c>
      <c r="B67" s="234" t="s">
        <v>686</v>
      </c>
      <c r="C67" s="235" t="s">
        <v>687</v>
      </c>
      <c r="D67" s="235"/>
      <c r="E67" s="236">
        <v>0</v>
      </c>
      <c r="F67" s="237">
        <v>0</v>
      </c>
    </row>
    <row r="68" spans="1:6" ht="20">
      <c r="A68" s="233"/>
      <c r="B68" s="234" t="s">
        <v>688</v>
      </c>
      <c r="C68" s="235" t="s">
        <v>689</v>
      </c>
      <c r="D68" s="235"/>
      <c r="E68" s="236">
        <v>0</v>
      </c>
      <c r="F68" s="237">
        <v>0</v>
      </c>
    </row>
    <row r="69" spans="1:6" ht="20">
      <c r="A69" s="233"/>
      <c r="B69" s="234" t="s">
        <v>690</v>
      </c>
      <c r="C69" s="235" t="s">
        <v>691</v>
      </c>
      <c r="D69" s="235"/>
      <c r="E69" s="236">
        <v>0</v>
      </c>
      <c r="F69" s="237">
        <v>0</v>
      </c>
    </row>
    <row r="70" spans="1:6" ht="20">
      <c r="A70" s="233" t="s">
        <v>9</v>
      </c>
      <c r="B70" s="234" t="s">
        <v>692</v>
      </c>
      <c r="C70" s="235" t="s">
        <v>693</v>
      </c>
      <c r="D70" s="235"/>
      <c r="E70" s="236">
        <v>0</v>
      </c>
      <c r="F70" s="237">
        <v>0</v>
      </c>
    </row>
    <row r="71" spans="1:6" ht="40">
      <c r="A71" s="233" t="s">
        <v>14</v>
      </c>
      <c r="B71" s="234" t="s">
        <v>694</v>
      </c>
      <c r="C71" s="235" t="s">
        <v>695</v>
      </c>
      <c r="D71" s="235"/>
      <c r="E71" s="236">
        <f>E72+E73</f>
        <v>0</v>
      </c>
      <c r="F71" s="237">
        <f>F72+F73</f>
        <v>0</v>
      </c>
    </row>
    <row r="72" spans="1:6" ht="20">
      <c r="A72" s="238"/>
      <c r="B72" s="239" t="s">
        <v>696</v>
      </c>
      <c r="C72" s="240" t="s">
        <v>697</v>
      </c>
      <c r="D72" s="240"/>
      <c r="E72" s="241">
        <v>0</v>
      </c>
      <c r="F72" s="242">
        <v>0</v>
      </c>
    </row>
    <row r="73" spans="1:6" ht="33.75" customHeight="1">
      <c r="A73" s="238"/>
      <c r="B73" s="239" t="s">
        <v>698</v>
      </c>
      <c r="C73" s="240" t="s">
        <v>699</v>
      </c>
      <c r="D73" s="240"/>
      <c r="E73" s="241">
        <v>0</v>
      </c>
      <c r="F73" s="242">
        <v>0</v>
      </c>
    </row>
    <row r="74" spans="1:6" ht="20">
      <c r="A74" s="233" t="s">
        <v>19</v>
      </c>
      <c r="B74" s="234" t="s">
        <v>700</v>
      </c>
      <c r="C74" s="235" t="s">
        <v>701</v>
      </c>
      <c r="D74" s="235"/>
      <c r="E74" s="236">
        <v>0</v>
      </c>
      <c r="F74" s="237">
        <v>0</v>
      </c>
    </row>
    <row r="75" spans="1:6" ht="20">
      <c r="A75" s="233" t="s">
        <v>287</v>
      </c>
      <c r="B75" s="234" t="s">
        <v>702</v>
      </c>
      <c r="C75" s="235" t="s">
        <v>703</v>
      </c>
      <c r="D75" s="235"/>
      <c r="E75" s="236">
        <v>0</v>
      </c>
      <c r="F75" s="237">
        <v>0</v>
      </c>
    </row>
    <row r="76" spans="1:6" ht="20">
      <c r="A76" s="233" t="s">
        <v>289</v>
      </c>
      <c r="B76" s="234" t="s">
        <v>704</v>
      </c>
      <c r="C76" s="235" t="s">
        <v>705</v>
      </c>
      <c r="D76" s="235"/>
      <c r="E76" s="236">
        <f>E77+E78+E79+E80+E81+E82+E83</f>
        <v>133374005</v>
      </c>
      <c r="F76" s="237">
        <f>F77+F78+F79+F80+F81+F82+F83</f>
        <v>96636297</v>
      </c>
    </row>
    <row r="77" spans="1:6" ht="20">
      <c r="A77" s="238"/>
      <c r="B77" s="239" t="s">
        <v>706</v>
      </c>
      <c r="C77" s="240" t="s">
        <v>707</v>
      </c>
      <c r="D77" s="240"/>
      <c r="E77" s="241">
        <v>0</v>
      </c>
      <c r="F77" s="242">
        <v>0</v>
      </c>
    </row>
    <row r="78" spans="1:6" ht="20">
      <c r="A78" s="238"/>
      <c r="B78" s="239" t="s">
        <v>708</v>
      </c>
      <c r="C78" s="240" t="s">
        <v>709</v>
      </c>
      <c r="D78" s="240"/>
      <c r="E78" s="241">
        <v>110000000</v>
      </c>
      <c r="F78" s="242">
        <v>76999997</v>
      </c>
    </row>
    <row r="79" spans="1:6" ht="20">
      <c r="A79" s="238"/>
      <c r="B79" s="239" t="s">
        <v>710</v>
      </c>
      <c r="C79" s="240" t="s">
        <v>711</v>
      </c>
      <c r="D79" s="240"/>
      <c r="E79" s="241">
        <v>0</v>
      </c>
      <c r="F79" s="242">
        <v>0</v>
      </c>
    </row>
    <row r="80" spans="1:6" ht="20">
      <c r="A80" s="238"/>
      <c r="B80" s="239" t="s">
        <v>712</v>
      </c>
      <c r="C80" s="240" t="s">
        <v>713</v>
      </c>
      <c r="D80" s="240"/>
      <c r="E80" s="241">
        <v>0</v>
      </c>
      <c r="F80" s="242">
        <v>0</v>
      </c>
    </row>
    <row r="81" spans="1:6" ht="30">
      <c r="A81" s="238"/>
      <c r="B81" s="239" t="s">
        <v>714</v>
      </c>
      <c r="C81" s="240" t="s">
        <v>715</v>
      </c>
      <c r="D81" s="240"/>
      <c r="E81" s="241">
        <v>18000000</v>
      </c>
      <c r="F81" s="242">
        <v>14262295</v>
      </c>
    </row>
    <row r="82" spans="1:6" ht="20">
      <c r="A82" s="238"/>
      <c r="B82" s="239" t="s">
        <v>716</v>
      </c>
      <c r="C82" s="240" t="s">
        <v>717</v>
      </c>
      <c r="D82" s="240"/>
      <c r="E82" s="241">
        <v>0</v>
      </c>
      <c r="F82" s="242">
        <v>0</v>
      </c>
    </row>
    <row r="83" spans="1:6" ht="20">
      <c r="A83" s="238"/>
      <c r="B83" s="239" t="s">
        <v>718</v>
      </c>
      <c r="C83" s="240" t="s">
        <v>719</v>
      </c>
      <c r="D83" s="240"/>
      <c r="E83" s="241">
        <v>5374005</v>
      </c>
      <c r="F83" s="242">
        <v>5374005</v>
      </c>
    </row>
    <row r="84" spans="1:6" ht="20">
      <c r="A84" s="233" t="s">
        <v>292</v>
      </c>
      <c r="B84" s="234" t="s">
        <v>720</v>
      </c>
      <c r="C84" s="235" t="s">
        <v>721</v>
      </c>
      <c r="D84" s="235"/>
      <c r="E84" s="236">
        <v>0</v>
      </c>
      <c r="F84" s="237">
        <v>0</v>
      </c>
    </row>
    <row r="85" spans="1:6" ht="20">
      <c r="A85" s="233" t="s">
        <v>301</v>
      </c>
      <c r="B85" s="234" t="s">
        <v>722</v>
      </c>
      <c r="C85" s="235" t="s">
        <v>723</v>
      </c>
      <c r="D85" s="235"/>
      <c r="E85" s="236">
        <v>3235508687</v>
      </c>
      <c r="F85" s="237">
        <v>0</v>
      </c>
    </row>
    <row r="86" spans="1:6" ht="20">
      <c r="A86" s="233" t="s">
        <v>314</v>
      </c>
      <c r="B86" s="234" t="s">
        <v>724</v>
      </c>
      <c r="C86" s="235" t="s">
        <v>725</v>
      </c>
      <c r="D86" s="235"/>
      <c r="E86" s="236">
        <f>E87+E88+E93+E94+E95+E96+E97+E98</f>
        <v>18517645737</v>
      </c>
      <c r="F86" s="237">
        <f>F87+F88+F93+F94+F95+F96+F97+F98</f>
        <v>4450324013</v>
      </c>
    </row>
    <row r="87" spans="1:6" ht="20">
      <c r="A87" s="238" t="s">
        <v>726</v>
      </c>
      <c r="B87" s="239" t="s">
        <v>727</v>
      </c>
      <c r="C87" s="240" t="s">
        <v>728</v>
      </c>
      <c r="D87" s="240"/>
      <c r="E87" s="241">
        <v>9181043402</v>
      </c>
      <c r="F87" s="242">
        <v>2974769149</v>
      </c>
    </row>
    <row r="88" spans="1:6" ht="20">
      <c r="A88" s="238" t="s">
        <v>729</v>
      </c>
      <c r="B88" s="239" t="s">
        <v>730</v>
      </c>
      <c r="C88" s="240" t="s">
        <v>731</v>
      </c>
      <c r="D88" s="240"/>
      <c r="E88" s="241">
        <f>E89+E90+E91</f>
        <v>236726087</v>
      </c>
      <c r="F88" s="242">
        <f>F89+F90+F91</f>
        <v>74669228</v>
      </c>
    </row>
    <row r="89" spans="1:6" ht="20">
      <c r="A89" s="238"/>
      <c r="B89" s="239" t="s">
        <v>732</v>
      </c>
      <c r="C89" s="240" t="s">
        <v>733</v>
      </c>
      <c r="D89" s="240"/>
      <c r="E89" s="241">
        <v>229526087</v>
      </c>
      <c r="F89" s="242">
        <v>74369228</v>
      </c>
    </row>
    <row r="90" spans="1:6" ht="20">
      <c r="A90" s="238"/>
      <c r="B90" s="239" t="s">
        <v>734</v>
      </c>
      <c r="C90" s="240" t="s">
        <v>735</v>
      </c>
      <c r="D90" s="240"/>
      <c r="E90" s="241">
        <v>7200000</v>
      </c>
      <c r="F90" s="242">
        <v>300000</v>
      </c>
    </row>
    <row r="91" spans="1:6" ht="20">
      <c r="A91" s="238"/>
      <c r="B91" s="239" t="s">
        <v>736</v>
      </c>
      <c r="C91" s="240" t="s">
        <v>737</v>
      </c>
      <c r="D91" s="240"/>
      <c r="E91" s="241">
        <v>0</v>
      </c>
      <c r="F91" s="242">
        <v>0</v>
      </c>
    </row>
    <row r="92" spans="1:6" ht="40">
      <c r="A92" s="238"/>
      <c r="B92" s="239" t="s">
        <v>738</v>
      </c>
      <c r="C92" s="240" t="s">
        <v>739</v>
      </c>
      <c r="D92" s="240"/>
      <c r="E92" s="241">
        <v>0</v>
      </c>
      <c r="F92" s="242">
        <v>0</v>
      </c>
    </row>
    <row r="93" spans="1:6" ht="20">
      <c r="A93" s="238" t="s">
        <v>740</v>
      </c>
      <c r="B93" s="239" t="s">
        <v>741</v>
      </c>
      <c r="C93" s="240" t="s">
        <v>742</v>
      </c>
      <c r="D93" s="240"/>
      <c r="E93" s="241">
        <v>252478696</v>
      </c>
      <c r="F93" s="242">
        <v>81806152</v>
      </c>
    </row>
    <row r="94" spans="1:6" ht="20">
      <c r="A94" s="238" t="s">
        <v>743</v>
      </c>
      <c r="B94" s="239" t="s">
        <v>744</v>
      </c>
      <c r="C94" s="240" t="s">
        <v>745</v>
      </c>
      <c r="D94" s="240"/>
      <c r="E94" s="241">
        <v>504957390</v>
      </c>
      <c r="F94" s="242">
        <v>163612301</v>
      </c>
    </row>
    <row r="95" spans="1:6" ht="20">
      <c r="A95" s="238" t="s">
        <v>746</v>
      </c>
      <c r="B95" s="239" t="s">
        <v>747</v>
      </c>
      <c r="C95" s="240" t="s">
        <v>748</v>
      </c>
      <c r="D95" s="240"/>
      <c r="E95" s="241">
        <v>16500000</v>
      </c>
      <c r="F95" s="242">
        <v>16500000</v>
      </c>
    </row>
    <row r="96" spans="1:6" ht="40">
      <c r="A96" s="238" t="s">
        <v>749</v>
      </c>
      <c r="B96" s="239" t="s">
        <v>750</v>
      </c>
      <c r="C96" s="240" t="s">
        <v>751</v>
      </c>
      <c r="D96" s="240"/>
      <c r="E96" s="241">
        <v>3324229869</v>
      </c>
      <c r="F96" s="242">
        <v>606808158</v>
      </c>
    </row>
    <row r="97" spans="1:6" ht="21.75" customHeight="1">
      <c r="A97" s="238" t="s">
        <v>752</v>
      </c>
      <c r="B97" s="239" t="s">
        <v>753</v>
      </c>
      <c r="C97" s="240" t="s">
        <v>754</v>
      </c>
      <c r="D97" s="240"/>
      <c r="E97" s="241">
        <v>2659383907</v>
      </c>
      <c r="F97" s="242">
        <v>532159025</v>
      </c>
    </row>
    <row r="98" spans="1:6" ht="20">
      <c r="A98" s="238" t="s">
        <v>752</v>
      </c>
      <c r="B98" s="239" t="s">
        <v>755</v>
      </c>
      <c r="C98" s="240" t="s">
        <v>756</v>
      </c>
      <c r="D98" s="240"/>
      <c r="E98" s="241">
        <v>2342326386</v>
      </c>
      <c r="F98" s="242">
        <v>0</v>
      </c>
    </row>
    <row r="99" spans="1:6" ht="20">
      <c r="A99" s="233" t="s">
        <v>321</v>
      </c>
      <c r="B99" s="234" t="s">
        <v>757</v>
      </c>
      <c r="C99" s="235" t="s">
        <v>758</v>
      </c>
      <c r="D99" s="235"/>
      <c r="E99" s="236">
        <f>E100+E101+E102</f>
        <v>0</v>
      </c>
      <c r="F99" s="237">
        <f>F100+F101+F102</f>
        <v>0</v>
      </c>
    </row>
    <row r="100" spans="1:6" ht="20">
      <c r="A100" s="238" t="s">
        <v>759</v>
      </c>
      <c r="B100" s="239" t="s">
        <v>760</v>
      </c>
      <c r="C100" s="240" t="s">
        <v>761</v>
      </c>
      <c r="D100" s="240"/>
      <c r="E100" s="241">
        <v>0</v>
      </c>
      <c r="F100" s="242">
        <v>0</v>
      </c>
    </row>
    <row r="101" spans="1:6" ht="30">
      <c r="A101" s="238" t="s">
        <v>762</v>
      </c>
      <c r="B101" s="239" t="s">
        <v>763</v>
      </c>
      <c r="C101" s="240" t="s">
        <v>764</v>
      </c>
      <c r="D101" s="240"/>
      <c r="E101" s="241">
        <v>0</v>
      </c>
      <c r="F101" s="242">
        <v>0</v>
      </c>
    </row>
    <row r="102" spans="1:6" ht="20">
      <c r="A102" s="238" t="s">
        <v>765</v>
      </c>
      <c r="B102" s="239" t="s">
        <v>766</v>
      </c>
      <c r="C102" s="240" t="s">
        <v>767</v>
      </c>
      <c r="D102" s="240"/>
      <c r="E102" s="241">
        <f>E103+E104+E105+E106+E107</f>
        <v>0</v>
      </c>
      <c r="F102" s="242">
        <f>F103+F104+F105+F106+F107</f>
        <v>0</v>
      </c>
    </row>
    <row r="103" spans="1:6" ht="30">
      <c r="A103" s="238"/>
      <c r="B103" s="239" t="s">
        <v>768</v>
      </c>
      <c r="C103" s="240" t="s">
        <v>769</v>
      </c>
      <c r="D103" s="240"/>
      <c r="E103" s="241">
        <v>0</v>
      </c>
      <c r="F103" s="242">
        <v>0</v>
      </c>
    </row>
    <row r="104" spans="1:6" ht="20">
      <c r="A104" s="238"/>
      <c r="B104" s="239" t="s">
        <v>770</v>
      </c>
      <c r="C104" s="240" t="s">
        <v>771</v>
      </c>
      <c r="D104" s="240"/>
      <c r="E104" s="241">
        <v>0</v>
      </c>
      <c r="F104" s="242">
        <v>0</v>
      </c>
    </row>
    <row r="105" spans="1:6" ht="20">
      <c r="A105" s="233"/>
      <c r="B105" s="234" t="s">
        <v>772</v>
      </c>
      <c r="C105" s="235" t="s">
        <v>773</v>
      </c>
      <c r="D105" s="235"/>
      <c r="E105" s="236">
        <v>0</v>
      </c>
      <c r="F105" s="237">
        <v>0</v>
      </c>
    </row>
    <row r="106" spans="1:6" ht="20">
      <c r="A106" s="238"/>
      <c r="B106" s="239" t="s">
        <v>774</v>
      </c>
      <c r="C106" s="240" t="s">
        <v>775</v>
      </c>
      <c r="D106" s="240"/>
      <c r="E106" s="241">
        <v>0</v>
      </c>
      <c r="F106" s="242">
        <v>0</v>
      </c>
    </row>
    <row r="107" spans="1:6" ht="20">
      <c r="A107" s="238"/>
      <c r="B107" s="239" t="s">
        <v>776</v>
      </c>
      <c r="C107" s="240" t="s">
        <v>777</v>
      </c>
      <c r="D107" s="240"/>
      <c r="E107" s="241">
        <v>0</v>
      </c>
      <c r="F107" s="242">
        <v>0</v>
      </c>
    </row>
    <row r="108" spans="1:6" ht="20">
      <c r="A108" s="228"/>
      <c r="B108" s="229" t="s">
        <v>778</v>
      </c>
      <c r="C108" s="230" t="s">
        <v>779</v>
      </c>
      <c r="D108" s="230"/>
      <c r="E108" s="231">
        <f>E67+E70+E71+E74+E75+E76+E84+E85+E86+E99</f>
        <v>21886528429</v>
      </c>
      <c r="F108" s="232">
        <f>F67+F70+F71+F74+F75+F76+F84+F85+F86+F99</f>
        <v>4546960310</v>
      </c>
    </row>
    <row r="109" spans="1:6" ht="40">
      <c r="A109" s="228" t="s">
        <v>340</v>
      </c>
      <c r="B109" s="229" t="s">
        <v>780</v>
      </c>
      <c r="C109" s="230" t="s">
        <v>781</v>
      </c>
      <c r="D109" s="230"/>
      <c r="E109" s="231">
        <f>E65-E108</f>
        <v>13791745107213</v>
      </c>
      <c r="F109" s="232">
        <f>F65-F108</f>
        <v>5280430128341</v>
      </c>
    </row>
    <row r="110" spans="1:6" ht="20">
      <c r="A110" s="233" t="s">
        <v>4</v>
      </c>
      <c r="B110" s="234" t="s">
        <v>782</v>
      </c>
      <c r="C110" s="235" t="s">
        <v>783</v>
      </c>
      <c r="D110" s="235"/>
      <c r="E110" s="236">
        <f>E111+E112</f>
        <v>4898000000000</v>
      </c>
      <c r="F110" s="237">
        <f>F111+F112</f>
        <v>3111000000000</v>
      </c>
    </row>
    <row r="111" spans="1:6" ht="20">
      <c r="A111" s="233" t="s">
        <v>589</v>
      </c>
      <c r="B111" s="234" t="s">
        <v>784</v>
      </c>
      <c r="C111" s="235" t="s">
        <v>785</v>
      </c>
      <c r="D111" s="235"/>
      <c r="E111" s="236">
        <v>6419000000000</v>
      </c>
      <c r="F111" s="237">
        <v>3229000000000</v>
      </c>
    </row>
    <row r="112" spans="1:6" ht="20">
      <c r="A112" s="233" t="s">
        <v>599</v>
      </c>
      <c r="B112" s="234" t="s">
        <v>786</v>
      </c>
      <c r="C112" s="235" t="s">
        <v>787</v>
      </c>
      <c r="D112" s="235"/>
      <c r="E112" s="243">
        <v>-1521000000000</v>
      </c>
      <c r="F112" s="244">
        <v>-118000000000</v>
      </c>
    </row>
    <row r="113" spans="1:8" ht="20">
      <c r="A113" s="233" t="s">
        <v>9</v>
      </c>
      <c r="B113" s="234" t="s">
        <v>788</v>
      </c>
      <c r="C113" s="235" t="s">
        <v>789</v>
      </c>
      <c r="D113" s="235"/>
      <c r="E113" s="236">
        <v>2543802932140</v>
      </c>
      <c r="F113" s="237">
        <v>1138869856102</v>
      </c>
    </row>
    <row r="114" spans="1:8" ht="20">
      <c r="A114" s="233" t="s">
        <v>14</v>
      </c>
      <c r="B114" s="234" t="s">
        <v>790</v>
      </c>
      <c r="C114" s="235" t="s">
        <v>791</v>
      </c>
      <c r="D114" s="235"/>
      <c r="E114" s="236">
        <f>E115+E116</f>
        <v>6349942175073</v>
      </c>
      <c r="F114" s="237">
        <f>F115+F116</f>
        <v>1030560272239</v>
      </c>
    </row>
    <row r="115" spans="1:8" ht="20">
      <c r="A115" s="233" t="s">
        <v>631</v>
      </c>
      <c r="B115" s="234" t="s">
        <v>792</v>
      </c>
      <c r="C115" s="235" t="s">
        <v>793</v>
      </c>
      <c r="D115" s="235"/>
      <c r="E115" s="236">
        <v>1030560272239</v>
      </c>
      <c r="F115" s="237">
        <v>0</v>
      </c>
    </row>
    <row r="116" spans="1:8" ht="20">
      <c r="A116" s="233" t="s">
        <v>636</v>
      </c>
      <c r="B116" s="234" t="s">
        <v>794</v>
      </c>
      <c r="C116" s="235" t="s">
        <v>795</v>
      </c>
      <c r="D116" s="235"/>
      <c r="E116" s="236">
        <v>5319381902834</v>
      </c>
      <c r="F116" s="237">
        <v>1030560272239</v>
      </c>
      <c r="H116" s="245"/>
    </row>
    <row r="117" spans="1:8" ht="30">
      <c r="A117" s="246" t="s">
        <v>343</v>
      </c>
      <c r="B117" s="247" t="s">
        <v>796</v>
      </c>
      <c r="C117" s="248" t="s">
        <v>797</v>
      </c>
      <c r="D117" s="248"/>
      <c r="E117" s="249">
        <v>28157.91</v>
      </c>
      <c r="F117" s="250">
        <v>16973.41</v>
      </c>
    </row>
    <row r="118" spans="1:8" ht="20">
      <c r="A118" s="228" t="s">
        <v>356</v>
      </c>
      <c r="B118" s="229" t="s">
        <v>798</v>
      </c>
      <c r="C118" s="230" t="s">
        <v>799</v>
      </c>
      <c r="D118" s="230"/>
      <c r="E118" s="231">
        <f>E119+E120</f>
        <v>0</v>
      </c>
      <c r="F118" s="232">
        <f>F119+F120</f>
        <v>0</v>
      </c>
    </row>
    <row r="119" spans="1:8" ht="30">
      <c r="A119" s="233" t="s">
        <v>4</v>
      </c>
      <c r="B119" s="234" t="s">
        <v>800</v>
      </c>
      <c r="C119" s="235" t="s">
        <v>801</v>
      </c>
      <c r="D119" s="235"/>
      <c r="E119" s="236">
        <v>0</v>
      </c>
      <c r="F119" s="237">
        <v>0</v>
      </c>
    </row>
    <row r="120" spans="1:8" ht="30">
      <c r="A120" s="233" t="s">
        <v>9</v>
      </c>
      <c r="B120" s="234" t="s">
        <v>802</v>
      </c>
      <c r="C120" s="235" t="s">
        <v>803</v>
      </c>
      <c r="D120" s="235"/>
      <c r="E120" s="236">
        <v>0</v>
      </c>
      <c r="F120" s="237">
        <v>0</v>
      </c>
    </row>
    <row r="121" spans="1:8" ht="30">
      <c r="A121" s="228" t="s">
        <v>359</v>
      </c>
      <c r="B121" s="229" t="s">
        <v>804</v>
      </c>
      <c r="C121" s="230" t="s">
        <v>359</v>
      </c>
      <c r="D121" s="230"/>
      <c r="E121" s="231">
        <v>0</v>
      </c>
      <c r="F121" s="232">
        <v>0</v>
      </c>
    </row>
    <row r="122" spans="1:8" ht="20">
      <c r="A122" s="233" t="s">
        <v>4</v>
      </c>
      <c r="B122" s="234" t="s">
        <v>805</v>
      </c>
      <c r="C122" s="235" t="s">
        <v>806</v>
      </c>
      <c r="D122" s="235"/>
      <c r="E122" s="236">
        <v>0</v>
      </c>
      <c r="F122" s="237">
        <v>0</v>
      </c>
    </row>
    <row r="123" spans="1:8" ht="20">
      <c r="A123" s="233" t="s">
        <v>9</v>
      </c>
      <c r="B123" s="234" t="s">
        <v>807</v>
      </c>
      <c r="C123" s="235" t="s">
        <v>808</v>
      </c>
      <c r="D123" s="235"/>
      <c r="E123" s="236">
        <v>0</v>
      </c>
      <c r="F123" s="237">
        <v>0</v>
      </c>
    </row>
    <row r="124" spans="1:8" ht="20">
      <c r="A124" s="233" t="s">
        <v>14</v>
      </c>
      <c r="B124" s="234" t="s">
        <v>809</v>
      </c>
      <c r="C124" s="235" t="s">
        <v>810</v>
      </c>
      <c r="D124" s="235"/>
      <c r="E124" s="236">
        <v>0</v>
      </c>
      <c r="F124" s="237">
        <v>0</v>
      </c>
    </row>
    <row r="125" spans="1:8" ht="20">
      <c r="A125" s="251" t="s">
        <v>19</v>
      </c>
      <c r="B125" s="252" t="s">
        <v>811</v>
      </c>
      <c r="C125" s="253" t="s">
        <v>812</v>
      </c>
      <c r="D125" s="253"/>
      <c r="E125" s="254">
        <v>489800000</v>
      </c>
      <c r="F125" s="255">
        <v>311100000</v>
      </c>
    </row>
    <row r="126" spans="1:8" ht="10.5" customHeight="1">
      <c r="A126" s="132"/>
      <c r="B126" s="132"/>
      <c r="C126" s="132"/>
      <c r="D126" s="132"/>
      <c r="E126" s="132"/>
      <c r="F126" s="132"/>
    </row>
    <row r="127" spans="1:8" ht="15" customHeight="1">
      <c r="A127" s="316" t="s">
        <v>813</v>
      </c>
      <c r="B127" s="316"/>
      <c r="C127" s="316" t="s">
        <v>814</v>
      </c>
      <c r="D127" s="316"/>
      <c r="E127" s="316" t="s">
        <v>228</v>
      </c>
      <c r="F127" s="316"/>
    </row>
    <row r="128" spans="1:8" ht="15" customHeight="1">
      <c r="A128" s="389" t="s">
        <v>815</v>
      </c>
      <c r="B128" s="389"/>
      <c r="C128" s="389" t="s">
        <v>815</v>
      </c>
      <c r="D128" s="389"/>
      <c r="E128" s="389" t="s">
        <v>816</v>
      </c>
      <c r="F128" s="389"/>
    </row>
    <row r="129" spans="1:6" ht="89.25" customHeight="1">
      <c r="A129" s="132"/>
      <c r="B129" s="132"/>
      <c r="C129" s="132"/>
      <c r="D129" s="132"/>
      <c r="E129" s="132"/>
      <c r="F129" s="132"/>
    </row>
    <row r="130" spans="1:6" ht="15.75" customHeight="1">
      <c r="A130" s="313" t="s">
        <v>817</v>
      </c>
      <c r="B130" s="313"/>
      <c r="C130" s="313" t="s">
        <v>818</v>
      </c>
      <c r="D130" s="313"/>
      <c r="E130" s="313" t="s">
        <v>230</v>
      </c>
      <c r="F130" s="313"/>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44" bottom="0.26" header="0.26" footer="0.19"/>
  <pageSetup paperSize="9" fitToHeight="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pageSetUpPr fitToPage="1"/>
  </sheetPr>
  <dimension ref="A1:E29"/>
  <sheetViews>
    <sheetView showGridLines="0" showZeros="0" showOutlineSymbols="0" view="pageBreakPreview" zoomScaleNormal="100" zoomScaleSheetLayoutView="100" workbookViewId="0">
      <selection activeCell="C13" sqref="C13"/>
    </sheetView>
  </sheetViews>
  <sheetFormatPr defaultRowHeight="10"/>
  <cols>
    <col min="1" max="1" width="6.1796875" style="1" customWidth="1"/>
    <col min="2" max="2" width="42.7265625" style="1" customWidth="1"/>
    <col min="3" max="3" width="8.54296875" style="1" customWidth="1"/>
    <col min="4" max="5" width="21.1796875" style="1" customWidth="1"/>
    <col min="6" max="256" width="8.7265625" style="1"/>
    <col min="257" max="257" width="6.26953125" style="1" customWidth="1"/>
    <col min="258" max="258" width="45" style="1" customWidth="1"/>
    <col min="259" max="259" width="8.54296875" style="1" customWidth="1"/>
    <col min="260" max="261" width="21.1796875" style="1" customWidth="1"/>
    <col min="262" max="512" width="8.7265625" style="1"/>
    <col min="513" max="513" width="6.26953125" style="1" customWidth="1"/>
    <col min="514" max="514" width="45" style="1" customWidth="1"/>
    <col min="515" max="515" width="8.54296875" style="1" customWidth="1"/>
    <col min="516" max="517" width="21.1796875" style="1" customWidth="1"/>
    <col min="518" max="768" width="8.7265625" style="1"/>
    <col min="769" max="769" width="6.26953125" style="1" customWidth="1"/>
    <col min="770" max="770" width="45" style="1" customWidth="1"/>
    <col min="771" max="771" width="8.54296875" style="1" customWidth="1"/>
    <col min="772" max="773" width="21.1796875" style="1" customWidth="1"/>
    <col min="774" max="1024" width="8.7265625" style="1"/>
    <col min="1025" max="1025" width="6.26953125" style="1" customWidth="1"/>
    <col min="1026" max="1026" width="45" style="1" customWidth="1"/>
    <col min="1027" max="1027" width="8.54296875" style="1" customWidth="1"/>
    <col min="1028" max="1029" width="21.1796875" style="1" customWidth="1"/>
    <col min="1030" max="1280" width="8.7265625" style="1"/>
    <col min="1281" max="1281" width="6.26953125" style="1" customWidth="1"/>
    <col min="1282" max="1282" width="45" style="1" customWidth="1"/>
    <col min="1283" max="1283" width="8.54296875" style="1" customWidth="1"/>
    <col min="1284" max="1285" width="21.1796875" style="1" customWidth="1"/>
    <col min="1286" max="1536" width="8.7265625" style="1"/>
    <col min="1537" max="1537" width="6.26953125" style="1" customWidth="1"/>
    <col min="1538" max="1538" width="45" style="1" customWidth="1"/>
    <col min="1539" max="1539" width="8.54296875" style="1" customWidth="1"/>
    <col min="1540" max="1541" width="21.1796875" style="1" customWidth="1"/>
    <col min="1542" max="1792" width="8.7265625" style="1"/>
    <col min="1793" max="1793" width="6.26953125" style="1" customWidth="1"/>
    <col min="1794" max="1794" width="45" style="1" customWidth="1"/>
    <col min="1795" max="1795" width="8.54296875" style="1" customWidth="1"/>
    <col min="1796" max="1797" width="21.1796875" style="1" customWidth="1"/>
    <col min="1798" max="2048" width="8.7265625" style="1"/>
    <col min="2049" max="2049" width="6.26953125" style="1" customWidth="1"/>
    <col min="2050" max="2050" width="45" style="1" customWidth="1"/>
    <col min="2051" max="2051" width="8.54296875" style="1" customWidth="1"/>
    <col min="2052" max="2053" width="21.1796875" style="1" customWidth="1"/>
    <col min="2054" max="2304" width="8.7265625" style="1"/>
    <col min="2305" max="2305" width="6.26953125" style="1" customWidth="1"/>
    <col min="2306" max="2306" width="45" style="1" customWidth="1"/>
    <col min="2307" max="2307" width="8.54296875" style="1" customWidth="1"/>
    <col min="2308" max="2309" width="21.1796875" style="1" customWidth="1"/>
    <col min="2310" max="2560" width="8.7265625" style="1"/>
    <col min="2561" max="2561" width="6.26953125" style="1" customWidth="1"/>
    <col min="2562" max="2562" width="45" style="1" customWidth="1"/>
    <col min="2563" max="2563" width="8.54296875" style="1" customWidth="1"/>
    <col min="2564" max="2565" width="21.1796875" style="1" customWidth="1"/>
    <col min="2566" max="2816" width="8.7265625" style="1"/>
    <col min="2817" max="2817" width="6.26953125" style="1" customWidth="1"/>
    <col min="2818" max="2818" width="45" style="1" customWidth="1"/>
    <col min="2819" max="2819" width="8.54296875" style="1" customWidth="1"/>
    <col min="2820" max="2821" width="21.1796875" style="1" customWidth="1"/>
    <col min="2822" max="3072" width="8.7265625" style="1"/>
    <col min="3073" max="3073" width="6.26953125" style="1" customWidth="1"/>
    <col min="3074" max="3074" width="45" style="1" customWidth="1"/>
    <col min="3075" max="3075" width="8.54296875" style="1" customWidth="1"/>
    <col min="3076" max="3077" width="21.1796875" style="1" customWidth="1"/>
    <col min="3078" max="3328" width="8.7265625" style="1"/>
    <col min="3329" max="3329" width="6.26953125" style="1" customWidth="1"/>
    <col min="3330" max="3330" width="45" style="1" customWidth="1"/>
    <col min="3331" max="3331" width="8.54296875" style="1" customWidth="1"/>
    <col min="3332" max="3333" width="21.1796875" style="1" customWidth="1"/>
    <col min="3334" max="3584" width="8.7265625" style="1"/>
    <col min="3585" max="3585" width="6.26953125" style="1" customWidth="1"/>
    <col min="3586" max="3586" width="45" style="1" customWidth="1"/>
    <col min="3587" max="3587" width="8.54296875" style="1" customWidth="1"/>
    <col min="3588" max="3589" width="21.1796875" style="1" customWidth="1"/>
    <col min="3590" max="3840" width="8.7265625" style="1"/>
    <col min="3841" max="3841" width="6.26953125" style="1" customWidth="1"/>
    <col min="3842" max="3842" width="45" style="1" customWidth="1"/>
    <col min="3843" max="3843" width="8.54296875" style="1" customWidth="1"/>
    <col min="3844" max="3845" width="21.1796875" style="1" customWidth="1"/>
    <col min="3846" max="4096" width="8.7265625" style="1"/>
    <col min="4097" max="4097" width="6.26953125" style="1" customWidth="1"/>
    <col min="4098" max="4098" width="45" style="1" customWidth="1"/>
    <col min="4099" max="4099" width="8.54296875" style="1" customWidth="1"/>
    <col min="4100" max="4101" width="21.1796875" style="1" customWidth="1"/>
    <col min="4102" max="4352" width="8.7265625" style="1"/>
    <col min="4353" max="4353" width="6.26953125" style="1" customWidth="1"/>
    <col min="4354" max="4354" width="45" style="1" customWidth="1"/>
    <col min="4355" max="4355" width="8.54296875" style="1" customWidth="1"/>
    <col min="4356" max="4357" width="21.1796875" style="1" customWidth="1"/>
    <col min="4358" max="4608" width="8.7265625" style="1"/>
    <col min="4609" max="4609" width="6.26953125" style="1" customWidth="1"/>
    <col min="4610" max="4610" width="45" style="1" customWidth="1"/>
    <col min="4611" max="4611" width="8.54296875" style="1" customWidth="1"/>
    <col min="4612" max="4613" width="21.1796875" style="1" customWidth="1"/>
    <col min="4614" max="4864" width="8.7265625" style="1"/>
    <col min="4865" max="4865" width="6.26953125" style="1" customWidth="1"/>
    <col min="4866" max="4866" width="45" style="1" customWidth="1"/>
    <col min="4867" max="4867" width="8.54296875" style="1" customWidth="1"/>
    <col min="4868" max="4869" width="21.1796875" style="1" customWidth="1"/>
    <col min="4870" max="5120" width="8.7265625" style="1"/>
    <col min="5121" max="5121" width="6.26953125" style="1" customWidth="1"/>
    <col min="5122" max="5122" width="45" style="1" customWidth="1"/>
    <col min="5123" max="5123" width="8.54296875" style="1" customWidth="1"/>
    <col min="5124" max="5125" width="21.1796875" style="1" customWidth="1"/>
    <col min="5126" max="5376" width="8.7265625" style="1"/>
    <col min="5377" max="5377" width="6.26953125" style="1" customWidth="1"/>
    <col min="5378" max="5378" width="45" style="1" customWidth="1"/>
    <col min="5379" max="5379" width="8.54296875" style="1" customWidth="1"/>
    <col min="5380" max="5381" width="21.1796875" style="1" customWidth="1"/>
    <col min="5382" max="5632" width="8.7265625" style="1"/>
    <col min="5633" max="5633" width="6.26953125" style="1" customWidth="1"/>
    <col min="5634" max="5634" width="45" style="1" customWidth="1"/>
    <col min="5635" max="5635" width="8.54296875" style="1" customWidth="1"/>
    <col min="5636" max="5637" width="21.1796875" style="1" customWidth="1"/>
    <col min="5638" max="5888" width="8.7265625" style="1"/>
    <col min="5889" max="5889" width="6.26953125" style="1" customWidth="1"/>
    <col min="5890" max="5890" width="45" style="1" customWidth="1"/>
    <col min="5891" max="5891" width="8.54296875" style="1" customWidth="1"/>
    <col min="5892" max="5893" width="21.1796875" style="1" customWidth="1"/>
    <col min="5894" max="6144" width="8.7265625" style="1"/>
    <col min="6145" max="6145" width="6.26953125" style="1" customWidth="1"/>
    <col min="6146" max="6146" width="45" style="1" customWidth="1"/>
    <col min="6147" max="6147" width="8.54296875" style="1" customWidth="1"/>
    <col min="6148" max="6149" width="21.1796875" style="1" customWidth="1"/>
    <col min="6150" max="6400" width="8.7265625" style="1"/>
    <col min="6401" max="6401" width="6.26953125" style="1" customWidth="1"/>
    <col min="6402" max="6402" width="45" style="1" customWidth="1"/>
    <col min="6403" max="6403" width="8.54296875" style="1" customWidth="1"/>
    <col min="6404" max="6405" width="21.1796875" style="1" customWidth="1"/>
    <col min="6406" max="6656" width="8.7265625" style="1"/>
    <col min="6657" max="6657" width="6.26953125" style="1" customWidth="1"/>
    <col min="6658" max="6658" width="45" style="1" customWidth="1"/>
    <col min="6659" max="6659" width="8.54296875" style="1" customWidth="1"/>
    <col min="6660" max="6661" width="21.1796875" style="1" customWidth="1"/>
    <col min="6662" max="6912" width="8.7265625" style="1"/>
    <col min="6913" max="6913" width="6.26953125" style="1" customWidth="1"/>
    <col min="6914" max="6914" width="45" style="1" customWidth="1"/>
    <col min="6915" max="6915" width="8.54296875" style="1" customWidth="1"/>
    <col min="6916" max="6917" width="21.1796875" style="1" customWidth="1"/>
    <col min="6918" max="7168" width="8.7265625" style="1"/>
    <col min="7169" max="7169" width="6.26953125" style="1" customWidth="1"/>
    <col min="7170" max="7170" width="45" style="1" customWidth="1"/>
    <col min="7171" max="7171" width="8.54296875" style="1" customWidth="1"/>
    <col min="7172" max="7173" width="21.1796875" style="1" customWidth="1"/>
    <col min="7174" max="7424" width="8.7265625" style="1"/>
    <col min="7425" max="7425" width="6.26953125" style="1" customWidth="1"/>
    <col min="7426" max="7426" width="45" style="1" customWidth="1"/>
    <col min="7427" max="7427" width="8.54296875" style="1" customWidth="1"/>
    <col min="7428" max="7429" width="21.1796875" style="1" customWidth="1"/>
    <col min="7430" max="7680" width="8.7265625" style="1"/>
    <col min="7681" max="7681" width="6.26953125" style="1" customWidth="1"/>
    <col min="7682" max="7682" width="45" style="1" customWidth="1"/>
    <col min="7683" max="7683" width="8.54296875" style="1" customWidth="1"/>
    <col min="7684" max="7685" width="21.1796875" style="1" customWidth="1"/>
    <col min="7686" max="7936" width="8.7265625" style="1"/>
    <col min="7937" max="7937" width="6.26953125" style="1" customWidth="1"/>
    <col min="7938" max="7938" width="45" style="1" customWidth="1"/>
    <col min="7939" max="7939" width="8.54296875" style="1" customWidth="1"/>
    <col min="7940" max="7941" width="21.1796875" style="1" customWidth="1"/>
    <col min="7942" max="8192" width="8.7265625" style="1"/>
    <col min="8193" max="8193" width="6.26953125" style="1" customWidth="1"/>
    <col min="8194" max="8194" width="45" style="1" customWidth="1"/>
    <col min="8195" max="8195" width="8.54296875" style="1" customWidth="1"/>
    <col min="8196" max="8197" width="21.1796875" style="1" customWidth="1"/>
    <col min="8198" max="8448" width="8.7265625" style="1"/>
    <col min="8449" max="8449" width="6.26953125" style="1" customWidth="1"/>
    <col min="8450" max="8450" width="45" style="1" customWidth="1"/>
    <col min="8451" max="8451" width="8.54296875" style="1" customWidth="1"/>
    <col min="8452" max="8453" width="21.1796875" style="1" customWidth="1"/>
    <col min="8454" max="8704" width="8.7265625" style="1"/>
    <col min="8705" max="8705" width="6.26953125" style="1" customWidth="1"/>
    <col min="8706" max="8706" width="45" style="1" customWidth="1"/>
    <col min="8707" max="8707" width="8.54296875" style="1" customWidth="1"/>
    <col min="8708" max="8709" width="21.1796875" style="1" customWidth="1"/>
    <col min="8710" max="8960" width="8.7265625" style="1"/>
    <col min="8961" max="8961" width="6.26953125" style="1" customWidth="1"/>
    <col min="8962" max="8962" width="45" style="1" customWidth="1"/>
    <col min="8963" max="8963" width="8.54296875" style="1" customWidth="1"/>
    <col min="8964" max="8965" width="21.1796875" style="1" customWidth="1"/>
    <col min="8966" max="9216" width="8.7265625" style="1"/>
    <col min="9217" max="9217" width="6.26953125" style="1" customWidth="1"/>
    <col min="9218" max="9218" width="45" style="1" customWidth="1"/>
    <col min="9219" max="9219" width="8.54296875" style="1" customWidth="1"/>
    <col min="9220" max="9221" width="21.1796875" style="1" customWidth="1"/>
    <col min="9222" max="9472" width="8.7265625" style="1"/>
    <col min="9473" max="9473" width="6.26953125" style="1" customWidth="1"/>
    <col min="9474" max="9474" width="45" style="1" customWidth="1"/>
    <col min="9475" max="9475" width="8.54296875" style="1" customWidth="1"/>
    <col min="9476" max="9477" width="21.1796875" style="1" customWidth="1"/>
    <col min="9478" max="9728" width="8.7265625" style="1"/>
    <col min="9729" max="9729" width="6.26953125" style="1" customWidth="1"/>
    <col min="9730" max="9730" width="45" style="1" customWidth="1"/>
    <col min="9731" max="9731" width="8.54296875" style="1" customWidth="1"/>
    <col min="9732" max="9733" width="21.1796875" style="1" customWidth="1"/>
    <col min="9734" max="9984" width="8.7265625" style="1"/>
    <col min="9985" max="9985" width="6.26953125" style="1" customWidth="1"/>
    <col min="9986" max="9986" width="45" style="1" customWidth="1"/>
    <col min="9987" max="9987" width="8.54296875" style="1" customWidth="1"/>
    <col min="9988" max="9989" width="21.1796875" style="1" customWidth="1"/>
    <col min="9990" max="10240" width="8.7265625" style="1"/>
    <col min="10241" max="10241" width="6.26953125" style="1" customWidth="1"/>
    <col min="10242" max="10242" width="45" style="1" customWidth="1"/>
    <col min="10243" max="10243" width="8.54296875" style="1" customWidth="1"/>
    <col min="10244" max="10245" width="21.1796875" style="1" customWidth="1"/>
    <col min="10246" max="10496" width="8.7265625" style="1"/>
    <col min="10497" max="10497" width="6.26953125" style="1" customWidth="1"/>
    <col min="10498" max="10498" width="45" style="1" customWidth="1"/>
    <col min="10499" max="10499" width="8.54296875" style="1" customWidth="1"/>
    <col min="10500" max="10501" width="21.1796875" style="1" customWidth="1"/>
    <col min="10502" max="10752" width="8.7265625" style="1"/>
    <col min="10753" max="10753" width="6.26953125" style="1" customWidth="1"/>
    <col min="10754" max="10754" width="45" style="1" customWidth="1"/>
    <col min="10755" max="10755" width="8.54296875" style="1" customWidth="1"/>
    <col min="10756" max="10757" width="21.1796875" style="1" customWidth="1"/>
    <col min="10758" max="11008" width="8.7265625" style="1"/>
    <col min="11009" max="11009" width="6.26953125" style="1" customWidth="1"/>
    <col min="11010" max="11010" width="45" style="1" customWidth="1"/>
    <col min="11011" max="11011" width="8.54296875" style="1" customWidth="1"/>
    <col min="11012" max="11013" width="21.1796875" style="1" customWidth="1"/>
    <col min="11014" max="11264" width="8.7265625" style="1"/>
    <col min="11265" max="11265" width="6.26953125" style="1" customWidth="1"/>
    <col min="11266" max="11266" width="45" style="1" customWidth="1"/>
    <col min="11267" max="11267" width="8.54296875" style="1" customWidth="1"/>
    <col min="11268" max="11269" width="21.1796875" style="1" customWidth="1"/>
    <col min="11270" max="11520" width="8.7265625" style="1"/>
    <col min="11521" max="11521" width="6.26953125" style="1" customWidth="1"/>
    <col min="11522" max="11522" width="45" style="1" customWidth="1"/>
    <col min="11523" max="11523" width="8.54296875" style="1" customWidth="1"/>
    <col min="11524" max="11525" width="21.1796875" style="1" customWidth="1"/>
    <col min="11526" max="11776" width="8.7265625" style="1"/>
    <col min="11777" max="11777" width="6.26953125" style="1" customWidth="1"/>
    <col min="11778" max="11778" width="45" style="1" customWidth="1"/>
    <col min="11779" max="11779" width="8.54296875" style="1" customWidth="1"/>
    <col min="11780" max="11781" width="21.1796875" style="1" customWidth="1"/>
    <col min="11782" max="12032" width="8.7265625" style="1"/>
    <col min="12033" max="12033" width="6.26953125" style="1" customWidth="1"/>
    <col min="12034" max="12034" width="45" style="1" customWidth="1"/>
    <col min="12035" max="12035" width="8.54296875" style="1" customWidth="1"/>
    <col min="12036" max="12037" width="21.1796875" style="1" customWidth="1"/>
    <col min="12038" max="12288" width="8.7265625" style="1"/>
    <col min="12289" max="12289" width="6.26953125" style="1" customWidth="1"/>
    <col min="12290" max="12290" width="45" style="1" customWidth="1"/>
    <col min="12291" max="12291" width="8.54296875" style="1" customWidth="1"/>
    <col min="12292" max="12293" width="21.1796875" style="1" customWidth="1"/>
    <col min="12294" max="12544" width="8.7265625" style="1"/>
    <col min="12545" max="12545" width="6.26953125" style="1" customWidth="1"/>
    <col min="12546" max="12546" width="45" style="1" customWidth="1"/>
    <col min="12547" max="12547" width="8.54296875" style="1" customWidth="1"/>
    <col min="12548" max="12549" width="21.1796875" style="1" customWidth="1"/>
    <col min="12550" max="12800" width="8.7265625" style="1"/>
    <col min="12801" max="12801" width="6.26953125" style="1" customWidth="1"/>
    <col min="12802" max="12802" width="45" style="1" customWidth="1"/>
    <col min="12803" max="12803" width="8.54296875" style="1" customWidth="1"/>
    <col min="12804" max="12805" width="21.1796875" style="1" customWidth="1"/>
    <col min="12806" max="13056" width="8.7265625" style="1"/>
    <col min="13057" max="13057" width="6.26953125" style="1" customWidth="1"/>
    <col min="13058" max="13058" width="45" style="1" customWidth="1"/>
    <col min="13059" max="13059" width="8.54296875" style="1" customWidth="1"/>
    <col min="13060" max="13061" width="21.1796875" style="1" customWidth="1"/>
    <col min="13062" max="13312" width="8.7265625" style="1"/>
    <col min="13313" max="13313" width="6.26953125" style="1" customWidth="1"/>
    <col min="13314" max="13314" width="45" style="1" customWidth="1"/>
    <col min="13315" max="13315" width="8.54296875" style="1" customWidth="1"/>
    <col min="13316" max="13317" width="21.1796875" style="1" customWidth="1"/>
    <col min="13318" max="13568" width="8.7265625" style="1"/>
    <col min="13569" max="13569" width="6.26953125" style="1" customWidth="1"/>
    <col min="13570" max="13570" width="45" style="1" customWidth="1"/>
    <col min="13571" max="13571" width="8.54296875" style="1" customWidth="1"/>
    <col min="13572" max="13573" width="21.1796875" style="1" customWidth="1"/>
    <col min="13574" max="13824" width="8.7265625" style="1"/>
    <col min="13825" max="13825" width="6.26953125" style="1" customWidth="1"/>
    <col min="13826" max="13826" width="45" style="1" customWidth="1"/>
    <col min="13827" max="13827" width="8.54296875" style="1" customWidth="1"/>
    <col min="13828" max="13829" width="21.1796875" style="1" customWidth="1"/>
    <col min="13830" max="14080" width="8.7265625" style="1"/>
    <col min="14081" max="14081" width="6.26953125" style="1" customWidth="1"/>
    <col min="14082" max="14082" width="45" style="1" customWidth="1"/>
    <col min="14083" max="14083" width="8.54296875" style="1" customWidth="1"/>
    <col min="14084" max="14085" width="21.1796875" style="1" customWidth="1"/>
    <col min="14086" max="14336" width="8.7265625" style="1"/>
    <col min="14337" max="14337" width="6.26953125" style="1" customWidth="1"/>
    <col min="14338" max="14338" width="45" style="1" customWidth="1"/>
    <col min="14339" max="14339" width="8.54296875" style="1" customWidth="1"/>
    <col min="14340" max="14341" width="21.1796875" style="1" customWidth="1"/>
    <col min="14342" max="14592" width="8.7265625" style="1"/>
    <col min="14593" max="14593" width="6.26953125" style="1" customWidth="1"/>
    <col min="14594" max="14594" width="45" style="1" customWidth="1"/>
    <col min="14595" max="14595" width="8.54296875" style="1" customWidth="1"/>
    <col min="14596" max="14597" width="21.1796875" style="1" customWidth="1"/>
    <col min="14598" max="14848" width="8.7265625" style="1"/>
    <col min="14849" max="14849" width="6.26953125" style="1" customWidth="1"/>
    <col min="14850" max="14850" width="45" style="1" customWidth="1"/>
    <col min="14851" max="14851" width="8.54296875" style="1" customWidth="1"/>
    <col min="14852" max="14853" width="21.1796875" style="1" customWidth="1"/>
    <col min="14854" max="15104" width="8.7265625" style="1"/>
    <col min="15105" max="15105" width="6.26953125" style="1" customWidth="1"/>
    <col min="15106" max="15106" width="45" style="1" customWidth="1"/>
    <col min="15107" max="15107" width="8.54296875" style="1" customWidth="1"/>
    <col min="15108" max="15109" width="21.1796875" style="1" customWidth="1"/>
    <col min="15110" max="15360" width="8.7265625" style="1"/>
    <col min="15361" max="15361" width="6.26953125" style="1" customWidth="1"/>
    <col min="15362" max="15362" width="45" style="1" customWidth="1"/>
    <col min="15363" max="15363" width="8.54296875" style="1" customWidth="1"/>
    <col min="15364" max="15365" width="21.1796875" style="1" customWidth="1"/>
    <col min="15366" max="15616" width="8.7265625" style="1"/>
    <col min="15617" max="15617" width="6.26953125" style="1" customWidth="1"/>
    <col min="15618" max="15618" width="45" style="1" customWidth="1"/>
    <col min="15619" max="15619" width="8.54296875" style="1" customWidth="1"/>
    <col min="15620" max="15621" width="21.1796875" style="1" customWidth="1"/>
    <col min="15622" max="15872" width="8.7265625" style="1"/>
    <col min="15873" max="15873" width="6.26953125" style="1" customWidth="1"/>
    <col min="15874" max="15874" width="45" style="1" customWidth="1"/>
    <col min="15875" max="15875" width="8.54296875" style="1" customWidth="1"/>
    <col min="15876" max="15877" width="21.1796875" style="1" customWidth="1"/>
    <col min="15878" max="16128" width="8.7265625" style="1"/>
    <col min="16129" max="16129" width="6.26953125" style="1" customWidth="1"/>
    <col min="16130" max="16130" width="45" style="1" customWidth="1"/>
    <col min="16131" max="16131" width="8.54296875" style="1" customWidth="1"/>
    <col min="16132" max="16133" width="21.1796875" style="1" customWidth="1"/>
    <col min="16134" max="16384" width="8.7265625" style="1"/>
  </cols>
  <sheetData>
    <row r="1" spans="1:5" ht="39" customHeight="1">
      <c r="A1" s="256"/>
      <c r="B1" s="410" t="s">
        <v>949</v>
      </c>
      <c r="C1" s="410"/>
      <c r="D1" s="410"/>
      <c r="E1" s="410"/>
    </row>
    <row r="2" spans="1:5" ht="22.5" customHeight="1">
      <c r="A2" s="411" t="s">
        <v>579</v>
      </c>
      <c r="B2" s="411"/>
      <c r="C2" s="411"/>
      <c r="D2" s="411"/>
      <c r="E2" s="411"/>
    </row>
    <row r="3" spans="1:5" ht="6" customHeight="1">
      <c r="A3" s="256"/>
      <c r="B3" s="256"/>
      <c r="C3" s="256"/>
      <c r="D3" s="401"/>
      <c r="E3" s="401"/>
    </row>
    <row r="4" spans="1:5" ht="31.5" customHeight="1">
      <c r="A4" s="412" t="s">
        <v>950</v>
      </c>
      <c r="B4" s="412"/>
      <c r="C4" s="412"/>
      <c r="D4" s="412"/>
      <c r="E4" s="412"/>
    </row>
    <row r="5" spans="1:5" ht="15.75" customHeight="1">
      <c r="A5" s="413" t="s">
        <v>3</v>
      </c>
      <c r="B5" s="413"/>
      <c r="C5" s="413"/>
      <c r="D5" s="413"/>
      <c r="E5" s="413"/>
    </row>
    <row r="6" spans="1:5" ht="3.75" customHeight="1">
      <c r="A6" s="256"/>
      <c r="B6" s="256"/>
      <c r="C6" s="256"/>
      <c r="D6" s="401"/>
      <c r="E6" s="401"/>
    </row>
    <row r="7" spans="1:5" ht="15.75" customHeight="1">
      <c r="A7" s="407" t="s">
        <v>951</v>
      </c>
      <c r="B7" s="407"/>
      <c r="C7" s="407" t="s">
        <v>11</v>
      </c>
      <c r="D7" s="407"/>
      <c r="E7" s="407"/>
    </row>
    <row r="8" spans="1:5" ht="15.75" customHeight="1">
      <c r="A8" s="401" t="s">
        <v>12</v>
      </c>
      <c r="B8" s="401"/>
      <c r="C8" s="401" t="s">
        <v>13</v>
      </c>
      <c r="D8" s="401"/>
      <c r="E8" s="401"/>
    </row>
    <row r="9" spans="1:5" ht="15.75" customHeight="1">
      <c r="A9" s="407" t="s">
        <v>15</v>
      </c>
      <c r="B9" s="407"/>
      <c r="C9" s="407" t="s">
        <v>16</v>
      </c>
      <c r="D9" s="407"/>
      <c r="E9" s="407"/>
    </row>
    <row r="10" spans="1:5" ht="15.75" customHeight="1">
      <c r="A10" s="401" t="s">
        <v>952</v>
      </c>
      <c r="B10" s="401"/>
      <c r="C10" s="401" t="s">
        <v>18</v>
      </c>
      <c r="D10" s="401"/>
      <c r="E10" s="401"/>
    </row>
    <row r="11" spans="1:5" ht="15" customHeight="1">
      <c r="A11" s="407" t="s">
        <v>953</v>
      </c>
      <c r="B11" s="407"/>
      <c r="C11" s="408">
        <v>44624</v>
      </c>
      <c r="D11" s="407"/>
      <c r="E11" s="407"/>
    </row>
    <row r="12" spans="1:5" ht="15.75" customHeight="1">
      <c r="A12" s="401" t="s">
        <v>954</v>
      </c>
      <c r="B12" s="401"/>
      <c r="C12" s="409">
        <v>44624</v>
      </c>
      <c r="D12" s="401"/>
      <c r="E12" s="401"/>
    </row>
    <row r="13" spans="1:5" ht="15.75" customHeight="1">
      <c r="A13" s="257"/>
      <c r="B13" s="257"/>
      <c r="C13" s="257"/>
      <c r="D13" s="405" t="s">
        <v>955</v>
      </c>
      <c r="E13" s="405"/>
    </row>
    <row r="14" spans="1:5" ht="46.5" customHeight="1">
      <c r="A14" s="260" t="s">
        <v>25</v>
      </c>
      <c r="B14" s="261" t="s">
        <v>956</v>
      </c>
      <c r="C14" s="261" t="s">
        <v>957</v>
      </c>
      <c r="D14" s="261" t="s">
        <v>234</v>
      </c>
      <c r="E14" s="262" t="s">
        <v>235</v>
      </c>
    </row>
    <row r="15" spans="1:5" ht="24" customHeight="1">
      <c r="A15" s="263" t="s">
        <v>31</v>
      </c>
      <c r="B15" s="264" t="s">
        <v>958</v>
      </c>
      <c r="C15" s="265" t="s">
        <v>959</v>
      </c>
      <c r="D15" s="266">
        <v>5280430128341</v>
      </c>
      <c r="E15" s="267">
        <v>0</v>
      </c>
    </row>
    <row r="16" spans="1:5" ht="30.5" customHeight="1">
      <c r="A16" s="263" t="s">
        <v>121</v>
      </c>
      <c r="B16" s="264" t="s">
        <v>960</v>
      </c>
      <c r="C16" s="265" t="s">
        <v>961</v>
      </c>
      <c r="D16" s="266">
        <v>5319381902834</v>
      </c>
      <c r="E16" s="267">
        <v>1030560272239</v>
      </c>
    </row>
    <row r="17" spans="1:5" ht="24" hidden="1" customHeight="1">
      <c r="A17" s="268"/>
      <c r="B17" s="269" t="s">
        <v>962</v>
      </c>
      <c r="C17" s="270"/>
      <c r="D17" s="271">
        <v>0</v>
      </c>
      <c r="E17" s="272">
        <v>0</v>
      </c>
    </row>
    <row r="18" spans="1:5" ht="45" customHeight="1">
      <c r="A18" s="268" t="s">
        <v>124</v>
      </c>
      <c r="B18" s="269" t="s">
        <v>963</v>
      </c>
      <c r="C18" s="270" t="s">
        <v>964</v>
      </c>
      <c r="D18" s="271">
        <v>5319381902834</v>
      </c>
      <c r="E18" s="272">
        <v>1030560272239</v>
      </c>
    </row>
    <row r="19" spans="1:5" ht="39" customHeight="1">
      <c r="A19" s="268" t="s">
        <v>126</v>
      </c>
      <c r="B19" s="269" t="s">
        <v>965</v>
      </c>
      <c r="C19" s="270" t="s">
        <v>966</v>
      </c>
      <c r="D19" s="271">
        <v>0</v>
      </c>
      <c r="E19" s="272">
        <v>0</v>
      </c>
    </row>
    <row r="20" spans="1:5" ht="45" customHeight="1">
      <c r="A20" s="263" t="s">
        <v>340</v>
      </c>
      <c r="B20" s="264" t="s">
        <v>967</v>
      </c>
      <c r="C20" s="265" t="s">
        <v>968</v>
      </c>
      <c r="D20" s="266">
        <v>3191933076038</v>
      </c>
      <c r="E20" s="267">
        <v>4249869856102</v>
      </c>
    </row>
    <row r="21" spans="1:5" ht="24" customHeight="1">
      <c r="A21" s="268" t="s">
        <v>969</v>
      </c>
      <c r="B21" s="269" t="s">
        <v>970</v>
      </c>
      <c r="C21" s="270" t="s">
        <v>971</v>
      </c>
      <c r="D21" s="271">
        <v>6738824812297</v>
      </c>
      <c r="E21" s="272">
        <v>4411668821681</v>
      </c>
    </row>
    <row r="22" spans="1:5" ht="24" customHeight="1">
      <c r="A22" s="268" t="s">
        <v>972</v>
      </c>
      <c r="B22" s="269" t="s">
        <v>973</v>
      </c>
      <c r="C22" s="270" t="s">
        <v>974</v>
      </c>
      <c r="D22" s="271">
        <v>-3546891736259</v>
      </c>
      <c r="E22" s="272">
        <v>-161798965579</v>
      </c>
    </row>
    <row r="23" spans="1:5" ht="24" customHeight="1">
      <c r="A23" s="263" t="s">
        <v>343</v>
      </c>
      <c r="B23" s="264" t="s">
        <v>975</v>
      </c>
      <c r="C23" s="265" t="s">
        <v>976</v>
      </c>
      <c r="D23" s="266">
        <v>13791745107213</v>
      </c>
      <c r="E23" s="267">
        <v>5280430128341</v>
      </c>
    </row>
    <row r="24" spans="1:5" ht="24" customHeight="1">
      <c r="A24" s="273" t="s">
        <v>356</v>
      </c>
      <c r="B24" s="274" t="s">
        <v>977</v>
      </c>
      <c r="C24" s="275" t="s">
        <v>978</v>
      </c>
      <c r="D24" s="276">
        <v>28157.91</v>
      </c>
      <c r="E24" s="277">
        <v>16973.41</v>
      </c>
    </row>
    <row r="25" spans="1:5" ht="15.75" customHeight="1">
      <c r="A25" s="401"/>
      <c r="B25" s="401"/>
      <c r="C25" s="401"/>
      <c r="D25" s="401"/>
      <c r="E25" s="256"/>
    </row>
    <row r="26" spans="1:5" ht="27" customHeight="1">
      <c r="A26" s="406" t="s">
        <v>813</v>
      </c>
      <c r="B26" s="406"/>
      <c r="C26" s="406" t="s">
        <v>814</v>
      </c>
      <c r="D26" s="406"/>
      <c r="E26" s="278" t="s">
        <v>228</v>
      </c>
    </row>
    <row r="27" spans="1:5" ht="14.25" customHeight="1">
      <c r="A27" s="403" t="s">
        <v>815</v>
      </c>
      <c r="B27" s="403"/>
      <c r="C27" s="404" t="s">
        <v>815</v>
      </c>
      <c r="D27" s="404"/>
      <c r="E27" s="258" t="s">
        <v>816</v>
      </c>
    </row>
    <row r="28" spans="1:5" ht="112.5" customHeight="1">
      <c r="A28" s="401"/>
      <c r="B28" s="401"/>
      <c r="C28" s="401"/>
      <c r="D28" s="401"/>
      <c r="E28" s="256"/>
    </row>
    <row r="29" spans="1:5" ht="15.75" customHeight="1">
      <c r="A29" s="402" t="s">
        <v>817</v>
      </c>
      <c r="B29" s="402"/>
      <c r="C29" s="402" t="s">
        <v>818</v>
      </c>
      <c r="D29" s="402"/>
      <c r="E29" s="259" t="s">
        <v>230</v>
      </c>
    </row>
  </sheetData>
  <mergeCells count="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D13:E13"/>
    <mergeCell ref="A25:B25"/>
    <mergeCell ref="C25:D25"/>
    <mergeCell ref="A26:B26"/>
    <mergeCell ref="C26:D26"/>
    <mergeCell ref="A28:B28"/>
    <mergeCell ref="C28:D28"/>
    <mergeCell ref="A29:B29"/>
    <mergeCell ref="C29:D29"/>
    <mergeCell ref="A27:B27"/>
    <mergeCell ref="C27:D27"/>
  </mergeCells>
  <printOptions horizontalCentered="1"/>
  <pageMargins left="0.4" right="0" top="0.58999997377395597" bottom="0.58999997377395597" header="0.5" footer="0.5"/>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G74"/>
  <sheetViews>
    <sheetView showGridLines="0" showZeros="0" showOutlineSymbols="0" view="pageBreakPreview" zoomScaleNormal="100" zoomScaleSheetLayoutView="100" workbookViewId="0">
      <selection activeCell="D16" sqref="D16:F16"/>
    </sheetView>
  </sheetViews>
  <sheetFormatPr defaultRowHeight="10"/>
  <cols>
    <col min="1" max="1" width="29.54296875" style="16" customWidth="1"/>
    <col min="2" max="2" width="9.90625" style="16" customWidth="1"/>
    <col min="3" max="4" width="6.54296875" style="90" customWidth="1"/>
    <col min="5" max="6" width="18.54296875" style="91" customWidth="1"/>
    <col min="7" max="7" width="5.54296875" style="16" customWidth="1"/>
    <col min="8" max="256" width="9.1796875" style="16"/>
    <col min="257" max="257" width="31.26953125" style="16" customWidth="1"/>
    <col min="258" max="259" width="6.453125" style="16" customWidth="1"/>
    <col min="260" max="260" width="11.7265625" style="16" customWidth="1"/>
    <col min="261" max="261" width="21.453125" style="16" customWidth="1"/>
    <col min="262" max="262" width="24.54296875" style="16" customWidth="1"/>
    <col min="263" max="512" width="9.1796875" style="16"/>
    <col min="513" max="513" width="31.26953125" style="16" customWidth="1"/>
    <col min="514" max="515" width="6.453125" style="16" customWidth="1"/>
    <col min="516" max="516" width="11.7265625" style="16" customWidth="1"/>
    <col min="517" max="517" width="21.453125" style="16" customWidth="1"/>
    <col min="518" max="518" width="24.54296875" style="16" customWidth="1"/>
    <col min="519" max="768" width="9.1796875" style="16"/>
    <col min="769" max="769" width="31.26953125" style="16" customWidth="1"/>
    <col min="770" max="771" width="6.453125" style="16" customWidth="1"/>
    <col min="772" max="772" width="11.7265625" style="16" customWidth="1"/>
    <col min="773" max="773" width="21.453125" style="16" customWidth="1"/>
    <col min="774" max="774" width="24.54296875" style="16" customWidth="1"/>
    <col min="775" max="1024" width="9.1796875" style="16"/>
    <col min="1025" max="1025" width="31.26953125" style="16" customWidth="1"/>
    <col min="1026" max="1027" width="6.453125" style="16" customWidth="1"/>
    <col min="1028" max="1028" width="11.7265625" style="16" customWidth="1"/>
    <col min="1029" max="1029" width="21.453125" style="16" customWidth="1"/>
    <col min="1030" max="1030" width="24.54296875" style="16" customWidth="1"/>
    <col min="1031" max="1280" width="9.1796875" style="16"/>
    <col min="1281" max="1281" width="31.26953125" style="16" customWidth="1"/>
    <col min="1282" max="1283" width="6.453125" style="16" customWidth="1"/>
    <col min="1284" max="1284" width="11.7265625" style="16" customWidth="1"/>
    <col min="1285" max="1285" width="21.453125" style="16" customWidth="1"/>
    <col min="1286" max="1286" width="24.54296875" style="16" customWidth="1"/>
    <col min="1287" max="1536" width="9.1796875" style="16"/>
    <col min="1537" max="1537" width="31.26953125" style="16" customWidth="1"/>
    <col min="1538" max="1539" width="6.453125" style="16" customWidth="1"/>
    <col min="1540" max="1540" width="11.7265625" style="16" customWidth="1"/>
    <col min="1541" max="1541" width="21.453125" style="16" customWidth="1"/>
    <col min="1542" max="1542" width="24.54296875" style="16" customWidth="1"/>
    <col min="1543" max="1792" width="9.1796875" style="16"/>
    <col min="1793" max="1793" width="31.26953125" style="16" customWidth="1"/>
    <col min="1794" max="1795" width="6.453125" style="16" customWidth="1"/>
    <col min="1796" max="1796" width="11.7265625" style="16" customWidth="1"/>
    <col min="1797" max="1797" width="21.453125" style="16" customWidth="1"/>
    <col min="1798" max="1798" width="24.54296875" style="16" customWidth="1"/>
    <col min="1799" max="2048" width="9.1796875" style="16"/>
    <col min="2049" max="2049" width="31.26953125" style="16" customWidth="1"/>
    <col min="2050" max="2051" width="6.453125" style="16" customWidth="1"/>
    <col min="2052" max="2052" width="11.7265625" style="16" customWidth="1"/>
    <col min="2053" max="2053" width="21.453125" style="16" customWidth="1"/>
    <col min="2054" max="2054" width="24.54296875" style="16" customWidth="1"/>
    <col min="2055" max="2304" width="9.1796875" style="16"/>
    <col min="2305" max="2305" width="31.26953125" style="16" customWidth="1"/>
    <col min="2306" max="2307" width="6.453125" style="16" customWidth="1"/>
    <col min="2308" max="2308" width="11.7265625" style="16" customWidth="1"/>
    <col min="2309" max="2309" width="21.453125" style="16" customWidth="1"/>
    <col min="2310" max="2310" width="24.54296875" style="16" customWidth="1"/>
    <col min="2311" max="2560" width="9.1796875" style="16"/>
    <col min="2561" max="2561" width="31.26953125" style="16" customWidth="1"/>
    <col min="2562" max="2563" width="6.453125" style="16" customWidth="1"/>
    <col min="2564" max="2564" width="11.7265625" style="16" customWidth="1"/>
    <col min="2565" max="2565" width="21.453125" style="16" customWidth="1"/>
    <col min="2566" max="2566" width="24.54296875" style="16" customWidth="1"/>
    <col min="2567" max="2816" width="9.1796875" style="16"/>
    <col min="2817" max="2817" width="31.26953125" style="16" customWidth="1"/>
    <col min="2818" max="2819" width="6.453125" style="16" customWidth="1"/>
    <col min="2820" max="2820" width="11.7265625" style="16" customWidth="1"/>
    <col min="2821" max="2821" width="21.453125" style="16" customWidth="1"/>
    <col min="2822" max="2822" width="24.54296875" style="16" customWidth="1"/>
    <col min="2823" max="3072" width="9.1796875" style="16"/>
    <col min="3073" max="3073" width="31.26953125" style="16" customWidth="1"/>
    <col min="3074" max="3075" width="6.453125" style="16" customWidth="1"/>
    <col min="3076" max="3076" width="11.7265625" style="16" customWidth="1"/>
    <col min="3077" max="3077" width="21.453125" style="16" customWidth="1"/>
    <col min="3078" max="3078" width="24.54296875" style="16" customWidth="1"/>
    <col min="3079" max="3328" width="9.1796875" style="16"/>
    <col min="3329" max="3329" width="31.26953125" style="16" customWidth="1"/>
    <col min="3330" max="3331" width="6.453125" style="16" customWidth="1"/>
    <col min="3332" max="3332" width="11.7265625" style="16" customWidth="1"/>
    <col min="3333" max="3333" width="21.453125" style="16" customWidth="1"/>
    <col min="3334" max="3334" width="24.54296875" style="16" customWidth="1"/>
    <col min="3335" max="3584" width="9.1796875" style="16"/>
    <col min="3585" max="3585" width="31.26953125" style="16" customWidth="1"/>
    <col min="3586" max="3587" width="6.453125" style="16" customWidth="1"/>
    <col min="3588" max="3588" width="11.7265625" style="16" customWidth="1"/>
    <col min="3589" max="3589" width="21.453125" style="16" customWidth="1"/>
    <col min="3590" max="3590" width="24.54296875" style="16" customWidth="1"/>
    <col min="3591" max="3840" width="9.1796875" style="16"/>
    <col min="3841" max="3841" width="31.26953125" style="16" customWidth="1"/>
    <col min="3842" max="3843" width="6.453125" style="16" customWidth="1"/>
    <col min="3844" max="3844" width="11.7265625" style="16" customWidth="1"/>
    <col min="3845" max="3845" width="21.453125" style="16" customWidth="1"/>
    <col min="3846" max="3846" width="24.54296875" style="16" customWidth="1"/>
    <col min="3847" max="4096" width="9.1796875" style="16"/>
    <col min="4097" max="4097" width="31.26953125" style="16" customWidth="1"/>
    <col min="4098" max="4099" width="6.453125" style="16" customWidth="1"/>
    <col min="4100" max="4100" width="11.7265625" style="16" customWidth="1"/>
    <col min="4101" max="4101" width="21.453125" style="16" customWidth="1"/>
    <col min="4102" max="4102" width="24.54296875" style="16" customWidth="1"/>
    <col min="4103" max="4352" width="9.1796875" style="16"/>
    <col min="4353" max="4353" width="31.26953125" style="16" customWidth="1"/>
    <col min="4354" max="4355" width="6.453125" style="16" customWidth="1"/>
    <col min="4356" max="4356" width="11.7265625" style="16" customWidth="1"/>
    <col min="4357" max="4357" width="21.453125" style="16" customWidth="1"/>
    <col min="4358" max="4358" width="24.54296875" style="16" customWidth="1"/>
    <col min="4359" max="4608" width="9.1796875" style="16"/>
    <col min="4609" max="4609" width="31.26953125" style="16" customWidth="1"/>
    <col min="4610" max="4611" width="6.453125" style="16" customWidth="1"/>
    <col min="4612" max="4612" width="11.7265625" style="16" customWidth="1"/>
    <col min="4613" max="4613" width="21.453125" style="16" customWidth="1"/>
    <col min="4614" max="4614" width="24.54296875" style="16" customWidth="1"/>
    <col min="4615" max="4864" width="9.1796875" style="16"/>
    <col min="4865" max="4865" width="31.26953125" style="16" customWidth="1"/>
    <col min="4866" max="4867" width="6.453125" style="16" customWidth="1"/>
    <col min="4868" max="4868" width="11.7265625" style="16" customWidth="1"/>
    <col min="4869" max="4869" width="21.453125" style="16" customWidth="1"/>
    <col min="4870" max="4870" width="24.54296875" style="16" customWidth="1"/>
    <col min="4871" max="5120" width="9.1796875" style="16"/>
    <col min="5121" max="5121" width="31.26953125" style="16" customWidth="1"/>
    <col min="5122" max="5123" width="6.453125" style="16" customWidth="1"/>
    <col min="5124" max="5124" width="11.7265625" style="16" customWidth="1"/>
    <col min="5125" max="5125" width="21.453125" style="16" customWidth="1"/>
    <col min="5126" max="5126" width="24.54296875" style="16" customWidth="1"/>
    <col min="5127" max="5376" width="9.1796875" style="16"/>
    <col min="5377" max="5377" width="31.26953125" style="16" customWidth="1"/>
    <col min="5378" max="5379" width="6.453125" style="16" customWidth="1"/>
    <col min="5380" max="5380" width="11.7265625" style="16" customWidth="1"/>
    <col min="5381" max="5381" width="21.453125" style="16" customWidth="1"/>
    <col min="5382" max="5382" width="24.54296875" style="16" customWidth="1"/>
    <col min="5383" max="5632" width="9.1796875" style="16"/>
    <col min="5633" max="5633" width="31.26953125" style="16" customWidth="1"/>
    <col min="5634" max="5635" width="6.453125" style="16" customWidth="1"/>
    <col min="5636" max="5636" width="11.7265625" style="16" customWidth="1"/>
    <col min="5637" max="5637" width="21.453125" style="16" customWidth="1"/>
    <col min="5638" max="5638" width="24.54296875" style="16" customWidth="1"/>
    <col min="5639" max="5888" width="9.1796875" style="16"/>
    <col min="5889" max="5889" width="31.26953125" style="16" customWidth="1"/>
    <col min="5890" max="5891" width="6.453125" style="16" customWidth="1"/>
    <col min="5892" max="5892" width="11.7265625" style="16" customWidth="1"/>
    <col min="5893" max="5893" width="21.453125" style="16" customWidth="1"/>
    <col min="5894" max="5894" width="24.54296875" style="16" customWidth="1"/>
    <col min="5895" max="6144" width="9.1796875" style="16"/>
    <col min="6145" max="6145" width="31.26953125" style="16" customWidth="1"/>
    <col min="6146" max="6147" width="6.453125" style="16" customWidth="1"/>
    <col min="6148" max="6148" width="11.7265625" style="16" customWidth="1"/>
    <col min="6149" max="6149" width="21.453125" style="16" customWidth="1"/>
    <col min="6150" max="6150" width="24.54296875" style="16" customWidth="1"/>
    <col min="6151" max="6400" width="9.1796875" style="16"/>
    <col min="6401" max="6401" width="31.26953125" style="16" customWidth="1"/>
    <col min="6402" max="6403" width="6.453125" style="16" customWidth="1"/>
    <col min="6404" max="6404" width="11.7265625" style="16" customWidth="1"/>
    <col min="6405" max="6405" width="21.453125" style="16" customWidth="1"/>
    <col min="6406" max="6406" width="24.54296875" style="16" customWidth="1"/>
    <col min="6407" max="6656" width="9.1796875" style="16"/>
    <col min="6657" max="6657" width="31.26953125" style="16" customWidth="1"/>
    <col min="6658" max="6659" width="6.453125" style="16" customWidth="1"/>
    <col min="6660" max="6660" width="11.7265625" style="16" customWidth="1"/>
    <col min="6661" max="6661" width="21.453125" style="16" customWidth="1"/>
    <col min="6662" max="6662" width="24.54296875" style="16" customWidth="1"/>
    <col min="6663" max="6912" width="9.1796875" style="16"/>
    <col min="6913" max="6913" width="31.26953125" style="16" customWidth="1"/>
    <col min="6914" max="6915" width="6.453125" style="16" customWidth="1"/>
    <col min="6916" max="6916" width="11.7265625" style="16" customWidth="1"/>
    <col min="6917" max="6917" width="21.453125" style="16" customWidth="1"/>
    <col min="6918" max="6918" width="24.54296875" style="16" customWidth="1"/>
    <col min="6919" max="7168" width="9.1796875" style="16"/>
    <col min="7169" max="7169" width="31.26953125" style="16" customWidth="1"/>
    <col min="7170" max="7171" width="6.453125" style="16" customWidth="1"/>
    <col min="7172" max="7172" width="11.7265625" style="16" customWidth="1"/>
    <col min="7173" max="7173" width="21.453125" style="16" customWidth="1"/>
    <col min="7174" max="7174" width="24.54296875" style="16" customWidth="1"/>
    <col min="7175" max="7424" width="9.1796875" style="16"/>
    <col min="7425" max="7425" width="31.26953125" style="16" customWidth="1"/>
    <col min="7426" max="7427" width="6.453125" style="16" customWidth="1"/>
    <col min="7428" max="7428" width="11.7265625" style="16" customWidth="1"/>
    <col min="7429" max="7429" width="21.453125" style="16" customWidth="1"/>
    <col min="7430" max="7430" width="24.54296875" style="16" customWidth="1"/>
    <col min="7431" max="7680" width="9.1796875" style="16"/>
    <col min="7681" max="7681" width="31.26953125" style="16" customWidth="1"/>
    <col min="7682" max="7683" width="6.453125" style="16" customWidth="1"/>
    <col min="7684" max="7684" width="11.7265625" style="16" customWidth="1"/>
    <col min="7685" max="7685" width="21.453125" style="16" customWidth="1"/>
    <col min="7686" max="7686" width="24.54296875" style="16" customWidth="1"/>
    <col min="7687" max="7936" width="9.1796875" style="16"/>
    <col min="7937" max="7937" width="31.26953125" style="16" customWidth="1"/>
    <col min="7938" max="7939" width="6.453125" style="16" customWidth="1"/>
    <col min="7940" max="7940" width="11.7265625" style="16" customWidth="1"/>
    <col min="7941" max="7941" width="21.453125" style="16" customWidth="1"/>
    <col min="7942" max="7942" width="24.54296875" style="16" customWidth="1"/>
    <col min="7943" max="8192" width="9.1796875" style="16"/>
    <col min="8193" max="8193" width="31.26953125" style="16" customWidth="1"/>
    <col min="8194" max="8195" width="6.453125" style="16" customWidth="1"/>
    <col min="8196" max="8196" width="11.7265625" style="16" customWidth="1"/>
    <col min="8197" max="8197" width="21.453125" style="16" customWidth="1"/>
    <col min="8198" max="8198" width="24.54296875" style="16" customWidth="1"/>
    <col min="8199" max="8448" width="9.1796875" style="16"/>
    <col min="8449" max="8449" width="31.26953125" style="16" customWidth="1"/>
    <col min="8450" max="8451" width="6.453125" style="16" customWidth="1"/>
    <col min="8452" max="8452" width="11.7265625" style="16" customWidth="1"/>
    <col min="8453" max="8453" width="21.453125" style="16" customWidth="1"/>
    <col min="8454" max="8454" width="24.54296875" style="16" customWidth="1"/>
    <col min="8455" max="8704" width="9.1796875" style="16"/>
    <col min="8705" max="8705" width="31.26953125" style="16" customWidth="1"/>
    <col min="8706" max="8707" width="6.453125" style="16" customWidth="1"/>
    <col min="8708" max="8708" width="11.7265625" style="16" customWidth="1"/>
    <col min="8709" max="8709" width="21.453125" style="16" customWidth="1"/>
    <col min="8710" max="8710" width="24.54296875" style="16" customWidth="1"/>
    <col min="8711" max="8960" width="9.1796875" style="16"/>
    <col min="8961" max="8961" width="31.26953125" style="16" customWidth="1"/>
    <col min="8962" max="8963" width="6.453125" style="16" customWidth="1"/>
    <col min="8964" max="8964" width="11.7265625" style="16" customWidth="1"/>
    <col min="8965" max="8965" width="21.453125" style="16" customWidth="1"/>
    <col min="8966" max="8966" width="24.54296875" style="16" customWidth="1"/>
    <col min="8967" max="9216" width="9.1796875" style="16"/>
    <col min="9217" max="9217" width="31.26953125" style="16" customWidth="1"/>
    <col min="9218" max="9219" width="6.453125" style="16" customWidth="1"/>
    <col min="9220" max="9220" width="11.7265625" style="16" customWidth="1"/>
    <col min="9221" max="9221" width="21.453125" style="16" customWidth="1"/>
    <col min="9222" max="9222" width="24.54296875" style="16" customWidth="1"/>
    <col min="9223" max="9472" width="9.1796875" style="16"/>
    <col min="9473" max="9473" width="31.26953125" style="16" customWidth="1"/>
    <col min="9474" max="9475" width="6.453125" style="16" customWidth="1"/>
    <col min="9476" max="9476" width="11.7265625" style="16" customWidth="1"/>
    <col min="9477" max="9477" width="21.453125" style="16" customWidth="1"/>
    <col min="9478" max="9478" width="24.54296875" style="16" customWidth="1"/>
    <col min="9479" max="9728" width="9.1796875" style="16"/>
    <col min="9729" max="9729" width="31.26953125" style="16" customWidth="1"/>
    <col min="9730" max="9731" width="6.453125" style="16" customWidth="1"/>
    <col min="9732" max="9732" width="11.7265625" style="16" customWidth="1"/>
    <col min="9733" max="9733" width="21.453125" style="16" customWidth="1"/>
    <col min="9734" max="9734" width="24.54296875" style="16" customWidth="1"/>
    <col min="9735" max="9984" width="9.1796875" style="16"/>
    <col min="9985" max="9985" width="31.26953125" style="16" customWidth="1"/>
    <col min="9986" max="9987" width="6.453125" style="16" customWidth="1"/>
    <col min="9988" max="9988" width="11.7265625" style="16" customWidth="1"/>
    <col min="9989" max="9989" width="21.453125" style="16" customWidth="1"/>
    <col min="9990" max="9990" width="24.54296875" style="16" customWidth="1"/>
    <col min="9991" max="10240" width="9.1796875" style="16"/>
    <col min="10241" max="10241" width="31.26953125" style="16" customWidth="1"/>
    <col min="10242" max="10243" width="6.453125" style="16" customWidth="1"/>
    <col min="10244" max="10244" width="11.7265625" style="16" customWidth="1"/>
    <col min="10245" max="10245" width="21.453125" style="16" customWidth="1"/>
    <col min="10246" max="10246" width="24.54296875" style="16" customWidth="1"/>
    <col min="10247" max="10496" width="9.1796875" style="16"/>
    <col min="10497" max="10497" width="31.26953125" style="16" customWidth="1"/>
    <col min="10498" max="10499" width="6.453125" style="16" customWidth="1"/>
    <col min="10500" max="10500" width="11.7265625" style="16" customWidth="1"/>
    <col min="10501" max="10501" width="21.453125" style="16" customWidth="1"/>
    <col min="10502" max="10502" width="24.54296875" style="16" customWidth="1"/>
    <col min="10503" max="10752" width="9.1796875" style="16"/>
    <col min="10753" max="10753" width="31.26953125" style="16" customWidth="1"/>
    <col min="10754" max="10755" width="6.453125" style="16" customWidth="1"/>
    <col min="10756" max="10756" width="11.7265625" style="16" customWidth="1"/>
    <col min="10757" max="10757" width="21.453125" style="16" customWidth="1"/>
    <col min="10758" max="10758" width="24.54296875" style="16" customWidth="1"/>
    <col min="10759" max="11008" width="9.1796875" style="16"/>
    <col min="11009" max="11009" width="31.26953125" style="16" customWidth="1"/>
    <col min="11010" max="11011" width="6.453125" style="16" customWidth="1"/>
    <col min="11012" max="11012" width="11.7265625" style="16" customWidth="1"/>
    <col min="11013" max="11013" width="21.453125" style="16" customWidth="1"/>
    <col min="11014" max="11014" width="24.54296875" style="16" customWidth="1"/>
    <col min="11015" max="11264" width="9.1796875" style="16"/>
    <col min="11265" max="11265" width="31.26953125" style="16" customWidth="1"/>
    <col min="11266" max="11267" width="6.453125" style="16" customWidth="1"/>
    <col min="11268" max="11268" width="11.7265625" style="16" customWidth="1"/>
    <col min="11269" max="11269" width="21.453125" style="16" customWidth="1"/>
    <col min="11270" max="11270" width="24.54296875" style="16" customWidth="1"/>
    <col min="11271" max="11520" width="9.1796875" style="16"/>
    <col min="11521" max="11521" width="31.26953125" style="16" customWidth="1"/>
    <col min="11522" max="11523" width="6.453125" style="16" customWidth="1"/>
    <col min="11524" max="11524" width="11.7265625" style="16" customWidth="1"/>
    <col min="11525" max="11525" width="21.453125" style="16" customWidth="1"/>
    <col min="11526" max="11526" width="24.54296875" style="16" customWidth="1"/>
    <col min="11527" max="11776" width="9.1796875" style="16"/>
    <col min="11777" max="11777" width="31.26953125" style="16" customWidth="1"/>
    <col min="11778" max="11779" width="6.453125" style="16" customWidth="1"/>
    <col min="11780" max="11780" width="11.7265625" style="16" customWidth="1"/>
    <col min="11781" max="11781" width="21.453125" style="16" customWidth="1"/>
    <col min="11782" max="11782" width="24.54296875" style="16" customWidth="1"/>
    <col min="11783" max="12032" width="9.1796875" style="16"/>
    <col min="12033" max="12033" width="31.26953125" style="16" customWidth="1"/>
    <col min="12034" max="12035" width="6.453125" style="16" customWidth="1"/>
    <col min="12036" max="12036" width="11.7265625" style="16" customWidth="1"/>
    <col min="12037" max="12037" width="21.453125" style="16" customWidth="1"/>
    <col min="12038" max="12038" width="24.54296875" style="16" customWidth="1"/>
    <col min="12039" max="12288" width="9.1796875" style="16"/>
    <col min="12289" max="12289" width="31.26953125" style="16" customWidth="1"/>
    <col min="12290" max="12291" width="6.453125" style="16" customWidth="1"/>
    <col min="12292" max="12292" width="11.7265625" style="16" customWidth="1"/>
    <col min="12293" max="12293" width="21.453125" style="16" customWidth="1"/>
    <col min="12294" max="12294" width="24.54296875" style="16" customWidth="1"/>
    <col min="12295" max="12544" width="9.1796875" style="16"/>
    <col min="12545" max="12545" width="31.26953125" style="16" customWidth="1"/>
    <col min="12546" max="12547" width="6.453125" style="16" customWidth="1"/>
    <col min="12548" max="12548" width="11.7265625" style="16" customWidth="1"/>
    <col min="12549" max="12549" width="21.453125" style="16" customWidth="1"/>
    <col min="12550" max="12550" width="24.54296875" style="16" customWidth="1"/>
    <col min="12551" max="12800" width="9.1796875" style="16"/>
    <col min="12801" max="12801" width="31.26953125" style="16" customWidth="1"/>
    <col min="12802" max="12803" width="6.453125" style="16" customWidth="1"/>
    <col min="12804" max="12804" width="11.7265625" style="16" customWidth="1"/>
    <col min="12805" max="12805" width="21.453125" style="16" customWidth="1"/>
    <col min="12806" max="12806" width="24.54296875" style="16" customWidth="1"/>
    <col min="12807" max="13056" width="9.1796875" style="16"/>
    <col min="13057" max="13057" width="31.26953125" style="16" customWidth="1"/>
    <col min="13058" max="13059" width="6.453125" style="16" customWidth="1"/>
    <col min="13060" max="13060" width="11.7265625" style="16" customWidth="1"/>
    <col min="13061" max="13061" width="21.453125" style="16" customWidth="1"/>
    <col min="13062" max="13062" width="24.54296875" style="16" customWidth="1"/>
    <col min="13063" max="13312" width="9.1796875" style="16"/>
    <col min="13313" max="13313" width="31.26953125" style="16" customWidth="1"/>
    <col min="13314" max="13315" width="6.453125" style="16" customWidth="1"/>
    <col min="13316" max="13316" width="11.7265625" style="16" customWidth="1"/>
    <col min="13317" max="13317" width="21.453125" style="16" customWidth="1"/>
    <col min="13318" max="13318" width="24.54296875" style="16" customWidth="1"/>
    <col min="13319" max="13568" width="9.1796875" style="16"/>
    <col min="13569" max="13569" width="31.26953125" style="16" customWidth="1"/>
    <col min="13570" max="13571" width="6.453125" style="16" customWidth="1"/>
    <col min="13572" max="13572" width="11.7265625" style="16" customWidth="1"/>
    <col min="13573" max="13573" width="21.453125" style="16" customWidth="1"/>
    <col min="13574" max="13574" width="24.54296875" style="16" customWidth="1"/>
    <col min="13575" max="13824" width="9.1796875" style="16"/>
    <col min="13825" max="13825" width="31.26953125" style="16" customWidth="1"/>
    <col min="13826" max="13827" width="6.453125" style="16" customWidth="1"/>
    <col min="13828" max="13828" width="11.7265625" style="16" customWidth="1"/>
    <col min="13829" max="13829" width="21.453125" style="16" customWidth="1"/>
    <col min="13830" max="13830" width="24.54296875" style="16" customWidth="1"/>
    <col min="13831" max="14080" width="9.1796875" style="16"/>
    <col min="14081" max="14081" width="31.26953125" style="16" customWidth="1"/>
    <col min="14082" max="14083" width="6.453125" style="16" customWidth="1"/>
    <col min="14084" max="14084" width="11.7265625" style="16" customWidth="1"/>
    <col min="14085" max="14085" width="21.453125" style="16" customWidth="1"/>
    <col min="14086" max="14086" width="24.54296875" style="16" customWidth="1"/>
    <col min="14087" max="14336" width="9.1796875" style="16"/>
    <col min="14337" max="14337" width="31.26953125" style="16" customWidth="1"/>
    <col min="14338" max="14339" width="6.453125" style="16" customWidth="1"/>
    <col min="14340" max="14340" width="11.7265625" style="16" customWidth="1"/>
    <col min="14341" max="14341" width="21.453125" style="16" customWidth="1"/>
    <col min="14342" max="14342" width="24.54296875" style="16" customWidth="1"/>
    <col min="14343" max="14592" width="9.1796875" style="16"/>
    <col min="14593" max="14593" width="31.26953125" style="16" customWidth="1"/>
    <col min="14594" max="14595" width="6.453125" style="16" customWidth="1"/>
    <col min="14596" max="14596" width="11.7265625" style="16" customWidth="1"/>
    <col min="14597" max="14597" width="21.453125" style="16" customWidth="1"/>
    <col min="14598" max="14598" width="24.54296875" style="16" customWidth="1"/>
    <col min="14599" max="14848" width="9.1796875" style="16"/>
    <col min="14849" max="14849" width="31.26953125" style="16" customWidth="1"/>
    <col min="14850" max="14851" width="6.453125" style="16" customWidth="1"/>
    <col min="14852" max="14852" width="11.7265625" style="16" customWidth="1"/>
    <col min="14853" max="14853" width="21.453125" style="16" customWidth="1"/>
    <col min="14854" max="14854" width="24.54296875" style="16" customWidth="1"/>
    <col min="14855" max="15104" width="9.1796875" style="16"/>
    <col min="15105" max="15105" width="31.26953125" style="16" customWidth="1"/>
    <col min="15106" max="15107" width="6.453125" style="16" customWidth="1"/>
    <col min="15108" max="15108" width="11.7265625" style="16" customWidth="1"/>
    <col min="15109" max="15109" width="21.453125" style="16" customWidth="1"/>
    <col min="15110" max="15110" width="24.54296875" style="16" customWidth="1"/>
    <col min="15111" max="15360" width="9.1796875" style="16"/>
    <col min="15361" max="15361" width="31.26953125" style="16" customWidth="1"/>
    <col min="15362" max="15363" width="6.453125" style="16" customWidth="1"/>
    <col min="15364" max="15364" width="11.7265625" style="16" customWidth="1"/>
    <col min="15365" max="15365" width="21.453125" style="16" customWidth="1"/>
    <col min="15366" max="15366" width="24.54296875" style="16" customWidth="1"/>
    <col min="15367" max="15616" width="9.1796875" style="16"/>
    <col min="15617" max="15617" width="31.26953125" style="16" customWidth="1"/>
    <col min="15618" max="15619" width="6.453125" style="16" customWidth="1"/>
    <col min="15620" max="15620" width="11.7265625" style="16" customWidth="1"/>
    <col min="15621" max="15621" width="21.453125" style="16" customWidth="1"/>
    <col min="15622" max="15622" width="24.54296875" style="16" customWidth="1"/>
    <col min="15623" max="15872" width="9.1796875" style="16"/>
    <col min="15873" max="15873" width="31.26953125" style="16" customWidth="1"/>
    <col min="15874" max="15875" width="6.453125" style="16" customWidth="1"/>
    <col min="15876" max="15876" width="11.7265625" style="16" customWidth="1"/>
    <col min="15877" max="15877" width="21.453125" style="16" customWidth="1"/>
    <col min="15878" max="15878" width="24.54296875" style="16" customWidth="1"/>
    <col min="15879" max="16128" width="9.1796875" style="16"/>
    <col min="16129" max="16129" width="31.26953125" style="16" customWidth="1"/>
    <col min="16130" max="16131" width="6.453125" style="16" customWidth="1"/>
    <col min="16132" max="16132" width="11.7265625" style="16" customWidth="1"/>
    <col min="16133" max="16133" width="21.453125" style="16" customWidth="1"/>
    <col min="16134" max="16134" width="24.54296875" style="16" customWidth="1"/>
    <col min="16135" max="16384" width="9.1796875" style="16"/>
  </cols>
  <sheetData>
    <row r="1" spans="1:7" ht="36" customHeight="1">
      <c r="A1" s="24"/>
      <c r="B1" s="385" t="s">
        <v>979</v>
      </c>
      <c r="C1" s="385"/>
      <c r="D1" s="385"/>
      <c r="E1" s="385"/>
      <c r="F1" s="385"/>
    </row>
    <row r="2" spans="1:7" ht="24.75" customHeight="1">
      <c r="A2" s="437" t="s">
        <v>579</v>
      </c>
      <c r="B2" s="437"/>
      <c r="C2" s="437"/>
      <c r="D2" s="437"/>
      <c r="E2" s="437"/>
      <c r="F2" s="437"/>
      <c r="G2" s="437"/>
    </row>
    <row r="3" spans="1:7" ht="6.75" customHeight="1">
      <c r="A3" s="24"/>
      <c r="B3" s="417"/>
      <c r="C3" s="417"/>
      <c r="D3" s="417"/>
      <c r="E3" s="417"/>
      <c r="F3" s="417"/>
    </row>
    <row r="4" spans="1:7" ht="15" customHeight="1">
      <c r="A4" s="387" t="s">
        <v>980</v>
      </c>
      <c r="B4" s="387"/>
      <c r="C4" s="387"/>
      <c r="D4" s="387"/>
      <c r="E4" s="387"/>
      <c r="F4" s="387"/>
    </row>
    <row r="5" spans="1:7" ht="15" customHeight="1">
      <c r="A5" s="435" t="s">
        <v>981</v>
      </c>
      <c r="B5" s="435"/>
      <c r="C5" s="435"/>
      <c r="D5" s="435"/>
      <c r="E5" s="435"/>
      <c r="F5" s="435"/>
    </row>
    <row r="6" spans="1:7" ht="11.25" customHeight="1">
      <c r="A6" s="419" t="s">
        <v>3</v>
      </c>
      <c r="B6" s="419"/>
      <c r="C6" s="419"/>
      <c r="D6" s="419"/>
      <c r="E6" s="419"/>
      <c r="F6" s="419"/>
    </row>
    <row r="7" spans="1:7" ht="9" customHeight="1">
      <c r="A7" s="24"/>
      <c r="B7" s="417"/>
      <c r="C7" s="417"/>
      <c r="D7" s="436"/>
      <c r="E7" s="436"/>
      <c r="F7" s="436"/>
    </row>
    <row r="8" spans="1:7" ht="12.75" customHeight="1">
      <c r="A8" s="432" t="s">
        <v>10</v>
      </c>
      <c r="B8" s="432"/>
      <c r="C8" s="432"/>
      <c r="D8" s="432" t="s">
        <v>11</v>
      </c>
      <c r="E8" s="432"/>
      <c r="F8" s="432"/>
    </row>
    <row r="9" spans="1:7" ht="12.75" customHeight="1">
      <c r="A9" s="417" t="s">
        <v>12</v>
      </c>
      <c r="B9" s="417"/>
      <c r="C9" s="417"/>
      <c r="D9" s="417" t="s">
        <v>13</v>
      </c>
      <c r="E9" s="417"/>
      <c r="F9" s="417"/>
    </row>
    <row r="10" spans="1:7" ht="12.75" customHeight="1">
      <c r="A10" s="432" t="s">
        <v>385</v>
      </c>
      <c r="B10" s="432"/>
      <c r="C10" s="432"/>
      <c r="D10" s="432" t="s">
        <v>16</v>
      </c>
      <c r="E10" s="432"/>
      <c r="F10" s="432"/>
    </row>
    <row r="11" spans="1:7" ht="12.75" customHeight="1">
      <c r="A11" s="417" t="s">
        <v>17</v>
      </c>
      <c r="B11" s="417"/>
      <c r="C11" s="417"/>
      <c r="D11" s="417" t="s">
        <v>18</v>
      </c>
      <c r="E11" s="417"/>
      <c r="F11" s="417"/>
    </row>
    <row r="12" spans="1:7" ht="12.75" customHeight="1">
      <c r="A12" s="432" t="s">
        <v>5</v>
      </c>
      <c r="B12" s="432"/>
      <c r="C12" s="432"/>
      <c r="D12" s="432" t="s">
        <v>6</v>
      </c>
      <c r="E12" s="432"/>
      <c r="F12" s="432"/>
    </row>
    <row r="13" spans="1:7" ht="12.75" customHeight="1">
      <c r="A13" s="417" t="s">
        <v>7</v>
      </c>
      <c r="B13" s="417"/>
      <c r="C13" s="417"/>
      <c r="D13" s="417" t="s">
        <v>8</v>
      </c>
      <c r="E13" s="417"/>
      <c r="F13" s="417"/>
    </row>
    <row r="14" spans="1:7" ht="12.75" customHeight="1">
      <c r="A14" s="432" t="s">
        <v>20</v>
      </c>
      <c r="B14" s="432"/>
      <c r="C14" s="432"/>
      <c r="D14" s="433">
        <v>44624</v>
      </c>
      <c r="E14" s="432"/>
      <c r="F14" s="432"/>
    </row>
    <row r="15" spans="1:7" ht="12.75" customHeight="1">
      <c r="A15" s="417" t="s">
        <v>21</v>
      </c>
      <c r="B15" s="417"/>
      <c r="C15" s="417"/>
      <c r="D15" s="434">
        <v>44624</v>
      </c>
      <c r="E15" s="417"/>
      <c r="F15" s="417"/>
    </row>
    <row r="16" spans="1:7" ht="12.75" customHeight="1">
      <c r="A16" s="26"/>
      <c r="B16" s="430"/>
      <c r="C16" s="430"/>
      <c r="D16" s="431" t="s">
        <v>24</v>
      </c>
      <c r="E16" s="431"/>
      <c r="F16" s="431"/>
    </row>
    <row r="17" spans="1:6" ht="39.75" customHeight="1">
      <c r="A17" s="376" t="s">
        <v>982</v>
      </c>
      <c r="B17" s="378"/>
      <c r="C17" s="5" t="s">
        <v>582</v>
      </c>
      <c r="D17" s="5" t="s">
        <v>823</v>
      </c>
      <c r="E17" s="5" t="s">
        <v>234</v>
      </c>
      <c r="F17" s="6" t="s">
        <v>235</v>
      </c>
    </row>
    <row r="18" spans="1:6" ht="24" customHeight="1">
      <c r="A18" s="414" t="s">
        <v>983</v>
      </c>
      <c r="B18" s="415"/>
      <c r="C18" s="11" t="s">
        <v>31</v>
      </c>
      <c r="D18" s="11"/>
      <c r="E18" s="14">
        <v>0</v>
      </c>
      <c r="F18" s="15">
        <v>0</v>
      </c>
    </row>
    <row r="19" spans="1:6" ht="24" customHeight="1">
      <c r="A19" s="414" t="s">
        <v>984</v>
      </c>
      <c r="B19" s="415"/>
      <c r="C19" s="11" t="s">
        <v>828</v>
      </c>
      <c r="D19" s="11"/>
      <c r="E19" s="14">
        <v>5319381902834</v>
      </c>
      <c r="F19" s="15">
        <v>1030560272239</v>
      </c>
    </row>
    <row r="20" spans="1:6" ht="24" customHeight="1">
      <c r="A20" s="424" t="s">
        <v>985</v>
      </c>
      <c r="B20" s="425"/>
      <c r="C20" s="8" t="s">
        <v>986</v>
      </c>
      <c r="D20" s="8"/>
      <c r="E20" s="18">
        <v>-1002698678834</v>
      </c>
      <c r="F20" s="19">
        <v>-16641467265</v>
      </c>
    </row>
    <row r="21" spans="1:6" ht="34" customHeight="1">
      <c r="A21" s="424" t="s">
        <v>987</v>
      </c>
      <c r="B21" s="425"/>
      <c r="C21" s="8" t="s">
        <v>988</v>
      </c>
      <c r="D21" s="8"/>
      <c r="E21" s="18">
        <v>0</v>
      </c>
      <c r="F21" s="19">
        <v>0</v>
      </c>
    </row>
    <row r="22" spans="1:6" ht="34" customHeight="1">
      <c r="A22" s="414" t="s">
        <v>989</v>
      </c>
      <c r="B22" s="415"/>
      <c r="C22" s="11" t="s">
        <v>830</v>
      </c>
      <c r="D22" s="11"/>
      <c r="E22" s="14">
        <v>-3010628969088</v>
      </c>
      <c r="F22" s="15">
        <v>-985889991015</v>
      </c>
    </row>
    <row r="23" spans="1:6" ht="44" customHeight="1">
      <c r="A23" s="424" t="s">
        <v>990</v>
      </c>
      <c r="B23" s="425"/>
      <c r="C23" s="8" t="s">
        <v>836</v>
      </c>
      <c r="D23" s="8"/>
      <c r="E23" s="18">
        <v>-3010665706796</v>
      </c>
      <c r="F23" s="19">
        <v>-985986627312</v>
      </c>
    </row>
    <row r="24" spans="1:6" ht="24" customHeight="1">
      <c r="A24" s="424" t="s">
        <v>991</v>
      </c>
      <c r="B24" s="425"/>
      <c r="C24" s="8" t="s">
        <v>838</v>
      </c>
      <c r="D24" s="8"/>
      <c r="E24" s="18">
        <v>0</v>
      </c>
      <c r="F24" s="19">
        <v>0</v>
      </c>
    </row>
    <row r="25" spans="1:6" ht="33" customHeight="1">
      <c r="A25" s="424" t="s">
        <v>992</v>
      </c>
      <c r="B25" s="425"/>
      <c r="C25" s="8" t="s">
        <v>840</v>
      </c>
      <c r="D25" s="8"/>
      <c r="E25" s="18">
        <v>-3010665706796</v>
      </c>
      <c r="F25" s="19">
        <v>-985986627312</v>
      </c>
    </row>
    <row r="26" spans="1:6" ht="24" customHeight="1">
      <c r="A26" s="424" t="s">
        <v>993</v>
      </c>
      <c r="B26" s="425"/>
      <c r="C26" s="8" t="s">
        <v>842</v>
      </c>
      <c r="D26" s="8"/>
      <c r="E26" s="18">
        <v>36737708</v>
      </c>
      <c r="F26" s="19">
        <v>96636297</v>
      </c>
    </row>
    <row r="27" spans="1:6" ht="45" customHeight="1">
      <c r="A27" s="428" t="s">
        <v>994</v>
      </c>
      <c r="B27" s="429"/>
      <c r="C27" s="11" t="s">
        <v>850</v>
      </c>
      <c r="D27" s="11"/>
      <c r="E27" s="14">
        <v>1306054254912</v>
      </c>
      <c r="F27" s="15">
        <v>28028813959</v>
      </c>
    </row>
    <row r="28" spans="1:6" ht="24" customHeight="1">
      <c r="A28" s="414" t="s">
        <v>995</v>
      </c>
      <c r="B28" s="415"/>
      <c r="C28" s="11" t="s">
        <v>517</v>
      </c>
      <c r="D28" s="11"/>
      <c r="E28" s="14">
        <v>-1316292323670</v>
      </c>
      <c r="F28" s="15">
        <v>-9834358673</v>
      </c>
    </row>
    <row r="29" spans="1:6" ht="33" customHeight="1">
      <c r="A29" s="424" t="s">
        <v>996</v>
      </c>
      <c r="B29" s="425"/>
      <c r="C29" s="8" t="s">
        <v>852</v>
      </c>
      <c r="D29" s="8"/>
      <c r="E29" s="18">
        <v>-1672185000</v>
      </c>
      <c r="F29" s="19">
        <v>0</v>
      </c>
    </row>
    <row r="30" spans="1:6" ht="33" customHeight="1">
      <c r="A30" s="424" t="s">
        <v>997</v>
      </c>
      <c r="B30" s="425"/>
      <c r="C30" s="8" t="s">
        <v>854</v>
      </c>
      <c r="D30" s="8"/>
      <c r="E30" s="18">
        <v>-13473846879</v>
      </c>
      <c r="F30" s="19">
        <v>-30821921</v>
      </c>
    </row>
    <row r="31" spans="1:6" ht="24" customHeight="1">
      <c r="A31" s="424" t="s">
        <v>998</v>
      </c>
      <c r="B31" s="425"/>
      <c r="C31" s="8" t="s">
        <v>856</v>
      </c>
      <c r="D31" s="8"/>
      <c r="E31" s="18">
        <v>0</v>
      </c>
      <c r="F31" s="19">
        <v>0</v>
      </c>
    </row>
    <row r="32" spans="1:6" ht="24" customHeight="1">
      <c r="A32" s="424" t="s">
        <v>999</v>
      </c>
      <c r="B32" s="425"/>
      <c r="C32" s="8" t="s">
        <v>858</v>
      </c>
      <c r="D32" s="8"/>
      <c r="E32" s="18">
        <v>0</v>
      </c>
      <c r="F32" s="19">
        <v>0</v>
      </c>
    </row>
    <row r="33" spans="1:6" ht="33" customHeight="1">
      <c r="A33" s="424" t="s">
        <v>1000</v>
      </c>
      <c r="B33" s="425"/>
      <c r="C33" s="8" t="s">
        <v>321</v>
      </c>
      <c r="D33" s="8"/>
      <c r="E33" s="18">
        <v>0</v>
      </c>
      <c r="F33" s="19">
        <v>0</v>
      </c>
    </row>
    <row r="34" spans="1:6" ht="24" customHeight="1">
      <c r="A34" s="424" t="s">
        <v>1001</v>
      </c>
      <c r="B34" s="425"/>
      <c r="C34" s="8" t="s">
        <v>759</v>
      </c>
      <c r="D34" s="8"/>
      <c r="E34" s="18">
        <v>0</v>
      </c>
      <c r="F34" s="19">
        <v>0</v>
      </c>
    </row>
    <row r="35" spans="1:6" ht="44" customHeight="1">
      <c r="A35" s="424" t="s">
        <v>1002</v>
      </c>
      <c r="B35" s="425"/>
      <c r="C35" s="8" t="s">
        <v>417</v>
      </c>
      <c r="D35" s="8"/>
      <c r="E35" s="18">
        <v>0</v>
      </c>
      <c r="F35" s="19">
        <v>0</v>
      </c>
    </row>
    <row r="36" spans="1:6" ht="24" customHeight="1">
      <c r="A36" s="424" t="s">
        <v>1003</v>
      </c>
      <c r="B36" s="425"/>
      <c r="C36" s="8" t="s">
        <v>420</v>
      </c>
      <c r="D36" s="8"/>
      <c r="E36" s="18">
        <v>0</v>
      </c>
      <c r="F36" s="19">
        <v>0</v>
      </c>
    </row>
    <row r="37" spans="1:6" ht="33" customHeight="1">
      <c r="A37" s="424" t="s">
        <v>1004</v>
      </c>
      <c r="B37" s="425"/>
      <c r="C37" s="8" t="s">
        <v>423</v>
      </c>
      <c r="D37" s="8"/>
      <c r="E37" s="18">
        <v>0</v>
      </c>
      <c r="F37" s="19">
        <v>0</v>
      </c>
    </row>
    <row r="38" spans="1:6" ht="33" customHeight="1">
      <c r="A38" s="424" t="s">
        <v>1005</v>
      </c>
      <c r="B38" s="425"/>
      <c r="C38" s="8" t="s">
        <v>426</v>
      </c>
      <c r="D38" s="8"/>
      <c r="E38" s="18">
        <v>0</v>
      </c>
      <c r="F38" s="19">
        <v>0</v>
      </c>
    </row>
    <row r="39" spans="1:6" ht="33" customHeight="1">
      <c r="A39" s="424" t="s">
        <v>1006</v>
      </c>
      <c r="B39" s="425"/>
      <c r="C39" s="8" t="s">
        <v>429</v>
      </c>
      <c r="D39" s="8"/>
      <c r="E39" s="18">
        <v>3235508687</v>
      </c>
      <c r="F39" s="19">
        <v>0</v>
      </c>
    </row>
    <row r="40" spans="1:6" ht="24" customHeight="1">
      <c r="A40" s="424" t="s">
        <v>1007</v>
      </c>
      <c r="B40" s="425"/>
      <c r="C40" s="8" t="s">
        <v>432</v>
      </c>
      <c r="D40" s="8"/>
      <c r="E40" s="18">
        <v>0</v>
      </c>
      <c r="F40" s="19">
        <v>0</v>
      </c>
    </row>
    <row r="41" spans="1:6" ht="33" customHeight="1">
      <c r="A41" s="424" t="s">
        <v>1008</v>
      </c>
      <c r="B41" s="425"/>
      <c r="C41" s="8" t="s">
        <v>435</v>
      </c>
      <c r="D41" s="8"/>
      <c r="E41" s="18">
        <v>14067321724</v>
      </c>
      <c r="F41" s="19">
        <v>4450324013</v>
      </c>
    </row>
    <row r="42" spans="1:6" ht="24" customHeight="1">
      <c r="A42" s="424" t="s">
        <v>1009</v>
      </c>
      <c r="B42" s="425"/>
      <c r="C42" s="8" t="s">
        <v>1010</v>
      </c>
      <c r="D42" s="8"/>
      <c r="E42" s="18">
        <v>0</v>
      </c>
      <c r="F42" s="19">
        <v>0</v>
      </c>
    </row>
    <row r="43" spans="1:6" ht="35.15" customHeight="1">
      <c r="A43" s="426" t="s">
        <v>1011</v>
      </c>
      <c r="B43" s="427"/>
      <c r="C43" s="85" t="s">
        <v>1012</v>
      </c>
      <c r="D43" s="85"/>
      <c r="E43" s="86">
        <v>-8081270226</v>
      </c>
      <c r="F43" s="87">
        <v>22613957378</v>
      </c>
    </row>
    <row r="44" spans="1:6" ht="24" customHeight="1">
      <c r="A44" s="414" t="s">
        <v>1013</v>
      </c>
      <c r="B44" s="415"/>
      <c r="C44" s="11" t="s">
        <v>121</v>
      </c>
      <c r="D44" s="11"/>
      <c r="E44" s="14">
        <v>0</v>
      </c>
      <c r="F44" s="15">
        <v>0</v>
      </c>
    </row>
    <row r="45" spans="1:6" ht="24" customHeight="1">
      <c r="A45" s="424" t="s">
        <v>1014</v>
      </c>
      <c r="B45" s="425"/>
      <c r="C45" s="8" t="s">
        <v>942</v>
      </c>
      <c r="D45" s="8"/>
      <c r="E45" s="18">
        <v>28954706297</v>
      </c>
      <c r="F45" s="19">
        <v>17431518581</v>
      </c>
    </row>
    <row r="46" spans="1:6" ht="24" customHeight="1">
      <c r="A46" s="424" t="s">
        <v>1015</v>
      </c>
      <c r="B46" s="425"/>
      <c r="C46" s="8" t="s">
        <v>944</v>
      </c>
      <c r="D46" s="8"/>
      <c r="E46" s="18">
        <v>-16645056259</v>
      </c>
      <c r="F46" s="19">
        <v>-1031589379</v>
      </c>
    </row>
    <row r="47" spans="1:6" ht="24" customHeight="1">
      <c r="A47" s="424" t="s">
        <v>1166</v>
      </c>
      <c r="B47" s="425"/>
      <c r="C47" s="8" t="s">
        <v>1016</v>
      </c>
      <c r="D47" s="8"/>
      <c r="E47" s="18">
        <v>0</v>
      </c>
      <c r="F47" s="19">
        <v>0</v>
      </c>
    </row>
    <row r="48" spans="1:6" ht="24" customHeight="1">
      <c r="A48" s="424" t="s">
        <v>1017</v>
      </c>
      <c r="B48" s="425"/>
      <c r="C48" s="8" t="s">
        <v>1018</v>
      </c>
      <c r="D48" s="8"/>
      <c r="E48" s="18">
        <v>0</v>
      </c>
      <c r="F48" s="19">
        <v>0</v>
      </c>
    </row>
    <row r="49" spans="1:7" ht="24" customHeight="1">
      <c r="A49" s="424" t="s">
        <v>1019</v>
      </c>
      <c r="B49" s="425"/>
      <c r="C49" s="8" t="s">
        <v>1020</v>
      </c>
      <c r="D49" s="8"/>
      <c r="E49" s="18">
        <v>0</v>
      </c>
      <c r="F49" s="19">
        <v>0</v>
      </c>
    </row>
    <row r="50" spans="1:7" ht="24" customHeight="1">
      <c r="A50" s="424" t="s">
        <v>1021</v>
      </c>
      <c r="B50" s="425"/>
      <c r="C50" s="8" t="s">
        <v>1022</v>
      </c>
      <c r="D50" s="8"/>
      <c r="E50" s="18">
        <v>0</v>
      </c>
      <c r="F50" s="19">
        <v>0</v>
      </c>
    </row>
    <row r="51" spans="1:7" ht="35.15" customHeight="1">
      <c r="A51" s="426" t="s">
        <v>1023</v>
      </c>
      <c r="B51" s="427"/>
      <c r="C51" s="85" t="s">
        <v>520</v>
      </c>
      <c r="D51" s="85"/>
      <c r="E51" s="86">
        <v>12309650038</v>
      </c>
      <c r="F51" s="87">
        <v>16399929202</v>
      </c>
    </row>
    <row r="52" spans="1:7" ht="25" customHeight="1">
      <c r="A52" s="414" t="s">
        <v>1024</v>
      </c>
      <c r="B52" s="415"/>
      <c r="C52" s="11" t="s">
        <v>946</v>
      </c>
      <c r="D52" s="11"/>
      <c r="E52" s="14">
        <v>4228379812</v>
      </c>
      <c r="F52" s="15">
        <v>39013886580</v>
      </c>
    </row>
    <row r="53" spans="1:7" ht="33" customHeight="1">
      <c r="A53" s="414" t="s">
        <v>1025</v>
      </c>
      <c r="B53" s="415"/>
      <c r="C53" s="11" t="s">
        <v>527</v>
      </c>
      <c r="D53" s="11"/>
      <c r="E53" s="14">
        <v>39013886580</v>
      </c>
      <c r="F53" s="15">
        <v>0</v>
      </c>
    </row>
    <row r="54" spans="1:7" ht="24" customHeight="1">
      <c r="A54" s="424" t="s">
        <v>1026</v>
      </c>
      <c r="B54" s="425"/>
      <c r="C54" s="8" t="s">
        <v>1027</v>
      </c>
      <c r="D54" s="8"/>
      <c r="E54" s="18">
        <v>39013886580</v>
      </c>
      <c r="F54" s="19">
        <v>0</v>
      </c>
    </row>
    <row r="55" spans="1:7" ht="24" customHeight="1">
      <c r="A55" s="424" t="s">
        <v>1028</v>
      </c>
      <c r="B55" s="425"/>
      <c r="C55" s="8" t="s">
        <v>1029</v>
      </c>
      <c r="D55" s="8"/>
      <c r="E55" s="18">
        <v>39013886580</v>
      </c>
      <c r="F55" s="19">
        <v>0</v>
      </c>
    </row>
    <row r="56" spans="1:7" ht="24" customHeight="1">
      <c r="A56" s="422" t="s">
        <v>1030</v>
      </c>
      <c r="B56" s="423"/>
      <c r="C56" s="84" t="s">
        <v>1031</v>
      </c>
      <c r="D56" s="84"/>
      <c r="E56" s="20">
        <v>14013886580</v>
      </c>
      <c r="F56" s="21">
        <v>0</v>
      </c>
    </row>
    <row r="57" spans="1:7" ht="24" customHeight="1">
      <c r="A57" s="422" t="s">
        <v>1032</v>
      </c>
      <c r="B57" s="423"/>
      <c r="C57" s="84" t="s">
        <v>1033</v>
      </c>
      <c r="D57" s="84"/>
      <c r="E57" s="20">
        <v>25000000000</v>
      </c>
      <c r="F57" s="21">
        <v>0</v>
      </c>
    </row>
    <row r="58" spans="1:7" ht="24" customHeight="1">
      <c r="A58" s="424" t="s">
        <v>1034</v>
      </c>
      <c r="B58" s="425"/>
      <c r="C58" s="8" t="s">
        <v>1035</v>
      </c>
      <c r="D58" s="8"/>
      <c r="E58" s="18">
        <v>0</v>
      </c>
      <c r="F58" s="19">
        <v>0</v>
      </c>
    </row>
    <row r="59" spans="1:7" ht="24" customHeight="1">
      <c r="A59" s="424" t="s">
        <v>1036</v>
      </c>
      <c r="B59" s="425"/>
      <c r="C59" s="8" t="s">
        <v>1037</v>
      </c>
      <c r="D59" s="8"/>
      <c r="E59" s="18"/>
      <c r="F59" s="19">
        <v>0</v>
      </c>
    </row>
    <row r="60" spans="1:7" ht="24" customHeight="1">
      <c r="A60" s="414" t="s">
        <v>1038</v>
      </c>
      <c r="B60" s="415"/>
      <c r="C60" s="11" t="s">
        <v>1039</v>
      </c>
      <c r="D60" s="11"/>
      <c r="E60" s="14">
        <v>43242266392</v>
      </c>
      <c r="F60" s="15">
        <v>39013886580</v>
      </c>
    </row>
    <row r="61" spans="1:7" ht="24" customHeight="1">
      <c r="A61" s="424" t="s">
        <v>1040</v>
      </c>
      <c r="B61" s="425"/>
      <c r="C61" s="8" t="s">
        <v>1041</v>
      </c>
      <c r="D61" s="8"/>
      <c r="E61" s="18">
        <v>43242266392</v>
      </c>
      <c r="F61" s="19">
        <v>39013886580</v>
      </c>
    </row>
    <row r="62" spans="1:7" ht="33" customHeight="1">
      <c r="A62" s="424" t="s">
        <v>1028</v>
      </c>
      <c r="B62" s="425"/>
      <c r="C62" s="8" t="s">
        <v>1042</v>
      </c>
      <c r="D62" s="8"/>
      <c r="E62" s="18">
        <v>43242266392</v>
      </c>
      <c r="F62" s="19">
        <v>39013886580</v>
      </c>
    </row>
    <row r="63" spans="1:7" ht="24" customHeight="1">
      <c r="A63" s="422" t="s">
        <v>1030</v>
      </c>
      <c r="B63" s="423"/>
      <c r="C63" s="84" t="s">
        <v>1043</v>
      </c>
      <c r="D63" s="84"/>
      <c r="E63" s="20">
        <v>43242266392</v>
      </c>
      <c r="F63" s="21">
        <v>14013886580</v>
      </c>
      <c r="G63" s="17"/>
    </row>
    <row r="64" spans="1:7" ht="24" customHeight="1">
      <c r="A64" s="422" t="s">
        <v>1044</v>
      </c>
      <c r="B64" s="423"/>
      <c r="C64" s="84" t="s">
        <v>1045</v>
      </c>
      <c r="D64" s="84"/>
      <c r="E64" s="20">
        <v>0</v>
      </c>
      <c r="F64" s="21">
        <v>25000000000</v>
      </c>
    </row>
    <row r="65" spans="1:7" ht="24" customHeight="1">
      <c r="A65" s="424" t="s">
        <v>1046</v>
      </c>
      <c r="B65" s="425"/>
      <c r="C65" s="8" t="s">
        <v>1047</v>
      </c>
      <c r="D65" s="8"/>
      <c r="E65" s="18">
        <v>0</v>
      </c>
      <c r="F65" s="19">
        <v>0</v>
      </c>
    </row>
    <row r="66" spans="1:7" ht="24" customHeight="1">
      <c r="A66" s="424" t="s">
        <v>1048</v>
      </c>
      <c r="B66" s="425"/>
      <c r="C66" s="8" t="s">
        <v>1049</v>
      </c>
      <c r="D66" s="8"/>
      <c r="E66" s="18">
        <v>0</v>
      </c>
      <c r="F66" s="19"/>
    </row>
    <row r="67" spans="1:7" ht="33" customHeight="1">
      <c r="A67" s="414" t="s">
        <v>1050</v>
      </c>
      <c r="B67" s="415"/>
      <c r="C67" s="11" t="s">
        <v>530</v>
      </c>
      <c r="D67" s="11"/>
      <c r="E67" s="14">
        <v>4228379812</v>
      </c>
      <c r="F67" s="15">
        <v>39013886580</v>
      </c>
    </row>
    <row r="68" spans="1:7" ht="24" customHeight="1">
      <c r="A68" s="414" t="s">
        <v>1051</v>
      </c>
      <c r="B68" s="415"/>
      <c r="C68" s="11" t="s">
        <v>1052</v>
      </c>
      <c r="D68" s="11"/>
      <c r="E68" s="14">
        <v>0</v>
      </c>
      <c r="F68" s="15">
        <v>0</v>
      </c>
    </row>
    <row r="69" spans="1:7" ht="7.5" customHeight="1">
      <c r="A69" s="420"/>
      <c r="B69" s="421"/>
      <c r="C69" s="25"/>
      <c r="D69" s="25"/>
      <c r="E69" s="22"/>
      <c r="F69" s="23"/>
    </row>
    <row r="70" spans="1:7" ht="13.5" customHeight="1">
      <c r="A70" s="417"/>
      <c r="B70" s="417"/>
      <c r="C70" s="419"/>
      <c r="D70" s="419"/>
      <c r="E70" s="88"/>
      <c r="F70" s="88"/>
    </row>
    <row r="71" spans="1:7" s="89" customFormat="1" ht="21" customHeight="1">
      <c r="A71" s="371" t="s">
        <v>813</v>
      </c>
      <c r="B71" s="371"/>
      <c r="C71" s="371" t="s">
        <v>814</v>
      </c>
      <c r="D71" s="371"/>
      <c r="E71" s="371"/>
      <c r="F71" s="418" t="s">
        <v>228</v>
      </c>
      <c r="G71" s="418"/>
    </row>
    <row r="72" spans="1:7" ht="10.5" customHeight="1">
      <c r="A72" s="416" t="s">
        <v>815</v>
      </c>
      <c r="B72" s="416"/>
      <c r="C72" s="419" t="s">
        <v>815</v>
      </c>
      <c r="D72" s="419"/>
      <c r="E72" s="419"/>
      <c r="F72" s="416" t="s">
        <v>816</v>
      </c>
      <c r="G72" s="416"/>
    </row>
    <row r="73" spans="1:7" ht="103.5" customHeight="1">
      <c r="A73" s="417"/>
      <c r="B73" s="417"/>
      <c r="C73" s="417"/>
      <c r="D73" s="417"/>
      <c r="E73" s="24"/>
      <c r="F73" s="24"/>
    </row>
    <row r="74" spans="1:7" ht="17.25" customHeight="1">
      <c r="A74" s="336" t="s">
        <v>817</v>
      </c>
      <c r="B74" s="336"/>
      <c r="C74" s="336" t="s">
        <v>818</v>
      </c>
      <c r="D74" s="336"/>
      <c r="E74" s="336"/>
      <c r="F74" s="336" t="s">
        <v>230</v>
      </c>
      <c r="G74" s="336"/>
    </row>
  </sheetData>
  <mergeCells count="93">
    <mergeCell ref="A9:C9"/>
    <mergeCell ref="D9:F9"/>
    <mergeCell ref="B1:F1"/>
    <mergeCell ref="B3:C3"/>
    <mergeCell ref="D3:F3"/>
    <mergeCell ref="A4:F4"/>
    <mergeCell ref="A5:F5"/>
    <mergeCell ref="A6:F6"/>
    <mergeCell ref="B7:C7"/>
    <mergeCell ref="D7:F7"/>
    <mergeCell ref="A8:C8"/>
    <mergeCell ref="D8:F8"/>
    <mergeCell ref="A2:G2"/>
    <mergeCell ref="A10:C10"/>
    <mergeCell ref="D10:F10"/>
    <mergeCell ref="A11:C11"/>
    <mergeCell ref="D11:F11"/>
    <mergeCell ref="A12:C12"/>
    <mergeCell ref="D12:F12"/>
    <mergeCell ref="A13:C13"/>
    <mergeCell ref="D13:F13"/>
    <mergeCell ref="A14:C14"/>
    <mergeCell ref="D14:F14"/>
    <mergeCell ref="A15:C15"/>
    <mergeCell ref="D15:F15"/>
    <mergeCell ref="A26:B26"/>
    <mergeCell ref="B16:C16"/>
    <mergeCell ref="D16:F16"/>
    <mergeCell ref="A17:B17"/>
    <mergeCell ref="A18:B18"/>
    <mergeCell ref="A19:B19"/>
    <mergeCell ref="A20:B20"/>
    <mergeCell ref="A21:B21"/>
    <mergeCell ref="A22:B22"/>
    <mergeCell ref="A23:B23"/>
    <mergeCell ref="A24:B24"/>
    <mergeCell ref="A25:B25"/>
    <mergeCell ref="A38:B38"/>
    <mergeCell ref="A27:B27"/>
    <mergeCell ref="A28:B28"/>
    <mergeCell ref="A29:B29"/>
    <mergeCell ref="A30:B30"/>
    <mergeCell ref="A31:B31"/>
    <mergeCell ref="A32:B32"/>
    <mergeCell ref="A33:B33"/>
    <mergeCell ref="A34:B34"/>
    <mergeCell ref="A35:B35"/>
    <mergeCell ref="A36:B36"/>
    <mergeCell ref="A37:B37"/>
    <mergeCell ref="A50:B50"/>
    <mergeCell ref="A39:B39"/>
    <mergeCell ref="A40:B40"/>
    <mergeCell ref="A41:B41"/>
    <mergeCell ref="A42:B42"/>
    <mergeCell ref="A43:B43"/>
    <mergeCell ref="A44:B44"/>
    <mergeCell ref="A45:B45"/>
    <mergeCell ref="A46:B46"/>
    <mergeCell ref="A47:B47"/>
    <mergeCell ref="A48:B48"/>
    <mergeCell ref="A49:B49"/>
    <mergeCell ref="A59:B59"/>
    <mergeCell ref="A60:B60"/>
    <mergeCell ref="A61:B61"/>
    <mergeCell ref="A62:B62"/>
    <mergeCell ref="A51:B51"/>
    <mergeCell ref="A52:B52"/>
    <mergeCell ref="A53:B53"/>
    <mergeCell ref="A54:B54"/>
    <mergeCell ref="A55:B55"/>
    <mergeCell ref="A56:B56"/>
    <mergeCell ref="A57:B57"/>
    <mergeCell ref="A58:B58"/>
    <mergeCell ref="A63:B63"/>
    <mergeCell ref="A64:B64"/>
    <mergeCell ref="A65:B65"/>
    <mergeCell ref="A66:B66"/>
    <mergeCell ref="A67:B67"/>
    <mergeCell ref="A74:B74"/>
    <mergeCell ref="C74:E74"/>
    <mergeCell ref="F74:G74"/>
    <mergeCell ref="A68:B68"/>
    <mergeCell ref="A72:B72"/>
    <mergeCell ref="A73:B73"/>
    <mergeCell ref="C73:D73"/>
    <mergeCell ref="C71:E71"/>
    <mergeCell ref="F71:G71"/>
    <mergeCell ref="C72:E72"/>
    <mergeCell ref="F72:G72"/>
    <mergeCell ref="A69:B69"/>
    <mergeCell ref="A70:B70"/>
    <mergeCell ref="C70:D70"/>
    <mergeCell ref="A71:B71"/>
  </mergeCells>
  <printOptions horizontalCentered="1"/>
  <pageMargins left="0" right="0" top="0.58999997377395597" bottom="0.58999997377395597"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ogdyMXbMeE65QxXetoDa05tNQ8g=</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+jK+RIDtMJ/vUz3bzATPrrnHYVE=</DigestValue>
    </Reference>
  </SignedInfo>
  <SignatureValue>lOhsgTnb5ltRkFvt+fpoxlnrb3qrfLlNya9SAcOr9125WzF6IeBN08Weic5NNrr+Ze1JW7IZOytr
RzKYOQh7VyP9q/6I5Rip7/atZ4MrML1ZV9EaN8lbEJMHYAMKwQSjxehvZpmCDetA6j1zjCo+PnBW
POa5CzElyzJimzhCJog=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0.bin?ContentType=application/vnd.openxmlformats-officedocument.spreadsheetml.printerSettings">
        <DigestMethod Algorithm="http://www.w3.org/2000/09/xmldsig#sha1"/>
        <DigestValue>a3rgpnuAp0ee6RAz9cfOS/NaX1U=</DigestValue>
      </Reference>
      <Reference URI="/xl/drawings/drawing5.xml?ContentType=application/vnd.openxmlformats-officedocument.drawing+xml">
        <DigestMethod Algorithm="http://www.w3.org/2000/09/xmldsig#sha1"/>
        <DigestValue>kFeIOuA7TcALUBo7gQ1cfTPymEE=</DigestValue>
      </Reference>
      <Reference URI="/xl/drawings/drawing6.xml?ContentType=application/vnd.openxmlformats-officedocument.drawing+xml">
        <DigestMethod Algorithm="http://www.w3.org/2000/09/xmldsig#sha1"/>
        <DigestValue>FjQRf+mmwhBMcHZOgIyVKM9+bpM=</DigestValue>
      </Reference>
      <Reference URI="/xl/media/image4.jpeg?ContentType=image/jpeg">
        <DigestMethod Algorithm="http://www.w3.org/2000/09/xmldsig#sha1"/>
        <DigestValue>jrym+k+s5U+FaM/2Sjjs8UzWFEY=</DigestValue>
      </Reference>
      <Reference URI="/xl/drawings/drawing7.xml?ContentType=application/vnd.openxmlformats-officedocument.drawing+xml">
        <DigestMethod Algorithm="http://www.w3.org/2000/09/xmldsig#sha1"/>
        <DigestValue>ocM+ibp0E3Qd1Uy6ATXaxp7fUpI=</DigestValue>
      </Reference>
      <Reference URI="/xl/media/image3.jpeg?ContentType=image/jpeg">
        <DigestMethod Algorithm="http://www.w3.org/2000/09/xmldsig#sha1"/>
        <DigestValue>15mgTkzJkWz9XddRScEemXSh/rg=</DigestValue>
      </Reference>
      <Reference URI="/xl/drawings/drawing4.xml?ContentType=application/vnd.openxmlformats-officedocument.drawing+xml">
        <DigestMethod Algorithm="http://www.w3.org/2000/09/xmldsig#sha1"/>
        <DigestValue>G9dF8+YqRwnoTrLmQKfiev0GFvI=</DigestValue>
      </Reference>
      <Reference URI="/xl/media/image2.png?ContentType=image/png">
        <DigestMethod Algorithm="http://www.w3.org/2000/09/xmldsig#sha1"/>
        <DigestValue>sBZWNJtRsVs0fMCajNYDEvz2feA=</DigestValue>
      </Reference>
      <Reference URI="/xl/drawings/drawing1.xml?ContentType=application/vnd.openxmlformats-officedocument.drawing+xml">
        <DigestMethod Algorithm="http://www.w3.org/2000/09/xmldsig#sha1"/>
        <DigestValue>kBf7E5WNL6nY/eSulscHgILO+q4=</DigestValue>
      </Reference>
      <Reference URI="/xl/media/image1.jpeg?ContentType=image/jpeg">
        <DigestMethod Algorithm="http://www.w3.org/2000/09/xmldsig#sha1"/>
        <DigestValue>Hf2OoZB37KPon9Fhb5THaV/NmpQ=</DigestValue>
      </Reference>
      <Reference URI="/xl/calcChain.xml?ContentType=application/vnd.openxmlformats-officedocument.spreadsheetml.calcChain+xml">
        <DigestMethod Algorithm="http://www.w3.org/2000/09/xmldsig#sha1"/>
        <DigestValue>agyXEWVNg5yVJ2FIgUOLbWtzF+I=</DigestValue>
      </Reference>
      <Reference URI="/xl/drawings/drawing3.xml?ContentType=application/vnd.openxmlformats-officedocument.drawing+xml">
        <DigestMethod Algorithm="http://www.w3.org/2000/09/xmldsig#sha1"/>
        <DigestValue>kYHx7RNgNJ6r2pGC2ttLMPnXNi8=</DigestValue>
      </Reference>
      <Reference URI="/xl/drawings/drawing8.xml?ContentType=application/vnd.openxmlformats-officedocument.drawing+xml">
        <DigestMethod Algorithm="http://www.w3.org/2000/09/xmldsig#sha1"/>
        <DigestValue>ZByLlWAT8OZmKb8Bm0G18Ik0Rf0=</DigestValue>
      </Reference>
      <Reference URI="/xl/drawings/drawing9.xml?ContentType=application/vnd.openxmlformats-officedocument.drawing+xml">
        <DigestMethod Algorithm="http://www.w3.org/2000/09/xmldsig#sha1"/>
        <DigestValue>93Ac7GzrgcYTAZ8I7Q54VkTkN94=</DigestValue>
      </Reference>
      <Reference URI="/xl/drawings/drawing10.xml?ContentType=application/vnd.openxmlformats-officedocument.drawing+xml">
        <DigestMethod Algorithm="http://www.w3.org/2000/09/xmldsig#sha1"/>
        <DigestValue>YUPw+pbfIyiywC6ZZWuIk6VgKoQ=</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gz+y1ho1BGB03Y9TM/RIWl3+B7s=</DigestValue>
      </Reference>
      <Reference URI="/xl/printerSettings/printerSettings9.bin?ContentType=application/vnd.openxmlformats-officedocument.spreadsheetml.printerSettings">
        <DigestMethod Algorithm="http://www.w3.org/2000/09/xmldsig#sha1"/>
        <DigestValue>a3rgpnuAp0ee6RAz9cfOS/NaX1U=</DigestValue>
      </Reference>
      <Reference URI="/xl/printerSettings/printerSettings11.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KHe0axIziFA0hv2Vp6XmrOX0bcE=</DigestValue>
      </Reference>
      <Reference URI="/xl/printerSettings/printerSettings1.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dK6kRFC9fkzZznnB/nY2OtzsBxc=</DigestValue>
      </Reference>
      <Reference URI="/xl/drawings/drawing2.xml?ContentType=application/vnd.openxmlformats-officedocument.drawing+xml">
        <DigestMethod Algorithm="http://www.w3.org/2000/09/xmldsig#sha1"/>
        <DigestValue>vEJWPbO+TVY+ZkxoIaPIlhPX1MQ=</DigestValue>
      </Reference>
      <Reference URI="/xl/theme/theme1.xml?ContentType=application/vnd.openxmlformats-officedocument.theme+xml">
        <DigestMethod Algorithm="http://www.w3.org/2000/09/xmldsig#sha1"/>
        <DigestValue>0jRe00fxHdAYWywDVREbdKjCUKo=</DigestValue>
      </Reference>
      <Reference URI="/xl/worksheets/sheet7.xml?ContentType=application/vnd.openxmlformats-officedocument.spreadsheetml.worksheet+xml">
        <DigestMethod Algorithm="http://www.w3.org/2000/09/xmldsig#sha1"/>
        <DigestValue>hQOk84FhU/nQZZ9o2hDpfUSWJKU=</DigestValue>
      </Reference>
      <Reference URI="/xl/worksheets/sheet6.xml?ContentType=application/vnd.openxmlformats-officedocument.spreadsheetml.worksheet+xml">
        <DigestMethod Algorithm="http://www.w3.org/2000/09/xmldsig#sha1"/>
        <DigestValue>ihI64sorCLKM5VFSjUFaINa0Lqw=</DigestValue>
      </Reference>
      <Reference URI="/xl/worksheets/sheet5.xml?ContentType=application/vnd.openxmlformats-officedocument.spreadsheetml.worksheet+xml">
        <DigestMethod Algorithm="http://www.w3.org/2000/09/xmldsig#sha1"/>
        <DigestValue>M/HhiMRWGlfmB932tu3dfJmJ4Kw=</DigestValue>
      </Reference>
      <Reference URI="/xl/worksheets/sheet4.xml?ContentType=application/vnd.openxmlformats-officedocument.spreadsheetml.worksheet+xml">
        <DigestMethod Algorithm="http://www.w3.org/2000/09/xmldsig#sha1"/>
        <DigestValue>OkaJXZWv9DaX7VjYq+DxNg1A2DE=</DigestValue>
      </Reference>
      <Reference URI="/xl/worksheets/sheet3.xml?ContentType=application/vnd.openxmlformats-officedocument.spreadsheetml.worksheet+xml">
        <DigestMethod Algorithm="http://www.w3.org/2000/09/xmldsig#sha1"/>
        <DigestValue>LnMNYBOPCvOBuLEbzEMxpS4UVgs=</DigestValue>
      </Reference>
      <Reference URI="/xl/worksheets/sheet2.xml?ContentType=application/vnd.openxmlformats-officedocument.spreadsheetml.worksheet+xml">
        <DigestMethod Algorithm="http://www.w3.org/2000/09/xmldsig#sha1"/>
        <DigestValue>fM+cqwncbLbqzCWVYYW9OWz7w9I=</DigestValue>
      </Reference>
      <Reference URI="/xl/worksheets/sheet1.xml?ContentType=application/vnd.openxmlformats-officedocument.spreadsheetml.worksheet+xml">
        <DigestMethod Algorithm="http://www.w3.org/2000/09/xmldsig#sha1"/>
        <DigestValue>O/JF9JRLa6/cnhjsnaTaYPXU/gE=</DigestValue>
      </Reference>
      <Reference URI="/xl/workbook.xml?ContentType=application/vnd.openxmlformats-officedocument.spreadsheetml.sheet.main+xml">
        <DigestMethod Algorithm="http://www.w3.org/2000/09/xmldsig#sha1"/>
        <DigestValue>Zq2nK35H5DnzUITbojOyZ8e5Gmg=</DigestValue>
      </Reference>
      <Reference URI="/xl/worksheets/sheet8.xml?ContentType=application/vnd.openxmlformats-officedocument.spreadsheetml.worksheet+xml">
        <DigestMethod Algorithm="http://www.w3.org/2000/09/xmldsig#sha1"/>
        <DigestValue>ZNPFVAnl30CPwJqcR8nyFRMeL9k=</DigestValue>
      </Reference>
      <Reference URI="/xl/styles.xml?ContentType=application/vnd.openxmlformats-officedocument.spreadsheetml.styles+xml">
        <DigestMethod Algorithm="http://www.w3.org/2000/09/xmldsig#sha1"/>
        <DigestValue>UWsip+pCpFvXagjS6yDGuU3RUEY=</DigestValue>
      </Reference>
      <Reference URI="/xl/worksheets/sheet9.xml?ContentType=application/vnd.openxmlformats-officedocument.spreadsheetml.worksheet+xml">
        <DigestMethod Algorithm="http://www.w3.org/2000/09/xmldsig#sha1"/>
        <DigestValue>Ym5VBxBoIsoNpUQ6+hQX5KvFM6w=</DigestValue>
      </Reference>
      <Reference URI="/xl/worksheets/sheet10.xml?ContentType=application/vnd.openxmlformats-officedocument.spreadsheetml.worksheet+xml">
        <DigestMethod Algorithm="http://www.w3.org/2000/09/xmldsig#sha1"/>
        <DigestValue>pBRQE84iNNnJvN/+9td52fRAh4c=</DigestValue>
      </Reference>
      <Reference URI="/xl/worksheets/sheet11.xml?ContentType=application/vnd.openxmlformats-officedocument.spreadsheetml.worksheet+xml">
        <DigestMethod Algorithm="http://www.w3.org/2000/09/xmldsig#sha1"/>
        <DigestValue>MiEzArbowgR/UZcXiVJbjzdRfzE=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e6EjjVXi7TgJboLDkxdcAGm6NaA=</DigestValue>
      </Reference>
    </Manifest>
    <SignatureProperties>
      <SignatureProperty Id="idSignatureTime" Target="#idPackageSignature">
        <mdssi:SignatureTime>
          <mdssi:Format>YYYY-MM-DDThh:mm:ssTZD</mdssi:Format>
          <mdssi:Value>2022-03-03T11:28:13Z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2022-03-03T11:28:13Z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TONGQUAN</vt:lpstr>
      <vt:lpstr>BCTaiSan_06134</vt:lpstr>
      <vt:lpstr>BCKetQuaHoatDong_06135</vt:lpstr>
      <vt:lpstr>BCDanhMucDauTu_06136</vt:lpstr>
      <vt:lpstr>BCHDVay_GDMuaBanLai</vt:lpstr>
      <vt:lpstr>Khac_06137</vt:lpstr>
      <vt:lpstr>ThongKePhiGiaoDich_06145</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2022-03-03T09:52:51Z</dcterms:modified>
</cp:coreProperties>
</file>