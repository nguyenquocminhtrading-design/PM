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3\03. Mar\08.03\"/>
    </mc:Choice>
  </mc:AlternateContent>
  <xr:revisionPtr revIDLastSave="0" documentId="13_ncr:1_{50FD9055-2672-4128-8086-81926BDE430E}"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TinhHinhTaiChinh_06105" sheetId="42" r:id="rId6"/>
    <sheet name="GTTSRong_06107" sheetId="36" r:id="rId7"/>
    <sheet name="BCDMDT_06108" sheetId="37" r:id="rId8"/>
    <sheet name="BCLCGT_06262" sheetId="38" r:id="rId9"/>
    <sheet name="BCThuNhap_06104" sheetId="39" r:id="rId10"/>
    <sheet name="BCHoatDongVay_06026" sheetId="45" r:id="rId11"/>
    <sheet name="ThongKePhiGiaoDich_06145" sheetId="46" r:id="rId12"/>
  </sheets>
  <definedNames>
    <definedName name="_xlnm._FilterDatabase" localSheetId="3" hidden="1">BCDanhMucDauTu_06029!$A$18:$H$18</definedName>
    <definedName name="_xlnm._FilterDatabase" localSheetId="7" hidden="1">BCDMDT_06108!$A$17:$G$93</definedName>
    <definedName name="_xlnm._FilterDatabase" localSheetId="2" hidden="1">BCKetQuaHoatDong_06028!$A$18:$F$95</definedName>
    <definedName name="_xlnm._FilterDatabase" localSheetId="8" hidden="1">BCLCGT_06262!$A$17:$F$64</definedName>
    <definedName name="_xlnm._FilterDatabase" localSheetId="1" hidden="1">BCTaiSan_06027!$A$18:$F$108</definedName>
    <definedName name="_xlnm._FilterDatabase" localSheetId="9" hidden="1">BCThuNhap_06104!$A$16:$H$77</definedName>
    <definedName name="_xlnm._FilterDatabase" localSheetId="5" hidden="1">BCTinhHinhTaiChinh_06105!$A$16:$H$120</definedName>
    <definedName name="_xlnm._FilterDatabase" localSheetId="6" hidden="1">GTTSRong_06107!$A$18:$I$18</definedName>
    <definedName name="_xlnm._FilterDatabase" localSheetId="4" hidden="1">Khac_06030!$A$18:$F$18</definedName>
    <definedName name="addlogo">INDEX(#REF!,MATCH(#REF!,#REF!,0))</definedName>
    <definedName name="_xlnm.Print_Area" localSheetId="11">ThongKePhiGiaoDich_06145!$A$1:$H$53</definedName>
    <definedName name="_xlnm.Print_Area" localSheetId="0">TONGQUAN!$A$1:$K$42</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9">BCThuNhap_06104!$16:$17</definedName>
    <definedName name="_xlnm.Print_Titles" localSheetId="5">BCTinhHinhTaiChinh_06105!$16:$16</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7" i="32" l="1"/>
  <c r="D66" i="32"/>
  <c r="A67" i="32"/>
  <c r="A66" i="32"/>
  <c r="A65" i="32"/>
  <c r="D55" i="32"/>
  <c r="D54" i="32"/>
  <c r="A55" i="32"/>
  <c r="A54" i="32"/>
  <c r="D103" i="29" l="1"/>
  <c r="D102" i="29"/>
  <c r="A103" i="29"/>
  <c r="A102" i="29"/>
  <c r="A101" i="29"/>
  <c r="F19" i="1" l="1"/>
  <c r="D65" i="32" l="1"/>
  <c r="D101" i="29"/>
</calcChain>
</file>

<file path=xl/sharedStrings.xml><?xml version="1.0" encoding="utf-8"?>
<sst xmlns="http://schemas.openxmlformats.org/spreadsheetml/2006/main" count="2234" uniqueCount="1675">
  <si>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</si>
  <si>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</si>
  <si>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</si>
  <si>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</si>
  <si>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</si>
  <si>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</si>
  <si>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</si>
  <si>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</si>
  <si>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</si>
  <si>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</si>
  <si>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</si>
  <si>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</si>
  <si>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</si>
  <si>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</si>
  <si>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</si>
  <si>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</si>
  <si>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</si>
  <si>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</si>
  <si>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</si>
  <si>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</si>
  <si>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</si>
  <si>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</si>
  <si>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</si>
  <si>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</si>
  <si>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</si>
  <si>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</si>
  <si>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</si>
  <si>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</si>
  <si>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</si>
  <si>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</si>
  <si>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</si>
  <si>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</si>
  <si>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</si>
  <si>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</si>
  <si>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</si>
  <si>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</si>
  <si>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</si>
  <si>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</si>
  <si>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</si>
  <si>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</si>
  <si>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</si>
  <si>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</si>
  <si>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</si>
  <si>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</si>
  <si>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</si>
  <si>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</si>
  <si>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</si>
  <si>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</si>
  <si>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</si>
  <si>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</si>
  <si>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</si>
  <si>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</si>
  <si>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</si>
  <si>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</si>
  <si>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</si>
  <si>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</si>
  <si>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</si>
  <si>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</si>
  <si>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</si>
  <si>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</si>
  <si>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</si>
  <si>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</si>
  <si>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</si>
  <si>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</si>
  <si>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</si>
  <si>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</si>
  <si>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</si>
  <si>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</si>
  <si>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</si>
  <si>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</si>
  <si>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</si>
  <si>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</si>
  <si>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</si>
  <si>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</si>
  <si>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</si>
  <si>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</si>
  <si>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</si>
  <si>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</si>
  <si>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</si>
  <si>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</si>
  <si>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</si>
  <si>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</si>
  <si>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</si>
  <si>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</si>
  <si>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</si>
  <si>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</si>
  <si>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</si>
  <si>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</si>
  <si>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</si>
  <si>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</si>
  <si>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</si>
  <si>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</si>
  <si>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</si>
  <si>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</si>
  <si>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</si>
  <si>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</si>
  <si>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</si>
  <si>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</si>
  <si>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</si>
  <si>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</si>
  <si>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</si>
  <si>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</si>
  <si>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</si>
  <si>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</si>
  <si>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</si>
  <si>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</si>
  <si>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</si>
  <si>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</si>
  <si>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</si>
  <si>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</si>
  <si>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</si>
  <si>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</si>
  <si>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</si>
  <si>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</si>
  <si>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</si>
  <si>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</si>
  <si>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</si>
  <si>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</si>
  <si>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</si>
  <si>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</si>
  <si>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</si>
  <si>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</si>
  <si>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</si>
  <si>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</si>
  <si>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</si>
  <si>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</si>
  <si>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</si>
  <si>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</si>
  <si>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</si>
  <si>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</si>
  <si>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</si>
  <si>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</si>
  <si>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</si>
  <si>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</si>
  <si>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</si>
  <si>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</si>
  <si>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</si>
  <si>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</si>
  <si>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</si>
  <si>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</si>
  <si>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</si>
  <si>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</si>
  <si>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</si>
  <si>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</si>
  <si>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</si>
  <si>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</si>
  <si>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</si>
  <si>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</si>
  <si>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</si>
  <si>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</si>
  <si>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</si>
  <si>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</si>
  <si>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</si>
  <si>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</si>
  <si>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</si>
  <si>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</si>
  <si>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</si>
  <si>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</si>
  <si>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</si>
  <si>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</si>
  <si>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</si>
  <si>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</si>
  <si>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</si>
  <si>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</si>
  <si>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</si>
  <si>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</si>
  <si>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</si>
  <si>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</si>
  <si>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</si>
  <si>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</si>
  <si>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</si>
  <si>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</si>
  <si>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</si>
  <si>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</si>
  <si>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</si>
  <si>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</si>
  <si>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</si>
  <si>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</si>
  <si>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</si>
  <si>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</si>
  <si>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</si>
  <si>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</si>
  <si>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</si>
  <si>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</si>
  <si>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</si>
  <si>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</si>
  <si>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</si>
  <si>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</si>
  <si>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</si>
  <si>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</si>
  <si>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</si>
  <si>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</si>
  <si>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</si>
  <si>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</si>
  <si>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</si>
  <si>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</si>
  <si>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</si>
  <si>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</si>
  <si>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</si>
  <si>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</si>
  <si>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</si>
  <si>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</si>
  <si>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</si>
  <si>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</si>
  <si>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</si>
  <si>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</si>
  <si>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</si>
  <si>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</si>
  <si>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</si>
  <si>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</si>
  <si>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</si>
  <si>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</si>
  <si>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</si>
  <si>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</si>
  <si>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</si>
  <si>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</si>
  <si>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</si>
  <si>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</si>
  <si>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</si>
  <si>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</si>
  <si>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</si>
  <si>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</si>
  <si>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</si>
  <si>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</si>
  <si>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</si>
  <si>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</si>
  <si>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</si>
  <si>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</si>
  <si>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</si>
  <si>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</si>
  <si>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</si>
  <si>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</si>
  <si>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</si>
  <si>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</si>
  <si>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</si>
  <si>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</si>
  <si>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</si>
  <si>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</si>
  <si>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</si>
  <si>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</si>
  <si>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</si>
  <si>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</si>
  <si>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</si>
  <si>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</si>
  <si>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</si>
  <si>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</si>
  <si>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</si>
  <si>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</si>
  <si>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</si>
  <si>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</si>
  <si>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</si>
  <si>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</si>
  <si>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</si>
  <si>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</si>
  <si>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</si>
  <si>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</si>
  <si>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</si>
  <si>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</si>
  <si>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</si>
  <si>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</si>
  <si>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</si>
  <si>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</si>
  <si>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</si>
  <si>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</si>
  <si>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</si>
  <si>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</si>
  <si>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</si>
  <si>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</si>
  <si>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</si>
  <si>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</si>
  <si>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</si>
  <si>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</si>
  <si>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</si>
  <si>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</si>
  <si>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</si>
  <si>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</si>
  <si>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</si>
  <si>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</si>
  <si>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</si>
  <si>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</si>
  <si>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</si>
  <si>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</si>
  <si>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</si>
  <si>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</si>
  <si>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</si>
  <si>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</si>
  <si>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</si>
  <si>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</si>
  <si>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</si>
  <si>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</si>
  <si>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</si>
  <si>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</si>
  <si>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</si>
  <si>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</si>
  <si>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</si>
  <si>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</si>
  <si>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</si>
  <si>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</si>
  <si>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</si>
  <si>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</si>
  <si>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</si>
  <si>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</si>
  <si>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</si>
  <si>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</si>
  <si>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</si>
  <si>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</si>
  <si>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</si>
  <si>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</si>
  <si>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</si>
  <si>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</si>
  <si>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</si>
  <si>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</si>
  <si>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</si>
  <si>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</si>
  <si>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</si>
  <si>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</si>
  <si>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</si>
  <si>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</si>
  <si>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</si>
  <si>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</si>
  <si>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</si>
  <si>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</si>
  <si>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</si>
  <si>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</si>
  <si>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</si>
  <si>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</si>
  <si>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</si>
  <si>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</si>
  <si>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</si>
  <si>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</si>
  <si>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</si>
  <si>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</si>
  <si>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</si>
  <si>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</si>
  <si>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</si>
  <si>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</si>
  <si>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</si>
  <si>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</si>
  <si>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</si>
  <si>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</si>
  <si>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</si>
  <si>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</si>
  <si>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</si>
  <si>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</si>
  <si>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</si>
  <si>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</si>
  <si>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</si>
  <si>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</si>
  <si>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</si>
  <si>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</si>
  <si>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</si>
  <si>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</si>
  <si>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</si>
  <si>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</si>
  <si>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</si>
  <si>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</si>
  <si>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</si>
  <si>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</si>
  <si>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</si>
  <si>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</si>
  <si>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</si>
  <si>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</si>
  <si>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</si>
  <si>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</si>
  <si>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</si>
  <si>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</si>
  <si>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</si>
  <si>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</si>
  <si>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</si>
  <si>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</si>
  <si>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</si>
  <si>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</si>
  <si>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</si>
  <si>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</si>
  <si>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</si>
  <si>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</si>
  <si>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</si>
  <si>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</si>
  <si>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</si>
  <si>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</si>
  <si>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</si>
  <si>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</si>
  <si>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</si>
  <si>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</si>
  <si>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</si>
  <si>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</si>
  <si>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</si>
  <si>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</si>
  <si>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</si>
  <si>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</si>
  <si>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</si>
  <si>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</si>
  <si>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</si>
  <si>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</si>
  <si>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</si>
  <si>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</si>
  <si>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</si>
  <si>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</si>
  <si>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</si>
  <si>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</si>
  <si>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</si>
  <si>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</si>
  <si>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</si>
  <si>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</si>
  <si>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</si>
  <si>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</si>
  <si>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</si>
  <si>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</si>
  <si>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</si>
  <si>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</si>
  <si>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</si>
  <si>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</si>
  <si>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</si>
  <si>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</si>
  <si>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</si>
  <si>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</si>
  <si>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</si>
  <si>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</si>
  <si>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</si>
  <si>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</si>
  <si>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</si>
  <si>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</si>
  <si>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</si>
  <si>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</si>
  <si>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</si>
  <si>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</si>
  <si>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</si>
  <si>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</si>
  <si>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</si>
  <si>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</si>
  <si>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</si>
  <si>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</si>
  <si>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</si>
  <si>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</si>
  <si>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</si>
  <si>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</si>
  <si>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</si>
  <si>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</si>
  <si>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</si>
  <si>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</si>
  <si>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</si>
  <si>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</si>
  <si>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</si>
  <si>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</si>
  <si>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</si>
  <si>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</si>
  <si>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</si>
  <si>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</si>
  <si>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</si>
  <si>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</si>
  <si>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</si>
  <si>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</si>
  <si>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</si>
  <si>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</si>
  <si>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</si>
  <si>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</si>
  <si>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</si>
  <si>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</si>
  <si>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</si>
  <si>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</si>
  <si>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</si>
  <si>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</si>
  <si>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</si>
  <si>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</si>
  <si>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</si>
  <si>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</si>
  <si>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</si>
  <si>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</si>
  <si>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</si>
  <si>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</si>
  <si>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</si>
  <si>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</si>
  <si>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</si>
  <si>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</si>
  <si>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</si>
  <si>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</si>
  <si>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</si>
  <si>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</si>
  <si>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</si>
  <si>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</si>
  <si>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</si>
  <si>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</si>
  <si>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</si>
  <si>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</si>
  <si>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</si>
  <si>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</si>
  <si>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</si>
  <si>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</si>
  <si>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</si>
  <si>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</si>
  <si>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</si>
  <si>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</si>
  <si>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</si>
  <si>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</si>
  <si>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</si>
  <si>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</si>
  <si>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</si>
  <si>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</si>
  <si>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</si>
  <si>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</si>
  <si>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</si>
  <si>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</si>
  <si>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</si>
  <si>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</si>
  <si>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</si>
  <si>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</si>
  <si>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</si>
  <si>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</si>
  <si>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</si>
  <si>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</si>
  <si>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</si>
  <si>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</si>
  <si>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</si>
  <si>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</si>
  <si>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</si>
  <si>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</si>
  <si>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</si>
  <si>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</si>
  <si>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</si>
  <si>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</si>
  <si>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</si>
  <si>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</si>
  <si>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</si>
  <si>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</si>
  <si>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</si>
  <si>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</si>
  <si>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</si>
  <si>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</si>
  <si>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</si>
  <si>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</si>
  <si>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</si>
  <si>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</si>
  <si>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</si>
  <si>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</si>
  <si>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</si>
  <si>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</si>
  <si>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</si>
  <si>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</si>
  <si>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</si>
  <si>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</si>
  <si>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</si>
  <si>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</si>
  <si>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</si>
  <si>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</si>
  <si>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</si>
  <si>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</si>
  <si>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</si>
  <si>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</si>
  <si>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</si>
  <si>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</si>
  <si>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</si>
  <si>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</si>
  <si>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</si>
  <si>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</si>
  <si>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</si>
  <si>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</si>
  <si>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</si>
  <si>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</si>
  <si>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</si>
  <si>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</si>
  <si>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</si>
  <si>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</si>
  <si>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</si>
  <si>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</si>
  <si>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</si>
  <si>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</si>
  <si>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</si>
  <si>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</si>
  <si>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</si>
  <si>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</si>
  <si>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</si>
  <si>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</si>
  <si>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</si>
  <si>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</si>
  <si>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</si>
  <si>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</si>
  <si>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</si>
  <si>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</si>
  <si>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</si>
  <si>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</si>
  <si>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</si>
  <si>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</si>
  <si>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</si>
  <si>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</si>
  <si>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</si>
  <si>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</si>
  <si>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</si>
  <si>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</si>
  <si>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</si>
  <si>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</si>
  <si>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</si>
  <si>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</si>
  <si>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</si>
  <si>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</si>
  <si>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</si>
  <si>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</si>
  <si>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</si>
  <si>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</si>
  <si>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</si>
  <si>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</si>
  <si>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</si>
  <si>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</si>
  <si>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</si>
  <si>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</si>
  <si>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</si>
  <si>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</si>
  <si>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</si>
  <si>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</si>
  <si>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</si>
  <si>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</si>
  <si>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</si>
  <si>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</si>
  <si>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</si>
  <si>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</si>
  <si>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</si>
  <si>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</si>
  <si>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</si>
  <si>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</si>
  <si>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</si>
  <si>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</si>
  <si>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</si>
  <si>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</si>
  <si>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</si>
  <si>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</si>
  <si>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</si>
  <si>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</si>
  <si>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</si>
  <si>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</si>
  <si>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</si>
  <si>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</si>
  <si>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</si>
  <si>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</si>
  <si>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</si>
  <si>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</si>
  <si>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</si>
  <si>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</si>
  <si>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</si>
  <si>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</si>
  <si>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</si>
  <si>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</si>
  <si>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</si>
  <si>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</si>
  <si>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</si>
  <si>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</si>
  <si>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</si>
  <si>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</si>
  <si>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</si>
  <si>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</si>
  <si>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</si>
  <si>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</si>
  <si>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</si>
  <si>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</si>
  <si>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</si>
  <si>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</si>
  <si>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</si>
  <si>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</si>
  <si>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</si>
  <si>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</si>
  <si>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</si>
  <si>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</si>
  <si>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</si>
  <si>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</si>
  <si>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</si>
  <si>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</si>
  <si>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</si>
  <si>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</si>
  <si>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</si>
  <si>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</si>
  <si>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</si>
  <si>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</si>
  <si>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</si>
  <si>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</si>
  <si>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</si>
  <si>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</si>
  <si>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</si>
  <si>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</si>
  <si>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</si>
  <si>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</si>
  <si>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</si>
  <si>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</si>
  <si>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</si>
  <si>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</si>
  <si>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</si>
  <si>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</si>
  <si>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</si>
  <si>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</si>
  <si>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</si>
  <si>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</si>
  <si>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</si>
  <si>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</si>
  <si>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</si>
  <si>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</si>
  <si>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</si>
  <si>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</si>
  <si>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</si>
  <si>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</si>
  <si>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</si>
  <si>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</si>
  <si>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</si>
  <si>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</si>
  <si>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</si>
  <si>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</si>
  <si>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</si>
  <si>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</si>
  <si>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</si>
  <si>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</si>
  <si>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</si>
  <si>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</si>
  <si>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</si>
  <si>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</si>
  <si>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</si>
  <si>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</si>
  <si>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</si>
  <si>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</si>
  <si>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</si>
  <si>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</si>
  <si>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</si>
  <si>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</si>
  <si>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</si>
  <si>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</si>
  <si>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</si>
  <si>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</si>
  <si>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</si>
  <si>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</si>
  <si>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</si>
  <si>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</si>
  <si>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</si>
  <si>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</si>
  <si>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</si>
  <si>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</si>
  <si>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</si>
  <si>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</si>
  <si>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</si>
  <si>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</si>
  <si>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</si>
  <si>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BCM</t>
  </si>
  <si>
    <t>2246.2</t>
  </si>
  <si>
    <t>3</t>
  </si>
  <si>
    <t>BID</t>
  </si>
  <si>
    <t>2246.3</t>
  </si>
  <si>
    <t>4</t>
  </si>
  <si>
    <t>CTG</t>
  </si>
  <si>
    <t>2246.4</t>
  </si>
  <si>
    <t>5</t>
  </si>
  <si>
    <t>DCM</t>
  </si>
  <si>
    <t>2246.5</t>
  </si>
  <si>
    <t>6</t>
  </si>
  <si>
    <t>DGC</t>
  </si>
  <si>
    <t>2246.6</t>
  </si>
  <si>
    <t>7</t>
  </si>
  <si>
    <t>DPG</t>
  </si>
  <si>
    <t>2246.7</t>
  </si>
  <si>
    <t>8</t>
  </si>
  <si>
    <t>DPM</t>
  </si>
  <si>
    <t>2246.8</t>
  </si>
  <si>
    <t>9</t>
  </si>
  <si>
    <t>DXG</t>
  </si>
  <si>
    <t>2246.9</t>
  </si>
  <si>
    <t>10</t>
  </si>
  <si>
    <t>EIB</t>
  </si>
  <si>
    <t>2246.10</t>
  </si>
  <si>
    <t>11</t>
  </si>
  <si>
    <t>FPT</t>
  </si>
  <si>
    <t>2246.11</t>
  </si>
  <si>
    <t>12</t>
  </si>
  <si>
    <t>FRT</t>
  </si>
  <si>
    <t>2246.12</t>
  </si>
  <si>
    <t>13</t>
  </si>
  <si>
    <t>GAS</t>
  </si>
  <si>
    <t>2246.13</t>
  </si>
  <si>
    <t>14</t>
  </si>
  <si>
    <t>HDG</t>
  </si>
  <si>
    <t>2246.14</t>
  </si>
  <si>
    <t>15</t>
  </si>
  <si>
    <t>HPG</t>
  </si>
  <si>
    <t>2246.15</t>
  </si>
  <si>
    <t>16</t>
  </si>
  <si>
    <t>KBC</t>
  </si>
  <si>
    <t>2246.16</t>
  </si>
  <si>
    <t>17</t>
  </si>
  <si>
    <t>KDH</t>
  </si>
  <si>
    <t>2246.17</t>
  </si>
  <si>
    <t>18</t>
  </si>
  <si>
    <t>MBB</t>
  </si>
  <si>
    <t>2246.18</t>
  </si>
  <si>
    <t>19</t>
  </si>
  <si>
    <t>MWG</t>
  </si>
  <si>
    <t>2246.19</t>
  </si>
  <si>
    <t>20</t>
  </si>
  <si>
    <t>NLG</t>
  </si>
  <si>
    <t>2246.20</t>
  </si>
  <si>
    <t>21</t>
  </si>
  <si>
    <t>NT2</t>
  </si>
  <si>
    <t>2246.21</t>
  </si>
  <si>
    <t>22</t>
  </si>
  <si>
    <t>PNJ</t>
  </si>
  <si>
    <t>2246.22</t>
  </si>
  <si>
    <t>23</t>
  </si>
  <si>
    <t>POW</t>
  </si>
  <si>
    <t>2246.23</t>
  </si>
  <si>
    <t>24</t>
  </si>
  <si>
    <t>PVD</t>
  </si>
  <si>
    <t>2246.24</t>
  </si>
  <si>
    <t>25</t>
  </si>
  <si>
    <t>PVS</t>
  </si>
  <si>
    <t>2246.25</t>
  </si>
  <si>
    <t>26</t>
  </si>
  <si>
    <t>PVT</t>
  </si>
  <si>
    <t>2246.26</t>
  </si>
  <si>
    <t>27</t>
  </si>
  <si>
    <t>REE</t>
  </si>
  <si>
    <t>2246.27</t>
  </si>
  <si>
    <t>28</t>
  </si>
  <si>
    <t>SSI</t>
  </si>
  <si>
    <t>2246.28</t>
  </si>
  <si>
    <t>29</t>
  </si>
  <si>
    <t>STB</t>
  </si>
  <si>
    <t>2246.29</t>
  </si>
  <si>
    <t>30</t>
  </si>
  <si>
    <t>VCB</t>
  </si>
  <si>
    <t>2246.30</t>
  </si>
  <si>
    <t>31</t>
  </si>
  <si>
    <t>VCG</t>
  </si>
  <si>
    <t>2246.31</t>
  </si>
  <si>
    <t>32</t>
  </si>
  <si>
    <t>VCI</t>
  </si>
  <si>
    <t>2246.32</t>
  </si>
  <si>
    <t>33</t>
  </si>
  <si>
    <t>VGC</t>
  </si>
  <si>
    <t>2246.33</t>
  </si>
  <si>
    <t>34</t>
  </si>
  <si>
    <t>VHC</t>
  </si>
  <si>
    <t>2246.34</t>
  </si>
  <si>
    <t>35</t>
  </si>
  <si>
    <t>VHM</t>
  </si>
  <si>
    <t>2246.35</t>
  </si>
  <si>
    <t>36</t>
  </si>
  <si>
    <t>VND</t>
  </si>
  <si>
    <t>2246.36</t>
  </si>
  <si>
    <t>37</t>
  </si>
  <si>
    <t>VPB</t>
  </si>
  <si>
    <t>2246.37</t>
  </si>
  <si>
    <t>38</t>
  </si>
  <si>
    <t>VRE</t>
  </si>
  <si>
    <t>2246.38</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</si>
  <si>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</si>
  <si>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</si>
  <si>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</si>
  <si>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</si>
  <si>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</si>
  <si>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</si>
  <si>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</si>
  <si>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</si>
  <si>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</si>
  <si>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</si>
  <si>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</si>
  <si>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</si>
  <si>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</si>
  <si>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</si>
  <si>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</si>
  <si>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</si>
  <si>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</si>
  <si>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</si>
  <si>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</si>
  <si>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</si>
  <si>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</si>
  <si>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</si>
  <si>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</si>
  <si>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</si>
  <si>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</si>
  <si>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</si>
  <si>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</si>
  <si>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2</t>
  </si>
  <si>
    <t>Trái phiếu chưa niêm yết
Unlisted Bonds</t>
  </si>
  <si>
    <t>2251.2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</si>
  <si>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</si>
  <si>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</si>
  <si>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</si>
  <si>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</si>
  <si>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</si>
  <si>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</si>
  <si>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</si>
  <si>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</si>
  <si>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</si>
  <si>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</si>
  <si>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</si>
  <si>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</si>
  <si>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</si>
  <si>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</si>
  <si>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</si>
  <si>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</si>
  <si>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</si>
  <si>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</si>
  <si>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</si>
  <si>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</si>
  <si>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</si>
  <si>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</si>
  <si>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</si>
  <si>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</si>
  <si>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</si>
  <si>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</si>
  <si>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</si>
  <si>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</si>
  <si>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</si>
  <si>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</si>
  <si>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</si>
  <si>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</si>
  <si>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</si>
  <si>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</si>
  <si>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</si>
  <si>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</si>
  <si>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</si>
  <si>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</si>
  <si>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</si>
  <si>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</si>
  <si>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</si>
  <si>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</si>
  <si>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</si>
  <si>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</si>
  <si>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</si>
  <si>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</si>
  <si>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</si>
  <si>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</si>
  <si>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</si>
  <si>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</si>
  <si>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</si>
  <si>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</si>
  <si>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</si>
  <si>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</si>
  <si>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</si>
  <si>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</si>
  <si>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</si>
  <si>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</si>
  <si>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</si>
  <si>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</si>
  <si>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</si>
  <si>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</si>
  <si>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</si>
  <si>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</si>
  <si>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</si>
  <si>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</si>
  <si>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</si>
  <si>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</si>
  <si>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</si>
  <si>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</si>
  <si>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</si>
  <si>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</si>
  <si>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</si>
  <si>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</si>
  <si>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</si>
  <si>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</si>
  <si>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</si>
  <si>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</si>
  <si>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</si>
  <si>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</si>
  <si>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</si>
  <si>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</si>
  <si>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</si>
  <si>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</si>
  <si>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</si>
  <si>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</si>
  <si>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</si>
  <si>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</si>
  <si>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</si>
  <si>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</si>
  <si>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</si>
  <si>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</si>
  <si>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</si>
  <si>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</si>
  <si>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</si>
  <si>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</si>
  <si>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ACB</t>
  </si>
  <si>
    <t>4030.1</t>
  </si>
  <si>
    <t>2</t>
  </si>
  <si>
    <t>BCM</t>
  </si>
  <si>
    <t>4030.2</t>
  </si>
  <si>
    <t>3</t>
  </si>
  <si>
    <t>BID</t>
  </si>
  <si>
    <t>4030.3</t>
  </si>
  <si>
    <t>4</t>
  </si>
  <si>
    <t>CTG</t>
  </si>
  <si>
    <t>4030.4</t>
  </si>
  <si>
    <t>5</t>
  </si>
  <si>
    <t>DCM</t>
  </si>
  <si>
    <t>4030.5</t>
  </si>
  <si>
    <t>6</t>
  </si>
  <si>
    <t>DGC</t>
  </si>
  <si>
    <t>4030.6</t>
  </si>
  <si>
    <t>7</t>
  </si>
  <si>
    <t>DPG</t>
  </si>
  <si>
    <t>4030.7</t>
  </si>
  <si>
    <t>8</t>
  </si>
  <si>
    <t>DPM</t>
  </si>
  <si>
    <t>4030.8</t>
  </si>
  <si>
    <t>9</t>
  </si>
  <si>
    <t>DXG</t>
  </si>
  <si>
    <t>4030.9</t>
  </si>
  <si>
    <t>10</t>
  </si>
  <si>
    <t>EIB</t>
  </si>
  <si>
    <t>4030.10</t>
  </si>
  <si>
    <t>11</t>
  </si>
  <si>
    <t>FPT</t>
  </si>
  <si>
    <t>4030.11</t>
  </si>
  <si>
    <t>12</t>
  </si>
  <si>
    <t>FRT</t>
  </si>
  <si>
    <t>4030.12</t>
  </si>
  <si>
    <t>13</t>
  </si>
  <si>
    <t>GAS</t>
  </si>
  <si>
    <t>4030.13</t>
  </si>
  <si>
    <t>14</t>
  </si>
  <si>
    <t>HDG</t>
  </si>
  <si>
    <t>4030.14</t>
  </si>
  <si>
    <t>15</t>
  </si>
  <si>
    <t>HPG</t>
  </si>
  <si>
    <t>4030.15</t>
  </si>
  <si>
    <t>16</t>
  </si>
  <si>
    <t>KBC</t>
  </si>
  <si>
    <t>4030.16</t>
  </si>
  <si>
    <t>17</t>
  </si>
  <si>
    <t>KDH</t>
  </si>
  <si>
    <t>4030.17</t>
  </si>
  <si>
    <t>18</t>
  </si>
  <si>
    <t>MBB</t>
  </si>
  <si>
    <t>4030.18</t>
  </si>
  <si>
    <t>19</t>
  </si>
  <si>
    <t>MWG</t>
  </si>
  <si>
    <t>4030.19</t>
  </si>
  <si>
    <t>20</t>
  </si>
  <si>
    <t>NLG</t>
  </si>
  <si>
    <t>4030.20</t>
  </si>
  <si>
    <t>21</t>
  </si>
  <si>
    <t>NT2</t>
  </si>
  <si>
    <t>4030.21</t>
  </si>
  <si>
    <t>22</t>
  </si>
  <si>
    <t>PNJ</t>
  </si>
  <si>
    <t>4030.22</t>
  </si>
  <si>
    <t>23</t>
  </si>
  <si>
    <t>POW</t>
  </si>
  <si>
    <t>4030.23</t>
  </si>
  <si>
    <t>24</t>
  </si>
  <si>
    <t>PVD</t>
  </si>
  <si>
    <t>4030.24</t>
  </si>
  <si>
    <t>25</t>
  </si>
  <si>
    <t>PVS</t>
  </si>
  <si>
    <t>4030.25</t>
  </si>
  <si>
    <t>26</t>
  </si>
  <si>
    <t>PVT</t>
  </si>
  <si>
    <t>4030.26</t>
  </si>
  <si>
    <t>27</t>
  </si>
  <si>
    <t>REE</t>
  </si>
  <si>
    <t>4030.27</t>
  </si>
  <si>
    <t>28</t>
  </si>
  <si>
    <t>SSI</t>
  </si>
  <si>
    <t>4030.28</t>
  </si>
  <si>
    <t>29</t>
  </si>
  <si>
    <t>STB</t>
  </si>
  <si>
    <t>4030.29</t>
  </si>
  <si>
    <t>30</t>
  </si>
  <si>
    <t>VCB</t>
  </si>
  <si>
    <t>4030.30</t>
  </si>
  <si>
    <t>31</t>
  </si>
  <si>
    <t>VCG</t>
  </si>
  <si>
    <t>4030.31</t>
  </si>
  <si>
    <t>32</t>
  </si>
  <si>
    <t>VCI</t>
  </si>
  <si>
    <t>4030.32</t>
  </si>
  <si>
    <t>33</t>
  </si>
  <si>
    <t>VGC</t>
  </si>
  <si>
    <t>4030.33</t>
  </si>
  <si>
    <t>34</t>
  </si>
  <si>
    <t>VHC</t>
  </si>
  <si>
    <t>4030.34</t>
  </si>
  <si>
    <t>35</t>
  </si>
  <si>
    <t>VHM</t>
  </si>
  <si>
    <t>4030.35</t>
  </si>
  <si>
    <t>36</t>
  </si>
  <si>
    <t>VND</t>
  </si>
  <si>
    <t>4030.36</t>
  </si>
  <si>
    <t>37</t>
  </si>
  <si>
    <t>VPB</t>
  </si>
  <si>
    <t>4030.37</t>
  </si>
  <si>
    <t>38</t>
  </si>
  <si>
    <t>VRE</t>
  </si>
  <si>
    <t>4030.38</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</si>
  <si>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</si>
  <si>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</si>
  <si>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</si>
  <si>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</si>
  <si>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</si>
  <si>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</si>
  <si>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</si>
  <si>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</si>
  <si>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</si>
  <si>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</si>
  <si>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</si>
  <si>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</si>
  <si>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</si>
  <si>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</si>
  <si>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</si>
  <si>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</si>
  <si>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</si>
  <si>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</si>
  <si>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</si>
  <si>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</si>
  <si>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</si>
  <si>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</si>
  <si>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2</t>
  </si>
  <si>
    <t>Trái phiếu không niêm yết 
Unlisted bonds</t>
  </si>
  <si>
    <t>4035.2</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</si>
  <si>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</si>
  <si>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</si>
  <si>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</si>
  <si>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</si>
  <si>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</si>
  <si>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</si>
  <si>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</si>
  <si>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</si>
  <si>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</si>
  <si>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</si>
  <si>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</si>
  <si>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</si>
  <si>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</si>
  <si>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</si>
  <si>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</si>
  <si>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</si>
  <si>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</si>
  <si>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</si>
  <si>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</si>
  <si>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</si>
  <si>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</si>
  <si>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</si>
  <si>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</si>
  <si>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</si>
  <si>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</si>
  <si>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</si>
  <si>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</si>
  <si>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</si>
  <si>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</si>
  <si>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</si>
  <si>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</si>
  <si>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</si>
  <si>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</si>
  <si>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</si>
  <si>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</si>
  <si>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</si>
  <si>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</si>
  <si>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</si>
  <si>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</si>
  <si>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</si>
  <si>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</si>
  <si>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</si>
  <si>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</si>
  <si>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</si>
  <si>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</si>
  <si>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</si>
  <si>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</si>
  <si>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</si>
  <si>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</si>
  <si>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</si>
  <si>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</si>
  <si>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</si>
  <si>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</si>
  <si>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</si>
  <si>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</si>
  <si>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</si>
  <si>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</si>
  <si>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</si>
  <si>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</si>
  <si>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</si>
  <si>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</si>
  <si>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</si>
  <si>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</si>
  <si>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</si>
  <si>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</si>
  <si>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</si>
  <si>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</si>
  <si>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</si>
  <si>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</si>
  <si>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</si>
  <si>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</si>
  <si>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</si>
  <si>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</si>
  <si>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</si>
  <si>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</si>
  <si>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</si>
  <si>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</si>
  <si>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Chứng chỉ tiền gửi 
Certificates of deposit</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</si>
  <si>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</si>
  <si>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</si>
  <si>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</si>
  <si>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</si>
  <si>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</si>
  <si>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</si>
  <si>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</si>
  <si>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</si>
  <si>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</si>
  <si>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</si>
  <si>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</si>
  <si>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</si>
  <si>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</si>
  <si>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</si>
  <si>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</si>
  <si>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</si>
  <si>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</si>
  <si>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</si>
  <si>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</si>
  <si>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</si>
  <si>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</si>
  <si>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</si>
  <si>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</si>
  <si>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</si>
  <si>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</si>
  <si>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</si>
  <si>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</si>
  <si>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</si>
  <si>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</si>
  <si>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</si>
  <si>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</si>
  <si>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</si>
  <si>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</si>
  <si>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</si>
  <si>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</si>
  <si>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</si>
  <si>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</si>
  <si>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</si>
  <si>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</si>
  <si>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</si>
  <si>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</si>
  <si>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</si>
  <si>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</si>
  <si>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</si>
  <si>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</si>
  <si>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</si>
  <si>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</si>
  <si>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</si>
  <si>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</si>
  <si>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</si>
  <si>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</si>
  <si>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</si>
  <si>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</si>
  <si>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</si>
  <si>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</si>
  <si>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</si>
  <si>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</si>
  <si>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</si>
  <si>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</si>
  <si>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</si>
  <si>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</si>
  <si>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</si>
  <si>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</si>
  <si>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</si>
  <si>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</si>
  <si>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</si>
  <si>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</si>
  <si>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</si>
  <si>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</si>
  <si>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</si>
  <si>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</si>
  <si>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</si>
  <si>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</si>
  <si>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</si>
  <si>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</si>
  <si>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</si>
  <si>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</si>
  <si>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</si>
  <si>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</si>
  <si>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</si>
  <si>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</si>
  <si>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</si>
  <si>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</si>
  <si>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</si>
  <si>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</si>
  <si>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</si>
  <si>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</si>
  <si>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</si>
  <si>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</si>
  <si>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</si>
  <si>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</si>
  <si>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</si>
  <si>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</si>
  <si>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</si>
  <si>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</si>
  <si>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</si>
  <si>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</si>
  <si>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</si>
  <si>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</si>
  <si>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</si>
  <si>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</si>
  <si>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</si>
  <si>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</si>
  <si>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</si>
  <si>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</si>
  <si>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</si>
  <si>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</si>
  <si>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</si>
  <si>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</si>
  <si>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</si>
  <si>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</si>
  <si>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</si>
  <si>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</si>
  <si>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</si>
  <si>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</si>
  <si>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</si>
  <si>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</si>
  <si>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</si>
  <si>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</si>
  <si>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</si>
  <si>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</si>
  <si>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</si>
  <si>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</si>
  <si>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</si>
  <si>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</si>
  <si>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</si>
  <si>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</si>
  <si>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</si>
  <si>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</si>
  <si>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</si>
  <si>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</si>
  <si>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</si>
  <si>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</si>
  <si>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</si>
  <si>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</si>
  <si>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</si>
  <si>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</si>
  <si>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</si>
  <si>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</si>
  <si>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</si>
  <si>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</si>
  <si>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</si>
  <si>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</si>
  <si>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</si>
  <si>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</si>
  <si>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</si>
  <si>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</si>
  <si>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</si>
  <si>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</si>
  <si>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</si>
  <si>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</si>
  <si>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</si>
  <si>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</si>
  <si>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</si>
  <si>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</si>
  <si>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</si>
  <si>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</si>
  <si>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</si>
  <si>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</si>
  <si>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</si>
  <si>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</si>
  <si>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</si>
  <si>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</si>
  <si>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</si>
  <si>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</si>
  <si>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</si>
  <si>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</si>
  <si>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</si>
  <si>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</si>
  <si>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</si>
  <si>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</si>
  <si>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</si>
  <si>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</si>
  <si>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</si>
  <si>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</si>
  <si>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</si>
  <si>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</si>
  <si>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</si>
  <si>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</si>
  <si>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</si>
  <si>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</si>
  <si>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</si>
  <si>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</si>
  <si>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</si>
  <si>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</si>
  <si>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</si>
  <si>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</si>
  <si>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</si>
  <si>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</si>
  <si>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</si>
  <si>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</si>
  <si>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</si>
  <si>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</si>
  <si>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</si>
  <si>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</si>
  <si>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</si>
  <si>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</si>
  <si>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</si>
  <si>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</si>
  <si>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</si>
  <si>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</si>
  <si>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</si>
  <si>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</si>
  <si>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</si>
  <si>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</si>
  <si>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</si>
  <si>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</si>
  <si>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</si>
  <si>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</si>
  <si>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</si>
  <si>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</si>
  <si>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</si>
  <si>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</si>
  <si>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</si>
  <si>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</si>
  <si>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</si>
  <si>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</si>
  <si>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</si>
  <si>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</si>
  <si>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</si>
  <si>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</si>
  <si>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</si>
  <si>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</si>
  <si>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</si>
  <si>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</si>
  <si>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</si>
  <si>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</si>
  <si>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</si>
  <si>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</si>
  <si>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</si>
  <si>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</si>
  <si>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</si>
  <si>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</si>
  <si>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</si>
  <si>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</si>
  <si>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</si>
  <si>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</si>
  <si>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</si>
  <si>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</si>
  <si>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</si>
  <si>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</si>
  <si>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</si>
  <si>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</si>
  <si>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</si>
  <si>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</si>
  <si>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</si>
  <si>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</si>
  <si>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</si>
  <si>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</si>
  <si>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</si>
  <si>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</si>
  <si>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</si>
  <si>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</si>
  <si>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</si>
  <si>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</si>
  <si>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</si>
  <si>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</si>
  <si>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</si>
  <si>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</si>
  <si>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</si>
  <si>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</si>
  <si>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</si>
  <si>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</si>
  <si>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</si>
  <si>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</si>
  <si>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</si>
  <si>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</si>
  <si>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</si>
  <si>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</si>
  <si>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</si>
  <si>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</si>
  <si>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</si>
  <si>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</si>
  <si>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</si>
  <si>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</si>
  <si>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</si>
  <si>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</si>
  <si>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</si>
  <si>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</si>
  <si>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</si>
  <si>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</si>
  <si>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</si>
  <si>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</si>
  <si>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</si>
  <si>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</si>
  <si>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</si>
  <si>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</si>
  <si>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</si>
  <si>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</si>
  <si>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</si>
  <si>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</si>
  <si>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</si>
  <si>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</si>
  <si>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</si>
  <si>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</si>
  <si>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</si>
  <si>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</si>
  <si>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</si>
  <si>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</si>
  <si>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</si>
  <si>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</si>
  <si>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</si>
  <si>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</si>
  <si>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</si>
  <si>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</si>
  <si>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</si>
  <si>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</si>
  <si>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</si>
  <si>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</si>
  <si>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</si>
  <si>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</si>
  <si>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</si>
  <si>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</si>
  <si>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</si>
  <si>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</si>
  <si>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</si>
  <si>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</si>
  <si>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</si>
  <si>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</si>
  <si>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</si>
  <si>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</si>
  <si>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</si>
  <si>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</si>
  <si>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</si>
  <si>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</si>
  <si>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</si>
  <si>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</si>
  <si>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</si>
  <si>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</si>
  <si>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</si>
  <si>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</si>
  <si>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</si>
  <si>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</si>
  <si>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</si>
  <si>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</si>
  <si>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</si>
  <si>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</si>
  <si>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</si>
  <si>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</si>
  <si>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</si>
  <si>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</si>
  <si>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</si>
  <si>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</si>
  <si>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</si>
  <si>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</si>
  <si>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</si>
  <si>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</si>
  <si>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</si>
  <si>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</si>
  <si>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</si>
  <si>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</si>
  <si>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</si>
  <si>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</si>
  <si>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</si>
  <si>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</si>
  <si>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</si>
  <si>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</si>
  <si>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</si>
  <si>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</si>
  <si>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</si>
  <si>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</si>
  <si>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</si>
  <si>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</si>
  <si>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</si>
  <si>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</si>
  <si>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</si>
  <si>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</si>
  <si>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</si>
  <si>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</si>
  <si>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</si>
  <si>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</si>
  <si>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</si>
  <si>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</si>
  <si>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</si>
  <si>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</si>
  <si>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</si>
  <si>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</si>
  <si>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</si>
  <si>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</si>
  <si>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</si>
  <si>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</si>
  <si>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</si>
  <si>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</si>
  <si>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</si>
  <si>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</si>
  <si>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</si>
  <si>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</si>
  <si>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</si>
  <si>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</si>
  <si>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</si>
  <si>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</si>
  <si>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</si>
  <si>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</si>
  <si>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</si>
  <si>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</si>
  <si>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</si>
  <si>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</si>
  <si>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</si>
  <si>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</si>
  <si>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</si>
  <si>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</si>
  <si>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</si>
  <si>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</si>
  <si>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</si>
  <si>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</si>
  <si>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3</t>
  </si>
  <si>
    <t>Không/No</t>
  </si>
  <si>
    <t>4</t>
  </si>
  <si>
    <t>Không/No</t>
  </si>
  <si>
    <t>5</t>
  </si>
  <si>
    <t>Không/No</t>
  </si>
  <si>
    <t>6</t>
  </si>
  <si>
    <t>Không/No</t>
  </si>
  <si>
    <t>Tổng/Total</t>
  </si>
  <si>
    <t>Tại ngày 31 tháng 12 năm 2022
/ As at 31 Dec 2022</t>
  </si>
  <si>
    <t>Năm 2022
/ Year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</si>
  <si>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</si>
  <si>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</si>
  <si>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</si>
  <si>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</si>
  <si>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Trịnh Hoài Nam</t>
  </si>
  <si>
    <t>Nguyễn Minh Đăng Khánh</t>
  </si>
  <si>
    <t>Phó phòng Dịch vụ Quản trị và Giám sát Quỹ</t>
  </si>
  <si>
    <t>Giám đốc điều hành Nghiệp vụ hỗ trợ đầu tư</t>
  </si>
  <si>
    <t>Ngày 31 tháng 12 năm 2022
 As at 31 Dec 2022</t>
  </si>
  <si>
    <t>Ngày 31 tháng 12 năm 2021
 As at 31 Dec 2021</t>
  </si>
  <si>
    <t>Năm 2022
Year 2022</t>
  </si>
  <si>
    <t>Năm 2021
Year 2021</t>
  </si>
  <si>
    <t>Phạm Thị Như Thảo</t>
  </si>
  <si>
    <t>Ninh Thị Tuệ Minh</t>
  </si>
  <si>
    <t>Kế toán Quỹ</t>
  </si>
  <si>
    <t>Trưởng phòng Kế toán Quỹ</t>
  </si>
  <si>
    <t>DC Blue Chip Fund(DCBC)</t>
  </si>
  <si>
    <t>(Ban hành kèm theo Thông tư 198/2012/TT-BTC ngày 15 tháng 11 năm 2012 về chế độ kế toán áp dụng đối với quỹ mở)
(Issued in association with Circular 198/2012/TT-BTC dated 15 Nov 2012 on the Accounting Policies for Open-Ended Fund)</t>
  </si>
  <si>
    <t>___________________________________</t>
  </si>
  <si>
    <t>_____________________________________</t>
  </si>
  <si>
    <t>0.00% - 0.45%</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</si>
  <si>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</si>
  <si>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Ghi chú / Notes:</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</si>
  <si>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</si>
  <si>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</si>
  <si>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</si>
  <si>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</si>
  <si>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</si>
  <si>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</si>
  <si>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</si>
  <si>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</si>
  <si>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</si>
  <si>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</si>
  <si>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</si>
  <si>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</si>
  <si>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</si>
  <si>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</si>
  <si>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</si>
  <si>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</si>
  <si>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</si>
  <si>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</si>
  <si>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</si>
  <si>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</si>
  <si>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</si>
  <si>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</si>
  <si>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</si>
  <si>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</si>
  <si>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</si>
  <si>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</si>
  <si>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</si>
  <si>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</si>
  <si>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</si>
  <si>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</si>
  <si>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</si>
  <si>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</si>
  <si>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</si>
  <si>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</si>
  <si>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</si>
  <si>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</si>
  <si>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</si>
  <si>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 xml:space="preserve">BÁO CÁO TÌNH HÌNH TỰ DOANH ĐẦU TƯ GIÁN TIẾP RA NƯỚC NGOÀI CỦA QUỸ </t>
  </si>
  <si>
    <t>Không có</t>
  </si>
  <si>
    <t xml:space="preserve">     </t>
  </si>
  <si>
    <t>Tổng giá trị giao dịch trong kỳ báo cáo của quỹ
Fund’s total transaction value for the year
(*)</t>
  </si>
  <si>
    <t>(*) Các giao dịch không được thực hiện thông qua Công ty chứng khoán đã được loại trừ khi xác định tổng giá trị giao dịch trong kỳ của Quỹ. Tổng giá trị giao dịch bao gồm các giao dịch chứng khoán lô lẻ, giao dịch chứng khoán niêm yết và giao dịch chứng khoán chưa niêm yết.
Transactions that are not performed through brokers are excluded when determining the total value of transactions during the period. Total transaction value includes odd-lot, listed securities transactions and unlisted securities transactions).</t>
  </si>
  <si>
    <t>Ngày 03 tháng 03 năm 2023</t>
  </si>
  <si>
    <t>03 Mar 2023</t>
  </si>
  <si>
    <t>Công ty Cổ phần chứng khoán Bản Việt
Viet Capital Securities Joint Stock Company</t>
  </si>
  <si>
    <t>Công ty cổ phần chứng khoán KIS Việt Nam
KIS Vietnam Securities Corporation</t>
  </si>
  <si>
    <t>Công ty Cổ phần Chứng khoán Thành phố Hồ Chí Minh
Ho Chi Minh City Securities Corporation</t>
  </si>
  <si>
    <t>Công ty cổ phần chứng khoán Bảo Việt
Bao Viet Securities Joint Stock Company</t>
  </si>
  <si>
    <t>Công ty Cổ phần Chứng khoán SSI
SSI Securities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</si>
</sst>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7">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u/>
      <sz val="11"/>
      <color theme="10"/>
      <name val="Calibri"/>
      <family val="2"/>
      <scheme val="minor"/>
    </font>
    <font>
      <b/>
      <sz val="12"/>
      <color theme="1"/>
      <name val="Arial"/>
      <family val="2"/>
    </font>
    <font>
      <sz val="12"/>
      <color theme="1"/>
      <name val="Arial"/>
      <family val="2"/>
    </font>
    <font>
      <u/>
      <sz val="12"/>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33" fillId="18" borderId="0" applyNumberFormat="0" applyFill="0" applyBorder="0" applyAlignment="0" applyProtection="0"/>
  </cellStyleXfs>
  <cellXfs count="345">
    <xf numFmtId="0" fontId="0" fillId="0" borderId="0" xfId="0"/>
    <xf numFmtId="0" fontId="4" fillId="3" borderId="0" xfId="0" applyFont="1" applyFill="1"/>
    <xf numFmtId="0" fontId="5" fillId="3" borderId="0" xfId="0" applyFont="1" applyFill="1"/>
    <xf numFmtId="0" fontId="4" fillId="3" borderId="0" xfId="0" applyFont="1" applyFill="1" applyBorder="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4"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5" fillId="0" borderId="0" xfId="0" applyFont="1" applyFill="1" applyAlignment="1">
      <alignment wrapText="1"/>
    </xf>
    <xf numFmtId="0" fontId="6" fillId="0" borderId="0" xfId="0" applyFont="1" applyFill="1" applyAlignment="1">
      <alignment wrapText="1"/>
    </xf>
    <xf numFmtId="0" fontId="6" fillId="0" borderId="0" xfId="0" applyFont="1" applyFill="1" applyAlignment="1"/>
    <xf numFmtId="0" fontId="14" fillId="3" borderId="9" xfId="0" applyFont="1" applyFill="1" applyBorder="1" applyAlignment="1">
      <alignment horizontal="center" vertical="center"/>
    </xf>
    <xf numFmtId="0" fontId="5" fillId="0" borderId="0" xfId="0" applyFont="1" applyFill="1"/>
    <xf numFmtId="41"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41" fontId="15" fillId="3" borderId="9" xfId="5" applyNumberFormat="1" applyFont="1" applyFill="1" applyBorder="1" applyAlignment="1" applyProtection="1">
      <alignment horizontal="right" vertical="center" wrapText="1"/>
      <protection locked="0"/>
    </xf>
    <xf numFmtId="0" fontId="7" fillId="3" borderId="0" xfId="0" applyFont="1" applyFill="1" applyBorder="1" applyAlignment="1">
      <alignment vertical="center" wrapText="1"/>
    </xf>
    <xf numFmtId="41" fontId="7" fillId="3" borderId="0" xfId="0" applyNumberFormat="1" applyFont="1" applyFill="1" applyBorder="1" applyAlignment="1">
      <alignment horizontal="right" vertical="center" wrapText="1"/>
    </xf>
    <xf numFmtId="0" fontId="14" fillId="3" borderId="0" xfId="0" applyFont="1" applyFill="1" applyBorder="1" applyAlignment="1">
      <alignment vertical="center"/>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41"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NumberFormat="1" applyFont="1" applyFill="1" applyBorder="1" applyAlignment="1" applyProtection="1">
      <alignment horizontal="left" vertical="center" wrapText="1"/>
    </xf>
    <xf numFmtId="49" fontId="14" fillId="3" borderId="9" xfId="0" applyNumberFormat="1" applyFont="1" applyFill="1" applyBorder="1" applyAlignment="1">
      <alignment horizontal="center" vertical="center" wrapText="1"/>
    </xf>
    <xf numFmtId="0" fontId="8" fillId="3" borderId="9" xfId="4" applyNumberFormat="1" applyFont="1" applyFill="1" applyBorder="1" applyAlignment="1" applyProtection="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NumberFormat="1" applyFont="1" applyFill="1" applyBorder="1" applyAlignment="1" applyProtection="1">
      <alignment horizontal="left" vertical="center" wrapText="1"/>
    </xf>
    <xf numFmtId="0" fontId="10" fillId="3" borderId="9" xfId="6" applyFont="1" applyFill="1" applyBorder="1" applyAlignment="1">
      <alignment vertical="center" wrapText="1"/>
    </xf>
    <xf numFmtId="0" fontId="10" fillId="3" borderId="9" xfId="6" applyNumberFormat="1" applyFont="1" applyFill="1" applyBorder="1" applyAlignment="1">
      <alignment vertical="center" wrapText="1"/>
    </xf>
    <xf numFmtId="0" fontId="14" fillId="3" borderId="0" xfId="0" applyFont="1" applyFill="1" applyBorder="1" applyAlignment="1">
      <alignment vertical="center" wrapText="1"/>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43" fontId="14" fillId="3" borderId="9" xfId="0" applyNumberFormat="1" applyFont="1" applyFill="1" applyBorder="1" applyAlignment="1">
      <alignment horizontal="right" vertical="center" wrapText="1"/>
    </xf>
    <xf numFmtId="0" fontId="7" fillId="3" borderId="0" xfId="0" applyNumberFormat="1" applyFont="1" applyFill="1" applyAlignment="1">
      <alignment vertical="center"/>
    </xf>
    <xf numFmtId="165" fontId="9"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0"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5"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49" fontId="14" fillId="3" borderId="0" xfId="17" applyNumberFormat="1" applyFont="1" applyFill="1" applyBorder="1" applyAlignment="1">
      <alignment horizontal="center" vertical="center" wrapText="1"/>
    </xf>
    <xf numFmtId="49" fontId="14" fillId="3" borderId="0" xfId="21" applyNumberFormat="1" applyFont="1" applyFill="1" applyBorder="1" applyAlignment="1" applyProtection="1">
      <alignment horizontal="center" vertical="center" wrapText="1"/>
    </xf>
    <xf numFmtId="0" fontId="7" fillId="3" borderId="0" xfId="17" applyFont="1" applyFill="1"/>
    <xf numFmtId="165" fontId="7" fillId="3" borderId="0" xfId="21" applyNumberFormat="1" applyFont="1" applyFill="1" applyProtection="1"/>
    <xf numFmtId="0" fontId="14" fillId="3" borderId="0" xfId="17" applyFont="1" applyFill="1"/>
    <xf numFmtId="165" fontId="7" fillId="3" borderId="0" xfId="21" applyNumberFormat="1" applyFont="1" applyFill="1">
      <protection locked="0"/>
    </xf>
    <xf numFmtId="0" fontId="7" fillId="3" borderId="0" xfId="23" applyFont="1" applyFill="1"/>
    <xf numFmtId="165" fontId="14" fillId="3" borderId="0" xfId="21" applyNumberFormat="1" applyFont="1" applyFill="1" applyBorder="1">
      <protection locked="0"/>
    </xf>
    <xf numFmtId="165" fontId="14" fillId="3" borderId="0" xfId="21" applyNumberFormat="1" applyFont="1" applyFill="1">
      <protection locked="0"/>
    </xf>
    <xf numFmtId="0" fontId="13" fillId="3" borderId="0" xfId="17" applyFont="1" applyFill="1"/>
    <xf numFmtId="165" fontId="13" fillId="3" borderId="0" xfId="21" applyNumberFormat="1" applyFont="1" applyFill="1" applyBorder="1">
      <protection locked="0"/>
    </xf>
    <xf numFmtId="165" fontId="13" fillId="3" borderId="0" xfId="21" applyNumberFormat="1" applyFont="1" applyFill="1">
      <protection locked="0"/>
    </xf>
    <xf numFmtId="165" fontId="7" fillId="3" borderId="0" xfId="21" applyNumberFormat="1" applyFont="1" applyFill="1" applyBorder="1">
      <protection locked="0"/>
    </xf>
    <xf numFmtId="165" fontId="7" fillId="3" borderId="8" xfId="21" applyNumberFormat="1" applyFont="1" applyFill="1" applyBorder="1">
      <protection locked="0"/>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0" fillId="3" borderId="0" xfId="11" applyFont="1" applyFill="1" applyAlignment="1">
      <alignment horizontal="center" vertical="center"/>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165" fontId="14"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37" fontId="8" fillId="3" borderId="0" xfId="17" quotePrefix="1" applyNumberFormat="1" applyFont="1" applyFill="1" applyAlignment="1">
      <alignment horizontal="left"/>
    </xf>
    <xf numFmtId="37" fontId="8" fillId="3" borderId="0" xfId="17" applyNumberFormat="1" applyFont="1" applyFill="1" applyAlignment="1">
      <alignment horizontal="left"/>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3" borderId="8" xfId="23" applyFont="1" applyFill="1" applyBorder="1"/>
    <xf numFmtId="0" fontId="7" fillId="3" borderId="0" xfId="23" applyFont="1" applyFill="1" applyAlignment="1">
      <alignment horizontal="left"/>
    </xf>
    <xf numFmtId="165" fontId="7" fillId="5" borderId="0" xfId="21" applyNumberFormat="1" applyFont="1" applyProtection="1"/>
    <xf numFmtId="0" fontId="21" fillId="3" borderId="0" xfId="12" applyFont="1" applyFill="1" applyAlignment="1">
      <alignment horizontal="center"/>
    </xf>
    <xf numFmtId="0" fontId="14" fillId="7" borderId="9" xfId="0" applyFont="1" applyFill="1" applyBorder="1" applyAlignment="1">
      <alignment horizontal="center" vertical="center" wrapText="1"/>
    </xf>
    <xf numFmtId="10"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7" fontId="8" fillId="0" borderId="9" xfId="24" applyNumberFormat="1" applyFont="1" applyBorder="1"/>
    <xf numFmtId="41" fontId="9" fillId="7" borderId="9" xfId="22" applyNumberFormat="1" applyFont="1" applyFill="1" applyBorder="1"/>
    <xf numFmtId="4" fontId="22" fillId="8" borderId="19" xfId="0" applyNumberFormat="1" applyFont="1" applyFill="1" applyBorder="1" applyAlignment="1" applyProtection="1">
      <alignment horizontal="left" vertical="center" wrapText="1"/>
      <protection locked="0"/>
    </xf>
    <xf numFmtId="4" fontId="23" fillId="9" borderId="20" xfId="0" applyNumberFormat="1" applyFont="1" applyFill="1" applyBorder="1" applyAlignment="1" applyProtection="1">
      <alignment horizontal="center" vertical="center" wrapText="1"/>
      <protection locked="0"/>
    </xf>
    <xf numFmtId="0" fontId="24" fillId="10" borderId="21" xfId="0" applyNumberFormat="1" applyFont="1" applyFill="1" applyBorder="1" applyAlignment="1" applyProtection="1">
      <alignment horizontal="center" vertical="center" wrapText="1"/>
      <protection locked="0"/>
    </xf>
    <xf numFmtId="10" fontId="25" fillId="11" borderId="22" xfId="0" applyNumberFormat="1" applyFont="1" applyFill="1" applyBorder="1" applyAlignment="1" applyProtection="1">
      <alignment horizontal="right" vertical="center" wrapText="1"/>
      <protection locked="0"/>
    </xf>
    <xf numFmtId="165" fontId="26" fillId="12" borderId="23" xfId="0" applyNumberFormat="1" applyFont="1" applyFill="1" applyBorder="1" applyAlignment="1" applyProtection="1">
      <alignment horizontal="right" vertical="center" wrapText="1"/>
      <protection locked="0"/>
    </xf>
    <xf numFmtId="0" fontId="27" fillId="13" borderId="24" xfId="0" applyNumberFormat="1" applyFont="1" applyFill="1" applyBorder="1" applyAlignment="1" applyProtection="1">
      <alignment horizontal="left" vertical="center" wrapText="1"/>
      <protection locked="0"/>
    </xf>
    <xf numFmtId="0" fontId="28" fillId="14" borderId="25" xfId="0" applyNumberFormat="1" applyFont="1" applyFill="1" applyBorder="1" applyAlignment="1" applyProtection="1">
      <alignment horizontal="center" vertical="center" wrapText="1"/>
      <protection locked="0"/>
    </xf>
    <xf numFmtId="10" fontId="29" fillId="15" borderId="26" xfId="0" applyNumberFormat="1" applyFont="1" applyFill="1" applyBorder="1" applyAlignment="1" applyProtection="1">
      <alignment horizontal="right" vertical="center" wrapText="1"/>
      <protection locked="0"/>
    </xf>
    <xf numFmtId="165" fontId="30" fillId="16" borderId="27" xfId="0" applyNumberFormat="1" applyFont="1" applyFill="1" applyBorder="1" applyAlignment="1" applyProtection="1">
      <alignment horizontal="right" vertical="center" wrapText="1"/>
      <protection locked="0"/>
    </xf>
    <xf numFmtId="43" fontId="31" fillId="17" borderId="28" xfId="0" applyNumberFormat="1" applyFont="1" applyFill="1" applyBorder="1" applyAlignment="1" applyProtection="1">
      <alignment horizontal="right" vertical="center" wrapText="1"/>
      <protection locked="0"/>
    </xf>
    <xf numFmtId="37" fontId="32" fillId="18" borderId="29" xfId="0" applyNumberFormat="1" applyFont="1" applyFill="1" applyBorder="1" applyAlignment="1" applyProtection="1">
      <alignment horizontal="right" vertical="center" wrapText="1"/>
      <protection locked="0"/>
    </xf>
    <xf numFmtId="165" fontId="14" fillId="3" borderId="0" xfId="21" applyNumberFormat="1" applyFont="1" applyFill="1" applyAlignment="1">
      <alignment horizontal="left" vertical="center"/>
      <protection locked="0"/>
    </xf>
    <xf numFmtId="10" fontId="8" fillId="0" borderId="9" xfId="22" applyNumberFormat="1" applyFont="1" applyFill="1" applyBorder="1"/>
    <xf numFmtId="10" fontId="25" fillId="0" borderId="22" xfId="0" applyNumberFormat="1" applyFont="1" applyFill="1" applyBorder="1" applyAlignment="1" applyProtection="1">
      <alignment horizontal="right" vertical="center" wrapText="1"/>
      <protection locked="0"/>
    </xf>
    <xf numFmtId="10" fontId="8" fillId="11" borderId="22" xfId="0" applyNumberFormat="1" applyFont="1" applyFill="1" applyBorder="1" applyAlignment="1" applyProtection="1">
      <alignment horizontal="right" vertical="center" wrapText="1"/>
      <protection locked="0"/>
    </xf>
    <xf numFmtId="0" fontId="21" fillId="3" borderId="8" xfId="12" applyFont="1" applyFill="1" applyBorder="1"/>
    <xf numFmtId="49" fontId="7" fillId="3" borderId="0" xfId="0" applyNumberFormat="1" applyFont="1" applyFill="1" applyBorder="1" applyAlignment="1">
      <alignment horizontal="left" vertical="center" wrapText="1"/>
    </xf>
    <xf numFmtId="49" fontId="7" fillId="3" borderId="0" xfId="15" applyNumberFormat="1" applyFont="1" applyFill="1" applyBorder="1" applyAlignment="1">
      <alignment horizontal="center" vertical="center" wrapText="1"/>
    </xf>
    <xf numFmtId="43" fontId="8" fillId="3" borderId="0" xfId="7" applyFont="1" applyFill="1" applyBorder="1" applyAlignment="1" applyProtection="1">
      <alignment horizontal="right" vertical="center" wrapText="1"/>
      <protection locked="0"/>
    </xf>
    <xf numFmtId="49" fontId="14" fillId="3" borderId="0" xfId="0" applyNumberFormat="1" applyFont="1" applyFill="1" applyBorder="1" applyAlignment="1">
      <alignment horizontal="left" vertical="center"/>
    </xf>
    <xf numFmtId="0" fontId="34" fillId="2" borderId="9" xfId="18" applyFont="1" applyFill="1" applyBorder="1" applyAlignment="1">
      <alignment horizontal="left" vertical="top"/>
    </xf>
    <xf numFmtId="49" fontId="34" fillId="2" borderId="9" xfId="18" applyNumberFormat="1" applyFont="1" applyFill="1" applyBorder="1" applyAlignment="1">
      <alignment horizontal="left" vertical="top"/>
    </xf>
    <xf numFmtId="0" fontId="35" fillId="2" borderId="9" xfId="18" applyFont="1" applyFill="1" applyBorder="1" applyAlignment="1">
      <alignment horizontal="left" vertical="top"/>
    </xf>
    <xf numFmtId="49" fontId="35" fillId="2" borderId="9" xfId="18" applyNumberFormat="1" applyFont="1" applyFill="1" applyBorder="1" applyAlignment="1">
      <alignment horizontal="left" vertical="top"/>
    </xf>
    <xf numFmtId="0" fontId="35" fillId="2" borderId="9" xfId="18" applyFont="1" applyFill="1" applyBorder="1" applyAlignment="1">
      <alignment horizontal="left" vertical="top" wrapText="1"/>
    </xf>
    <xf numFmtId="49" fontId="36" fillId="2" borderId="9" xfId="25" applyNumberFormat="1" applyFont="1" applyFill="1" applyBorder="1" applyAlignment="1">
      <alignment horizontal="left" vertical="top"/>
    </xf>
    <xf numFmtId="0" fontId="35" fillId="2" borderId="9" xfId="18" applyFont="1" applyFill="1" applyBorder="1" applyAlignment="1">
      <alignment horizontal="left"/>
    </xf>
    <xf numFmtId="0" fontId="35" fillId="2" borderId="9" xfId="18" applyFont="1" applyFill="1" applyBorder="1"/>
    <xf numFmtId="49" fontId="35" fillId="2" borderId="9" xfId="18" applyNumberFormat="1" applyFont="1" applyFill="1" applyBorder="1"/>
    <xf numFmtId="0" fontId="35" fillId="2" borderId="9" xfId="18" applyFont="1" applyFill="1" applyBorder="1" applyAlignment="1">
      <alignment wrapText="1"/>
    </xf>
    <xf numFmtId="10" fontId="7" fillId="3" borderId="0" xfId="21" applyNumberFormat="1" applyFont="1" applyFill="1" applyProtection="1"/>
    <xf numFmtId="165" fontId="8" fillId="12" borderId="23" xfId="0" applyNumberFormat="1" applyFont="1" applyFill="1" applyBorder="1" applyAlignment="1" applyProtection="1">
      <alignment horizontal="right" vertical="center" wrapText="1"/>
      <protection locked="0"/>
    </xf>
    <xf numFmtId="4" fontId="8" fillId="9" borderId="20"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15" fontId="8" fillId="3" borderId="0" xfId="0" quotePrefix="1" applyNumberFormat="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1" fillId="3" borderId="0" xfId="0" applyFont="1" applyFill="1" applyBorder="1" applyAlignment="1">
      <alignment horizontal="lef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1" fillId="3" borderId="0" xfId="0" applyFont="1" applyFill="1" applyBorder="1" applyAlignment="1">
      <alignment vertical="center" wrapText="1"/>
    </xf>
    <xf numFmtId="0" fontId="1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165" fontId="14" fillId="3" borderId="0" xfId="21" applyNumberFormat="1" applyFont="1" applyFill="1" applyAlignment="1">
      <alignment horizontal="left" vertical="center"/>
      <protection locked="0"/>
    </xf>
    <xf numFmtId="165" fontId="7" fillId="3" borderId="0" xfId="21" applyNumberFormat="1" applyFont="1" applyFill="1" applyAlignment="1">
      <alignment horizontal="left" vertical="center"/>
      <protection locked="0"/>
    </xf>
    <xf numFmtId="0" fontId="14" fillId="3" borderId="0" xfId="17" applyFont="1" applyFill="1" applyAlignment="1">
      <alignment horizontal="left" vertical="center"/>
    </xf>
    <xf numFmtId="0" fontId="7" fillId="3" borderId="0" xfId="17" applyFont="1" applyFill="1" applyAlignment="1">
      <alignment horizontal="left" vertical="center"/>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7" fillId="3" borderId="0" xfId="11" applyFont="1" applyFill="1" applyAlignment="1">
      <alignment horizontal="left" vertical="center" wrapText="1"/>
    </xf>
    <xf numFmtId="0" fontId="8" fillId="3" borderId="0" xfId="11" applyFont="1" applyFill="1" applyAlignment="1">
      <alignment horizontal="left" vertical="center" wrapText="1"/>
    </xf>
    <xf numFmtId="0" fontId="18"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49" fontId="7" fillId="3" borderId="0" xfId="17" applyNumberFormat="1" applyFont="1" applyFill="1" applyBorder="1" applyAlignment="1">
      <alignment horizontal="left" vertical="center" wrapText="1"/>
    </xf>
    <xf numFmtId="0" fontId="17" fillId="3" borderId="0" xfId="17" applyFont="1" applyFill="1" applyAlignment="1">
      <alignment horizontal="left" vertical="top" wrapText="1"/>
    </xf>
    <xf numFmtId="0" fontId="8" fillId="3" borderId="0" xfId="17" applyFont="1" applyFill="1" applyAlignment="1">
      <alignment horizontal="left" vertical="top"/>
    </xf>
    <xf numFmtId="37" fontId="8" fillId="3" borderId="0" xfId="17" quotePrefix="1" applyNumberFormat="1" applyFont="1" applyFill="1" applyAlignment="1">
      <alignment horizontal="left"/>
    </xf>
    <xf numFmtId="37" fontId="8" fillId="3" borderId="0" xfId="17" applyNumberFormat="1" applyFont="1" applyFill="1" applyAlignment="1">
      <alignment horizontal="left"/>
    </xf>
    <xf numFmtId="165" fontId="14" fillId="2" borderId="12" xfId="22" applyNumberFormat="1" applyFont="1" applyFill="1" applyBorder="1" applyAlignment="1" applyProtection="1">
      <alignment horizontal="center" vertical="center" wrapText="1"/>
    </xf>
    <xf numFmtId="165" fontId="14" fillId="2" borderId="13" xfId="22" applyNumberFormat="1" applyFont="1" applyFill="1" applyBorder="1" applyAlignment="1" applyProtection="1">
      <alignment horizontal="center" vertical="center" wrapText="1"/>
    </xf>
    <xf numFmtId="165" fontId="14" fillId="2" borderId="10" xfId="22" applyNumberFormat="1" applyFont="1" applyFill="1" applyBorder="1" applyAlignment="1" applyProtection="1">
      <alignment horizontal="center" vertical="center" wrapText="1"/>
    </xf>
    <xf numFmtId="165" fontId="14" fillId="2" borderId="17" xfId="22" applyNumberFormat="1" applyFont="1" applyFill="1" applyBorder="1" applyAlignment="1" applyProtection="1">
      <alignment horizontal="center" vertical="center" wrapText="1"/>
    </xf>
    <xf numFmtId="165" fontId="14" fillId="2" borderId="11" xfId="22" applyNumberFormat="1" applyFont="1" applyFill="1" applyBorder="1" applyAlignment="1" applyProtection="1">
      <alignment horizontal="center" vertical="center" wrapText="1"/>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xf numFmtId="0" fontId="11" fillId="3" borderId="0" xfId="17" applyFont="1" applyFill="1" applyAlignment="1">
      <alignment horizontal="left" vertical="top" wrapText="1"/>
    </xf>
    <xf numFmtId="0" fontId="16" fillId="3" borderId="0" xfId="17" applyFont="1" applyFill="1" applyAlignment="1">
      <alignment horizontal="left" vertical="top" wrapText="1"/>
    </xf>
    <xf numFmtId="0" fontId="8" fillId="3" borderId="0" xfId="17" applyFont="1" applyFill="1" applyAlignment="1">
      <alignment horizontal="left" vertical="top" wrapText="1"/>
    </xf>
    <xf numFmtId="0" fontId="18" fillId="3" borderId="0" xfId="17" applyFont="1" applyFill="1" applyAlignment="1">
      <alignment horizontal="left" vertical="top" wrapText="1"/>
    </xf>
    <xf numFmtId="0" fontId="7" fillId="3" borderId="0" xfId="17" applyFont="1" applyFill="1" applyAlignment="1">
      <alignment horizontal="left" vertical="top" wrapText="1"/>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2" xfId="25" xr:uid="{C3605104-C5B0-4D3F-801E-21CCC01441F2}"/>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1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3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3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2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4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3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1115909</xdr:colOff>
          <xdr:row>0</xdr:row>
          <xdr:rowOff>637290</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469"/>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83"/>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1646704</xdr:colOff>
          <xdr:row>0</xdr:row>
          <xdr:rowOff>658386</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01"/>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63500</xdr:colOff>
          <xdr:row>0</xdr:row>
          <xdr:rowOff>25400</xdr:rowOff>
        </xdr:from>
        <xdr:to>
          <xdr:col>1</xdr:col>
          <xdr:colOff>1701800</xdr:colOff>
          <xdr:row>1</xdr:row>
          <xdr:rowOff>107466</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86"/>
                </a:ext>
              </a:extLst>
            </xdr:cNvPicPr>
          </xdr:nvPicPr>
          <xdr:blipFill>
            <a:blip xmlns:r="http://schemas.openxmlformats.org/officeDocument/2006/relationships" r:embed="rId1"/>
            <a:srcRect/>
            <a:stretch>
              <a:fillRect/>
            </a:stretch>
          </xdr:blipFill>
          <xdr:spPr bwMode="auto">
            <a:xfrm>
              <a:off x="400050" y="25400"/>
              <a:ext cx="16414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559920</xdr:colOff>
          <xdr:row>1</xdr:row>
          <xdr:rowOff>373925</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547"/>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2"/>
  <sheetViews>
    <sheetView view="pageBreakPreview" zoomScaleSheetLayoutView="100" workbookViewId="0">
      <selection activeCell="D18" sqref="D18"/>
    </sheetView>
  </sheetViews>
  <sheetFormatPr defaultColWidth="9.1796875" defaultRowHeight="12.5"/>
  <cols>
    <col min="1" max="2" width="9.1796875" style="165"/>
    <col min="3" max="3" width="30.1796875" style="165" customWidth="1"/>
    <col min="4" max="4" width="30.81640625" style="165" customWidth="1"/>
    <col min="5" max="5" width="21.1796875" style="165" customWidth="1"/>
    <col min="6" max="9" width="9.1796875" style="165"/>
    <col min="10" max="10" width="11.81640625" style="165" customWidth="1"/>
    <col min="11" max="11" width="15" style="165" customWidth="1"/>
    <col min="12" max="16384" width="9.1796875" style="165"/>
  </cols>
  <sheetData>
    <row r="1" spans="1:11">
      <c r="A1" s="164" t="s">
        <v>0</v>
      </c>
      <c r="C1" s="269" t="s">
        <v>1601</v>
      </c>
      <c r="D1" s="270"/>
    </row>
    <row r="2" spans="1:11">
      <c r="C2" s="166" t="s">
        <v>1602</v>
      </c>
      <c r="D2" s="167"/>
    </row>
    <row r="3" spans="1:11">
      <c r="D3" s="168"/>
    </row>
    <row r="4" spans="1:11">
      <c r="A4" s="164" t="s">
        <v>1</v>
      </c>
      <c r="D4" s="168"/>
    </row>
    <row r="5" spans="1:11" ht="15" customHeight="1">
      <c r="C5" s="169" t="s">
        <v>2</v>
      </c>
      <c r="D5" s="273" t="s">
        <v>1603</v>
      </c>
      <c r="E5" s="273"/>
      <c r="F5" s="273"/>
      <c r="G5" s="273"/>
      <c r="H5" s="273"/>
      <c r="I5" s="273"/>
    </row>
    <row r="6" spans="1:11">
      <c r="C6" s="159" t="s">
        <v>15</v>
      </c>
      <c r="D6" s="272" t="s">
        <v>1604</v>
      </c>
      <c r="E6" s="272"/>
      <c r="F6" s="272"/>
      <c r="G6" s="272"/>
      <c r="H6" s="272"/>
      <c r="I6" s="272"/>
    </row>
    <row r="7" spans="1:11">
      <c r="C7" s="170" t="s">
        <v>3</v>
      </c>
      <c r="D7" s="273" t="s">
        <v>1605</v>
      </c>
      <c r="E7" s="273"/>
      <c r="F7" s="273"/>
      <c r="G7" s="273"/>
      <c r="H7" s="273"/>
      <c r="I7" s="273"/>
    </row>
    <row r="8" spans="1:11" ht="15" customHeight="1">
      <c r="C8" s="162" t="s">
        <v>4</v>
      </c>
      <c r="D8" s="272" t="s">
        <v>1606</v>
      </c>
      <c r="E8" s="272"/>
      <c r="F8" s="272"/>
      <c r="G8" s="272"/>
      <c r="H8" s="272"/>
      <c r="I8" s="272"/>
    </row>
    <row r="9" spans="1:11" ht="15" customHeight="1">
      <c r="C9" s="170" t="s">
        <v>5</v>
      </c>
      <c r="D9" s="273" t="s">
        <v>709</v>
      </c>
      <c r="E9" s="273"/>
      <c r="F9" s="273"/>
      <c r="G9" s="273"/>
      <c r="H9" s="273"/>
      <c r="I9" s="273"/>
    </row>
    <row r="10" spans="1:11" ht="15" customHeight="1">
      <c r="C10" s="171" t="s">
        <v>6</v>
      </c>
      <c r="D10" s="272" t="s">
        <v>1619</v>
      </c>
      <c r="E10" s="272"/>
      <c r="F10" s="272"/>
      <c r="G10" s="272"/>
      <c r="H10" s="272"/>
      <c r="I10" s="272"/>
    </row>
    <row r="11" spans="1:11">
      <c r="C11" s="172" t="s">
        <v>7</v>
      </c>
      <c r="D11" s="273" t="s">
        <v>1668</v>
      </c>
      <c r="E11" s="273"/>
      <c r="F11" s="273"/>
      <c r="G11" s="273"/>
      <c r="H11" s="273"/>
      <c r="I11" s="273"/>
    </row>
    <row r="12" spans="1:11">
      <c r="C12" s="5" t="s">
        <v>8</v>
      </c>
      <c r="D12" s="271" t="s">
        <v>1669</v>
      </c>
      <c r="E12" s="272"/>
      <c r="F12" s="272"/>
      <c r="G12" s="272"/>
      <c r="H12" s="272"/>
      <c r="I12" s="272"/>
    </row>
    <row r="13" spans="1:11">
      <c r="D13" s="168"/>
    </row>
    <row r="14" spans="1:11">
      <c r="A14" s="164" t="s">
        <v>9</v>
      </c>
      <c r="D14" s="168"/>
    </row>
    <row r="15" spans="1:11">
      <c r="D15" s="168"/>
    </row>
    <row r="16" spans="1:11">
      <c r="C16" s="173" t="s">
        <v>10</v>
      </c>
      <c r="D16" s="174"/>
      <c r="F16" s="173" t="s">
        <v>11</v>
      </c>
      <c r="G16" s="175"/>
      <c r="H16" s="175"/>
      <c r="I16" s="175"/>
      <c r="J16" s="175"/>
      <c r="K16" s="176"/>
    </row>
    <row r="17" spans="2:11">
      <c r="C17" s="177" t="s">
        <v>12</v>
      </c>
      <c r="D17" s="178"/>
      <c r="F17" s="177" t="s">
        <v>13</v>
      </c>
      <c r="G17" s="179"/>
      <c r="H17" s="179"/>
      <c r="I17" s="179"/>
      <c r="J17" s="179"/>
      <c r="K17" s="180"/>
    </row>
    <row r="18" spans="2:11">
      <c r="C18" s="181"/>
      <c r="D18" s="178"/>
      <c r="F18" s="181"/>
      <c r="G18" s="179"/>
      <c r="H18" s="179"/>
      <c r="I18" s="179"/>
      <c r="J18" s="179"/>
      <c r="K18" s="180"/>
    </row>
    <row r="19" spans="2:11">
      <c r="C19" s="182" t="s">
        <v>14</v>
      </c>
      <c r="D19" s="178"/>
      <c r="F19" s="182" t="str">
        <f>D5</f>
        <v>Công ty Cổ phần Quản lý Quỹ Đầu tư Dragon Capital Việt Nam</v>
      </c>
      <c r="G19" s="179"/>
      <c r="H19" s="179"/>
      <c r="I19" s="179"/>
      <c r="J19" s="179"/>
      <c r="K19" s="180"/>
    </row>
    <row r="20" spans="2:11">
      <c r="C20" s="183" t="s">
        <v>1607</v>
      </c>
      <c r="D20" s="178"/>
      <c r="F20" s="182" t="s">
        <v>1608</v>
      </c>
      <c r="G20" s="179"/>
      <c r="H20" s="179"/>
      <c r="I20" s="179"/>
      <c r="J20" s="179"/>
      <c r="K20" s="180"/>
    </row>
    <row r="21" spans="2:11">
      <c r="C21" s="184" t="s">
        <v>1609</v>
      </c>
      <c r="D21" s="167"/>
      <c r="F21" s="185" t="s">
        <v>1610</v>
      </c>
      <c r="G21" s="186"/>
      <c r="H21" s="186"/>
      <c r="I21" s="186"/>
      <c r="J21" s="186"/>
      <c r="K21" s="187"/>
    </row>
    <row r="22" spans="2:11">
      <c r="D22" s="168"/>
    </row>
    <row r="23" spans="2:11">
      <c r="D23" s="168"/>
    </row>
    <row r="24" spans="2:11">
      <c r="D24" s="168"/>
    </row>
    <row r="25" spans="2:11">
      <c r="D25" s="168"/>
    </row>
    <row r="26" spans="2:11" ht="15.5">
      <c r="B26" s="256" t="s">
        <v>1626</v>
      </c>
      <c r="C26" s="256" t="s">
        <v>1627</v>
      </c>
      <c r="D26" s="257" t="s">
        <v>1628</v>
      </c>
    </row>
    <row r="27" spans="2:11" ht="15.5">
      <c r="B27" s="256" t="s">
        <v>1238</v>
      </c>
      <c r="C27" s="256" t="s">
        <v>1629</v>
      </c>
      <c r="D27" s="257"/>
    </row>
    <row r="28" spans="2:11" ht="15.5">
      <c r="B28" s="258" t="s">
        <v>1630</v>
      </c>
      <c r="C28" s="258" t="s">
        <v>1631</v>
      </c>
      <c r="D28" s="259" t="s">
        <v>1632</v>
      </c>
    </row>
    <row r="29" spans="2:11" ht="15.5">
      <c r="B29" s="258" t="s">
        <v>1633</v>
      </c>
      <c r="C29" s="258" t="s">
        <v>1634</v>
      </c>
      <c r="D29" s="259" t="s">
        <v>1635</v>
      </c>
    </row>
    <row r="30" spans="2:11" ht="15.5">
      <c r="B30" s="258" t="s">
        <v>1636</v>
      </c>
      <c r="C30" s="260" t="s">
        <v>1637</v>
      </c>
      <c r="D30" s="261" t="s">
        <v>1638</v>
      </c>
    </row>
    <row r="31" spans="2:11" ht="31">
      <c r="B31" s="258" t="s">
        <v>1639</v>
      </c>
      <c r="C31" s="260" t="s">
        <v>1640</v>
      </c>
      <c r="D31" s="261" t="s">
        <v>1641</v>
      </c>
    </row>
    <row r="32" spans="2:11" ht="15.5">
      <c r="B32" s="258" t="s">
        <v>1642</v>
      </c>
      <c r="C32" s="260" t="s">
        <v>1643</v>
      </c>
      <c r="D32" s="261" t="s">
        <v>1644</v>
      </c>
    </row>
    <row r="33" spans="2:4" ht="15.5">
      <c r="B33" s="258" t="s">
        <v>1645</v>
      </c>
      <c r="C33" s="258" t="s">
        <v>1646</v>
      </c>
      <c r="D33" s="261" t="s">
        <v>1647</v>
      </c>
    </row>
    <row r="34" spans="2:4" ht="46.5">
      <c r="B34" s="258">
        <v>5</v>
      </c>
      <c r="C34" s="260" t="s">
        <v>1648</v>
      </c>
      <c r="D34" s="261" t="s">
        <v>1649</v>
      </c>
    </row>
    <row r="35" spans="2:4" ht="15.5">
      <c r="B35" s="258">
        <v>6</v>
      </c>
      <c r="C35" s="258" t="s">
        <v>1650</v>
      </c>
      <c r="D35" s="261" t="s">
        <v>1651</v>
      </c>
    </row>
    <row r="36" spans="2:4" ht="15.5">
      <c r="B36" s="258">
        <v>7</v>
      </c>
      <c r="C36" s="258" t="s">
        <v>1652</v>
      </c>
      <c r="D36" s="261" t="s">
        <v>1653</v>
      </c>
    </row>
    <row r="37" spans="2:4" ht="46.5">
      <c r="B37" s="258">
        <v>8</v>
      </c>
      <c r="C37" s="260" t="s">
        <v>1654</v>
      </c>
      <c r="D37" s="261" t="s">
        <v>1655</v>
      </c>
    </row>
    <row r="38" spans="2:4" ht="15.5">
      <c r="B38" s="258">
        <v>9</v>
      </c>
      <c r="C38" s="258" t="s">
        <v>1637</v>
      </c>
      <c r="D38" s="261" t="s">
        <v>1656</v>
      </c>
    </row>
    <row r="39" spans="2:4" ht="15.5">
      <c r="B39" s="262">
        <v>10</v>
      </c>
      <c r="C39" s="263" t="s">
        <v>1657</v>
      </c>
      <c r="D39" s="264" t="s">
        <v>1658</v>
      </c>
    </row>
    <row r="40" spans="2:4" ht="15.5">
      <c r="B40" s="258">
        <v>11</v>
      </c>
      <c r="C40" s="263" t="s">
        <v>1659</v>
      </c>
      <c r="D40" s="264" t="s">
        <v>1660</v>
      </c>
    </row>
    <row r="41" spans="2:4" ht="15.5">
      <c r="B41" s="262">
        <v>12</v>
      </c>
      <c r="C41" s="263" t="s">
        <v>1661</v>
      </c>
      <c r="D41" s="264" t="s">
        <v>1662</v>
      </c>
    </row>
    <row r="42" spans="2:4" ht="46.5">
      <c r="B42" s="258" t="s">
        <v>1268</v>
      </c>
      <c r="C42" s="265" t="s">
        <v>1663</v>
      </c>
      <c r="D42" s="264" t="s">
        <v>1664</v>
      </c>
    </row>
  </sheetData>
  <mergeCells count="9">
    <mergeCell ref="C1:D1"/>
    <mergeCell ref="D12:I12"/>
    <mergeCell ref="D11:I11"/>
    <mergeCell ref="D10:I10"/>
    <mergeCell ref="D9:I9"/>
    <mergeCell ref="D8:I8"/>
    <mergeCell ref="D7:I7"/>
    <mergeCell ref="D6:I6"/>
    <mergeCell ref="D5:I5"/>
  </mergeCells>
  <hyperlinks>
    <hyperlink ref="D30" location="BCThuNhap_06203!A1" display="BCThuNhap_06203" xr:uid="{6880166D-9778-4373-9E40-22C9D91A2073}"/>
    <hyperlink ref="D31" location="BCTinhHinhTaiChinh_06105!A1" display="BCTinhHinhTaiChinh_06105" xr:uid="{E83EC59F-52A5-4016-8CF0-71B828133CC4}"/>
    <hyperlink ref="D32" location="BCLCGT_06262!A1" display="BCLCGT_06262" xr:uid="{053549C4-BB0B-4C7B-AF60-5847B9D9C3DD}"/>
  </hyperlink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zoomScaleNormal="100" zoomScaleSheetLayoutView="100" workbookViewId="0">
      <selection activeCell="D18" sqref="D18"/>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75" t="s">
        <v>683</v>
      </c>
      <c r="B1" s="275"/>
      <c r="C1" s="275"/>
      <c r="D1" s="275"/>
      <c r="E1" s="275"/>
      <c r="F1" s="275"/>
    </row>
    <row r="2" spans="1:6" s="5" customFormat="1" ht="50.5" customHeight="1">
      <c r="A2" s="276" t="s">
        <v>684</v>
      </c>
      <c r="B2" s="276"/>
      <c r="C2" s="276"/>
      <c r="D2" s="276"/>
      <c r="E2" s="276"/>
      <c r="F2" s="276"/>
    </row>
    <row r="3" spans="1:6" s="5" customFormat="1">
      <c r="A3" s="277" t="s">
        <v>631</v>
      </c>
      <c r="B3" s="277"/>
      <c r="C3" s="277"/>
      <c r="D3" s="277"/>
      <c r="E3" s="277"/>
      <c r="F3" s="277"/>
    </row>
    <row r="4" spans="1:6" s="5" customFormat="1" ht="32.65" customHeight="1">
      <c r="A4" s="277"/>
      <c r="B4" s="277"/>
      <c r="C4" s="277"/>
      <c r="D4" s="277"/>
      <c r="E4" s="277"/>
      <c r="F4" s="277"/>
    </row>
    <row r="5" spans="1:6" s="5" customFormat="1" ht="16.899999999999999" customHeight="1">
      <c r="A5" s="278" t="s">
        <v>1601</v>
      </c>
      <c r="B5" s="278"/>
      <c r="C5" s="278"/>
      <c r="D5" s="278"/>
      <c r="E5" s="278"/>
      <c r="F5" s="278"/>
    </row>
    <row r="6" spans="1:6">
      <c r="A6" s="15"/>
      <c r="B6" s="15"/>
      <c r="C6" s="15"/>
      <c r="D6" s="15"/>
      <c r="E6" s="15"/>
      <c r="F6" s="15"/>
    </row>
    <row r="7" spans="1:6" ht="16.899999999999999" customHeight="1">
      <c r="A7" s="274" t="s">
        <v>2</v>
      </c>
      <c r="B7" s="274"/>
      <c r="C7" s="274" t="s">
        <v>1603</v>
      </c>
      <c r="D7" s="274"/>
      <c r="E7" s="274"/>
      <c r="F7" s="274"/>
    </row>
    <row r="8" spans="1:6" s="5" customFormat="1" ht="16.899999999999999" customHeight="1">
      <c r="A8" s="272" t="s">
        <v>15</v>
      </c>
      <c r="B8" s="272"/>
      <c r="C8" s="272" t="s">
        <v>1604</v>
      </c>
      <c r="D8" s="272"/>
      <c r="E8" s="272"/>
      <c r="F8" s="272"/>
    </row>
    <row r="9" spans="1:6" ht="16.899999999999999" customHeight="1">
      <c r="A9" s="274" t="s">
        <v>3</v>
      </c>
      <c r="B9" s="274"/>
      <c r="C9" s="274" t="s">
        <v>1605</v>
      </c>
      <c r="D9" s="274"/>
      <c r="E9" s="274"/>
      <c r="F9" s="274"/>
    </row>
    <row r="10" spans="1:6" s="5" customFormat="1" ht="16.899999999999999" customHeight="1">
      <c r="A10" s="272" t="s">
        <v>4</v>
      </c>
      <c r="B10" s="272"/>
      <c r="C10" s="272" t="s">
        <v>1606</v>
      </c>
      <c r="D10" s="272"/>
      <c r="E10" s="272"/>
      <c r="F10" s="272"/>
    </row>
    <row r="11" spans="1:6" ht="16.899999999999999" customHeight="1">
      <c r="A11" s="274" t="s">
        <v>5</v>
      </c>
      <c r="B11" s="274"/>
      <c r="C11" s="274" t="s">
        <v>709</v>
      </c>
      <c r="D11" s="274"/>
      <c r="E11" s="274"/>
      <c r="F11" s="274"/>
    </row>
    <row r="12" spans="1:6" s="5" customFormat="1" ht="16.899999999999999" customHeight="1">
      <c r="A12" s="272" t="s">
        <v>6</v>
      </c>
      <c r="B12" s="272"/>
      <c r="C12" s="272" t="s">
        <v>1619</v>
      </c>
      <c r="D12" s="272"/>
      <c r="E12" s="272"/>
      <c r="F12" s="272"/>
    </row>
    <row r="13" spans="1:6" ht="16.899999999999999" customHeight="1">
      <c r="A13" s="274" t="s">
        <v>7</v>
      </c>
      <c r="B13" s="274"/>
      <c r="C13" s="274" t="s">
        <v>1668</v>
      </c>
      <c r="D13" s="274"/>
      <c r="E13" s="274"/>
      <c r="F13" s="274"/>
    </row>
    <row r="14" spans="1:6" s="5" customFormat="1" ht="16.899999999999999" customHeight="1">
      <c r="A14" s="272" t="s">
        <v>8</v>
      </c>
      <c r="B14" s="272"/>
      <c r="C14" s="272" t="s">
        <v>1669</v>
      </c>
      <c r="D14" s="272"/>
      <c r="E14" s="272"/>
      <c r="F14" s="272"/>
    </row>
    <row r="15" spans="1:6" s="5" customFormat="1" ht="7.5" customHeight="1">
      <c r="A15" s="14"/>
      <c r="B15" s="14"/>
      <c r="C15" s="14"/>
      <c r="D15" s="14"/>
      <c r="E15" s="14"/>
      <c r="F15" s="14"/>
    </row>
    <row r="16" spans="1:6" s="5" customFormat="1" ht="16.899999999999999" customHeight="1">
      <c r="A16" s="129" t="s">
        <v>681</v>
      </c>
      <c r="B16" s="130" t="s">
        <v>682</v>
      </c>
      <c r="C16" s="14"/>
      <c r="D16" s="14"/>
      <c r="E16" s="14"/>
      <c r="F16" s="14"/>
    </row>
    <row r="17" spans="1:6" s="5" customFormat="1" ht="16.899999999999999" customHeight="1">
      <c r="A17" s="131" t="s">
        <v>16</v>
      </c>
      <c r="B17" s="132" t="s">
        <v>632</v>
      </c>
      <c r="C17" s="14"/>
      <c r="D17" s="14"/>
      <c r="E17" s="14"/>
      <c r="F17" s="14"/>
    </row>
    <row r="18" spans="1:6" s="5" customFormat="1" ht="50.65" customHeight="1">
      <c r="A18" s="13" t="s">
        <v>17</v>
      </c>
      <c r="B18" s="11" t="s">
        <v>18</v>
      </c>
      <c r="C18" s="13" t="s">
        <v>19</v>
      </c>
      <c r="D18" s="12" t="s">
        <v>1611</v>
      </c>
      <c r="E18" s="12" t="s">
        <v>1612</v>
      </c>
      <c r="F18" s="89" t="s">
        <v>20</v>
      </c>
    </row>
    <row r="19" spans="1:6" ht="39" customHeight="1">
      <c r="A19" s="242" t="s">
        <v>1270</v>
      </c>
      <c r="B19" s="241" t="s">
        <v>1271</v>
      </c>
      <c r="C19" s="242" t="s">
        <v>1272</v>
      </c>
      <c r="D19" s="244"/>
      <c r="E19" s="244"/>
      <c r="F19" s="243"/>
    </row>
    <row r="20" spans="1:6" ht="39" customHeight="1">
      <c r="A20" s="237" t="s">
        <v>1273</v>
      </c>
      <c r="B20" s="236" t="s">
        <v>1274</v>
      </c>
      <c r="C20" s="237" t="s">
        <v>1275</v>
      </c>
      <c r="D20" s="240">
        <v>31183889594</v>
      </c>
      <c r="E20" s="240">
        <v>16631004659</v>
      </c>
      <c r="F20" s="239">
        <v>1.87504544875012</v>
      </c>
    </row>
    <row r="21" spans="1:6" ht="39" customHeight="1">
      <c r="A21" s="237" t="s">
        <v>1276</v>
      </c>
      <c r="B21" s="236" t="s">
        <v>1277</v>
      </c>
      <c r="C21" s="237" t="s">
        <v>1278</v>
      </c>
      <c r="D21" s="240"/>
      <c r="E21" s="240"/>
      <c r="F21" s="239"/>
    </row>
    <row r="22" spans="1:6" ht="39" customHeight="1">
      <c r="A22" s="237" t="s">
        <v>1279</v>
      </c>
      <c r="B22" s="236" t="s">
        <v>1280</v>
      </c>
      <c r="C22" s="237" t="s">
        <v>1281</v>
      </c>
      <c r="D22" s="240" t="s">
        <v>1282</v>
      </c>
      <c r="E22" s="240" t="s">
        <v>1283</v>
      </c>
      <c r="F22" s="239" t="s">
        <v>1284</v>
      </c>
    </row>
    <row r="23" spans="1:6" ht="39" customHeight="1">
      <c r="A23" s="237" t="s">
        <v>1285</v>
      </c>
      <c r="B23" s="236" t="s">
        <v>1286</v>
      </c>
      <c r="C23" s="237" t="s">
        <v>1287</v>
      </c>
      <c r="D23" s="240">
        <v>31183889594</v>
      </c>
      <c r="E23" s="240">
        <v>16631004659</v>
      </c>
      <c r="F23" s="239">
        <v>1.87504544875012</v>
      </c>
    </row>
    <row r="24" spans="1:6" ht="39" customHeight="1">
      <c r="A24" s="237" t="s">
        <v>1288</v>
      </c>
      <c r="B24" s="236" t="s">
        <v>1289</v>
      </c>
      <c r="C24" s="237" t="s">
        <v>1290</v>
      </c>
      <c r="D24" s="240" t="s">
        <v>1291</v>
      </c>
      <c r="E24" s="240" t="s">
        <v>1292</v>
      </c>
      <c r="F24" s="239" t="s">
        <v>1293</v>
      </c>
    </row>
    <row r="25" spans="1:6" ht="48" customHeight="1">
      <c r="A25" s="237" t="s">
        <v>1294</v>
      </c>
      <c r="B25" s="236" t="s">
        <v>1295</v>
      </c>
      <c r="C25" s="237" t="s">
        <v>1296</v>
      </c>
      <c r="D25" s="240">
        <v>1000000</v>
      </c>
      <c r="E25" s="240">
        <v>0</v>
      </c>
      <c r="F25" s="239"/>
    </row>
    <row r="26" spans="1:6" ht="45" customHeight="1">
      <c r="A26" s="237" t="s">
        <v>1297</v>
      </c>
      <c r="B26" s="236" t="s">
        <v>1298</v>
      </c>
      <c r="C26" s="237" t="s">
        <v>1299</v>
      </c>
      <c r="D26" s="240">
        <v>5488517</v>
      </c>
      <c r="E26" s="240">
        <v>20171460</v>
      </c>
      <c r="F26" s="239">
        <v>0.27209319503893098</v>
      </c>
    </row>
    <row r="27" spans="1:6" ht="42" customHeight="1">
      <c r="A27" s="237" t="s">
        <v>1300</v>
      </c>
      <c r="B27" s="236" t="s">
        <v>1301</v>
      </c>
      <c r="C27" s="237" t="s">
        <v>1302</v>
      </c>
      <c r="D27" s="240">
        <v>21177401077</v>
      </c>
      <c r="E27" s="240">
        <v>16610833199</v>
      </c>
      <c r="F27" s="239">
        <v>1.2749150402807601</v>
      </c>
    </row>
    <row r="28" spans="1:6" ht="48" customHeight="1">
      <c r="A28" s="237" t="s">
        <v>1303</v>
      </c>
      <c r="B28" s="236" t="s">
        <v>1304</v>
      </c>
      <c r="C28" s="237" t="s">
        <v>1305</v>
      </c>
      <c r="D28" s="240">
        <v>0</v>
      </c>
      <c r="E28" s="240">
        <v>0</v>
      </c>
      <c r="F28" s="239"/>
    </row>
    <row r="29" spans="1:6" ht="39" customHeight="1">
      <c r="A29" s="237" t="s">
        <v>1306</v>
      </c>
      <c r="B29" s="236" t="s">
        <v>1307</v>
      </c>
      <c r="C29" s="237" t="s">
        <v>1308</v>
      </c>
      <c r="D29" s="240">
        <v>10000000000</v>
      </c>
      <c r="E29" s="240">
        <v>0</v>
      </c>
      <c r="F29" s="239"/>
    </row>
    <row r="30" spans="1:6" ht="39" customHeight="1">
      <c r="A30" s="237" t="s">
        <v>1309</v>
      </c>
      <c r="B30" s="236" t="s">
        <v>1310</v>
      </c>
      <c r="C30" s="237" t="s">
        <v>1311</v>
      </c>
      <c r="D30" s="240">
        <v>354334000000</v>
      </c>
      <c r="E30" s="240">
        <v>500793084500</v>
      </c>
      <c r="F30" s="239">
        <v>0.70754571292407697</v>
      </c>
    </row>
    <row r="31" spans="1:6" ht="39" customHeight="1">
      <c r="A31" s="237" t="s">
        <v>1312</v>
      </c>
      <c r="B31" s="236" t="s">
        <v>1313</v>
      </c>
      <c r="C31" s="237" t="s">
        <v>1314</v>
      </c>
      <c r="D31" s="240" t="s">
        <v>1315</v>
      </c>
      <c r="E31" s="240" t="s">
        <v>1316</v>
      </c>
      <c r="F31" s="239" t="s">
        <v>1317</v>
      </c>
    </row>
    <row r="32" spans="1:6" ht="39" customHeight="1">
      <c r="A32" s="237" t="s">
        <v>1318</v>
      </c>
      <c r="B32" s="236" t="s">
        <v>1319</v>
      </c>
      <c r="C32" s="237" t="s">
        <v>1320</v>
      </c>
      <c r="D32" s="240">
        <v>354334000000</v>
      </c>
      <c r="E32" s="240">
        <v>500793084500</v>
      </c>
      <c r="F32" s="239">
        <v>0.70754571292407697</v>
      </c>
    </row>
    <row r="33" spans="1:6" ht="39" customHeight="1">
      <c r="A33" s="237" t="s">
        <v>1321</v>
      </c>
      <c r="B33" s="236" t="s">
        <v>1322</v>
      </c>
      <c r="C33" s="237" t="s">
        <v>1323</v>
      </c>
      <c r="D33" s="240">
        <v>0</v>
      </c>
      <c r="E33" s="240">
        <v>0</v>
      </c>
      <c r="F33" s="239"/>
    </row>
    <row r="34" spans="1:6" ht="39" customHeight="1">
      <c r="A34" s="237" t="s">
        <v>1324</v>
      </c>
      <c r="B34" s="236" t="s">
        <v>1325</v>
      </c>
      <c r="C34" s="237" t="s">
        <v>1326</v>
      </c>
      <c r="D34" s="240">
        <v>0</v>
      </c>
      <c r="E34" s="240">
        <v>0</v>
      </c>
      <c r="F34" s="239"/>
    </row>
    <row r="35" spans="1:6" ht="39" customHeight="1">
      <c r="A35" s="237" t="s">
        <v>1327</v>
      </c>
      <c r="B35" s="236" t="s">
        <v>1328</v>
      </c>
      <c r="C35" s="237" t="s">
        <v>1329</v>
      </c>
      <c r="D35" s="240">
        <v>0</v>
      </c>
      <c r="E35" s="240">
        <v>0</v>
      </c>
      <c r="F35" s="239"/>
    </row>
    <row r="36" spans="1:6" ht="39" customHeight="1">
      <c r="A36" s="237" t="s">
        <v>1330</v>
      </c>
      <c r="B36" s="236" t="s">
        <v>1331</v>
      </c>
      <c r="C36" s="237" t="s">
        <v>1332</v>
      </c>
      <c r="D36" s="240">
        <v>0</v>
      </c>
      <c r="E36" s="240">
        <v>0</v>
      </c>
      <c r="F36" s="239"/>
    </row>
    <row r="37" spans="1:6" ht="39" customHeight="1">
      <c r="A37" s="237" t="s">
        <v>1333</v>
      </c>
      <c r="B37" s="236" t="s">
        <v>1334</v>
      </c>
      <c r="C37" s="237" t="s">
        <v>1335</v>
      </c>
      <c r="D37" s="240">
        <v>0</v>
      </c>
      <c r="E37" s="240">
        <v>0</v>
      </c>
      <c r="F37" s="239"/>
    </row>
    <row r="38" spans="1:6" ht="39" customHeight="1">
      <c r="A38" s="237" t="s">
        <v>1336</v>
      </c>
      <c r="B38" s="236" t="s">
        <v>1337</v>
      </c>
      <c r="C38" s="237" t="s">
        <v>1338</v>
      </c>
      <c r="D38" s="240">
        <v>0</v>
      </c>
      <c r="E38" s="240">
        <v>0</v>
      </c>
      <c r="F38" s="239"/>
    </row>
    <row r="39" spans="1:6" ht="39" customHeight="1">
      <c r="A39" s="237" t="s">
        <v>1339</v>
      </c>
      <c r="B39" s="236" t="s">
        <v>1340</v>
      </c>
      <c r="C39" s="237" t="s">
        <v>1341</v>
      </c>
      <c r="D39" s="240">
        <v>0</v>
      </c>
      <c r="E39" s="240">
        <v>0</v>
      </c>
      <c r="F39" s="239"/>
    </row>
    <row r="40" spans="1:6" ht="39" customHeight="1">
      <c r="A40" s="237" t="s">
        <v>1342</v>
      </c>
      <c r="B40" s="236" t="s">
        <v>1343</v>
      </c>
      <c r="C40" s="237" t="s">
        <v>1344</v>
      </c>
      <c r="D40" s="240">
        <v>0</v>
      </c>
      <c r="E40" s="240">
        <v>0</v>
      </c>
      <c r="F40" s="239"/>
    </row>
    <row r="41" spans="1:6" ht="39" customHeight="1">
      <c r="A41" s="237" t="s">
        <v>1345</v>
      </c>
      <c r="B41" s="236" t="s">
        <v>1346</v>
      </c>
      <c r="C41" s="237" t="s">
        <v>1347</v>
      </c>
      <c r="D41" s="240">
        <v>0</v>
      </c>
      <c r="E41" s="240">
        <v>0</v>
      </c>
      <c r="F41" s="239"/>
    </row>
    <row r="42" spans="1:6" ht="39" customHeight="1">
      <c r="A42" s="237" t="s">
        <v>1348</v>
      </c>
      <c r="B42" s="236" t="s">
        <v>1349</v>
      </c>
      <c r="C42" s="237" t="s">
        <v>1350</v>
      </c>
      <c r="D42" s="240" t="s">
        <v>1351</v>
      </c>
      <c r="E42" s="240" t="s">
        <v>1352</v>
      </c>
      <c r="F42" s="239" t="s">
        <v>1353</v>
      </c>
    </row>
    <row r="43" spans="1:6" ht="39" customHeight="1">
      <c r="A43" s="237" t="s">
        <v>1354</v>
      </c>
      <c r="B43" s="236" t="s">
        <v>1355</v>
      </c>
      <c r="C43" s="237" t="s">
        <v>1356</v>
      </c>
      <c r="D43" s="240">
        <v>584000000</v>
      </c>
      <c r="E43" s="240">
        <v>222100000</v>
      </c>
      <c r="F43" s="239">
        <v>2.6294461954074699</v>
      </c>
    </row>
    <row r="44" spans="1:6" ht="39" customHeight="1">
      <c r="A44" s="237" t="s">
        <v>1357</v>
      </c>
      <c r="B44" s="236" t="s">
        <v>1358</v>
      </c>
      <c r="C44" s="237" t="s">
        <v>1359</v>
      </c>
      <c r="D44" s="240" t="s">
        <v>1360</v>
      </c>
      <c r="E44" s="240" t="s">
        <v>1361</v>
      </c>
      <c r="F44" s="239" t="s">
        <v>1362</v>
      </c>
    </row>
    <row r="45" spans="1:6" ht="39" customHeight="1">
      <c r="A45" s="237" t="s">
        <v>1363</v>
      </c>
      <c r="B45" s="236" t="s">
        <v>1364</v>
      </c>
      <c r="C45" s="237" t="s">
        <v>1365</v>
      </c>
      <c r="D45" s="240">
        <v>584000000</v>
      </c>
      <c r="E45" s="240">
        <v>222100000</v>
      </c>
      <c r="F45" s="239">
        <v>2.6294461954074699</v>
      </c>
    </row>
    <row r="46" spans="1:6" ht="39" customHeight="1">
      <c r="A46" s="237" t="s">
        <v>1366</v>
      </c>
      <c r="B46" s="236" t="s">
        <v>1367</v>
      </c>
      <c r="C46" s="237" t="s">
        <v>1368</v>
      </c>
      <c r="D46" s="240">
        <v>0</v>
      </c>
      <c r="E46" s="240">
        <v>0</v>
      </c>
      <c r="F46" s="239"/>
    </row>
    <row r="47" spans="1:6" ht="39" customHeight="1">
      <c r="A47" s="237" t="s">
        <v>1369</v>
      </c>
      <c r="B47" s="236" t="s">
        <v>1370</v>
      </c>
      <c r="C47" s="237" t="s">
        <v>1371</v>
      </c>
      <c r="D47" s="240">
        <v>18082192</v>
      </c>
      <c r="E47" s="240">
        <v>0</v>
      </c>
      <c r="F47" s="239"/>
    </row>
    <row r="48" spans="1:6" ht="39" customHeight="1">
      <c r="A48" s="237" t="s">
        <v>1372</v>
      </c>
      <c r="B48" s="236" t="s">
        <v>1373</v>
      </c>
      <c r="C48" s="237" t="s">
        <v>1374</v>
      </c>
      <c r="D48" s="240" t="s">
        <v>1375</v>
      </c>
      <c r="E48" s="240" t="s">
        <v>1376</v>
      </c>
      <c r="F48" s="239" t="s">
        <v>1377</v>
      </c>
    </row>
    <row r="49" spans="1:6" ht="39" customHeight="1">
      <c r="A49" s="237" t="s">
        <v>1378</v>
      </c>
      <c r="B49" s="236" t="s">
        <v>1379</v>
      </c>
      <c r="C49" s="237" t="s">
        <v>1380</v>
      </c>
      <c r="D49" s="240">
        <v>18082192</v>
      </c>
      <c r="E49" s="240">
        <v>0</v>
      </c>
      <c r="F49" s="239"/>
    </row>
    <row r="50" spans="1:6" ht="39" customHeight="1">
      <c r="A50" s="237" t="s">
        <v>1381</v>
      </c>
      <c r="B50" s="236" t="s">
        <v>1382</v>
      </c>
      <c r="C50" s="237" t="s">
        <v>1383</v>
      </c>
      <c r="D50" s="240">
        <v>0</v>
      </c>
      <c r="E50" s="240">
        <v>0</v>
      </c>
      <c r="F50" s="239"/>
    </row>
    <row r="51" spans="1:6" ht="39" customHeight="1">
      <c r="A51" s="237" t="s">
        <v>1384</v>
      </c>
      <c r="B51" s="236" t="s">
        <v>1385</v>
      </c>
      <c r="C51" s="237" t="s">
        <v>1386</v>
      </c>
      <c r="D51" s="240">
        <v>0</v>
      </c>
      <c r="E51" s="240">
        <v>0</v>
      </c>
      <c r="F51" s="239"/>
    </row>
    <row r="52" spans="1:6" ht="39" customHeight="1">
      <c r="A52" s="237" t="s">
        <v>1387</v>
      </c>
      <c r="B52" s="236" t="s">
        <v>1388</v>
      </c>
      <c r="C52" s="237" t="s">
        <v>1389</v>
      </c>
      <c r="D52" s="240">
        <v>0</v>
      </c>
      <c r="E52" s="240">
        <v>0</v>
      </c>
      <c r="F52" s="239"/>
    </row>
    <row r="53" spans="1:6" ht="39" customHeight="1">
      <c r="A53" s="237" t="s">
        <v>1390</v>
      </c>
      <c r="B53" s="236" t="s">
        <v>1391</v>
      </c>
      <c r="C53" s="237" t="s">
        <v>1392</v>
      </c>
      <c r="D53" s="240" t="s">
        <v>1393</v>
      </c>
      <c r="E53" s="240" t="s">
        <v>1394</v>
      </c>
      <c r="F53" s="239" t="s">
        <v>1395</v>
      </c>
    </row>
    <row r="54" spans="1:6" ht="39" customHeight="1">
      <c r="A54" s="237" t="s">
        <v>1396</v>
      </c>
      <c r="B54" s="236" t="s">
        <v>1397</v>
      </c>
      <c r="C54" s="237" t="s">
        <v>1398</v>
      </c>
      <c r="D54" s="240">
        <v>1346000000</v>
      </c>
      <c r="E54" s="240">
        <v>0</v>
      </c>
      <c r="F54" s="239"/>
    </row>
    <row r="55" spans="1:6" ht="39" customHeight="1">
      <c r="A55" s="237" t="s">
        <v>1399</v>
      </c>
      <c r="B55" s="236" t="s">
        <v>1400</v>
      </c>
      <c r="C55" s="237" t="s">
        <v>1401</v>
      </c>
      <c r="D55" s="240" t="s">
        <v>1402</v>
      </c>
      <c r="E55" s="240" t="s">
        <v>1403</v>
      </c>
      <c r="F55" s="239" t="s">
        <v>1404</v>
      </c>
    </row>
    <row r="56" spans="1:6" ht="39" customHeight="1">
      <c r="A56" s="237" t="s">
        <v>1405</v>
      </c>
      <c r="B56" s="236" t="s">
        <v>1406</v>
      </c>
      <c r="C56" s="237" t="s">
        <v>1407</v>
      </c>
      <c r="D56" s="240">
        <v>0</v>
      </c>
      <c r="E56" s="240">
        <v>0</v>
      </c>
      <c r="F56" s="239"/>
    </row>
    <row r="57" spans="1:6" ht="39" customHeight="1">
      <c r="A57" s="237" t="s">
        <v>1408</v>
      </c>
      <c r="B57" s="236" t="s">
        <v>1409</v>
      </c>
      <c r="C57" s="237" t="s">
        <v>1410</v>
      </c>
      <c r="D57" s="240" t="s">
        <v>1411</v>
      </c>
      <c r="E57" s="240" t="s">
        <v>1412</v>
      </c>
      <c r="F57" s="239" t="s">
        <v>1413</v>
      </c>
    </row>
    <row r="58" spans="1:6" ht="39" customHeight="1">
      <c r="A58" s="237" t="s">
        <v>1414</v>
      </c>
      <c r="B58" s="236" t="s">
        <v>1415</v>
      </c>
      <c r="C58" s="237" t="s">
        <v>1416</v>
      </c>
      <c r="D58" s="240">
        <v>0</v>
      </c>
      <c r="E58" s="240">
        <v>0</v>
      </c>
      <c r="F58" s="239"/>
    </row>
    <row r="59" spans="1:6" ht="39" customHeight="1">
      <c r="A59" s="237" t="s">
        <v>1417</v>
      </c>
      <c r="B59" s="236" t="s">
        <v>1418</v>
      </c>
      <c r="C59" s="237" t="s">
        <v>1419</v>
      </c>
      <c r="D59" s="240">
        <v>0</v>
      </c>
      <c r="E59" s="240">
        <v>0</v>
      </c>
      <c r="F59" s="239"/>
    </row>
    <row r="60" spans="1:6" ht="39" customHeight="1">
      <c r="A60" s="237" t="s">
        <v>1420</v>
      </c>
      <c r="B60" s="236" t="s">
        <v>1421</v>
      </c>
      <c r="C60" s="237" t="s">
        <v>1422</v>
      </c>
      <c r="D60" s="240">
        <v>0</v>
      </c>
      <c r="E60" s="240">
        <v>0</v>
      </c>
      <c r="F60" s="239"/>
    </row>
    <row r="61" spans="1:6" ht="39" customHeight="1">
      <c r="A61" s="237" t="s">
        <v>1423</v>
      </c>
      <c r="B61" s="236" t="s">
        <v>1424</v>
      </c>
      <c r="C61" s="237" t="s">
        <v>1425</v>
      </c>
      <c r="D61" s="240">
        <v>0</v>
      </c>
      <c r="E61" s="240">
        <v>0</v>
      </c>
      <c r="F61" s="239"/>
    </row>
    <row r="62" spans="1:6" ht="39" customHeight="1">
      <c r="A62" s="237" t="s">
        <v>1426</v>
      </c>
      <c r="B62" s="236" t="s">
        <v>1427</v>
      </c>
      <c r="C62" s="237" t="s">
        <v>1428</v>
      </c>
      <c r="D62" s="240" t="s">
        <v>1429</v>
      </c>
      <c r="E62" s="240" t="s">
        <v>1430</v>
      </c>
      <c r="F62" s="239" t="s">
        <v>1431</v>
      </c>
    </row>
    <row r="63" spans="1:6" ht="39" customHeight="1">
      <c r="A63" s="242" t="s">
        <v>1432</v>
      </c>
      <c r="B63" s="241" t="s">
        <v>1433</v>
      </c>
      <c r="C63" s="242" t="s">
        <v>1434</v>
      </c>
      <c r="D63" s="244">
        <v>387465971786</v>
      </c>
      <c r="E63" s="244">
        <v>517646189159</v>
      </c>
      <c r="F63" s="243">
        <v>0.74851506666262002</v>
      </c>
    </row>
    <row r="64" spans="1:6" ht="39" customHeight="1">
      <c r="A64" s="242" t="s">
        <v>1435</v>
      </c>
      <c r="B64" s="241" t="s">
        <v>1436</v>
      </c>
      <c r="C64" s="242" t="s">
        <v>1437</v>
      </c>
      <c r="D64" s="244"/>
      <c r="E64" s="244"/>
      <c r="F64" s="243"/>
    </row>
    <row r="65" spans="1:6" ht="39" customHeight="1">
      <c r="A65" s="237" t="s">
        <v>1438</v>
      </c>
      <c r="B65" s="236" t="s">
        <v>1439</v>
      </c>
      <c r="C65" s="237" t="s">
        <v>1440</v>
      </c>
      <c r="D65" s="240">
        <v>0</v>
      </c>
      <c r="E65" s="240">
        <v>0</v>
      </c>
      <c r="F65" s="239"/>
    </row>
    <row r="66" spans="1:6" ht="39" customHeight="1">
      <c r="A66" s="237" t="s">
        <v>1441</v>
      </c>
      <c r="B66" s="236" t="s">
        <v>1442</v>
      </c>
      <c r="C66" s="237" t="s">
        <v>1443</v>
      </c>
      <c r="D66" s="240" t="s">
        <v>1444</v>
      </c>
      <c r="E66" s="240" t="s">
        <v>1445</v>
      </c>
      <c r="F66" s="239" t="s">
        <v>1446</v>
      </c>
    </row>
    <row r="67" spans="1:6" ht="39" customHeight="1">
      <c r="A67" s="237" t="s">
        <v>1447</v>
      </c>
      <c r="B67" s="236" t="s">
        <v>1448</v>
      </c>
      <c r="C67" s="237" t="s">
        <v>1449</v>
      </c>
      <c r="D67" s="240">
        <v>13795800000</v>
      </c>
      <c r="E67" s="240">
        <v>0</v>
      </c>
      <c r="F67" s="239"/>
    </row>
    <row r="68" spans="1:6" ht="39" customHeight="1">
      <c r="A68" s="237" t="s">
        <v>1450</v>
      </c>
      <c r="B68" s="236" t="s">
        <v>1451</v>
      </c>
      <c r="C68" s="237" t="s">
        <v>1452</v>
      </c>
      <c r="D68" s="240" t="s">
        <v>1453</v>
      </c>
      <c r="E68" s="240" t="s">
        <v>1454</v>
      </c>
      <c r="F68" s="239" t="s">
        <v>1455</v>
      </c>
    </row>
    <row r="69" spans="1:6" ht="39" customHeight="1">
      <c r="A69" s="237" t="s">
        <v>1456</v>
      </c>
      <c r="B69" s="236" t="s">
        <v>1457</v>
      </c>
      <c r="C69" s="237" t="s">
        <v>1458</v>
      </c>
      <c r="D69" s="240">
        <v>2802832592</v>
      </c>
      <c r="E69" s="240">
        <v>2880569924</v>
      </c>
      <c r="F69" s="239">
        <v>0.97301321125645401</v>
      </c>
    </row>
    <row r="70" spans="1:6" ht="39" customHeight="1">
      <c r="A70" s="237" t="s">
        <v>1459</v>
      </c>
      <c r="B70" s="236" t="s">
        <v>1460</v>
      </c>
      <c r="C70" s="237" t="s">
        <v>1461</v>
      </c>
      <c r="D70" s="240" t="s">
        <v>1462</v>
      </c>
      <c r="E70" s="240" t="s">
        <v>1463</v>
      </c>
      <c r="F70" s="239" t="s">
        <v>1464</v>
      </c>
    </row>
    <row r="71" spans="1:6" ht="39" customHeight="1">
      <c r="A71" s="237" t="s">
        <v>1465</v>
      </c>
      <c r="B71" s="236" t="s">
        <v>1466</v>
      </c>
      <c r="C71" s="237" t="s">
        <v>1467</v>
      </c>
      <c r="D71" s="240">
        <v>1803811285</v>
      </c>
      <c r="E71" s="240">
        <v>1553831298</v>
      </c>
      <c r="F71" s="239">
        <v>1.16087974757733</v>
      </c>
    </row>
    <row r="72" spans="1:6" ht="39" customHeight="1">
      <c r="A72" s="237" t="s">
        <v>1468</v>
      </c>
      <c r="B72" s="236" t="s">
        <v>1469</v>
      </c>
      <c r="C72" s="237" t="s">
        <v>1470</v>
      </c>
      <c r="D72" s="240">
        <v>203499408</v>
      </c>
      <c r="E72" s="240">
        <v>919480139</v>
      </c>
      <c r="F72" s="239">
        <v>0.221320069209238</v>
      </c>
    </row>
    <row r="73" spans="1:6" ht="48" customHeight="1">
      <c r="A73" s="237" t="s">
        <v>1471</v>
      </c>
      <c r="B73" s="236" t="s">
        <v>1472</v>
      </c>
      <c r="C73" s="237" t="s">
        <v>1473</v>
      </c>
      <c r="D73" s="240">
        <v>0</v>
      </c>
      <c r="E73" s="240">
        <v>0</v>
      </c>
      <c r="F73" s="239"/>
    </row>
    <row r="74" spans="1:6" ht="39" customHeight="1">
      <c r="A74" s="237" t="s">
        <v>1474</v>
      </c>
      <c r="B74" s="236" t="s">
        <v>1475</v>
      </c>
      <c r="C74" s="237" t="s">
        <v>1476</v>
      </c>
      <c r="D74" s="240">
        <v>0</v>
      </c>
      <c r="E74" s="240">
        <v>0</v>
      </c>
      <c r="F74" s="239"/>
    </row>
    <row r="75" spans="1:6" ht="39" customHeight="1">
      <c r="A75" s="237" t="s">
        <v>1477</v>
      </c>
      <c r="B75" s="236" t="s">
        <v>1478</v>
      </c>
      <c r="C75" s="237" t="s">
        <v>1479</v>
      </c>
      <c r="D75" s="240">
        <v>1600311877</v>
      </c>
      <c r="E75" s="240">
        <v>634351159</v>
      </c>
      <c r="F75" s="239">
        <v>2.52275392626815</v>
      </c>
    </row>
    <row r="76" spans="1:6" ht="39" customHeight="1">
      <c r="A76" s="237" t="s">
        <v>1480</v>
      </c>
      <c r="B76" s="236" t="s">
        <v>1481</v>
      </c>
      <c r="C76" s="237" t="s">
        <v>1482</v>
      </c>
      <c r="D76" s="240">
        <v>4062418</v>
      </c>
      <c r="E76" s="240">
        <v>8231692</v>
      </c>
      <c r="F76" s="239">
        <v>0.49350947533022399</v>
      </c>
    </row>
    <row r="77" spans="1:6" ht="61" customHeight="1">
      <c r="A77" s="237" t="s">
        <v>1483</v>
      </c>
      <c r="B77" s="236" t="s">
        <v>1484</v>
      </c>
      <c r="C77" s="237" t="s">
        <v>1485</v>
      </c>
      <c r="D77" s="240">
        <v>77322462</v>
      </c>
      <c r="E77" s="240">
        <v>220108983</v>
      </c>
      <c r="F77" s="239">
        <v>0.35129171443220902</v>
      </c>
    </row>
    <row r="78" spans="1:6" ht="39" customHeight="1">
      <c r="A78" s="237" t="s">
        <v>1486</v>
      </c>
      <c r="B78" s="236" t="s">
        <v>1487</v>
      </c>
      <c r="C78" s="237" t="s">
        <v>1488</v>
      </c>
      <c r="D78" s="240">
        <v>83000000</v>
      </c>
      <c r="E78" s="240">
        <v>83000000</v>
      </c>
      <c r="F78" s="239">
        <v>1</v>
      </c>
    </row>
    <row r="79" spans="1:6" ht="39" customHeight="1">
      <c r="A79" s="237" t="s">
        <v>1489</v>
      </c>
      <c r="B79" s="236" t="s">
        <v>1490</v>
      </c>
      <c r="C79" s="237" t="s">
        <v>1491</v>
      </c>
      <c r="D79" s="240">
        <v>16000000</v>
      </c>
      <c r="E79" s="240">
        <v>24000000</v>
      </c>
      <c r="F79" s="239">
        <v>0.66666666666666696</v>
      </c>
    </row>
    <row r="80" spans="1:6" ht="39" customHeight="1">
      <c r="A80" s="237" t="s">
        <v>1492</v>
      </c>
      <c r="B80" s="236" t="s">
        <v>1493</v>
      </c>
      <c r="C80" s="237" t="s">
        <v>1494</v>
      </c>
      <c r="D80" s="240">
        <v>623122739</v>
      </c>
      <c r="E80" s="240">
        <v>804713601</v>
      </c>
      <c r="F80" s="239">
        <v>0.77434100557721297</v>
      </c>
    </row>
    <row r="81" spans="1:6" ht="39" customHeight="1">
      <c r="A81" s="237" t="s">
        <v>1495</v>
      </c>
      <c r="B81" s="236" t="s">
        <v>1496</v>
      </c>
      <c r="C81" s="237" t="s">
        <v>1497</v>
      </c>
      <c r="D81" s="240">
        <v>10654428</v>
      </c>
      <c r="E81" s="240">
        <v>13759350</v>
      </c>
      <c r="F81" s="239">
        <v>0.77434093907052304</v>
      </c>
    </row>
    <row r="82" spans="1:6" ht="39" customHeight="1">
      <c r="A82" s="237" t="s">
        <v>1498</v>
      </c>
      <c r="B82" s="236" t="s">
        <v>1499</v>
      </c>
      <c r="C82" s="237" t="s">
        <v>1500</v>
      </c>
      <c r="D82" s="240">
        <v>25300000</v>
      </c>
      <c r="E82" s="240">
        <v>25300000</v>
      </c>
      <c r="F82" s="239">
        <v>1</v>
      </c>
    </row>
    <row r="83" spans="1:6" ht="39" customHeight="1">
      <c r="A83" s="237" t="s">
        <v>1501</v>
      </c>
      <c r="B83" s="236" t="s">
        <v>1502</v>
      </c>
      <c r="C83" s="237" t="s">
        <v>1503</v>
      </c>
      <c r="D83" s="240">
        <v>10599260</v>
      </c>
      <c r="E83" s="240">
        <v>0</v>
      </c>
      <c r="F83" s="239"/>
    </row>
    <row r="84" spans="1:6" ht="39" customHeight="1">
      <c r="A84" s="237" t="s">
        <v>1504</v>
      </c>
      <c r="B84" s="236" t="s">
        <v>1505</v>
      </c>
      <c r="C84" s="237" t="s">
        <v>1506</v>
      </c>
      <c r="D84" s="240">
        <v>10599260</v>
      </c>
      <c r="E84" s="240">
        <v>0</v>
      </c>
      <c r="F84" s="239"/>
    </row>
    <row r="85" spans="1:6" ht="46" customHeight="1">
      <c r="A85" s="237" t="s">
        <v>1507</v>
      </c>
      <c r="B85" s="236" t="s">
        <v>1508</v>
      </c>
      <c r="C85" s="237" t="s">
        <v>1509</v>
      </c>
      <c r="D85" s="240">
        <v>0</v>
      </c>
      <c r="E85" s="240">
        <v>0</v>
      </c>
      <c r="F85" s="239"/>
    </row>
    <row r="86" spans="1:6" ht="39" customHeight="1">
      <c r="A86" s="237" t="s">
        <v>1510</v>
      </c>
      <c r="B86" s="236" t="s">
        <v>1511</v>
      </c>
      <c r="C86" s="237" t="s">
        <v>1512</v>
      </c>
      <c r="D86" s="240">
        <v>47200000</v>
      </c>
      <c r="E86" s="240">
        <v>29300000</v>
      </c>
      <c r="F86" s="239">
        <v>1.61092150170648</v>
      </c>
    </row>
    <row r="87" spans="1:6" ht="39" customHeight="1">
      <c r="A87" s="237" t="s">
        <v>1513</v>
      </c>
      <c r="B87" s="236" t="s">
        <v>1514</v>
      </c>
      <c r="C87" s="237" t="s">
        <v>1515</v>
      </c>
      <c r="D87" s="240">
        <v>22000000</v>
      </c>
      <c r="E87" s="240">
        <v>22000000</v>
      </c>
      <c r="F87" s="239">
        <v>1</v>
      </c>
    </row>
    <row r="88" spans="1:6" ht="39" customHeight="1">
      <c r="A88" s="237" t="s">
        <v>1516</v>
      </c>
      <c r="B88" s="236" t="s">
        <v>1517</v>
      </c>
      <c r="C88" s="237" t="s">
        <v>1518</v>
      </c>
      <c r="D88" s="240">
        <v>25200000</v>
      </c>
      <c r="E88" s="240">
        <v>7300000</v>
      </c>
      <c r="F88" s="239">
        <v>3.4520547945205502</v>
      </c>
    </row>
    <row r="89" spans="1:6" ht="60" customHeight="1">
      <c r="A89" s="237" t="s">
        <v>1519</v>
      </c>
      <c r="B89" s="236" t="s">
        <v>1520</v>
      </c>
      <c r="C89" s="237" t="s">
        <v>1521</v>
      </c>
      <c r="D89" s="240">
        <v>0</v>
      </c>
      <c r="E89" s="240">
        <v>0</v>
      </c>
      <c r="F89" s="239"/>
    </row>
    <row r="90" spans="1:6" ht="39" customHeight="1">
      <c r="A90" s="237" t="s">
        <v>1522</v>
      </c>
      <c r="B90" s="236" t="s">
        <v>1523</v>
      </c>
      <c r="C90" s="237" t="s">
        <v>1524</v>
      </c>
      <c r="D90" s="240">
        <v>88560000</v>
      </c>
      <c r="E90" s="240">
        <v>85250000</v>
      </c>
      <c r="F90" s="239">
        <v>1.0388269794721401</v>
      </c>
    </row>
    <row r="91" spans="1:6" ht="39" customHeight="1">
      <c r="A91" s="237" t="s">
        <v>1525</v>
      </c>
      <c r="B91" s="236" t="s">
        <v>1526</v>
      </c>
      <c r="C91" s="237" t="s">
        <v>1527</v>
      </c>
      <c r="D91" s="240">
        <v>0</v>
      </c>
      <c r="E91" s="240">
        <v>0</v>
      </c>
      <c r="F91" s="239"/>
    </row>
    <row r="92" spans="1:6" ht="39" customHeight="1">
      <c r="A92" s="237" t="s">
        <v>1528</v>
      </c>
      <c r="B92" s="236" t="s">
        <v>1529</v>
      </c>
      <c r="C92" s="237" t="s">
        <v>1530</v>
      </c>
      <c r="D92" s="240">
        <v>0</v>
      </c>
      <c r="E92" s="240">
        <v>0</v>
      </c>
      <c r="F92" s="239"/>
    </row>
    <row r="93" spans="1:6" ht="39" customHeight="1">
      <c r="A93" s="237" t="s">
        <v>1531</v>
      </c>
      <c r="B93" s="236" t="s">
        <v>1532</v>
      </c>
      <c r="C93" s="237" t="s">
        <v>1533</v>
      </c>
      <c r="D93" s="240">
        <v>13200000</v>
      </c>
      <c r="E93" s="240">
        <v>11000000</v>
      </c>
      <c r="F93" s="239">
        <v>1.2</v>
      </c>
    </row>
    <row r="94" spans="1:6" ht="48" customHeight="1">
      <c r="A94" s="237" t="s">
        <v>1534</v>
      </c>
      <c r="B94" s="236" t="s">
        <v>1535</v>
      </c>
      <c r="C94" s="237" t="s">
        <v>1536</v>
      </c>
      <c r="D94" s="240">
        <v>0</v>
      </c>
      <c r="E94" s="240">
        <v>0</v>
      </c>
      <c r="F94" s="239"/>
    </row>
    <row r="95" spans="1:6" ht="39" customHeight="1">
      <c r="A95" s="237" t="s">
        <v>1537</v>
      </c>
      <c r="B95" s="236" t="s">
        <v>1538</v>
      </c>
      <c r="C95" s="237" t="s">
        <v>1539</v>
      </c>
      <c r="D95" s="240">
        <v>0</v>
      </c>
      <c r="E95" s="240">
        <v>0</v>
      </c>
      <c r="F95" s="239"/>
    </row>
    <row r="96" spans="1:6" ht="39" customHeight="1">
      <c r="A96" s="237" t="s">
        <v>1540</v>
      </c>
      <c r="B96" s="236" t="s">
        <v>1541</v>
      </c>
      <c r="C96" s="237" t="s">
        <v>1542</v>
      </c>
      <c r="D96" s="240">
        <v>0</v>
      </c>
      <c r="E96" s="240">
        <v>22075000</v>
      </c>
      <c r="F96" s="239">
        <v>0</v>
      </c>
    </row>
    <row r="97" spans="1:6" ht="39" customHeight="1">
      <c r="A97" s="237" t="s">
        <v>1543</v>
      </c>
      <c r="B97" s="236" t="s">
        <v>1544</v>
      </c>
      <c r="C97" s="237" t="s">
        <v>1545</v>
      </c>
      <c r="D97" s="240">
        <v>0</v>
      </c>
      <c r="E97" s="240">
        <v>22075000</v>
      </c>
      <c r="F97" s="239">
        <v>0</v>
      </c>
    </row>
    <row r="98" spans="1:6" ht="48" customHeight="1">
      <c r="A98" s="237" t="s">
        <v>1546</v>
      </c>
      <c r="B98" s="236" t="s">
        <v>1547</v>
      </c>
      <c r="C98" s="237" t="s">
        <v>1548</v>
      </c>
      <c r="D98" s="240">
        <v>0</v>
      </c>
      <c r="E98" s="240">
        <v>0</v>
      </c>
      <c r="F98" s="239"/>
    </row>
    <row r="99" spans="1:6" ht="45" customHeight="1">
      <c r="A99" s="237" t="s">
        <v>1549</v>
      </c>
      <c r="B99" s="236" t="s">
        <v>1550</v>
      </c>
      <c r="C99" s="237" t="s">
        <v>1551</v>
      </c>
      <c r="D99" s="240">
        <v>0</v>
      </c>
      <c r="E99" s="240">
        <v>0</v>
      </c>
      <c r="F99" s="239"/>
    </row>
    <row r="100" spans="1:6" ht="39" customHeight="1">
      <c r="A100" s="237" t="s">
        <v>1552</v>
      </c>
      <c r="B100" s="236" t="s">
        <v>1553</v>
      </c>
      <c r="C100" s="237" t="s">
        <v>1554</v>
      </c>
      <c r="D100" s="240">
        <v>0</v>
      </c>
      <c r="E100" s="240">
        <v>0</v>
      </c>
      <c r="F100" s="239"/>
    </row>
    <row r="101" spans="1:6" ht="39" customHeight="1">
      <c r="A101" s="237" t="s">
        <v>1555</v>
      </c>
      <c r="B101" s="236" t="s">
        <v>1556</v>
      </c>
      <c r="C101" s="237" t="s">
        <v>1557</v>
      </c>
      <c r="D101" s="240">
        <v>0</v>
      </c>
      <c r="E101" s="240">
        <v>0</v>
      </c>
      <c r="F101" s="239"/>
    </row>
    <row r="102" spans="1:6" ht="39" customHeight="1">
      <c r="A102" s="237" t="s">
        <v>1558</v>
      </c>
      <c r="B102" s="236" t="s">
        <v>1559</v>
      </c>
      <c r="C102" s="237" t="s">
        <v>1560</v>
      </c>
      <c r="D102" s="240">
        <v>0</v>
      </c>
      <c r="E102" s="240">
        <v>0</v>
      </c>
      <c r="F102" s="239"/>
    </row>
    <row r="103" spans="1:6" ht="39" customHeight="1">
      <c r="A103" s="237" t="s">
        <v>1561</v>
      </c>
      <c r="B103" s="236" t="s">
        <v>1562</v>
      </c>
      <c r="C103" s="237" t="s">
        <v>1563</v>
      </c>
      <c r="D103" s="240">
        <v>0</v>
      </c>
      <c r="E103" s="240">
        <v>0</v>
      </c>
      <c r="F103" s="239"/>
    </row>
    <row r="104" spans="1:6" ht="39" customHeight="1">
      <c r="A104" s="237" t="s">
        <v>1564</v>
      </c>
      <c r="B104" s="236" t="s">
        <v>1565</v>
      </c>
      <c r="C104" s="237" t="s">
        <v>1566</v>
      </c>
      <c r="D104" s="240">
        <v>0</v>
      </c>
      <c r="E104" s="240">
        <v>0</v>
      </c>
      <c r="F104" s="239"/>
    </row>
    <row r="105" spans="1:6" ht="39" customHeight="1">
      <c r="A105" s="242" t="s">
        <v>1567</v>
      </c>
      <c r="B105" s="241" t="s">
        <v>1568</v>
      </c>
      <c r="C105" s="242" t="s">
        <v>1569</v>
      </c>
      <c r="D105" s="244">
        <v>16598632592</v>
      </c>
      <c r="E105" s="244">
        <v>2880569924</v>
      </c>
      <c r="F105" s="243">
        <v>5.7622737964822299</v>
      </c>
    </row>
    <row r="106" spans="1:6" ht="39" customHeight="1">
      <c r="A106" s="237" t="s">
        <v>1570</v>
      </c>
      <c r="B106" s="236" t="s">
        <v>1571</v>
      </c>
      <c r="C106" s="237" t="s">
        <v>1572</v>
      </c>
      <c r="D106" s="240">
        <v>370867339194</v>
      </c>
      <c r="E106" s="240">
        <v>514765619235</v>
      </c>
      <c r="F106" s="239">
        <v>0.72045864241118296</v>
      </c>
    </row>
    <row r="107" spans="1:6" ht="39" customHeight="1">
      <c r="A107" s="237" t="s">
        <v>1573</v>
      </c>
      <c r="B107" s="236" t="s">
        <v>1574</v>
      </c>
      <c r="C107" s="237" t="s">
        <v>1575</v>
      </c>
      <c r="D107" s="245">
        <v>18085256.989999998</v>
      </c>
      <c r="E107" s="245">
        <v>16996365.949999999</v>
      </c>
      <c r="F107" s="239">
        <v>1.0640661093791099</v>
      </c>
    </row>
    <row r="108" spans="1:6" ht="39" customHeight="1">
      <c r="A108" s="237" t="s">
        <v>1576</v>
      </c>
      <c r="B108" s="236" t="s">
        <v>1577</v>
      </c>
      <c r="C108" s="237" t="s">
        <v>1578</v>
      </c>
      <c r="D108" s="245">
        <v>20506.61</v>
      </c>
      <c r="E108" s="245">
        <v>30286.799999999999</v>
      </c>
      <c r="F108" s="239">
        <v>0.67708077446280202</v>
      </c>
    </row>
    <row r="109" spans="1:6" s="5" customFormat="1" ht="16.899999999999999" customHeight="1"/>
    <row r="110" spans="1:6" s="5" customFormat="1" ht="16.899999999999999" customHeight="1">
      <c r="A110" s="18" t="s">
        <v>10</v>
      </c>
      <c r="B110" s="6"/>
      <c r="C110" s="6"/>
      <c r="E110" s="18" t="s">
        <v>11</v>
      </c>
      <c r="F110" s="6"/>
    </row>
    <row r="111" spans="1:6" s="9" customFormat="1" ht="16.899999999999999" customHeight="1">
      <c r="A111" s="19" t="s">
        <v>12</v>
      </c>
      <c r="B111" s="10"/>
      <c r="C111" s="10"/>
      <c r="E111" s="19"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106"/>
      <c r="B118" s="106"/>
      <c r="C118" s="6"/>
      <c r="D118" s="8"/>
      <c r="E118" s="106"/>
      <c r="F118" s="106"/>
    </row>
    <row r="119" spans="1:6" s="5" customFormat="1" ht="16.899999999999999" customHeight="1">
      <c r="A119" s="17" t="s">
        <v>14</v>
      </c>
      <c r="B119" s="105"/>
      <c r="C119" s="6"/>
      <c r="D119" s="7"/>
      <c r="E119" s="17" t="s">
        <v>1603</v>
      </c>
      <c r="F119" s="105"/>
    </row>
    <row r="120" spans="1:6" s="5" customFormat="1" ht="16.899999999999999" customHeight="1">
      <c r="A120" s="104" t="s">
        <v>1607</v>
      </c>
      <c r="B120" s="8"/>
      <c r="C120" s="6"/>
      <c r="E120" s="104" t="s">
        <v>1608</v>
      </c>
      <c r="F120" s="8"/>
    </row>
    <row r="121" spans="1:6" s="5" customFormat="1" ht="16.899999999999999" customHeight="1">
      <c r="A121" s="6" t="s">
        <v>1609</v>
      </c>
      <c r="B121" s="6"/>
      <c r="C121" s="6"/>
      <c r="E121" s="6" t="s">
        <v>1610</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3"/>
  <sheetViews>
    <sheetView view="pageBreakPreview" topLeftCell="A4" zoomScale="90" zoomScaleNormal="100" zoomScaleSheetLayoutView="90" workbookViewId="0">
      <selection activeCell="E18" sqref="E18"/>
    </sheetView>
  </sheetViews>
  <sheetFormatPr defaultColWidth="8.7265625" defaultRowHeight="12.5"/>
  <cols>
    <col min="1" max="1" width="8.7265625" style="15"/>
    <col min="2" max="2" width="46.26953125" style="15" customWidth="1"/>
    <col min="3" max="3" width="10.7265625" style="15" bestFit="1" customWidth="1"/>
    <col min="4" max="6" width="36.81640625" style="15" customWidth="1"/>
    <col min="7" max="16384" width="8.7265625" style="22"/>
  </cols>
  <sheetData>
    <row r="1" spans="1:6" ht="54.75" customHeight="1">
      <c r="A1" s="280" t="s">
        <v>683</v>
      </c>
      <c r="B1" s="280"/>
      <c r="C1" s="280"/>
      <c r="D1" s="280"/>
      <c r="E1" s="280"/>
      <c r="F1" s="280"/>
    </row>
    <row r="2" spans="1:6" ht="54.75" customHeight="1">
      <c r="A2" s="281" t="s">
        <v>684</v>
      </c>
      <c r="B2" s="281"/>
      <c r="C2" s="281"/>
      <c r="D2" s="281"/>
      <c r="E2" s="281"/>
      <c r="F2" s="281"/>
    </row>
    <row r="3" spans="1:6" ht="22.5" customHeight="1">
      <c r="A3" s="282" t="s">
        <v>631</v>
      </c>
      <c r="B3" s="282"/>
      <c r="C3" s="282"/>
      <c r="D3" s="282"/>
      <c r="E3" s="282"/>
      <c r="F3" s="282"/>
    </row>
    <row r="4" spans="1:6" ht="21" customHeight="1">
      <c r="A4" s="282"/>
      <c r="B4" s="282"/>
      <c r="C4" s="282"/>
      <c r="D4" s="282"/>
      <c r="E4" s="282"/>
      <c r="F4" s="282"/>
    </row>
    <row r="5" spans="1:6" ht="16.149999999999999" customHeight="1">
      <c r="A5" s="283" t="s">
        <v>1602</v>
      </c>
      <c r="B5" s="283"/>
      <c r="C5" s="283"/>
      <c r="D5" s="283"/>
      <c r="E5" s="283"/>
      <c r="F5" s="283"/>
    </row>
    <row r="7" spans="1:6" ht="16.899999999999999" customHeight="1">
      <c r="A7" s="160" t="s">
        <v>2</v>
      </c>
      <c r="C7" s="284" t="s">
        <v>1603</v>
      </c>
      <c r="D7" s="284"/>
      <c r="E7" s="284"/>
      <c r="F7" s="284"/>
    </row>
    <row r="8" spans="1:6" ht="16.899999999999999" customHeight="1">
      <c r="A8" s="15" t="s">
        <v>15</v>
      </c>
      <c r="C8" s="279" t="s">
        <v>1604</v>
      </c>
      <c r="D8" s="279"/>
      <c r="E8" s="279"/>
      <c r="F8" s="279"/>
    </row>
    <row r="9" spans="1:6" ht="16.899999999999999" customHeight="1">
      <c r="A9" s="160" t="s">
        <v>3</v>
      </c>
      <c r="C9" s="284" t="s">
        <v>1605</v>
      </c>
      <c r="D9" s="284"/>
      <c r="E9" s="284"/>
      <c r="F9" s="284"/>
    </row>
    <row r="10" spans="1:6" ht="16.899999999999999" customHeight="1">
      <c r="A10" s="15" t="s">
        <v>4</v>
      </c>
      <c r="C10" s="279" t="s">
        <v>1606</v>
      </c>
      <c r="D10" s="279"/>
      <c r="E10" s="279"/>
      <c r="F10" s="279"/>
    </row>
    <row r="11" spans="1:6" ht="16.899999999999999" customHeight="1">
      <c r="A11" s="160" t="s">
        <v>5</v>
      </c>
      <c r="C11" s="284" t="s">
        <v>709</v>
      </c>
      <c r="D11" s="284"/>
      <c r="E11" s="284"/>
      <c r="F11" s="284"/>
    </row>
    <row r="12" spans="1:6" ht="16.899999999999999" customHeight="1">
      <c r="A12" s="15" t="s">
        <v>6</v>
      </c>
      <c r="C12" s="279" t="s">
        <v>1619</v>
      </c>
      <c r="D12" s="279"/>
      <c r="E12" s="279"/>
      <c r="F12" s="279"/>
    </row>
    <row r="13" spans="1:6" ht="16.899999999999999" customHeight="1">
      <c r="A13" s="160" t="s">
        <v>7</v>
      </c>
      <c r="C13" s="284" t="s">
        <v>1668</v>
      </c>
      <c r="D13" s="284"/>
      <c r="E13" s="284"/>
      <c r="F13" s="284"/>
    </row>
    <row r="14" spans="1:6" ht="16.899999999999999" customHeight="1">
      <c r="A14" s="15" t="s">
        <v>8</v>
      </c>
      <c r="C14" s="279" t="s">
        <v>1669</v>
      </c>
      <c r="D14" s="279"/>
      <c r="E14" s="279"/>
      <c r="F14" s="279"/>
    </row>
    <row r="15" spans="1:6" ht="16.899999999999999" customHeight="1"/>
    <row r="16" spans="1:6" ht="16.899999999999999" customHeight="1">
      <c r="A16" s="129" t="s">
        <v>681</v>
      </c>
      <c r="B16" s="130" t="s">
        <v>682</v>
      </c>
    </row>
    <row r="17" spans="1:6" ht="16.899999999999999" customHeight="1">
      <c r="A17" s="20" t="s">
        <v>22</v>
      </c>
      <c r="B17" s="21" t="s">
        <v>27</v>
      </c>
    </row>
    <row r="18" spans="1:6" ht="37.5">
      <c r="A18" s="224" t="s">
        <v>17</v>
      </c>
      <c r="B18" s="224" t="s">
        <v>18</v>
      </c>
      <c r="C18" s="224" t="s">
        <v>19</v>
      </c>
      <c r="D18" s="225" t="s">
        <v>1613</v>
      </c>
      <c r="E18" s="225" t="s">
        <v>1614</v>
      </c>
      <c r="F18" s="225" t="s">
        <v>706</v>
      </c>
    </row>
    <row r="19" spans="1:6" s="24" customFormat="1" ht="25">
      <c r="A19" s="226" t="s">
        <v>16</v>
      </c>
      <c r="B19" s="227" t="s">
        <v>35</v>
      </c>
      <c r="C19" s="228" t="s">
        <v>52</v>
      </c>
      <c r="D19" s="229">
        <v>4178107070</v>
      </c>
      <c r="E19" s="229">
        <v>2880838496</v>
      </c>
      <c r="F19" s="229">
        <v>4178107070</v>
      </c>
    </row>
    <row r="20" spans="1:6" ht="25">
      <c r="A20" s="109">
        <v>1</v>
      </c>
      <c r="B20" s="110" t="s">
        <v>635</v>
      </c>
      <c r="C20" s="111" t="s">
        <v>59</v>
      </c>
      <c r="D20" s="230">
        <v>0</v>
      </c>
      <c r="E20" s="230">
        <v>0</v>
      </c>
      <c r="F20" s="230">
        <v>0</v>
      </c>
    </row>
    <row r="21" spans="1:6">
      <c r="A21" s="133" t="s">
        <v>636</v>
      </c>
      <c r="B21" s="133" t="s">
        <v>636</v>
      </c>
      <c r="C21" s="133" t="s">
        <v>636</v>
      </c>
      <c r="D21" s="231" t="s">
        <v>636</v>
      </c>
      <c r="E21" s="231" t="s">
        <v>637</v>
      </c>
      <c r="F21" s="232" t="s">
        <v>637</v>
      </c>
    </row>
    <row r="22" spans="1:6" ht="25">
      <c r="A22" s="109">
        <v>2</v>
      </c>
      <c r="B22" s="110" t="s">
        <v>297</v>
      </c>
      <c r="C22" s="111" t="s">
        <v>53</v>
      </c>
      <c r="D22" s="230">
        <v>3978240000</v>
      </c>
      <c r="E22" s="230">
        <v>2848205000</v>
      </c>
      <c r="F22" s="230">
        <v>3978240000</v>
      </c>
    </row>
    <row r="23" spans="1:6">
      <c r="A23" s="133" t="s">
        <v>636</v>
      </c>
      <c r="B23" s="133" t="s">
        <v>636</v>
      </c>
      <c r="C23" s="133" t="s">
        <v>636</v>
      </c>
      <c r="D23" s="231" t="s">
        <v>636</v>
      </c>
      <c r="E23" s="231" t="s">
        <v>637</v>
      </c>
      <c r="F23" s="232" t="s">
        <v>637</v>
      </c>
    </row>
    <row r="24" spans="1:6" ht="25">
      <c r="A24" s="112"/>
      <c r="B24" s="113" t="s">
        <v>298</v>
      </c>
      <c r="C24" s="114" t="s">
        <v>54</v>
      </c>
      <c r="D24" s="230">
        <v>3978240000</v>
      </c>
      <c r="E24" s="230">
        <v>2848205000</v>
      </c>
      <c r="F24" s="230">
        <v>3978240000</v>
      </c>
    </row>
    <row r="25" spans="1:6" ht="25">
      <c r="A25" s="112"/>
      <c r="B25" s="113" t="s">
        <v>299</v>
      </c>
      <c r="C25" s="114" t="s">
        <v>55</v>
      </c>
      <c r="D25" s="230">
        <v>0</v>
      </c>
      <c r="E25" s="230">
        <v>0</v>
      </c>
      <c r="F25" s="230">
        <v>0</v>
      </c>
    </row>
    <row r="26" spans="1:6" ht="25">
      <c r="A26" s="109">
        <v>3</v>
      </c>
      <c r="B26" s="110" t="s">
        <v>300</v>
      </c>
      <c r="C26" s="111" t="s">
        <v>56</v>
      </c>
      <c r="D26" s="230">
        <v>199867070</v>
      </c>
      <c r="E26" s="230">
        <v>32633496</v>
      </c>
      <c r="F26" s="230">
        <v>199867070</v>
      </c>
    </row>
    <row r="27" spans="1:6">
      <c r="A27" s="133" t="s">
        <v>636</v>
      </c>
      <c r="B27" s="133" t="s">
        <v>636</v>
      </c>
      <c r="C27" s="133" t="s">
        <v>636</v>
      </c>
      <c r="D27" s="231" t="s">
        <v>636</v>
      </c>
      <c r="E27" s="231" t="s">
        <v>636</v>
      </c>
      <c r="F27" s="231" t="s">
        <v>636</v>
      </c>
    </row>
    <row r="28" spans="1:6" ht="25">
      <c r="A28" s="112"/>
      <c r="B28" s="113" t="s">
        <v>293</v>
      </c>
      <c r="C28" s="114" t="s">
        <v>57</v>
      </c>
      <c r="D28" s="230">
        <v>199867070</v>
      </c>
      <c r="E28" s="230">
        <v>32633496</v>
      </c>
      <c r="F28" s="230">
        <v>199867070</v>
      </c>
    </row>
    <row r="29" spans="1:6" ht="25">
      <c r="A29" s="112"/>
      <c r="B29" s="113" t="s">
        <v>301</v>
      </c>
      <c r="C29" s="114" t="s">
        <v>58</v>
      </c>
      <c r="D29" s="230">
        <v>0</v>
      </c>
      <c r="E29" s="230">
        <v>0</v>
      </c>
      <c r="F29" s="230">
        <v>0</v>
      </c>
    </row>
    <row r="30" spans="1:6" ht="25">
      <c r="A30" s="112"/>
      <c r="B30" s="113" t="s">
        <v>344</v>
      </c>
      <c r="C30" s="114" t="s">
        <v>290</v>
      </c>
      <c r="D30" s="230">
        <v>0</v>
      </c>
      <c r="E30" s="230">
        <v>0</v>
      </c>
      <c r="F30" s="230">
        <v>0</v>
      </c>
    </row>
    <row r="31" spans="1:6" s="24" customFormat="1" ht="25">
      <c r="A31" s="109">
        <v>4</v>
      </c>
      <c r="B31" s="110" t="s">
        <v>302</v>
      </c>
      <c r="C31" s="111" t="s">
        <v>59</v>
      </c>
      <c r="D31" s="230">
        <v>0</v>
      </c>
      <c r="E31" s="230">
        <v>0</v>
      </c>
      <c r="F31" s="230">
        <v>0</v>
      </c>
    </row>
    <row r="32" spans="1:6">
      <c r="A32" s="133" t="s">
        <v>636</v>
      </c>
      <c r="B32" s="133" t="s">
        <v>636</v>
      </c>
      <c r="C32" s="133" t="s">
        <v>636</v>
      </c>
      <c r="D32" s="231" t="s">
        <v>636</v>
      </c>
      <c r="E32" s="231" t="s">
        <v>636</v>
      </c>
      <c r="F32" s="231" t="s">
        <v>636</v>
      </c>
    </row>
    <row r="33" spans="1:6" ht="25">
      <c r="A33" s="115"/>
      <c r="B33" s="116" t="s">
        <v>303</v>
      </c>
      <c r="C33" s="117" t="s">
        <v>60</v>
      </c>
      <c r="D33" s="230">
        <v>0</v>
      </c>
      <c r="E33" s="230">
        <v>0</v>
      </c>
      <c r="F33" s="230">
        <v>0</v>
      </c>
    </row>
    <row r="34" spans="1:6" ht="25">
      <c r="A34" s="115"/>
      <c r="B34" s="116" t="s">
        <v>304</v>
      </c>
      <c r="C34" s="117" t="s">
        <v>61</v>
      </c>
      <c r="D34" s="230">
        <v>0</v>
      </c>
      <c r="E34" s="230">
        <v>0</v>
      </c>
      <c r="F34" s="230">
        <v>0</v>
      </c>
    </row>
    <row r="35" spans="1:6" ht="75">
      <c r="A35" s="115"/>
      <c r="B35" s="116" t="s">
        <v>36</v>
      </c>
      <c r="C35" s="117" t="s">
        <v>62</v>
      </c>
      <c r="D35" s="230">
        <v>0</v>
      </c>
      <c r="E35" s="230">
        <v>0</v>
      </c>
      <c r="F35" s="230">
        <v>0</v>
      </c>
    </row>
    <row r="36" spans="1:6" ht="25">
      <c r="A36" s="226" t="s">
        <v>22</v>
      </c>
      <c r="B36" s="227" t="s">
        <v>305</v>
      </c>
      <c r="C36" s="228" t="s">
        <v>63</v>
      </c>
      <c r="D36" s="235">
        <v>16337554443</v>
      </c>
      <c r="E36" s="235">
        <v>11313629308</v>
      </c>
      <c r="F36" s="235">
        <v>16337554443</v>
      </c>
    </row>
    <row r="37" spans="1:6" ht="25">
      <c r="A37" s="109">
        <v>1</v>
      </c>
      <c r="B37" s="110" t="s">
        <v>638</v>
      </c>
      <c r="C37" s="111" t="s">
        <v>64</v>
      </c>
      <c r="D37" s="230">
        <v>10096964343</v>
      </c>
      <c r="E37" s="230">
        <v>8419706513</v>
      </c>
      <c r="F37" s="230">
        <v>10096964343</v>
      </c>
    </row>
    <row r="38" spans="1:6">
      <c r="A38" s="133" t="s">
        <v>636</v>
      </c>
      <c r="B38" s="133" t="s">
        <v>636</v>
      </c>
      <c r="C38" s="133" t="s">
        <v>636</v>
      </c>
      <c r="D38" s="231" t="s">
        <v>636</v>
      </c>
      <c r="E38" s="231" t="s">
        <v>636</v>
      </c>
      <c r="F38" s="231" t="s">
        <v>636</v>
      </c>
    </row>
    <row r="39" spans="1:6" ht="50">
      <c r="A39" s="109">
        <v>2</v>
      </c>
      <c r="B39" s="110" t="s">
        <v>639</v>
      </c>
      <c r="C39" s="111" t="s">
        <v>65</v>
      </c>
      <c r="D39" s="230">
        <v>751730732</v>
      </c>
      <c r="E39" s="230">
        <v>649276097</v>
      </c>
      <c r="F39" s="230">
        <v>751730732</v>
      </c>
    </row>
    <row r="40" spans="1:6">
      <c r="A40" s="133" t="s">
        <v>636</v>
      </c>
      <c r="B40" s="133" t="s">
        <v>636</v>
      </c>
      <c r="C40" s="133" t="s">
        <v>636</v>
      </c>
      <c r="D40" s="231" t="s">
        <v>636</v>
      </c>
      <c r="E40" s="231" t="s">
        <v>636</v>
      </c>
      <c r="F40" s="231" t="s">
        <v>636</v>
      </c>
    </row>
    <row r="41" spans="1:6" ht="25">
      <c r="A41" s="118"/>
      <c r="B41" s="113" t="s">
        <v>640</v>
      </c>
      <c r="C41" s="114" t="s">
        <v>66</v>
      </c>
      <c r="D41" s="230">
        <v>264197027</v>
      </c>
      <c r="E41" s="230">
        <v>264000000</v>
      </c>
      <c r="F41" s="230">
        <v>264197027</v>
      </c>
    </row>
    <row r="42" spans="1:6" ht="25">
      <c r="A42" s="118"/>
      <c r="B42" s="113" t="s">
        <v>641</v>
      </c>
      <c r="C42" s="114" t="s">
        <v>67</v>
      </c>
      <c r="D42" s="230">
        <v>137430000</v>
      </c>
      <c r="E42" s="230">
        <v>52815000</v>
      </c>
      <c r="F42" s="230">
        <v>137430000</v>
      </c>
    </row>
    <row r="43" spans="1:6" ht="50">
      <c r="A43" s="118"/>
      <c r="B43" s="113" t="s">
        <v>642</v>
      </c>
      <c r="C43" s="114" t="s">
        <v>68</v>
      </c>
      <c r="D43" s="230">
        <v>46503705</v>
      </c>
      <c r="E43" s="230">
        <v>28861097</v>
      </c>
      <c r="F43" s="230">
        <v>46503705</v>
      </c>
    </row>
    <row r="44" spans="1:6" ht="25">
      <c r="A44" s="118"/>
      <c r="B44" s="113" t="s">
        <v>643</v>
      </c>
      <c r="C44" s="114" t="s">
        <v>69</v>
      </c>
      <c r="D44" s="230">
        <v>303600000</v>
      </c>
      <c r="E44" s="230">
        <v>303600000</v>
      </c>
      <c r="F44" s="230">
        <v>303600000</v>
      </c>
    </row>
    <row r="45" spans="1:6" ht="62.5">
      <c r="A45" s="109">
        <v>3</v>
      </c>
      <c r="B45" s="119" t="s">
        <v>644</v>
      </c>
      <c r="C45" s="111" t="s">
        <v>70</v>
      </c>
      <c r="D45" s="230">
        <v>317842387</v>
      </c>
      <c r="E45" s="230">
        <v>275963892</v>
      </c>
      <c r="F45" s="230">
        <v>317842387</v>
      </c>
    </row>
    <row r="46" spans="1:6">
      <c r="A46" s="133" t="s">
        <v>636</v>
      </c>
      <c r="B46" s="133" t="s">
        <v>636</v>
      </c>
      <c r="C46" s="133" t="s">
        <v>636</v>
      </c>
      <c r="D46" s="231" t="s">
        <v>636</v>
      </c>
      <c r="E46" s="231" t="s">
        <v>636</v>
      </c>
      <c r="F46" s="231" t="s">
        <v>636</v>
      </c>
    </row>
    <row r="47" spans="1:6" ht="25">
      <c r="A47" s="118"/>
      <c r="B47" s="120" t="s">
        <v>346</v>
      </c>
      <c r="C47" s="114" t="s">
        <v>71</v>
      </c>
      <c r="D47" s="230">
        <v>172642387</v>
      </c>
      <c r="E47" s="230">
        <v>143963892</v>
      </c>
      <c r="F47" s="230">
        <v>172642387</v>
      </c>
    </row>
    <row r="48" spans="1:6" ht="25">
      <c r="A48" s="118"/>
      <c r="B48" s="120" t="s">
        <v>38</v>
      </c>
      <c r="C48" s="114" t="s">
        <v>72</v>
      </c>
      <c r="D48" s="230">
        <v>145200000</v>
      </c>
      <c r="E48" s="230">
        <v>132000000</v>
      </c>
      <c r="F48" s="230">
        <v>145200000</v>
      </c>
    </row>
    <row r="49" spans="1:6" ht="25">
      <c r="A49" s="118">
        <v>4</v>
      </c>
      <c r="B49" s="120" t="s">
        <v>645</v>
      </c>
      <c r="C49" s="114" t="s">
        <v>84</v>
      </c>
      <c r="D49" s="230">
        <v>0</v>
      </c>
      <c r="E49" s="230">
        <v>0</v>
      </c>
      <c r="F49" s="230">
        <v>0</v>
      </c>
    </row>
    <row r="50" spans="1:6">
      <c r="A50" s="133" t="s">
        <v>636</v>
      </c>
      <c r="B50" s="133" t="s">
        <v>636</v>
      </c>
      <c r="C50" s="133" t="s">
        <v>636</v>
      </c>
      <c r="D50" s="231" t="s">
        <v>636</v>
      </c>
      <c r="E50" s="231" t="s">
        <v>636</v>
      </c>
      <c r="F50" s="231" t="s">
        <v>636</v>
      </c>
    </row>
    <row r="51" spans="1:6" ht="25">
      <c r="A51" s="118">
        <v>5</v>
      </c>
      <c r="B51" s="120" t="s">
        <v>646</v>
      </c>
      <c r="C51" s="114" t="s">
        <v>88</v>
      </c>
      <c r="D51" s="230">
        <v>0</v>
      </c>
      <c r="E51" s="230">
        <v>0</v>
      </c>
      <c r="F51" s="230">
        <v>0</v>
      </c>
    </row>
    <row r="52" spans="1:6">
      <c r="A52" s="133" t="s">
        <v>636</v>
      </c>
      <c r="B52" s="133" t="s">
        <v>636</v>
      </c>
      <c r="C52" s="133" t="s">
        <v>636</v>
      </c>
      <c r="D52" s="231" t="s">
        <v>636</v>
      </c>
      <c r="E52" s="231" t="s">
        <v>636</v>
      </c>
      <c r="F52" s="231" t="s">
        <v>636</v>
      </c>
    </row>
    <row r="53" spans="1:6" ht="25">
      <c r="A53" s="109">
        <v>6</v>
      </c>
      <c r="B53" s="110" t="s">
        <v>39</v>
      </c>
      <c r="C53" s="111" t="s">
        <v>73</v>
      </c>
      <c r="D53" s="230">
        <v>177485552</v>
      </c>
      <c r="E53" s="230">
        <v>175064339</v>
      </c>
      <c r="F53" s="230">
        <v>177485552</v>
      </c>
    </row>
    <row r="54" spans="1:6">
      <c r="A54" s="133" t="s">
        <v>636</v>
      </c>
      <c r="B54" s="133" t="s">
        <v>636</v>
      </c>
      <c r="C54" s="133" t="s">
        <v>636</v>
      </c>
      <c r="D54" s="231" t="s">
        <v>636</v>
      </c>
      <c r="E54" s="231" t="s">
        <v>636</v>
      </c>
      <c r="F54" s="231" t="s">
        <v>636</v>
      </c>
    </row>
    <row r="55" spans="1:6" ht="62.5">
      <c r="A55" s="109">
        <v>7</v>
      </c>
      <c r="B55" s="110" t="s">
        <v>347</v>
      </c>
      <c r="C55" s="111" t="s">
        <v>74</v>
      </c>
      <c r="D55" s="230">
        <v>124000000</v>
      </c>
      <c r="E55" s="230">
        <v>240325000</v>
      </c>
      <c r="F55" s="230">
        <v>124000000</v>
      </c>
    </row>
    <row r="56" spans="1:6">
      <c r="A56" s="133" t="s">
        <v>636</v>
      </c>
      <c r="B56" s="133" t="s">
        <v>636</v>
      </c>
      <c r="C56" s="133" t="s">
        <v>636</v>
      </c>
      <c r="D56" s="231" t="s">
        <v>636</v>
      </c>
      <c r="E56" s="231" t="s">
        <v>636</v>
      </c>
      <c r="F56" s="231" t="s">
        <v>636</v>
      </c>
    </row>
    <row r="57" spans="1:6" ht="25">
      <c r="A57" s="118"/>
      <c r="B57" s="121" t="s">
        <v>348</v>
      </c>
      <c r="C57" s="114" t="s">
        <v>75</v>
      </c>
      <c r="D57" s="230">
        <v>124000000</v>
      </c>
      <c r="E57" s="230">
        <v>156000000</v>
      </c>
      <c r="F57" s="230">
        <v>124000000</v>
      </c>
    </row>
    <row r="58" spans="1:6" ht="25">
      <c r="A58" s="118"/>
      <c r="B58" s="121" t="s">
        <v>306</v>
      </c>
      <c r="C58" s="114" t="s">
        <v>76</v>
      </c>
      <c r="D58" s="230">
        <v>0</v>
      </c>
      <c r="E58" s="230">
        <v>84325000</v>
      </c>
      <c r="F58" s="230">
        <v>0</v>
      </c>
    </row>
    <row r="59" spans="1:6" ht="25">
      <c r="A59" s="118"/>
      <c r="B59" s="121" t="s">
        <v>41</v>
      </c>
      <c r="C59" s="114" t="s">
        <v>77</v>
      </c>
      <c r="D59" s="230">
        <v>0</v>
      </c>
      <c r="E59" s="230">
        <v>0</v>
      </c>
      <c r="F59" s="230">
        <v>0</v>
      </c>
    </row>
    <row r="60" spans="1:6" ht="137.5">
      <c r="A60" s="109">
        <v>8</v>
      </c>
      <c r="B60" s="119" t="s">
        <v>349</v>
      </c>
      <c r="C60" s="111" t="s">
        <v>78</v>
      </c>
      <c r="D60" s="230">
        <v>50714984</v>
      </c>
      <c r="E60" s="230">
        <v>1007930</v>
      </c>
      <c r="F60" s="230">
        <v>50714984</v>
      </c>
    </row>
    <row r="61" spans="1:6">
      <c r="A61" s="133" t="s">
        <v>636</v>
      </c>
      <c r="B61" s="133" t="s">
        <v>636</v>
      </c>
      <c r="C61" s="133" t="s">
        <v>636</v>
      </c>
      <c r="D61" s="231" t="s">
        <v>636</v>
      </c>
      <c r="E61" s="231" t="s">
        <v>636</v>
      </c>
      <c r="F61" s="231" t="s">
        <v>636</v>
      </c>
    </row>
    <row r="62" spans="1:6" ht="25">
      <c r="A62" s="118"/>
      <c r="B62" s="120" t="s">
        <v>307</v>
      </c>
      <c r="C62" s="114" t="s">
        <v>79</v>
      </c>
      <c r="D62" s="230">
        <v>50714984</v>
      </c>
      <c r="E62" s="230">
        <v>1007930</v>
      </c>
      <c r="F62" s="230">
        <v>50714984</v>
      </c>
    </row>
    <row r="63" spans="1:6" ht="25">
      <c r="A63" s="118"/>
      <c r="B63" s="120" t="s">
        <v>223</v>
      </c>
      <c r="C63" s="114" t="s">
        <v>80</v>
      </c>
      <c r="D63" s="230">
        <v>0</v>
      </c>
      <c r="E63" s="230">
        <v>0</v>
      </c>
      <c r="F63" s="230">
        <v>0</v>
      </c>
    </row>
    <row r="64" spans="1:6" s="24" customFormat="1" ht="37.5">
      <c r="A64" s="118"/>
      <c r="B64" s="120" t="s">
        <v>350</v>
      </c>
      <c r="C64" s="114" t="s">
        <v>81</v>
      </c>
      <c r="D64" s="230">
        <v>0</v>
      </c>
      <c r="E64" s="230">
        <v>0</v>
      </c>
      <c r="F64" s="230">
        <v>0</v>
      </c>
    </row>
    <row r="65" spans="1:6" s="24" customFormat="1" ht="25">
      <c r="A65" s="118"/>
      <c r="B65" s="121" t="s">
        <v>308</v>
      </c>
      <c r="C65" s="114" t="s">
        <v>82</v>
      </c>
      <c r="D65" s="230">
        <v>0</v>
      </c>
      <c r="E65" s="230">
        <v>0</v>
      </c>
      <c r="F65" s="230">
        <v>0</v>
      </c>
    </row>
    <row r="66" spans="1:6" ht="25">
      <c r="A66" s="118"/>
      <c r="B66" s="121" t="s">
        <v>647</v>
      </c>
      <c r="C66" s="114" t="s">
        <v>83</v>
      </c>
      <c r="D66" s="230">
        <v>0</v>
      </c>
      <c r="E66" s="230">
        <v>0</v>
      </c>
      <c r="F66" s="230">
        <v>0</v>
      </c>
    </row>
    <row r="67" spans="1:6" ht="50">
      <c r="A67" s="109">
        <v>9</v>
      </c>
      <c r="B67" s="110" t="s">
        <v>351</v>
      </c>
      <c r="C67" s="111" t="s">
        <v>84</v>
      </c>
      <c r="D67" s="230">
        <v>4728616758</v>
      </c>
      <c r="E67" s="230">
        <v>1541928933</v>
      </c>
      <c r="F67" s="230">
        <v>4728616758</v>
      </c>
    </row>
    <row r="68" spans="1:6" s="24" customFormat="1">
      <c r="A68" s="133" t="s">
        <v>636</v>
      </c>
      <c r="B68" s="133" t="s">
        <v>636</v>
      </c>
      <c r="C68" s="133" t="s">
        <v>636</v>
      </c>
      <c r="D68" s="231" t="s">
        <v>636</v>
      </c>
      <c r="E68" s="231" t="s">
        <v>636</v>
      </c>
      <c r="F68" s="231" t="s">
        <v>636</v>
      </c>
    </row>
    <row r="69" spans="1:6" s="24" customFormat="1" ht="25">
      <c r="A69" s="118"/>
      <c r="B69" s="113" t="s">
        <v>43</v>
      </c>
      <c r="C69" s="114" t="s">
        <v>85</v>
      </c>
      <c r="D69" s="230">
        <v>4716251089</v>
      </c>
      <c r="E69" s="230">
        <v>1537801509</v>
      </c>
      <c r="F69" s="230">
        <v>4716251089</v>
      </c>
    </row>
    <row r="70" spans="1:6" s="24" customFormat="1" ht="25">
      <c r="A70" s="118"/>
      <c r="B70" s="113" t="s">
        <v>44</v>
      </c>
      <c r="C70" s="114" t="s">
        <v>86</v>
      </c>
      <c r="D70" s="230">
        <v>12365669</v>
      </c>
      <c r="E70" s="230">
        <v>4127424</v>
      </c>
      <c r="F70" s="230">
        <v>12365669</v>
      </c>
    </row>
    <row r="71" spans="1:6" ht="25">
      <c r="A71" s="118"/>
      <c r="B71" s="113" t="s">
        <v>45</v>
      </c>
      <c r="C71" s="114" t="s">
        <v>87</v>
      </c>
      <c r="D71" s="230">
        <v>0</v>
      </c>
      <c r="E71" s="230">
        <v>0</v>
      </c>
      <c r="F71" s="230">
        <v>0</v>
      </c>
    </row>
    <row r="72" spans="1:6" ht="25">
      <c r="A72" s="109">
        <v>10</v>
      </c>
      <c r="B72" s="110" t="s">
        <v>648</v>
      </c>
      <c r="C72" s="111" t="s">
        <v>88</v>
      </c>
      <c r="D72" s="230">
        <v>90199687</v>
      </c>
      <c r="E72" s="230">
        <v>10356604</v>
      </c>
      <c r="F72" s="230">
        <v>90199687</v>
      </c>
    </row>
    <row r="73" spans="1:6">
      <c r="A73" s="133" t="s">
        <v>636</v>
      </c>
      <c r="B73" s="133" t="s">
        <v>636</v>
      </c>
      <c r="C73" s="133" t="s">
        <v>636</v>
      </c>
      <c r="D73" s="231" t="s">
        <v>636</v>
      </c>
      <c r="E73" s="231" t="s">
        <v>636</v>
      </c>
      <c r="F73" s="231" t="s">
        <v>636</v>
      </c>
    </row>
    <row r="74" spans="1:6" ht="25">
      <c r="A74" s="109"/>
      <c r="B74" s="113" t="s">
        <v>46</v>
      </c>
      <c r="C74" s="114" t="s">
        <v>89</v>
      </c>
      <c r="D74" s="230">
        <v>0</v>
      </c>
      <c r="E74" s="230">
        <v>0</v>
      </c>
      <c r="F74" s="230">
        <v>0</v>
      </c>
    </row>
    <row r="75" spans="1:6" ht="25">
      <c r="A75" s="109"/>
      <c r="B75" s="113" t="s">
        <v>352</v>
      </c>
      <c r="C75" s="114" t="s">
        <v>90</v>
      </c>
      <c r="D75" s="230">
        <v>0</v>
      </c>
      <c r="E75" s="230">
        <v>0</v>
      </c>
      <c r="F75" s="230">
        <v>0</v>
      </c>
    </row>
    <row r="76" spans="1:6" ht="25">
      <c r="A76" s="109"/>
      <c r="B76" s="113" t="s">
        <v>47</v>
      </c>
      <c r="C76" s="114" t="s">
        <v>91</v>
      </c>
      <c r="D76" s="230">
        <v>7500000</v>
      </c>
      <c r="E76" s="230">
        <v>0</v>
      </c>
      <c r="F76" s="230">
        <v>7500000</v>
      </c>
    </row>
    <row r="77" spans="1:6" ht="25">
      <c r="A77" s="109"/>
      <c r="B77" s="113" t="s">
        <v>48</v>
      </c>
      <c r="C77" s="114" t="s">
        <v>92</v>
      </c>
      <c r="D77" s="230">
        <v>81599687</v>
      </c>
      <c r="E77" s="230">
        <v>8156604</v>
      </c>
      <c r="F77" s="230">
        <v>81599687</v>
      </c>
    </row>
    <row r="78" spans="1:6" ht="25">
      <c r="A78" s="109"/>
      <c r="B78" s="113" t="s">
        <v>353</v>
      </c>
      <c r="C78" s="114" t="s">
        <v>93</v>
      </c>
      <c r="D78" s="230">
        <v>0</v>
      </c>
      <c r="E78" s="230">
        <v>0</v>
      </c>
      <c r="F78" s="230">
        <v>0</v>
      </c>
    </row>
    <row r="79" spans="1:6" ht="25">
      <c r="A79" s="109"/>
      <c r="B79" s="113" t="s">
        <v>45</v>
      </c>
      <c r="C79" s="114" t="s">
        <v>94</v>
      </c>
      <c r="D79" s="230">
        <v>0</v>
      </c>
      <c r="E79" s="230">
        <v>0</v>
      </c>
      <c r="F79" s="230">
        <v>0</v>
      </c>
    </row>
    <row r="80" spans="1:6" ht="25">
      <c r="A80" s="109"/>
      <c r="B80" s="113" t="s">
        <v>354</v>
      </c>
      <c r="C80" s="114" t="s">
        <v>95</v>
      </c>
      <c r="D80" s="230">
        <v>1100000</v>
      </c>
      <c r="E80" s="230">
        <v>2200000</v>
      </c>
      <c r="F80" s="230">
        <v>1100000</v>
      </c>
    </row>
    <row r="81" spans="1:6" ht="37.5">
      <c r="A81" s="233" t="s">
        <v>28</v>
      </c>
      <c r="B81" s="227" t="s">
        <v>355</v>
      </c>
      <c r="C81" s="228" t="s">
        <v>96</v>
      </c>
      <c r="D81" s="235">
        <v>-12159447373</v>
      </c>
      <c r="E81" s="235">
        <v>-8432790812</v>
      </c>
      <c r="F81" s="235">
        <v>-12159447373</v>
      </c>
    </row>
    <row r="82" spans="1:6" ht="25">
      <c r="A82" s="233" t="s">
        <v>29</v>
      </c>
      <c r="B82" s="227" t="s">
        <v>310</v>
      </c>
      <c r="C82" s="228" t="s">
        <v>97</v>
      </c>
      <c r="D82" s="235">
        <v>-196886310320</v>
      </c>
      <c r="E82" s="235">
        <v>174461876780</v>
      </c>
      <c r="F82" s="235">
        <v>-196886310320</v>
      </c>
    </row>
    <row r="83" spans="1:6" ht="50">
      <c r="A83" s="109">
        <v>1</v>
      </c>
      <c r="B83" s="110" t="s">
        <v>649</v>
      </c>
      <c r="C83" s="111" t="s">
        <v>98</v>
      </c>
      <c r="D83" s="230">
        <v>-103535901505</v>
      </c>
      <c r="E83" s="230">
        <v>158016761801</v>
      </c>
      <c r="F83" s="230">
        <v>-103535901505</v>
      </c>
    </row>
    <row r="84" spans="1:6" ht="25">
      <c r="A84" s="109">
        <v>2</v>
      </c>
      <c r="B84" s="110" t="s">
        <v>49</v>
      </c>
      <c r="C84" s="111" t="s">
        <v>99</v>
      </c>
      <c r="D84" s="230">
        <v>-93350408815</v>
      </c>
      <c r="E84" s="230">
        <v>16445114979</v>
      </c>
      <c r="F84" s="230">
        <v>-93350408815</v>
      </c>
    </row>
    <row r="85" spans="1:6" ht="62.5">
      <c r="A85" s="233" t="s">
        <v>30</v>
      </c>
      <c r="B85" s="227" t="s">
        <v>356</v>
      </c>
      <c r="C85" s="228" t="s">
        <v>100</v>
      </c>
      <c r="D85" s="235">
        <v>-209045757693</v>
      </c>
      <c r="E85" s="235">
        <v>166029085968</v>
      </c>
      <c r="F85" s="235">
        <v>-209045757693</v>
      </c>
    </row>
    <row r="86" spans="1:6" ht="25">
      <c r="A86" s="233" t="s">
        <v>31</v>
      </c>
      <c r="B86" s="227" t="s">
        <v>50</v>
      </c>
      <c r="C86" s="228" t="s">
        <v>101</v>
      </c>
      <c r="D86" s="235">
        <v>514765619235</v>
      </c>
      <c r="E86" s="235">
        <v>452374061555</v>
      </c>
      <c r="F86" s="235">
        <v>514765619235</v>
      </c>
    </row>
    <row r="87" spans="1:6" ht="62.25" customHeight="1">
      <c r="A87" s="233" t="s">
        <v>32</v>
      </c>
      <c r="B87" s="227" t="s">
        <v>707</v>
      </c>
      <c r="C87" s="228" t="s">
        <v>102</v>
      </c>
      <c r="D87" s="235">
        <v>-143898280041</v>
      </c>
      <c r="E87" s="235">
        <v>62391557680</v>
      </c>
      <c r="F87" s="235">
        <v>-143898280041</v>
      </c>
    </row>
    <row r="88" spans="1:6" s="24" customFormat="1" ht="50">
      <c r="A88" s="109">
        <v>1</v>
      </c>
      <c r="B88" s="110" t="s">
        <v>650</v>
      </c>
      <c r="C88" s="111" t="s">
        <v>103</v>
      </c>
      <c r="D88" s="230">
        <v>-209045757693</v>
      </c>
      <c r="E88" s="230">
        <v>166029085968</v>
      </c>
      <c r="F88" s="230">
        <v>-209045757693</v>
      </c>
    </row>
    <row r="89" spans="1:6" ht="50">
      <c r="A89" s="109">
        <v>2</v>
      </c>
      <c r="B89" s="110" t="s">
        <v>651</v>
      </c>
      <c r="C89" s="111" t="s">
        <v>104</v>
      </c>
      <c r="D89" s="230">
        <v>0</v>
      </c>
      <c r="E89" s="230">
        <v>0</v>
      </c>
      <c r="F89" s="230">
        <v>0</v>
      </c>
    </row>
    <row r="90" spans="1:6" ht="50">
      <c r="A90" s="109">
        <v>3</v>
      </c>
      <c r="B90" s="110" t="s">
        <v>652</v>
      </c>
      <c r="C90" s="111" t="s">
        <v>105</v>
      </c>
      <c r="D90" s="230">
        <v>65147477652</v>
      </c>
      <c r="E90" s="230">
        <v>-103637528288</v>
      </c>
      <c r="F90" s="230">
        <v>65147477652</v>
      </c>
    </row>
    <row r="91" spans="1:6" ht="50">
      <c r="A91" s="109"/>
      <c r="B91" s="110" t="s">
        <v>357</v>
      </c>
      <c r="C91" s="111" t="s">
        <v>653</v>
      </c>
      <c r="D91" s="230">
        <v>293336228598</v>
      </c>
      <c r="E91" s="230">
        <v>296278942778</v>
      </c>
      <c r="F91" s="230">
        <v>293336228598</v>
      </c>
    </row>
    <row r="92" spans="1:6" ht="37.5">
      <c r="A92" s="109"/>
      <c r="B92" s="110" t="s">
        <v>358</v>
      </c>
      <c r="C92" s="111" t="s">
        <v>654</v>
      </c>
      <c r="D92" s="230">
        <v>-228188750946</v>
      </c>
      <c r="E92" s="230">
        <v>-399916471066</v>
      </c>
      <c r="F92" s="230">
        <v>-228188750946</v>
      </c>
    </row>
    <row r="93" spans="1:6" s="27" customFormat="1" ht="25">
      <c r="A93" s="226" t="s">
        <v>33</v>
      </c>
      <c r="B93" s="227" t="s">
        <v>51</v>
      </c>
      <c r="C93" s="228" t="s">
        <v>106</v>
      </c>
      <c r="D93" s="235">
        <v>370867339194</v>
      </c>
      <c r="E93" s="235">
        <v>514765619235</v>
      </c>
      <c r="F93" s="235">
        <v>370867339194</v>
      </c>
    </row>
    <row r="94" spans="1:6" ht="50">
      <c r="A94" s="226" t="s">
        <v>34</v>
      </c>
      <c r="B94" s="227" t="s">
        <v>311</v>
      </c>
      <c r="C94" s="228" t="s">
        <v>107</v>
      </c>
      <c r="D94" s="235">
        <v>-209045757693</v>
      </c>
      <c r="E94" s="235">
        <v>166029085968</v>
      </c>
      <c r="F94" s="235">
        <v>-209045757693</v>
      </c>
    </row>
    <row r="95" spans="1:6" ht="50">
      <c r="A95" s="122"/>
      <c r="B95" s="110" t="s">
        <v>312</v>
      </c>
      <c r="C95" s="111" t="s">
        <v>108</v>
      </c>
      <c r="D95" s="248">
        <v>-0.39962769856959102</v>
      </c>
      <c r="E95" s="234">
        <v>0.38062037642159802</v>
      </c>
      <c r="F95" s="248">
        <v>-0.39962769856959102</v>
      </c>
    </row>
    <row r="96" spans="1:6" ht="16.899999999999999" customHeight="1"/>
    <row r="97" spans="1:6" ht="16.899999999999999" customHeight="1"/>
    <row r="98" spans="1:6" ht="16.899999999999999" customHeight="1"/>
    <row r="99" spans="1:6" ht="16.899999999999999" customHeight="1"/>
    <row r="100" spans="1:6" ht="16.899999999999999" customHeight="1"/>
    <row r="101" spans="1:6" ht="16.899999999999999" customHeight="1">
      <c r="A101" s="28" t="str">
        <f>TONGQUAN!C19</f>
        <v>Ngân hàng TNHH MTV Standard Chartered (Việt Nam)</v>
      </c>
      <c r="B101" s="29"/>
      <c r="D101" s="28" t="str">
        <f>TONGQUAN!F19</f>
        <v>Công ty Cổ phần Quản lý Quỹ Đầu tư Dragon Capital Việt Nam</v>
      </c>
      <c r="E101" s="29"/>
      <c r="F101" s="29"/>
    </row>
    <row r="102" spans="1:6" ht="16.899999999999999" customHeight="1">
      <c r="A102" s="25" t="str">
        <f>TONGQUAN!C20</f>
        <v>Trịnh Hoài Nam</v>
      </c>
      <c r="D102" s="25" t="str">
        <f>TONGQUAN!F20</f>
        <v>Nguyễn Minh Đăng Khánh</v>
      </c>
    </row>
    <row r="103" spans="1:6" ht="16.899999999999999" customHeight="1">
      <c r="A103" s="15" t="str">
        <f>TONGQUAN!C21</f>
        <v>Phó phòng Dịch vụ Quản trị và Giám sát Quỹ</v>
      </c>
      <c r="D103" s="15"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view="pageBreakPreview" topLeftCell="A4" zoomScale="80" zoomScaleNormal="100" zoomScaleSheetLayoutView="80" workbookViewId="0">
      <selection activeCell="A5" sqref="A5:G5"/>
    </sheetView>
  </sheetViews>
  <sheetFormatPr defaultColWidth="8.7265625" defaultRowHeight="12.5"/>
  <cols>
    <col min="1" max="1" width="9" style="15" customWidth="1"/>
    <col min="2" max="2" width="39.81640625" style="15" customWidth="1"/>
    <col min="3" max="3" width="9.26953125" style="15" customWidth="1"/>
    <col min="4" max="4" width="28" style="15" customWidth="1"/>
    <col min="5" max="5" width="33.81640625" style="15" customWidth="1"/>
    <col min="6" max="6" width="32.1796875" style="15" customWidth="1"/>
    <col min="7" max="7" width="28.54296875" style="15" customWidth="1"/>
    <col min="8" max="16384" width="8.7265625" style="188"/>
  </cols>
  <sheetData>
    <row r="1" spans="1:7" ht="44.25" customHeight="1">
      <c r="A1" s="280" t="s">
        <v>683</v>
      </c>
      <c r="B1" s="280"/>
      <c r="C1" s="280"/>
      <c r="D1" s="280"/>
      <c r="E1" s="280"/>
      <c r="F1" s="280"/>
      <c r="G1" s="280"/>
    </row>
    <row r="2" spans="1:7" ht="59.25" customHeight="1">
      <c r="A2" s="281" t="s">
        <v>684</v>
      </c>
      <c r="B2" s="281"/>
      <c r="C2" s="281"/>
      <c r="D2" s="281"/>
      <c r="E2" s="281"/>
      <c r="F2" s="281"/>
      <c r="G2" s="281"/>
    </row>
    <row r="3" spans="1:7" ht="15" customHeight="1">
      <c r="A3" s="282" t="s">
        <v>631</v>
      </c>
      <c r="B3" s="282"/>
      <c r="C3" s="282"/>
      <c r="D3" s="282"/>
      <c r="E3" s="282"/>
      <c r="F3" s="282"/>
      <c r="G3" s="282"/>
    </row>
    <row r="4" spans="1:7" ht="27.4" customHeight="1">
      <c r="A4" s="282"/>
      <c r="B4" s="282"/>
      <c r="C4" s="282"/>
      <c r="D4" s="282"/>
      <c r="E4" s="282"/>
      <c r="F4" s="282"/>
      <c r="G4" s="282"/>
    </row>
    <row r="5" spans="1:7" ht="16.899999999999999" customHeight="1">
      <c r="A5" s="283" t="s">
        <v>1601</v>
      </c>
      <c r="B5" s="283"/>
      <c r="C5" s="283"/>
      <c r="D5" s="283"/>
      <c r="E5" s="283"/>
      <c r="F5" s="283"/>
      <c r="G5" s="283"/>
    </row>
    <row r="6" spans="1:7" ht="16.899999999999999" customHeight="1"/>
    <row r="7" spans="1:7" ht="16.899999999999999" customHeight="1">
      <c r="A7" s="160" t="s">
        <v>2</v>
      </c>
      <c r="C7" s="284" t="s">
        <v>1603</v>
      </c>
      <c r="D7" s="284"/>
      <c r="E7" s="284"/>
      <c r="F7" s="284"/>
      <c r="G7" s="284"/>
    </row>
    <row r="8" spans="1:7" ht="16.899999999999999" customHeight="1">
      <c r="A8" s="15" t="s">
        <v>15</v>
      </c>
      <c r="C8" s="279" t="s">
        <v>1604</v>
      </c>
      <c r="D8" s="279"/>
      <c r="E8" s="279"/>
      <c r="F8" s="279"/>
      <c r="G8" s="279"/>
    </row>
    <row r="9" spans="1:7" ht="16.899999999999999" customHeight="1">
      <c r="A9" s="160" t="s">
        <v>3</v>
      </c>
      <c r="C9" s="284" t="s">
        <v>1605</v>
      </c>
      <c r="D9" s="284"/>
      <c r="E9" s="284"/>
      <c r="F9" s="284"/>
      <c r="G9" s="284"/>
    </row>
    <row r="10" spans="1:7" ht="16.899999999999999" customHeight="1">
      <c r="A10" s="15" t="s">
        <v>4</v>
      </c>
      <c r="C10" s="279" t="s">
        <v>1606</v>
      </c>
      <c r="D10" s="279"/>
      <c r="E10" s="279"/>
      <c r="F10" s="279"/>
      <c r="G10" s="279"/>
    </row>
    <row r="11" spans="1:7" ht="16.899999999999999" customHeight="1">
      <c r="A11" s="160" t="s">
        <v>5</v>
      </c>
      <c r="C11" s="284" t="s">
        <v>709</v>
      </c>
      <c r="D11" s="284"/>
      <c r="E11" s="284"/>
      <c r="F11" s="284"/>
      <c r="G11" s="284"/>
    </row>
    <row r="12" spans="1:7" ht="16.899999999999999" customHeight="1">
      <c r="A12" s="15" t="s">
        <v>6</v>
      </c>
      <c r="C12" s="279" t="s">
        <v>1619</v>
      </c>
      <c r="D12" s="279"/>
      <c r="E12" s="279"/>
      <c r="F12" s="279"/>
      <c r="G12" s="279"/>
    </row>
    <row r="13" spans="1:7" ht="16.899999999999999" customHeight="1">
      <c r="A13" s="160" t="s">
        <v>7</v>
      </c>
      <c r="C13" s="284" t="s">
        <v>1668</v>
      </c>
      <c r="D13" s="284"/>
      <c r="E13" s="284"/>
      <c r="F13" s="284"/>
      <c r="G13" s="284"/>
    </row>
    <row r="14" spans="1:7" ht="16.899999999999999" customHeight="1">
      <c r="A14" s="15" t="s">
        <v>8</v>
      </c>
      <c r="C14" s="279" t="s">
        <v>1669</v>
      </c>
      <c r="D14" s="279"/>
      <c r="E14" s="279"/>
      <c r="F14" s="279"/>
      <c r="G14" s="279"/>
    </row>
    <row r="15" spans="1:7" ht="18" hidden="1" customHeight="1"/>
    <row r="16" spans="1:7" ht="16.899999999999999" customHeight="1">
      <c r="A16" s="129" t="s">
        <v>681</v>
      </c>
      <c r="B16" s="130" t="s">
        <v>682</v>
      </c>
    </row>
    <row r="17" spans="1:7" ht="16.899999999999999" customHeight="1">
      <c r="A17" s="20" t="s">
        <v>28</v>
      </c>
      <c r="B17" s="21" t="s">
        <v>633</v>
      </c>
    </row>
    <row r="18" spans="1:7" ht="75.400000000000006" customHeight="1">
      <c r="A18" s="31" t="s">
        <v>254</v>
      </c>
      <c r="B18" s="31" t="s">
        <v>110</v>
      </c>
      <c r="C18" s="31" t="s">
        <v>19</v>
      </c>
      <c r="D18" s="31" t="s">
        <v>111</v>
      </c>
      <c r="E18" s="31" t="s">
        <v>112</v>
      </c>
      <c r="F18" s="31" t="s">
        <v>113</v>
      </c>
      <c r="G18" s="31" t="s">
        <v>114</v>
      </c>
    </row>
    <row r="19" spans="1:7" ht="39" customHeight="1">
      <c r="A19" s="242" t="s">
        <v>710</v>
      </c>
      <c r="B19" s="241" t="s">
        <v>711</v>
      </c>
      <c r="C19" s="242"/>
      <c r="D19" s="244"/>
      <c r="E19" s="244"/>
      <c r="F19" s="244"/>
      <c r="G19" s="243"/>
    </row>
    <row r="20" spans="1:7" ht="39" customHeight="1">
      <c r="A20" s="237" t="s">
        <v>712</v>
      </c>
      <c r="B20" s="236" t="s">
        <v>713</v>
      </c>
      <c r="C20" s="238" t="s">
        <v>714</v>
      </c>
      <c r="D20" s="240" t="s">
        <v>715</v>
      </c>
      <c r="E20" s="246" t="s">
        <v>716</v>
      </c>
      <c r="F20" s="240" t="s">
        <v>717</v>
      </c>
      <c r="G20" s="239" t="s">
        <v>718</v>
      </c>
    </row>
    <row r="21" spans="1:7" ht="39" customHeight="1">
      <c r="A21" s="242"/>
      <c r="B21" s="241" t="s">
        <v>719</v>
      </c>
      <c r="C21" s="242" t="s">
        <v>720</v>
      </c>
      <c r="D21" s="244"/>
      <c r="E21" s="244"/>
      <c r="F21" s="244"/>
      <c r="G21" s="243"/>
    </row>
    <row r="22" spans="1:7" ht="39" customHeight="1">
      <c r="A22" s="242" t="s">
        <v>721</v>
      </c>
      <c r="B22" s="241" t="s">
        <v>722</v>
      </c>
      <c r="C22" s="242" t="s">
        <v>723</v>
      </c>
      <c r="D22" s="244"/>
      <c r="E22" s="244"/>
      <c r="F22" s="244"/>
      <c r="G22" s="243"/>
    </row>
    <row r="23" spans="1:7" ht="39" customHeight="1">
      <c r="A23" s="237" t="s">
        <v>724</v>
      </c>
      <c r="B23" s="236" t="s">
        <v>725</v>
      </c>
      <c r="C23" s="238" t="s">
        <v>726</v>
      </c>
      <c r="D23" s="240" t="s">
        <v>727</v>
      </c>
      <c r="E23" s="246" t="s">
        <v>728</v>
      </c>
      <c r="F23" s="240" t="s">
        <v>729</v>
      </c>
      <c r="G23" s="239" t="s">
        <v>730</v>
      </c>
    </row>
    <row r="24" spans="1:7" ht="34" customHeight="1">
      <c r="A24" s="237" t="s">
        <v>731</v>
      </c>
      <c r="B24" s="236" t="s">
        <v>732</v>
      </c>
      <c r="C24" s="238" t="s">
        <v>733</v>
      </c>
      <c r="D24" s="240">
        <v>250000</v>
      </c>
      <c r="E24" s="246">
        <v>21900</v>
      </c>
      <c r="F24" s="240">
        <v>5475000000</v>
      </c>
      <c r="G24" s="239">
        <v>1.41E-2</v>
      </c>
    </row>
    <row r="25" spans="1:7" ht="34" customHeight="1">
      <c r="A25" s="237" t="s">
        <v>734</v>
      </c>
      <c r="B25" s="236" t="s">
        <v>735</v>
      </c>
      <c r="C25" s="238" t="s">
        <v>736</v>
      </c>
      <c r="D25" s="240">
        <v>50000</v>
      </c>
      <c r="E25" s="246">
        <v>80600</v>
      </c>
      <c r="F25" s="240">
        <v>4030000000</v>
      </c>
      <c r="G25" s="239">
        <v>1.04E-2</v>
      </c>
    </row>
    <row r="26" spans="1:7" ht="34" customHeight="1">
      <c r="A26" s="237" t="s">
        <v>737</v>
      </c>
      <c r="B26" s="236" t="s">
        <v>738</v>
      </c>
      <c r="C26" s="238" t="s">
        <v>739</v>
      </c>
      <c r="D26" s="240">
        <v>220000</v>
      </c>
      <c r="E26" s="246">
        <v>38600</v>
      </c>
      <c r="F26" s="240">
        <v>8492000000</v>
      </c>
      <c r="G26" s="239">
        <v>2.1899999999999999E-2</v>
      </c>
    </row>
    <row r="27" spans="1:7" ht="34" customHeight="1">
      <c r="A27" s="237" t="s">
        <v>740</v>
      </c>
      <c r="B27" s="236" t="s">
        <v>741</v>
      </c>
      <c r="C27" s="238" t="s">
        <v>742</v>
      </c>
      <c r="D27" s="240">
        <v>340000</v>
      </c>
      <c r="E27" s="246">
        <v>27250</v>
      </c>
      <c r="F27" s="240">
        <v>9265000000</v>
      </c>
      <c r="G27" s="239">
        <v>2.3900000000000001E-2</v>
      </c>
    </row>
    <row r="28" spans="1:7" ht="34" customHeight="1">
      <c r="A28" s="237" t="s">
        <v>743</v>
      </c>
      <c r="B28" s="236" t="s">
        <v>744</v>
      </c>
      <c r="C28" s="238" t="s">
        <v>745</v>
      </c>
      <c r="D28" s="240">
        <v>260000</v>
      </c>
      <c r="E28" s="246">
        <v>26500</v>
      </c>
      <c r="F28" s="240">
        <v>6890000000</v>
      </c>
      <c r="G28" s="239">
        <v>1.78E-2</v>
      </c>
    </row>
    <row r="29" spans="1:7" ht="34" customHeight="1">
      <c r="A29" s="237" t="s">
        <v>746</v>
      </c>
      <c r="B29" s="236" t="s">
        <v>747</v>
      </c>
      <c r="C29" s="238" t="s">
        <v>748</v>
      </c>
      <c r="D29" s="240">
        <v>130000</v>
      </c>
      <c r="E29" s="246">
        <v>58900</v>
      </c>
      <c r="F29" s="240">
        <v>7657000000</v>
      </c>
      <c r="G29" s="239">
        <v>1.9800000000000002E-2</v>
      </c>
    </row>
    <row r="30" spans="1:7" ht="34" customHeight="1">
      <c r="A30" s="237" t="s">
        <v>749</v>
      </c>
      <c r="B30" s="236" t="s">
        <v>750</v>
      </c>
      <c r="C30" s="238" t="s">
        <v>751</v>
      </c>
      <c r="D30" s="240">
        <v>300000</v>
      </c>
      <c r="E30" s="246">
        <v>28500</v>
      </c>
      <c r="F30" s="240">
        <v>8550000000</v>
      </c>
      <c r="G30" s="239">
        <v>2.2100000000000002E-2</v>
      </c>
    </row>
    <row r="31" spans="1:7" ht="34" customHeight="1">
      <c r="A31" s="237" t="s">
        <v>752</v>
      </c>
      <c r="B31" s="236" t="s">
        <v>753</v>
      </c>
      <c r="C31" s="238" t="s">
        <v>754</v>
      </c>
      <c r="D31" s="240">
        <v>180000</v>
      </c>
      <c r="E31" s="246">
        <v>42950</v>
      </c>
      <c r="F31" s="240">
        <v>7731000000</v>
      </c>
      <c r="G31" s="249">
        <v>1.9900000000000001E-2</v>
      </c>
    </row>
    <row r="32" spans="1:7" ht="34" customHeight="1">
      <c r="A32" s="237" t="s">
        <v>755</v>
      </c>
      <c r="B32" s="236" t="s">
        <v>756</v>
      </c>
      <c r="C32" s="238" t="s">
        <v>757</v>
      </c>
      <c r="D32" s="240">
        <v>550000</v>
      </c>
      <c r="E32" s="246">
        <v>12750</v>
      </c>
      <c r="F32" s="240">
        <v>7012500000</v>
      </c>
      <c r="G32" s="239">
        <v>1.8100000000000002E-2</v>
      </c>
    </row>
    <row r="33" spans="1:7" ht="34" customHeight="1">
      <c r="A33" s="237" t="s">
        <v>758</v>
      </c>
      <c r="B33" s="236" t="s">
        <v>759</v>
      </c>
      <c r="C33" s="238" t="s">
        <v>760</v>
      </c>
      <c r="D33" s="240">
        <v>300000</v>
      </c>
      <c r="E33" s="246">
        <v>27950</v>
      </c>
      <c r="F33" s="240">
        <v>8385000000</v>
      </c>
      <c r="G33" s="239">
        <v>2.1600000000000001E-2</v>
      </c>
    </row>
    <row r="34" spans="1:7" ht="34" customHeight="1">
      <c r="A34" s="237" t="s">
        <v>761</v>
      </c>
      <c r="B34" s="236" t="s">
        <v>762</v>
      </c>
      <c r="C34" s="238" t="s">
        <v>763</v>
      </c>
      <c r="D34" s="240">
        <v>320000</v>
      </c>
      <c r="E34" s="246">
        <v>76900</v>
      </c>
      <c r="F34" s="240">
        <v>24608000000</v>
      </c>
      <c r="G34" s="239">
        <v>6.3500000000000001E-2</v>
      </c>
    </row>
    <row r="35" spans="1:7" ht="34" customHeight="1">
      <c r="A35" s="237" t="s">
        <v>764</v>
      </c>
      <c r="B35" s="236" t="s">
        <v>765</v>
      </c>
      <c r="C35" s="238" t="s">
        <v>766</v>
      </c>
      <c r="D35" s="240">
        <v>120000</v>
      </c>
      <c r="E35" s="246">
        <v>69000</v>
      </c>
      <c r="F35" s="240">
        <v>8280000000</v>
      </c>
      <c r="G35" s="239">
        <v>2.1399999999999999E-2</v>
      </c>
    </row>
    <row r="36" spans="1:7" ht="34" customHeight="1">
      <c r="A36" s="237" t="s">
        <v>767</v>
      </c>
      <c r="B36" s="236" t="s">
        <v>768</v>
      </c>
      <c r="C36" s="238" t="s">
        <v>769</v>
      </c>
      <c r="D36" s="240">
        <v>90000</v>
      </c>
      <c r="E36" s="246">
        <v>101500</v>
      </c>
      <c r="F36" s="240">
        <v>9135000000</v>
      </c>
      <c r="G36" s="239">
        <v>2.3599999999999999E-2</v>
      </c>
    </row>
    <row r="37" spans="1:7" ht="34" customHeight="1">
      <c r="A37" s="237" t="s">
        <v>770</v>
      </c>
      <c r="B37" s="236" t="s">
        <v>771</v>
      </c>
      <c r="C37" s="238" t="s">
        <v>772</v>
      </c>
      <c r="D37" s="240">
        <v>300000</v>
      </c>
      <c r="E37" s="246">
        <v>31400</v>
      </c>
      <c r="F37" s="240">
        <v>9420000000</v>
      </c>
      <c r="G37" s="239">
        <v>2.4299999999999999E-2</v>
      </c>
    </row>
    <row r="38" spans="1:7" ht="34" customHeight="1">
      <c r="A38" s="237" t="s">
        <v>773</v>
      </c>
      <c r="B38" s="236" t="s">
        <v>774</v>
      </c>
      <c r="C38" s="238" t="s">
        <v>775</v>
      </c>
      <c r="D38" s="240">
        <v>620000</v>
      </c>
      <c r="E38" s="246">
        <v>18000</v>
      </c>
      <c r="F38" s="240">
        <v>11160000000</v>
      </c>
      <c r="G38" s="239">
        <v>2.8799999999999999E-2</v>
      </c>
    </row>
    <row r="39" spans="1:7" ht="34" customHeight="1">
      <c r="A39" s="237" t="s">
        <v>776</v>
      </c>
      <c r="B39" s="236" t="s">
        <v>777</v>
      </c>
      <c r="C39" s="238" t="s">
        <v>778</v>
      </c>
      <c r="D39" s="240">
        <v>400000</v>
      </c>
      <c r="E39" s="246">
        <v>24200</v>
      </c>
      <c r="F39" s="240">
        <v>9680000000</v>
      </c>
      <c r="G39" s="249">
        <v>2.5000000000000001E-2</v>
      </c>
    </row>
    <row r="40" spans="1:7" ht="34" customHeight="1">
      <c r="A40" s="237" t="s">
        <v>779</v>
      </c>
      <c r="B40" s="236" t="s">
        <v>780</v>
      </c>
      <c r="C40" s="238" t="s">
        <v>781</v>
      </c>
      <c r="D40" s="240">
        <v>330000</v>
      </c>
      <c r="E40" s="246">
        <v>26500</v>
      </c>
      <c r="F40" s="240">
        <v>8745000000</v>
      </c>
      <c r="G40" s="239">
        <v>2.2599999999999999E-2</v>
      </c>
    </row>
    <row r="41" spans="1:7" ht="34" customHeight="1">
      <c r="A41" s="237" t="s">
        <v>782</v>
      </c>
      <c r="B41" s="236" t="s">
        <v>783</v>
      </c>
      <c r="C41" s="238" t="s">
        <v>784</v>
      </c>
      <c r="D41" s="240">
        <v>500000</v>
      </c>
      <c r="E41" s="246">
        <v>17100</v>
      </c>
      <c r="F41" s="240">
        <v>8550000000</v>
      </c>
      <c r="G41" s="239">
        <v>2.2100000000000002E-2</v>
      </c>
    </row>
    <row r="42" spans="1:7" ht="34" customHeight="1">
      <c r="A42" s="237" t="s">
        <v>785</v>
      </c>
      <c r="B42" s="236" t="s">
        <v>786</v>
      </c>
      <c r="C42" s="238" t="s">
        <v>787</v>
      </c>
      <c r="D42" s="240">
        <v>600000</v>
      </c>
      <c r="E42" s="246">
        <v>42900</v>
      </c>
      <c r="F42" s="240">
        <v>25740000000</v>
      </c>
      <c r="G42" s="239">
        <v>6.6400000000000001E-2</v>
      </c>
    </row>
    <row r="43" spans="1:7" ht="34" customHeight="1">
      <c r="A43" s="237" t="s">
        <v>788</v>
      </c>
      <c r="B43" s="236" t="s">
        <v>789</v>
      </c>
      <c r="C43" s="238" t="s">
        <v>790</v>
      </c>
      <c r="D43" s="240">
        <v>330000</v>
      </c>
      <c r="E43" s="246">
        <v>31000</v>
      </c>
      <c r="F43" s="240">
        <v>10230000000</v>
      </c>
      <c r="G43" s="239">
        <v>2.64E-2</v>
      </c>
    </row>
    <row r="44" spans="1:7" ht="34" customHeight="1">
      <c r="A44" s="237" t="s">
        <v>791</v>
      </c>
      <c r="B44" s="236" t="s">
        <v>792</v>
      </c>
      <c r="C44" s="238" t="s">
        <v>793</v>
      </c>
      <c r="D44" s="240">
        <v>200000</v>
      </c>
      <c r="E44" s="246">
        <v>28850</v>
      </c>
      <c r="F44" s="240">
        <v>5770000000</v>
      </c>
      <c r="G44" s="239">
        <v>1.49E-2</v>
      </c>
    </row>
    <row r="45" spans="1:7" ht="34" customHeight="1">
      <c r="A45" s="237" t="s">
        <v>794</v>
      </c>
      <c r="B45" s="236" t="s">
        <v>795</v>
      </c>
      <c r="C45" s="238" t="s">
        <v>796</v>
      </c>
      <c r="D45" s="240">
        <v>120000</v>
      </c>
      <c r="E45" s="246">
        <v>89900</v>
      </c>
      <c r="F45" s="240">
        <v>10788000000</v>
      </c>
      <c r="G45" s="239">
        <v>2.7799999999999998E-2</v>
      </c>
    </row>
    <row r="46" spans="1:7" ht="34" customHeight="1">
      <c r="A46" s="237" t="s">
        <v>797</v>
      </c>
      <c r="B46" s="236" t="s">
        <v>798</v>
      </c>
      <c r="C46" s="238" t="s">
        <v>799</v>
      </c>
      <c r="D46" s="240">
        <v>350000</v>
      </c>
      <c r="E46" s="246">
        <v>10650</v>
      </c>
      <c r="F46" s="240">
        <v>3727500000</v>
      </c>
      <c r="G46" s="239">
        <v>9.5999999999999992E-3</v>
      </c>
    </row>
    <row r="47" spans="1:7" ht="34" customHeight="1">
      <c r="A47" s="237" t="s">
        <v>800</v>
      </c>
      <c r="B47" s="236" t="s">
        <v>801</v>
      </c>
      <c r="C47" s="238" t="s">
        <v>802</v>
      </c>
      <c r="D47" s="240">
        <v>430000</v>
      </c>
      <c r="E47" s="246">
        <v>17850</v>
      </c>
      <c r="F47" s="240">
        <v>7675500000</v>
      </c>
      <c r="G47" s="239">
        <v>1.9800000000000002E-2</v>
      </c>
    </row>
    <row r="48" spans="1:7" ht="34" customHeight="1">
      <c r="A48" s="237" t="s">
        <v>803</v>
      </c>
      <c r="B48" s="236" t="s">
        <v>804</v>
      </c>
      <c r="C48" s="238" t="s">
        <v>805</v>
      </c>
      <c r="D48" s="240">
        <v>350000</v>
      </c>
      <c r="E48" s="246">
        <v>21400</v>
      </c>
      <c r="F48" s="240">
        <v>7490000000</v>
      </c>
      <c r="G48" s="239">
        <v>1.9300000000000001E-2</v>
      </c>
    </row>
    <row r="49" spans="1:7" ht="34" customHeight="1">
      <c r="A49" s="237" t="s">
        <v>806</v>
      </c>
      <c r="B49" s="236" t="s">
        <v>807</v>
      </c>
      <c r="C49" s="238" t="s">
        <v>808</v>
      </c>
      <c r="D49" s="240">
        <v>320000</v>
      </c>
      <c r="E49" s="246">
        <v>22000</v>
      </c>
      <c r="F49" s="240">
        <v>7040000000</v>
      </c>
      <c r="G49" s="239">
        <v>1.8200000000000001E-2</v>
      </c>
    </row>
    <row r="50" spans="1:7" ht="34" customHeight="1">
      <c r="A50" s="237" t="s">
        <v>809</v>
      </c>
      <c r="B50" s="236" t="s">
        <v>810</v>
      </c>
      <c r="C50" s="238" t="s">
        <v>811</v>
      </c>
      <c r="D50" s="240">
        <v>110000</v>
      </c>
      <c r="E50" s="246">
        <v>71500</v>
      </c>
      <c r="F50" s="240">
        <v>7865000000</v>
      </c>
      <c r="G50" s="239">
        <v>2.0299999999999999E-2</v>
      </c>
    </row>
    <row r="51" spans="1:7" ht="34" customHeight="1">
      <c r="A51" s="237" t="s">
        <v>812</v>
      </c>
      <c r="B51" s="236" t="s">
        <v>813</v>
      </c>
      <c r="C51" s="238" t="s">
        <v>814</v>
      </c>
      <c r="D51" s="240">
        <v>400000</v>
      </c>
      <c r="E51" s="246">
        <v>17700</v>
      </c>
      <c r="F51" s="240">
        <v>7080000000</v>
      </c>
      <c r="G51" s="239">
        <v>1.83E-2</v>
      </c>
    </row>
    <row r="52" spans="1:7" ht="34" customHeight="1">
      <c r="A52" s="237" t="s">
        <v>815</v>
      </c>
      <c r="B52" s="236" t="s">
        <v>816</v>
      </c>
      <c r="C52" s="238" t="s">
        <v>817</v>
      </c>
      <c r="D52" s="240">
        <v>700000</v>
      </c>
      <c r="E52" s="246">
        <v>22500</v>
      </c>
      <c r="F52" s="240">
        <v>15750000000</v>
      </c>
      <c r="G52" s="239">
        <v>4.0599999999999997E-2</v>
      </c>
    </row>
    <row r="53" spans="1:7" ht="34" customHeight="1">
      <c r="A53" s="237" t="s">
        <v>818</v>
      </c>
      <c r="B53" s="236" t="s">
        <v>819</v>
      </c>
      <c r="C53" s="238" t="s">
        <v>820</v>
      </c>
      <c r="D53" s="240">
        <v>170000</v>
      </c>
      <c r="E53" s="246">
        <v>80000</v>
      </c>
      <c r="F53" s="240">
        <v>13600000000</v>
      </c>
      <c r="G53" s="239">
        <v>3.5099999999999999E-2</v>
      </c>
    </row>
    <row r="54" spans="1:7" ht="34" customHeight="1">
      <c r="A54" s="237" t="s">
        <v>821</v>
      </c>
      <c r="B54" s="236" t="s">
        <v>822</v>
      </c>
      <c r="C54" s="238" t="s">
        <v>823</v>
      </c>
      <c r="D54" s="240">
        <v>300000</v>
      </c>
      <c r="E54" s="246">
        <v>17250</v>
      </c>
      <c r="F54" s="240">
        <v>5175000000</v>
      </c>
      <c r="G54" s="239">
        <v>1.34E-2</v>
      </c>
    </row>
    <row r="55" spans="1:7" ht="34" customHeight="1">
      <c r="A55" s="237" t="s">
        <v>824</v>
      </c>
      <c r="B55" s="236" t="s">
        <v>825</v>
      </c>
      <c r="C55" s="238" t="s">
        <v>826</v>
      </c>
      <c r="D55" s="240">
        <v>250000</v>
      </c>
      <c r="E55" s="246">
        <v>23250</v>
      </c>
      <c r="F55" s="240">
        <v>5812500000</v>
      </c>
      <c r="G55" s="239">
        <v>1.4999999999999999E-2</v>
      </c>
    </row>
    <row r="56" spans="1:7" ht="34" customHeight="1">
      <c r="A56" s="237" t="s">
        <v>827</v>
      </c>
      <c r="B56" s="236" t="s">
        <v>828</v>
      </c>
      <c r="C56" s="238" t="s">
        <v>829</v>
      </c>
      <c r="D56" s="240">
        <v>150000</v>
      </c>
      <c r="E56" s="246">
        <v>33800</v>
      </c>
      <c r="F56" s="240">
        <v>5070000000</v>
      </c>
      <c r="G56" s="239">
        <v>1.3100000000000001E-2</v>
      </c>
    </row>
    <row r="57" spans="1:7" ht="34" customHeight="1">
      <c r="A57" s="237" t="s">
        <v>830</v>
      </c>
      <c r="B57" s="236" t="s">
        <v>831</v>
      </c>
      <c r="C57" s="238" t="s">
        <v>832</v>
      </c>
      <c r="D57" s="240">
        <v>100000</v>
      </c>
      <c r="E57" s="246">
        <v>69800</v>
      </c>
      <c r="F57" s="240">
        <v>6980000000</v>
      </c>
      <c r="G57" s="239">
        <v>1.7999999999999999E-2</v>
      </c>
    </row>
    <row r="58" spans="1:7" ht="34" customHeight="1">
      <c r="A58" s="237" t="s">
        <v>833</v>
      </c>
      <c r="B58" s="236" t="s">
        <v>834</v>
      </c>
      <c r="C58" s="238" t="s">
        <v>835</v>
      </c>
      <c r="D58" s="240">
        <v>180000</v>
      </c>
      <c r="E58" s="246">
        <v>48000</v>
      </c>
      <c r="F58" s="240">
        <v>8640000000</v>
      </c>
      <c r="G58" s="239">
        <v>2.23E-2</v>
      </c>
    </row>
    <row r="59" spans="1:7" ht="34" customHeight="1">
      <c r="A59" s="237" t="s">
        <v>836</v>
      </c>
      <c r="B59" s="236" t="s">
        <v>837</v>
      </c>
      <c r="C59" s="238" t="s">
        <v>838</v>
      </c>
      <c r="D59" s="240">
        <v>350000</v>
      </c>
      <c r="E59" s="246">
        <v>13500</v>
      </c>
      <c r="F59" s="240">
        <v>4725000000</v>
      </c>
      <c r="G59" s="239">
        <v>1.2200000000000001E-2</v>
      </c>
    </row>
    <row r="60" spans="1:7" ht="34" customHeight="1">
      <c r="A60" s="237" t="s">
        <v>839</v>
      </c>
      <c r="B60" s="236" t="s">
        <v>840</v>
      </c>
      <c r="C60" s="238" t="s">
        <v>841</v>
      </c>
      <c r="D60" s="240">
        <v>1500000</v>
      </c>
      <c r="E60" s="246">
        <v>17900</v>
      </c>
      <c r="F60" s="240">
        <v>26850000000</v>
      </c>
      <c r="G60" s="239">
        <v>6.93E-2</v>
      </c>
    </row>
    <row r="61" spans="1:7" ht="34" customHeight="1">
      <c r="A61" s="237" t="s">
        <v>842</v>
      </c>
      <c r="B61" s="236" t="s">
        <v>843</v>
      </c>
      <c r="C61" s="238" t="s">
        <v>844</v>
      </c>
      <c r="D61" s="240">
        <v>200000</v>
      </c>
      <c r="E61" s="246">
        <v>26300</v>
      </c>
      <c r="F61" s="240">
        <v>5260000000</v>
      </c>
      <c r="G61" s="239">
        <v>1.3599999999999999E-2</v>
      </c>
    </row>
    <row r="62" spans="1:7" ht="39" customHeight="1">
      <c r="A62" s="242"/>
      <c r="B62" s="241" t="s">
        <v>845</v>
      </c>
      <c r="C62" s="242" t="s">
        <v>846</v>
      </c>
      <c r="D62" s="244"/>
      <c r="E62" s="244"/>
      <c r="F62" s="244">
        <v>354334000000</v>
      </c>
      <c r="G62" s="243">
        <v>0.91449999999999998</v>
      </c>
    </row>
    <row r="63" spans="1:7" ht="39" customHeight="1">
      <c r="A63" s="242" t="s">
        <v>847</v>
      </c>
      <c r="B63" s="241" t="s">
        <v>848</v>
      </c>
      <c r="C63" s="242" t="s">
        <v>849</v>
      </c>
      <c r="D63" s="244"/>
      <c r="E63" s="244"/>
      <c r="F63" s="244"/>
      <c r="G63" s="243"/>
    </row>
    <row r="64" spans="1:7" ht="39" customHeight="1">
      <c r="A64" s="237" t="s">
        <v>850</v>
      </c>
      <c r="B64" s="236" t="s">
        <v>851</v>
      </c>
      <c r="C64" s="238" t="s">
        <v>852</v>
      </c>
      <c r="D64" s="240" t="s">
        <v>853</v>
      </c>
      <c r="E64" s="246" t="s">
        <v>854</v>
      </c>
      <c r="F64" s="240" t="s">
        <v>855</v>
      </c>
      <c r="G64" s="239" t="s">
        <v>856</v>
      </c>
    </row>
    <row r="65" spans="1:7" ht="39" customHeight="1">
      <c r="A65" s="242"/>
      <c r="B65" s="241" t="s">
        <v>857</v>
      </c>
      <c r="C65" s="242" t="s">
        <v>858</v>
      </c>
      <c r="D65" s="244"/>
      <c r="E65" s="244"/>
      <c r="F65" s="244">
        <v>0</v>
      </c>
      <c r="G65" s="243">
        <v>0</v>
      </c>
    </row>
    <row r="66" spans="1:7" ht="39" customHeight="1">
      <c r="A66" s="242" t="s">
        <v>859</v>
      </c>
      <c r="B66" s="241" t="s">
        <v>860</v>
      </c>
      <c r="C66" s="242" t="s">
        <v>861</v>
      </c>
      <c r="D66" s="244"/>
      <c r="E66" s="244"/>
      <c r="F66" s="244"/>
      <c r="G66" s="243"/>
    </row>
    <row r="67" spans="1:7" ht="39" customHeight="1">
      <c r="A67" s="237" t="s">
        <v>862</v>
      </c>
      <c r="B67" s="236" t="s">
        <v>863</v>
      </c>
      <c r="C67" s="238" t="s">
        <v>864</v>
      </c>
      <c r="D67" s="240" t="s">
        <v>865</v>
      </c>
      <c r="E67" s="246" t="s">
        <v>866</v>
      </c>
      <c r="F67" s="240" t="s">
        <v>867</v>
      </c>
      <c r="G67" s="239" t="s">
        <v>868</v>
      </c>
    </row>
    <row r="68" spans="1:7" ht="39" customHeight="1">
      <c r="A68" s="237" t="s">
        <v>869</v>
      </c>
      <c r="B68" s="236" t="s">
        <v>870</v>
      </c>
      <c r="C68" s="238" t="s">
        <v>871</v>
      </c>
      <c r="D68" s="240"/>
      <c r="E68" s="246"/>
      <c r="F68" s="240">
        <v>0</v>
      </c>
      <c r="G68" s="239">
        <v>0</v>
      </c>
    </row>
    <row r="69" spans="1:7" ht="39" customHeight="1">
      <c r="A69" s="237" t="s">
        <v>872</v>
      </c>
      <c r="B69" s="236" t="s">
        <v>873</v>
      </c>
      <c r="C69" s="238" t="s">
        <v>874</v>
      </c>
      <c r="D69" s="240"/>
      <c r="E69" s="246"/>
      <c r="F69" s="240">
        <v>0</v>
      </c>
      <c r="G69" s="239">
        <v>0</v>
      </c>
    </row>
    <row r="70" spans="1:7" ht="39" customHeight="1">
      <c r="A70" s="242"/>
      <c r="B70" s="241" t="s">
        <v>875</v>
      </c>
      <c r="C70" s="242" t="s">
        <v>876</v>
      </c>
      <c r="D70" s="244"/>
      <c r="E70" s="244"/>
      <c r="F70" s="244">
        <v>0</v>
      </c>
      <c r="G70" s="243">
        <v>0</v>
      </c>
    </row>
    <row r="71" spans="1:7" ht="39" customHeight="1">
      <c r="A71" s="242" t="s">
        <v>877</v>
      </c>
      <c r="B71" s="241" t="s">
        <v>878</v>
      </c>
      <c r="C71" s="242" t="s">
        <v>879</v>
      </c>
      <c r="D71" s="244"/>
      <c r="E71" s="244"/>
      <c r="F71" s="244"/>
      <c r="G71" s="243"/>
    </row>
    <row r="72" spans="1:7" ht="39" customHeight="1">
      <c r="A72" s="237" t="s">
        <v>880</v>
      </c>
      <c r="B72" s="236" t="s">
        <v>881</v>
      </c>
      <c r="C72" s="238" t="s">
        <v>882</v>
      </c>
      <c r="D72" s="240" t="s">
        <v>883</v>
      </c>
      <c r="E72" s="246" t="s">
        <v>884</v>
      </c>
      <c r="F72" s="240" t="s">
        <v>885</v>
      </c>
      <c r="G72" s="239" t="s">
        <v>886</v>
      </c>
    </row>
    <row r="73" spans="1:7" ht="39" customHeight="1">
      <c r="A73" s="237" t="s">
        <v>887</v>
      </c>
      <c r="B73" s="236" t="s">
        <v>888</v>
      </c>
      <c r="C73" s="238" t="s">
        <v>889</v>
      </c>
      <c r="D73" s="240"/>
      <c r="E73" s="246"/>
      <c r="F73" s="240">
        <v>0</v>
      </c>
      <c r="G73" s="239">
        <v>0</v>
      </c>
    </row>
    <row r="74" spans="1:7" ht="39" customHeight="1">
      <c r="A74" s="237" t="s">
        <v>890</v>
      </c>
      <c r="B74" s="236" t="s">
        <v>891</v>
      </c>
      <c r="C74" s="238" t="s">
        <v>892</v>
      </c>
      <c r="D74" s="240"/>
      <c r="E74" s="246"/>
      <c r="F74" s="240">
        <v>0</v>
      </c>
      <c r="G74" s="239">
        <v>0</v>
      </c>
    </row>
    <row r="75" spans="1:7" ht="34" customHeight="1">
      <c r="A75" s="242"/>
      <c r="B75" s="241" t="s">
        <v>893</v>
      </c>
      <c r="C75" s="242" t="s">
        <v>894</v>
      </c>
      <c r="D75" s="244"/>
      <c r="E75" s="244"/>
      <c r="F75" s="244">
        <v>0</v>
      </c>
      <c r="G75" s="243">
        <v>0</v>
      </c>
    </row>
    <row r="76" spans="1:7" ht="39" customHeight="1">
      <c r="A76" s="242"/>
      <c r="B76" s="241" t="s">
        <v>895</v>
      </c>
      <c r="C76" s="242" t="s">
        <v>896</v>
      </c>
      <c r="D76" s="244"/>
      <c r="E76" s="244"/>
      <c r="F76" s="244">
        <v>354334000000</v>
      </c>
      <c r="G76" s="243">
        <v>0.91449999999999998</v>
      </c>
    </row>
    <row r="77" spans="1:7" ht="39" customHeight="1">
      <c r="A77" s="242" t="s">
        <v>897</v>
      </c>
      <c r="B77" s="241" t="s">
        <v>898</v>
      </c>
      <c r="C77" s="242" t="s">
        <v>899</v>
      </c>
      <c r="D77" s="244"/>
      <c r="E77" s="244"/>
      <c r="F77" s="244"/>
      <c r="G77" s="243"/>
    </row>
    <row r="78" spans="1:7" ht="39" customHeight="1">
      <c r="A78" s="237" t="s">
        <v>900</v>
      </c>
      <c r="B78" s="236" t="s">
        <v>901</v>
      </c>
      <c r="C78" s="238" t="s">
        <v>902</v>
      </c>
      <c r="D78" s="240" t="s">
        <v>903</v>
      </c>
      <c r="E78" s="246" t="s">
        <v>904</v>
      </c>
      <c r="F78" s="240" t="s">
        <v>905</v>
      </c>
      <c r="G78" s="239" t="s">
        <v>906</v>
      </c>
    </row>
    <row r="79" spans="1:7" ht="39" customHeight="1">
      <c r="A79" s="237" t="s">
        <v>907</v>
      </c>
      <c r="B79" s="236" t="s">
        <v>908</v>
      </c>
      <c r="C79" s="238" t="s">
        <v>909</v>
      </c>
      <c r="D79" s="240"/>
      <c r="E79" s="246"/>
      <c r="F79" s="240">
        <v>584000000</v>
      </c>
      <c r="G79" s="239">
        <v>1.5E-3</v>
      </c>
    </row>
    <row r="80" spans="1:7" ht="39" customHeight="1">
      <c r="A80" s="237" t="s">
        <v>910</v>
      </c>
      <c r="B80" s="236" t="s">
        <v>911</v>
      </c>
      <c r="C80" s="238" t="s">
        <v>912</v>
      </c>
      <c r="D80" s="240"/>
      <c r="E80" s="246"/>
      <c r="F80" s="240">
        <v>0</v>
      </c>
      <c r="G80" s="239">
        <v>0</v>
      </c>
    </row>
    <row r="81" spans="1:7" ht="47.15" customHeight="1">
      <c r="A81" s="237" t="s">
        <v>913</v>
      </c>
      <c r="B81" s="236" t="s">
        <v>914</v>
      </c>
      <c r="C81" s="238" t="s">
        <v>915</v>
      </c>
      <c r="D81" s="240"/>
      <c r="E81" s="246"/>
      <c r="F81" s="240">
        <v>18082192</v>
      </c>
      <c r="G81" s="239">
        <v>0</v>
      </c>
    </row>
    <row r="82" spans="1:7" ht="45" customHeight="1">
      <c r="A82" s="237" t="s">
        <v>916</v>
      </c>
      <c r="B82" s="236" t="s">
        <v>917</v>
      </c>
      <c r="C82" s="238" t="s">
        <v>918</v>
      </c>
      <c r="D82" s="240"/>
      <c r="E82" s="246"/>
      <c r="F82" s="240">
        <v>1346000000</v>
      </c>
      <c r="G82" s="239">
        <v>3.5000000000000001E-3</v>
      </c>
    </row>
    <row r="83" spans="1:7" ht="57" customHeight="1">
      <c r="A83" s="237" t="s">
        <v>919</v>
      </c>
      <c r="B83" s="236" t="s">
        <v>920</v>
      </c>
      <c r="C83" s="238" t="s">
        <v>921</v>
      </c>
      <c r="D83" s="240"/>
      <c r="E83" s="246"/>
      <c r="F83" s="240">
        <v>0</v>
      </c>
      <c r="G83" s="239">
        <v>0</v>
      </c>
    </row>
    <row r="84" spans="1:7" ht="39" customHeight="1">
      <c r="A84" s="237" t="s">
        <v>922</v>
      </c>
      <c r="B84" s="236" t="s">
        <v>923</v>
      </c>
      <c r="C84" s="238" t="s">
        <v>924</v>
      </c>
      <c r="D84" s="240"/>
      <c r="E84" s="246"/>
      <c r="F84" s="240">
        <v>0</v>
      </c>
      <c r="G84" s="239">
        <v>0</v>
      </c>
    </row>
    <row r="85" spans="1:7" ht="39" customHeight="1">
      <c r="A85" s="237" t="s">
        <v>925</v>
      </c>
      <c r="B85" s="236" t="s">
        <v>926</v>
      </c>
      <c r="C85" s="238" t="s">
        <v>927</v>
      </c>
      <c r="D85" s="240"/>
      <c r="E85" s="246"/>
      <c r="F85" s="240">
        <v>0</v>
      </c>
      <c r="G85" s="239">
        <v>0</v>
      </c>
    </row>
    <row r="86" spans="1:7" ht="39" customHeight="1">
      <c r="A86" s="242"/>
      <c r="B86" s="241" t="s">
        <v>928</v>
      </c>
      <c r="C86" s="242" t="s">
        <v>929</v>
      </c>
      <c r="D86" s="244"/>
      <c r="E86" s="244"/>
      <c r="F86" s="244">
        <v>1948082192</v>
      </c>
      <c r="G86" s="243">
        <v>5.0000000000000001E-3</v>
      </c>
    </row>
    <row r="87" spans="1:7" ht="39" customHeight="1">
      <c r="A87" s="242" t="s">
        <v>930</v>
      </c>
      <c r="B87" s="241" t="s">
        <v>931</v>
      </c>
      <c r="C87" s="242" t="s">
        <v>932</v>
      </c>
      <c r="D87" s="244"/>
      <c r="E87" s="244"/>
      <c r="F87" s="244"/>
      <c r="G87" s="243"/>
    </row>
    <row r="88" spans="1:7" ht="39" customHeight="1">
      <c r="A88" s="237" t="s">
        <v>933</v>
      </c>
      <c r="B88" s="236" t="s">
        <v>934</v>
      </c>
      <c r="C88" s="238" t="s">
        <v>935</v>
      </c>
      <c r="D88" s="240"/>
      <c r="E88" s="246"/>
      <c r="F88" s="240">
        <v>31183889594</v>
      </c>
      <c r="G88" s="239">
        <v>8.0500000000000002E-2</v>
      </c>
    </row>
    <row r="89" spans="1:7" ht="39" customHeight="1">
      <c r="A89" s="237" t="s">
        <v>936</v>
      </c>
      <c r="B89" s="236" t="s">
        <v>937</v>
      </c>
      <c r="C89" s="238" t="s">
        <v>938</v>
      </c>
      <c r="D89" s="240" t="s">
        <v>939</v>
      </c>
      <c r="E89" s="246" t="s">
        <v>940</v>
      </c>
      <c r="F89" s="240" t="s">
        <v>941</v>
      </c>
      <c r="G89" s="239" t="s">
        <v>942</v>
      </c>
    </row>
    <row r="90" spans="1:7" ht="39" customHeight="1">
      <c r="A90" s="237" t="s">
        <v>943</v>
      </c>
      <c r="B90" s="236" t="s">
        <v>944</v>
      </c>
      <c r="C90" s="238" t="s">
        <v>945</v>
      </c>
      <c r="D90" s="240"/>
      <c r="E90" s="246"/>
      <c r="F90" s="240">
        <v>21183889594</v>
      </c>
      <c r="G90" s="239">
        <v>5.4699999999999999E-2</v>
      </c>
    </row>
    <row r="91" spans="1:7" ht="39" customHeight="1">
      <c r="A91" s="237" t="s">
        <v>946</v>
      </c>
      <c r="B91" s="236" t="s">
        <v>947</v>
      </c>
      <c r="C91" s="238" t="s">
        <v>948</v>
      </c>
      <c r="D91" s="240"/>
      <c r="E91" s="246"/>
      <c r="F91" s="240">
        <v>10000000000</v>
      </c>
      <c r="G91" s="239">
        <v>2.58E-2</v>
      </c>
    </row>
    <row r="92" spans="1:7" ht="39" customHeight="1">
      <c r="A92" s="237" t="s">
        <v>949</v>
      </c>
      <c r="B92" s="236" t="s">
        <v>950</v>
      </c>
      <c r="C92" s="238" t="s">
        <v>951</v>
      </c>
      <c r="D92" s="240"/>
      <c r="E92" s="246"/>
      <c r="F92" s="240">
        <v>0</v>
      </c>
      <c r="G92" s="239">
        <v>0</v>
      </c>
    </row>
    <row r="93" spans="1:7" ht="39" customHeight="1">
      <c r="A93" s="237" t="s">
        <v>952</v>
      </c>
      <c r="B93" s="236" t="s">
        <v>953</v>
      </c>
      <c r="C93" s="238" t="s">
        <v>954</v>
      </c>
      <c r="D93" s="240"/>
      <c r="E93" s="246"/>
      <c r="F93" s="240">
        <v>0</v>
      </c>
      <c r="G93" s="239">
        <v>0</v>
      </c>
    </row>
    <row r="94" spans="1:7" ht="39" customHeight="1">
      <c r="A94" s="242"/>
      <c r="B94" s="241" t="s">
        <v>955</v>
      </c>
      <c r="C94" s="242" t="s">
        <v>956</v>
      </c>
      <c r="D94" s="244"/>
      <c r="E94" s="244"/>
      <c r="F94" s="244">
        <v>31183889594</v>
      </c>
      <c r="G94" s="243">
        <v>8.0500000000000002E-2</v>
      </c>
    </row>
    <row r="95" spans="1:7" ht="39" customHeight="1">
      <c r="A95" s="242" t="s">
        <v>957</v>
      </c>
      <c r="B95" s="241" t="s">
        <v>958</v>
      </c>
      <c r="C95" s="242" t="s">
        <v>959</v>
      </c>
      <c r="D95" s="244"/>
      <c r="E95" s="244"/>
      <c r="F95" s="244">
        <v>387465971786</v>
      </c>
      <c r="G95" s="243">
        <v>1</v>
      </c>
    </row>
    <row r="96" spans="1:7" ht="16.899999999999999" customHeight="1">
      <c r="A96" s="90"/>
      <c r="B96" s="32"/>
      <c r="C96" s="32"/>
      <c r="D96" s="32"/>
      <c r="E96" s="18"/>
      <c r="F96" s="32"/>
    </row>
    <row r="97" spans="1:7" ht="16.899999999999999" customHeight="1">
      <c r="A97" s="18" t="s">
        <v>10</v>
      </c>
      <c r="B97" s="32"/>
      <c r="C97" s="32"/>
      <c r="D97" s="32"/>
      <c r="E97" s="18" t="s">
        <v>11</v>
      </c>
      <c r="F97" s="32"/>
    </row>
    <row r="98" spans="1:7" ht="16.899999999999999" customHeight="1">
      <c r="A98" s="19" t="s">
        <v>12</v>
      </c>
      <c r="B98" s="32"/>
      <c r="C98" s="32"/>
      <c r="D98" s="32"/>
      <c r="E98" s="19" t="s">
        <v>13</v>
      </c>
      <c r="F98" s="32"/>
    </row>
    <row r="99" spans="1:7" ht="16.899999999999999" customHeight="1"/>
    <row r="100" spans="1:7" ht="16.899999999999999" customHeight="1">
      <c r="A100" s="25"/>
      <c r="E100" s="25"/>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33" t="s">
        <v>14</v>
      </c>
      <c r="B107" s="29"/>
      <c r="C107" s="29"/>
      <c r="E107" s="33" t="s">
        <v>1603</v>
      </c>
      <c r="F107" s="29"/>
      <c r="G107" s="29"/>
    </row>
    <row r="108" spans="1:7" ht="16.899999999999999" customHeight="1">
      <c r="A108" s="34" t="s">
        <v>1607</v>
      </c>
      <c r="E108" s="34" t="s">
        <v>1608</v>
      </c>
    </row>
    <row r="109" spans="1:7" ht="16.899999999999999" customHeight="1">
      <c r="A109" s="35" t="s">
        <v>1609</v>
      </c>
      <c r="E109" s="36" t="s">
        <v>1610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17" zoomScale="95" zoomScaleNormal="100" zoomScaleSheetLayoutView="95" workbookViewId="0">
      <selection activeCell="D27" sqref="D27"/>
    </sheetView>
  </sheetViews>
  <sheetFormatPr defaultColWidth="8.7265625" defaultRowHeight="53.25" customHeight="1"/>
  <cols>
    <col min="1" max="1" width="8.7265625" style="15"/>
    <col min="2" max="2" width="59.81640625" style="15" customWidth="1"/>
    <col min="3" max="3" width="10.7265625" style="15" bestFit="1" customWidth="1"/>
    <col min="4" max="4" width="41.7265625" style="15" customWidth="1"/>
    <col min="5" max="5" width="39.54296875" style="15" customWidth="1"/>
    <col min="6" max="6" width="8.453125" style="188" customWidth="1"/>
    <col min="7" max="16384" width="8.7265625" style="188"/>
  </cols>
  <sheetData>
    <row r="1" spans="1:6" ht="53.25" customHeight="1">
      <c r="A1" s="280" t="s">
        <v>683</v>
      </c>
      <c r="B1" s="280"/>
      <c r="C1" s="280"/>
      <c r="D1" s="280"/>
      <c r="E1" s="280"/>
      <c r="F1" s="189"/>
    </row>
    <row r="2" spans="1:6" ht="66" customHeight="1">
      <c r="A2" s="281" t="s">
        <v>684</v>
      </c>
      <c r="B2" s="281"/>
      <c r="C2" s="281"/>
      <c r="D2" s="281"/>
      <c r="E2" s="281"/>
      <c r="F2" s="190"/>
    </row>
    <row r="3" spans="1:6" ht="40.5" customHeight="1">
      <c r="A3" s="282" t="s">
        <v>631</v>
      </c>
      <c r="B3" s="282"/>
      <c r="C3" s="282"/>
      <c r="D3" s="282"/>
      <c r="E3" s="282"/>
      <c r="F3" s="189"/>
    </row>
    <row r="4" spans="1:6" ht="12.5" hidden="1">
      <c r="A4" s="282"/>
      <c r="B4" s="282"/>
      <c r="C4" s="282"/>
      <c r="D4" s="282"/>
      <c r="E4" s="282"/>
      <c r="F4" s="189"/>
    </row>
    <row r="5" spans="1:6" ht="12.5">
      <c r="A5" s="283" t="s">
        <v>1602</v>
      </c>
      <c r="B5" s="283"/>
      <c r="C5" s="283"/>
      <c r="D5" s="283"/>
      <c r="E5" s="283"/>
      <c r="F5" s="191"/>
    </row>
    <row r="6" spans="1:6" ht="12.5"/>
    <row r="7" spans="1:6" ht="12.5">
      <c r="A7" s="160" t="s">
        <v>2</v>
      </c>
      <c r="C7" s="284" t="s">
        <v>1603</v>
      </c>
      <c r="D7" s="284"/>
      <c r="E7" s="284"/>
    </row>
    <row r="8" spans="1:6" ht="12.5">
      <c r="A8" s="15" t="s">
        <v>15</v>
      </c>
      <c r="C8" s="279" t="s">
        <v>1604</v>
      </c>
      <c r="D8" s="279"/>
      <c r="E8" s="279"/>
    </row>
    <row r="9" spans="1:6" ht="12.5">
      <c r="A9" s="160" t="s">
        <v>3</v>
      </c>
      <c r="C9" s="284" t="s">
        <v>1605</v>
      </c>
      <c r="D9" s="284"/>
      <c r="E9" s="284"/>
    </row>
    <row r="10" spans="1:6" ht="12.5">
      <c r="A10" s="15" t="s">
        <v>4</v>
      </c>
      <c r="C10" s="279" t="s">
        <v>1606</v>
      </c>
      <c r="D10" s="279"/>
      <c r="E10" s="279"/>
    </row>
    <row r="11" spans="1:6" ht="12.5">
      <c r="A11" s="160" t="s">
        <v>5</v>
      </c>
      <c r="C11" s="284" t="s">
        <v>709</v>
      </c>
      <c r="D11" s="284"/>
      <c r="E11" s="284"/>
    </row>
    <row r="12" spans="1:6" ht="12.5">
      <c r="A12" s="15" t="s">
        <v>6</v>
      </c>
      <c r="C12" s="279" t="s">
        <v>1619</v>
      </c>
      <c r="D12" s="279"/>
      <c r="E12" s="279"/>
    </row>
    <row r="13" spans="1:6" ht="12.5">
      <c r="A13" s="160" t="s">
        <v>7</v>
      </c>
      <c r="C13" s="284" t="s">
        <v>1668</v>
      </c>
      <c r="D13" s="284"/>
      <c r="E13" s="284"/>
    </row>
    <row r="14" spans="1:6" ht="12.5">
      <c r="A14" s="15" t="s">
        <v>8</v>
      </c>
      <c r="C14" s="279" t="s">
        <v>1669</v>
      </c>
      <c r="D14" s="279"/>
      <c r="E14" s="279"/>
    </row>
    <row r="15" spans="1:6" ht="12.5"/>
    <row r="16" spans="1:6" ht="12.5">
      <c r="A16" s="129" t="s">
        <v>681</v>
      </c>
      <c r="B16" s="130" t="s">
        <v>682</v>
      </c>
    </row>
    <row r="17" spans="1:5" ht="12.5">
      <c r="A17" s="20" t="s">
        <v>30</v>
      </c>
      <c r="B17" s="21" t="s">
        <v>359</v>
      </c>
    </row>
    <row r="18" spans="1:5" ht="37.5">
      <c r="A18" s="222" t="s">
        <v>17</v>
      </c>
      <c r="B18" s="222" t="s">
        <v>671</v>
      </c>
      <c r="C18" s="222" t="s">
        <v>19</v>
      </c>
      <c r="D18" s="223" t="s">
        <v>1613</v>
      </c>
      <c r="E18" s="223" t="s">
        <v>1614</v>
      </c>
    </row>
    <row r="19" spans="1:5" s="192" customFormat="1" ht="25">
      <c r="A19" s="54" t="s">
        <v>16</v>
      </c>
      <c r="B19" s="123" t="s">
        <v>115</v>
      </c>
      <c r="C19" s="124" t="s">
        <v>116</v>
      </c>
      <c r="D19" s="239"/>
      <c r="E19" s="239"/>
    </row>
    <row r="20" spans="1:5" ht="50">
      <c r="A20" s="161">
        <v>1</v>
      </c>
      <c r="B20" s="125" t="s">
        <v>655</v>
      </c>
      <c r="C20" s="126" t="s">
        <v>117</v>
      </c>
      <c r="D20" s="239">
        <v>1.93021215424906E-2</v>
      </c>
      <c r="E20" s="239">
        <v>1.9302111094890401E-2</v>
      </c>
    </row>
    <row r="21" spans="1:5" ht="50">
      <c r="A21" s="161">
        <v>2</v>
      </c>
      <c r="B21" s="125" t="s">
        <v>656</v>
      </c>
      <c r="C21" s="126" t="s">
        <v>118</v>
      </c>
      <c r="D21" s="239">
        <v>1.3481653819685301E-3</v>
      </c>
      <c r="E21" s="239">
        <v>1.42229651787109E-3</v>
      </c>
    </row>
    <row r="22" spans="1:5" ht="62.5">
      <c r="A22" s="161">
        <v>3</v>
      </c>
      <c r="B22" s="125" t="s">
        <v>657</v>
      </c>
      <c r="C22" s="126" t="s">
        <v>119</v>
      </c>
      <c r="D22" s="239">
        <v>6.96511576391871E-4</v>
      </c>
      <c r="E22" s="239">
        <v>6.9880889471529803E-4</v>
      </c>
    </row>
    <row r="23" spans="1:5" ht="37.5">
      <c r="A23" s="161">
        <v>4</v>
      </c>
      <c r="B23" s="125" t="s">
        <v>360</v>
      </c>
      <c r="C23" s="126" t="s">
        <v>120</v>
      </c>
      <c r="D23" s="239">
        <v>3.3929481974600498E-4</v>
      </c>
      <c r="E23" s="239">
        <v>4.0133362307987901E-4</v>
      </c>
    </row>
    <row r="24" spans="1:5" ht="50">
      <c r="A24" s="161">
        <v>5</v>
      </c>
      <c r="B24" s="125" t="s">
        <v>658</v>
      </c>
      <c r="C24" s="126" t="s">
        <v>659</v>
      </c>
      <c r="D24" s="128"/>
      <c r="E24" s="128">
        <v>0</v>
      </c>
    </row>
    <row r="25" spans="1:5" ht="75">
      <c r="A25" s="161">
        <v>6</v>
      </c>
      <c r="B25" s="125" t="s">
        <v>660</v>
      </c>
      <c r="C25" s="126" t="s">
        <v>621</v>
      </c>
      <c r="D25" s="128"/>
      <c r="E25" s="128">
        <v>0</v>
      </c>
    </row>
    <row r="26" spans="1:5" ht="62.5">
      <c r="A26" s="161">
        <v>7</v>
      </c>
      <c r="B26" s="125" t="s">
        <v>361</v>
      </c>
      <c r="C26" s="126" t="s">
        <v>121</v>
      </c>
      <c r="D26" s="239">
        <v>2.37047788816662E-4</v>
      </c>
      <c r="E26" s="239">
        <v>5.5094317619233701E-4</v>
      </c>
    </row>
    <row r="27" spans="1:5" ht="25">
      <c r="A27" s="161">
        <v>8</v>
      </c>
      <c r="B27" s="125" t="s">
        <v>661</v>
      </c>
      <c r="C27" s="126" t="s">
        <v>122</v>
      </c>
      <c r="D27" s="239">
        <v>3.1232106091814399E-2</v>
      </c>
      <c r="E27" s="239">
        <v>2.5936406388067101E-2</v>
      </c>
    </row>
    <row r="28" spans="1:5" ht="62.5">
      <c r="A28" s="161">
        <v>9</v>
      </c>
      <c r="B28" s="125" t="s">
        <v>662</v>
      </c>
      <c r="C28" s="126" t="s">
        <v>123</v>
      </c>
      <c r="D28" s="239">
        <v>3.45199122737995</v>
      </c>
      <c r="E28" s="239">
        <v>1.3665954558451601</v>
      </c>
    </row>
    <row r="29" spans="1:5" ht="50">
      <c r="A29" s="161">
        <v>10</v>
      </c>
      <c r="B29" s="125" t="s">
        <v>663</v>
      </c>
      <c r="C29" s="126" t="s">
        <v>621</v>
      </c>
      <c r="D29" s="128"/>
      <c r="E29" s="128">
        <v>0</v>
      </c>
    </row>
    <row r="30" spans="1:5" s="192" customFormat="1" ht="25">
      <c r="A30" s="54" t="s">
        <v>22</v>
      </c>
      <c r="B30" s="123" t="s">
        <v>124</v>
      </c>
      <c r="C30" s="124" t="s">
        <v>125</v>
      </c>
      <c r="D30" s="127"/>
      <c r="E30" s="127"/>
    </row>
    <row r="31" spans="1:5" ht="37.5">
      <c r="A31" s="287">
        <v>1</v>
      </c>
      <c r="B31" s="125" t="s">
        <v>126</v>
      </c>
      <c r="C31" s="126" t="s">
        <v>127</v>
      </c>
      <c r="D31" s="128">
        <v>169963659500</v>
      </c>
      <c r="E31" s="128">
        <v>218921277900</v>
      </c>
    </row>
    <row r="32" spans="1:5" ht="25">
      <c r="A32" s="288"/>
      <c r="B32" s="125" t="s">
        <v>128</v>
      </c>
      <c r="C32" s="126" t="s">
        <v>129</v>
      </c>
      <c r="D32" s="128">
        <v>169963659500</v>
      </c>
      <c r="E32" s="128">
        <v>218921277900</v>
      </c>
    </row>
    <row r="33" spans="1:5" ht="25">
      <c r="A33" s="289"/>
      <c r="B33" s="125" t="s">
        <v>664</v>
      </c>
      <c r="C33" s="126" t="s">
        <v>130</v>
      </c>
      <c r="D33" s="128">
        <v>16996365.949999999</v>
      </c>
      <c r="E33" s="128">
        <v>21892127.789999999</v>
      </c>
    </row>
    <row r="34" spans="1:5" ht="37.5">
      <c r="A34" s="286">
        <v>2</v>
      </c>
      <c r="B34" s="125" t="s">
        <v>131</v>
      </c>
      <c r="C34" s="126" t="s">
        <v>132</v>
      </c>
      <c r="D34" s="128">
        <v>10888910400</v>
      </c>
      <c r="E34" s="128">
        <v>-48957618400</v>
      </c>
    </row>
    <row r="35" spans="1:5" ht="25">
      <c r="A35" s="286"/>
      <c r="B35" s="125" t="s">
        <v>133</v>
      </c>
      <c r="C35" s="126" t="s">
        <v>665</v>
      </c>
      <c r="D35" s="128">
        <v>1088891.04</v>
      </c>
      <c r="E35" s="128">
        <v>-4895761.84</v>
      </c>
    </row>
    <row r="36" spans="1:5" ht="25">
      <c r="A36" s="286"/>
      <c r="B36" s="125" t="s">
        <v>134</v>
      </c>
      <c r="C36" s="126" t="s">
        <v>666</v>
      </c>
      <c r="D36" s="128">
        <v>10888910400</v>
      </c>
      <c r="E36" s="128">
        <v>-48957618400</v>
      </c>
    </row>
    <row r="37" spans="1:5" ht="25">
      <c r="A37" s="286"/>
      <c r="B37" s="125" t="s">
        <v>667</v>
      </c>
      <c r="C37" s="126" t="s">
        <v>135</v>
      </c>
      <c r="D37" s="128">
        <v>10633075.68</v>
      </c>
      <c r="E37" s="128">
        <v>10776084.210000001</v>
      </c>
    </row>
    <row r="38" spans="1:5" ht="25">
      <c r="A38" s="286"/>
      <c r="B38" s="125" t="s">
        <v>313</v>
      </c>
      <c r="C38" s="126" t="s">
        <v>136</v>
      </c>
      <c r="D38" s="128">
        <v>106330756800</v>
      </c>
      <c r="E38" s="128">
        <v>107760842100</v>
      </c>
    </row>
    <row r="39" spans="1:5" ht="25">
      <c r="A39" s="286"/>
      <c r="B39" s="125" t="s">
        <v>708</v>
      </c>
      <c r="C39" s="126" t="s">
        <v>137</v>
      </c>
      <c r="D39" s="128">
        <v>-9544184.6400000006</v>
      </c>
      <c r="E39" s="128">
        <v>-15671846.050000001</v>
      </c>
    </row>
    <row r="40" spans="1:5" ht="37.5">
      <c r="A40" s="286"/>
      <c r="B40" s="125" t="s">
        <v>314</v>
      </c>
      <c r="C40" s="126" t="s">
        <v>138</v>
      </c>
      <c r="D40" s="128">
        <v>-95441846400</v>
      </c>
      <c r="E40" s="128">
        <v>-156718460500</v>
      </c>
    </row>
    <row r="41" spans="1:5" ht="25">
      <c r="A41" s="286">
        <v>3</v>
      </c>
      <c r="B41" s="125" t="s">
        <v>315</v>
      </c>
      <c r="C41" s="126" t="s">
        <v>139</v>
      </c>
      <c r="D41" s="128">
        <v>180852569900</v>
      </c>
      <c r="E41" s="128">
        <v>169963659500</v>
      </c>
    </row>
    <row r="42" spans="1:5" ht="37.5">
      <c r="A42" s="286"/>
      <c r="B42" s="125" t="s">
        <v>668</v>
      </c>
      <c r="C42" s="126" t="s">
        <v>140</v>
      </c>
      <c r="D42" s="128">
        <v>180852569900</v>
      </c>
      <c r="E42" s="128">
        <v>169963659500</v>
      </c>
    </row>
    <row r="43" spans="1:5" ht="25">
      <c r="A43" s="286"/>
      <c r="B43" s="125" t="s">
        <v>669</v>
      </c>
      <c r="C43" s="126" t="s">
        <v>141</v>
      </c>
      <c r="D43" s="128">
        <v>18085256.989999998</v>
      </c>
      <c r="E43" s="128">
        <v>16996365.949999999</v>
      </c>
    </row>
    <row r="44" spans="1:5" ht="50">
      <c r="A44" s="161">
        <v>4</v>
      </c>
      <c r="B44" s="125" t="s">
        <v>142</v>
      </c>
      <c r="C44" s="126" t="s">
        <v>143</v>
      </c>
      <c r="D44" s="239">
        <v>1.0473044430871501E-3</v>
      </c>
      <c r="E44" s="239">
        <v>1.27591216050511E-3</v>
      </c>
    </row>
    <row r="45" spans="1:5" ht="25">
      <c r="A45" s="161">
        <v>5</v>
      </c>
      <c r="B45" s="125" t="s">
        <v>144</v>
      </c>
      <c r="C45" s="126" t="s">
        <v>145</v>
      </c>
      <c r="D45" s="239">
        <v>0.26179999999999998</v>
      </c>
      <c r="E45" s="239">
        <v>0.39979999999999999</v>
      </c>
    </row>
    <row r="46" spans="1:5" ht="25">
      <c r="A46" s="161">
        <v>6</v>
      </c>
      <c r="B46" s="125" t="s">
        <v>146</v>
      </c>
      <c r="C46" s="126" t="s">
        <v>147</v>
      </c>
      <c r="D46" s="239">
        <v>0.111</v>
      </c>
      <c r="E46" s="239">
        <v>0.25119999999999998</v>
      </c>
    </row>
    <row r="47" spans="1:5" ht="25">
      <c r="A47" s="161">
        <v>7</v>
      </c>
      <c r="B47" s="125" t="s">
        <v>148</v>
      </c>
      <c r="C47" s="126" t="s">
        <v>149</v>
      </c>
      <c r="D47" s="163">
        <v>12815</v>
      </c>
      <c r="E47" s="163">
        <v>4956</v>
      </c>
    </row>
    <row r="48" spans="1:5" ht="25">
      <c r="A48" s="161">
        <v>8</v>
      </c>
      <c r="B48" s="125" t="s">
        <v>316</v>
      </c>
      <c r="C48" s="126" t="s">
        <v>150</v>
      </c>
      <c r="D48" s="128">
        <v>20506.61</v>
      </c>
      <c r="E48" s="128">
        <v>30286.799999999999</v>
      </c>
    </row>
    <row r="49" spans="1:5" ht="37.5">
      <c r="A49" s="161">
        <v>9</v>
      </c>
      <c r="B49" s="125" t="s">
        <v>670</v>
      </c>
      <c r="C49" s="126" t="s">
        <v>622</v>
      </c>
      <c r="D49" s="128"/>
      <c r="E49" s="128">
        <v>0</v>
      </c>
    </row>
    <row r="50" spans="1:5" ht="21.65" customHeight="1">
      <c r="A50" s="255" t="s">
        <v>1625</v>
      </c>
      <c r="B50" s="252"/>
      <c r="C50" s="253"/>
      <c r="D50" s="254"/>
      <c r="E50" s="254"/>
    </row>
    <row r="51" spans="1:5" ht="58" customHeight="1">
      <c r="A51" s="285" t="s">
        <v>1624</v>
      </c>
      <c r="B51" s="285"/>
      <c r="C51" s="285"/>
      <c r="D51" s="285"/>
      <c r="E51" s="285"/>
    </row>
    <row r="52" spans="1:5" ht="36.65" customHeight="1">
      <c r="A52" s="285" t="s">
        <v>151</v>
      </c>
      <c r="B52" s="279"/>
      <c r="C52" s="279"/>
      <c r="D52" s="279"/>
      <c r="E52" s="279"/>
    </row>
    <row r="53" spans="1:5" ht="12.5"/>
    <row r="54" spans="1:5" ht="12.5">
      <c r="A54" s="25" t="str">
        <f>TONGQUAN!C16</f>
        <v>Đại diện có thẩm quyền của Ngân hàng giám sát</v>
      </c>
      <c r="D54" s="25" t="str">
        <f>TONGQUAN!F16</f>
        <v>Đại diện có thẩm quyền của Công ty quản lý Quỹ</v>
      </c>
    </row>
    <row r="55" spans="1:5" s="193" customFormat="1" ht="12.5">
      <c r="A55" s="26" t="str">
        <f>TONGQUAN!C17</f>
        <v>Authorised Representative of Supervisory Bank</v>
      </c>
      <c r="B55" s="26"/>
      <c r="C55" s="26"/>
      <c r="D55" s="26" t="str">
        <f>TONGQUAN!F17</f>
        <v>Authorised Representative of Fund Management Company</v>
      </c>
      <c r="E55" s="26"/>
    </row>
    <row r="56" spans="1:5" ht="12.5"/>
    <row r="57" spans="1:5" ht="12.5"/>
    <row r="58" spans="1:5" ht="12.5"/>
    <row r="59" spans="1:5" ht="12.5"/>
    <row r="60" spans="1:5" ht="12.5"/>
    <row r="61" spans="1:5" ht="12.5"/>
    <row r="62" spans="1:5" ht="12.5"/>
    <row r="63" spans="1:5" ht="12.5"/>
    <row r="64" spans="1:5" ht="12.5">
      <c r="A64" s="44"/>
      <c r="B64" s="44"/>
      <c r="D64" s="44"/>
      <c r="E64" s="44"/>
    </row>
    <row r="65" spans="1:4" ht="12.5">
      <c r="A65" s="25" t="str">
        <f>TONGQUAN!C19</f>
        <v>Ngân hàng TNHH MTV Standard Chartered (Việt Nam)</v>
      </c>
      <c r="D65" s="25" t="str">
        <f>TONGQUAN!F19</f>
        <v>Công ty Cổ phần Quản lý Quỹ Đầu tư Dragon Capital Việt Nam</v>
      </c>
    </row>
    <row r="66" spans="1:4" ht="12.5">
      <c r="A66" s="25" t="str">
        <f>TONGQUAN!C20</f>
        <v>Trịnh Hoài Nam</v>
      </c>
      <c r="D66" s="25" t="str">
        <f>TONGQUAN!F20</f>
        <v>Nguyễn Minh Đăng Khánh</v>
      </c>
    </row>
    <row r="67" spans="1:4" ht="12.5">
      <c r="A67" s="15" t="str">
        <f>TONGQUAN!C21</f>
        <v>Phó phòng Dịch vụ Quản trị và Giám sát Quỹ</v>
      </c>
      <c r="D67" s="15" t="str">
        <f>TONGQUAN!F21</f>
        <v>Giám đốc điều hành Nghiệp vụ hỗ trợ đầu tư</v>
      </c>
    </row>
  </sheetData>
  <mergeCells count="17">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9"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2" zoomScale="98" zoomScaleNormal="100" zoomScaleSheetLayoutView="98" workbookViewId="0">
      <selection activeCell="E16" sqref="E16:F16"/>
    </sheetView>
  </sheetViews>
  <sheetFormatPr defaultColWidth="8.7265625" defaultRowHeight="12.5"/>
  <cols>
    <col min="1" max="1" width="7.1796875" style="15" customWidth="1"/>
    <col min="2" max="2" width="84" style="15" customWidth="1"/>
    <col min="3" max="3" width="10.54296875" style="15" customWidth="1"/>
    <col min="4" max="4" width="15.1796875" style="15" customWidth="1"/>
    <col min="5" max="5" width="28.7265625" style="15" customWidth="1"/>
    <col min="6" max="6" width="38" style="15" bestFit="1" customWidth="1"/>
    <col min="7" max="7" width="8.7265625" style="1"/>
    <col min="8" max="16384" width="8.7265625" style="30"/>
  </cols>
  <sheetData>
    <row r="1" spans="1:6" ht="65.25" customHeight="1">
      <c r="A1" s="280" t="s">
        <v>683</v>
      </c>
      <c r="B1" s="280"/>
      <c r="C1" s="280"/>
      <c r="D1" s="280"/>
      <c r="E1" s="280"/>
      <c r="F1" s="280"/>
    </row>
    <row r="2" spans="1:6" ht="39.75" customHeight="1">
      <c r="A2" s="281" t="s">
        <v>1620</v>
      </c>
      <c r="B2" s="281"/>
      <c r="C2" s="281"/>
      <c r="D2" s="281"/>
      <c r="E2" s="281"/>
      <c r="F2" s="281"/>
    </row>
    <row r="3" spans="1:6" ht="31.15" customHeight="1">
      <c r="A3" s="282" t="s">
        <v>253</v>
      </c>
      <c r="B3" s="282"/>
      <c r="C3" s="282"/>
      <c r="D3" s="282"/>
      <c r="E3" s="282"/>
      <c r="F3" s="282"/>
    </row>
    <row r="4" spans="1:6" ht="6" customHeight="1"/>
    <row r="5" spans="1:6" ht="16.899999999999999" customHeight="1">
      <c r="A5" s="283" t="s">
        <v>1601</v>
      </c>
      <c r="B5" s="283"/>
      <c r="C5" s="283"/>
      <c r="D5" s="283"/>
      <c r="E5" s="283"/>
      <c r="F5" s="283"/>
    </row>
    <row r="6" spans="1:6" ht="16.899999999999999" customHeight="1"/>
    <row r="7" spans="1:6" ht="16.899999999999999" customHeight="1">
      <c r="A7" s="195" t="s">
        <v>2</v>
      </c>
      <c r="C7" s="274" t="s">
        <v>1603</v>
      </c>
      <c r="D7" s="274"/>
      <c r="E7" s="274"/>
      <c r="F7" s="274"/>
    </row>
    <row r="8" spans="1:6" ht="16.899999999999999" customHeight="1">
      <c r="A8" s="15" t="s">
        <v>15</v>
      </c>
      <c r="C8" s="285" t="s">
        <v>1604</v>
      </c>
      <c r="D8" s="285"/>
      <c r="E8" s="285"/>
      <c r="F8" s="285"/>
    </row>
    <row r="9" spans="1:6" ht="16.899999999999999" customHeight="1">
      <c r="A9" s="195" t="s">
        <v>3</v>
      </c>
      <c r="C9" s="274" t="s">
        <v>1605</v>
      </c>
      <c r="D9" s="274"/>
      <c r="E9" s="274"/>
      <c r="F9" s="274"/>
    </row>
    <row r="10" spans="1:6" ht="16.899999999999999" customHeight="1">
      <c r="A10" s="15" t="s">
        <v>4</v>
      </c>
      <c r="C10" s="285" t="s">
        <v>1606</v>
      </c>
      <c r="D10" s="285"/>
      <c r="E10" s="285"/>
      <c r="F10" s="285"/>
    </row>
    <row r="11" spans="1:6" ht="16.899999999999999" customHeight="1">
      <c r="A11" s="195" t="s">
        <v>5</v>
      </c>
      <c r="C11" s="274" t="s">
        <v>709</v>
      </c>
      <c r="D11" s="274"/>
      <c r="E11" s="274"/>
      <c r="F11" s="274"/>
    </row>
    <row r="12" spans="1:6" ht="16.899999999999999" customHeight="1">
      <c r="A12" s="15" t="s">
        <v>6</v>
      </c>
      <c r="C12" s="285" t="s">
        <v>1619</v>
      </c>
      <c r="D12" s="285"/>
      <c r="E12" s="285"/>
      <c r="F12" s="285"/>
    </row>
    <row r="13" spans="1:6" ht="16.899999999999999" customHeight="1">
      <c r="A13" s="195" t="s">
        <v>7</v>
      </c>
      <c r="C13" s="274" t="s">
        <v>1668</v>
      </c>
      <c r="D13" s="274"/>
      <c r="E13" s="274"/>
      <c r="F13" s="274"/>
    </row>
    <row r="14" spans="1:6" ht="16.899999999999999" customHeight="1">
      <c r="A14" s="15" t="s">
        <v>8</v>
      </c>
      <c r="C14" s="285" t="s">
        <v>1669</v>
      </c>
      <c r="D14" s="285"/>
      <c r="E14" s="285"/>
      <c r="F14" s="285"/>
    </row>
    <row r="15" spans="1:6" ht="16.899999999999999" customHeight="1"/>
    <row r="16" spans="1:6" ht="46.9" customHeight="1">
      <c r="A16" s="31" t="s">
        <v>254</v>
      </c>
      <c r="B16" s="31" t="s">
        <v>170</v>
      </c>
      <c r="C16" s="31" t="s">
        <v>171</v>
      </c>
      <c r="D16" s="31" t="s">
        <v>172</v>
      </c>
      <c r="E16" s="31" t="s">
        <v>1611</v>
      </c>
      <c r="F16" s="31" t="s">
        <v>1612</v>
      </c>
    </row>
    <row r="17" spans="1:7" ht="25">
      <c r="A17" s="16" t="s">
        <v>16</v>
      </c>
      <c r="B17" s="74" t="s">
        <v>410</v>
      </c>
      <c r="C17" s="11" t="s">
        <v>16</v>
      </c>
      <c r="D17" s="23"/>
      <c r="E17" s="23"/>
      <c r="F17" s="23"/>
    </row>
    <row r="18" spans="1:7" ht="25">
      <c r="A18" s="76" t="s">
        <v>411</v>
      </c>
      <c r="B18" s="77" t="s">
        <v>412</v>
      </c>
      <c r="C18" s="78" t="s">
        <v>413</v>
      </c>
      <c r="D18" s="76"/>
      <c r="E18" s="75">
        <v>31183889594</v>
      </c>
      <c r="F18" s="75">
        <v>16631004659</v>
      </c>
    </row>
    <row r="19" spans="1:7" ht="25">
      <c r="A19" s="76" t="s">
        <v>414</v>
      </c>
      <c r="B19" s="77" t="s">
        <v>415</v>
      </c>
      <c r="C19" s="78" t="s">
        <v>416</v>
      </c>
      <c r="D19" s="76"/>
      <c r="E19" s="75">
        <v>21183889594</v>
      </c>
      <c r="F19" s="75">
        <v>16631004659</v>
      </c>
    </row>
    <row r="20" spans="1:7" s="82" customFormat="1" ht="25">
      <c r="A20" s="76" t="s">
        <v>417</v>
      </c>
      <c r="B20" s="79" t="s">
        <v>418</v>
      </c>
      <c r="C20" s="80" t="s">
        <v>419</v>
      </c>
      <c r="D20" s="76"/>
      <c r="E20" s="75">
        <v>1000000</v>
      </c>
      <c r="F20" s="75">
        <v>0</v>
      </c>
      <c r="G20" s="81"/>
    </row>
    <row r="21" spans="1:7" s="82" customFormat="1" ht="25">
      <c r="A21" s="76" t="s">
        <v>417</v>
      </c>
      <c r="B21" s="79" t="s">
        <v>420</v>
      </c>
      <c r="C21" s="80" t="s">
        <v>421</v>
      </c>
      <c r="D21" s="76"/>
      <c r="E21" s="75">
        <v>5488517</v>
      </c>
      <c r="F21" s="75">
        <v>20171460</v>
      </c>
      <c r="G21" s="81"/>
    </row>
    <row r="22" spans="1:7" s="82" customFormat="1" ht="25">
      <c r="A22" s="76" t="s">
        <v>417</v>
      </c>
      <c r="B22" s="79" t="s">
        <v>422</v>
      </c>
      <c r="C22" s="80" t="s">
        <v>423</v>
      </c>
      <c r="D22" s="76"/>
      <c r="E22" s="75">
        <v>21177401077</v>
      </c>
      <c r="F22" s="75">
        <v>16610833199</v>
      </c>
      <c r="G22" s="81"/>
    </row>
    <row r="23" spans="1:7" ht="25">
      <c r="A23" s="76" t="s">
        <v>417</v>
      </c>
      <c r="B23" s="79" t="s">
        <v>21</v>
      </c>
      <c r="C23" s="80" t="s">
        <v>424</v>
      </c>
      <c r="D23" s="76"/>
      <c r="E23" s="75">
        <v>0</v>
      </c>
      <c r="F23" s="75">
        <v>0</v>
      </c>
    </row>
    <row r="24" spans="1:7" ht="25">
      <c r="A24" s="76" t="s">
        <v>425</v>
      </c>
      <c r="B24" s="77" t="s">
        <v>426</v>
      </c>
      <c r="C24" s="78" t="s">
        <v>427</v>
      </c>
      <c r="D24" s="76"/>
      <c r="E24" s="75">
        <v>10000000000</v>
      </c>
      <c r="F24" s="75">
        <v>0</v>
      </c>
    </row>
    <row r="25" spans="1:7" ht="25">
      <c r="A25" s="76" t="s">
        <v>428</v>
      </c>
      <c r="B25" s="77" t="s">
        <v>429</v>
      </c>
      <c r="C25" s="78" t="s">
        <v>430</v>
      </c>
      <c r="D25" s="76"/>
      <c r="E25" s="75">
        <v>354334000000</v>
      </c>
      <c r="F25" s="75">
        <v>500793084500</v>
      </c>
    </row>
    <row r="26" spans="1:7" ht="25">
      <c r="A26" s="76" t="s">
        <v>431</v>
      </c>
      <c r="B26" s="77" t="s">
        <v>432</v>
      </c>
      <c r="C26" s="78" t="s">
        <v>433</v>
      </c>
      <c r="D26" s="76"/>
      <c r="E26" s="75">
        <v>354334000000</v>
      </c>
      <c r="F26" s="75">
        <v>500793084500</v>
      </c>
    </row>
    <row r="27" spans="1:7" ht="25">
      <c r="A27" s="76" t="s">
        <v>417</v>
      </c>
      <c r="B27" s="79" t="s">
        <v>434</v>
      </c>
      <c r="C27" s="80" t="s">
        <v>435</v>
      </c>
      <c r="D27" s="76"/>
      <c r="E27" s="75">
        <v>354334000000</v>
      </c>
      <c r="F27" s="75">
        <v>500793084500</v>
      </c>
    </row>
    <row r="28" spans="1:7" ht="25">
      <c r="A28" s="76" t="s">
        <v>417</v>
      </c>
      <c r="B28" s="79" t="s">
        <v>436</v>
      </c>
      <c r="C28" s="80" t="s">
        <v>437</v>
      </c>
      <c r="D28" s="76"/>
      <c r="E28" s="75">
        <v>0</v>
      </c>
      <c r="F28" s="75">
        <v>0</v>
      </c>
    </row>
    <row r="29" spans="1:7" ht="25">
      <c r="A29" s="76" t="s">
        <v>417</v>
      </c>
      <c r="B29" s="79" t="s">
        <v>438</v>
      </c>
      <c r="C29" s="80" t="s">
        <v>439</v>
      </c>
      <c r="D29" s="76"/>
      <c r="E29" s="75">
        <v>0</v>
      </c>
      <c r="F29" s="75">
        <v>0</v>
      </c>
    </row>
    <row r="30" spans="1:7" ht="25">
      <c r="A30" s="76" t="s">
        <v>417</v>
      </c>
      <c r="B30" s="79" t="s">
        <v>440</v>
      </c>
      <c r="C30" s="80" t="s">
        <v>441</v>
      </c>
      <c r="D30" s="76"/>
      <c r="E30" s="75">
        <v>0</v>
      </c>
      <c r="F30" s="75">
        <v>0</v>
      </c>
    </row>
    <row r="31" spans="1:7" ht="25">
      <c r="A31" s="76" t="s">
        <v>417</v>
      </c>
      <c r="B31" s="79" t="s">
        <v>442</v>
      </c>
      <c r="C31" s="80" t="s">
        <v>443</v>
      </c>
      <c r="D31" s="76"/>
      <c r="E31" s="75">
        <v>0</v>
      </c>
      <c r="F31" s="75">
        <v>0</v>
      </c>
    </row>
    <row r="32" spans="1:7" ht="25">
      <c r="A32" s="76" t="s">
        <v>417</v>
      </c>
      <c r="B32" s="79" t="s">
        <v>397</v>
      </c>
      <c r="C32" s="80" t="s">
        <v>444</v>
      </c>
      <c r="D32" s="76"/>
      <c r="E32" s="75">
        <v>0</v>
      </c>
      <c r="F32" s="75">
        <v>0</v>
      </c>
    </row>
    <row r="33" spans="1:6" ht="25">
      <c r="A33" s="76" t="s">
        <v>417</v>
      </c>
      <c r="B33" s="79" t="s">
        <v>398</v>
      </c>
      <c r="C33" s="80" t="s">
        <v>445</v>
      </c>
      <c r="D33" s="76"/>
      <c r="E33" s="75">
        <v>0</v>
      </c>
      <c r="F33" s="75">
        <v>0</v>
      </c>
    </row>
    <row r="34" spans="1:6" ht="25">
      <c r="A34" s="76" t="s">
        <v>417</v>
      </c>
      <c r="B34" s="79" t="s">
        <v>399</v>
      </c>
      <c r="C34" s="80" t="s">
        <v>446</v>
      </c>
      <c r="D34" s="76"/>
      <c r="E34" s="75">
        <v>0</v>
      </c>
      <c r="F34" s="75">
        <v>0</v>
      </c>
    </row>
    <row r="35" spans="1:6" ht="25">
      <c r="A35" s="76" t="s">
        <v>417</v>
      </c>
      <c r="B35" s="79" t="s">
        <v>447</v>
      </c>
      <c r="C35" s="80" t="s">
        <v>448</v>
      </c>
      <c r="D35" s="76"/>
      <c r="E35" s="75">
        <v>0</v>
      </c>
      <c r="F35" s="75">
        <v>0</v>
      </c>
    </row>
    <row r="36" spans="1:6" ht="25">
      <c r="A36" s="76" t="s">
        <v>417</v>
      </c>
      <c r="B36" s="79" t="s">
        <v>400</v>
      </c>
      <c r="C36" s="80" t="s">
        <v>449</v>
      </c>
      <c r="D36" s="76"/>
      <c r="E36" s="75">
        <v>0</v>
      </c>
      <c r="F36" s="75">
        <v>0</v>
      </c>
    </row>
    <row r="37" spans="1:6" ht="25">
      <c r="A37" s="76" t="s">
        <v>450</v>
      </c>
      <c r="B37" s="77" t="s">
        <v>451</v>
      </c>
      <c r="C37" s="78" t="s">
        <v>452</v>
      </c>
      <c r="D37" s="76"/>
      <c r="E37" s="75">
        <v>0</v>
      </c>
      <c r="F37" s="75">
        <v>0</v>
      </c>
    </row>
    <row r="38" spans="1:6" ht="25">
      <c r="A38" s="76" t="s">
        <v>453</v>
      </c>
      <c r="B38" s="77" t="s">
        <v>454</v>
      </c>
      <c r="C38" s="78" t="s">
        <v>455</v>
      </c>
      <c r="D38" s="76"/>
      <c r="E38" s="75">
        <v>1948082192</v>
      </c>
      <c r="F38" s="75">
        <v>222100000</v>
      </c>
    </row>
    <row r="39" spans="1:6" ht="25">
      <c r="A39" s="76" t="s">
        <v>456</v>
      </c>
      <c r="B39" s="77" t="s">
        <v>457</v>
      </c>
      <c r="C39" s="78" t="s">
        <v>458</v>
      </c>
      <c r="D39" s="76"/>
      <c r="E39" s="75">
        <v>1346000000</v>
      </c>
      <c r="F39" s="75">
        <v>0</v>
      </c>
    </row>
    <row r="40" spans="1:6" ht="25">
      <c r="A40" s="76" t="s">
        <v>417</v>
      </c>
      <c r="B40" s="79" t="s">
        <v>459</v>
      </c>
      <c r="C40" s="80" t="s">
        <v>460</v>
      </c>
      <c r="D40" s="76"/>
      <c r="E40" s="75">
        <v>0</v>
      </c>
      <c r="F40" s="75">
        <v>0</v>
      </c>
    </row>
    <row r="41" spans="1:6" ht="25">
      <c r="A41" s="76" t="s">
        <v>461</v>
      </c>
      <c r="B41" s="77" t="s">
        <v>462</v>
      </c>
      <c r="C41" s="78" t="s">
        <v>463</v>
      </c>
      <c r="D41" s="76"/>
      <c r="E41" s="75">
        <v>602082192</v>
      </c>
      <c r="F41" s="75">
        <v>222100000</v>
      </c>
    </row>
    <row r="42" spans="1:6" ht="25">
      <c r="A42" s="76" t="s">
        <v>464</v>
      </c>
      <c r="B42" s="77" t="s">
        <v>465</v>
      </c>
      <c r="C42" s="78" t="s">
        <v>466</v>
      </c>
      <c r="D42" s="76"/>
      <c r="E42" s="75">
        <v>0</v>
      </c>
      <c r="F42" s="75">
        <v>0</v>
      </c>
    </row>
    <row r="43" spans="1:6" ht="25">
      <c r="A43" s="76" t="s">
        <v>417</v>
      </c>
      <c r="B43" s="79" t="s">
        <v>401</v>
      </c>
      <c r="C43" s="80" t="s">
        <v>467</v>
      </c>
      <c r="D43" s="76"/>
      <c r="E43" s="75">
        <v>0</v>
      </c>
      <c r="F43" s="75">
        <v>0</v>
      </c>
    </row>
    <row r="44" spans="1:6" ht="25">
      <c r="A44" s="76" t="s">
        <v>417</v>
      </c>
      <c r="B44" s="79" t="s">
        <v>402</v>
      </c>
      <c r="C44" s="80" t="s">
        <v>468</v>
      </c>
      <c r="D44" s="76"/>
      <c r="E44" s="75">
        <v>0</v>
      </c>
      <c r="F44" s="75">
        <v>0</v>
      </c>
    </row>
    <row r="45" spans="1:6" ht="25">
      <c r="A45" s="76" t="s">
        <v>417</v>
      </c>
      <c r="B45" s="79" t="s">
        <v>469</v>
      </c>
      <c r="C45" s="80" t="s">
        <v>470</v>
      </c>
      <c r="D45" s="76"/>
      <c r="E45" s="75">
        <v>0</v>
      </c>
      <c r="F45" s="75">
        <v>0</v>
      </c>
    </row>
    <row r="46" spans="1:6" ht="25">
      <c r="A46" s="76" t="s">
        <v>417</v>
      </c>
      <c r="B46" s="79" t="s">
        <v>471</v>
      </c>
      <c r="C46" s="80" t="s">
        <v>472</v>
      </c>
      <c r="D46" s="76"/>
      <c r="E46" s="75">
        <v>0</v>
      </c>
      <c r="F46" s="75">
        <v>0</v>
      </c>
    </row>
    <row r="47" spans="1:6" ht="25">
      <c r="A47" s="76" t="s">
        <v>417</v>
      </c>
      <c r="B47" s="79" t="s">
        <v>473</v>
      </c>
      <c r="C47" s="80" t="s">
        <v>474</v>
      </c>
      <c r="D47" s="76"/>
      <c r="E47" s="75">
        <v>0</v>
      </c>
      <c r="F47" s="75">
        <v>0</v>
      </c>
    </row>
    <row r="48" spans="1:6" ht="25">
      <c r="A48" s="76" t="s">
        <v>417</v>
      </c>
      <c r="B48" s="77" t="s">
        <v>475</v>
      </c>
      <c r="C48" s="78" t="s">
        <v>476</v>
      </c>
      <c r="D48" s="76"/>
      <c r="E48" s="75">
        <v>0</v>
      </c>
      <c r="F48" s="75">
        <v>0</v>
      </c>
    </row>
    <row r="49" spans="1:7" ht="25">
      <c r="A49" s="76" t="s">
        <v>477</v>
      </c>
      <c r="B49" s="77" t="s">
        <v>478</v>
      </c>
      <c r="C49" s="78" t="s">
        <v>479</v>
      </c>
      <c r="D49" s="76"/>
      <c r="E49" s="75">
        <v>602082192</v>
      </c>
      <c r="F49" s="75">
        <v>222100000</v>
      </c>
    </row>
    <row r="50" spans="1:7" ht="25">
      <c r="A50" s="76" t="s">
        <v>417</v>
      </c>
      <c r="B50" s="79" t="s">
        <v>480</v>
      </c>
      <c r="C50" s="80" t="s">
        <v>481</v>
      </c>
      <c r="D50" s="76"/>
      <c r="E50" s="75">
        <v>584000000</v>
      </c>
      <c r="F50" s="75">
        <v>222100000</v>
      </c>
    </row>
    <row r="51" spans="1:7" ht="25">
      <c r="A51" s="76" t="s">
        <v>417</v>
      </c>
      <c r="B51" s="79" t="s">
        <v>482</v>
      </c>
      <c r="C51" s="80" t="s">
        <v>483</v>
      </c>
      <c r="D51" s="76"/>
      <c r="E51" s="75">
        <v>0</v>
      </c>
      <c r="F51" s="75">
        <v>0</v>
      </c>
    </row>
    <row r="52" spans="1:7" ht="25">
      <c r="A52" s="76" t="s">
        <v>417</v>
      </c>
      <c r="B52" s="79" t="s">
        <v>484</v>
      </c>
      <c r="C52" s="80" t="s">
        <v>485</v>
      </c>
      <c r="D52" s="76"/>
      <c r="E52" s="75">
        <v>18082192</v>
      </c>
      <c r="F52" s="75">
        <v>0</v>
      </c>
    </row>
    <row r="53" spans="1:7" ht="25">
      <c r="A53" s="76" t="s">
        <v>417</v>
      </c>
      <c r="B53" s="79" t="s">
        <v>486</v>
      </c>
      <c r="C53" s="80" t="s">
        <v>487</v>
      </c>
      <c r="D53" s="76"/>
      <c r="E53" s="75">
        <v>0</v>
      </c>
      <c r="F53" s="75">
        <v>0</v>
      </c>
    </row>
    <row r="54" spans="1:7" ht="25">
      <c r="A54" s="76" t="s">
        <v>417</v>
      </c>
      <c r="B54" s="79" t="s">
        <v>488</v>
      </c>
      <c r="C54" s="80" t="s">
        <v>489</v>
      </c>
      <c r="D54" s="76"/>
      <c r="E54" s="75">
        <v>0</v>
      </c>
      <c r="F54" s="75">
        <v>0</v>
      </c>
    </row>
    <row r="55" spans="1:7" ht="25">
      <c r="A55" s="76" t="s">
        <v>417</v>
      </c>
      <c r="B55" s="79" t="s">
        <v>490</v>
      </c>
      <c r="C55" s="80" t="s">
        <v>491</v>
      </c>
      <c r="D55" s="76"/>
      <c r="E55" s="75">
        <v>0</v>
      </c>
      <c r="F55" s="75">
        <v>0</v>
      </c>
    </row>
    <row r="56" spans="1:7" ht="25">
      <c r="A56" s="76" t="s">
        <v>492</v>
      </c>
      <c r="B56" s="77" t="s">
        <v>493</v>
      </c>
      <c r="C56" s="78" t="s">
        <v>494</v>
      </c>
      <c r="D56" s="76"/>
      <c r="E56" s="75">
        <v>0</v>
      </c>
      <c r="F56" s="75">
        <v>0</v>
      </c>
    </row>
    <row r="57" spans="1:7" s="82" customFormat="1" ht="25">
      <c r="A57" s="76" t="s">
        <v>417</v>
      </c>
      <c r="B57" s="79" t="s">
        <v>495</v>
      </c>
      <c r="C57" s="80" t="s">
        <v>496</v>
      </c>
      <c r="D57" s="76"/>
      <c r="E57" s="75">
        <v>0</v>
      </c>
      <c r="F57" s="75">
        <v>0</v>
      </c>
      <c r="G57" s="81"/>
    </row>
    <row r="58" spans="1:7" ht="25">
      <c r="A58" s="76" t="s">
        <v>417</v>
      </c>
      <c r="B58" s="79" t="s">
        <v>497</v>
      </c>
      <c r="C58" s="80" t="s">
        <v>498</v>
      </c>
      <c r="D58" s="76"/>
      <c r="E58" s="75">
        <v>0</v>
      </c>
      <c r="F58" s="75">
        <v>0</v>
      </c>
    </row>
    <row r="59" spans="1:7" ht="25">
      <c r="A59" s="76" t="s">
        <v>417</v>
      </c>
      <c r="B59" s="79" t="s">
        <v>499</v>
      </c>
      <c r="C59" s="80" t="s">
        <v>500</v>
      </c>
      <c r="D59" s="76"/>
      <c r="E59" s="75">
        <v>0</v>
      </c>
      <c r="F59" s="75">
        <v>0</v>
      </c>
    </row>
    <row r="60" spans="1:7" ht="25">
      <c r="A60" s="76" t="s">
        <v>501</v>
      </c>
      <c r="B60" s="77" t="s">
        <v>502</v>
      </c>
      <c r="C60" s="78" t="s">
        <v>503</v>
      </c>
      <c r="D60" s="76"/>
      <c r="E60" s="75">
        <v>0</v>
      </c>
      <c r="F60" s="75">
        <v>0</v>
      </c>
    </row>
    <row r="61" spans="1:7" ht="25">
      <c r="A61" s="16" t="s">
        <v>417</v>
      </c>
      <c r="B61" s="74" t="s">
        <v>403</v>
      </c>
      <c r="C61" s="11" t="s">
        <v>504</v>
      </c>
      <c r="D61" s="23"/>
      <c r="E61" s="23">
        <v>387465971786</v>
      </c>
      <c r="F61" s="23">
        <v>517646189159</v>
      </c>
    </row>
    <row r="62" spans="1:7" ht="25">
      <c r="A62" s="16" t="s">
        <v>22</v>
      </c>
      <c r="B62" s="74" t="s">
        <v>505</v>
      </c>
      <c r="C62" s="11" t="s">
        <v>22</v>
      </c>
      <c r="D62" s="23"/>
      <c r="E62" s="23"/>
      <c r="F62" s="23"/>
    </row>
    <row r="63" spans="1:7" ht="25">
      <c r="A63" s="76" t="s">
        <v>411</v>
      </c>
      <c r="B63" s="77" t="s">
        <v>506</v>
      </c>
      <c r="C63" s="78" t="s">
        <v>507</v>
      </c>
      <c r="D63" s="76"/>
      <c r="E63" s="75">
        <v>0</v>
      </c>
      <c r="F63" s="75">
        <v>0</v>
      </c>
    </row>
    <row r="64" spans="1:7" ht="25">
      <c r="A64" s="76" t="s">
        <v>417</v>
      </c>
      <c r="B64" s="79" t="s">
        <v>508</v>
      </c>
      <c r="C64" s="80" t="s">
        <v>509</v>
      </c>
      <c r="D64" s="76"/>
      <c r="E64" s="75">
        <v>0</v>
      </c>
      <c r="F64" s="75">
        <v>0</v>
      </c>
    </row>
    <row r="65" spans="1:6" ht="25">
      <c r="A65" s="76" t="s">
        <v>417</v>
      </c>
      <c r="B65" s="79" t="s">
        <v>510</v>
      </c>
      <c r="C65" s="80" t="s">
        <v>511</v>
      </c>
      <c r="D65" s="76"/>
      <c r="E65" s="75">
        <v>0</v>
      </c>
      <c r="F65" s="75">
        <v>0</v>
      </c>
    </row>
    <row r="66" spans="1:6" ht="25">
      <c r="A66" s="76" t="s">
        <v>428</v>
      </c>
      <c r="B66" s="77" t="s">
        <v>512</v>
      </c>
      <c r="C66" s="78" t="s">
        <v>513</v>
      </c>
      <c r="D66" s="76"/>
      <c r="E66" s="75">
        <v>13795800000</v>
      </c>
      <c r="F66" s="75">
        <v>0</v>
      </c>
    </row>
    <row r="67" spans="1:6" ht="25">
      <c r="A67" s="76" t="s">
        <v>453</v>
      </c>
      <c r="B67" s="77" t="s">
        <v>514</v>
      </c>
      <c r="C67" s="78" t="s">
        <v>515</v>
      </c>
      <c r="D67" s="76"/>
      <c r="E67" s="75">
        <v>77322462</v>
      </c>
      <c r="F67" s="75">
        <v>220108983</v>
      </c>
    </row>
    <row r="68" spans="1:6" ht="25">
      <c r="A68" s="76" t="s">
        <v>417</v>
      </c>
      <c r="B68" s="79" t="s">
        <v>516</v>
      </c>
      <c r="C68" s="80" t="s">
        <v>517</v>
      </c>
      <c r="D68" s="76"/>
      <c r="E68" s="75">
        <v>0</v>
      </c>
      <c r="F68" s="75">
        <v>0</v>
      </c>
    </row>
    <row r="69" spans="1:6" ht="25">
      <c r="A69" s="76" t="s">
        <v>417</v>
      </c>
      <c r="B69" s="79" t="s">
        <v>518</v>
      </c>
      <c r="C69" s="80" t="s">
        <v>519</v>
      </c>
      <c r="D69" s="76"/>
      <c r="E69" s="75">
        <v>77322462</v>
      </c>
      <c r="F69" s="75">
        <v>220108983</v>
      </c>
    </row>
    <row r="70" spans="1:6" ht="25">
      <c r="A70" s="76" t="s">
        <v>520</v>
      </c>
      <c r="B70" s="77" t="s">
        <v>521</v>
      </c>
      <c r="C70" s="78" t="s">
        <v>522</v>
      </c>
      <c r="D70" s="76"/>
      <c r="E70" s="75">
        <v>4062418</v>
      </c>
      <c r="F70" s="75">
        <v>8231692</v>
      </c>
    </row>
    <row r="71" spans="1:6" ht="25">
      <c r="A71" s="76" t="s">
        <v>523</v>
      </c>
      <c r="B71" s="77" t="s">
        <v>524</v>
      </c>
      <c r="C71" s="78" t="s">
        <v>525</v>
      </c>
      <c r="D71" s="76"/>
      <c r="E71" s="75">
        <v>83000000</v>
      </c>
      <c r="F71" s="75">
        <v>83000000</v>
      </c>
    </row>
    <row r="72" spans="1:6" ht="25">
      <c r="A72" s="76" t="s">
        <v>526</v>
      </c>
      <c r="B72" s="77" t="s">
        <v>527</v>
      </c>
      <c r="C72" s="78" t="s">
        <v>528</v>
      </c>
      <c r="D72" s="76"/>
      <c r="E72" s="75">
        <v>115159260</v>
      </c>
      <c r="F72" s="75">
        <v>109250000</v>
      </c>
    </row>
    <row r="73" spans="1:6" ht="25">
      <c r="A73" s="76" t="s">
        <v>417</v>
      </c>
      <c r="B73" s="79" t="s">
        <v>406</v>
      </c>
      <c r="C73" s="80" t="s">
        <v>529</v>
      </c>
      <c r="D73" s="76"/>
      <c r="E73" s="75">
        <v>10599260</v>
      </c>
      <c r="F73" s="75">
        <v>0</v>
      </c>
    </row>
    <row r="74" spans="1:6" ht="25">
      <c r="A74" s="76" t="s">
        <v>417</v>
      </c>
      <c r="B74" s="79" t="s">
        <v>530</v>
      </c>
      <c r="C74" s="80" t="s">
        <v>531</v>
      </c>
      <c r="D74" s="76"/>
      <c r="E74" s="75">
        <v>10599260</v>
      </c>
      <c r="F74" s="75">
        <v>0</v>
      </c>
    </row>
    <row r="75" spans="1:6" ht="25">
      <c r="A75" s="76" t="s">
        <v>417</v>
      </c>
      <c r="B75" s="79" t="s">
        <v>532</v>
      </c>
      <c r="C75" s="80" t="s">
        <v>533</v>
      </c>
      <c r="D75" s="76"/>
      <c r="E75" s="75">
        <v>0</v>
      </c>
      <c r="F75" s="75">
        <v>0</v>
      </c>
    </row>
    <row r="76" spans="1:6" ht="25">
      <c r="A76" s="76" t="s">
        <v>417</v>
      </c>
      <c r="B76" s="79" t="s">
        <v>534</v>
      </c>
      <c r="C76" s="80" t="s">
        <v>535</v>
      </c>
      <c r="D76" s="76"/>
      <c r="E76" s="75">
        <v>88560000</v>
      </c>
      <c r="F76" s="75">
        <v>85250000</v>
      </c>
    </row>
    <row r="77" spans="1:6" ht="25">
      <c r="A77" s="76" t="s">
        <v>417</v>
      </c>
      <c r="B77" s="79" t="s">
        <v>536</v>
      </c>
      <c r="C77" s="80" t="s">
        <v>537</v>
      </c>
      <c r="D77" s="76"/>
      <c r="E77" s="75">
        <v>0</v>
      </c>
      <c r="F77" s="75">
        <v>0</v>
      </c>
    </row>
    <row r="78" spans="1:6" ht="25">
      <c r="A78" s="76" t="s">
        <v>417</v>
      </c>
      <c r="B78" s="79" t="s">
        <v>538</v>
      </c>
      <c r="C78" s="80" t="s">
        <v>539</v>
      </c>
      <c r="D78" s="76"/>
      <c r="E78" s="75">
        <v>0</v>
      </c>
      <c r="F78" s="75">
        <v>0</v>
      </c>
    </row>
    <row r="79" spans="1:6" ht="25">
      <c r="A79" s="76" t="s">
        <v>417</v>
      </c>
      <c r="B79" s="79" t="s">
        <v>540</v>
      </c>
      <c r="C79" s="80" t="s">
        <v>541</v>
      </c>
      <c r="D79" s="76"/>
      <c r="E79" s="75">
        <v>16000000</v>
      </c>
      <c r="F79" s="75">
        <v>24000000</v>
      </c>
    </row>
    <row r="80" spans="1:6" ht="25">
      <c r="A80" s="76" t="s">
        <v>417</v>
      </c>
      <c r="B80" s="79" t="s">
        <v>542</v>
      </c>
      <c r="C80" s="80" t="s">
        <v>543</v>
      </c>
      <c r="D80" s="76"/>
      <c r="E80" s="75">
        <v>0</v>
      </c>
      <c r="F80" s="75">
        <v>0</v>
      </c>
    </row>
    <row r="81" spans="1:6" ht="25">
      <c r="A81" s="76" t="s">
        <v>417</v>
      </c>
      <c r="B81" s="79" t="s">
        <v>544</v>
      </c>
      <c r="C81" s="80" t="s">
        <v>545</v>
      </c>
      <c r="D81" s="76"/>
      <c r="E81" s="75">
        <v>0</v>
      </c>
      <c r="F81" s="75">
        <v>0</v>
      </c>
    </row>
    <row r="82" spans="1:6" ht="25">
      <c r="A82" s="76" t="s">
        <v>546</v>
      </c>
      <c r="B82" s="77" t="s">
        <v>547</v>
      </c>
      <c r="C82" s="78" t="s">
        <v>548</v>
      </c>
      <c r="D82" s="76"/>
      <c r="E82" s="75">
        <v>203499408</v>
      </c>
      <c r="F82" s="75">
        <v>919480139</v>
      </c>
    </row>
    <row r="83" spans="1:6" ht="25">
      <c r="A83" s="76" t="s">
        <v>417</v>
      </c>
      <c r="B83" s="79" t="s">
        <v>404</v>
      </c>
      <c r="C83" s="80" t="s">
        <v>549</v>
      </c>
      <c r="D83" s="76"/>
      <c r="E83" s="75">
        <v>203499408</v>
      </c>
      <c r="F83" s="75">
        <v>919480139</v>
      </c>
    </row>
    <row r="84" spans="1:6" ht="25">
      <c r="A84" s="76" t="s">
        <v>417</v>
      </c>
      <c r="B84" s="79" t="s">
        <v>405</v>
      </c>
      <c r="C84" s="80" t="s">
        <v>550</v>
      </c>
      <c r="D84" s="76"/>
      <c r="E84" s="75">
        <v>0</v>
      </c>
      <c r="F84" s="75">
        <v>0</v>
      </c>
    </row>
    <row r="85" spans="1:6" ht="25">
      <c r="A85" s="76" t="s">
        <v>551</v>
      </c>
      <c r="B85" s="77" t="s">
        <v>552</v>
      </c>
      <c r="C85" s="78" t="s">
        <v>553</v>
      </c>
      <c r="D85" s="76"/>
      <c r="E85" s="75">
        <v>1600311877</v>
      </c>
      <c r="F85" s="75">
        <v>634351159</v>
      </c>
    </row>
    <row r="86" spans="1:6" ht="25">
      <c r="A86" s="76" t="s">
        <v>554</v>
      </c>
      <c r="B86" s="77" t="s">
        <v>555</v>
      </c>
      <c r="C86" s="78" t="s">
        <v>556</v>
      </c>
      <c r="D86" s="76"/>
      <c r="E86" s="75">
        <v>719477167</v>
      </c>
      <c r="F86" s="75">
        <v>884072951</v>
      </c>
    </row>
    <row r="87" spans="1:6" ht="25">
      <c r="A87" s="76" t="s">
        <v>417</v>
      </c>
      <c r="B87" s="79" t="s">
        <v>557</v>
      </c>
      <c r="C87" s="80" t="s">
        <v>558</v>
      </c>
      <c r="D87" s="76"/>
      <c r="E87" s="75">
        <v>623122739</v>
      </c>
      <c r="F87" s="75">
        <v>804713601</v>
      </c>
    </row>
    <row r="88" spans="1:6" ht="25">
      <c r="A88" s="76" t="s">
        <v>417</v>
      </c>
      <c r="B88" s="79" t="s">
        <v>559</v>
      </c>
      <c r="C88" s="80" t="s">
        <v>560</v>
      </c>
      <c r="D88" s="76"/>
      <c r="E88" s="75">
        <v>47200000</v>
      </c>
      <c r="F88" s="75">
        <v>29300000</v>
      </c>
    </row>
    <row r="89" spans="1:6" ht="25">
      <c r="A89" s="76" t="s">
        <v>417</v>
      </c>
      <c r="B89" s="79" t="s">
        <v>25</v>
      </c>
      <c r="C89" s="80" t="s">
        <v>561</v>
      </c>
      <c r="D89" s="76"/>
      <c r="E89" s="75">
        <v>22000000</v>
      </c>
      <c r="F89" s="75">
        <v>22000000</v>
      </c>
    </row>
    <row r="90" spans="1:6" ht="25">
      <c r="A90" s="76" t="s">
        <v>417</v>
      </c>
      <c r="B90" s="79" t="s">
        <v>37</v>
      </c>
      <c r="C90" s="80" t="s">
        <v>562</v>
      </c>
      <c r="D90" s="76"/>
      <c r="E90" s="75">
        <v>25200000</v>
      </c>
      <c r="F90" s="75">
        <v>7300000</v>
      </c>
    </row>
    <row r="91" spans="1:6" ht="25">
      <c r="A91" s="76" t="s">
        <v>417</v>
      </c>
      <c r="B91" s="79" t="s">
        <v>345</v>
      </c>
      <c r="C91" s="80" t="s">
        <v>563</v>
      </c>
      <c r="D91" s="76"/>
      <c r="E91" s="75">
        <v>0</v>
      </c>
      <c r="F91" s="75">
        <v>0</v>
      </c>
    </row>
    <row r="92" spans="1:6" ht="25">
      <c r="A92" s="76" t="s">
        <v>417</v>
      </c>
      <c r="B92" s="79" t="s">
        <v>564</v>
      </c>
      <c r="C92" s="80" t="s">
        <v>565</v>
      </c>
      <c r="D92" s="76"/>
      <c r="E92" s="75">
        <v>10654428</v>
      </c>
      <c r="F92" s="75">
        <v>13759350</v>
      </c>
    </row>
    <row r="93" spans="1:6" ht="25">
      <c r="A93" s="76" t="s">
        <v>417</v>
      </c>
      <c r="B93" s="79" t="s">
        <v>566</v>
      </c>
      <c r="C93" s="80" t="s">
        <v>567</v>
      </c>
      <c r="D93" s="76"/>
      <c r="E93" s="75">
        <v>25300000</v>
      </c>
      <c r="F93" s="75">
        <v>25300000</v>
      </c>
    </row>
    <row r="94" spans="1:6" ht="25">
      <c r="A94" s="76" t="s">
        <v>417</v>
      </c>
      <c r="B94" s="79" t="s">
        <v>568</v>
      </c>
      <c r="C94" s="80" t="s">
        <v>569</v>
      </c>
      <c r="D94" s="76"/>
      <c r="E94" s="75">
        <v>13200000</v>
      </c>
      <c r="F94" s="75">
        <v>11000000</v>
      </c>
    </row>
    <row r="95" spans="1:6" ht="25">
      <c r="A95" s="76" t="s">
        <v>417</v>
      </c>
      <c r="B95" s="79" t="s">
        <v>570</v>
      </c>
      <c r="C95" s="80" t="s">
        <v>571</v>
      </c>
      <c r="D95" s="76"/>
      <c r="E95" s="75">
        <v>0</v>
      </c>
      <c r="F95" s="75">
        <v>0</v>
      </c>
    </row>
    <row r="96" spans="1:6" ht="25">
      <c r="A96" s="76" t="s">
        <v>417</v>
      </c>
      <c r="B96" s="79" t="s">
        <v>572</v>
      </c>
      <c r="C96" s="80" t="s">
        <v>573</v>
      </c>
      <c r="D96" s="76"/>
      <c r="E96" s="75">
        <v>0</v>
      </c>
      <c r="F96" s="75">
        <v>0</v>
      </c>
    </row>
    <row r="97" spans="1:6" ht="25">
      <c r="A97" s="76" t="s">
        <v>184</v>
      </c>
      <c r="B97" s="77" t="s">
        <v>574</v>
      </c>
      <c r="C97" s="78" t="s">
        <v>575</v>
      </c>
      <c r="D97" s="76"/>
      <c r="E97" s="75">
        <v>0</v>
      </c>
      <c r="F97" s="75">
        <v>22075000</v>
      </c>
    </row>
    <row r="98" spans="1:6" ht="25">
      <c r="A98" s="76" t="s">
        <v>417</v>
      </c>
      <c r="B98" s="79" t="s">
        <v>408</v>
      </c>
      <c r="C98" s="80" t="s">
        <v>576</v>
      </c>
      <c r="D98" s="76"/>
      <c r="E98" s="75">
        <v>0</v>
      </c>
      <c r="F98" s="75">
        <v>22075000</v>
      </c>
    </row>
    <row r="99" spans="1:6" ht="25">
      <c r="A99" s="76" t="s">
        <v>417</v>
      </c>
      <c r="B99" s="79" t="s">
        <v>409</v>
      </c>
      <c r="C99" s="80" t="s">
        <v>577</v>
      </c>
      <c r="D99" s="76"/>
      <c r="E99" s="75">
        <v>0</v>
      </c>
      <c r="F99" s="75">
        <v>0</v>
      </c>
    </row>
    <row r="100" spans="1:6" ht="25">
      <c r="A100" s="76" t="s">
        <v>417</v>
      </c>
      <c r="B100" s="79" t="s">
        <v>578</v>
      </c>
      <c r="C100" s="80" t="s">
        <v>579</v>
      </c>
      <c r="D100" s="76"/>
      <c r="E100" s="75">
        <v>0</v>
      </c>
      <c r="F100" s="75">
        <v>0</v>
      </c>
    </row>
    <row r="101" spans="1:6" ht="25">
      <c r="A101" s="76" t="s">
        <v>417</v>
      </c>
      <c r="B101" s="79" t="s">
        <v>580</v>
      </c>
      <c r="C101" s="80" t="s">
        <v>581</v>
      </c>
      <c r="D101" s="76"/>
      <c r="E101" s="75">
        <v>0</v>
      </c>
      <c r="F101" s="75">
        <v>0</v>
      </c>
    </row>
    <row r="102" spans="1:6" ht="25">
      <c r="A102" s="76" t="s">
        <v>417</v>
      </c>
      <c r="B102" s="79" t="s">
        <v>407</v>
      </c>
      <c r="C102" s="80" t="s">
        <v>582</v>
      </c>
      <c r="D102" s="76"/>
      <c r="E102" s="75">
        <v>0</v>
      </c>
      <c r="F102" s="75">
        <v>0</v>
      </c>
    </row>
    <row r="103" spans="1:6" ht="25">
      <c r="A103" s="16" t="s">
        <v>417</v>
      </c>
      <c r="B103" s="74" t="s">
        <v>583</v>
      </c>
      <c r="C103" s="11" t="s">
        <v>584</v>
      </c>
      <c r="D103" s="23"/>
      <c r="E103" s="23">
        <v>16598632592</v>
      </c>
      <c r="F103" s="23">
        <v>2880569924</v>
      </c>
    </row>
    <row r="104" spans="1:6" ht="37.5">
      <c r="A104" s="16" t="s">
        <v>28</v>
      </c>
      <c r="B104" s="74" t="s">
        <v>585</v>
      </c>
      <c r="C104" s="11" t="s">
        <v>586</v>
      </c>
      <c r="D104" s="23"/>
      <c r="E104" s="23">
        <v>370867339194</v>
      </c>
      <c r="F104" s="23">
        <v>514765619235</v>
      </c>
    </row>
    <row r="105" spans="1:6" ht="25">
      <c r="A105" s="76" t="s">
        <v>411</v>
      </c>
      <c r="B105" s="77" t="s">
        <v>587</v>
      </c>
      <c r="C105" s="78" t="s">
        <v>588</v>
      </c>
      <c r="D105" s="76"/>
      <c r="E105" s="75">
        <v>180852569900</v>
      </c>
      <c r="F105" s="75">
        <v>169963659500</v>
      </c>
    </row>
    <row r="106" spans="1:6" ht="25">
      <c r="A106" s="76" t="s">
        <v>414</v>
      </c>
      <c r="B106" s="77" t="s">
        <v>589</v>
      </c>
      <c r="C106" s="78" t="s">
        <v>590</v>
      </c>
      <c r="D106" s="76"/>
      <c r="E106" s="75">
        <v>2859336373500</v>
      </c>
      <c r="F106" s="75">
        <v>2753005616700</v>
      </c>
    </row>
    <row r="107" spans="1:6" ht="25">
      <c r="A107" s="76" t="s">
        <v>425</v>
      </c>
      <c r="B107" s="77" t="s">
        <v>591</v>
      </c>
      <c r="C107" s="78" t="s">
        <v>592</v>
      </c>
      <c r="D107" s="76"/>
      <c r="E107" s="75">
        <v>-2678483803600</v>
      </c>
      <c r="F107" s="75">
        <v>-2583041957200</v>
      </c>
    </row>
    <row r="108" spans="1:6" ht="25">
      <c r="A108" s="76" t="s">
        <v>428</v>
      </c>
      <c r="B108" s="77" t="s">
        <v>593</v>
      </c>
      <c r="C108" s="78" t="s">
        <v>594</v>
      </c>
      <c r="D108" s="76"/>
      <c r="E108" s="75">
        <v>163374970734</v>
      </c>
      <c r="F108" s="75">
        <v>109116403482</v>
      </c>
    </row>
    <row r="109" spans="1:6" ht="25">
      <c r="A109" s="76" t="s">
        <v>453</v>
      </c>
      <c r="B109" s="77" t="s">
        <v>595</v>
      </c>
      <c r="C109" s="78" t="s">
        <v>596</v>
      </c>
      <c r="D109" s="76"/>
      <c r="E109" s="75">
        <v>26639798560</v>
      </c>
      <c r="F109" s="75">
        <v>235685556253</v>
      </c>
    </row>
    <row r="110" spans="1:6" ht="25">
      <c r="A110" s="76" t="s">
        <v>456</v>
      </c>
      <c r="B110" s="77" t="s">
        <v>597</v>
      </c>
      <c r="C110" s="78" t="s">
        <v>598</v>
      </c>
      <c r="D110" s="76"/>
      <c r="E110" s="75">
        <v>235685556253</v>
      </c>
      <c r="F110" s="75">
        <v>69656470285</v>
      </c>
    </row>
    <row r="111" spans="1:6" ht="25">
      <c r="A111" s="76" t="s">
        <v>461</v>
      </c>
      <c r="B111" s="77" t="s">
        <v>599</v>
      </c>
      <c r="C111" s="78" t="s">
        <v>600</v>
      </c>
      <c r="D111" s="76"/>
      <c r="E111" s="75">
        <v>-209045757693</v>
      </c>
      <c r="F111" s="75">
        <v>166029085968</v>
      </c>
    </row>
    <row r="112" spans="1:6" ht="25">
      <c r="A112" s="16" t="s">
        <v>29</v>
      </c>
      <c r="B112" s="74" t="s">
        <v>601</v>
      </c>
      <c r="C112" s="11" t="s">
        <v>602</v>
      </c>
      <c r="D112" s="23"/>
      <c r="E112" s="86">
        <v>20506.61</v>
      </c>
      <c r="F112" s="86">
        <v>30286.799999999999</v>
      </c>
    </row>
    <row r="113" spans="1:7" ht="25">
      <c r="A113" s="16" t="s">
        <v>30</v>
      </c>
      <c r="B113" s="74" t="s">
        <v>603</v>
      </c>
      <c r="C113" s="11" t="s">
        <v>604</v>
      </c>
      <c r="D113" s="23"/>
      <c r="E113" s="23">
        <v>0</v>
      </c>
      <c r="F113" s="23">
        <v>0</v>
      </c>
    </row>
    <row r="114" spans="1:7" ht="25">
      <c r="A114" s="76" t="s">
        <v>411</v>
      </c>
      <c r="B114" s="77" t="s">
        <v>605</v>
      </c>
      <c r="C114" s="78" t="s">
        <v>606</v>
      </c>
      <c r="D114" s="76"/>
      <c r="E114" s="75">
        <v>0</v>
      </c>
      <c r="F114" s="75">
        <v>0</v>
      </c>
    </row>
    <row r="115" spans="1:7" ht="25">
      <c r="A115" s="76" t="s">
        <v>428</v>
      </c>
      <c r="B115" s="77" t="s">
        <v>607</v>
      </c>
      <c r="C115" s="78" t="s">
        <v>608</v>
      </c>
      <c r="D115" s="76"/>
      <c r="E115" s="75">
        <v>0</v>
      </c>
      <c r="F115" s="75">
        <v>0</v>
      </c>
    </row>
    <row r="116" spans="1:7" ht="25">
      <c r="A116" s="16" t="s">
        <v>31</v>
      </c>
      <c r="B116" s="74" t="s">
        <v>609</v>
      </c>
      <c r="C116" s="11" t="s">
        <v>31</v>
      </c>
      <c r="D116" s="23"/>
      <c r="E116" s="23"/>
      <c r="F116" s="23"/>
    </row>
    <row r="117" spans="1:7" ht="25">
      <c r="A117" s="76" t="s">
        <v>411</v>
      </c>
      <c r="B117" s="77" t="s">
        <v>610</v>
      </c>
      <c r="C117" s="78" t="s">
        <v>611</v>
      </c>
      <c r="D117" s="76"/>
      <c r="E117" s="75">
        <v>0</v>
      </c>
      <c r="F117" s="75">
        <v>0</v>
      </c>
    </row>
    <row r="118" spans="1:7" ht="25">
      <c r="A118" s="76" t="s">
        <v>428</v>
      </c>
      <c r="B118" s="77" t="s">
        <v>612</v>
      </c>
      <c r="C118" s="78" t="s">
        <v>613</v>
      </c>
      <c r="D118" s="76"/>
      <c r="E118" s="75">
        <v>0</v>
      </c>
      <c r="F118" s="75">
        <v>0</v>
      </c>
    </row>
    <row r="119" spans="1:7" ht="25">
      <c r="A119" s="76" t="s">
        <v>453</v>
      </c>
      <c r="B119" s="77" t="s">
        <v>614</v>
      </c>
      <c r="C119" s="78" t="s">
        <v>615</v>
      </c>
      <c r="D119" s="76"/>
      <c r="E119" s="75">
        <v>0</v>
      </c>
      <c r="F119" s="75">
        <v>0</v>
      </c>
    </row>
    <row r="120" spans="1:7" ht="25">
      <c r="A120" s="83" t="s">
        <v>520</v>
      </c>
      <c r="B120" s="84" t="s">
        <v>616</v>
      </c>
      <c r="C120" s="78" t="s">
        <v>617</v>
      </c>
      <c r="D120" s="83"/>
      <c r="E120" s="85">
        <v>18085256.989999998</v>
      </c>
      <c r="F120" s="85">
        <v>16996365.949999999</v>
      </c>
    </row>
    <row r="121" spans="1:7" s="41" customFormat="1" ht="13">
      <c r="A121" s="15"/>
      <c r="B121" s="15"/>
      <c r="C121" s="15"/>
      <c r="D121" s="15"/>
      <c r="E121" s="15"/>
      <c r="F121" s="15"/>
      <c r="G121" s="2"/>
    </row>
    <row r="123" spans="1:7" ht="16.899999999999999" customHeight="1">
      <c r="A123" s="291" t="s">
        <v>251</v>
      </c>
      <c r="B123" s="291"/>
      <c r="C123" s="291" t="s">
        <v>252</v>
      </c>
      <c r="D123" s="291"/>
      <c r="E123" s="291"/>
      <c r="F123" s="291"/>
    </row>
    <row r="136" spans="1:6">
      <c r="A136" s="290" t="s">
        <v>623</v>
      </c>
      <c r="B136" s="290"/>
      <c r="C136" s="290" t="s">
        <v>624</v>
      </c>
      <c r="D136" s="290"/>
      <c r="E136" s="290"/>
      <c r="F136" s="15" t="s">
        <v>1622</v>
      </c>
    </row>
    <row r="137" spans="1:6" ht="16.899999999999999" customHeight="1">
      <c r="A137" s="292" t="s">
        <v>1615</v>
      </c>
      <c r="B137" s="292"/>
      <c r="C137" s="292" t="s">
        <v>1616</v>
      </c>
      <c r="D137" s="292"/>
      <c r="E137" s="292"/>
      <c r="F137" s="199" t="s">
        <v>1608</v>
      </c>
    </row>
    <row r="138" spans="1:6" ht="16.899999999999999" customHeight="1">
      <c r="A138" s="290" t="s">
        <v>1617</v>
      </c>
      <c r="B138" s="290"/>
      <c r="C138" s="290" t="s">
        <v>1618</v>
      </c>
      <c r="D138" s="290"/>
      <c r="E138" s="290"/>
      <c r="F138" s="200" t="s">
        <v>1610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topLeftCell="A25" zoomScale="95" zoomScaleNormal="100" zoomScaleSheetLayoutView="95" workbookViewId="0">
      <selection activeCell="E18" sqref="E18:F18"/>
    </sheetView>
  </sheetViews>
  <sheetFormatPr defaultColWidth="8.7265625" defaultRowHeight="58.5" customHeight="1"/>
  <cols>
    <col min="1" max="1" width="8.7265625" style="15"/>
    <col min="2" max="2" width="6.453125" style="15" customWidth="1"/>
    <col min="3" max="3" width="51.7265625" style="15" customWidth="1"/>
    <col min="4" max="4" width="12.54296875" style="15" customWidth="1"/>
    <col min="5" max="5" width="34" style="15" customWidth="1"/>
    <col min="6" max="6" width="37.81640625" style="15" bestFit="1" customWidth="1"/>
    <col min="7" max="16384" width="8.7265625" style="30"/>
  </cols>
  <sheetData>
    <row r="1" spans="1:7" ht="66.75" customHeight="1">
      <c r="A1" s="280" t="s">
        <v>683</v>
      </c>
      <c r="B1" s="280"/>
      <c r="C1" s="280"/>
      <c r="D1" s="280"/>
      <c r="E1" s="280"/>
      <c r="F1" s="280"/>
      <c r="G1" s="37"/>
    </row>
    <row r="2" spans="1:7" ht="69.75" customHeight="1">
      <c r="A2" s="281" t="s">
        <v>1620</v>
      </c>
      <c r="B2" s="281"/>
      <c r="C2" s="281"/>
      <c r="D2" s="281"/>
      <c r="E2" s="281"/>
      <c r="F2" s="281"/>
      <c r="G2" s="38"/>
    </row>
    <row r="3" spans="1:7" ht="58.5" customHeight="1">
      <c r="A3" s="282" t="s">
        <v>362</v>
      </c>
      <c r="B3" s="282"/>
      <c r="C3" s="282"/>
      <c r="D3" s="282"/>
      <c r="E3" s="282"/>
      <c r="F3" s="282"/>
      <c r="G3" s="37"/>
    </row>
    <row r="4" spans="1:7" ht="13">
      <c r="A4" s="282"/>
      <c r="B4" s="282"/>
      <c r="C4" s="282"/>
      <c r="D4" s="282"/>
      <c r="E4" s="282"/>
      <c r="F4" s="282"/>
      <c r="G4" s="37"/>
    </row>
    <row r="5" spans="1:7" ht="13">
      <c r="A5" s="283" t="s">
        <v>1602</v>
      </c>
      <c r="B5" s="283"/>
      <c r="C5" s="283"/>
      <c r="D5" s="283"/>
      <c r="E5" s="283"/>
      <c r="F5" s="283"/>
      <c r="G5" s="39"/>
    </row>
    <row r="6" spans="1:7" ht="12.5"/>
    <row r="7" spans="1:7" ht="12.5">
      <c r="A7" s="195" t="s">
        <v>2</v>
      </c>
      <c r="B7" s="197"/>
      <c r="D7" s="284" t="s">
        <v>1603</v>
      </c>
      <c r="E7" s="284"/>
      <c r="F7" s="284"/>
    </row>
    <row r="8" spans="1:7" ht="12.5">
      <c r="A8" s="15" t="s">
        <v>15</v>
      </c>
      <c r="B8" s="197"/>
      <c r="D8" s="279" t="s">
        <v>1604</v>
      </c>
      <c r="E8" s="279"/>
      <c r="F8" s="279"/>
    </row>
    <row r="9" spans="1:7" ht="12.5">
      <c r="A9" s="195" t="s">
        <v>3</v>
      </c>
      <c r="B9" s="197"/>
      <c r="D9" s="284" t="s">
        <v>1605</v>
      </c>
      <c r="E9" s="284"/>
      <c r="F9" s="284"/>
    </row>
    <row r="10" spans="1:7" ht="12.5">
      <c r="A10" s="15" t="s">
        <v>4</v>
      </c>
      <c r="B10" s="197"/>
      <c r="D10" s="279" t="s">
        <v>1606</v>
      </c>
      <c r="E10" s="279"/>
      <c r="F10" s="279"/>
    </row>
    <row r="11" spans="1:7" ht="12.5">
      <c r="A11" s="195" t="s">
        <v>5</v>
      </c>
      <c r="B11" s="197"/>
      <c r="D11" s="284" t="s">
        <v>709</v>
      </c>
      <c r="E11" s="284"/>
      <c r="F11" s="284"/>
    </row>
    <row r="12" spans="1:7" ht="12.5">
      <c r="A12" s="15" t="s">
        <v>6</v>
      </c>
      <c r="B12" s="197"/>
      <c r="D12" s="279" t="s">
        <v>1619</v>
      </c>
      <c r="E12" s="279"/>
      <c r="F12" s="279"/>
    </row>
    <row r="13" spans="1:7" ht="12.5">
      <c r="A13" s="195" t="s">
        <v>7</v>
      </c>
      <c r="B13" s="197"/>
      <c r="D13" s="284" t="s">
        <v>1668</v>
      </c>
      <c r="E13" s="284"/>
      <c r="F13" s="284"/>
    </row>
    <row r="14" spans="1:7" ht="12.5">
      <c r="A14" s="15" t="s">
        <v>8</v>
      </c>
      <c r="D14" s="279" t="s">
        <v>1669</v>
      </c>
      <c r="E14" s="279"/>
      <c r="F14" s="279"/>
    </row>
    <row r="15" spans="1:7" ht="12.5"/>
    <row r="16" spans="1:7" ht="12.5"/>
    <row r="17" spans="1:6" ht="12.5">
      <c r="A17" s="20"/>
      <c r="B17" s="20"/>
      <c r="C17" s="21"/>
    </row>
    <row r="18" spans="1:6" ht="58.5" customHeight="1">
      <c r="A18" s="294" t="s">
        <v>17</v>
      </c>
      <c r="B18" s="295"/>
      <c r="C18" s="31" t="s">
        <v>363</v>
      </c>
      <c r="D18" s="31" t="s">
        <v>171</v>
      </c>
      <c r="E18" s="31" t="s">
        <v>1613</v>
      </c>
      <c r="F18" s="31" t="s">
        <v>1614</v>
      </c>
    </row>
    <row r="19" spans="1:6" s="41" customFormat="1" ht="25">
      <c r="A19" s="40" t="s">
        <v>16</v>
      </c>
      <c r="B19" s="40"/>
      <c r="C19" s="45" t="s">
        <v>152</v>
      </c>
      <c r="D19" s="46" t="s">
        <v>153</v>
      </c>
      <c r="E19" s="244">
        <v>514765619235</v>
      </c>
      <c r="F19" s="244">
        <v>452374061555</v>
      </c>
    </row>
    <row r="20" spans="1:6" s="41" customFormat="1" ht="50">
      <c r="A20" s="40" t="s">
        <v>22</v>
      </c>
      <c r="B20" s="40"/>
      <c r="C20" s="45" t="s">
        <v>154</v>
      </c>
      <c r="D20" s="46" t="s">
        <v>155</v>
      </c>
      <c r="E20" s="244">
        <v>-209045757693</v>
      </c>
      <c r="F20" s="244">
        <v>166029085968</v>
      </c>
    </row>
    <row r="21" spans="1:6" ht="50">
      <c r="A21" s="296"/>
      <c r="B21" s="43" t="s">
        <v>23</v>
      </c>
      <c r="C21" s="47" t="s">
        <v>156</v>
      </c>
      <c r="D21" s="48" t="s">
        <v>157</v>
      </c>
      <c r="E21" s="49">
        <v>-209045757693</v>
      </c>
      <c r="F21" s="49">
        <v>166029085968</v>
      </c>
    </row>
    <row r="22" spans="1:6" ht="50">
      <c r="A22" s="297"/>
      <c r="B22" s="43" t="s">
        <v>24</v>
      </c>
      <c r="C22" s="47" t="s">
        <v>317</v>
      </c>
      <c r="D22" s="48" t="s">
        <v>158</v>
      </c>
      <c r="E22" s="49">
        <v>0</v>
      </c>
      <c r="F22" s="49">
        <v>0</v>
      </c>
    </row>
    <row r="23" spans="1:6" s="41" customFormat="1" ht="50">
      <c r="A23" s="40" t="s">
        <v>28</v>
      </c>
      <c r="B23" s="40"/>
      <c r="C23" s="45" t="s">
        <v>159</v>
      </c>
      <c r="D23" s="46" t="s">
        <v>160</v>
      </c>
      <c r="E23" s="244">
        <v>65147477652</v>
      </c>
      <c r="F23" s="244">
        <v>-103637528288</v>
      </c>
    </row>
    <row r="24" spans="1:6" ht="25">
      <c r="A24" s="296"/>
      <c r="B24" s="43" t="s">
        <v>161</v>
      </c>
      <c r="C24" s="47" t="s">
        <v>162</v>
      </c>
      <c r="D24" s="48" t="s">
        <v>163</v>
      </c>
      <c r="E24" s="49">
        <v>293336228598</v>
      </c>
      <c r="F24" s="49">
        <v>296278942778</v>
      </c>
    </row>
    <row r="25" spans="1:6" ht="25">
      <c r="A25" s="297"/>
      <c r="B25" s="43" t="s">
        <v>164</v>
      </c>
      <c r="C25" s="47" t="s">
        <v>165</v>
      </c>
      <c r="D25" s="48" t="s">
        <v>166</v>
      </c>
      <c r="E25" s="49">
        <v>-228188750946</v>
      </c>
      <c r="F25" s="49">
        <v>-399916471066</v>
      </c>
    </row>
    <row r="26" spans="1:6" s="41" customFormat="1" ht="37.5">
      <c r="A26" s="40" t="s">
        <v>29</v>
      </c>
      <c r="B26" s="40"/>
      <c r="C26" s="45" t="s">
        <v>364</v>
      </c>
      <c r="D26" s="46" t="s">
        <v>167</v>
      </c>
      <c r="E26" s="244">
        <v>370867339194</v>
      </c>
      <c r="F26" s="244">
        <v>514765619235</v>
      </c>
    </row>
    <row r="27" spans="1:6" s="41" customFormat="1" ht="25">
      <c r="A27" s="40" t="s">
        <v>30</v>
      </c>
      <c r="B27" s="40"/>
      <c r="C27" s="45" t="s">
        <v>329</v>
      </c>
      <c r="D27" s="46" t="s">
        <v>168</v>
      </c>
      <c r="E27" s="87">
        <v>20506.61</v>
      </c>
      <c r="F27" s="87">
        <v>30286.799999999999</v>
      </c>
    </row>
    <row r="28" spans="1:6" ht="12.5">
      <c r="A28" s="198"/>
      <c r="B28" s="198"/>
      <c r="C28" s="50"/>
      <c r="D28" s="198"/>
      <c r="E28" s="51"/>
      <c r="F28" s="51"/>
    </row>
    <row r="29" spans="1:6" ht="12.5"/>
    <row r="30" spans="1:6" s="3" customFormat="1" ht="12.5">
      <c r="A30" s="291" t="s">
        <v>251</v>
      </c>
      <c r="B30" s="291"/>
      <c r="C30" s="291"/>
      <c r="D30" s="291" t="s">
        <v>252</v>
      </c>
      <c r="E30" s="291"/>
      <c r="F30" s="291"/>
    </row>
    <row r="31" spans="1:6" s="3" customFormat="1" ht="12.5">
      <c r="A31" s="15"/>
      <c r="B31" s="15"/>
      <c r="C31" s="15"/>
      <c r="D31" s="15"/>
      <c r="E31" s="15"/>
      <c r="F31" s="15"/>
    </row>
    <row r="32" spans="1:6" s="3" customFormat="1" ht="12.5">
      <c r="A32" s="15"/>
      <c r="B32" s="15"/>
      <c r="C32" s="15"/>
      <c r="D32" s="15"/>
      <c r="E32" s="15"/>
      <c r="F32" s="15"/>
    </row>
    <row r="33" spans="1:6" s="3" customFormat="1" ht="12.5">
      <c r="A33" s="15"/>
      <c r="B33" s="15"/>
      <c r="C33" s="15"/>
      <c r="D33" s="15"/>
      <c r="E33" s="15"/>
      <c r="F33" s="15"/>
    </row>
    <row r="34" spans="1:6" s="3" customFormat="1" ht="12.5">
      <c r="A34" s="15"/>
      <c r="B34" s="15"/>
      <c r="C34" s="15"/>
      <c r="D34" s="15"/>
      <c r="E34" s="15"/>
      <c r="F34" s="15"/>
    </row>
    <row r="35" spans="1:6" s="3" customFormat="1" ht="12.5">
      <c r="A35" s="15"/>
      <c r="B35" s="15"/>
      <c r="C35" s="15"/>
      <c r="D35" s="15"/>
      <c r="E35" s="15"/>
      <c r="F35" s="15"/>
    </row>
    <row r="36" spans="1:6" s="3" customFormat="1" ht="12.5">
      <c r="A36" s="15"/>
      <c r="B36" s="15"/>
      <c r="C36" s="15"/>
      <c r="D36" s="15"/>
      <c r="E36" s="15"/>
      <c r="F36" s="15"/>
    </row>
    <row r="37" spans="1:6" s="3" customFormat="1" ht="12.5">
      <c r="A37" s="15"/>
      <c r="B37" s="15"/>
      <c r="C37" s="15"/>
      <c r="D37" s="15"/>
      <c r="E37" s="15"/>
      <c r="F37" s="15"/>
    </row>
    <row r="38" spans="1:6" s="3" customFormat="1" ht="12.5">
      <c r="A38" s="15"/>
      <c r="B38" s="15"/>
      <c r="C38" s="15"/>
      <c r="D38" s="15"/>
      <c r="E38" s="15"/>
      <c r="F38" s="15"/>
    </row>
    <row r="39" spans="1:6" s="3" customFormat="1" ht="12.5">
      <c r="A39" s="293" t="s">
        <v>625</v>
      </c>
      <c r="B39" s="293"/>
      <c r="C39" s="293"/>
      <c r="D39" s="293" t="s">
        <v>623</v>
      </c>
      <c r="E39" s="293"/>
      <c r="F39" s="32" t="s">
        <v>1621</v>
      </c>
    </row>
    <row r="40" spans="1:6" s="1" customFormat="1" ht="12.5">
      <c r="A40" s="292" t="s">
        <v>1615</v>
      </c>
      <c r="B40" s="292"/>
      <c r="C40" s="292"/>
      <c r="D40" s="292" t="s">
        <v>1616</v>
      </c>
      <c r="E40" s="292"/>
      <c r="F40" s="199" t="s">
        <v>1608</v>
      </c>
    </row>
    <row r="41" spans="1:6" s="1" customFormat="1" ht="12.5">
      <c r="A41" s="290" t="s">
        <v>1617</v>
      </c>
      <c r="B41" s="290"/>
      <c r="C41" s="290"/>
      <c r="D41" s="298" t="s">
        <v>1618</v>
      </c>
      <c r="E41" s="290"/>
      <c r="F41" s="200" t="s">
        <v>1610</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10"/>
  <sheetViews>
    <sheetView view="pageBreakPreview" topLeftCell="A91" zoomScale="80" zoomScaleNormal="100" zoomScaleSheetLayoutView="80" workbookViewId="0">
      <selection activeCell="C82" sqref="C82"/>
    </sheetView>
  </sheetViews>
  <sheetFormatPr defaultColWidth="8.7265625" defaultRowHeight="12.5"/>
  <cols>
    <col min="1" max="1" width="8.7265625" style="15"/>
    <col min="2" max="2" width="40.26953125" style="15" customWidth="1"/>
    <col min="3" max="3" width="14.26953125" style="15" customWidth="1"/>
    <col min="4" max="7" width="25" style="15" customWidth="1"/>
    <col min="8" max="16384" width="8.7265625" style="30"/>
  </cols>
  <sheetData>
    <row r="1" spans="1:7" ht="57" customHeight="1">
      <c r="A1" s="280" t="s">
        <v>683</v>
      </c>
      <c r="B1" s="280"/>
      <c r="C1" s="280"/>
      <c r="D1" s="280"/>
      <c r="E1" s="280"/>
      <c r="F1" s="280"/>
      <c r="G1" s="280"/>
    </row>
    <row r="2" spans="1:7" ht="39.75" customHeight="1">
      <c r="A2" s="281" t="s">
        <v>1620</v>
      </c>
      <c r="B2" s="281"/>
      <c r="C2" s="281"/>
      <c r="D2" s="281"/>
      <c r="E2" s="281"/>
      <c r="F2" s="281"/>
      <c r="G2" s="281"/>
    </row>
    <row r="3" spans="1:7" ht="33.65" customHeight="1">
      <c r="A3" s="282" t="s">
        <v>376</v>
      </c>
      <c r="B3" s="282"/>
      <c r="C3" s="282"/>
      <c r="D3" s="282"/>
      <c r="E3" s="282"/>
      <c r="F3" s="282"/>
      <c r="G3" s="282"/>
    </row>
    <row r="4" spans="1:7" ht="16.899999999999999" customHeight="1">
      <c r="A4" s="283" t="s">
        <v>1601</v>
      </c>
      <c r="B4" s="283"/>
      <c r="C4" s="283"/>
      <c r="D4" s="283"/>
      <c r="E4" s="283"/>
      <c r="F4" s="283"/>
      <c r="G4" s="283"/>
    </row>
    <row r="6" spans="1:7" ht="16.899999999999999" customHeight="1">
      <c r="A6" s="195" t="s">
        <v>2</v>
      </c>
      <c r="C6" s="300" t="s">
        <v>1603</v>
      </c>
      <c r="D6" s="300"/>
      <c r="E6" s="300"/>
      <c r="F6" s="300"/>
      <c r="G6" s="300"/>
    </row>
    <row r="7" spans="1:7" ht="16.899999999999999" customHeight="1">
      <c r="A7" s="15" t="s">
        <v>15</v>
      </c>
      <c r="C7" s="299" t="s">
        <v>1604</v>
      </c>
      <c r="D7" s="299"/>
      <c r="E7" s="299"/>
      <c r="F7" s="299"/>
      <c r="G7" s="299"/>
    </row>
    <row r="8" spans="1:7" ht="16.899999999999999" customHeight="1">
      <c r="A8" s="195" t="s">
        <v>3</v>
      </c>
      <c r="C8" s="300" t="s">
        <v>1605</v>
      </c>
      <c r="D8" s="300"/>
      <c r="E8" s="300"/>
      <c r="F8" s="300"/>
      <c r="G8" s="300"/>
    </row>
    <row r="9" spans="1:7" ht="16.899999999999999" customHeight="1">
      <c r="A9" s="15" t="s">
        <v>4</v>
      </c>
      <c r="C9" s="299" t="s">
        <v>1606</v>
      </c>
      <c r="D9" s="299"/>
      <c r="E9" s="299"/>
      <c r="F9" s="299"/>
      <c r="G9" s="299"/>
    </row>
    <row r="10" spans="1:7" ht="16.899999999999999" customHeight="1">
      <c r="A10" s="195" t="s">
        <v>5</v>
      </c>
      <c r="C10" s="300" t="s">
        <v>709</v>
      </c>
      <c r="D10" s="300"/>
      <c r="E10" s="300"/>
      <c r="F10" s="300"/>
      <c r="G10" s="300"/>
    </row>
    <row r="11" spans="1:7" ht="16.899999999999999" customHeight="1">
      <c r="A11" s="15" t="s">
        <v>6</v>
      </c>
      <c r="C11" s="299" t="s">
        <v>1619</v>
      </c>
      <c r="D11" s="299"/>
      <c r="E11" s="299"/>
      <c r="F11" s="299"/>
      <c r="G11" s="299"/>
    </row>
    <row r="12" spans="1:7" ht="16.899999999999999" customHeight="1">
      <c r="A12" s="195" t="s">
        <v>7</v>
      </c>
      <c r="C12" s="300" t="s">
        <v>1668</v>
      </c>
      <c r="D12" s="300"/>
      <c r="E12" s="300"/>
      <c r="F12" s="300"/>
      <c r="G12" s="300"/>
    </row>
    <row r="13" spans="1:7" ht="16.899999999999999" customHeight="1">
      <c r="A13" s="15" t="s">
        <v>8</v>
      </c>
      <c r="C13" s="299" t="s">
        <v>1669</v>
      </c>
      <c r="D13" s="299"/>
      <c r="E13" s="299"/>
      <c r="F13" s="299"/>
      <c r="G13" s="299"/>
    </row>
    <row r="15" spans="1:7">
      <c r="A15" s="25"/>
      <c r="B15" s="25"/>
    </row>
    <row r="16" spans="1:7" ht="66" customHeight="1">
      <c r="A16" s="31" t="s">
        <v>109</v>
      </c>
      <c r="B16" s="31" t="s">
        <v>110</v>
      </c>
      <c r="C16" s="31" t="s">
        <v>19</v>
      </c>
      <c r="D16" s="31" t="s">
        <v>111</v>
      </c>
      <c r="E16" s="31" t="s">
        <v>112</v>
      </c>
      <c r="F16" s="31" t="s">
        <v>113</v>
      </c>
      <c r="G16" s="31" t="s">
        <v>114</v>
      </c>
    </row>
    <row r="17" spans="1:7" ht="39" customHeight="1">
      <c r="A17" s="242" t="s">
        <v>960</v>
      </c>
      <c r="B17" s="241" t="s">
        <v>961</v>
      </c>
      <c r="C17" s="242" t="s">
        <v>962</v>
      </c>
      <c r="D17" s="244"/>
      <c r="E17" s="244"/>
      <c r="F17" s="244"/>
      <c r="G17" s="243"/>
    </row>
    <row r="18" spans="1:7" ht="39" customHeight="1">
      <c r="A18" s="237" t="s">
        <v>963</v>
      </c>
      <c r="B18" s="236" t="s">
        <v>964</v>
      </c>
      <c r="C18" s="238" t="s">
        <v>965</v>
      </c>
      <c r="D18" s="240" t="s">
        <v>966</v>
      </c>
      <c r="E18" s="246" t="s">
        <v>967</v>
      </c>
      <c r="F18" s="240" t="s">
        <v>968</v>
      </c>
      <c r="G18" s="239" t="s">
        <v>969</v>
      </c>
    </row>
    <row r="19" spans="1:7" ht="39" customHeight="1">
      <c r="A19" s="237" t="s">
        <v>970</v>
      </c>
      <c r="B19" s="236" t="s">
        <v>971</v>
      </c>
      <c r="C19" s="238" t="s">
        <v>972</v>
      </c>
      <c r="D19" s="240">
        <v>250000</v>
      </c>
      <c r="E19" s="246">
        <v>21900</v>
      </c>
      <c r="F19" s="240">
        <v>5475000000</v>
      </c>
      <c r="G19" s="239">
        <v>1.41E-2</v>
      </c>
    </row>
    <row r="20" spans="1:7" ht="39" customHeight="1">
      <c r="A20" s="237" t="s">
        <v>973</v>
      </c>
      <c r="B20" s="236" t="s">
        <v>974</v>
      </c>
      <c r="C20" s="238" t="s">
        <v>975</v>
      </c>
      <c r="D20" s="240">
        <v>50000</v>
      </c>
      <c r="E20" s="246">
        <v>80600</v>
      </c>
      <c r="F20" s="240">
        <v>4030000000</v>
      </c>
      <c r="G20" s="239">
        <v>1.04E-2</v>
      </c>
    </row>
    <row r="21" spans="1:7" ht="39" customHeight="1">
      <c r="A21" s="237" t="s">
        <v>976</v>
      </c>
      <c r="B21" s="236" t="s">
        <v>977</v>
      </c>
      <c r="C21" s="238" t="s">
        <v>978</v>
      </c>
      <c r="D21" s="240">
        <v>220000</v>
      </c>
      <c r="E21" s="246">
        <v>38600</v>
      </c>
      <c r="F21" s="240">
        <v>8492000000</v>
      </c>
      <c r="G21" s="239">
        <v>2.1899999999999999E-2</v>
      </c>
    </row>
    <row r="22" spans="1:7" ht="39" customHeight="1">
      <c r="A22" s="237" t="s">
        <v>979</v>
      </c>
      <c r="B22" s="236" t="s">
        <v>980</v>
      </c>
      <c r="C22" s="238" t="s">
        <v>981</v>
      </c>
      <c r="D22" s="240">
        <v>340000</v>
      </c>
      <c r="E22" s="246">
        <v>27250</v>
      </c>
      <c r="F22" s="240">
        <v>9265000000</v>
      </c>
      <c r="G22" s="239">
        <v>2.3900000000000001E-2</v>
      </c>
    </row>
    <row r="23" spans="1:7" ht="39" customHeight="1">
      <c r="A23" s="237" t="s">
        <v>982</v>
      </c>
      <c r="B23" s="236" t="s">
        <v>983</v>
      </c>
      <c r="C23" s="238" t="s">
        <v>984</v>
      </c>
      <c r="D23" s="240">
        <v>260000</v>
      </c>
      <c r="E23" s="246">
        <v>26500</v>
      </c>
      <c r="F23" s="240">
        <v>6890000000</v>
      </c>
      <c r="G23" s="239">
        <v>1.78E-2</v>
      </c>
    </row>
    <row r="24" spans="1:7" ht="39" customHeight="1">
      <c r="A24" s="237" t="s">
        <v>985</v>
      </c>
      <c r="B24" s="236" t="s">
        <v>986</v>
      </c>
      <c r="C24" s="238" t="s">
        <v>987</v>
      </c>
      <c r="D24" s="240">
        <v>130000</v>
      </c>
      <c r="E24" s="246">
        <v>58900</v>
      </c>
      <c r="F24" s="240">
        <v>7657000000</v>
      </c>
      <c r="G24" s="239">
        <v>1.9800000000000002E-2</v>
      </c>
    </row>
    <row r="25" spans="1:7" ht="39" customHeight="1">
      <c r="A25" s="237" t="s">
        <v>988</v>
      </c>
      <c r="B25" s="236" t="s">
        <v>989</v>
      </c>
      <c r="C25" s="238" t="s">
        <v>990</v>
      </c>
      <c r="D25" s="240">
        <v>300000</v>
      </c>
      <c r="E25" s="246">
        <v>28500</v>
      </c>
      <c r="F25" s="240">
        <v>8550000000</v>
      </c>
      <c r="G25" s="239">
        <v>2.2100000000000002E-2</v>
      </c>
    </row>
    <row r="26" spans="1:7" ht="39" customHeight="1">
      <c r="A26" s="237" t="s">
        <v>991</v>
      </c>
      <c r="B26" s="236" t="s">
        <v>992</v>
      </c>
      <c r="C26" s="238" t="s">
        <v>993</v>
      </c>
      <c r="D26" s="240">
        <v>180000</v>
      </c>
      <c r="E26" s="246">
        <v>42950</v>
      </c>
      <c r="F26" s="240">
        <v>7731000000</v>
      </c>
      <c r="G26" s="239">
        <v>1.9900000000000001E-2</v>
      </c>
    </row>
    <row r="27" spans="1:7" ht="39" customHeight="1">
      <c r="A27" s="237" t="s">
        <v>994</v>
      </c>
      <c r="B27" s="236" t="s">
        <v>995</v>
      </c>
      <c r="C27" s="238" t="s">
        <v>996</v>
      </c>
      <c r="D27" s="240">
        <v>550000</v>
      </c>
      <c r="E27" s="246">
        <v>12750</v>
      </c>
      <c r="F27" s="240">
        <v>7012500000</v>
      </c>
      <c r="G27" s="239">
        <v>1.8100000000000002E-2</v>
      </c>
    </row>
    <row r="28" spans="1:7" ht="39" customHeight="1">
      <c r="A28" s="237" t="s">
        <v>997</v>
      </c>
      <c r="B28" s="236" t="s">
        <v>998</v>
      </c>
      <c r="C28" s="238" t="s">
        <v>999</v>
      </c>
      <c r="D28" s="240">
        <v>300000</v>
      </c>
      <c r="E28" s="246">
        <v>27950</v>
      </c>
      <c r="F28" s="240">
        <v>8385000000</v>
      </c>
      <c r="G28" s="239">
        <v>2.1600000000000001E-2</v>
      </c>
    </row>
    <row r="29" spans="1:7" ht="39" customHeight="1">
      <c r="A29" s="237" t="s">
        <v>1000</v>
      </c>
      <c r="B29" s="236" t="s">
        <v>1001</v>
      </c>
      <c r="C29" s="238" t="s">
        <v>1002</v>
      </c>
      <c r="D29" s="240">
        <v>320000</v>
      </c>
      <c r="E29" s="246">
        <v>76900</v>
      </c>
      <c r="F29" s="240">
        <v>24608000000</v>
      </c>
      <c r="G29" s="239">
        <v>6.3500000000000001E-2</v>
      </c>
    </row>
    <row r="30" spans="1:7" ht="39" customHeight="1">
      <c r="A30" s="237" t="s">
        <v>1003</v>
      </c>
      <c r="B30" s="236" t="s">
        <v>1004</v>
      </c>
      <c r="C30" s="238" t="s">
        <v>1005</v>
      </c>
      <c r="D30" s="240">
        <v>120000</v>
      </c>
      <c r="E30" s="246">
        <v>69000</v>
      </c>
      <c r="F30" s="240">
        <v>8280000000</v>
      </c>
      <c r="G30" s="239">
        <v>2.1399999999999999E-2</v>
      </c>
    </row>
    <row r="31" spans="1:7" ht="39" customHeight="1">
      <c r="A31" s="237" t="s">
        <v>1006</v>
      </c>
      <c r="B31" s="236" t="s">
        <v>1007</v>
      </c>
      <c r="C31" s="238" t="s">
        <v>1008</v>
      </c>
      <c r="D31" s="240">
        <v>90000</v>
      </c>
      <c r="E31" s="246">
        <v>101500</v>
      </c>
      <c r="F31" s="240">
        <v>9135000000</v>
      </c>
      <c r="G31" s="239">
        <v>2.3599999999999999E-2</v>
      </c>
    </row>
    <row r="32" spans="1:7" ht="39" customHeight="1">
      <c r="A32" s="237" t="s">
        <v>1009</v>
      </c>
      <c r="B32" s="236" t="s">
        <v>1010</v>
      </c>
      <c r="C32" s="238" t="s">
        <v>1011</v>
      </c>
      <c r="D32" s="240">
        <v>300000</v>
      </c>
      <c r="E32" s="246">
        <v>31400</v>
      </c>
      <c r="F32" s="240">
        <v>9420000000</v>
      </c>
      <c r="G32" s="239">
        <v>2.4299999999999999E-2</v>
      </c>
    </row>
    <row r="33" spans="1:7" ht="39" customHeight="1">
      <c r="A33" s="237" t="s">
        <v>1012</v>
      </c>
      <c r="B33" s="236" t="s">
        <v>1013</v>
      </c>
      <c r="C33" s="238" t="s">
        <v>1014</v>
      </c>
      <c r="D33" s="240">
        <v>620000</v>
      </c>
      <c r="E33" s="246">
        <v>18000</v>
      </c>
      <c r="F33" s="240">
        <v>11160000000</v>
      </c>
      <c r="G33" s="239">
        <v>2.8799999999999999E-2</v>
      </c>
    </row>
    <row r="34" spans="1:7" ht="39" customHeight="1">
      <c r="A34" s="237" t="s">
        <v>1015</v>
      </c>
      <c r="B34" s="236" t="s">
        <v>1016</v>
      </c>
      <c r="C34" s="238" t="s">
        <v>1017</v>
      </c>
      <c r="D34" s="240">
        <v>400000</v>
      </c>
      <c r="E34" s="246">
        <v>24200</v>
      </c>
      <c r="F34" s="240">
        <v>9680000000</v>
      </c>
      <c r="G34" s="239">
        <v>2.5000000000000001E-2</v>
      </c>
    </row>
    <row r="35" spans="1:7" ht="39" customHeight="1">
      <c r="A35" s="237" t="s">
        <v>1018</v>
      </c>
      <c r="B35" s="236" t="s">
        <v>1019</v>
      </c>
      <c r="C35" s="238" t="s">
        <v>1020</v>
      </c>
      <c r="D35" s="240">
        <v>330000</v>
      </c>
      <c r="E35" s="246">
        <v>26500</v>
      </c>
      <c r="F35" s="240">
        <v>8745000000</v>
      </c>
      <c r="G35" s="239">
        <v>2.2599999999999999E-2</v>
      </c>
    </row>
    <row r="36" spans="1:7" ht="39" customHeight="1">
      <c r="A36" s="237" t="s">
        <v>1021</v>
      </c>
      <c r="B36" s="236" t="s">
        <v>1022</v>
      </c>
      <c r="C36" s="238" t="s">
        <v>1023</v>
      </c>
      <c r="D36" s="240">
        <v>500000</v>
      </c>
      <c r="E36" s="246">
        <v>17100</v>
      </c>
      <c r="F36" s="240">
        <v>8550000000</v>
      </c>
      <c r="G36" s="239">
        <v>2.2100000000000002E-2</v>
      </c>
    </row>
    <row r="37" spans="1:7" ht="39" customHeight="1">
      <c r="A37" s="237" t="s">
        <v>1024</v>
      </c>
      <c r="B37" s="236" t="s">
        <v>1025</v>
      </c>
      <c r="C37" s="238" t="s">
        <v>1026</v>
      </c>
      <c r="D37" s="240">
        <v>600000</v>
      </c>
      <c r="E37" s="246">
        <v>42900</v>
      </c>
      <c r="F37" s="240">
        <v>25740000000</v>
      </c>
      <c r="G37" s="239">
        <v>6.6400000000000001E-2</v>
      </c>
    </row>
    <row r="38" spans="1:7" ht="39" customHeight="1">
      <c r="A38" s="237" t="s">
        <v>1027</v>
      </c>
      <c r="B38" s="236" t="s">
        <v>1028</v>
      </c>
      <c r="C38" s="238" t="s">
        <v>1029</v>
      </c>
      <c r="D38" s="240">
        <v>330000</v>
      </c>
      <c r="E38" s="246">
        <v>31000</v>
      </c>
      <c r="F38" s="240">
        <v>10230000000</v>
      </c>
      <c r="G38" s="239">
        <v>2.64E-2</v>
      </c>
    </row>
    <row r="39" spans="1:7" ht="39" customHeight="1">
      <c r="A39" s="237" t="s">
        <v>1030</v>
      </c>
      <c r="B39" s="236" t="s">
        <v>1031</v>
      </c>
      <c r="C39" s="238" t="s">
        <v>1032</v>
      </c>
      <c r="D39" s="240">
        <v>200000</v>
      </c>
      <c r="E39" s="246">
        <v>28850</v>
      </c>
      <c r="F39" s="240">
        <v>5770000000</v>
      </c>
      <c r="G39" s="239">
        <v>1.49E-2</v>
      </c>
    </row>
    <row r="40" spans="1:7" ht="39" customHeight="1">
      <c r="A40" s="237" t="s">
        <v>1033</v>
      </c>
      <c r="B40" s="236" t="s">
        <v>1034</v>
      </c>
      <c r="C40" s="238" t="s">
        <v>1035</v>
      </c>
      <c r="D40" s="240">
        <v>120000</v>
      </c>
      <c r="E40" s="246">
        <v>89900</v>
      </c>
      <c r="F40" s="240">
        <v>10788000000</v>
      </c>
      <c r="G40" s="239">
        <v>2.7799999999999998E-2</v>
      </c>
    </row>
    <row r="41" spans="1:7" ht="39" customHeight="1">
      <c r="A41" s="237" t="s">
        <v>1036</v>
      </c>
      <c r="B41" s="236" t="s">
        <v>1037</v>
      </c>
      <c r="C41" s="238" t="s">
        <v>1038</v>
      </c>
      <c r="D41" s="240">
        <v>350000</v>
      </c>
      <c r="E41" s="246">
        <v>10650</v>
      </c>
      <c r="F41" s="240">
        <v>3727500000</v>
      </c>
      <c r="G41" s="239">
        <v>9.5999999999999992E-3</v>
      </c>
    </row>
    <row r="42" spans="1:7" ht="39" customHeight="1">
      <c r="A42" s="237" t="s">
        <v>1039</v>
      </c>
      <c r="B42" s="236" t="s">
        <v>1040</v>
      </c>
      <c r="C42" s="238" t="s">
        <v>1041</v>
      </c>
      <c r="D42" s="240">
        <v>430000</v>
      </c>
      <c r="E42" s="246">
        <v>17850</v>
      </c>
      <c r="F42" s="240">
        <v>7675500000</v>
      </c>
      <c r="G42" s="239">
        <v>1.9800000000000002E-2</v>
      </c>
    </row>
    <row r="43" spans="1:7" ht="39" customHeight="1">
      <c r="A43" s="237" t="s">
        <v>1042</v>
      </c>
      <c r="B43" s="236" t="s">
        <v>1043</v>
      </c>
      <c r="C43" s="238" t="s">
        <v>1044</v>
      </c>
      <c r="D43" s="240">
        <v>350000</v>
      </c>
      <c r="E43" s="246">
        <v>21400</v>
      </c>
      <c r="F43" s="240">
        <v>7490000000</v>
      </c>
      <c r="G43" s="239">
        <v>1.9300000000000001E-2</v>
      </c>
    </row>
    <row r="44" spans="1:7" ht="39" customHeight="1">
      <c r="A44" s="237" t="s">
        <v>1045</v>
      </c>
      <c r="B44" s="236" t="s">
        <v>1046</v>
      </c>
      <c r="C44" s="238" t="s">
        <v>1047</v>
      </c>
      <c r="D44" s="240">
        <v>320000</v>
      </c>
      <c r="E44" s="246">
        <v>22000</v>
      </c>
      <c r="F44" s="240">
        <v>7040000000</v>
      </c>
      <c r="G44" s="239">
        <v>1.8200000000000001E-2</v>
      </c>
    </row>
    <row r="45" spans="1:7" ht="39" customHeight="1">
      <c r="A45" s="237" t="s">
        <v>1048</v>
      </c>
      <c r="B45" s="236" t="s">
        <v>1049</v>
      </c>
      <c r="C45" s="238" t="s">
        <v>1050</v>
      </c>
      <c r="D45" s="240">
        <v>110000</v>
      </c>
      <c r="E45" s="246">
        <v>71500</v>
      </c>
      <c r="F45" s="240">
        <v>7865000000</v>
      </c>
      <c r="G45" s="239">
        <v>2.0299999999999999E-2</v>
      </c>
    </row>
    <row r="46" spans="1:7" ht="39" customHeight="1">
      <c r="A46" s="237" t="s">
        <v>1051</v>
      </c>
      <c r="B46" s="236" t="s">
        <v>1052</v>
      </c>
      <c r="C46" s="238" t="s">
        <v>1053</v>
      </c>
      <c r="D46" s="240">
        <v>400000</v>
      </c>
      <c r="E46" s="246">
        <v>17700</v>
      </c>
      <c r="F46" s="240">
        <v>7080000000</v>
      </c>
      <c r="G46" s="239">
        <v>1.83E-2</v>
      </c>
    </row>
    <row r="47" spans="1:7" ht="39" customHeight="1">
      <c r="A47" s="237" t="s">
        <v>1054</v>
      </c>
      <c r="B47" s="236" t="s">
        <v>1055</v>
      </c>
      <c r="C47" s="238" t="s">
        <v>1056</v>
      </c>
      <c r="D47" s="240">
        <v>700000</v>
      </c>
      <c r="E47" s="246">
        <v>22500</v>
      </c>
      <c r="F47" s="240">
        <v>15750000000</v>
      </c>
      <c r="G47" s="239">
        <v>4.0599999999999997E-2</v>
      </c>
    </row>
    <row r="48" spans="1:7" ht="39" customHeight="1">
      <c r="A48" s="237" t="s">
        <v>1057</v>
      </c>
      <c r="B48" s="236" t="s">
        <v>1058</v>
      </c>
      <c r="C48" s="238" t="s">
        <v>1059</v>
      </c>
      <c r="D48" s="240">
        <v>170000</v>
      </c>
      <c r="E48" s="246">
        <v>80000</v>
      </c>
      <c r="F48" s="240">
        <v>13600000000</v>
      </c>
      <c r="G48" s="239">
        <v>3.5099999999999999E-2</v>
      </c>
    </row>
    <row r="49" spans="1:7" ht="39" customHeight="1">
      <c r="A49" s="237" t="s">
        <v>1060</v>
      </c>
      <c r="B49" s="236" t="s">
        <v>1061</v>
      </c>
      <c r="C49" s="238" t="s">
        <v>1062</v>
      </c>
      <c r="D49" s="240">
        <v>300000</v>
      </c>
      <c r="E49" s="246">
        <v>17250</v>
      </c>
      <c r="F49" s="240">
        <v>5175000000</v>
      </c>
      <c r="G49" s="239">
        <v>1.34E-2</v>
      </c>
    </row>
    <row r="50" spans="1:7" ht="39" customHeight="1">
      <c r="A50" s="237" t="s">
        <v>1063</v>
      </c>
      <c r="B50" s="236" t="s">
        <v>1064</v>
      </c>
      <c r="C50" s="238" t="s">
        <v>1065</v>
      </c>
      <c r="D50" s="240">
        <v>250000</v>
      </c>
      <c r="E50" s="246">
        <v>23250</v>
      </c>
      <c r="F50" s="240">
        <v>5812500000</v>
      </c>
      <c r="G50" s="239">
        <v>1.4999999999999999E-2</v>
      </c>
    </row>
    <row r="51" spans="1:7" ht="39" customHeight="1">
      <c r="A51" s="237" t="s">
        <v>1066</v>
      </c>
      <c r="B51" s="236" t="s">
        <v>1067</v>
      </c>
      <c r="C51" s="238" t="s">
        <v>1068</v>
      </c>
      <c r="D51" s="240">
        <v>150000</v>
      </c>
      <c r="E51" s="246">
        <v>33800</v>
      </c>
      <c r="F51" s="240">
        <v>5070000000</v>
      </c>
      <c r="G51" s="239">
        <v>1.3100000000000001E-2</v>
      </c>
    </row>
    <row r="52" spans="1:7" ht="39" customHeight="1">
      <c r="A52" s="237" t="s">
        <v>1069</v>
      </c>
      <c r="B52" s="236" t="s">
        <v>1070</v>
      </c>
      <c r="C52" s="238" t="s">
        <v>1071</v>
      </c>
      <c r="D52" s="240">
        <v>100000</v>
      </c>
      <c r="E52" s="246">
        <v>69800</v>
      </c>
      <c r="F52" s="240">
        <v>6980000000</v>
      </c>
      <c r="G52" s="239">
        <v>1.7999999999999999E-2</v>
      </c>
    </row>
    <row r="53" spans="1:7" ht="39" customHeight="1">
      <c r="A53" s="237" t="s">
        <v>1072</v>
      </c>
      <c r="B53" s="236" t="s">
        <v>1073</v>
      </c>
      <c r="C53" s="238" t="s">
        <v>1074</v>
      </c>
      <c r="D53" s="240">
        <v>180000</v>
      </c>
      <c r="E53" s="246">
        <v>48000</v>
      </c>
      <c r="F53" s="240">
        <v>8640000000</v>
      </c>
      <c r="G53" s="239">
        <v>2.23E-2</v>
      </c>
    </row>
    <row r="54" spans="1:7" ht="39" customHeight="1">
      <c r="A54" s="237" t="s">
        <v>1075</v>
      </c>
      <c r="B54" s="236" t="s">
        <v>1076</v>
      </c>
      <c r="C54" s="238" t="s">
        <v>1077</v>
      </c>
      <c r="D54" s="240">
        <v>350000</v>
      </c>
      <c r="E54" s="246">
        <v>13500</v>
      </c>
      <c r="F54" s="240">
        <v>4725000000</v>
      </c>
      <c r="G54" s="239">
        <v>1.2200000000000001E-2</v>
      </c>
    </row>
    <row r="55" spans="1:7" ht="39" customHeight="1">
      <c r="A55" s="237" t="s">
        <v>1078</v>
      </c>
      <c r="B55" s="236" t="s">
        <v>1079</v>
      </c>
      <c r="C55" s="238" t="s">
        <v>1080</v>
      </c>
      <c r="D55" s="240">
        <v>1500000</v>
      </c>
      <c r="E55" s="246">
        <v>17900</v>
      </c>
      <c r="F55" s="240">
        <v>26850000000</v>
      </c>
      <c r="G55" s="239">
        <v>6.93E-2</v>
      </c>
    </row>
    <row r="56" spans="1:7" ht="39" customHeight="1">
      <c r="A56" s="237" t="s">
        <v>1081</v>
      </c>
      <c r="B56" s="236" t="s">
        <v>1082</v>
      </c>
      <c r="C56" s="238" t="s">
        <v>1083</v>
      </c>
      <c r="D56" s="240">
        <v>200000</v>
      </c>
      <c r="E56" s="246">
        <v>26300</v>
      </c>
      <c r="F56" s="240">
        <v>5260000000</v>
      </c>
      <c r="G56" s="239">
        <v>1.3599999999999999E-2</v>
      </c>
    </row>
    <row r="57" spans="1:7" ht="39" customHeight="1">
      <c r="A57" s="242"/>
      <c r="B57" s="241" t="s">
        <v>1084</v>
      </c>
      <c r="C57" s="242" t="s">
        <v>1085</v>
      </c>
      <c r="D57" s="244"/>
      <c r="E57" s="244"/>
      <c r="F57" s="244">
        <v>354334000000</v>
      </c>
      <c r="G57" s="243">
        <v>0.91449999999999998</v>
      </c>
    </row>
    <row r="58" spans="1:7" ht="39" customHeight="1">
      <c r="A58" s="242" t="s">
        <v>1086</v>
      </c>
      <c r="B58" s="241" t="s">
        <v>1087</v>
      </c>
      <c r="C58" s="242" t="s">
        <v>1088</v>
      </c>
      <c r="D58" s="244"/>
      <c r="E58" s="244"/>
      <c r="F58" s="244"/>
      <c r="G58" s="243"/>
    </row>
    <row r="59" spans="1:7" ht="39" customHeight="1">
      <c r="A59" s="242"/>
      <c r="B59" s="241" t="s">
        <v>1089</v>
      </c>
      <c r="C59" s="242" t="s">
        <v>1090</v>
      </c>
      <c r="D59" s="244"/>
      <c r="E59" s="244"/>
      <c r="F59" s="244">
        <v>0</v>
      </c>
      <c r="G59" s="243">
        <v>0</v>
      </c>
    </row>
    <row r="60" spans="1:7" ht="39" customHeight="1">
      <c r="A60" s="242"/>
      <c r="B60" s="241" t="s">
        <v>1091</v>
      </c>
      <c r="C60" s="242" t="s">
        <v>1092</v>
      </c>
      <c r="D60" s="244"/>
      <c r="E60" s="244"/>
      <c r="F60" s="244">
        <v>354334000000</v>
      </c>
      <c r="G60" s="243">
        <v>0.91449999999999998</v>
      </c>
    </row>
    <row r="61" spans="1:7" ht="39" customHeight="1">
      <c r="A61" s="242" t="s">
        <v>1093</v>
      </c>
      <c r="B61" s="241" t="s">
        <v>1094</v>
      </c>
      <c r="C61" s="242" t="s">
        <v>1095</v>
      </c>
      <c r="D61" s="244"/>
      <c r="E61" s="244"/>
      <c r="F61" s="244"/>
      <c r="G61" s="243"/>
    </row>
    <row r="62" spans="1:7" ht="39" customHeight="1">
      <c r="A62" s="237" t="s">
        <v>1096</v>
      </c>
      <c r="B62" s="236" t="s">
        <v>1097</v>
      </c>
      <c r="C62" s="238" t="s">
        <v>1098</v>
      </c>
      <c r="D62" s="240" t="s">
        <v>1099</v>
      </c>
      <c r="E62" s="246" t="s">
        <v>1100</v>
      </c>
      <c r="F62" s="240" t="s">
        <v>1101</v>
      </c>
      <c r="G62" s="239" t="s">
        <v>1102</v>
      </c>
    </row>
    <row r="63" spans="1:7" ht="39" customHeight="1">
      <c r="A63" s="237" t="s">
        <v>1103</v>
      </c>
      <c r="B63" s="236" t="s">
        <v>1104</v>
      </c>
      <c r="C63" s="238" t="s">
        <v>1105</v>
      </c>
      <c r="D63" s="240"/>
      <c r="E63" s="246"/>
      <c r="F63" s="240">
        <v>0</v>
      </c>
      <c r="G63" s="239">
        <v>0</v>
      </c>
    </row>
    <row r="64" spans="1:7" ht="39" customHeight="1">
      <c r="A64" s="237" t="s">
        <v>1106</v>
      </c>
      <c r="B64" s="236" t="s">
        <v>1107</v>
      </c>
      <c r="C64" s="238" t="s">
        <v>1108</v>
      </c>
      <c r="D64" s="240"/>
      <c r="E64" s="246"/>
      <c r="F64" s="240">
        <v>0</v>
      </c>
      <c r="G64" s="239">
        <v>0</v>
      </c>
    </row>
    <row r="65" spans="1:7" ht="39" customHeight="1">
      <c r="A65" s="242"/>
      <c r="B65" s="241" t="s">
        <v>1109</v>
      </c>
      <c r="C65" s="242" t="s">
        <v>1110</v>
      </c>
      <c r="D65" s="244"/>
      <c r="E65" s="244"/>
      <c r="F65" s="244">
        <v>0</v>
      </c>
      <c r="G65" s="243">
        <v>0</v>
      </c>
    </row>
    <row r="66" spans="1:7" ht="39" customHeight="1">
      <c r="A66" s="242" t="s">
        <v>1111</v>
      </c>
      <c r="B66" s="241" t="s">
        <v>1112</v>
      </c>
      <c r="C66" s="242" t="s">
        <v>1113</v>
      </c>
      <c r="D66" s="244"/>
      <c r="E66" s="244"/>
      <c r="F66" s="244"/>
      <c r="G66" s="243"/>
    </row>
    <row r="67" spans="1:7" ht="39" customHeight="1">
      <c r="A67" s="237" t="s">
        <v>1114</v>
      </c>
      <c r="B67" s="236" t="s">
        <v>1115</v>
      </c>
      <c r="C67" s="238" t="s">
        <v>1116</v>
      </c>
      <c r="D67" s="240" t="s">
        <v>1117</v>
      </c>
      <c r="E67" s="246" t="s">
        <v>1118</v>
      </c>
      <c r="F67" s="240" t="s">
        <v>1119</v>
      </c>
      <c r="G67" s="239" t="s">
        <v>1120</v>
      </c>
    </row>
    <row r="68" spans="1:7" ht="39" customHeight="1">
      <c r="A68" s="237" t="s">
        <v>1121</v>
      </c>
      <c r="B68" s="236" t="s">
        <v>1122</v>
      </c>
      <c r="C68" s="238" t="s">
        <v>1123</v>
      </c>
      <c r="D68" s="240"/>
      <c r="E68" s="246"/>
      <c r="F68" s="240">
        <v>0</v>
      </c>
      <c r="G68" s="239">
        <v>0</v>
      </c>
    </row>
    <row r="69" spans="1:7" ht="39" customHeight="1">
      <c r="A69" s="237" t="s">
        <v>1124</v>
      </c>
      <c r="B69" s="236" t="s">
        <v>1125</v>
      </c>
      <c r="C69" s="238" t="s">
        <v>1126</v>
      </c>
      <c r="D69" s="240"/>
      <c r="E69" s="246"/>
      <c r="F69" s="240">
        <v>0</v>
      </c>
      <c r="G69" s="239">
        <v>0</v>
      </c>
    </row>
    <row r="70" spans="1:7" ht="39" customHeight="1">
      <c r="A70" s="242"/>
      <c r="B70" s="241" t="s">
        <v>1127</v>
      </c>
      <c r="C70" s="242" t="s">
        <v>1128</v>
      </c>
      <c r="D70" s="244"/>
      <c r="E70" s="244"/>
      <c r="F70" s="244">
        <v>0</v>
      </c>
      <c r="G70" s="243">
        <v>0</v>
      </c>
    </row>
    <row r="71" spans="1:7" ht="39" customHeight="1">
      <c r="A71" s="242"/>
      <c r="B71" s="241" t="s">
        <v>1129</v>
      </c>
      <c r="C71" s="242" t="s">
        <v>1130</v>
      </c>
      <c r="D71" s="244"/>
      <c r="E71" s="244"/>
      <c r="F71" s="244">
        <v>354334000000</v>
      </c>
      <c r="G71" s="243">
        <v>0.91449999999999998</v>
      </c>
    </row>
    <row r="72" spans="1:7" ht="39" customHeight="1">
      <c r="A72" s="242" t="s">
        <v>1131</v>
      </c>
      <c r="B72" s="241" t="s">
        <v>1132</v>
      </c>
      <c r="C72" s="242" t="s">
        <v>1133</v>
      </c>
      <c r="D72" s="244"/>
      <c r="E72" s="244"/>
      <c r="F72" s="244"/>
      <c r="G72" s="243"/>
    </row>
    <row r="73" spans="1:7" ht="39" customHeight="1">
      <c r="A73" s="237" t="s">
        <v>1134</v>
      </c>
      <c r="B73" s="236" t="s">
        <v>1135</v>
      </c>
      <c r="C73" s="238" t="s">
        <v>1136</v>
      </c>
      <c r="D73" s="240" t="s">
        <v>1137</v>
      </c>
      <c r="E73" s="246" t="s">
        <v>1138</v>
      </c>
      <c r="F73" s="240" t="s">
        <v>1139</v>
      </c>
      <c r="G73" s="239" t="s">
        <v>1140</v>
      </c>
    </row>
    <row r="74" spans="1:7" ht="39" customHeight="1">
      <c r="A74" s="237" t="s">
        <v>1141</v>
      </c>
      <c r="B74" s="236" t="s">
        <v>1142</v>
      </c>
      <c r="C74" s="238" t="s">
        <v>1143</v>
      </c>
      <c r="D74" s="240"/>
      <c r="E74" s="246"/>
      <c r="F74" s="240">
        <v>584000000</v>
      </c>
      <c r="G74" s="239">
        <v>1.5E-3</v>
      </c>
    </row>
    <row r="75" spans="1:7" ht="39" customHeight="1">
      <c r="A75" s="237" t="s">
        <v>1144</v>
      </c>
      <c r="B75" s="236" t="s">
        <v>1145</v>
      </c>
      <c r="C75" s="238" t="s">
        <v>1146</v>
      </c>
      <c r="D75" s="240"/>
      <c r="E75" s="246"/>
      <c r="F75" s="240">
        <v>0</v>
      </c>
      <c r="G75" s="239">
        <v>0</v>
      </c>
    </row>
    <row r="76" spans="1:7" ht="43" customHeight="1">
      <c r="A76" s="237" t="s">
        <v>1147</v>
      </c>
      <c r="B76" s="236" t="s">
        <v>1148</v>
      </c>
      <c r="C76" s="238" t="s">
        <v>1149</v>
      </c>
      <c r="D76" s="240"/>
      <c r="E76" s="246"/>
      <c r="F76" s="240">
        <v>18082192</v>
      </c>
      <c r="G76" s="239">
        <v>0</v>
      </c>
    </row>
    <row r="77" spans="1:7" ht="39" customHeight="1">
      <c r="A77" s="237" t="s">
        <v>1150</v>
      </c>
      <c r="B77" s="236" t="s">
        <v>1151</v>
      </c>
      <c r="C77" s="238" t="s">
        <v>1152</v>
      </c>
      <c r="D77" s="240"/>
      <c r="E77" s="246"/>
      <c r="F77" s="240">
        <v>1346000000</v>
      </c>
      <c r="G77" s="239">
        <v>3.5000000000000001E-3</v>
      </c>
    </row>
    <row r="78" spans="1:7" ht="43" customHeight="1">
      <c r="A78" s="237" t="s">
        <v>1153</v>
      </c>
      <c r="B78" s="236" t="s">
        <v>1154</v>
      </c>
      <c r="C78" s="238" t="s">
        <v>1155</v>
      </c>
      <c r="D78" s="240"/>
      <c r="E78" s="246"/>
      <c r="F78" s="240">
        <v>0</v>
      </c>
      <c r="G78" s="239">
        <v>0</v>
      </c>
    </row>
    <row r="79" spans="1:7" ht="39" customHeight="1">
      <c r="A79" s="237" t="s">
        <v>1156</v>
      </c>
      <c r="B79" s="236" t="s">
        <v>1157</v>
      </c>
      <c r="C79" s="238" t="s">
        <v>1158</v>
      </c>
      <c r="D79" s="240"/>
      <c r="E79" s="246"/>
      <c r="F79" s="240">
        <v>0</v>
      </c>
      <c r="G79" s="239">
        <v>0</v>
      </c>
    </row>
    <row r="80" spans="1:7" ht="39" customHeight="1">
      <c r="A80" s="237" t="s">
        <v>1159</v>
      </c>
      <c r="B80" s="236" t="s">
        <v>1160</v>
      </c>
      <c r="C80" s="238" t="s">
        <v>1161</v>
      </c>
      <c r="D80" s="240"/>
      <c r="E80" s="246"/>
      <c r="F80" s="240">
        <v>0</v>
      </c>
      <c r="G80" s="239">
        <v>0</v>
      </c>
    </row>
    <row r="81" spans="1:7" ht="39" customHeight="1">
      <c r="A81" s="242"/>
      <c r="B81" s="241" t="s">
        <v>1162</v>
      </c>
      <c r="C81" s="242">
        <v>4041</v>
      </c>
      <c r="D81" s="244"/>
      <c r="E81" s="244"/>
      <c r="F81" s="244">
        <v>1948082192</v>
      </c>
      <c r="G81" s="243">
        <v>5.0000000000000001E-3</v>
      </c>
    </row>
    <row r="82" spans="1:7" ht="39" customHeight="1">
      <c r="A82" s="242" t="s">
        <v>1163</v>
      </c>
      <c r="B82" s="241" t="s">
        <v>1164</v>
      </c>
      <c r="C82" s="242" t="s">
        <v>1165</v>
      </c>
      <c r="D82" s="244"/>
      <c r="E82" s="244"/>
      <c r="F82" s="244"/>
      <c r="G82" s="243"/>
    </row>
    <row r="83" spans="1:7" ht="39" customHeight="1">
      <c r="A83" s="237" t="s">
        <v>1166</v>
      </c>
      <c r="B83" s="236" t="s">
        <v>1167</v>
      </c>
      <c r="C83" s="238" t="s">
        <v>1168</v>
      </c>
      <c r="D83" s="240"/>
      <c r="E83" s="246"/>
      <c r="F83" s="240">
        <v>31183889594</v>
      </c>
      <c r="G83" s="239">
        <v>8.0500000000000002E-2</v>
      </c>
    </row>
    <row r="84" spans="1:7" ht="39" customHeight="1">
      <c r="A84" s="237" t="s">
        <v>1169</v>
      </c>
      <c r="B84" s="236" t="s">
        <v>1170</v>
      </c>
      <c r="C84" s="238" t="s">
        <v>1171</v>
      </c>
      <c r="D84" s="240" t="s">
        <v>1172</v>
      </c>
      <c r="E84" s="246" t="s">
        <v>1173</v>
      </c>
      <c r="F84" s="240" t="s">
        <v>1174</v>
      </c>
      <c r="G84" s="239" t="s">
        <v>1175</v>
      </c>
    </row>
    <row r="85" spans="1:7" ht="39" customHeight="1">
      <c r="A85" s="237" t="s">
        <v>1176</v>
      </c>
      <c r="B85" s="236" t="s">
        <v>1177</v>
      </c>
      <c r="C85" s="238" t="s">
        <v>1178</v>
      </c>
      <c r="D85" s="240"/>
      <c r="E85" s="246"/>
      <c r="F85" s="240">
        <v>21183889594</v>
      </c>
      <c r="G85" s="239">
        <v>5.4699999999999999E-2</v>
      </c>
    </row>
    <row r="86" spans="1:7" ht="39" customHeight="1">
      <c r="A86" s="237" t="s">
        <v>1179</v>
      </c>
      <c r="B86" s="236" t="s">
        <v>1180</v>
      </c>
      <c r="C86" s="238" t="s">
        <v>1181</v>
      </c>
      <c r="D86" s="240"/>
      <c r="E86" s="246"/>
      <c r="F86" s="240">
        <v>10000000000</v>
      </c>
      <c r="G86" s="239">
        <v>2.58E-2</v>
      </c>
    </row>
    <row r="87" spans="1:7" ht="39" customHeight="1">
      <c r="A87" s="237" t="s">
        <v>1182</v>
      </c>
      <c r="B87" s="236" t="s">
        <v>1183</v>
      </c>
      <c r="C87" s="238" t="s">
        <v>1184</v>
      </c>
      <c r="D87" s="240"/>
      <c r="E87" s="246"/>
      <c r="F87" s="240">
        <v>0</v>
      </c>
      <c r="G87" s="239">
        <v>0</v>
      </c>
    </row>
    <row r="88" spans="1:7" ht="39" customHeight="1">
      <c r="A88" s="237" t="s">
        <v>1185</v>
      </c>
      <c r="B88" s="236" t="s">
        <v>1186</v>
      </c>
      <c r="C88" s="238" t="s">
        <v>1187</v>
      </c>
      <c r="D88" s="240"/>
      <c r="E88" s="246"/>
      <c r="F88" s="240">
        <v>0</v>
      </c>
      <c r="G88" s="239">
        <v>0</v>
      </c>
    </row>
    <row r="89" spans="1:7" ht="39" customHeight="1">
      <c r="A89" s="237" t="s">
        <v>1188</v>
      </c>
      <c r="B89" s="236" t="s">
        <v>1189</v>
      </c>
      <c r="C89" s="238" t="s">
        <v>1190</v>
      </c>
      <c r="D89" s="240" t="s">
        <v>1191</v>
      </c>
      <c r="E89" s="246" t="s">
        <v>1192</v>
      </c>
      <c r="F89" s="240" t="s">
        <v>1193</v>
      </c>
      <c r="G89" s="239" t="s">
        <v>1194</v>
      </c>
    </row>
    <row r="90" spans="1:7" ht="39" customHeight="1">
      <c r="A90" s="237" t="s">
        <v>1195</v>
      </c>
      <c r="B90" s="236" t="s">
        <v>1196</v>
      </c>
      <c r="C90" s="238" t="s">
        <v>1197</v>
      </c>
      <c r="D90" s="240"/>
      <c r="E90" s="246"/>
      <c r="F90" s="240">
        <v>0</v>
      </c>
      <c r="G90" s="239">
        <v>0</v>
      </c>
    </row>
    <row r="91" spans="1:7" ht="39" customHeight="1">
      <c r="A91" s="237" t="s">
        <v>1198</v>
      </c>
      <c r="B91" s="236" t="s">
        <v>1199</v>
      </c>
      <c r="C91" s="238" t="s">
        <v>1200</v>
      </c>
      <c r="D91" s="240" t="s">
        <v>1201</v>
      </c>
      <c r="E91" s="246" t="s">
        <v>1202</v>
      </c>
      <c r="F91" s="240" t="s">
        <v>1203</v>
      </c>
      <c r="G91" s="239" t="s">
        <v>1204</v>
      </c>
    </row>
    <row r="92" spans="1:7" ht="39" customHeight="1">
      <c r="A92" s="242"/>
      <c r="B92" s="241" t="s">
        <v>1205</v>
      </c>
      <c r="C92" s="242" t="s">
        <v>1206</v>
      </c>
      <c r="D92" s="244"/>
      <c r="E92" s="244"/>
      <c r="F92" s="244">
        <v>31183889594</v>
      </c>
      <c r="G92" s="243">
        <v>8.0500000000000002E-2</v>
      </c>
    </row>
    <row r="93" spans="1:7" ht="39" customHeight="1">
      <c r="A93" s="242" t="s">
        <v>1207</v>
      </c>
      <c r="B93" s="241" t="s">
        <v>1208</v>
      </c>
      <c r="C93" s="242" t="s">
        <v>1209</v>
      </c>
      <c r="D93" s="244"/>
      <c r="E93" s="244"/>
      <c r="F93" s="244">
        <v>387465971786</v>
      </c>
      <c r="G93" s="243">
        <v>1</v>
      </c>
    </row>
    <row r="94" spans="1:7">
      <c r="C94" s="88"/>
    </row>
    <row r="95" spans="1:7" ht="16.899999999999999" customHeight="1">
      <c r="A95" s="32"/>
      <c r="B95" s="197" t="s">
        <v>251</v>
      </c>
      <c r="C95" s="291" t="s">
        <v>252</v>
      </c>
      <c r="D95" s="291"/>
      <c r="E95" s="291"/>
      <c r="F95" s="291"/>
      <c r="G95" s="291"/>
    </row>
    <row r="102" spans="1:7">
      <c r="G102" s="32"/>
    </row>
    <row r="103" spans="1:7">
      <c r="G103" s="32"/>
    </row>
    <row r="104" spans="1:7">
      <c r="G104" s="32"/>
    </row>
    <row r="105" spans="1:7">
      <c r="G105" s="32"/>
    </row>
    <row r="106" spans="1:7">
      <c r="G106" s="32"/>
    </row>
    <row r="107" spans="1:7">
      <c r="A107" s="32"/>
      <c r="B107" s="198" t="s">
        <v>626</v>
      </c>
      <c r="C107" s="290" t="s">
        <v>627</v>
      </c>
      <c r="D107" s="290"/>
      <c r="E107" s="290"/>
      <c r="F107" s="293" t="s">
        <v>623</v>
      </c>
      <c r="G107" s="293"/>
    </row>
    <row r="108" spans="1:7" ht="16.899999999999999" customHeight="1">
      <c r="B108" s="199" t="s">
        <v>1615</v>
      </c>
      <c r="C108" s="292" t="s">
        <v>1616</v>
      </c>
      <c r="D108" s="292"/>
      <c r="E108" s="292"/>
      <c r="F108" s="292" t="s">
        <v>1608</v>
      </c>
      <c r="G108" s="292"/>
    </row>
    <row r="109" spans="1:7" ht="16.899999999999999" customHeight="1">
      <c r="B109" s="200" t="s">
        <v>1617</v>
      </c>
      <c r="C109" s="290" t="s">
        <v>1618</v>
      </c>
      <c r="D109" s="290"/>
      <c r="E109" s="290"/>
      <c r="F109" s="290" t="s">
        <v>1610</v>
      </c>
      <c r="G109" s="290"/>
    </row>
    <row r="110" spans="1:7">
      <c r="A110" s="52"/>
      <c r="B110" s="32"/>
      <c r="C110" s="32"/>
      <c r="D110" s="32"/>
      <c r="E110" s="52"/>
      <c r="F110" s="32"/>
      <c r="G110" s="32"/>
    </row>
  </sheetData>
  <mergeCells count="19">
    <mergeCell ref="C13:G13"/>
    <mergeCell ref="A1:G1"/>
    <mergeCell ref="A2:G2"/>
    <mergeCell ref="A3:G3"/>
    <mergeCell ref="A4:G4"/>
    <mergeCell ref="C6:G6"/>
    <mergeCell ref="C7:G7"/>
    <mergeCell ref="C8:G8"/>
    <mergeCell ref="C9:G9"/>
    <mergeCell ref="C10:G10"/>
    <mergeCell ref="C11:G11"/>
    <mergeCell ref="C12:G12"/>
    <mergeCell ref="C108:E108"/>
    <mergeCell ref="F108:G108"/>
    <mergeCell ref="C109:E109"/>
    <mergeCell ref="F109:G109"/>
    <mergeCell ref="C95:G95"/>
    <mergeCell ref="C107:E107"/>
    <mergeCell ref="F107:G107"/>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E17" sqref="E17"/>
    </sheetView>
  </sheetViews>
  <sheetFormatPr defaultColWidth="8.7265625" defaultRowHeight="12.5"/>
  <cols>
    <col min="1" max="1" width="52.1796875" style="15" customWidth="1"/>
    <col min="2" max="2" width="9.453125" style="15" customWidth="1"/>
    <col min="3" max="3" width="13.81640625" style="15" customWidth="1"/>
    <col min="4" max="4" width="33.54296875" style="15" customWidth="1"/>
    <col min="5" max="5" width="33.1796875" style="15" customWidth="1"/>
    <col min="6" max="16384" width="8.7265625" style="30"/>
  </cols>
  <sheetData>
    <row r="1" spans="1:5" ht="55.5" customHeight="1">
      <c r="A1" s="280" t="s">
        <v>683</v>
      </c>
      <c r="B1" s="280"/>
      <c r="C1" s="280"/>
      <c r="D1" s="280"/>
      <c r="E1" s="280"/>
    </row>
    <row r="2" spans="1:5" ht="41.25" customHeight="1">
      <c r="A2" s="281" t="s">
        <v>1620</v>
      </c>
      <c r="B2" s="281"/>
      <c r="C2" s="281"/>
      <c r="D2" s="281"/>
      <c r="E2" s="281"/>
    </row>
    <row r="3" spans="1:5" ht="39.4" customHeight="1">
      <c r="A3" s="282" t="s">
        <v>255</v>
      </c>
      <c r="B3" s="282"/>
      <c r="C3" s="282"/>
      <c r="D3" s="282"/>
      <c r="E3" s="282"/>
    </row>
    <row r="4" spans="1:5" ht="16.899999999999999" customHeight="1">
      <c r="A4" s="283" t="s">
        <v>1602</v>
      </c>
      <c r="B4" s="283"/>
      <c r="C4" s="283"/>
      <c r="D4" s="283"/>
      <c r="E4" s="283"/>
    </row>
    <row r="5" spans="1:5" ht="0.4" customHeight="1"/>
    <row r="7" spans="1:5" ht="16.899999999999999" customHeight="1">
      <c r="A7" s="194" t="s">
        <v>2</v>
      </c>
      <c r="B7" s="274" t="s">
        <v>1603</v>
      </c>
      <c r="C7" s="274"/>
      <c r="D7" s="274"/>
      <c r="E7" s="274"/>
    </row>
    <row r="8" spans="1:5" ht="16.899999999999999" customHeight="1">
      <c r="A8" s="15" t="s">
        <v>15</v>
      </c>
      <c r="B8" s="285" t="s">
        <v>1604</v>
      </c>
      <c r="C8" s="285"/>
      <c r="D8" s="285"/>
      <c r="E8" s="285"/>
    </row>
    <row r="9" spans="1:5" ht="16.899999999999999" customHeight="1">
      <c r="A9" s="194" t="s">
        <v>3</v>
      </c>
      <c r="B9" s="274" t="s">
        <v>1605</v>
      </c>
      <c r="C9" s="274"/>
      <c r="D9" s="274"/>
      <c r="E9" s="274"/>
    </row>
    <row r="10" spans="1:5" ht="16.899999999999999" customHeight="1">
      <c r="A10" s="15" t="s">
        <v>4</v>
      </c>
      <c r="B10" s="285" t="s">
        <v>1606</v>
      </c>
      <c r="C10" s="285"/>
      <c r="D10" s="285"/>
      <c r="E10" s="285"/>
    </row>
    <row r="11" spans="1:5" ht="16.899999999999999" customHeight="1">
      <c r="A11" s="194" t="s">
        <v>5</v>
      </c>
      <c r="B11" s="274" t="s">
        <v>709</v>
      </c>
      <c r="C11" s="274"/>
      <c r="D11" s="274"/>
      <c r="E11" s="274"/>
    </row>
    <row r="12" spans="1:5" ht="16.899999999999999" customHeight="1">
      <c r="A12" s="15" t="s">
        <v>6</v>
      </c>
      <c r="B12" s="285" t="s">
        <v>1619</v>
      </c>
      <c r="C12" s="285"/>
      <c r="D12" s="285"/>
      <c r="E12" s="285"/>
    </row>
    <row r="13" spans="1:5" ht="16.899999999999999" customHeight="1">
      <c r="A13" s="194" t="s">
        <v>7</v>
      </c>
      <c r="B13" s="274" t="s">
        <v>1668</v>
      </c>
      <c r="C13" s="274"/>
      <c r="D13" s="274"/>
      <c r="E13" s="274"/>
    </row>
    <row r="14" spans="1:5" ht="16.899999999999999" customHeight="1">
      <c r="A14" s="15" t="s">
        <v>8</v>
      </c>
      <c r="B14" s="285" t="s">
        <v>1669</v>
      </c>
      <c r="C14" s="285"/>
      <c r="D14" s="285"/>
      <c r="E14" s="285"/>
    </row>
    <row r="17" spans="1:6" ht="41.25" customHeight="1">
      <c r="A17" s="31" t="s">
        <v>170</v>
      </c>
      <c r="B17" s="31" t="s">
        <v>171</v>
      </c>
      <c r="C17" s="31" t="s">
        <v>172</v>
      </c>
      <c r="D17" s="31" t="s">
        <v>1613</v>
      </c>
      <c r="E17" s="31" t="s">
        <v>1614</v>
      </c>
    </row>
    <row r="18" spans="1:6" s="41" customFormat="1" ht="25">
      <c r="A18" s="53" t="s">
        <v>256</v>
      </c>
      <c r="B18" s="54" t="s">
        <v>16</v>
      </c>
      <c r="C18" s="55"/>
      <c r="D18" s="244"/>
      <c r="E18" s="244"/>
    </row>
    <row r="19" spans="1:6" ht="25">
      <c r="A19" s="57" t="s">
        <v>330</v>
      </c>
      <c r="B19" s="196" t="s">
        <v>173</v>
      </c>
      <c r="C19" s="58"/>
      <c r="D19" s="244">
        <v>-209045757693</v>
      </c>
      <c r="E19" s="244">
        <v>166029085968</v>
      </c>
      <c r="F19" s="41"/>
    </row>
    <row r="20" spans="1:6" ht="37.5">
      <c r="A20" s="57" t="s">
        <v>257</v>
      </c>
      <c r="B20" s="196" t="s">
        <v>174</v>
      </c>
      <c r="C20" s="58"/>
      <c r="D20" s="244">
        <v>93331643815</v>
      </c>
      <c r="E20" s="244">
        <v>-16507539979</v>
      </c>
      <c r="F20" s="41"/>
    </row>
    <row r="21" spans="1:6" ht="50">
      <c r="A21" s="57" t="s">
        <v>377</v>
      </c>
      <c r="B21" s="196" t="s">
        <v>175</v>
      </c>
      <c r="C21" s="58"/>
      <c r="D21" s="42">
        <v>93350408815</v>
      </c>
      <c r="E21" s="42">
        <v>-16445114979</v>
      </c>
      <c r="F21" s="41"/>
    </row>
    <row r="22" spans="1:6" ht="25">
      <c r="A22" s="57" t="s">
        <v>378</v>
      </c>
      <c r="B22" s="196" t="s">
        <v>178</v>
      </c>
      <c r="C22" s="58"/>
      <c r="D22" s="42">
        <v>-18765000</v>
      </c>
      <c r="E22" s="42">
        <v>-62425000</v>
      </c>
      <c r="F22" s="41"/>
    </row>
    <row r="23" spans="1:6" ht="37.5">
      <c r="A23" s="57" t="s">
        <v>258</v>
      </c>
      <c r="B23" s="196" t="s">
        <v>179</v>
      </c>
      <c r="C23" s="58"/>
      <c r="D23" s="244">
        <v>-115714113878</v>
      </c>
      <c r="E23" s="244">
        <v>149521545989</v>
      </c>
      <c r="F23" s="41"/>
    </row>
    <row r="24" spans="1:6" ht="25">
      <c r="A24" s="57" t="s">
        <v>379</v>
      </c>
      <c r="B24" s="196" t="s">
        <v>197</v>
      </c>
      <c r="C24" s="58"/>
      <c r="D24" s="42">
        <v>53108675685</v>
      </c>
      <c r="E24" s="42">
        <v>-43037469521</v>
      </c>
      <c r="F24" s="41"/>
    </row>
    <row r="25" spans="1:6" ht="37.5">
      <c r="A25" s="57" t="s">
        <v>259</v>
      </c>
      <c r="B25" s="196" t="s">
        <v>180</v>
      </c>
      <c r="C25" s="58"/>
      <c r="D25" s="42">
        <v>-1346000000</v>
      </c>
      <c r="E25" s="42">
        <v>2623012135</v>
      </c>
      <c r="F25" s="41"/>
    </row>
    <row r="26" spans="1:6" ht="25">
      <c r="A26" s="57" t="s">
        <v>260</v>
      </c>
      <c r="B26" s="196" t="s">
        <v>181</v>
      </c>
      <c r="C26" s="58"/>
      <c r="D26" s="42">
        <v>-379982192</v>
      </c>
      <c r="E26" s="42">
        <v>1264905000</v>
      </c>
      <c r="F26" s="41"/>
    </row>
    <row r="27" spans="1:6" ht="25">
      <c r="A27" s="57" t="s">
        <v>331</v>
      </c>
      <c r="B27" s="196" t="s">
        <v>182</v>
      </c>
      <c r="C27" s="58"/>
      <c r="D27" s="42">
        <v>0</v>
      </c>
      <c r="E27" s="42">
        <v>0</v>
      </c>
      <c r="F27" s="41"/>
    </row>
    <row r="28" spans="1:6" ht="25">
      <c r="A28" s="57" t="s">
        <v>380</v>
      </c>
      <c r="B28" s="196" t="s">
        <v>183</v>
      </c>
      <c r="C28" s="58"/>
      <c r="D28" s="42">
        <v>0</v>
      </c>
      <c r="E28" s="42">
        <v>0</v>
      </c>
      <c r="F28" s="41"/>
    </row>
    <row r="29" spans="1:6" ht="37.5">
      <c r="A29" s="57" t="s">
        <v>261</v>
      </c>
      <c r="B29" s="196" t="s">
        <v>184</v>
      </c>
      <c r="C29" s="58"/>
      <c r="D29" s="42">
        <v>13795800000</v>
      </c>
      <c r="E29" s="42">
        <v>-2981700000</v>
      </c>
      <c r="F29" s="41"/>
    </row>
    <row r="30" spans="1:6" ht="50">
      <c r="A30" s="57" t="s">
        <v>262</v>
      </c>
      <c r="B30" s="196" t="s">
        <v>186</v>
      </c>
      <c r="C30" s="58"/>
      <c r="D30" s="42">
        <v>-142786521</v>
      </c>
      <c r="E30" s="42">
        <v>-25392197</v>
      </c>
      <c r="F30" s="41"/>
    </row>
    <row r="31" spans="1:6" ht="37.5">
      <c r="A31" s="57" t="s">
        <v>381</v>
      </c>
      <c r="B31" s="196" t="s">
        <v>191</v>
      </c>
      <c r="C31" s="58"/>
      <c r="D31" s="42">
        <v>0</v>
      </c>
      <c r="E31" s="42">
        <v>0</v>
      </c>
      <c r="F31" s="41"/>
    </row>
    <row r="32" spans="1:6" ht="37.5">
      <c r="A32" s="57" t="s">
        <v>382</v>
      </c>
      <c r="B32" s="196" t="s">
        <v>193</v>
      </c>
      <c r="C32" s="58"/>
      <c r="D32" s="42">
        <v>-4169274</v>
      </c>
      <c r="E32" s="42">
        <v>-41221310</v>
      </c>
      <c r="F32" s="41"/>
    </row>
    <row r="33" spans="1:6" ht="37.5">
      <c r="A33" s="57" t="s">
        <v>383</v>
      </c>
      <c r="B33" s="196" t="s">
        <v>195</v>
      </c>
      <c r="C33" s="58"/>
      <c r="D33" s="42">
        <v>-715980731</v>
      </c>
      <c r="E33" s="42">
        <v>569781739</v>
      </c>
      <c r="F33" s="41"/>
    </row>
    <row r="34" spans="1:6" ht="37.5">
      <c r="A34" s="57" t="s">
        <v>384</v>
      </c>
      <c r="B34" s="196" t="s">
        <v>196</v>
      </c>
      <c r="C34" s="58"/>
      <c r="D34" s="42">
        <v>965960718</v>
      </c>
      <c r="E34" s="42">
        <v>-3026292240</v>
      </c>
      <c r="F34" s="41"/>
    </row>
    <row r="35" spans="1:6" ht="25">
      <c r="A35" s="57" t="s">
        <v>385</v>
      </c>
      <c r="B35" s="196" t="s">
        <v>263</v>
      </c>
      <c r="C35" s="58"/>
      <c r="D35" s="42">
        <v>2599260</v>
      </c>
      <c r="E35" s="42">
        <v>-3923109</v>
      </c>
      <c r="F35" s="41"/>
    </row>
    <row r="36" spans="1:6" ht="37.5">
      <c r="A36" s="59" t="s">
        <v>386</v>
      </c>
      <c r="B36" s="196" t="s">
        <v>264</v>
      </c>
      <c r="C36" s="58"/>
      <c r="D36" s="42">
        <v>-164595784</v>
      </c>
      <c r="E36" s="42">
        <v>54774708</v>
      </c>
      <c r="F36" s="41"/>
    </row>
    <row r="37" spans="1:6" ht="25">
      <c r="A37" s="57" t="s">
        <v>265</v>
      </c>
      <c r="B37" s="196" t="s">
        <v>266</v>
      </c>
      <c r="C37" s="58"/>
      <c r="D37" s="42">
        <v>0</v>
      </c>
      <c r="E37" s="42">
        <v>0</v>
      </c>
      <c r="F37" s="41"/>
    </row>
    <row r="38" spans="1:6" s="41" customFormat="1" ht="25">
      <c r="A38" s="53" t="s">
        <v>332</v>
      </c>
      <c r="B38" s="54" t="s">
        <v>267</v>
      </c>
      <c r="C38" s="55"/>
      <c r="D38" s="244">
        <v>-50594592717</v>
      </c>
      <c r="E38" s="244">
        <v>104918021194</v>
      </c>
    </row>
    <row r="39" spans="1:6" s="41" customFormat="1" ht="25">
      <c r="A39" s="53" t="s">
        <v>333</v>
      </c>
      <c r="B39" s="54" t="s">
        <v>22</v>
      </c>
      <c r="C39" s="55"/>
      <c r="D39" s="244"/>
      <c r="E39" s="244"/>
    </row>
    <row r="40" spans="1:6" ht="25">
      <c r="A40" s="57" t="s">
        <v>387</v>
      </c>
      <c r="B40" s="196" t="s">
        <v>245</v>
      </c>
      <c r="C40" s="58"/>
      <c r="D40" s="42">
        <v>293336228598</v>
      </c>
      <c r="E40" s="42">
        <v>296278942778</v>
      </c>
      <c r="F40" s="41"/>
    </row>
    <row r="41" spans="1:6" ht="25">
      <c r="A41" s="57" t="s">
        <v>388</v>
      </c>
      <c r="B41" s="196" t="s">
        <v>247</v>
      </c>
      <c r="C41" s="58"/>
      <c r="D41" s="42">
        <v>-228188750946</v>
      </c>
      <c r="E41" s="42">
        <v>-399916471066</v>
      </c>
      <c r="F41" s="41"/>
    </row>
    <row r="42" spans="1:6" ht="25">
      <c r="A42" s="57" t="s">
        <v>334</v>
      </c>
      <c r="B42" s="196" t="s">
        <v>268</v>
      </c>
      <c r="C42" s="58"/>
      <c r="D42" s="42">
        <v>0</v>
      </c>
      <c r="E42" s="42">
        <v>0</v>
      </c>
      <c r="F42" s="41"/>
    </row>
    <row r="43" spans="1:6" ht="25">
      <c r="A43" s="57" t="s">
        <v>335</v>
      </c>
      <c r="B43" s="196" t="s">
        <v>269</v>
      </c>
      <c r="C43" s="58"/>
      <c r="D43" s="42">
        <v>0</v>
      </c>
      <c r="E43" s="42">
        <v>0</v>
      </c>
      <c r="F43" s="41"/>
    </row>
    <row r="44" spans="1:6" ht="25">
      <c r="A44" s="57" t="s">
        <v>389</v>
      </c>
      <c r="B44" s="196" t="s">
        <v>270</v>
      </c>
      <c r="C44" s="58"/>
      <c r="D44" s="42">
        <v>0</v>
      </c>
      <c r="E44" s="42">
        <v>0</v>
      </c>
      <c r="F44" s="41"/>
    </row>
    <row r="45" spans="1:6" ht="37.5">
      <c r="A45" s="53" t="s">
        <v>390</v>
      </c>
      <c r="B45" s="54" t="s">
        <v>243</v>
      </c>
      <c r="C45" s="58"/>
      <c r="D45" s="244">
        <v>65147477652</v>
      </c>
      <c r="E45" s="244">
        <v>-103637528288</v>
      </c>
      <c r="F45" s="41"/>
    </row>
    <row r="46" spans="1:6" s="41" customFormat="1" ht="37.5">
      <c r="A46" s="53" t="s">
        <v>336</v>
      </c>
      <c r="B46" s="54" t="s">
        <v>249</v>
      </c>
      <c r="C46" s="55"/>
      <c r="D46" s="244">
        <v>14552884935</v>
      </c>
      <c r="E46" s="244">
        <v>1280492906</v>
      </c>
    </row>
    <row r="47" spans="1:6" s="41" customFormat="1" ht="25">
      <c r="A47" s="53" t="s">
        <v>337</v>
      </c>
      <c r="B47" s="54" t="s">
        <v>271</v>
      </c>
      <c r="C47" s="55"/>
      <c r="D47" s="244">
        <v>16631004659</v>
      </c>
      <c r="E47" s="244">
        <v>15350511753</v>
      </c>
    </row>
    <row r="48" spans="1:6" ht="25">
      <c r="A48" s="57" t="s">
        <v>391</v>
      </c>
      <c r="B48" s="196" t="s">
        <v>272</v>
      </c>
      <c r="C48" s="58"/>
      <c r="D48" s="42">
        <v>16631004659</v>
      </c>
      <c r="E48" s="42">
        <v>15350511753</v>
      </c>
      <c r="F48" s="41"/>
    </row>
    <row r="49" spans="1:6" ht="37.5">
      <c r="A49" s="60" t="s">
        <v>392</v>
      </c>
      <c r="B49" s="196" t="s">
        <v>273</v>
      </c>
      <c r="C49" s="58"/>
      <c r="D49" s="42">
        <v>16610833199</v>
      </c>
      <c r="E49" s="42">
        <v>15335732705</v>
      </c>
      <c r="F49" s="41"/>
    </row>
    <row r="50" spans="1:6" ht="25">
      <c r="A50" s="61" t="s">
        <v>393</v>
      </c>
      <c r="B50" s="62" t="s">
        <v>274</v>
      </c>
      <c r="C50" s="58"/>
      <c r="D50" s="42">
        <v>16610833199</v>
      </c>
      <c r="E50" s="42">
        <v>15335732705</v>
      </c>
      <c r="F50" s="41"/>
    </row>
    <row r="51" spans="1:6" ht="25">
      <c r="A51" s="63" t="s">
        <v>394</v>
      </c>
      <c r="B51" s="62" t="s">
        <v>275</v>
      </c>
      <c r="C51" s="58"/>
      <c r="D51" s="42">
        <v>0</v>
      </c>
      <c r="E51" s="42">
        <v>0</v>
      </c>
      <c r="F51" s="41"/>
    </row>
    <row r="52" spans="1:6" ht="25">
      <c r="A52" s="61" t="s">
        <v>21</v>
      </c>
      <c r="B52" s="62" t="s">
        <v>276</v>
      </c>
      <c r="C52" s="58"/>
      <c r="D52" s="42">
        <v>0</v>
      </c>
      <c r="E52" s="42">
        <v>0</v>
      </c>
      <c r="F52" s="41"/>
    </row>
    <row r="53" spans="1:6" ht="25">
      <c r="A53" s="57" t="s">
        <v>338</v>
      </c>
      <c r="B53" s="196" t="s">
        <v>277</v>
      </c>
      <c r="C53" s="58"/>
      <c r="D53" s="42">
        <v>20171460</v>
      </c>
      <c r="E53" s="42">
        <v>14779048</v>
      </c>
      <c r="F53" s="41"/>
    </row>
    <row r="54" spans="1:6" ht="25">
      <c r="A54" s="57" t="s">
        <v>339</v>
      </c>
      <c r="B54" s="196" t="s">
        <v>278</v>
      </c>
      <c r="C54" s="58"/>
      <c r="D54" s="42">
        <v>0</v>
      </c>
      <c r="E54" s="42">
        <v>0</v>
      </c>
      <c r="F54" s="41"/>
    </row>
    <row r="55" spans="1:6" s="41" customFormat="1" ht="25">
      <c r="A55" s="53" t="s">
        <v>340</v>
      </c>
      <c r="B55" s="54" t="s">
        <v>279</v>
      </c>
      <c r="C55" s="55"/>
      <c r="D55" s="244">
        <v>31183889594</v>
      </c>
      <c r="E55" s="244">
        <v>16631004659</v>
      </c>
    </row>
    <row r="56" spans="1:6" ht="25">
      <c r="A56" s="57" t="s">
        <v>395</v>
      </c>
      <c r="B56" s="196" t="s">
        <v>280</v>
      </c>
      <c r="C56" s="58"/>
      <c r="D56" s="42">
        <v>31183889594</v>
      </c>
      <c r="E56" s="42">
        <v>16631004659</v>
      </c>
      <c r="F56" s="41"/>
    </row>
    <row r="57" spans="1:6" ht="37.5">
      <c r="A57" s="57" t="s">
        <v>392</v>
      </c>
      <c r="B57" s="196" t="s">
        <v>281</v>
      </c>
      <c r="C57" s="58"/>
      <c r="D57" s="42">
        <v>31177401077</v>
      </c>
      <c r="E57" s="42">
        <v>16610833199</v>
      </c>
      <c r="F57" s="41"/>
    </row>
    <row r="58" spans="1:6" ht="25">
      <c r="A58" s="61" t="s">
        <v>393</v>
      </c>
      <c r="B58" s="62" t="s">
        <v>282</v>
      </c>
      <c r="C58" s="58"/>
      <c r="D58" s="42">
        <v>21177401077</v>
      </c>
      <c r="E58" s="42">
        <v>16610833199</v>
      </c>
      <c r="F58" s="41"/>
    </row>
    <row r="59" spans="1:6" ht="25">
      <c r="A59" s="63" t="s">
        <v>394</v>
      </c>
      <c r="B59" s="62" t="s">
        <v>283</v>
      </c>
      <c r="C59" s="58"/>
      <c r="D59" s="42">
        <v>10000000000</v>
      </c>
      <c r="E59" s="42">
        <v>0</v>
      </c>
      <c r="F59" s="41"/>
    </row>
    <row r="60" spans="1:6" ht="25">
      <c r="A60" s="61" t="s">
        <v>21</v>
      </c>
      <c r="B60" s="62" t="s">
        <v>284</v>
      </c>
      <c r="C60" s="58"/>
      <c r="D60" s="42">
        <v>0</v>
      </c>
      <c r="E60" s="42">
        <v>0</v>
      </c>
      <c r="F60" s="41"/>
    </row>
    <row r="61" spans="1:6" ht="25">
      <c r="A61" s="57" t="s">
        <v>396</v>
      </c>
      <c r="B61" s="196" t="s">
        <v>285</v>
      </c>
      <c r="C61" s="58"/>
      <c r="D61" s="42">
        <v>6488517</v>
      </c>
      <c r="E61" s="42">
        <v>20171460</v>
      </c>
      <c r="F61" s="41"/>
    </row>
    <row r="62" spans="1:6" ht="25">
      <c r="A62" s="57" t="s">
        <v>341</v>
      </c>
      <c r="B62" s="196" t="s">
        <v>286</v>
      </c>
      <c r="C62" s="58"/>
      <c r="D62" s="42">
        <v>0</v>
      </c>
      <c r="E62" s="42">
        <v>0</v>
      </c>
      <c r="F62" s="41"/>
    </row>
    <row r="63" spans="1:6" s="41" customFormat="1" ht="37.5">
      <c r="A63" s="53" t="s">
        <v>342</v>
      </c>
      <c r="B63" s="54" t="s">
        <v>287</v>
      </c>
      <c r="C63" s="55"/>
      <c r="D63" s="244">
        <v>14552884935</v>
      </c>
      <c r="E63" s="244">
        <v>1280492906</v>
      </c>
    </row>
    <row r="64" spans="1:6" s="41" customFormat="1" ht="25">
      <c r="A64" s="53" t="s">
        <v>343</v>
      </c>
      <c r="B64" s="54" t="s">
        <v>288</v>
      </c>
      <c r="C64" s="55"/>
      <c r="D64" s="244">
        <v>0</v>
      </c>
      <c r="E64" s="244">
        <v>0</v>
      </c>
    </row>
    <row r="67" spans="1:5" ht="25.15" customHeight="1">
      <c r="A67" s="197" t="s">
        <v>251</v>
      </c>
      <c r="B67" s="202"/>
      <c r="C67" s="291" t="s">
        <v>252</v>
      </c>
      <c r="D67" s="291"/>
      <c r="E67" s="291"/>
    </row>
    <row r="68" spans="1:5">
      <c r="A68" s="200"/>
      <c r="B68" s="200"/>
      <c r="C68" s="200"/>
      <c r="D68" s="200"/>
      <c r="E68" s="200"/>
    </row>
    <row r="69" spans="1:5">
      <c r="A69" s="200"/>
      <c r="B69" s="200"/>
      <c r="C69" s="200"/>
      <c r="D69" s="200"/>
      <c r="E69" s="200"/>
    </row>
    <row r="70" spans="1:5">
      <c r="A70" s="200"/>
      <c r="B70" s="200"/>
      <c r="C70" s="200"/>
      <c r="D70" s="200"/>
      <c r="E70" s="200"/>
    </row>
    <row r="71" spans="1:5">
      <c r="A71" s="200"/>
      <c r="B71" s="200"/>
      <c r="C71" s="200"/>
      <c r="D71" s="200"/>
      <c r="E71" s="200"/>
    </row>
    <row r="72" spans="1:5">
      <c r="A72" s="200"/>
      <c r="B72" s="200"/>
      <c r="C72" s="200"/>
      <c r="D72" s="200"/>
      <c r="E72" s="200"/>
    </row>
    <row r="73" spans="1:5">
      <c r="A73" s="200"/>
      <c r="B73" s="200"/>
      <c r="C73" s="200"/>
      <c r="D73" s="200"/>
      <c r="E73" s="200"/>
    </row>
    <row r="74" spans="1:5">
      <c r="A74" s="200"/>
      <c r="B74" s="200"/>
      <c r="C74" s="200"/>
      <c r="D74" s="200"/>
      <c r="E74" s="200"/>
    </row>
    <row r="75" spans="1:5">
      <c r="A75" s="200"/>
      <c r="B75" s="200"/>
      <c r="C75" s="200"/>
      <c r="D75" s="200"/>
      <c r="E75" s="200"/>
    </row>
    <row r="76" spans="1:5">
      <c r="A76" s="200"/>
      <c r="B76" s="200"/>
      <c r="C76" s="200"/>
      <c r="D76" s="200"/>
      <c r="E76" s="200"/>
    </row>
    <row r="77" spans="1:5">
      <c r="A77" s="200"/>
      <c r="B77" s="200"/>
      <c r="C77" s="200"/>
      <c r="D77" s="200"/>
      <c r="E77" s="200"/>
    </row>
    <row r="78" spans="1:5">
      <c r="A78" s="200" t="s">
        <v>628</v>
      </c>
      <c r="B78" s="293" t="s">
        <v>624</v>
      </c>
      <c r="C78" s="293"/>
      <c r="D78" s="293"/>
      <c r="E78" s="198" t="s">
        <v>629</v>
      </c>
    </row>
    <row r="79" spans="1:5" ht="16.899999999999999" customHeight="1">
      <c r="A79" s="199" t="s">
        <v>1615</v>
      </c>
      <c r="B79" s="301" t="s">
        <v>1616</v>
      </c>
      <c r="C79" s="301"/>
      <c r="D79" s="301"/>
      <c r="E79" s="199" t="s">
        <v>1608</v>
      </c>
    </row>
    <row r="80" spans="1:5" ht="16.899999999999999" customHeight="1">
      <c r="A80" s="200" t="s">
        <v>1617</v>
      </c>
      <c r="B80" s="290" t="s">
        <v>1618</v>
      </c>
      <c r="C80" s="290"/>
      <c r="D80" s="290"/>
      <c r="E80" s="200" t="s">
        <v>1610</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102" zoomScaleNormal="100" zoomScaleSheetLayoutView="102" workbookViewId="0">
      <selection activeCell="E16" sqref="E16:E17"/>
    </sheetView>
  </sheetViews>
  <sheetFormatPr defaultColWidth="8.7265625" defaultRowHeight="12.5"/>
  <cols>
    <col min="1" max="1" width="51.81640625" style="202" customWidth="1"/>
    <col min="2" max="2" width="9.7265625" style="202" customWidth="1"/>
    <col min="3" max="3" width="8.7265625" style="202"/>
    <col min="4" max="4" width="31.81640625" style="202" customWidth="1"/>
    <col min="5" max="5" width="41.26953125" style="202" customWidth="1"/>
    <col min="6" max="7" width="8.7265625" style="30" customWidth="1"/>
    <col min="8" max="16384" width="8.7265625" style="30"/>
  </cols>
  <sheetData>
    <row r="1" spans="1:5" ht="54.75" customHeight="1">
      <c r="A1" s="280" t="s">
        <v>683</v>
      </c>
      <c r="B1" s="280"/>
      <c r="C1" s="280"/>
      <c r="D1" s="280"/>
      <c r="E1" s="280"/>
    </row>
    <row r="2" spans="1:5" ht="39.75" customHeight="1">
      <c r="A2" s="281" t="s">
        <v>1620</v>
      </c>
      <c r="B2" s="281"/>
      <c r="C2" s="281"/>
      <c r="D2" s="281"/>
      <c r="E2" s="281"/>
    </row>
    <row r="3" spans="1:5">
      <c r="A3" s="282" t="s">
        <v>169</v>
      </c>
      <c r="B3" s="282"/>
      <c r="C3" s="282"/>
      <c r="D3" s="282"/>
      <c r="E3" s="282"/>
    </row>
    <row r="4" spans="1:5" ht="31.15" customHeight="1">
      <c r="A4" s="282"/>
      <c r="B4" s="282"/>
      <c r="C4" s="282"/>
      <c r="D4" s="282"/>
      <c r="E4" s="282"/>
    </row>
    <row r="5" spans="1:5" ht="16.899999999999999" customHeight="1">
      <c r="A5" s="283" t="s">
        <v>1602</v>
      </c>
      <c r="B5" s="283"/>
      <c r="C5" s="283"/>
      <c r="D5" s="283"/>
      <c r="E5" s="283"/>
    </row>
    <row r="6" spans="1:5" ht="16.899999999999999" customHeight="1"/>
    <row r="7" spans="1:5" ht="16.899999999999999" customHeight="1">
      <c r="A7" s="194" t="s">
        <v>2</v>
      </c>
      <c r="B7" s="274" t="s">
        <v>1603</v>
      </c>
      <c r="C7" s="274"/>
      <c r="D7" s="274"/>
      <c r="E7" s="274"/>
    </row>
    <row r="8" spans="1:5" ht="16.899999999999999" customHeight="1">
      <c r="A8" s="202" t="s">
        <v>15</v>
      </c>
      <c r="B8" s="285" t="s">
        <v>1604</v>
      </c>
      <c r="C8" s="285"/>
      <c r="D8" s="285"/>
      <c r="E8" s="285"/>
    </row>
    <row r="9" spans="1:5" ht="16.899999999999999" customHeight="1">
      <c r="A9" s="194" t="s">
        <v>3</v>
      </c>
      <c r="B9" s="274" t="s">
        <v>1605</v>
      </c>
      <c r="C9" s="274"/>
      <c r="D9" s="274"/>
      <c r="E9" s="274"/>
    </row>
    <row r="10" spans="1:5" ht="16.899999999999999" customHeight="1">
      <c r="A10" s="202" t="s">
        <v>4</v>
      </c>
      <c r="B10" s="285" t="s">
        <v>1606</v>
      </c>
      <c r="C10" s="285"/>
      <c r="D10" s="285"/>
      <c r="E10" s="285"/>
    </row>
    <row r="11" spans="1:5" ht="16.899999999999999" customHeight="1">
      <c r="A11" s="194" t="s">
        <v>5</v>
      </c>
      <c r="B11" s="274" t="s">
        <v>709</v>
      </c>
      <c r="C11" s="274"/>
      <c r="D11" s="274"/>
      <c r="E11" s="274"/>
    </row>
    <row r="12" spans="1:5" ht="16.899999999999999" customHeight="1">
      <c r="A12" s="202" t="s">
        <v>6</v>
      </c>
      <c r="B12" s="285" t="s">
        <v>1619</v>
      </c>
      <c r="C12" s="285"/>
      <c r="D12" s="285"/>
      <c r="E12" s="285"/>
    </row>
    <row r="13" spans="1:5" ht="16.899999999999999" customHeight="1">
      <c r="A13" s="194" t="s">
        <v>7</v>
      </c>
      <c r="B13" s="274" t="s">
        <v>1668</v>
      </c>
      <c r="C13" s="274"/>
      <c r="D13" s="274"/>
      <c r="E13" s="274"/>
    </row>
    <row r="14" spans="1:5" ht="16.899999999999999" customHeight="1">
      <c r="A14" s="202" t="s">
        <v>8</v>
      </c>
      <c r="B14" s="285" t="s">
        <v>1669</v>
      </c>
      <c r="C14" s="285"/>
      <c r="D14" s="285"/>
      <c r="E14" s="285"/>
    </row>
    <row r="16" spans="1:5" ht="35.65" customHeight="1">
      <c r="A16" s="303" t="s">
        <v>170</v>
      </c>
      <c r="B16" s="303" t="s">
        <v>171</v>
      </c>
      <c r="C16" s="303" t="s">
        <v>172</v>
      </c>
      <c r="D16" s="303" t="s">
        <v>1613</v>
      </c>
      <c r="E16" s="303" t="s">
        <v>1614</v>
      </c>
    </row>
    <row r="17" spans="1:8">
      <c r="A17" s="304"/>
      <c r="B17" s="304"/>
      <c r="C17" s="304"/>
      <c r="D17" s="304"/>
      <c r="E17" s="304"/>
    </row>
    <row r="18" spans="1:8" s="41" customFormat="1" ht="25">
      <c r="A18" s="64" t="s">
        <v>365</v>
      </c>
      <c r="B18" s="65" t="s">
        <v>173</v>
      </c>
      <c r="C18" s="53"/>
      <c r="D18" s="244">
        <v>-192708203250</v>
      </c>
      <c r="E18" s="244">
        <v>177342715276</v>
      </c>
    </row>
    <row r="19" spans="1:8" ht="25">
      <c r="A19" s="66" t="s">
        <v>366</v>
      </c>
      <c r="B19" s="67" t="s">
        <v>174</v>
      </c>
      <c r="C19" s="57"/>
      <c r="D19" s="42">
        <v>3978240000</v>
      </c>
      <c r="E19" s="42">
        <v>2848205000</v>
      </c>
      <c r="G19" s="41"/>
      <c r="H19" s="41"/>
    </row>
    <row r="20" spans="1:8" ht="25">
      <c r="A20" s="66" t="s">
        <v>367</v>
      </c>
      <c r="B20" s="67" t="s">
        <v>175</v>
      </c>
      <c r="C20" s="57"/>
      <c r="D20" s="42">
        <v>199867070</v>
      </c>
      <c r="E20" s="42">
        <v>32633496</v>
      </c>
      <c r="G20" s="41"/>
      <c r="H20" s="41"/>
    </row>
    <row r="21" spans="1:8" ht="25">
      <c r="A21" s="66" t="s">
        <v>293</v>
      </c>
      <c r="B21" s="67" t="s">
        <v>176</v>
      </c>
      <c r="C21" s="57"/>
      <c r="D21" s="42">
        <v>199867070</v>
      </c>
      <c r="E21" s="42">
        <v>32633496</v>
      </c>
      <c r="G21" s="41"/>
      <c r="H21" s="41"/>
    </row>
    <row r="22" spans="1:8" ht="25">
      <c r="A22" s="66" t="s">
        <v>301</v>
      </c>
      <c r="B22" s="67" t="s">
        <v>177</v>
      </c>
      <c r="C22" s="57"/>
      <c r="D22" s="42">
        <v>0</v>
      </c>
      <c r="E22" s="42">
        <v>0</v>
      </c>
      <c r="G22" s="41"/>
      <c r="H22" s="41"/>
    </row>
    <row r="23" spans="1:8" ht="25">
      <c r="A23" s="68" t="s">
        <v>368</v>
      </c>
      <c r="B23" s="67" t="s">
        <v>289</v>
      </c>
      <c r="C23" s="57"/>
      <c r="D23" s="42">
        <v>0</v>
      </c>
      <c r="E23" s="42">
        <v>0</v>
      </c>
      <c r="G23" s="41"/>
      <c r="H23" s="41"/>
    </row>
    <row r="24" spans="1:8" ht="25">
      <c r="A24" s="57" t="s">
        <v>292</v>
      </c>
      <c r="B24" s="67" t="s">
        <v>291</v>
      </c>
      <c r="C24" s="57"/>
      <c r="D24" s="42">
        <v>0</v>
      </c>
      <c r="E24" s="42">
        <v>0</v>
      </c>
      <c r="G24" s="41"/>
      <c r="H24" s="41"/>
    </row>
    <row r="25" spans="1:8" ht="25">
      <c r="A25" s="57" t="s">
        <v>294</v>
      </c>
      <c r="B25" s="67" t="s">
        <v>178</v>
      </c>
      <c r="C25" s="57"/>
      <c r="D25" s="42">
        <v>-103535901505</v>
      </c>
      <c r="E25" s="42">
        <v>158016761801</v>
      </c>
      <c r="G25" s="41"/>
      <c r="H25" s="41"/>
    </row>
    <row r="26" spans="1:8" ht="37.5">
      <c r="A26" s="57" t="s">
        <v>295</v>
      </c>
      <c r="B26" s="67" t="s">
        <v>179</v>
      </c>
      <c r="C26" s="57"/>
      <c r="D26" s="42">
        <v>-93350408815</v>
      </c>
      <c r="E26" s="42">
        <v>16445114979</v>
      </c>
      <c r="G26" s="41"/>
      <c r="H26" s="41"/>
    </row>
    <row r="27" spans="1:8" ht="25">
      <c r="A27" s="66" t="s">
        <v>369</v>
      </c>
      <c r="B27" s="67" t="s">
        <v>180</v>
      </c>
      <c r="C27" s="57"/>
      <c r="D27" s="42">
        <v>0</v>
      </c>
      <c r="E27" s="42">
        <v>0</v>
      </c>
      <c r="G27" s="41"/>
      <c r="H27" s="41"/>
    </row>
    <row r="28" spans="1:8" ht="25">
      <c r="A28" s="57" t="s">
        <v>296</v>
      </c>
      <c r="B28" s="67" t="s">
        <v>181</v>
      </c>
      <c r="C28" s="57"/>
      <c r="D28" s="42">
        <v>0</v>
      </c>
      <c r="E28" s="42">
        <v>0</v>
      </c>
      <c r="G28" s="41"/>
      <c r="H28" s="41"/>
    </row>
    <row r="29" spans="1:8" ht="25">
      <c r="A29" s="66" t="s">
        <v>370</v>
      </c>
      <c r="B29" s="67" t="s">
        <v>182</v>
      </c>
      <c r="C29" s="57"/>
      <c r="D29" s="42">
        <v>0</v>
      </c>
      <c r="E29" s="42">
        <v>0</v>
      </c>
      <c r="G29" s="41"/>
      <c r="H29" s="41"/>
    </row>
    <row r="30" spans="1:8" ht="50">
      <c r="A30" s="57" t="s">
        <v>371</v>
      </c>
      <c r="B30" s="67" t="s">
        <v>183</v>
      </c>
      <c r="C30" s="57"/>
      <c r="D30" s="42">
        <v>0</v>
      </c>
      <c r="E30" s="42">
        <v>0</v>
      </c>
      <c r="G30" s="41"/>
      <c r="H30" s="41"/>
    </row>
    <row r="31" spans="1:8" s="41" customFormat="1" ht="25">
      <c r="A31" s="64" t="s">
        <v>318</v>
      </c>
      <c r="B31" s="65" t="s">
        <v>184</v>
      </c>
      <c r="C31" s="53"/>
      <c r="D31" s="244">
        <v>4728616758</v>
      </c>
      <c r="E31" s="244">
        <v>1541928933</v>
      </c>
    </row>
    <row r="32" spans="1:8" ht="25">
      <c r="A32" s="57" t="s">
        <v>185</v>
      </c>
      <c r="B32" s="67" t="s">
        <v>186</v>
      </c>
      <c r="C32" s="57"/>
      <c r="D32" s="42">
        <v>4728616758</v>
      </c>
      <c r="E32" s="42">
        <v>1541928933</v>
      </c>
      <c r="G32" s="41"/>
      <c r="H32" s="41"/>
    </row>
    <row r="33" spans="1:8" ht="25">
      <c r="A33" s="57" t="s">
        <v>187</v>
      </c>
      <c r="B33" s="67" t="s">
        <v>188</v>
      </c>
      <c r="C33" s="57"/>
      <c r="D33" s="42">
        <v>4716251089</v>
      </c>
      <c r="E33" s="42">
        <v>1537801509</v>
      </c>
      <c r="G33" s="41"/>
      <c r="H33" s="41"/>
    </row>
    <row r="34" spans="1:8" ht="25">
      <c r="A34" s="57" t="s">
        <v>44</v>
      </c>
      <c r="B34" s="67" t="s">
        <v>189</v>
      </c>
      <c r="C34" s="57"/>
      <c r="D34" s="42">
        <v>12365669</v>
      </c>
      <c r="E34" s="42">
        <v>4127424</v>
      </c>
      <c r="G34" s="41"/>
      <c r="H34" s="41"/>
    </row>
    <row r="35" spans="1:8" ht="37.5">
      <c r="A35" s="57" t="s">
        <v>190</v>
      </c>
      <c r="B35" s="67" t="s">
        <v>191</v>
      </c>
      <c r="C35" s="57"/>
      <c r="D35" s="42">
        <v>0</v>
      </c>
      <c r="E35" s="42">
        <v>0</v>
      </c>
      <c r="G35" s="41"/>
      <c r="H35" s="41"/>
    </row>
    <row r="36" spans="1:8" ht="25">
      <c r="A36" s="57" t="s">
        <v>192</v>
      </c>
      <c r="B36" s="67" t="s">
        <v>193</v>
      </c>
      <c r="C36" s="57"/>
      <c r="D36" s="42">
        <v>0</v>
      </c>
      <c r="E36" s="42">
        <v>0</v>
      </c>
      <c r="G36" s="41"/>
      <c r="H36" s="41"/>
    </row>
    <row r="37" spans="1:8" ht="50">
      <c r="A37" s="57" t="s">
        <v>194</v>
      </c>
      <c r="B37" s="67" t="s">
        <v>195</v>
      </c>
      <c r="C37" s="57"/>
      <c r="D37" s="42">
        <v>0</v>
      </c>
      <c r="E37" s="42">
        <v>0</v>
      </c>
      <c r="G37" s="41"/>
      <c r="H37" s="41"/>
    </row>
    <row r="38" spans="1:8" ht="25">
      <c r="A38" s="66" t="s">
        <v>319</v>
      </c>
      <c r="B38" s="67" t="s">
        <v>196</v>
      </c>
      <c r="C38" s="57"/>
      <c r="D38" s="42">
        <v>0</v>
      </c>
      <c r="E38" s="42">
        <v>0</v>
      </c>
      <c r="G38" s="41"/>
      <c r="H38" s="41"/>
    </row>
    <row r="39" spans="1:8" s="41" customFormat="1" ht="25">
      <c r="A39" s="64" t="s">
        <v>320</v>
      </c>
      <c r="B39" s="65" t="s">
        <v>197</v>
      </c>
      <c r="C39" s="53"/>
      <c r="D39" s="56">
        <v>11608937685</v>
      </c>
      <c r="E39" s="56">
        <v>9771700375</v>
      </c>
    </row>
    <row r="40" spans="1:8" ht="25">
      <c r="A40" s="57" t="s">
        <v>372</v>
      </c>
      <c r="B40" s="67" t="s">
        <v>198</v>
      </c>
      <c r="C40" s="57"/>
      <c r="D40" s="42">
        <v>10096964343</v>
      </c>
      <c r="E40" s="42">
        <v>8419706513</v>
      </c>
      <c r="G40" s="41"/>
      <c r="H40" s="41"/>
    </row>
    <row r="41" spans="1:8" ht="25">
      <c r="A41" s="57" t="s">
        <v>199</v>
      </c>
      <c r="B41" s="67" t="s">
        <v>200</v>
      </c>
      <c r="C41" s="57"/>
      <c r="D41" s="42">
        <v>448130732</v>
      </c>
      <c r="E41" s="42">
        <v>345676097</v>
      </c>
      <c r="G41" s="41"/>
      <c r="H41" s="41"/>
    </row>
    <row r="42" spans="1:8" ht="25">
      <c r="A42" s="61" t="s">
        <v>25</v>
      </c>
      <c r="B42" s="69" t="s">
        <v>201</v>
      </c>
      <c r="C42" s="57"/>
      <c r="D42" s="42">
        <v>264197027</v>
      </c>
      <c r="E42" s="42">
        <v>264000000</v>
      </c>
      <c r="G42" s="41"/>
      <c r="H42" s="41"/>
    </row>
    <row r="43" spans="1:8" ht="25">
      <c r="A43" s="61" t="s">
        <v>26</v>
      </c>
      <c r="B43" s="69" t="s">
        <v>202</v>
      </c>
      <c r="C43" s="57"/>
      <c r="D43" s="42">
        <v>137430000</v>
      </c>
      <c r="E43" s="42">
        <v>52815000</v>
      </c>
      <c r="G43" s="41"/>
      <c r="H43" s="41"/>
    </row>
    <row r="44" spans="1:8" ht="50">
      <c r="A44" s="61" t="s">
        <v>345</v>
      </c>
      <c r="B44" s="69" t="s">
        <v>203</v>
      </c>
      <c r="C44" s="57"/>
      <c r="D44" s="42">
        <v>46503705</v>
      </c>
      <c r="E44" s="42">
        <v>28861097</v>
      </c>
      <c r="G44" s="41"/>
      <c r="H44" s="41"/>
    </row>
    <row r="45" spans="1:8" ht="25">
      <c r="A45" s="57" t="s">
        <v>204</v>
      </c>
      <c r="B45" s="67" t="s">
        <v>205</v>
      </c>
      <c r="C45" s="57"/>
      <c r="D45" s="42">
        <v>303600000</v>
      </c>
      <c r="E45" s="42">
        <v>303600000</v>
      </c>
      <c r="G45" s="41"/>
      <c r="H45" s="41"/>
    </row>
    <row r="46" spans="1:8" ht="25">
      <c r="A46" s="57" t="s">
        <v>206</v>
      </c>
      <c r="B46" s="67" t="s">
        <v>207</v>
      </c>
      <c r="C46" s="57"/>
      <c r="D46" s="42">
        <v>172642387</v>
      </c>
      <c r="E46" s="42">
        <v>143963892</v>
      </c>
      <c r="G46" s="41"/>
      <c r="H46" s="41"/>
    </row>
    <row r="47" spans="1:8" ht="25">
      <c r="A47" s="57" t="s">
        <v>208</v>
      </c>
      <c r="B47" s="67" t="s">
        <v>209</v>
      </c>
      <c r="C47" s="57"/>
      <c r="D47" s="42">
        <v>145200000</v>
      </c>
      <c r="E47" s="42">
        <v>132000000</v>
      </c>
      <c r="G47" s="41"/>
      <c r="H47" s="41"/>
    </row>
    <row r="48" spans="1:8" ht="25">
      <c r="A48" s="57" t="s">
        <v>210</v>
      </c>
      <c r="B48" s="67" t="s">
        <v>211</v>
      </c>
      <c r="C48" s="57"/>
      <c r="D48" s="42">
        <v>0</v>
      </c>
      <c r="E48" s="42">
        <v>0</v>
      </c>
      <c r="G48" s="41"/>
      <c r="H48" s="41"/>
    </row>
    <row r="49" spans="1:8" ht="37.5">
      <c r="A49" s="61" t="s">
        <v>373</v>
      </c>
      <c r="B49" s="69" t="s">
        <v>212</v>
      </c>
      <c r="C49" s="57"/>
      <c r="D49" s="42">
        <v>0</v>
      </c>
      <c r="E49" s="42">
        <v>0</v>
      </c>
      <c r="G49" s="41"/>
      <c r="H49" s="41"/>
    </row>
    <row r="50" spans="1:8" ht="25">
      <c r="A50" s="61" t="s">
        <v>374</v>
      </c>
      <c r="B50" s="69" t="s">
        <v>213</v>
      </c>
      <c r="C50" s="57"/>
      <c r="D50" s="42">
        <v>0</v>
      </c>
      <c r="E50" s="42">
        <v>0</v>
      </c>
      <c r="G50" s="41"/>
      <c r="H50" s="41"/>
    </row>
    <row r="51" spans="1:8" ht="25">
      <c r="A51" s="57" t="s">
        <v>214</v>
      </c>
      <c r="B51" s="67" t="s">
        <v>215</v>
      </c>
      <c r="C51" s="57"/>
      <c r="D51" s="42">
        <v>50714984</v>
      </c>
      <c r="E51" s="42">
        <v>1007930</v>
      </c>
      <c r="G51" s="41"/>
      <c r="H51" s="41"/>
    </row>
    <row r="52" spans="1:8" ht="25">
      <c r="A52" s="66" t="s">
        <v>321</v>
      </c>
      <c r="B52" s="67" t="s">
        <v>216</v>
      </c>
      <c r="C52" s="57"/>
      <c r="D52" s="42">
        <v>177485552</v>
      </c>
      <c r="E52" s="42">
        <v>175064339</v>
      </c>
      <c r="G52" s="41"/>
      <c r="H52" s="41"/>
    </row>
    <row r="53" spans="1:8" ht="25">
      <c r="A53" s="57" t="s">
        <v>217</v>
      </c>
      <c r="B53" s="67" t="s">
        <v>218</v>
      </c>
      <c r="C53" s="57"/>
      <c r="D53" s="42">
        <v>0</v>
      </c>
      <c r="E53" s="42">
        <v>0</v>
      </c>
      <c r="G53" s="41"/>
      <c r="H53" s="41"/>
    </row>
    <row r="54" spans="1:8" ht="25">
      <c r="A54" s="66" t="s">
        <v>322</v>
      </c>
      <c r="B54" s="67" t="s">
        <v>219</v>
      </c>
      <c r="C54" s="57"/>
      <c r="D54" s="42">
        <v>214199687</v>
      </c>
      <c r="E54" s="42">
        <v>250681604</v>
      </c>
      <c r="G54" s="41"/>
      <c r="H54" s="41"/>
    </row>
    <row r="55" spans="1:8" ht="25">
      <c r="A55" s="61" t="s">
        <v>40</v>
      </c>
      <c r="B55" s="69" t="s">
        <v>220</v>
      </c>
      <c r="C55" s="57"/>
      <c r="D55" s="42">
        <v>124000000</v>
      </c>
      <c r="E55" s="42">
        <v>156000000</v>
      </c>
      <c r="G55" s="41"/>
      <c r="H55" s="41"/>
    </row>
    <row r="56" spans="1:8" ht="37.5">
      <c r="A56" s="61" t="s">
        <v>221</v>
      </c>
      <c r="B56" s="69" t="s">
        <v>222</v>
      </c>
      <c r="C56" s="57"/>
      <c r="D56" s="42">
        <v>0</v>
      </c>
      <c r="E56" s="42">
        <v>0</v>
      </c>
      <c r="G56" s="41"/>
      <c r="H56" s="41"/>
    </row>
    <row r="57" spans="1:8" ht="25">
      <c r="A57" s="61" t="s">
        <v>223</v>
      </c>
      <c r="B57" s="69" t="s">
        <v>224</v>
      </c>
      <c r="C57" s="57"/>
      <c r="D57" s="42">
        <v>0</v>
      </c>
      <c r="E57" s="42">
        <v>0</v>
      </c>
      <c r="G57" s="41"/>
      <c r="H57" s="41"/>
    </row>
    <row r="58" spans="1:8" ht="25">
      <c r="A58" s="70" t="s">
        <v>323</v>
      </c>
      <c r="B58" s="69" t="s">
        <v>225</v>
      </c>
      <c r="C58" s="57"/>
      <c r="D58" s="42">
        <v>0</v>
      </c>
      <c r="E58" s="42">
        <v>84325000</v>
      </c>
      <c r="G58" s="41"/>
      <c r="H58" s="41"/>
    </row>
    <row r="59" spans="1:8" ht="25">
      <c r="A59" s="61" t="s">
        <v>41</v>
      </c>
      <c r="B59" s="69" t="s">
        <v>226</v>
      </c>
      <c r="C59" s="57"/>
      <c r="D59" s="42">
        <v>0</v>
      </c>
      <c r="E59" s="42">
        <v>0</v>
      </c>
      <c r="G59" s="41"/>
      <c r="H59" s="41"/>
    </row>
    <row r="60" spans="1:8" ht="25">
      <c r="A60" s="70" t="s">
        <v>324</v>
      </c>
      <c r="B60" s="69" t="s">
        <v>227</v>
      </c>
      <c r="C60" s="57"/>
      <c r="D60" s="42">
        <v>0</v>
      </c>
      <c r="E60" s="42">
        <v>0</v>
      </c>
      <c r="G60" s="41"/>
      <c r="H60" s="41"/>
    </row>
    <row r="61" spans="1:8" ht="25">
      <c r="A61" s="70" t="s">
        <v>325</v>
      </c>
      <c r="B61" s="69" t="s">
        <v>228</v>
      </c>
      <c r="C61" s="57"/>
      <c r="D61" s="42">
        <v>7500000</v>
      </c>
      <c r="E61" s="42">
        <v>0</v>
      </c>
      <c r="G61" s="41"/>
      <c r="H61" s="41"/>
    </row>
    <row r="62" spans="1:8" ht="25">
      <c r="A62" s="61" t="s">
        <v>48</v>
      </c>
      <c r="B62" s="69" t="s">
        <v>229</v>
      </c>
      <c r="C62" s="57"/>
      <c r="D62" s="42">
        <v>81599687</v>
      </c>
      <c r="E62" s="42">
        <v>8156604</v>
      </c>
      <c r="G62" s="41"/>
      <c r="H62" s="41"/>
    </row>
    <row r="63" spans="1:8" ht="25">
      <c r="A63" s="61" t="s">
        <v>42</v>
      </c>
      <c r="B63" s="69" t="s">
        <v>230</v>
      </c>
      <c r="C63" s="57"/>
      <c r="D63" s="42">
        <v>0</v>
      </c>
      <c r="E63" s="42">
        <v>0</v>
      </c>
      <c r="G63" s="41"/>
      <c r="H63" s="41"/>
    </row>
    <row r="64" spans="1:8" ht="25">
      <c r="A64" s="61" t="s">
        <v>309</v>
      </c>
      <c r="B64" s="69" t="s">
        <v>231</v>
      </c>
      <c r="C64" s="57"/>
      <c r="D64" s="42">
        <v>0</v>
      </c>
      <c r="E64" s="42">
        <v>0</v>
      </c>
      <c r="G64" s="41"/>
      <c r="H64" s="41"/>
    </row>
    <row r="65" spans="1:8" ht="25">
      <c r="A65" s="71" t="s">
        <v>354</v>
      </c>
      <c r="B65" s="69" t="s">
        <v>232</v>
      </c>
      <c r="C65" s="57"/>
      <c r="D65" s="42">
        <v>1100000</v>
      </c>
      <c r="E65" s="42">
        <v>2200000</v>
      </c>
      <c r="G65" s="41"/>
      <c r="H65" s="41"/>
    </row>
    <row r="66" spans="1:8" ht="25">
      <c r="A66" s="72" t="s">
        <v>326</v>
      </c>
      <c r="B66" s="69" t="s">
        <v>233</v>
      </c>
      <c r="C66" s="57"/>
      <c r="D66" s="42">
        <v>0</v>
      </c>
      <c r="E66" s="42">
        <v>0</v>
      </c>
      <c r="G66" s="41"/>
      <c r="H66" s="41"/>
    </row>
    <row r="67" spans="1:8" ht="25">
      <c r="A67" s="70" t="s">
        <v>327</v>
      </c>
      <c r="B67" s="69" t="s">
        <v>234</v>
      </c>
      <c r="C67" s="57"/>
      <c r="D67" s="42">
        <v>0</v>
      </c>
      <c r="E67" s="42">
        <v>0</v>
      </c>
      <c r="G67" s="41"/>
      <c r="H67" s="41"/>
    </row>
    <row r="68" spans="1:8" ht="25">
      <c r="A68" s="61" t="s">
        <v>235</v>
      </c>
      <c r="B68" s="69" t="s">
        <v>236</v>
      </c>
      <c r="C68" s="57"/>
      <c r="D68" s="42">
        <v>0</v>
      </c>
      <c r="E68" s="42">
        <v>0</v>
      </c>
      <c r="G68" s="41"/>
      <c r="H68" s="41"/>
    </row>
    <row r="69" spans="1:8" s="41" customFormat="1" ht="37.5">
      <c r="A69" s="53" t="s">
        <v>237</v>
      </c>
      <c r="B69" s="65" t="s">
        <v>238</v>
      </c>
      <c r="C69" s="53"/>
      <c r="D69" s="244">
        <v>-209045757693</v>
      </c>
      <c r="E69" s="244">
        <v>166029085968</v>
      </c>
    </row>
    <row r="70" spans="1:8" s="41" customFormat="1" ht="25">
      <c r="A70" s="53" t="s">
        <v>239</v>
      </c>
      <c r="B70" s="65" t="s">
        <v>240</v>
      </c>
      <c r="C70" s="53"/>
      <c r="D70" s="244">
        <v>0</v>
      </c>
      <c r="E70" s="244">
        <v>0</v>
      </c>
    </row>
    <row r="71" spans="1:8" ht="25">
      <c r="A71" s="66" t="s">
        <v>375</v>
      </c>
      <c r="B71" s="67" t="s">
        <v>241</v>
      </c>
      <c r="C71" s="57"/>
      <c r="D71" s="42">
        <v>0</v>
      </c>
      <c r="E71" s="42">
        <v>0</v>
      </c>
      <c r="G71" s="41"/>
      <c r="H71" s="41"/>
    </row>
    <row r="72" spans="1:8" ht="25">
      <c r="A72" s="66" t="s">
        <v>328</v>
      </c>
      <c r="B72" s="67" t="s">
        <v>242</v>
      </c>
      <c r="C72" s="57"/>
      <c r="D72" s="42">
        <v>0</v>
      </c>
      <c r="E72" s="42">
        <v>0</v>
      </c>
      <c r="G72" s="41"/>
      <c r="H72" s="41"/>
    </row>
    <row r="73" spans="1:8" s="41" customFormat="1" ht="25">
      <c r="A73" s="53" t="s">
        <v>618</v>
      </c>
      <c r="B73" s="65" t="s">
        <v>243</v>
      </c>
      <c r="C73" s="53"/>
      <c r="D73" s="244">
        <v>-209045757693</v>
      </c>
      <c r="E73" s="244">
        <v>166029085968</v>
      </c>
    </row>
    <row r="74" spans="1:8" ht="25">
      <c r="A74" s="57" t="s">
        <v>244</v>
      </c>
      <c r="B74" s="67" t="s">
        <v>245</v>
      </c>
      <c r="C74" s="57"/>
      <c r="D74" s="42">
        <v>-115695348878</v>
      </c>
      <c r="E74" s="42">
        <v>149583970989</v>
      </c>
      <c r="G74" s="41"/>
      <c r="H74" s="41"/>
    </row>
    <row r="75" spans="1:8" ht="25">
      <c r="A75" s="57" t="s">
        <v>246</v>
      </c>
      <c r="B75" s="67" t="s">
        <v>247</v>
      </c>
      <c r="C75" s="57"/>
      <c r="D75" s="42">
        <v>-93350408815</v>
      </c>
      <c r="E75" s="42">
        <v>16445114979</v>
      </c>
      <c r="G75" s="41"/>
      <c r="H75" s="41"/>
    </row>
    <row r="76" spans="1:8" s="41" customFormat="1" ht="25">
      <c r="A76" s="53" t="s">
        <v>248</v>
      </c>
      <c r="B76" s="65" t="s">
        <v>249</v>
      </c>
      <c r="C76" s="53"/>
      <c r="D76" s="244">
        <v>0</v>
      </c>
      <c r="E76" s="244">
        <v>0</v>
      </c>
    </row>
    <row r="77" spans="1:8" s="41" customFormat="1" ht="25">
      <c r="A77" s="53" t="s">
        <v>619</v>
      </c>
      <c r="B77" s="65" t="s">
        <v>250</v>
      </c>
      <c r="C77" s="53"/>
      <c r="D77" s="244">
        <v>-209045757693</v>
      </c>
      <c r="E77" s="244">
        <v>166029085968</v>
      </c>
    </row>
    <row r="80" spans="1:8" ht="25.15" customHeight="1">
      <c r="A80" s="197" t="s">
        <v>251</v>
      </c>
      <c r="B80" s="291" t="s">
        <v>252</v>
      </c>
      <c r="C80" s="291"/>
      <c r="D80" s="291"/>
      <c r="E80" s="291"/>
    </row>
    <row r="90" spans="1:5">
      <c r="A90" s="201" t="s">
        <v>630</v>
      </c>
      <c r="B90" s="302" t="s">
        <v>630</v>
      </c>
      <c r="C90" s="302"/>
      <c r="D90" s="302"/>
      <c r="E90" s="50" t="s">
        <v>1622</v>
      </c>
    </row>
    <row r="91" spans="1:5" ht="16.899999999999999" customHeight="1">
      <c r="A91" s="203" t="s">
        <v>1615</v>
      </c>
      <c r="B91" s="301" t="s">
        <v>1616</v>
      </c>
      <c r="C91" s="301"/>
      <c r="D91" s="301"/>
      <c r="E91" s="203" t="s">
        <v>1608</v>
      </c>
    </row>
    <row r="92" spans="1:5" ht="16.899999999999999" customHeight="1">
      <c r="A92" s="204" t="s">
        <v>1617</v>
      </c>
      <c r="B92" s="302" t="s">
        <v>1618</v>
      </c>
      <c r="C92" s="302"/>
      <c r="D92" s="302"/>
      <c r="E92" s="204" t="s">
        <v>1610</v>
      </c>
    </row>
    <row r="93" spans="1:5">
      <c r="A93" s="73"/>
      <c r="B93" s="50"/>
      <c r="C93" s="50"/>
      <c r="D93" s="73"/>
      <c r="E93" s="50"/>
    </row>
    <row r="94" spans="1:5">
      <c r="A94" s="50"/>
      <c r="B94" s="50"/>
      <c r="C94" s="50"/>
      <c r="D94" s="50"/>
      <c r="E94" s="50"/>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C26" sqref="C26"/>
    </sheetView>
  </sheetViews>
  <sheetFormatPr defaultColWidth="9.1796875" defaultRowHeight="13"/>
  <cols>
    <col min="1" max="1" width="4.81640625" style="217" customWidth="1"/>
    <col min="2" max="2" width="43.81640625" style="214" customWidth="1"/>
    <col min="3" max="3" width="14.453125" style="214" customWidth="1"/>
    <col min="4" max="4" width="11.81640625" style="214" customWidth="1"/>
    <col min="5" max="5" width="12.26953125" style="214" customWidth="1"/>
    <col min="6" max="6" width="12.54296875" style="214" customWidth="1"/>
    <col min="7" max="7" width="16.453125" style="214" customWidth="1"/>
    <col min="8" max="9" width="19" style="214" customWidth="1"/>
    <col min="10" max="10" width="43.54296875" style="214" customWidth="1"/>
    <col min="11" max="16384" width="9.1796875" style="214"/>
  </cols>
  <sheetData>
    <row r="1" spans="1:10" s="213" customFormat="1" ht="46.5" customHeight="1">
      <c r="A1" s="309" t="s">
        <v>683</v>
      </c>
      <c r="B1" s="309"/>
      <c r="C1" s="309"/>
      <c r="D1" s="309"/>
      <c r="E1" s="309"/>
      <c r="F1" s="309"/>
      <c r="G1" s="309"/>
      <c r="H1" s="309"/>
      <c r="I1" s="309"/>
      <c r="J1" s="309"/>
    </row>
    <row r="2" spans="1:10" ht="49" customHeight="1">
      <c r="A2" s="310" t="s">
        <v>704</v>
      </c>
      <c r="B2" s="310"/>
      <c r="C2" s="310"/>
      <c r="D2" s="310"/>
      <c r="E2" s="310"/>
      <c r="F2" s="310"/>
      <c r="G2" s="310"/>
      <c r="H2" s="310"/>
      <c r="I2" s="310"/>
      <c r="J2" s="310"/>
    </row>
    <row r="3" spans="1:10" ht="19.149999999999999" customHeight="1">
      <c r="A3" s="311" t="s">
        <v>631</v>
      </c>
      <c r="B3" s="311"/>
      <c r="C3" s="311"/>
      <c r="D3" s="311"/>
      <c r="E3" s="311"/>
      <c r="F3" s="311"/>
      <c r="G3" s="311"/>
      <c r="H3" s="311"/>
      <c r="I3" s="311"/>
      <c r="J3" s="311"/>
    </row>
    <row r="4" spans="1:10" ht="21.65" customHeight="1">
      <c r="A4" s="311"/>
      <c r="B4" s="311"/>
      <c r="C4" s="311"/>
      <c r="D4" s="311"/>
      <c r="E4" s="311"/>
      <c r="F4" s="311"/>
      <c r="G4" s="311"/>
      <c r="H4" s="311"/>
      <c r="I4" s="311"/>
      <c r="J4" s="311"/>
    </row>
    <row r="5" spans="1:10">
      <c r="A5" s="312" t="s">
        <v>1602</v>
      </c>
      <c r="B5" s="312"/>
      <c r="C5" s="312"/>
      <c r="D5" s="312"/>
      <c r="E5" s="312"/>
      <c r="F5" s="312"/>
      <c r="G5" s="312"/>
      <c r="H5" s="312"/>
      <c r="I5" s="312"/>
      <c r="J5" s="312"/>
    </row>
    <row r="6" spans="1:10">
      <c r="A6" s="205"/>
      <c r="B6" s="205"/>
      <c r="C6" s="205"/>
      <c r="D6" s="205"/>
      <c r="E6" s="205"/>
      <c r="F6" s="91"/>
      <c r="G6" s="215"/>
      <c r="H6" s="215"/>
      <c r="I6" s="215"/>
      <c r="J6" s="215"/>
    </row>
    <row r="7" spans="1:10">
      <c r="A7" s="313" t="s">
        <v>2</v>
      </c>
      <c r="B7" s="314"/>
      <c r="C7" s="215"/>
      <c r="D7" s="215"/>
      <c r="E7" s="215"/>
      <c r="F7" s="215"/>
      <c r="G7" s="315" t="s">
        <v>1603</v>
      </c>
      <c r="H7" s="315"/>
      <c r="I7" s="315"/>
      <c r="J7" s="315"/>
    </row>
    <row r="8" spans="1:10" ht="15" customHeight="1">
      <c r="A8" s="316" t="s">
        <v>15</v>
      </c>
      <c r="B8" s="316"/>
      <c r="C8" s="215"/>
      <c r="D8" s="215"/>
      <c r="E8" s="215"/>
      <c r="F8" s="215"/>
      <c r="G8" s="317" t="s">
        <v>1604</v>
      </c>
      <c r="H8" s="317"/>
      <c r="I8" s="317"/>
      <c r="J8" s="317"/>
    </row>
    <row r="9" spans="1:10">
      <c r="A9" s="318" t="s">
        <v>3</v>
      </c>
      <c r="B9" s="319"/>
      <c r="C9" s="215"/>
      <c r="D9" s="215"/>
      <c r="E9" s="215"/>
      <c r="F9" s="215"/>
      <c r="G9" s="320" t="s">
        <v>1605</v>
      </c>
      <c r="H9" s="320"/>
      <c r="I9" s="320"/>
      <c r="J9" s="320"/>
    </row>
    <row r="10" spans="1:10" ht="15" customHeight="1">
      <c r="A10" s="319" t="s">
        <v>4</v>
      </c>
      <c r="B10" s="319"/>
      <c r="C10" s="215"/>
      <c r="D10" s="215"/>
      <c r="E10" s="215"/>
      <c r="F10" s="215"/>
      <c r="G10" s="317" t="s">
        <v>1606</v>
      </c>
      <c r="H10" s="317"/>
      <c r="I10" s="317"/>
      <c r="J10" s="317"/>
    </row>
    <row r="11" spans="1:10" ht="15" customHeight="1">
      <c r="A11" s="318" t="s">
        <v>5</v>
      </c>
      <c r="B11" s="321"/>
      <c r="C11" s="215"/>
      <c r="D11" s="215"/>
      <c r="E11" s="215"/>
      <c r="F11" s="215"/>
      <c r="G11" s="315" t="s">
        <v>709</v>
      </c>
      <c r="H11" s="315"/>
      <c r="I11" s="315"/>
      <c r="J11" s="315"/>
    </row>
    <row r="12" spans="1:10" ht="15" customHeight="1">
      <c r="A12" s="92" t="s">
        <v>620</v>
      </c>
      <c r="B12" s="206"/>
      <c r="C12" s="215"/>
      <c r="D12" s="215"/>
      <c r="E12" s="215"/>
      <c r="F12" s="215"/>
      <c r="G12" s="317" t="s">
        <v>1619</v>
      </c>
      <c r="H12" s="317"/>
      <c r="I12" s="317"/>
      <c r="J12" s="317"/>
    </row>
    <row r="13" spans="1:10" ht="15" customHeight="1">
      <c r="A13" s="93" t="s">
        <v>7</v>
      </c>
      <c r="B13" s="94"/>
      <c r="C13" s="215"/>
      <c r="D13" s="215"/>
      <c r="E13" s="215"/>
      <c r="F13" s="215"/>
      <c r="G13" s="315" t="s">
        <v>1668</v>
      </c>
      <c r="H13" s="315"/>
      <c r="I13" s="315"/>
      <c r="J13" s="315"/>
    </row>
    <row r="14" spans="1:10">
      <c r="A14" s="95" t="s">
        <v>8</v>
      </c>
      <c r="B14" s="95"/>
      <c r="C14" s="97"/>
      <c r="D14" s="97"/>
      <c r="E14" s="97"/>
      <c r="F14" s="97"/>
      <c r="G14" s="322" t="s">
        <v>1669</v>
      </c>
      <c r="H14" s="322"/>
      <c r="I14" s="322"/>
      <c r="J14" s="322"/>
    </row>
    <row r="15" spans="1:10">
      <c r="A15" s="129" t="s">
        <v>681</v>
      </c>
      <c r="B15" s="130" t="s">
        <v>682</v>
      </c>
      <c r="C15" s="97"/>
      <c r="D15" s="97"/>
      <c r="E15" s="97"/>
      <c r="F15" s="97"/>
      <c r="G15" s="207"/>
      <c r="H15" s="207"/>
      <c r="I15" s="207"/>
      <c r="J15" s="207"/>
    </row>
    <row r="16" spans="1:10">
      <c r="A16" s="107" t="s">
        <v>29</v>
      </c>
      <c r="B16" s="108" t="s">
        <v>634</v>
      </c>
      <c r="C16" s="97"/>
      <c r="D16" s="97"/>
      <c r="E16" s="97"/>
      <c r="F16" s="97"/>
      <c r="G16" s="97"/>
      <c r="H16" s="97"/>
      <c r="I16" s="97"/>
      <c r="J16" s="97"/>
    </row>
    <row r="17" spans="1:10" s="96" customFormat="1" ht="36" customHeight="1">
      <c r="A17" s="324" t="s">
        <v>254</v>
      </c>
      <c r="B17" s="324" t="s">
        <v>672</v>
      </c>
      <c r="C17" s="324" t="s">
        <v>673</v>
      </c>
      <c r="D17" s="324" t="s">
        <v>674</v>
      </c>
      <c r="E17" s="324" t="s">
        <v>675</v>
      </c>
      <c r="F17" s="324" t="s">
        <v>676</v>
      </c>
      <c r="G17" s="324" t="s">
        <v>677</v>
      </c>
      <c r="H17" s="325"/>
      <c r="I17" s="324" t="s">
        <v>705</v>
      </c>
      <c r="J17" s="325"/>
    </row>
    <row r="18" spans="1:10" s="96" customFormat="1" ht="87" customHeight="1">
      <c r="A18" s="325"/>
      <c r="B18" s="325"/>
      <c r="C18" s="325"/>
      <c r="D18" s="325"/>
      <c r="E18" s="325"/>
      <c r="F18" s="325"/>
      <c r="G18" s="208" t="s">
        <v>678</v>
      </c>
      <c r="H18" s="208" t="s">
        <v>679</v>
      </c>
      <c r="I18" s="208" t="s">
        <v>678</v>
      </c>
      <c r="J18" s="208" t="s">
        <v>680</v>
      </c>
    </row>
    <row r="19" spans="1:10" s="96" customFormat="1" ht="45.75" customHeight="1">
      <c r="A19" s="237" t="s">
        <v>1210</v>
      </c>
      <c r="B19" s="237" t="s">
        <v>1211</v>
      </c>
      <c r="C19" s="237"/>
      <c r="D19" s="237"/>
      <c r="E19" s="237"/>
      <c r="F19" s="240"/>
      <c r="G19" s="237"/>
      <c r="H19" s="239"/>
      <c r="I19" s="237"/>
      <c r="J19" s="239"/>
    </row>
    <row r="20" spans="1:10">
      <c r="A20" s="237" t="s">
        <v>1212</v>
      </c>
      <c r="B20" s="237" t="s">
        <v>1213</v>
      </c>
      <c r="C20" s="237" t="s">
        <v>1214</v>
      </c>
      <c r="D20" s="237" t="s">
        <v>1215</v>
      </c>
      <c r="E20" s="237" t="s">
        <v>1216</v>
      </c>
      <c r="F20" s="240" t="s">
        <v>1217</v>
      </c>
      <c r="G20" s="237" t="s">
        <v>1218</v>
      </c>
      <c r="H20" s="239" t="s">
        <v>1219</v>
      </c>
      <c r="I20" s="237" t="s">
        <v>1220</v>
      </c>
      <c r="J20" s="239" t="s">
        <v>1221</v>
      </c>
    </row>
    <row r="21" spans="1:10" ht="25">
      <c r="A21" s="242" t="s">
        <v>1222</v>
      </c>
      <c r="B21" s="242" t="s">
        <v>1223</v>
      </c>
      <c r="C21" s="242"/>
      <c r="D21" s="242"/>
      <c r="E21" s="242"/>
      <c r="F21" s="244">
        <v>0</v>
      </c>
      <c r="G21" s="242"/>
      <c r="H21" s="243"/>
      <c r="I21" s="242"/>
      <c r="J21" s="243"/>
    </row>
    <row r="22" spans="1:10">
      <c r="A22" s="237" t="s">
        <v>1224</v>
      </c>
      <c r="B22" s="237" t="s">
        <v>1225</v>
      </c>
      <c r="C22" s="237"/>
      <c r="D22" s="237"/>
      <c r="E22" s="237"/>
      <c r="F22" s="240"/>
      <c r="G22" s="237"/>
      <c r="H22" s="239"/>
      <c r="I22" s="237"/>
      <c r="J22" s="239"/>
    </row>
    <row r="23" spans="1:10">
      <c r="A23" s="237" t="s">
        <v>1226</v>
      </c>
      <c r="B23" s="237" t="s">
        <v>1227</v>
      </c>
      <c r="C23" s="237" t="s">
        <v>1228</v>
      </c>
      <c r="D23" s="237" t="s">
        <v>1229</v>
      </c>
      <c r="E23" s="237" t="s">
        <v>1230</v>
      </c>
      <c r="F23" s="240" t="s">
        <v>1231</v>
      </c>
      <c r="G23" s="237" t="s">
        <v>1232</v>
      </c>
      <c r="H23" s="239" t="s">
        <v>1233</v>
      </c>
      <c r="I23" s="237" t="s">
        <v>1234</v>
      </c>
      <c r="J23" s="239" t="s">
        <v>1235</v>
      </c>
    </row>
    <row r="24" spans="1:10" ht="25">
      <c r="A24" s="242" t="s">
        <v>1236</v>
      </c>
      <c r="B24" s="242" t="s">
        <v>1237</v>
      </c>
      <c r="C24" s="242"/>
      <c r="D24" s="242"/>
      <c r="E24" s="242"/>
      <c r="F24" s="244">
        <v>0</v>
      </c>
      <c r="G24" s="242"/>
      <c r="H24" s="243"/>
      <c r="I24" s="242"/>
      <c r="J24" s="243"/>
    </row>
    <row r="25" spans="1:10" ht="25">
      <c r="A25" s="242" t="s">
        <v>1238</v>
      </c>
      <c r="B25" s="242" t="s">
        <v>1239</v>
      </c>
      <c r="C25" s="242"/>
      <c r="D25" s="242"/>
      <c r="E25" s="242"/>
      <c r="F25" s="244">
        <v>0</v>
      </c>
      <c r="G25" s="242"/>
      <c r="H25" s="243"/>
      <c r="I25" s="242"/>
      <c r="J25" s="243"/>
    </row>
    <row r="26" spans="1:10">
      <c r="A26" s="237" t="s">
        <v>1240</v>
      </c>
      <c r="B26" s="237" t="s">
        <v>1241</v>
      </c>
      <c r="C26" s="237"/>
      <c r="D26" s="237"/>
      <c r="E26" s="237"/>
      <c r="F26" s="240"/>
      <c r="G26" s="237"/>
      <c r="H26" s="239"/>
      <c r="I26" s="237"/>
      <c r="J26" s="239"/>
    </row>
    <row r="27" spans="1:10">
      <c r="A27" s="237" t="s">
        <v>1242</v>
      </c>
      <c r="B27" s="237" t="s">
        <v>1243</v>
      </c>
      <c r="C27" s="237" t="s">
        <v>1244</v>
      </c>
      <c r="D27" s="237" t="s">
        <v>1245</v>
      </c>
      <c r="E27" s="237" t="s">
        <v>1246</v>
      </c>
      <c r="F27" s="240" t="s">
        <v>1247</v>
      </c>
      <c r="G27" s="237" t="s">
        <v>1248</v>
      </c>
      <c r="H27" s="239" t="s">
        <v>1249</v>
      </c>
      <c r="I27" s="237" t="s">
        <v>1250</v>
      </c>
      <c r="J27" s="239" t="s">
        <v>1251</v>
      </c>
    </row>
    <row r="28" spans="1:10">
      <c r="A28" s="242" t="s">
        <v>1252</v>
      </c>
      <c r="B28" s="242" t="s">
        <v>1253</v>
      </c>
      <c r="C28" s="242"/>
      <c r="D28" s="242"/>
      <c r="E28" s="242"/>
      <c r="F28" s="244">
        <v>0</v>
      </c>
      <c r="G28" s="242"/>
      <c r="H28" s="243"/>
      <c r="I28" s="242"/>
      <c r="J28" s="243"/>
    </row>
    <row r="29" spans="1:10" ht="25">
      <c r="A29" s="237" t="s">
        <v>1254</v>
      </c>
      <c r="B29" s="237" t="s">
        <v>1255</v>
      </c>
      <c r="C29" s="237"/>
      <c r="D29" s="237"/>
      <c r="E29" s="237"/>
      <c r="F29" s="240"/>
      <c r="G29" s="237"/>
      <c r="H29" s="239"/>
      <c r="I29" s="237"/>
      <c r="J29" s="239"/>
    </row>
    <row r="30" spans="1:10">
      <c r="A30" s="237" t="s">
        <v>1256</v>
      </c>
      <c r="B30" s="237" t="s">
        <v>1257</v>
      </c>
      <c r="C30" s="237" t="s">
        <v>1258</v>
      </c>
      <c r="D30" s="237" t="s">
        <v>1259</v>
      </c>
      <c r="E30" s="237" t="s">
        <v>1260</v>
      </c>
      <c r="F30" s="240" t="s">
        <v>1261</v>
      </c>
      <c r="G30" s="237" t="s">
        <v>1262</v>
      </c>
      <c r="H30" s="239" t="s">
        <v>1263</v>
      </c>
      <c r="I30" s="237" t="s">
        <v>1264</v>
      </c>
      <c r="J30" s="239" t="s">
        <v>1265</v>
      </c>
    </row>
    <row r="31" spans="1:10">
      <c r="A31" s="242" t="s">
        <v>1266</v>
      </c>
      <c r="B31" s="242" t="s">
        <v>1267</v>
      </c>
      <c r="C31" s="242"/>
      <c r="D31" s="242"/>
      <c r="E31" s="242"/>
      <c r="F31" s="244">
        <v>0</v>
      </c>
      <c r="G31" s="242"/>
      <c r="H31" s="243"/>
      <c r="I31" s="242"/>
      <c r="J31" s="243"/>
    </row>
    <row r="32" spans="1:10" ht="25">
      <c r="A32" s="242" t="s">
        <v>1268</v>
      </c>
      <c r="B32" s="242" t="s">
        <v>1269</v>
      </c>
      <c r="C32" s="242"/>
      <c r="D32" s="242"/>
      <c r="E32" s="242"/>
      <c r="F32" s="244">
        <v>0</v>
      </c>
      <c r="G32" s="242"/>
      <c r="H32" s="243"/>
      <c r="I32" s="242"/>
      <c r="J32" s="243"/>
    </row>
    <row r="33" spans="1:10" s="216" customFormat="1" ht="45.75" customHeight="1">
      <c r="A33" s="98" t="s">
        <v>10</v>
      </c>
      <c r="B33" s="99"/>
      <c r="C33" s="100"/>
      <c r="D33" s="97"/>
      <c r="E33" s="97"/>
      <c r="F33" s="97"/>
      <c r="G33" s="97"/>
      <c r="H33" s="97"/>
      <c r="I33" s="101" t="s">
        <v>11</v>
      </c>
      <c r="J33" s="97"/>
    </row>
    <row r="34" spans="1:10">
      <c r="A34" s="102" t="s">
        <v>12</v>
      </c>
      <c r="B34" s="99"/>
      <c r="C34" s="100"/>
      <c r="D34" s="97"/>
      <c r="E34" s="97"/>
      <c r="F34" s="97"/>
      <c r="G34" s="97"/>
      <c r="H34" s="97"/>
      <c r="I34" s="103" t="s">
        <v>13</v>
      </c>
      <c r="J34" s="97"/>
    </row>
    <row r="35" spans="1:10">
      <c r="A35" s="99"/>
      <c r="B35" s="99"/>
      <c r="C35" s="100"/>
      <c r="D35" s="215"/>
      <c r="E35" s="215"/>
      <c r="F35" s="215"/>
      <c r="G35" s="215"/>
      <c r="H35" s="215"/>
      <c r="I35" s="100"/>
      <c r="J35" s="215"/>
    </row>
    <row r="36" spans="1:10">
      <c r="A36" s="221"/>
      <c r="B36" s="215"/>
      <c r="C36" s="215"/>
      <c r="D36" s="215"/>
      <c r="E36" s="215"/>
      <c r="F36" s="215"/>
      <c r="G36" s="97"/>
      <c r="H36" s="215"/>
      <c r="I36" s="215"/>
      <c r="J36" s="215"/>
    </row>
    <row r="37" spans="1:10">
      <c r="A37" s="221"/>
      <c r="B37" s="215"/>
      <c r="C37" s="215"/>
      <c r="D37" s="215"/>
      <c r="E37" s="215"/>
      <c r="F37" s="215"/>
      <c r="G37" s="215"/>
      <c r="H37" s="215"/>
      <c r="I37" s="215"/>
      <c r="J37" s="215"/>
    </row>
    <row r="38" spans="1:10">
      <c r="A38" s="221"/>
      <c r="B38" s="215"/>
      <c r="C38" s="215"/>
      <c r="D38" s="215"/>
      <c r="E38" s="215"/>
      <c r="F38" s="215"/>
      <c r="G38" s="215"/>
      <c r="H38" s="215"/>
      <c r="I38" s="215"/>
      <c r="J38" s="215"/>
    </row>
    <row r="39" spans="1:10">
      <c r="A39" s="221"/>
      <c r="B39" s="215"/>
      <c r="C39" s="215"/>
      <c r="D39" s="215"/>
      <c r="E39" s="215"/>
      <c r="F39" s="215"/>
      <c r="G39" s="215"/>
      <c r="H39" s="215"/>
      <c r="I39" s="251"/>
      <c r="J39" s="251"/>
    </row>
    <row r="40" spans="1:10">
      <c r="A40" s="323" t="s">
        <v>14</v>
      </c>
      <c r="B40" s="323"/>
      <c r="C40" s="215"/>
      <c r="D40" s="215"/>
      <c r="E40" s="215"/>
      <c r="F40" s="215"/>
      <c r="G40" s="215"/>
      <c r="H40" s="215"/>
      <c r="I40" s="247" t="s">
        <v>1603</v>
      </c>
      <c r="J40" s="219"/>
    </row>
    <row r="41" spans="1:10">
      <c r="A41" s="307" t="s">
        <v>1607</v>
      </c>
      <c r="B41" s="307"/>
      <c r="C41" s="215"/>
      <c r="D41" s="215"/>
      <c r="E41" s="215"/>
      <c r="F41" s="215"/>
      <c r="G41" s="215"/>
      <c r="H41" s="215"/>
      <c r="I41" s="305" t="s">
        <v>1608</v>
      </c>
      <c r="J41" s="305"/>
    </row>
    <row r="42" spans="1:10">
      <c r="A42" s="308" t="s">
        <v>1609</v>
      </c>
      <c r="B42" s="308"/>
      <c r="C42" s="215"/>
      <c r="D42" s="215"/>
      <c r="E42" s="215"/>
      <c r="F42" s="215"/>
      <c r="G42" s="215"/>
      <c r="H42" s="215"/>
      <c r="I42" s="306" t="s">
        <v>1610</v>
      </c>
      <c r="J42" s="306"/>
    </row>
    <row r="43" spans="1:10">
      <c r="A43" s="221"/>
      <c r="B43" s="215"/>
      <c r="C43" s="215"/>
      <c r="D43" s="215"/>
      <c r="E43" s="215"/>
      <c r="F43" s="215"/>
      <c r="G43" s="215"/>
      <c r="H43" s="215"/>
      <c r="I43" s="215"/>
      <c r="J43" s="215"/>
    </row>
    <row r="44" spans="1:10">
      <c r="A44" s="221"/>
      <c r="B44" s="215"/>
      <c r="C44" s="215"/>
      <c r="D44" s="215"/>
      <c r="E44" s="215"/>
      <c r="F44" s="215"/>
      <c r="G44" s="215"/>
      <c r="H44" s="215"/>
      <c r="I44" s="215"/>
      <c r="J44" s="215"/>
    </row>
    <row r="45" spans="1:10">
      <c r="A45" s="221"/>
      <c r="B45" s="215"/>
      <c r="C45" s="215"/>
      <c r="D45" s="215"/>
      <c r="E45" s="215"/>
      <c r="F45" s="215"/>
      <c r="G45" s="215"/>
      <c r="H45" s="215"/>
      <c r="I45" s="215"/>
      <c r="J45" s="215"/>
    </row>
    <row r="46" spans="1:10">
      <c r="A46" s="221"/>
      <c r="B46" s="215"/>
      <c r="C46" s="215"/>
      <c r="D46" s="215"/>
      <c r="E46" s="215"/>
      <c r="F46" s="215"/>
      <c r="G46" s="215"/>
      <c r="H46" s="215"/>
      <c r="I46" s="215"/>
      <c r="J46" s="215"/>
    </row>
  </sheetData>
  <mergeCells count="30">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I41:J41"/>
    <mergeCell ref="I42:J42"/>
    <mergeCell ref="A41:B41"/>
    <mergeCell ref="A42:B42"/>
    <mergeCell ref="A1:J1"/>
    <mergeCell ref="A2:J2"/>
    <mergeCell ref="A3:J4"/>
    <mergeCell ref="A5:J5"/>
    <mergeCell ref="A7:B7"/>
    <mergeCell ref="G7:J7"/>
    <mergeCell ref="A8:B8"/>
    <mergeCell ref="G8:J8"/>
    <mergeCell ref="A9:B9"/>
    <mergeCell ref="G9:J9"/>
    <mergeCell ref="A10:B10"/>
    <mergeCell ref="G10:J10"/>
  </mergeCells>
  <printOptions horizontalCentered="1"/>
  <pageMargins left="0.3" right="0.3" top="0.75" bottom="0.5" header="0.3" footer="0.3"/>
  <pageSetup paperSize="9" scale="71" fitToHeight="0" orientation="landscape"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3"/>
  <sheetViews>
    <sheetView view="pageBreakPreview" zoomScale="80" zoomScaleNormal="100" zoomScaleSheetLayoutView="80" workbookViewId="0">
      <selection activeCell="G29" sqref="G29"/>
    </sheetView>
  </sheetViews>
  <sheetFormatPr defaultColWidth="9.1796875" defaultRowHeight="12.5"/>
  <cols>
    <col min="1" max="1" width="19.81640625" style="144" customWidth="1"/>
    <col min="2" max="2" width="52.54296875" style="144" customWidth="1"/>
    <col min="3" max="3" width="25.1796875" style="144" customWidth="1"/>
    <col min="4" max="6" width="33" style="220" customWidth="1"/>
    <col min="7" max="8" width="42" style="220" customWidth="1"/>
    <col min="9" max="16384" width="9.1796875" style="144"/>
  </cols>
  <sheetData>
    <row r="1" spans="1:8" ht="32.25" customHeight="1">
      <c r="A1" s="336" t="s">
        <v>683</v>
      </c>
      <c r="B1" s="336"/>
      <c r="C1" s="336"/>
      <c r="D1" s="336"/>
      <c r="E1" s="336"/>
      <c r="F1" s="336"/>
      <c r="G1" s="336"/>
      <c r="H1" s="336"/>
    </row>
    <row r="2" spans="1:8" ht="56.5" customHeight="1">
      <c r="A2" s="337" t="s">
        <v>704</v>
      </c>
      <c r="B2" s="337"/>
      <c r="C2" s="337"/>
      <c r="D2" s="337"/>
      <c r="E2" s="337"/>
      <c r="F2" s="337"/>
      <c r="G2" s="337"/>
      <c r="H2" s="337"/>
    </row>
    <row r="3" spans="1:8" ht="12.75" customHeight="1">
      <c r="A3" s="338" t="s">
        <v>685</v>
      </c>
      <c r="B3" s="338"/>
      <c r="C3" s="338"/>
      <c r="D3" s="338"/>
      <c r="E3" s="338"/>
      <c r="F3" s="338"/>
      <c r="G3" s="338"/>
      <c r="H3" s="338"/>
    </row>
    <row r="4" spans="1:8">
      <c r="A4" s="338"/>
      <c r="B4" s="338"/>
      <c r="C4" s="338"/>
      <c r="D4" s="338"/>
      <c r="E4" s="338"/>
      <c r="F4" s="338"/>
      <c r="G4" s="338"/>
      <c r="H4" s="338"/>
    </row>
    <row r="5" spans="1:8">
      <c r="A5" s="339" t="s">
        <v>1602</v>
      </c>
      <c r="B5" s="339"/>
      <c r="C5" s="339"/>
      <c r="D5" s="339"/>
      <c r="E5" s="339"/>
      <c r="F5" s="339"/>
      <c r="G5" s="339"/>
      <c r="H5" s="339"/>
    </row>
    <row r="6" spans="1:8">
      <c r="A6" s="134"/>
      <c r="B6" s="134"/>
      <c r="C6" s="134"/>
      <c r="D6" s="134"/>
      <c r="E6" s="134"/>
      <c r="F6" s="135"/>
      <c r="G6" s="148"/>
      <c r="H6" s="148"/>
    </row>
    <row r="7" spans="1:8" ht="12.75" customHeight="1">
      <c r="A7" s="340" t="s">
        <v>2</v>
      </c>
      <c r="B7" s="340"/>
      <c r="C7" s="147"/>
      <c r="D7" s="327" t="s">
        <v>1603</v>
      </c>
      <c r="E7" s="327"/>
      <c r="F7" s="327"/>
      <c r="G7" s="327"/>
      <c r="H7" s="327"/>
    </row>
    <row r="8" spans="1:8" ht="12.75" customHeight="1">
      <c r="A8" s="342" t="s">
        <v>686</v>
      </c>
      <c r="B8" s="342"/>
      <c r="C8" s="342"/>
      <c r="D8" s="343" t="s">
        <v>1604</v>
      </c>
      <c r="E8" s="343"/>
      <c r="F8" s="343"/>
      <c r="G8" s="343"/>
      <c r="H8" s="343"/>
    </row>
    <row r="9" spans="1:8" ht="12.75" customHeight="1">
      <c r="A9" s="340" t="s">
        <v>3</v>
      </c>
      <c r="B9" s="340"/>
      <c r="C9" s="147"/>
      <c r="D9" s="327" t="s">
        <v>1605</v>
      </c>
      <c r="E9" s="327"/>
      <c r="F9" s="327"/>
      <c r="G9" s="327"/>
      <c r="H9" s="327"/>
    </row>
    <row r="10" spans="1:8" ht="12.75" customHeight="1">
      <c r="A10" s="344" t="s">
        <v>4</v>
      </c>
      <c r="B10" s="344"/>
      <c r="C10" s="147"/>
      <c r="D10" s="343" t="s">
        <v>1606</v>
      </c>
      <c r="E10" s="343"/>
      <c r="F10" s="343"/>
      <c r="G10" s="343"/>
      <c r="H10" s="343"/>
    </row>
    <row r="11" spans="1:8" ht="12.75" customHeight="1">
      <c r="A11" s="340" t="s">
        <v>5</v>
      </c>
      <c r="B11" s="340"/>
      <c r="C11" s="147"/>
      <c r="D11" s="327" t="s">
        <v>709</v>
      </c>
      <c r="E11" s="327"/>
      <c r="F11" s="327"/>
      <c r="G11" s="327"/>
      <c r="H11" s="327"/>
    </row>
    <row r="12" spans="1:8" ht="12.75" customHeight="1">
      <c r="A12" s="341" t="s">
        <v>6</v>
      </c>
      <c r="B12" s="341"/>
      <c r="C12" s="147"/>
      <c r="D12" s="343" t="s">
        <v>1619</v>
      </c>
      <c r="E12" s="343"/>
      <c r="F12" s="343"/>
      <c r="G12" s="343"/>
      <c r="H12" s="343"/>
    </row>
    <row r="13" spans="1:8" ht="12.75" customHeight="1">
      <c r="A13" s="327" t="s">
        <v>7</v>
      </c>
      <c r="B13" s="327"/>
      <c r="C13" s="147"/>
      <c r="D13" s="327" t="s">
        <v>1668</v>
      </c>
      <c r="E13" s="327"/>
      <c r="F13" s="327"/>
      <c r="G13" s="327"/>
      <c r="H13" s="327"/>
    </row>
    <row r="14" spans="1:8">
      <c r="A14" s="328" t="s">
        <v>8</v>
      </c>
      <c r="B14" s="328"/>
      <c r="C14" s="147"/>
      <c r="D14" s="329" t="s">
        <v>1669</v>
      </c>
      <c r="E14" s="330"/>
      <c r="F14" s="330"/>
      <c r="G14" s="330"/>
      <c r="H14" s="330"/>
    </row>
    <row r="15" spans="1:8">
      <c r="A15" s="210"/>
      <c r="B15" s="210"/>
      <c r="C15" s="147"/>
      <c r="D15" s="211"/>
      <c r="E15" s="212"/>
      <c r="F15" s="212"/>
      <c r="G15" s="212"/>
      <c r="H15" s="212"/>
    </row>
    <row r="16" spans="1:8">
      <c r="A16" s="136" t="s">
        <v>681</v>
      </c>
      <c r="B16" s="137" t="s">
        <v>682</v>
      </c>
      <c r="D16" s="211"/>
      <c r="E16" s="212"/>
      <c r="F16" s="212"/>
      <c r="G16" s="212"/>
      <c r="H16" s="212"/>
    </row>
    <row r="17" spans="1:8">
      <c r="A17" s="138" t="s">
        <v>31</v>
      </c>
      <c r="B17" s="139" t="s">
        <v>687</v>
      </c>
      <c r="C17" s="147"/>
      <c r="D17" s="148"/>
      <c r="E17" s="148"/>
      <c r="F17" s="148"/>
      <c r="G17" s="148"/>
      <c r="H17" s="148"/>
    </row>
    <row r="18" spans="1:8" ht="32.25" customHeight="1">
      <c r="A18" s="331" t="s">
        <v>688</v>
      </c>
      <c r="B18" s="331" t="s">
        <v>689</v>
      </c>
      <c r="C18" s="331" t="s">
        <v>690</v>
      </c>
      <c r="D18" s="333" t="s">
        <v>691</v>
      </c>
      <c r="E18" s="334"/>
      <c r="F18" s="335"/>
      <c r="G18" s="331" t="s">
        <v>692</v>
      </c>
      <c r="H18" s="331" t="s">
        <v>693</v>
      </c>
    </row>
    <row r="19" spans="1:8" ht="88.75" customHeight="1">
      <c r="A19" s="332"/>
      <c r="B19" s="332"/>
      <c r="C19" s="332"/>
      <c r="D19" s="140" t="s">
        <v>694</v>
      </c>
      <c r="E19" s="140" t="s">
        <v>1666</v>
      </c>
      <c r="F19" s="140" t="s">
        <v>695</v>
      </c>
      <c r="G19" s="332"/>
      <c r="H19" s="332"/>
    </row>
    <row r="20" spans="1:8" ht="25.5" customHeight="1">
      <c r="A20" s="141" t="s">
        <v>696</v>
      </c>
      <c r="B20" s="141" t="s">
        <v>697</v>
      </c>
      <c r="C20" s="141" t="s">
        <v>698</v>
      </c>
      <c r="D20" s="142" t="s">
        <v>699</v>
      </c>
      <c r="E20" s="142" t="s">
        <v>700</v>
      </c>
      <c r="F20" s="142" t="s">
        <v>701</v>
      </c>
      <c r="G20" s="143" t="s">
        <v>702</v>
      </c>
      <c r="H20" s="143" t="s">
        <v>703</v>
      </c>
    </row>
    <row r="21" spans="1:8" ht="25.5" customHeight="1">
      <c r="A21" s="237" t="s">
        <v>1579</v>
      </c>
      <c r="B21" s="237" t="s">
        <v>1580</v>
      </c>
      <c r="C21" s="237" t="s">
        <v>1581</v>
      </c>
      <c r="D21" s="240" t="s">
        <v>1582</v>
      </c>
      <c r="E21" s="240" t="s">
        <v>1583</v>
      </c>
      <c r="F21" s="239" t="s">
        <v>1584</v>
      </c>
      <c r="G21" s="239" t="s">
        <v>1585</v>
      </c>
      <c r="H21" s="239" t="s">
        <v>1586</v>
      </c>
    </row>
    <row r="22" spans="1:8" ht="25">
      <c r="A22" s="237" t="s">
        <v>1587</v>
      </c>
      <c r="B22" s="237" t="s">
        <v>1588</v>
      </c>
      <c r="C22" s="237" t="s">
        <v>1589</v>
      </c>
      <c r="D22" s="240">
        <v>6183180</v>
      </c>
      <c r="E22" s="240">
        <v>3686190783180</v>
      </c>
      <c r="F22" s="239">
        <v>0</v>
      </c>
      <c r="G22" s="239"/>
      <c r="H22" s="239"/>
    </row>
    <row r="23" spans="1:8" ht="25">
      <c r="A23" s="237" t="s">
        <v>1590</v>
      </c>
      <c r="B23" s="268" t="s">
        <v>1674</v>
      </c>
      <c r="C23" s="237" t="s">
        <v>1591</v>
      </c>
      <c r="D23" s="267">
        <v>685533223000</v>
      </c>
      <c r="E23" s="240">
        <v>3686190783180</v>
      </c>
      <c r="F23" s="239">
        <v>0.186</v>
      </c>
      <c r="G23" s="239">
        <v>1.5E-3</v>
      </c>
      <c r="H23" s="250" t="s">
        <v>1623</v>
      </c>
    </row>
    <row r="24" spans="1:8" ht="25">
      <c r="A24" s="237" t="s">
        <v>1592</v>
      </c>
      <c r="B24" s="237" t="s">
        <v>1672</v>
      </c>
      <c r="C24" s="237" t="s">
        <v>1593</v>
      </c>
      <c r="D24" s="267">
        <v>858716910000</v>
      </c>
      <c r="E24" s="240">
        <v>3686190783180</v>
      </c>
      <c r="F24" s="239">
        <v>0.23300000000000001</v>
      </c>
      <c r="G24" s="239">
        <v>1.2999999999999999E-3</v>
      </c>
      <c r="H24" s="250" t="s">
        <v>1623</v>
      </c>
    </row>
    <row r="25" spans="1:8" ht="25">
      <c r="A25" s="237" t="s">
        <v>1594</v>
      </c>
      <c r="B25" s="237" t="s">
        <v>1670</v>
      </c>
      <c r="C25" s="237" t="s">
        <v>1595</v>
      </c>
      <c r="D25" s="267">
        <v>859246785000</v>
      </c>
      <c r="E25" s="240">
        <v>3686190783180</v>
      </c>
      <c r="F25" s="239">
        <v>0.2331</v>
      </c>
      <c r="G25" s="239">
        <v>1.5E-3</v>
      </c>
      <c r="H25" s="250" t="s">
        <v>1623</v>
      </c>
    </row>
    <row r="26" spans="1:8" ht="25">
      <c r="A26" s="237" t="s">
        <v>1596</v>
      </c>
      <c r="B26" s="237" t="s">
        <v>1673</v>
      </c>
      <c r="C26" s="237" t="s">
        <v>1597</v>
      </c>
      <c r="D26" s="267">
        <v>433563882000</v>
      </c>
      <c r="E26" s="240">
        <v>3686190783180</v>
      </c>
      <c r="F26" s="239">
        <v>0.1176</v>
      </c>
      <c r="G26" s="239">
        <v>1.5E-3</v>
      </c>
      <c r="H26" s="250" t="s">
        <v>1623</v>
      </c>
    </row>
    <row r="27" spans="1:8" ht="25">
      <c r="A27" s="237" t="s">
        <v>1598</v>
      </c>
      <c r="B27" s="237" t="s">
        <v>1671</v>
      </c>
      <c r="C27" s="237" t="s">
        <v>1599</v>
      </c>
      <c r="D27" s="267">
        <v>849123800000</v>
      </c>
      <c r="E27" s="240">
        <v>3686190783180</v>
      </c>
      <c r="F27" s="239">
        <v>0.2303</v>
      </c>
      <c r="G27" s="239">
        <v>6.9999999999999999E-4</v>
      </c>
      <c r="H27" s="250" t="s">
        <v>1623</v>
      </c>
    </row>
    <row r="28" spans="1:8">
      <c r="A28" s="237"/>
      <c r="B28" s="237" t="s">
        <v>1600</v>
      </c>
      <c r="C28" s="237"/>
      <c r="D28" s="240">
        <v>3686190783180</v>
      </c>
      <c r="E28" s="240"/>
      <c r="F28" s="239">
        <v>1</v>
      </c>
      <c r="G28" s="239"/>
      <c r="H28" s="239"/>
    </row>
    <row r="29" spans="1:8" ht="25.5" customHeight="1">
      <c r="B29" s="145"/>
      <c r="C29" s="145"/>
      <c r="D29" s="146"/>
      <c r="E29" s="146"/>
      <c r="F29" s="146"/>
      <c r="G29" s="146"/>
      <c r="H29" s="146"/>
    </row>
    <row r="30" spans="1:8" ht="25.5" customHeight="1">
      <c r="A30" s="326" t="s">
        <v>1667</v>
      </c>
      <c r="B30" s="326"/>
      <c r="C30" s="326"/>
      <c r="D30" s="326"/>
      <c r="E30" s="326"/>
      <c r="F30" s="326"/>
      <c r="G30" s="326"/>
      <c r="H30" s="326"/>
    </row>
    <row r="31" spans="1:8">
      <c r="A31" s="147" t="s">
        <v>1665</v>
      </c>
      <c r="B31" s="147"/>
      <c r="C31" s="147"/>
      <c r="D31" s="148"/>
      <c r="E31" s="148"/>
      <c r="F31" s="266"/>
      <c r="G31" s="148"/>
      <c r="H31" s="148"/>
    </row>
    <row r="32" spans="1:8">
      <c r="A32" s="147"/>
      <c r="B32" s="147"/>
      <c r="C32" s="147"/>
      <c r="D32" s="148"/>
      <c r="E32" s="148"/>
      <c r="F32" s="148"/>
      <c r="G32" s="148"/>
      <c r="H32" s="148"/>
    </row>
    <row r="33" spans="1:8">
      <c r="A33" s="149" t="s">
        <v>10</v>
      </c>
      <c r="B33" s="147"/>
      <c r="C33" s="150"/>
      <c r="D33" s="151"/>
      <c r="E33" s="151"/>
      <c r="F33" s="152"/>
      <c r="G33" s="153" t="s">
        <v>11</v>
      </c>
      <c r="H33" s="151"/>
    </row>
    <row r="34" spans="1:8">
      <c r="A34" s="154" t="s">
        <v>12</v>
      </c>
      <c r="B34" s="147"/>
      <c r="C34" s="150"/>
      <c r="D34" s="151"/>
      <c r="E34" s="151"/>
      <c r="F34" s="155"/>
      <c r="G34" s="156" t="s">
        <v>13</v>
      </c>
      <c r="H34" s="151"/>
    </row>
    <row r="35" spans="1:8">
      <c r="A35" s="154"/>
      <c r="B35" s="147"/>
      <c r="C35" s="150"/>
      <c r="D35" s="151"/>
      <c r="E35" s="151"/>
      <c r="F35" s="155"/>
      <c r="G35" s="156"/>
      <c r="H35" s="151"/>
    </row>
    <row r="36" spans="1:8">
      <c r="A36" s="154"/>
      <c r="B36" s="147"/>
      <c r="C36" s="150"/>
      <c r="D36" s="151"/>
      <c r="E36" s="151"/>
      <c r="F36" s="155"/>
      <c r="G36" s="156"/>
      <c r="H36" s="151"/>
    </row>
    <row r="37" spans="1:8">
      <c r="A37" s="154"/>
      <c r="B37" s="147"/>
      <c r="C37" s="150"/>
      <c r="D37" s="151"/>
      <c r="E37" s="151"/>
      <c r="F37" s="155"/>
      <c r="G37" s="156"/>
      <c r="H37" s="151"/>
    </row>
    <row r="38" spans="1:8">
      <c r="A38" s="154"/>
      <c r="B38" s="147"/>
      <c r="C38" s="150"/>
      <c r="D38" s="151"/>
      <c r="E38" s="151"/>
      <c r="F38" s="155"/>
      <c r="G38" s="156"/>
      <c r="H38" s="151"/>
    </row>
    <row r="39" spans="1:8">
      <c r="A39" s="154"/>
      <c r="B39" s="147"/>
      <c r="C39" s="150"/>
      <c r="D39" s="151"/>
      <c r="E39" s="151"/>
      <c r="F39" s="155"/>
      <c r="G39" s="156"/>
      <c r="H39" s="151"/>
    </row>
    <row r="40" spans="1:8">
      <c r="A40" s="154"/>
      <c r="B40" s="147"/>
      <c r="C40" s="150"/>
      <c r="D40" s="151"/>
      <c r="E40" s="151"/>
      <c r="F40" s="155"/>
      <c r="G40" s="156"/>
      <c r="H40" s="151"/>
    </row>
    <row r="41" spans="1:8">
      <c r="A41" s="147"/>
      <c r="B41" s="147"/>
      <c r="C41" s="150"/>
      <c r="D41" s="151"/>
      <c r="E41" s="151"/>
      <c r="F41" s="157"/>
      <c r="G41" s="150"/>
      <c r="H41" s="151"/>
    </row>
    <row r="42" spans="1:8">
      <c r="A42" s="147"/>
      <c r="B42" s="147"/>
      <c r="C42" s="150"/>
      <c r="D42" s="151"/>
      <c r="E42" s="151"/>
      <c r="F42" s="157"/>
      <c r="G42" s="150"/>
      <c r="H42" s="151"/>
    </row>
    <row r="43" spans="1:8">
      <c r="A43" s="147"/>
      <c r="B43" s="147"/>
      <c r="C43" s="150"/>
      <c r="D43" s="151"/>
      <c r="E43" s="151"/>
      <c r="F43" s="157"/>
      <c r="G43" s="150"/>
      <c r="H43" s="151"/>
    </row>
    <row r="44" spans="1:8">
      <c r="A44" s="147"/>
      <c r="B44" s="147"/>
      <c r="C44" s="150"/>
      <c r="D44" s="151"/>
      <c r="E44" s="151"/>
      <c r="F44" s="157"/>
      <c r="G44" s="150"/>
      <c r="H44" s="151"/>
    </row>
    <row r="45" spans="1:8">
      <c r="A45" s="147"/>
      <c r="B45" s="147"/>
      <c r="C45" s="157"/>
      <c r="D45" s="151"/>
      <c r="E45" s="151"/>
      <c r="F45" s="157"/>
      <c r="G45" s="158"/>
      <c r="H45" s="218"/>
    </row>
    <row r="46" spans="1:8">
      <c r="A46" s="323" t="s">
        <v>14</v>
      </c>
      <c r="B46" s="323"/>
      <c r="C46" s="157"/>
      <c r="D46" s="151"/>
      <c r="E46" s="151"/>
      <c r="F46" s="152"/>
      <c r="G46" s="209" t="s">
        <v>1603</v>
      </c>
      <c r="H46" s="219"/>
    </row>
    <row r="47" spans="1:8">
      <c r="A47" s="307" t="s">
        <v>1607</v>
      </c>
      <c r="B47" s="307"/>
      <c r="C47" s="150"/>
      <c r="D47" s="151"/>
      <c r="E47" s="151"/>
      <c r="F47" s="152"/>
      <c r="G47" s="305" t="s">
        <v>1608</v>
      </c>
      <c r="H47" s="305"/>
    </row>
    <row r="48" spans="1:8">
      <c r="A48" s="308" t="s">
        <v>1609</v>
      </c>
      <c r="B48" s="308"/>
      <c r="C48" s="150"/>
      <c r="D48" s="151"/>
      <c r="E48" s="151"/>
      <c r="F48" s="157"/>
      <c r="G48" s="306" t="s">
        <v>1610</v>
      </c>
      <c r="H48" s="306"/>
    </row>
    <row r="49" spans="1:8">
      <c r="A49" s="147"/>
      <c r="B49" s="147"/>
      <c r="C49" s="147"/>
      <c r="D49" s="148"/>
      <c r="E49" s="148"/>
      <c r="F49" s="148"/>
      <c r="G49" s="148"/>
      <c r="H49" s="148"/>
    </row>
    <row r="50" spans="1:8">
      <c r="A50" s="147"/>
      <c r="B50" s="147"/>
      <c r="C50" s="147"/>
      <c r="D50" s="148"/>
      <c r="E50" s="148"/>
      <c r="F50" s="148"/>
      <c r="G50" s="148"/>
      <c r="H50" s="148"/>
    </row>
    <row r="51" spans="1:8">
      <c r="A51" s="147"/>
      <c r="B51" s="147"/>
      <c r="C51" s="147"/>
      <c r="D51" s="148"/>
      <c r="E51" s="148"/>
      <c r="F51" s="148"/>
      <c r="G51" s="148"/>
      <c r="H51" s="148"/>
    </row>
    <row r="52" spans="1:8">
      <c r="A52" s="147"/>
      <c r="B52" s="147"/>
      <c r="C52" s="147"/>
      <c r="D52" s="148"/>
      <c r="E52" s="148"/>
      <c r="F52" s="148"/>
      <c r="G52" s="148"/>
      <c r="H52" s="148"/>
    </row>
    <row r="53" spans="1:8">
      <c r="A53" s="147"/>
      <c r="B53" s="147"/>
      <c r="C53" s="147"/>
      <c r="D53" s="148"/>
      <c r="E53" s="148"/>
      <c r="F53" s="148"/>
      <c r="G53" s="148"/>
      <c r="H53" s="148"/>
    </row>
  </sheetData>
  <mergeCells count="32">
    <mergeCell ref="A11:B11"/>
    <mergeCell ref="D11:H11"/>
    <mergeCell ref="A12:B12"/>
    <mergeCell ref="A8:C8"/>
    <mergeCell ref="D8:H8"/>
    <mergeCell ref="A9:B9"/>
    <mergeCell ref="D9:H9"/>
    <mergeCell ref="A10:B10"/>
    <mergeCell ref="D10:H10"/>
    <mergeCell ref="D12:H12"/>
    <mergeCell ref="A1:H1"/>
    <mergeCell ref="A2:H2"/>
    <mergeCell ref="A3:H4"/>
    <mergeCell ref="A5:H5"/>
    <mergeCell ref="A7:B7"/>
    <mergeCell ref="D7:H7"/>
    <mergeCell ref="A13:B13"/>
    <mergeCell ref="D13:H13"/>
    <mergeCell ref="A14:B14"/>
    <mergeCell ref="D14:H14"/>
    <mergeCell ref="H18:H19"/>
    <mergeCell ref="A18:A19"/>
    <mergeCell ref="B18:B19"/>
    <mergeCell ref="C18:C19"/>
    <mergeCell ref="D18:F18"/>
    <mergeCell ref="G18:G19"/>
    <mergeCell ref="A30:H30"/>
    <mergeCell ref="A46:B46"/>
    <mergeCell ref="A47:B47"/>
    <mergeCell ref="G47:H47"/>
    <mergeCell ref="A48:B48"/>
    <mergeCell ref="G48:H48"/>
  </mergeCells>
  <pageMargins left="0.7" right="0.7" top="0.75" bottom="0.75" header="0.3" footer="0.3"/>
  <pageSetup scale="43" fitToHeight="0" orientation="landscape" horizontalDpi="4294967295" verticalDpi="4294967295"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AhykJG4xYO0ZfUVz1zHiUVv1zjg=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1Rqb5B9ye9YHUO6uwkVevBOaaaQ=</DigestValue>
    </Reference>
  </SignedInfo>
  <SignatureValue>Aa7rHqK+yKy7A4kafRj/vAShAP6ogLgI3vDeMcTUBz+lUurGtHt8msaDxMdisVyOivRx2xUT8ADC
b2912lGBI/fc6pL/xbL+6z3dJCNagiz2YTftiv6pmrQI/D47tFKOzqyXwPr0emZfgDsWV3lDHlOC
S6XtE0PZtIE15wCWCzg=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Transform>
          <Transform Algorithm="http://www.w3.org/TR/2001/REC-xml-c14n-20010315"/>
        </Transforms>
        <DigestMethod Algorithm="http://www.w3.org/2000/09/xmldsig#sha1"/>
        <DigestValue>X8a/1M0dY64P/+ovo7iVWyqxcfw=</DigestValue>
      </Reference>
      <Reference URI="/xl/calcChain.xml?ContentType=application/vnd.openxmlformats-officedocument.spreadsheetml.calcChain+xml">
        <DigestMethod Algorithm="http://www.w3.org/2000/09/xmldsig#sha1"/>
        <DigestValue>rlr9xi3NWQTAXu7UBD3LwyeAVMc=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xZyPi2XzUQwLN4XATXNOgb6pXOs=</DigestValue>
      </Reference>
      <Reference URI="/xl/drawings/drawing10.xml?ContentType=application/vnd.openxmlformats-officedocument.drawing+xml">
        <DigestMethod Algorithm="http://www.w3.org/2000/09/xmldsig#sha1"/>
        <DigestValue>qT4CWr8GEdFpFSp5ZEj4OTvCMuk=</DigestValue>
      </Reference>
      <Reference URI="/xl/drawings/drawing11.xml?ContentType=application/vnd.openxmlformats-officedocument.drawing+xml">
        <DigestMethod Algorithm="http://www.w3.org/2000/09/xmldsig#sha1"/>
        <DigestValue>LNRhrTzV1b9vX1HETY6NySXGQLw=</DigestValue>
      </Reference>
      <Reference URI="/xl/drawings/drawing2.xml?ContentType=application/vnd.openxmlformats-officedocument.drawing+xml">
        <DigestMethod Algorithm="http://www.w3.org/2000/09/xmldsig#sha1"/>
        <DigestValue>b8HzInw/CQ5kwDzRqWwHLVVQav0=</DigestValue>
      </Reference>
      <Reference URI="/xl/drawings/drawing3.xml?ContentType=application/vnd.openxmlformats-officedocument.drawing+xml">
        <DigestMethod Algorithm="http://www.w3.org/2000/09/xmldsig#sha1"/>
        <DigestValue>ZehuDqqE1BXjZosJjqFbs7IeZ5w=</DigestValue>
      </Reference>
      <Reference URI="/xl/drawings/drawing4.xml?ContentType=application/vnd.openxmlformats-officedocument.drawing+xml">
        <DigestMethod Algorithm="http://www.w3.org/2000/09/xmldsig#sha1"/>
        <DigestValue>NGSZEZN17MNPEsJJyvc70JXUk3w=</DigestValue>
      </Reference>
      <Reference URI="/xl/drawings/drawing5.xml?ContentType=application/vnd.openxmlformats-officedocument.drawing+xml">
        <DigestMethod Algorithm="http://www.w3.org/2000/09/xmldsig#sha1"/>
        <DigestValue>Y4Sb4UhciN9Zt4Q0bQRRyweWiWg=</DigestValue>
      </Reference>
      <Reference URI="/xl/drawings/drawing6.xml?ContentType=application/vnd.openxmlformats-officedocument.drawing+xml">
        <DigestMethod Algorithm="http://www.w3.org/2000/09/xmldsig#sha1"/>
        <DigestValue>IDHBApZVGkI5OgR40GkA0mdjPZM=</DigestValue>
      </Reference>
      <Reference URI="/xl/drawings/drawing7.xml?ContentType=application/vnd.openxmlformats-officedocument.drawing+xml">
        <DigestMethod Algorithm="http://www.w3.org/2000/09/xmldsig#sha1"/>
        <DigestValue>v8foVQ6em5exL+fBQshaKs8aUA0=</DigestValue>
      </Reference>
      <Reference URI="/xl/drawings/drawing8.xml?ContentType=application/vnd.openxmlformats-officedocument.drawing+xml">
        <DigestMethod Algorithm="http://www.w3.org/2000/09/xmldsig#sha1"/>
        <DigestValue>wvNXioyZx+qfuBVwVOvQHboMJ4g=</DigestValue>
      </Reference>
      <Reference URI="/xl/drawings/drawing9.xml?ContentType=application/vnd.openxmlformats-officedocument.drawing+xml">
        <DigestMethod Algorithm="http://www.w3.org/2000/09/xmldsig#sha1"/>
        <DigestValue>hOipDopEy8M9uZZ6fVeiiQV3aaw=</DigestValue>
      </Reference>
      <Reference URI="/xl/drawings/vmlDrawing1.vml?ContentType=application/vnd.openxmlformats-officedocument.vmlDrawing">
        <DigestMethod Algorithm="http://www.w3.org/2000/09/xmldsig#sha1"/>
        <DigestValue>WnWCN7ozSZrT02FyrSRzH/3Rk9o=</DigestValue>
      </Reference>
      <Reference URI="/xl/drawings/vmlDrawing10.vml?ContentType=application/vnd.openxmlformats-officedocument.vmlDrawing">
        <DigestMethod Algorithm="http://www.w3.org/2000/09/xmldsig#sha1"/>
        <DigestValue>SB5cc5glCKB8JiDrNyrBPljBMnI=</DigestValue>
      </Reference>
      <Reference URI="/xl/drawings/vmlDrawing11.vml?ContentType=application/vnd.openxmlformats-officedocument.vmlDrawing">
        <DigestMethod Algorithm="http://www.w3.org/2000/09/xmldsig#sha1"/>
        <DigestValue>WqCY6544x4hIWqTLPhqeP5Az6eE=</DigestValue>
      </Reference>
      <Reference URI="/xl/drawings/vmlDrawing2.vml?ContentType=application/vnd.openxmlformats-officedocument.vmlDrawing">
        <DigestMethod Algorithm="http://www.w3.org/2000/09/xmldsig#sha1"/>
        <DigestValue>YGT4Z/LNmZhI6pQxHHCpmpdnRKY=</DigestValue>
      </Reference>
      <Reference URI="/xl/drawings/vmlDrawing3.vml?ContentType=application/vnd.openxmlformats-officedocument.vmlDrawing">
        <DigestMethod Algorithm="http://www.w3.org/2000/09/xmldsig#sha1"/>
        <DigestValue>ts47CB1U6buyFZ5mpBM6kDhpEHw=</DigestValue>
      </Reference>
      <Reference URI="/xl/drawings/vmlDrawing4.vml?ContentType=application/vnd.openxmlformats-officedocument.vmlDrawing">
        <DigestMethod Algorithm="http://www.w3.org/2000/09/xmldsig#sha1"/>
        <DigestValue>pS07mTVD0Hzm67TSk3+Wya2aCTE=</DigestValue>
      </Reference>
      <Reference URI="/xl/drawings/vmlDrawing5.vml?ContentType=application/vnd.openxmlformats-officedocument.vmlDrawing">
        <DigestMethod Algorithm="http://www.w3.org/2000/09/xmldsig#sha1"/>
        <DigestValue>eQIlrTmy+g6KbY3xwEmx/4w+T2Y=</DigestValue>
      </Reference>
      <Reference URI="/xl/drawings/vmlDrawing6.vml?ContentType=application/vnd.openxmlformats-officedocument.vmlDrawing">
        <DigestMethod Algorithm="http://www.w3.org/2000/09/xmldsig#sha1"/>
        <DigestValue>1DTyqniUOzx5hAFf6qBVZViR3UU=</DigestValue>
      </Reference>
      <Reference URI="/xl/drawings/vmlDrawing7.vml?ContentType=application/vnd.openxmlformats-officedocument.vmlDrawing">
        <DigestMethod Algorithm="http://www.w3.org/2000/09/xmldsig#sha1"/>
        <DigestValue>7exCrSsX9WrhpZylcW54sUD+OA4=</DigestValue>
      </Reference>
      <Reference URI="/xl/drawings/vmlDrawing8.vml?ContentType=application/vnd.openxmlformats-officedocument.vmlDrawing">
        <DigestMethod Algorithm="http://www.w3.org/2000/09/xmldsig#sha1"/>
        <DigestValue>0CoWdKGWrTh4+F7Ltr7vnFYN1tc=</DigestValue>
      </Reference>
      <Reference URI="/xl/drawings/vmlDrawing9.vml?ContentType=application/vnd.openxmlformats-officedocument.vmlDrawing">
        <DigestMethod Algorithm="http://www.w3.org/2000/09/xmldsig#sha1"/>
        <DigestValue>4VExfkaYknhdP4Nhj35SjFtBwHg=</DigestValue>
      </Reference>
      <Reference URI="/xl/media/image1.emf?ContentType=image/x-emf">
        <DigestMethod Algorithm="http://www.w3.org/2000/09/xmldsig#sha1"/>
        <DigestValue>IIhEd9e0CTXxVb6KdVYGf0geRgg=</DigestValue>
      </Reference>
      <Reference URI="/xl/media/image2.emf?ContentType=image/x-emf">
        <DigestMethod Algorithm="http://www.w3.org/2000/09/xmldsig#sha1"/>
        <DigestValue>IIhEd9e0CTXxVb6KdVYGf0geRgg=</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10.bin?ContentType=application/vnd.openxmlformats-officedocument.spreadsheetml.printerSettings">
        <DigestMethod Algorithm="http://www.w3.org/2000/09/xmldsig#sha1"/>
        <DigestValue>bUHVyzDsdTcA10rhHu71cnbRUsU=</DigestValue>
      </Reference>
      <Reference URI="/xl/printerSettings/printerSettings11.bin?ContentType=application/vnd.openxmlformats-officedocument.spreadsheetml.printerSettings">
        <DigestMethod Algorithm="http://www.w3.org/2000/09/xmldsig#sha1"/>
        <DigestValue>nqK6u4N/0Yzsu5YS/q7f68eSaLM=</DigestValue>
      </Reference>
      <Reference URI="/xl/printerSettings/printerSettings12.bin?ContentType=application/vnd.openxmlformats-officedocument.spreadsheetml.printerSettings">
        <DigestMethod Algorithm="http://www.w3.org/2000/09/xmldsig#sha1"/>
        <DigestValue>nsVPPZehW6ZMz97pmPOl91mpw7s=</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bUHVyzDsdTcA10rhHu71cnbRUsU=</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printerSettings/printerSettings9.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pQhiY/1qvuNOmqpIEUkAwxCpjVI=</DigestValue>
      </Reference>
      <Reference URI="/xl/styles.xml?ContentType=application/vnd.openxmlformats-officedocument.spreadsheetml.styles+xml">
        <DigestMethod Algorithm="http://www.w3.org/2000/09/xmldsig#sha1"/>
        <DigestValue>xzZIK5jGj4FvXkXrfBQV9r8g2AA=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7YW9dPuOYBo5fw5XNDjc3o8ygWs=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ThWScSGHg9FqiqIz1zCq5JdHXjY=</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TZ6PW80XRUa5dnHWiTVImHDVuQU=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0rCgNCPyXgR87lpT9+wDc8EY/CE=</DigestValue>
      </Reference>
      <Reference URI="/xl/worksheets/sheet10.xml?ContentType=application/vnd.openxmlformats-officedocument.spreadsheetml.worksheet+xml">
        <DigestMethod Algorithm="http://www.w3.org/2000/09/xmldsig#sha1"/>
        <DigestValue>Z7W0GnQDcW0ACggr3imU3FZhLl0=</DigestValue>
      </Reference>
      <Reference URI="/xl/worksheets/sheet11.xml?ContentType=application/vnd.openxmlformats-officedocument.spreadsheetml.worksheet+xml">
        <DigestMethod Algorithm="http://www.w3.org/2000/09/xmldsig#sha1"/>
        <DigestValue>6aeR8KfTj2oBKRYkBOal3RxHRi0=</DigestValue>
      </Reference>
      <Reference URI="/xl/worksheets/sheet12.xml?ContentType=application/vnd.openxmlformats-officedocument.spreadsheetml.worksheet+xml">
        <DigestMethod Algorithm="http://www.w3.org/2000/09/xmldsig#sha1"/>
        <DigestValue>1cNmZc8tqgNQ9Tef901FNfePeQY=</DigestValue>
      </Reference>
      <Reference URI="/xl/worksheets/sheet2.xml?ContentType=application/vnd.openxmlformats-officedocument.spreadsheetml.worksheet+xml">
        <DigestMethod Algorithm="http://www.w3.org/2000/09/xmldsig#sha1"/>
        <DigestValue>2pKojZIfE22sPoaV2QYf3+MvRvA=</DigestValue>
      </Reference>
      <Reference URI="/xl/worksheets/sheet3.xml?ContentType=application/vnd.openxmlformats-officedocument.spreadsheetml.worksheet+xml">
        <DigestMethod Algorithm="http://www.w3.org/2000/09/xmldsig#sha1"/>
        <DigestValue>Gft3b/9kDv3g46aMsr+PI0UeSYw=</DigestValue>
      </Reference>
      <Reference URI="/xl/worksheets/sheet4.xml?ContentType=application/vnd.openxmlformats-officedocument.spreadsheetml.worksheet+xml">
        <DigestMethod Algorithm="http://www.w3.org/2000/09/xmldsig#sha1"/>
        <DigestValue>9rmbFUDXPdtQDPP+1UhdcaVS/9M=</DigestValue>
      </Reference>
      <Reference URI="/xl/worksheets/sheet5.xml?ContentType=application/vnd.openxmlformats-officedocument.spreadsheetml.worksheet+xml">
        <DigestMethod Algorithm="http://www.w3.org/2000/09/xmldsig#sha1"/>
        <DigestValue>uhF1OLE2HtRmrvZC9Mmw5la0iEk=</DigestValue>
      </Reference>
      <Reference URI="/xl/worksheets/sheet6.xml?ContentType=application/vnd.openxmlformats-officedocument.spreadsheetml.worksheet+xml">
        <DigestMethod Algorithm="http://www.w3.org/2000/09/xmldsig#sha1"/>
        <DigestValue>H8RL3/pyEBo+eq8NySoa7pqKvRw=</DigestValue>
      </Reference>
      <Reference URI="/xl/worksheets/sheet7.xml?ContentType=application/vnd.openxmlformats-officedocument.spreadsheetml.worksheet+xml">
        <DigestMethod Algorithm="http://www.w3.org/2000/09/xmldsig#sha1"/>
        <DigestValue>fi/tA1VDOk2YIsCdzaSWDaZELps=</DigestValue>
      </Reference>
      <Reference URI="/xl/worksheets/sheet8.xml?ContentType=application/vnd.openxmlformats-officedocument.spreadsheetml.worksheet+xml">
        <DigestMethod Algorithm="http://www.w3.org/2000/09/xmldsig#sha1"/>
        <DigestValue>uAEkfHe4U56STyLPVnEjNxd+kus=</DigestValue>
      </Reference>
      <Reference URI="/xl/worksheets/sheet9.xml?ContentType=application/vnd.openxmlformats-officedocument.spreadsheetml.worksheet+xml">
        <DigestMethod Algorithm="http://www.w3.org/2000/09/xmldsig#sha1"/>
        <DigestValue>kmzAx6qlAT1J/xLR16/8oOx4K5U=</DigestValue>
      </Reference>
    </Manifest>
    <SignatureProperties>
      <SignatureProperty Id="idSignatureTime" Target="#idPackageSignature">
        <mdssi:SignatureTime xmlns:mdssi="http://schemas.openxmlformats.org/package/2006/digital-signature">
          <mdssi:Format>YYYY-MM-DDThh:mm:ssTZD</mdssi:Format>
          <mdssi:Value>2023-03-08T04:36:34Z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2023-03-08T04:36:34Z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TONGQUAN</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BCHoatDongVay_06026</vt:lpstr>
      <vt:lpstr>ThongKePhiGiaoDich_06145</vt:lpstr>
      <vt:lpstr>ThongKePhiGiaoDich_06145!Print_Area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2023-03-08T04:36:32Z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2023-03-08T04:36:32Z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a091b331-3a78-4f88-b97f-ed77feb309ed</vt:lpwstr>
  </property>
  <property fmtid="{D5CDD505-2E9C-101B-9397-08002B2CF9AE}" pid="8" name="MSIP_Label_ebbfc019-7f88-4fb6-96d6-94ffadd4b772_ContentBits">
    <vt:lpwstr>1</vt:lpwstr>
  </property>
</Properties>
</file>