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worksheets/sheet1.xml" ContentType="application/vnd.openxmlformats-officedocument.spreadsheetml.worksheet+xml"/>
  <Override PartName="/xl/drawings/drawing7.xml" ContentType="application/vnd.openxmlformats-officedocument.drawing+xml"/>
  <Override PartName="/xl/styles.xml" ContentType="application/vnd.openxmlformats-officedocument.spreadsheetml.styles+xml"/>
  <Override PartName="/xl/drawings/drawing3.xml" ContentType="application/vnd.openxmlformats-officedocument.drawing+xml"/>
  <Override PartName="/xl/sharedStrings.xml" ContentType="application/vnd.openxmlformats-officedocument.spreadsheetml.sharedStrings+xml"/>
  <Override PartName="/xl/drawings/drawing2.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theme/theme1.xml" ContentType="application/vnd.openxmlformats-officedocument.theme+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105" windowWidth="14805" windowHeight="8010" firstSheet="4" activeTab="4"/>
  </bookViews>
  <sheets>
    <sheet name="TONGQUAN" sheetId="15" r:id="rId1"/>
    <sheet name="BCTaiSan_06134" sheetId="8" r:id="rId2"/>
    <sheet name="BCKetQuaHoatDong_06135" sheetId="9" r:id="rId3"/>
    <sheet name="BCDanhMucDauTu_06136" sheetId="10" r:id="rId4"/>
    <sheet name="BCGiaodichTaiSan_06141" sheetId="16" r:id="rId5"/>
    <sheet name="Khac_06137" sheetId="14" r:id="rId6"/>
    <sheet name="BCThuNhap_06203" sheetId="11" r:id="rId7"/>
    <sheet name="BCTinhHinhTaiChinh_06105" sheetId="12" r:id="rId8"/>
    <sheet name="GTTSRong_06107" sheetId="13" r:id="rId9"/>
  </sheets>
  <definedNames>
    <definedName name="_xlnm.Print_Area" localSheetId="4">BCGiaodichTaiSan_06141!$A$1:$K$36</definedName>
    <definedName name="_xlnm.Print_Area" localSheetId="0">TONGQUAN!$A$1:$I$47</definedName>
  </definedNames>
  <calcPr calcId="145621" calcOnSave="0"/>
</workbook>
</file>

<file path=xl/calcChain.xml><?xml version="1.0" encoding="utf-8"?>
<calcChain xmlns="http://schemas.openxmlformats.org/spreadsheetml/2006/main">
  <c r="C13" i="16" l="1"/>
  <c r="E13" i="15"/>
  <c r="F118" i="12" l="1"/>
  <c r="E118" i="12"/>
  <c r="F114" i="12"/>
  <c r="E114" i="12"/>
  <c r="F110" i="12"/>
  <c r="E110" i="12"/>
  <c r="F102" i="12"/>
  <c r="F99" i="12" s="1"/>
  <c r="E102" i="12"/>
  <c r="E99" i="12"/>
  <c r="F88" i="12"/>
  <c r="F86" i="12" s="1"/>
  <c r="E88" i="12"/>
  <c r="E86" i="12"/>
  <c r="F76" i="12"/>
  <c r="E76" i="12"/>
  <c r="F71" i="12"/>
  <c r="F108" i="12" s="1"/>
  <c r="E71" i="12"/>
  <c r="E108" i="12" s="1"/>
  <c r="F58" i="12"/>
  <c r="E58" i="12"/>
  <c r="E56" i="12" s="1"/>
  <c r="F56" i="12"/>
  <c r="F50" i="12"/>
  <c r="E50" i="12"/>
  <c r="F43" i="12"/>
  <c r="F42" i="12" s="1"/>
  <c r="F39" i="12" s="1"/>
  <c r="E43" i="12"/>
  <c r="E42" i="12"/>
  <c r="F28" i="12"/>
  <c r="E28" i="12"/>
  <c r="E27" i="12" s="1"/>
  <c r="F27" i="12"/>
  <c r="F20" i="12"/>
  <c r="E20" i="12"/>
  <c r="E19" i="12" s="1"/>
  <c r="F19" i="12"/>
  <c r="F65" i="12" s="1"/>
  <c r="F109" i="12" l="1"/>
  <c r="E39" i="12"/>
  <c r="E65" i="12" s="1"/>
  <c r="E109" i="12" s="1"/>
  <c r="G76" i="11"/>
  <c r="F76" i="11"/>
  <c r="E76" i="11"/>
  <c r="D76" i="11"/>
  <c r="G60" i="11"/>
  <c r="F60" i="11"/>
  <c r="E60" i="11"/>
  <c r="D60" i="11"/>
  <c r="G53" i="11"/>
  <c r="F53" i="11"/>
  <c r="E53" i="11"/>
  <c r="D53" i="11"/>
  <c r="G45" i="11"/>
  <c r="F45" i="11"/>
  <c r="E45" i="11"/>
  <c r="E43" i="11" s="1"/>
  <c r="D45" i="11"/>
  <c r="D43" i="11" s="1"/>
  <c r="G43" i="11"/>
  <c r="F43" i="11"/>
  <c r="G36" i="11"/>
  <c r="F36" i="11"/>
  <c r="F35" i="11" s="1"/>
  <c r="E36" i="11"/>
  <c r="D36" i="11"/>
  <c r="D35" i="11" s="1"/>
  <c r="G35" i="11"/>
  <c r="E35" i="11"/>
  <c r="G26" i="11"/>
  <c r="F26" i="11"/>
  <c r="E26" i="11"/>
  <c r="D26" i="11"/>
  <c r="G23" i="11"/>
  <c r="F23" i="11"/>
  <c r="E23" i="11"/>
  <c r="D23" i="11"/>
  <c r="G20" i="11"/>
  <c r="F20" i="11"/>
  <c r="E20" i="11"/>
  <c r="E19" i="11" s="1"/>
  <c r="E75" i="11" s="1"/>
  <c r="E79" i="11" s="1"/>
  <c r="E83" i="11" s="1"/>
  <c r="D20" i="11"/>
  <c r="D19" i="11" s="1"/>
  <c r="D75" i="11" s="1"/>
  <c r="D79" i="11" s="1"/>
  <c r="D83" i="11" s="1"/>
  <c r="G19" i="11"/>
  <c r="G75" i="11" s="1"/>
  <c r="G79" i="11" s="1"/>
  <c r="G83" i="11" s="1"/>
  <c r="F19" i="11"/>
  <c r="F75" i="11" l="1"/>
  <c r="F79" i="11" s="1"/>
  <c r="F83" i="11" s="1"/>
</calcChain>
</file>

<file path=xl/sharedStrings.xml><?xml version="1.0" encoding="utf-8"?>
<sst xmlns="http://schemas.openxmlformats.org/spreadsheetml/2006/main" count="1428" uniqueCount="1069">
  <si>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</si>
  <si>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</si>
  <si>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</si>
  <si>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Tháng 10 năm 2021 / Oct 2021</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</si>
  <si>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</si>
  <si>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</si>
  <si>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</si>
  <si>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</si>
  <si>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</si>
  <si>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</si>
  <si>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</si>
  <si>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</si>
  <si>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</si>
  <si>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</si>
  <si>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</si>
  <si>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</si>
  <si>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</si>
  <si>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</si>
  <si>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</si>
  <si>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</si>
  <si>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</si>
  <si>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</si>
  <si>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</si>
  <si>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</si>
  <si>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</si>
  <si>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</si>
  <si>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</si>
  <si>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</si>
  <si>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31 tháng 10  năm2021 
As at 31 Oct 2021</t>
  </si>
  <si>
    <t>Tại ngày 30 tháng 09  năm 2021 
As at 30 Sep 2021</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</si>
  <si>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</si>
  <si>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</si>
  <si>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</si>
  <si>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</si>
  <si>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</si>
  <si>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</si>
  <si>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</si>
  <si>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</si>
  <si>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</si>
  <si>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</si>
  <si>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</si>
  <si>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</si>
  <si>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</si>
  <si>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</si>
  <si>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</si>
  <si>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</si>
  <si>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</si>
  <si>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</si>
  <si>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</si>
  <si>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</si>
  <si>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</si>
  <si>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</si>
  <si>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</si>
  <si>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</si>
  <si>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</si>
  <si>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</si>
  <si>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</si>
  <si>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</si>
  <si>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</si>
  <si>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</si>
  <si>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</si>
  <si>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</si>
  <si>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</si>
  <si>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</si>
  <si>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</si>
  <si>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</si>
  <si>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</si>
  <si>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</si>
  <si>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</si>
  <si>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</si>
  <si>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</si>
  <si>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</si>
  <si>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</si>
  <si>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</si>
  <si>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</si>
  <si>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</si>
  <si>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</si>
  <si>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</si>
  <si>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</si>
  <si>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</si>
  <si>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</si>
  <si>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</si>
  <si>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</si>
  <si>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</si>
  <si>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</si>
  <si>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</si>
  <si>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</si>
  <si>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</si>
  <si>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</si>
  <si>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</si>
  <si>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</si>
  <si>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</si>
  <si>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</si>
  <si>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</si>
  <si>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</si>
  <si>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</si>
  <si>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</si>
  <si>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</si>
  <si>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</si>
  <si>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</si>
  <si>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</si>
  <si>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</si>
  <si>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</si>
  <si>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</si>
  <si>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</si>
  <si>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</si>
  <si>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</si>
  <si>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</si>
  <si>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</si>
  <si>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</si>
  <si>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</si>
  <si>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</si>
  <si>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</si>
  <si>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</si>
  <si>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</si>
  <si>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</si>
  <si>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</si>
  <si>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</si>
  <si>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</si>
  <si>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</si>
  <si>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</si>
  <si>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</si>
  <si>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</si>
  <si>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</si>
  <si>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</si>
  <si>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</si>
  <si>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</si>
  <si>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</si>
  <si>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</si>
  <si>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</si>
  <si>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</si>
  <si>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</si>
  <si>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</si>
  <si>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</si>
  <si>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</si>
  <si>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</si>
  <si>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</si>
  <si>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</si>
  <si>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</si>
  <si>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</si>
  <si>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</si>
  <si>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</si>
  <si>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</si>
  <si>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</si>
  <si>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</si>
  <si>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</si>
  <si>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</si>
  <si>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</si>
  <si>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</si>
  <si>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</si>
  <si>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</si>
  <si>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</si>
  <si>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</si>
  <si>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</si>
  <si>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</si>
  <si>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</si>
  <si>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</si>
  <si>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</si>
  <si>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</si>
  <si>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</si>
  <si>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</si>
  <si>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</si>
  <si>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</si>
  <si>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</si>
  <si>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Custion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</si>
  <si>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</si>
  <si>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</si>
  <si>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</si>
  <si>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</si>
  <si>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</si>
  <si>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</si>
  <si>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</si>
  <si>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</si>
  <si>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</si>
  <si>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</si>
  <si>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</si>
  <si>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</si>
  <si>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</si>
  <si>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</si>
  <si>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</si>
  <si>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</si>
  <si>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</si>
  <si>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</si>
  <si>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</si>
  <si>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</si>
  <si>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</si>
  <si>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serviece</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</si>
  <si>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</si>
  <si>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</si>
  <si>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</si>
  <si>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</si>
  <si>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</si>
  <si>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</si>
  <si>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</si>
  <si>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</si>
  <si>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</si>
  <si>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</si>
  <si>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</si>
  <si>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</si>
  <si>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</si>
  <si>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</si>
  <si>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</si>
  <si>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</si>
  <si>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</si>
  <si>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</si>
  <si>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</si>
  <si>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</si>
  <si>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</si>
  <si>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</si>
  <si>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</si>
  <si>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</si>
  <si>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</si>
  <si>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</si>
  <si>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</si>
  <si>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</si>
  <si>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</si>
  <si>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</si>
  <si>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</si>
  <si>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</si>
  <si>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</si>
  <si>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</si>
  <si>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</si>
  <si>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</si>
  <si>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</si>
  <si>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</si>
  <si>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</si>
  <si>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</si>
  <si>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</si>
  <si>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</si>
  <si>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</si>
  <si>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</si>
  <si>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BÁO CÁO VỀ HOẠT ĐỘNG ĐẦU TƯ
REPORT ON INVESTMENT ACTIVITIES</t>
  </si>
  <si>
    <t>Tên quỹ:</t>
  </si>
  <si>
    <t>II. BÁO CÁO KẾT QUẢ HOẠT ĐỘNG / PROFIT AND LOSS REPORT</t>
  </si>
  <si>
    <t>Tháng 10 năm 2021
Oct 2021</t>
  </si>
  <si>
    <t>Tháng 09 năm 2021
Sep 2021</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</si>
  <si>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</si>
  <si>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</si>
  <si>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</si>
  <si>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</si>
  <si>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</si>
  <si>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</si>
  <si>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</si>
  <si>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</si>
  <si>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</si>
  <si>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</si>
  <si>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</si>
  <si>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</si>
  <si>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</si>
  <si>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</si>
  <si>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</si>
  <si>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</si>
  <si>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</si>
  <si>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</si>
  <si>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</si>
  <si>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</si>
  <si>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</si>
  <si>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</si>
  <si>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</si>
  <si>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</si>
  <si>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</si>
  <si>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</si>
  <si>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</si>
  <si>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</si>
  <si>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</si>
  <si>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</si>
  <si>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</si>
  <si>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</si>
  <si>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</si>
  <si>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</si>
  <si>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</si>
  <si>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</si>
  <si>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</si>
  <si>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</si>
  <si>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</si>
  <si>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</si>
  <si>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</si>
  <si>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</si>
  <si>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</si>
  <si>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</si>
  <si>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</si>
  <si>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</si>
  <si>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</si>
  <si>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</si>
  <si>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</si>
  <si>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</si>
  <si>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</si>
  <si>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</si>
  <si>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</si>
  <si>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</si>
  <si>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</si>
  <si>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</si>
  <si>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</si>
  <si>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</si>
  <si>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</si>
  <si>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</si>
  <si>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</si>
  <si>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</si>
  <si>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</si>
  <si>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</si>
  <si>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</si>
  <si>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</si>
  <si>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</si>
  <si>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</si>
  <si>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</si>
  <si>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</si>
  <si>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</si>
  <si>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</si>
  <si>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</si>
  <si>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</si>
  <si>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</si>
  <si>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</si>
  <si>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</si>
  <si>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</si>
  <si>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</si>
  <si>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</si>
  <si>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</si>
  <si>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</si>
  <si>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</si>
  <si>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</si>
  <si>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</si>
  <si>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</si>
  <si>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</si>
  <si>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</si>
  <si>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</si>
  <si>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</si>
  <si>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</si>
  <si>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</si>
  <si>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</si>
  <si>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</si>
  <si>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</si>
  <si>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</si>
  <si>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</si>
  <si>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</si>
  <si>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</si>
  <si>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</si>
  <si>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</si>
  <si>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</si>
  <si>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</si>
  <si>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</si>
  <si>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</si>
  <si>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</si>
  <si>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</si>
  <si>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</si>
  <si>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</si>
  <si>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</si>
  <si>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</si>
  <si>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</si>
  <si>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</si>
  <si>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</si>
  <si>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</si>
  <si>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</si>
  <si>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</si>
  <si>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</si>
  <si>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</si>
  <si>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</si>
  <si>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</si>
  <si>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</si>
  <si>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</si>
  <si>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</si>
  <si>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</si>
  <si>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</si>
  <si>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</si>
  <si>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</si>
  <si>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</si>
  <si>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</si>
  <si>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</si>
  <si>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</si>
  <si>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</si>
  <si>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</si>
  <si>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</si>
  <si>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</si>
  <si>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</si>
  <si>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</si>
  <si>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</si>
  <si>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</si>
  <si>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</si>
  <si>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</si>
  <si>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</si>
  <si>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</si>
  <si>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</si>
  <si>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</si>
  <si>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</si>
  <si>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</si>
  <si>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31 tháng 10 năm 2021 / As at 31 Oct 2021</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</si>
  <si>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</si>
  <si>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</si>
  <si>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</si>
  <si>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</si>
  <si>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</si>
  <si>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</si>
  <si>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</si>
  <si>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</si>
  <si>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</si>
  <si>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</si>
  <si>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</si>
  <si>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</si>
  <si>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</si>
  <si>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</si>
  <si>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CTD</t>
  </si>
  <si>
    <t>2246.2</t>
  </si>
  <si>
    <t>CTG</t>
  </si>
  <si>
    <t>2246.3</t>
  </si>
  <si>
    <t>EIB</t>
  </si>
  <si>
    <t>2246.4</t>
  </si>
  <si>
    <t>FPT</t>
  </si>
  <si>
    <t>2246.5</t>
  </si>
  <si>
    <t>GMD</t>
  </si>
  <si>
    <t>2246.6</t>
  </si>
  <si>
    <t>KDH</t>
  </si>
  <si>
    <t>2246.7</t>
  </si>
  <si>
    <t>LPB</t>
  </si>
  <si>
    <t>2246.8</t>
  </si>
  <si>
    <t>MBB</t>
  </si>
  <si>
    <t>2246.9</t>
  </si>
  <si>
    <t>MSB</t>
  </si>
  <si>
    <t>2246.10</t>
  </si>
  <si>
    <t>11</t>
  </si>
  <si>
    <t>MWG</t>
  </si>
  <si>
    <t>2246.11</t>
  </si>
  <si>
    <t>12</t>
  </si>
  <si>
    <t>NLG</t>
  </si>
  <si>
    <t>2246.12</t>
  </si>
  <si>
    <t>13</t>
  </si>
  <si>
    <t>PNJ</t>
  </si>
  <si>
    <t>2246.13</t>
  </si>
  <si>
    <t>14</t>
  </si>
  <si>
    <t>REE</t>
  </si>
  <si>
    <t>2246.14</t>
  </si>
  <si>
    <t>15</t>
  </si>
  <si>
    <t>TCB</t>
  </si>
  <si>
    <t>2246.15</t>
  </si>
  <si>
    <t>16</t>
  </si>
  <si>
    <t>TCM</t>
  </si>
  <si>
    <t>2246.16</t>
  </si>
  <si>
    <t>17</t>
  </si>
  <si>
    <t>TPB</t>
  </si>
  <si>
    <t>2246.17</t>
  </si>
  <si>
    <t>18</t>
  </si>
  <si>
    <t>VIB</t>
  </si>
  <si>
    <t>2246.18</t>
  </si>
  <si>
    <t>19</t>
  </si>
  <si>
    <t>VPB</t>
  </si>
  <si>
    <t>2246.19</t>
  </si>
  <si>
    <t>Tổng</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</si>
  <si>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</si>
  <si>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</si>
  <si>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</si>
  <si>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</si>
  <si>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</si>
  <si>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</si>
  <si>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</si>
  <si>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</si>
  <si>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</si>
  <si>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</si>
  <si>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</si>
  <si>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</si>
  <si>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</si>
  <si>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</si>
  <si>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</si>
  <si>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</si>
  <si>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</si>
  <si>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</si>
  <si>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</si>
  <si>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</si>
  <si>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</si>
  <si>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</si>
  <si>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</si>
  <si>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</si>
  <si>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</si>
  <si>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</si>
  <si>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</si>
  <si>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</si>
  <si>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</si>
  <si>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cho khoản cổ phiếu hạn chế chờ mua
Receivable from AP/Investors on bought investments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</si>
  <si>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</si>
  <si>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</si>
  <si>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</si>
  <si>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</si>
  <si>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</si>
  <si>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</si>
  <si>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</si>
  <si>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</si>
  <si>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</si>
  <si>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</si>
  <si>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</si>
  <si>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</si>
  <si>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</si>
  <si>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</si>
  <si>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</si>
  <si>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</si>
  <si>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</si>
  <si>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</si>
  <si>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</si>
  <si>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</si>
  <si>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</si>
  <si>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</si>
  <si>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</si>
  <si>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</si>
  <si>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</si>
  <si>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</si>
  <si>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</si>
  <si>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</si>
  <si>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</si>
  <si>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</si>
  <si>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</si>
  <si>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</si>
  <si>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</si>
  <si>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</si>
  <si>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</si>
  <si>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</si>
  <si>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</si>
  <si>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</si>
  <si>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</si>
  <si>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Phó Trưởng phòng DVKHTC2</t>
  </si>
  <si>
    <t>Mẫu số B01 - ETF. Báo cáo thu nhập
Template B01 - ETF. Statement of Comprehensive Income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</si>
  <si>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</si>
  <si>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THU NHẬP</t>
  </si>
  <si>
    <t>STATEMENT OF COMPREHENSIVE INCOME</t>
  </si>
  <si>
    <t>Joint Stock Commercial Bank for Foreign Trade of Vietnam - HCMC Branch</t>
  </si>
  <si>
    <t>Mã số
Code</t>
  </si>
  <si>
    <t>Thuyết minh
Note</t>
  </si>
  <si>
    <t>NĂM 2021
YEAR 2021</t>
  </si>
  <si>
    <t>NĂM 2020
YEAR 2020</t>
  </si>
  <si>
    <t>Số lũy kế
Year-to-date</t>
  </si>
  <si>
    <t>Tháng 10 năm 2020
Oct 2020</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</si>
  <si>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</si>
  <si>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</si>
  <si>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</si>
  <si>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</si>
  <si>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</si>
  <si>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</si>
  <si>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</si>
  <si>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</si>
  <si>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</si>
  <si>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</si>
  <si>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</si>
  <si>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</si>
  <si>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</si>
  <si>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</si>
  <si>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</si>
  <si>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</si>
  <si>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</si>
  <si>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</si>
  <si>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</si>
  <si>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</si>
  <si>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</si>
  <si>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</si>
  <si>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</si>
  <si>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</si>
  <si>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</si>
  <si>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</si>
  <si>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</si>
  <si>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</si>
  <si>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</si>
  <si>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</si>
  <si>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</si>
  <si>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</si>
  <si>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</si>
  <si>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</si>
  <si>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</si>
  <si>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</si>
  <si>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</si>
  <si>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</si>
  <si>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</si>
  <si>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</si>
  <si>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</si>
  <si>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</si>
  <si>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</si>
  <si>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</si>
  <si>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</si>
  <si>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</si>
  <si>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</si>
  <si>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</si>
  <si>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</si>
  <si>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</si>
  <si>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</si>
  <si>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</si>
  <si>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</si>
  <si>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</si>
  <si>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</si>
  <si>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</si>
  <si>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</si>
  <si>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</si>
  <si>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</si>
  <si>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</si>
  <si>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</si>
  <si>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</si>
  <si>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</si>
  <si>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</si>
  <si>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</si>
  <si>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</si>
  <si>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</si>
  <si>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</si>
  <si>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</si>
  <si>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</si>
  <si>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</si>
  <si>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</si>
  <si>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</si>
  <si>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</si>
  <si>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</si>
  <si>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</si>
  <si>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</si>
  <si>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</si>
  <si>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</si>
  <si>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</si>
  <si>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</si>
  <si>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</si>
  <si>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</si>
  <si>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</si>
  <si>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</si>
  <si>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</si>
  <si>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</si>
  <si>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</si>
  <si>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</si>
  <si>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</si>
  <si>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</si>
  <si>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</si>
  <si>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</si>
  <si>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</si>
  <si>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</si>
  <si>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</si>
  <si>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</si>
  <si>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</si>
  <si>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</si>
  <si>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</si>
  <si>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</si>
  <si>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</si>
  <si>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</si>
  <si>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</si>
  <si>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</si>
  <si>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</si>
  <si>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</si>
  <si>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</si>
  <si>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</si>
  <si>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</si>
  <si>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</si>
  <si>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</si>
  <si>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</si>
  <si>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</si>
  <si>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</si>
  <si>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</si>
  <si>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</si>
  <si>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</si>
  <si>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</si>
  <si>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</si>
  <si>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</si>
  <si>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</si>
  <si>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</si>
  <si>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</si>
  <si>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 biểu</t>
  </si>
  <si>
    <t>Kế toán trưởng</t>
  </si>
  <si>
    <t>(Ký, họ tên)</t>
  </si>
  <si>
    <t>(Ký, họ tên, đóng dấu)</t>
  </si>
  <si>
    <t>Vương Thị Trâm Anh</t>
  </si>
  <si>
    <t>Phạm Thanh Dũng</t>
  </si>
  <si>
    <t>Mẫu số B02 - ETF. Báo cáo tình hình tài chính
Template B02 - ETF. Statement of Financial Position</t>
  </si>
  <si>
    <t>BÁO CÁO TÌNH HÌNH TÀI CHÍNH
STATEMENT OF FINANCIAL POSITION</t>
  </si>
  <si>
    <t>CHỈ TIÊU
Indicators</t>
  </si>
  <si>
    <t>Thuyết minh
Notes</t>
  </si>
  <si>
    <t>Tại ngày 31 tháng 10  năm 2021 
As at 31 Oct 2021</t>
  </si>
  <si>
    <t>Tại ngày 30 tháng 09  năm 2021 
As at 30 Sep 2021</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</si>
  <si>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</si>
  <si>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</si>
  <si>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</si>
  <si>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</si>
  <si>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</si>
  <si>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</si>
  <si>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</si>
  <si>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</si>
  <si>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</si>
  <si>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</si>
  <si>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</si>
  <si>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</si>
  <si>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</si>
  <si>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</si>
  <si>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</si>
  <si>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</si>
  <si>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</si>
  <si>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</si>
  <si>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</si>
  <si>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</si>
  <si>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</si>
  <si>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</si>
  <si>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</si>
  <si>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</si>
  <si>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</si>
  <si>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</si>
  <si>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</si>
  <si>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</si>
  <si>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</si>
  <si>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</si>
  <si>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</si>
  <si>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</si>
  <si>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</si>
  <si>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</si>
  <si>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</si>
  <si>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</si>
  <si>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</si>
  <si>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</si>
  <si>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</si>
  <si>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</si>
  <si>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</si>
  <si>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</si>
  <si>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</si>
  <si>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</si>
  <si>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</si>
  <si>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</si>
  <si>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</si>
  <si>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</si>
  <si>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</si>
  <si>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</si>
  <si>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</si>
  <si>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</si>
  <si>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</si>
  <si>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</si>
  <si>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</si>
  <si>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</si>
  <si>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</si>
  <si>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</si>
  <si>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</si>
  <si>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</si>
  <si>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</si>
  <si>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</si>
  <si>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</si>
  <si>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</si>
  <si>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</si>
  <si>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</si>
  <si>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</si>
  <si>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</si>
  <si>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</si>
  <si>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</si>
  <si>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</si>
  <si>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</si>
  <si>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</si>
  <si>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</si>
  <si>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</si>
  <si>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</si>
  <si>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</si>
  <si>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</si>
  <si>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</si>
  <si>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</si>
  <si>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</si>
  <si>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</si>
  <si>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</si>
  <si>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</si>
  <si>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</si>
  <si>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</si>
  <si>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</si>
  <si>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</si>
  <si>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</si>
  <si>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</si>
  <si>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</si>
  <si>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</si>
  <si>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</si>
  <si>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</si>
  <si>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</si>
  <si>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</si>
  <si>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</si>
  <si>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</si>
  <si>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</si>
  <si>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</si>
  <si>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</si>
  <si>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</si>
  <si>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</si>
  <si>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</si>
  <si>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</si>
  <si>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</si>
  <si>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</si>
  <si>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</si>
  <si>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</si>
  <si>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</si>
  <si>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</si>
  <si>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</si>
  <si>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</si>
  <si>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</si>
  <si>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</si>
  <si>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</si>
  <si>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</si>
  <si>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</si>
  <si>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</si>
  <si>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</si>
  <si>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</si>
  <si>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</si>
  <si>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</si>
  <si>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</si>
  <si>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</si>
  <si>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</si>
  <si>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</si>
  <si>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</si>
  <si>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</si>
  <si>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</si>
  <si>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</si>
  <si>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</si>
  <si>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</si>
  <si>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</si>
  <si>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</si>
  <si>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</si>
  <si>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</si>
  <si>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</si>
  <si>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</si>
  <si>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</si>
  <si>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</si>
  <si>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</si>
  <si>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</si>
  <si>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</si>
  <si>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</si>
  <si>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</si>
  <si>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</si>
  <si>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</si>
  <si>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</si>
  <si>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</si>
  <si>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</si>
  <si>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</si>
  <si>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</si>
  <si>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</si>
  <si>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</si>
  <si>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</si>
  <si>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</si>
  <si>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</si>
  <si>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</si>
  <si>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</si>
  <si>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</si>
  <si>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</si>
  <si>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</si>
  <si>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</si>
  <si>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</si>
  <si>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</si>
  <si>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</si>
  <si>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</si>
  <si>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</si>
  <si>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</si>
  <si>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</si>
  <si>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</si>
  <si>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</si>
  <si>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</si>
  <si>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</si>
  <si>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</si>
  <si>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</si>
  <si>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</si>
  <si>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</si>
  <si>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</si>
  <si>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</si>
  <si>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</si>
  <si>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</si>
  <si>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</si>
  <si>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</si>
  <si>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</si>
  <si>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</si>
  <si>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</si>
  <si>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</si>
  <si>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</si>
  <si>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</si>
  <si>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</si>
  <si>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</si>
  <si>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</si>
  <si>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</si>
  <si>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</si>
  <si>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</si>
  <si>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</si>
  <si>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</si>
  <si>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</si>
  <si>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</si>
  <si>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</si>
  <si>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</si>
  <si>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</si>
  <si>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</si>
  <si>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</si>
  <si>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</si>
  <si>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</si>
  <si>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</si>
  <si>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</si>
  <si>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</si>
  <si>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</si>
  <si>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</si>
  <si>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</si>
  <si>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</si>
  <si>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</si>
  <si>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</si>
  <si>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</si>
  <si>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</si>
  <si>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</si>
  <si>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</si>
  <si>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</si>
  <si>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</si>
  <si>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</si>
  <si>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</si>
  <si>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</si>
  <si>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</si>
  <si>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</si>
  <si>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</si>
  <si>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</si>
  <si>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</si>
  <si>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</si>
  <si>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</si>
  <si>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</si>
  <si>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</si>
  <si>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</si>
  <si>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</si>
  <si>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</si>
  <si>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</si>
  <si>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</si>
  <si>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</si>
  <si>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</si>
  <si>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</si>
  <si>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</si>
  <si>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</si>
  <si>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</si>
  <si>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</si>
  <si>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</si>
  <si>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</si>
  <si>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</si>
  <si>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</si>
  <si>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</si>
  <si>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</si>
  <si>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</si>
  <si>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</si>
  <si>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</si>
  <si>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</si>
  <si>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</si>
  <si>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</si>
  <si>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</si>
  <si>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</si>
  <si>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</si>
  <si>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</si>
  <si>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</si>
  <si>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</si>
  <si>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</si>
  <si>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</si>
  <si>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</si>
  <si>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</si>
  <si>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</si>
  <si>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</si>
  <si>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</si>
  <si>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</si>
  <si>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</si>
  <si>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</si>
  <si>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</si>
  <si>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</si>
  <si>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</si>
  <si>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</si>
  <si>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</si>
  <si>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</si>
  <si>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</si>
  <si>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</si>
  <si>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</si>
  <si>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</si>
  <si>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</si>
  <si>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</si>
  <si>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</si>
  <si>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</si>
  <si>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</si>
  <si>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</si>
  <si>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</si>
  <si>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</si>
  <si>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</si>
  <si>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</si>
  <si>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</si>
  <si>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</si>
  <si>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</si>
  <si>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</si>
  <si>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</si>
  <si>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</si>
  <si>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</si>
  <si>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</si>
  <si>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</si>
  <si>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</si>
  <si>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</si>
  <si>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</si>
  <si>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</si>
  <si>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</si>
  <si>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</si>
  <si>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</si>
  <si>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</si>
  <si>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</si>
  <si>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</si>
  <si>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</si>
  <si>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</si>
  <si>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</si>
  <si>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</si>
  <si>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</si>
  <si>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</si>
  <si>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</si>
  <si>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</si>
  <si>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</si>
  <si>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</si>
  <si>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</si>
  <si>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</si>
  <si>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</si>
  <si>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</si>
  <si>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</si>
  <si>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</si>
  <si>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</si>
  <si>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</si>
  <si>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Trưởng Phòng DVKHTC2</t>
  </si>
  <si>
    <t>HOÀNG THỊ QUỲNH HOA</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</si>
  <si>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</si>
  <si>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</si>
  <si>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</si>
  <si>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</si>
  <si>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</si>
  <si>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</si>
  <si>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</si>
  <si>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</si>
  <si>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</si>
  <si>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</si>
  <si>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</si>
  <si>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</si>
  <si>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</si>
  <si>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</si>
  <si>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</si>
  <si>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</si>
  <si>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</si>
  <si>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</si>
  <si>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</si>
  <si>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</si>
  <si>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</si>
  <si>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</si>
  <si>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</si>
  <si>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</si>
  <si>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</si>
  <si>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</si>
  <si>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</si>
  <si>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</si>
  <si>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</si>
  <si>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</si>
  <si>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</si>
  <si>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</si>
  <si>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</si>
  <si>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</si>
  <si>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</si>
  <si>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</si>
  <si>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</si>
  <si>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</si>
  <si>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</si>
  <si>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</si>
  <si>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</si>
  <si>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</si>
  <si>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</si>
  <si>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</si>
  <si>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</si>
  <si>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</si>
  <si>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</si>
  <si>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</si>
  <si>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</si>
  <si>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</si>
  <si>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</si>
  <si>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</si>
  <si>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</si>
  <si>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</si>
  <si>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</si>
  <si>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</si>
  <si>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</si>
  <si>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</si>
  <si>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</si>
  <si>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</si>
  <si>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</si>
  <si>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</si>
  <si>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</si>
  <si>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</si>
  <si>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</si>
  <si>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</si>
  <si>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</si>
  <si>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</si>
  <si>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</si>
  <si>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</si>
  <si>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</si>
  <si>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Tháng 10 năm 2021/ Oct 2021</t>
  </si>
  <si>
    <t>Tại ngày 31 tháng 10 năm 2021/ As at 31 Oct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</si>
</sst>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0.00%"/>
    <numFmt numFmtId="165" formatCode="#,##0;\(#,##0\);"/>
    <numFmt numFmtId="166" formatCode="&quot;&quot;#,##0"/>
    <numFmt numFmtId="167" formatCode="_(* #,##0_);_(* \(#,##0\);_(* &quot;-&quot;??_);_(@_)"/>
    <numFmt numFmtId="168" formatCode="[$-409]d\-mmm\-yyyy;@"/>
    <numFmt numFmtId="169" formatCode="dd/mmm/yyyy"/>
    <numFmt numFmtId="170" formatCode="_-* #,##0.00\ _₫_-;\-* #,##0.00\ _₫_-;_-* &quot;-&quot;??\ _₫_-;_-@_-"/>
    <numFmt numFmtId="171" formatCode="_-* #,##0.00&quot; &quot;_₫_-;\-* #,##0.00&quot; &quot;_₫_-;_-* &quot;-&quot;??&quot; &quot;_₫_-;_-@_-"/>
    <numFmt numFmtId="172" formatCode="[$-1010000]d/m/yyyy;@"/>
  </numFmts>
  <fonts count="48" x14ac:knownFonts="1">
    <font>
      <sz val="11"/>
      <color theme="1"/>
      <name val="Calibri"/>
      <family val="2"/>
      <scheme val="minor"/>
    </font>
    <font>
      <sz val="10"/>
      <color theme="1"/>
      <name val="Calibri"/>
      <family val="2"/>
      <scheme val="minor"/>
    </font>
    <font>
      <sz val="11"/>
      <color theme="1"/>
      <name val="Calibri"/>
      <family val="2"/>
      <scheme val="minor"/>
    </font>
    <font>
      <sz val="9.75"/>
      <color rgb="FF000000"/>
      <name val="Times New Roman"/>
      <family val="2"/>
    </font>
    <font>
      <b/>
      <sz val="8"/>
      <color rgb="FF000000"/>
      <name val="Tahoma"/>
      <family val="2"/>
    </font>
    <font>
      <i/>
      <sz val="7"/>
      <color rgb="FF000000"/>
      <name val="Tahoma"/>
      <family val="2"/>
    </font>
    <font>
      <b/>
      <sz val="10"/>
      <color rgb="FF000000"/>
      <name val="Tahoma"/>
      <family val="2"/>
    </font>
    <font>
      <sz val="8"/>
      <color rgb="FF000000"/>
      <name val="Tahoma"/>
      <family val="2"/>
    </font>
    <font>
      <i/>
      <sz val="8"/>
      <color rgb="FF000000"/>
      <name val="Tahoma"/>
      <family val="2"/>
    </font>
    <font>
      <b/>
      <sz val="9"/>
      <color rgb="FF000000"/>
      <name val="Tahoma"/>
      <family val="2"/>
    </font>
    <font>
      <i/>
      <sz val="7.5"/>
      <color rgb="FF000000"/>
      <name val="Tahoma"/>
      <family val="2"/>
    </font>
    <font>
      <b/>
      <sz val="9.75"/>
      <color rgb="FF000000"/>
      <name val="Tahoma"/>
      <family val="2"/>
    </font>
    <font>
      <sz val="8"/>
      <color theme="1"/>
      <name val="Tahoma"/>
      <family val="2"/>
    </font>
    <font>
      <sz val="7"/>
      <color rgb="FF000000"/>
      <name val="Tahoma"/>
      <family val="2"/>
    </font>
    <font>
      <b/>
      <sz val="7"/>
      <color rgb="FF000000"/>
      <name val="Tahoma"/>
      <family val="2"/>
    </font>
    <font>
      <b/>
      <sz val="7.5"/>
      <color rgb="FF000000"/>
      <name val="Tahoma"/>
      <family val="2"/>
    </font>
    <font>
      <i/>
      <sz val="9.75"/>
      <color rgb="FF000000"/>
      <name val="Times New Roman"/>
      <family val="2"/>
    </font>
    <font>
      <sz val="10"/>
      <color theme="1"/>
      <name val="Arial"/>
      <family val="2"/>
    </font>
    <font>
      <sz val="9.75"/>
      <color rgb="FF000000"/>
      <name val="Tahoma"/>
      <family val="2"/>
    </font>
    <font>
      <sz val="11"/>
      <color theme="1"/>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10"/>
      <name val="Arial"/>
      <family val="2"/>
    </font>
    <font>
      <sz val="11"/>
      <name val="Times New Roman"/>
      <family val="1"/>
    </font>
    <font>
      <sz val="11"/>
      <color indexed="8"/>
      <name val="Calibri"/>
      <family val="2"/>
      <scheme val="minor"/>
    </font>
    <font>
      <b/>
      <i/>
      <sz val="8"/>
      <color indexed="8"/>
      <name val="Tahoma"/>
      <family val="2"/>
    </font>
    <font>
      <i/>
      <sz val="7"/>
      <color indexed="8"/>
      <name val="Tahoma"/>
      <family val="2"/>
    </font>
    <font>
      <b/>
      <sz val="8"/>
      <color indexed="8"/>
      <name val="Tahoma"/>
      <family val="2"/>
    </font>
    <font>
      <i/>
      <sz val="8"/>
      <color indexed="8"/>
      <name val="Tahoma"/>
      <family val="2"/>
    </font>
    <font>
      <sz val="8"/>
      <color indexed="8"/>
      <name val="Tahoma"/>
      <family val="2"/>
    </font>
    <font>
      <b/>
      <sz val="8"/>
      <color theme="1"/>
      <name val="Tahoma"/>
      <family val="2"/>
    </font>
    <font>
      <sz val="8"/>
      <name val="Tahoma"/>
      <family val="2"/>
    </font>
    <font>
      <b/>
      <sz val="8"/>
      <name val="Tahoma"/>
      <family val="2"/>
    </font>
    <font>
      <sz val="8"/>
      <color theme="0"/>
      <name val="Tahoma"/>
      <family val="2"/>
    </font>
  </fonts>
  <fills count="8">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
      <patternFill patternType="solid">
        <fgColor theme="0" tint="-0.14999847407452621"/>
        <bgColor indexed="64"/>
      </patternFill>
    </fill>
  </fills>
  <borders count="30">
    <border>
      <left/>
      <right/>
      <top/>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A0A0A0"/>
      </right>
      <top/>
      <bottom style="thin">
        <color rgb="FFA0A0A0"/>
      </bottom>
      <diagonal/>
    </border>
    <border>
      <left/>
      <right style="thin">
        <color rgb="FFA0A0A0"/>
      </right>
      <top/>
      <bottom style="thin">
        <color rgb="FFA0A0A0"/>
      </bottom>
      <diagonal/>
    </border>
    <border>
      <left/>
      <right style="thin">
        <color rgb="FF00000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9">
    <xf numFmtId="0" fontId="0" fillId="0" borderId="0"/>
    <xf numFmtId="0" fontId="1" fillId="0" borderId="0"/>
    <xf numFmtId="9" fontId="2" fillId="0" borderId="0" applyFont="0" applyFill="0" applyBorder="0" applyAlignment="0" applyProtection="0"/>
    <xf numFmtId="43" fontId="17" fillId="0" borderId="0" applyFont="0" applyFill="0" applyBorder="0" applyAlignment="0" applyProtection="0"/>
    <xf numFmtId="0" fontId="24" fillId="0" borderId="0">
      <alignment vertical="center"/>
    </xf>
    <xf numFmtId="0" fontId="28" fillId="0" borderId="0"/>
    <xf numFmtId="0" fontId="32" fillId="0" borderId="0" applyNumberFormat="0" applyFill="0" applyBorder="0" applyAlignment="0" applyProtection="0"/>
    <xf numFmtId="170" fontId="36" fillId="0" borderId="0" quotePrefix="1" applyFont="0" applyFill="0" applyBorder="0" applyAlignment="0">
      <protection locked="0"/>
    </xf>
    <xf numFmtId="171" fontId="37" fillId="0" borderId="0" applyFont="0" applyFill="0" applyBorder="0" applyAlignment="0" applyProtection="0"/>
    <xf numFmtId="0" fontId="36" fillId="0" borderId="0"/>
    <xf numFmtId="0" fontId="36" fillId="0" borderId="0"/>
    <xf numFmtId="0" fontId="38" fillId="0" borderId="0">
      <alignment vertical="center"/>
    </xf>
    <xf numFmtId="0" fontId="17" fillId="0" borderId="0"/>
    <xf numFmtId="0" fontId="17" fillId="0" borderId="0"/>
    <xf numFmtId="0" fontId="2" fillId="0" borderId="0"/>
    <xf numFmtId="0" fontId="38" fillId="0" borderId="0">
      <alignment vertical="center"/>
    </xf>
    <xf numFmtId="0" fontId="1" fillId="0" borderId="0"/>
    <xf numFmtId="0" fontId="28" fillId="0" borderId="0"/>
    <xf numFmtId="4" fontId="2" fillId="0" borderId="0" applyFont="0" applyFill="0" applyBorder="0" applyAlignment="0" applyProtection="0"/>
  </cellStyleXfs>
  <cellXfs count="340">
    <xf numFmtId="0" fontId="0" fillId="0" borderId="0" xfId="0"/>
    <xf numFmtId="0" fontId="0" fillId="0" borderId="0" xfId="0" applyFont="1"/>
    <xf numFmtId="0" fontId="3" fillId="2" borderId="0"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center" vertical="top"/>
    </xf>
    <xf numFmtId="0" fontId="4" fillId="2" borderId="0" xfId="0" applyNumberFormat="1" applyFont="1" applyFill="1" applyBorder="1" applyAlignment="1" applyProtection="1">
      <alignment horizontal="left" vertical="top"/>
    </xf>
    <xf numFmtId="0" fontId="7" fillId="2" borderId="0" xfId="0" applyNumberFormat="1" applyFont="1" applyFill="1" applyBorder="1" applyAlignment="1" applyProtection="1">
      <alignment horizontal="left" vertical="top"/>
    </xf>
    <xf numFmtId="0" fontId="3" fillId="2" borderId="1" xfId="0" applyNumberFormat="1" applyFont="1" applyFill="1" applyBorder="1" applyAlignment="1" applyProtection="1">
      <alignment horizontal="left" vertical="top"/>
    </xf>
    <xf numFmtId="0" fontId="4" fillId="3" borderId="2" xfId="0" applyNumberFormat="1" applyFont="1" applyFill="1" applyBorder="1" applyAlignment="1" applyProtection="1">
      <alignment horizontal="center" vertical="center" wrapText="1"/>
    </xf>
    <xf numFmtId="0" fontId="4" fillId="3" borderId="3" xfId="0" applyNumberFormat="1" applyFont="1" applyFill="1" applyBorder="1" applyAlignment="1" applyProtection="1">
      <alignment horizontal="center" vertical="center" wrapText="1"/>
    </xf>
    <xf numFmtId="0" fontId="4" fillId="3" borderId="4" xfId="0" applyNumberFormat="1" applyFont="1" applyFill="1" applyBorder="1" applyAlignment="1" applyProtection="1">
      <alignment horizontal="center" vertical="center" wrapText="1"/>
    </xf>
    <xf numFmtId="3" fontId="4" fillId="2" borderId="6" xfId="0" applyNumberFormat="1" applyFont="1" applyFill="1" applyBorder="1" applyAlignment="1" applyProtection="1">
      <alignment horizontal="right" vertical="center"/>
    </xf>
    <xf numFmtId="3" fontId="8" fillId="2" borderId="6" xfId="0" applyNumberFormat="1" applyFont="1" applyFill="1" applyBorder="1" applyAlignment="1" applyProtection="1">
      <alignment horizontal="right" vertical="center"/>
    </xf>
    <xf numFmtId="4" fontId="4" fillId="2" borderId="9" xfId="0" applyNumberFormat="1" applyFont="1" applyFill="1" applyBorder="1" applyAlignment="1" applyProtection="1">
      <alignment horizontal="right" vertical="center"/>
    </xf>
    <xf numFmtId="0" fontId="8" fillId="2" borderId="0" xfId="0" applyNumberFormat="1" applyFont="1" applyFill="1" applyBorder="1" applyAlignment="1" applyProtection="1">
      <alignment horizontal="center"/>
    </xf>
    <xf numFmtId="165" fontId="4" fillId="2" borderId="5" xfId="0" applyNumberFormat="1" applyFont="1" applyFill="1" applyBorder="1" applyAlignment="1" applyProtection="1">
      <alignment horizontal="center" vertical="top"/>
    </xf>
    <xf numFmtId="165" fontId="4" fillId="2" borderId="6" xfId="0" applyNumberFormat="1" applyFont="1" applyFill="1" applyBorder="1" applyAlignment="1" applyProtection="1">
      <alignment horizontal="left" vertical="top" wrapText="1"/>
    </xf>
    <xf numFmtId="165" fontId="4" fillId="2" borderId="6" xfId="0" applyNumberFormat="1" applyFont="1" applyFill="1" applyBorder="1" applyAlignment="1" applyProtection="1">
      <alignment horizontal="center" vertical="top"/>
    </xf>
    <xf numFmtId="165" fontId="4" fillId="2" borderId="6" xfId="0" applyNumberFormat="1" applyFont="1" applyFill="1" applyBorder="1" applyAlignment="1" applyProtection="1">
      <alignment horizontal="right" vertical="top"/>
    </xf>
    <xf numFmtId="165" fontId="4" fillId="2" borderId="7" xfId="0" applyNumberFormat="1" applyFont="1" applyFill="1" applyBorder="1" applyAlignment="1" applyProtection="1">
      <alignment horizontal="right" vertical="top"/>
    </xf>
    <xf numFmtId="165" fontId="7" fillId="2" borderId="5" xfId="0" applyNumberFormat="1" applyFont="1" applyFill="1" applyBorder="1" applyAlignment="1" applyProtection="1">
      <alignment horizontal="center" vertical="top"/>
    </xf>
    <xf numFmtId="165" fontId="7" fillId="2" borderId="6" xfId="0" applyNumberFormat="1" applyFont="1" applyFill="1" applyBorder="1" applyAlignment="1" applyProtection="1">
      <alignment horizontal="left" vertical="top" wrapText="1"/>
    </xf>
    <xf numFmtId="165" fontId="7" fillId="2" borderId="6" xfId="0" applyNumberFormat="1" applyFont="1" applyFill="1" applyBorder="1" applyAlignment="1" applyProtection="1">
      <alignment horizontal="center" vertical="top"/>
    </xf>
    <xf numFmtId="165" fontId="7" fillId="2" borderId="6" xfId="0" applyNumberFormat="1" applyFont="1" applyFill="1" applyBorder="1" applyAlignment="1" applyProtection="1">
      <alignment horizontal="right" vertical="top"/>
    </xf>
    <xf numFmtId="165" fontId="7" fillId="2" borderId="7" xfId="0" applyNumberFormat="1" applyFont="1" applyFill="1" applyBorder="1" applyAlignment="1" applyProtection="1">
      <alignment horizontal="right" vertical="top"/>
    </xf>
    <xf numFmtId="165" fontId="8" fillId="2" borderId="5" xfId="0" applyNumberFormat="1" applyFont="1" applyFill="1" applyBorder="1" applyAlignment="1" applyProtection="1">
      <alignment horizontal="center" vertical="top"/>
    </xf>
    <xf numFmtId="165" fontId="8" fillId="2" borderId="6" xfId="0" applyNumberFormat="1" applyFont="1" applyFill="1" applyBorder="1" applyAlignment="1" applyProtection="1">
      <alignment horizontal="left" vertical="top" wrapText="1"/>
    </xf>
    <xf numFmtId="165" fontId="8" fillId="2" borderId="6" xfId="0" applyNumberFormat="1" applyFont="1" applyFill="1" applyBorder="1" applyAlignment="1" applyProtection="1">
      <alignment horizontal="center" vertical="top"/>
    </xf>
    <xf numFmtId="165" fontId="8" fillId="2" borderId="6" xfId="0" applyNumberFormat="1" applyFont="1" applyFill="1" applyBorder="1" applyAlignment="1" applyProtection="1">
      <alignment horizontal="right" vertical="top"/>
    </xf>
    <xf numFmtId="165" fontId="8" fillId="2" borderId="7" xfId="0" applyNumberFormat="1" applyFont="1" applyFill="1" applyBorder="1" applyAlignment="1" applyProtection="1">
      <alignment horizontal="right" vertical="top"/>
    </xf>
    <xf numFmtId="165" fontId="7" fillId="2" borderId="8" xfId="0" applyNumberFormat="1" applyFont="1" applyFill="1" applyBorder="1" applyAlignment="1" applyProtection="1">
      <alignment horizontal="center" vertical="top"/>
    </xf>
    <xf numFmtId="165" fontId="7" fillId="2" borderId="9" xfId="0" applyNumberFormat="1" applyFont="1" applyFill="1" applyBorder="1" applyAlignment="1" applyProtection="1">
      <alignment horizontal="left" vertical="top" wrapText="1"/>
    </xf>
    <xf numFmtId="165" fontId="7" fillId="2" borderId="9" xfId="0" applyNumberFormat="1" applyFont="1" applyFill="1" applyBorder="1" applyAlignment="1" applyProtection="1">
      <alignment horizontal="center" vertical="top"/>
    </xf>
    <xf numFmtId="165" fontId="7" fillId="2" borderId="9" xfId="0" applyNumberFormat="1" applyFont="1" applyFill="1" applyBorder="1" applyAlignment="1" applyProtection="1">
      <alignment horizontal="right" vertical="top"/>
    </xf>
    <xf numFmtId="165" fontId="7" fillId="2" borderId="10" xfId="0" applyNumberFormat="1" applyFont="1" applyFill="1" applyBorder="1" applyAlignment="1" applyProtection="1">
      <alignment horizontal="right" vertical="top"/>
    </xf>
    <xf numFmtId="0" fontId="4" fillId="2" borderId="0" xfId="0" applyNumberFormat="1" applyFont="1" applyFill="1" applyBorder="1" applyAlignment="1" applyProtection="1">
      <alignment horizontal="right" vertical="center"/>
    </xf>
    <xf numFmtId="0" fontId="4" fillId="2" borderId="0" xfId="0" applyNumberFormat="1" applyFont="1" applyFill="1" applyBorder="1" applyAlignment="1" applyProtection="1">
      <alignment horizontal="center" vertical="center"/>
    </xf>
    <xf numFmtId="0" fontId="4" fillId="2" borderId="0" xfId="0" applyNumberFormat="1" applyFont="1" applyFill="1" applyBorder="1" applyAlignment="1" applyProtection="1">
      <alignment horizontal="left" vertical="center"/>
    </xf>
    <xf numFmtId="0" fontId="7" fillId="2" borderId="0" xfId="0" applyNumberFormat="1" applyFont="1" applyFill="1" applyBorder="1" applyAlignment="1" applyProtection="1">
      <alignment horizontal="left" vertical="center"/>
    </xf>
    <xf numFmtId="0" fontId="8" fillId="2" borderId="0" xfId="0" applyNumberFormat="1" applyFont="1" applyFill="1" applyBorder="1" applyAlignment="1" applyProtection="1">
      <alignment horizontal="right" vertical="center"/>
    </xf>
    <xf numFmtId="0" fontId="7" fillId="2" borderId="1" xfId="0" applyNumberFormat="1" applyFont="1" applyFill="1" applyBorder="1" applyAlignment="1" applyProtection="1">
      <alignment horizontal="right" vertical="center"/>
    </xf>
    <xf numFmtId="0" fontId="7" fillId="2" borderId="5" xfId="0" applyNumberFormat="1" applyFont="1" applyFill="1" applyBorder="1" applyAlignment="1" applyProtection="1">
      <alignment horizontal="center" vertical="top"/>
    </xf>
    <xf numFmtId="0" fontId="7" fillId="2" borderId="6" xfId="0" applyNumberFormat="1" applyFont="1" applyFill="1" applyBorder="1" applyAlignment="1" applyProtection="1">
      <alignment horizontal="left" vertical="top" wrapText="1"/>
    </xf>
    <xf numFmtId="0" fontId="7" fillId="2" borderId="6" xfId="0" applyNumberFormat="1" applyFont="1" applyFill="1" applyBorder="1" applyAlignment="1" applyProtection="1">
      <alignment horizontal="center" vertical="top"/>
    </xf>
    <xf numFmtId="4" fontId="7" fillId="2" borderId="6" xfId="0" applyNumberFormat="1" applyFont="1" applyFill="1" applyBorder="1" applyAlignment="1" applyProtection="1">
      <alignment horizontal="right" vertical="top"/>
    </xf>
    <xf numFmtId="164" fontId="7" fillId="2" borderId="7" xfId="0" applyNumberFormat="1" applyFont="1" applyFill="1" applyBorder="1" applyAlignment="1" applyProtection="1">
      <alignment horizontal="right" vertical="top"/>
    </xf>
    <xf numFmtId="0" fontId="7" fillId="2" borderId="8" xfId="0" applyNumberFormat="1" applyFont="1" applyFill="1" applyBorder="1" applyAlignment="1" applyProtection="1">
      <alignment horizontal="center" vertical="top"/>
    </xf>
    <xf numFmtId="0" fontId="7" fillId="2" borderId="9" xfId="0" applyNumberFormat="1" applyFont="1" applyFill="1" applyBorder="1" applyAlignment="1" applyProtection="1">
      <alignment horizontal="left" vertical="top" wrapText="1"/>
    </xf>
    <xf numFmtId="0" fontId="7" fillId="2" borderId="9" xfId="0" applyNumberFormat="1" applyFont="1" applyFill="1" applyBorder="1" applyAlignment="1" applyProtection="1">
      <alignment horizontal="center" vertical="top"/>
    </xf>
    <xf numFmtId="4" fontId="7" fillId="2" borderId="9" xfId="0" applyNumberFormat="1" applyFont="1" applyFill="1" applyBorder="1" applyAlignment="1" applyProtection="1">
      <alignment horizontal="right" vertical="top"/>
    </xf>
    <xf numFmtId="164" fontId="7" fillId="2" borderId="10" xfId="0" applyNumberFormat="1" applyFont="1" applyFill="1" applyBorder="1" applyAlignment="1" applyProtection="1">
      <alignment horizontal="right" vertical="top"/>
    </xf>
    <xf numFmtId="0" fontId="4" fillId="3" borderId="11" xfId="0" applyNumberFormat="1" applyFont="1" applyFill="1" applyBorder="1" applyAlignment="1" applyProtection="1">
      <alignment horizontal="center" vertical="center" wrapText="1"/>
    </xf>
    <xf numFmtId="0" fontId="4" fillId="3" borderId="12" xfId="0" applyNumberFormat="1" applyFont="1" applyFill="1" applyBorder="1" applyAlignment="1" applyProtection="1">
      <alignment horizontal="center" vertical="center" wrapText="1"/>
    </xf>
    <xf numFmtId="0" fontId="4" fillId="3" borderId="13" xfId="0" applyNumberFormat="1" applyFont="1" applyFill="1" applyBorder="1" applyAlignment="1" applyProtection="1">
      <alignment horizontal="center" vertical="center" wrapText="1"/>
    </xf>
    <xf numFmtId="0" fontId="4" fillId="3" borderId="15" xfId="0" applyNumberFormat="1" applyFont="1" applyFill="1" applyBorder="1" applyAlignment="1" applyProtection="1">
      <alignment horizontal="center" vertical="center" wrapText="1"/>
    </xf>
    <xf numFmtId="0" fontId="4" fillId="3" borderId="16" xfId="0" applyNumberFormat="1" applyFont="1" applyFill="1" applyBorder="1" applyAlignment="1" applyProtection="1">
      <alignment horizontal="center" vertical="center" wrapText="1"/>
    </xf>
    <xf numFmtId="0" fontId="4" fillId="2" borderId="5" xfId="0" applyNumberFormat="1" applyFont="1" applyFill="1" applyBorder="1" applyAlignment="1" applyProtection="1">
      <alignment horizontal="left" vertical="top" wrapText="1"/>
    </xf>
    <xf numFmtId="0" fontId="4" fillId="2" borderId="6" xfId="0" applyNumberFormat="1" applyFont="1" applyFill="1" applyBorder="1" applyAlignment="1" applyProtection="1">
      <alignment horizontal="center" vertical="top"/>
    </xf>
    <xf numFmtId="0" fontId="4" fillId="2" borderId="6" xfId="0" applyNumberFormat="1" applyFont="1" applyFill="1" applyBorder="1" applyAlignment="1" applyProtection="1">
      <alignment horizontal="center" vertical="center"/>
    </xf>
    <xf numFmtId="0" fontId="8" fillId="2" borderId="5" xfId="0" applyNumberFormat="1" applyFont="1" applyFill="1" applyBorder="1" applyAlignment="1" applyProtection="1">
      <alignment horizontal="left" vertical="top" wrapText="1"/>
    </xf>
    <xf numFmtId="0" fontId="8" fillId="2" borderId="6" xfId="0" applyNumberFormat="1" applyFont="1" applyFill="1" applyBorder="1" applyAlignment="1" applyProtection="1">
      <alignment horizontal="center" vertical="top"/>
    </xf>
    <xf numFmtId="0" fontId="8" fillId="2" borderId="6" xfId="0" applyNumberFormat="1" applyFont="1" applyFill="1" applyBorder="1" applyAlignment="1" applyProtection="1">
      <alignment horizontal="center" vertical="center"/>
    </xf>
    <xf numFmtId="0" fontId="4" fillId="2" borderId="8" xfId="0" applyNumberFormat="1" applyFont="1" applyFill="1" applyBorder="1" applyAlignment="1" applyProtection="1">
      <alignment horizontal="left" vertical="top" wrapText="1"/>
    </xf>
    <xf numFmtId="0" fontId="4" fillId="2" borderId="9" xfId="0" applyNumberFormat="1" applyFont="1" applyFill="1" applyBorder="1" applyAlignment="1" applyProtection="1">
      <alignment horizontal="center" vertical="top"/>
    </xf>
    <xf numFmtId="0" fontId="4" fillId="2" borderId="9" xfId="0" applyNumberFormat="1" applyFont="1" applyFill="1" applyBorder="1" applyAlignment="1" applyProtection="1">
      <alignment horizontal="center" vertical="center"/>
    </xf>
    <xf numFmtId="165" fontId="4" fillId="2" borderId="9" xfId="0" applyNumberFormat="1" applyFont="1" applyFill="1" applyBorder="1" applyAlignment="1" applyProtection="1">
      <alignment horizontal="right" vertical="top"/>
    </xf>
    <xf numFmtId="165" fontId="4" fillId="2" borderId="10" xfId="0" applyNumberFormat="1" applyFont="1" applyFill="1" applyBorder="1" applyAlignment="1" applyProtection="1">
      <alignment horizontal="right" vertical="top"/>
    </xf>
    <xf numFmtId="0" fontId="8" fillId="2" borderId="0" xfId="0" applyNumberFormat="1" applyFont="1" applyFill="1" applyBorder="1" applyAlignment="1" applyProtection="1">
      <alignment horizontal="center" vertical="top"/>
    </xf>
    <xf numFmtId="0" fontId="12" fillId="0" borderId="0" xfId="0" applyFont="1"/>
    <xf numFmtId="0" fontId="8" fillId="2" borderId="0" xfId="0" applyNumberFormat="1" applyFont="1" applyFill="1" applyBorder="1" applyAlignment="1" applyProtection="1">
      <alignment horizontal="right" vertical="top"/>
    </xf>
    <xf numFmtId="0" fontId="7" fillId="2" borderId="1" xfId="0" applyNumberFormat="1" applyFont="1" applyFill="1" applyBorder="1" applyAlignment="1" applyProtection="1">
      <alignment horizontal="left" vertical="top"/>
    </xf>
    <xf numFmtId="0" fontId="7" fillId="2" borderId="1" xfId="0" applyNumberFormat="1" applyFont="1" applyFill="1" applyBorder="1" applyAlignment="1" applyProtection="1">
      <alignment horizontal="right" vertical="top"/>
    </xf>
    <xf numFmtId="14" fontId="4" fillId="3" borderId="3" xfId="0" applyNumberFormat="1" applyFont="1" applyFill="1" applyBorder="1" applyAlignment="1" applyProtection="1">
      <alignment horizontal="center" vertical="center" wrapText="1"/>
    </xf>
    <xf numFmtId="166" fontId="4" fillId="2" borderId="5" xfId="0" applyNumberFormat="1" applyFont="1" applyFill="1" applyBorder="1" applyAlignment="1" applyProtection="1">
      <alignment horizontal="center" vertical="top"/>
    </xf>
    <xf numFmtId="166" fontId="4" fillId="2" borderId="6" xfId="0" applyNumberFormat="1" applyFont="1" applyFill="1" applyBorder="1" applyAlignment="1" applyProtection="1">
      <alignment horizontal="left" vertical="top" wrapText="1"/>
    </xf>
    <xf numFmtId="166" fontId="4" fillId="2" borderId="6" xfId="0" applyNumberFormat="1" applyFont="1" applyFill="1" applyBorder="1" applyAlignment="1" applyProtection="1">
      <alignment horizontal="center" vertical="top"/>
    </xf>
    <xf numFmtId="166" fontId="4" fillId="2" borderId="6" xfId="0" applyNumberFormat="1" applyFont="1" applyFill="1" applyBorder="1" applyAlignment="1" applyProtection="1">
      <alignment horizontal="right" vertical="top"/>
    </xf>
    <xf numFmtId="166" fontId="4" fillId="2" borderId="7" xfId="0" applyNumberFormat="1" applyFont="1" applyFill="1" applyBorder="1" applyAlignment="1" applyProtection="1">
      <alignment horizontal="right" vertical="top"/>
    </xf>
    <xf numFmtId="166" fontId="7" fillId="2" borderId="5" xfId="0" applyNumberFormat="1" applyFont="1" applyFill="1" applyBorder="1" applyAlignment="1" applyProtection="1">
      <alignment horizontal="center" vertical="top"/>
    </xf>
    <xf numFmtId="166" fontId="7" fillId="2" borderId="6" xfId="0" applyNumberFormat="1" applyFont="1" applyFill="1" applyBorder="1" applyAlignment="1" applyProtection="1">
      <alignment horizontal="left" vertical="top" wrapText="1"/>
    </xf>
    <xf numFmtId="166" fontId="7" fillId="2" borderId="6" xfId="0" applyNumberFormat="1" applyFont="1" applyFill="1" applyBorder="1" applyAlignment="1" applyProtection="1">
      <alignment horizontal="center" vertical="top"/>
    </xf>
    <xf numFmtId="166" fontId="7" fillId="2" borderId="6" xfId="0" applyNumberFormat="1" applyFont="1" applyFill="1" applyBorder="1" applyAlignment="1" applyProtection="1">
      <alignment horizontal="right" vertical="top"/>
    </xf>
    <xf numFmtId="166" fontId="7" fillId="2" borderId="7" xfId="0" applyNumberFormat="1" applyFont="1" applyFill="1" applyBorder="1" applyAlignment="1" applyProtection="1">
      <alignment horizontal="right" vertical="top"/>
    </xf>
    <xf numFmtId="166" fontId="8" fillId="2" borderId="5" xfId="0" applyNumberFormat="1" applyFont="1" applyFill="1" applyBorder="1" applyAlignment="1" applyProtection="1">
      <alignment horizontal="center" vertical="top"/>
    </xf>
    <xf numFmtId="166" fontId="8" fillId="2" borderId="6" xfId="0" applyNumberFormat="1" applyFont="1" applyFill="1" applyBorder="1" applyAlignment="1" applyProtection="1">
      <alignment horizontal="left" vertical="top" wrapText="1"/>
    </xf>
    <xf numFmtId="166" fontId="8" fillId="2" borderId="6" xfId="0" applyNumberFormat="1" applyFont="1" applyFill="1" applyBorder="1" applyAlignment="1" applyProtection="1">
      <alignment horizontal="center" vertical="top"/>
    </xf>
    <xf numFmtId="166" fontId="8" fillId="2" borderId="6" xfId="0" applyNumberFormat="1" applyFont="1" applyFill="1" applyBorder="1" applyAlignment="1" applyProtection="1">
      <alignment horizontal="right" vertical="top"/>
    </xf>
    <xf numFmtId="166" fontId="8" fillId="2" borderId="7" xfId="0" applyNumberFormat="1" applyFont="1" applyFill="1" applyBorder="1" applyAlignment="1" applyProtection="1">
      <alignment horizontal="right" vertical="top"/>
    </xf>
    <xf numFmtId="4" fontId="4" fillId="2" borderId="5" xfId="0" applyNumberFormat="1" applyFont="1" applyFill="1" applyBorder="1" applyAlignment="1" applyProtection="1">
      <alignment horizontal="center" vertical="top"/>
    </xf>
    <xf numFmtId="4" fontId="4" fillId="2" borderId="6" xfId="0" applyNumberFormat="1" applyFont="1" applyFill="1" applyBorder="1" applyAlignment="1" applyProtection="1">
      <alignment horizontal="left" vertical="top" wrapText="1"/>
    </xf>
    <xf numFmtId="4" fontId="4" fillId="2" borderId="6" xfId="0" applyNumberFormat="1" applyFont="1" applyFill="1" applyBorder="1" applyAlignment="1" applyProtection="1">
      <alignment horizontal="center" vertical="top"/>
    </xf>
    <xf numFmtId="4" fontId="4" fillId="2" borderId="6" xfId="0" applyNumberFormat="1" applyFont="1" applyFill="1" applyBorder="1" applyAlignment="1" applyProtection="1">
      <alignment horizontal="right" vertical="top"/>
    </xf>
    <xf numFmtId="4" fontId="4" fillId="2" borderId="7" xfId="0" applyNumberFormat="1" applyFont="1" applyFill="1" applyBorder="1" applyAlignment="1" applyProtection="1">
      <alignment horizontal="right" vertical="top"/>
    </xf>
    <xf numFmtId="166" fontId="7" fillId="2" borderId="8" xfId="0" applyNumberFormat="1" applyFont="1" applyFill="1" applyBorder="1" applyAlignment="1" applyProtection="1">
      <alignment horizontal="center" vertical="top"/>
    </xf>
    <xf numFmtId="166" fontId="7" fillId="2" borderId="9" xfId="0" applyNumberFormat="1" applyFont="1" applyFill="1" applyBorder="1" applyAlignment="1" applyProtection="1">
      <alignment horizontal="left" vertical="top" wrapText="1"/>
    </xf>
    <xf numFmtId="166" fontId="7" fillId="2" borderId="9" xfId="0" applyNumberFormat="1" applyFont="1" applyFill="1" applyBorder="1" applyAlignment="1" applyProtection="1">
      <alignment horizontal="center" vertical="top"/>
    </xf>
    <xf numFmtId="166" fontId="7" fillId="2" borderId="9" xfId="0" applyNumberFormat="1" applyFont="1" applyFill="1" applyBorder="1" applyAlignment="1" applyProtection="1">
      <alignment horizontal="right" vertical="top"/>
    </xf>
    <xf numFmtId="166" fontId="7" fillId="2" borderId="10" xfId="0" applyNumberFormat="1" applyFont="1" applyFill="1" applyBorder="1" applyAlignment="1" applyProtection="1">
      <alignment horizontal="right" vertical="top"/>
    </xf>
    <xf numFmtId="0" fontId="13" fillId="2" borderId="0" xfId="0" applyNumberFormat="1" applyFont="1" applyFill="1" applyBorder="1" applyAlignment="1" applyProtection="1">
      <alignment horizontal="left" vertical="top"/>
    </xf>
    <xf numFmtId="0" fontId="16" fillId="2" borderId="1" xfId="0" applyNumberFormat="1" applyFont="1" applyFill="1" applyBorder="1" applyAlignment="1" applyProtection="1">
      <alignment horizontal="right" vertical="top"/>
    </xf>
    <xf numFmtId="3" fontId="4" fillId="2" borderId="6" xfId="0" applyNumberFormat="1" applyFont="1" applyFill="1" applyBorder="1" applyAlignment="1" applyProtection="1">
      <alignment horizontal="right" vertical="top"/>
    </xf>
    <xf numFmtId="3" fontId="4" fillId="2" borderId="7" xfId="0" applyNumberFormat="1" applyFont="1" applyFill="1" applyBorder="1" applyAlignment="1" applyProtection="1">
      <alignment horizontal="right" vertical="top"/>
    </xf>
    <xf numFmtId="164" fontId="7" fillId="2" borderId="6" xfId="0" applyNumberFormat="1" applyFont="1" applyFill="1" applyBorder="1" applyAlignment="1" applyProtection="1">
      <alignment horizontal="right" vertical="top"/>
    </xf>
    <xf numFmtId="3" fontId="7" fillId="2" borderId="6" xfId="0" applyNumberFormat="1" applyFont="1" applyFill="1" applyBorder="1" applyAlignment="1" applyProtection="1">
      <alignment horizontal="right" vertical="top"/>
    </xf>
    <xf numFmtId="3" fontId="7" fillId="2" borderId="7" xfId="0" applyNumberFormat="1" applyFont="1" applyFill="1" applyBorder="1" applyAlignment="1" applyProtection="1">
      <alignment horizontal="right" vertical="top"/>
    </xf>
    <xf numFmtId="167" fontId="7" fillId="2" borderId="6" xfId="3" applyNumberFormat="1" applyFont="1" applyFill="1" applyBorder="1" applyAlignment="1" applyProtection="1">
      <alignment horizontal="right" vertical="top"/>
    </xf>
    <xf numFmtId="167" fontId="7" fillId="2" borderId="7" xfId="3" applyNumberFormat="1" applyFont="1" applyFill="1" applyBorder="1" applyAlignment="1" applyProtection="1">
      <alignment horizontal="right" vertical="top"/>
    </xf>
    <xf numFmtId="4" fontId="7" fillId="2" borderId="7" xfId="0" applyNumberFormat="1" applyFont="1" applyFill="1" applyBorder="1" applyAlignment="1" applyProtection="1">
      <alignment horizontal="right" vertical="top"/>
    </xf>
    <xf numFmtId="3" fontId="7" fillId="2" borderId="9" xfId="0" applyNumberFormat="1" applyFont="1" applyFill="1" applyBorder="1" applyAlignment="1" applyProtection="1">
      <alignment horizontal="right" vertical="top"/>
    </xf>
    <xf numFmtId="3" fontId="7" fillId="2" borderId="10" xfId="0" applyNumberFormat="1" applyFont="1" applyFill="1" applyBorder="1" applyAlignment="1" applyProtection="1">
      <alignment horizontal="right" vertical="top"/>
    </xf>
    <xf numFmtId="0" fontId="16" fillId="2" borderId="0" xfId="0" applyNumberFormat="1" applyFont="1" applyFill="1" applyBorder="1" applyAlignment="1" applyProtection="1">
      <alignment horizontal="center"/>
    </xf>
    <xf numFmtId="0" fontId="19" fillId="0" borderId="0" xfId="0" applyFont="1"/>
    <xf numFmtId="0" fontId="18" fillId="2" borderId="0" xfId="0" applyNumberFormat="1" applyFont="1" applyFill="1" applyBorder="1" applyAlignment="1" applyProtection="1">
      <alignment horizontal="left" vertical="top"/>
    </xf>
    <xf numFmtId="0" fontId="18" fillId="2" borderId="1" xfId="0" applyNumberFormat="1" applyFont="1" applyFill="1" applyBorder="1" applyAlignment="1" applyProtection="1">
      <alignment horizontal="left" vertical="top"/>
    </xf>
    <xf numFmtId="0" fontId="18" fillId="2" borderId="1" xfId="0" applyNumberFormat="1" applyFont="1" applyFill="1" applyBorder="1" applyAlignment="1" applyProtection="1">
      <alignment horizontal="right" vertical="top"/>
    </xf>
    <xf numFmtId="0" fontId="7" fillId="2" borderId="5" xfId="0" applyNumberFormat="1" applyFont="1" applyFill="1" applyBorder="1" applyAlignment="1" applyProtection="1">
      <alignment horizontal="center" vertical="center"/>
    </xf>
    <xf numFmtId="0" fontId="7" fillId="2" borderId="6" xfId="0" applyNumberFormat="1" applyFont="1" applyFill="1" applyBorder="1" applyAlignment="1" applyProtection="1">
      <alignment horizontal="left" vertical="center" wrapText="1"/>
    </xf>
    <xf numFmtId="0" fontId="7" fillId="2" borderId="6" xfId="0" applyNumberFormat="1" applyFont="1" applyFill="1" applyBorder="1" applyAlignment="1" applyProtection="1">
      <alignment horizontal="center" vertical="center"/>
    </xf>
    <xf numFmtId="164" fontId="7" fillId="2" borderId="7" xfId="0" applyNumberFormat="1" applyFont="1" applyFill="1" applyBorder="1" applyAlignment="1" applyProtection="1">
      <alignment horizontal="right" vertical="center"/>
    </xf>
    <xf numFmtId="3" fontId="7" fillId="2" borderId="6" xfId="0" applyNumberFormat="1" applyFont="1" applyFill="1" applyBorder="1" applyAlignment="1" applyProtection="1">
      <alignment horizontal="right" vertical="center"/>
    </xf>
    <xf numFmtId="0" fontId="7" fillId="2" borderId="8" xfId="0" applyNumberFormat="1" applyFont="1" applyFill="1" applyBorder="1" applyAlignment="1" applyProtection="1">
      <alignment horizontal="center" vertical="center"/>
    </xf>
    <xf numFmtId="0" fontId="7" fillId="2" borderId="9" xfId="0" applyNumberFormat="1" applyFont="1" applyFill="1" applyBorder="1" applyAlignment="1" applyProtection="1">
      <alignment horizontal="left" vertical="center" wrapText="1"/>
    </xf>
    <xf numFmtId="0" fontId="7" fillId="2" borderId="9" xfId="0" applyNumberFormat="1" applyFont="1" applyFill="1" applyBorder="1" applyAlignment="1" applyProtection="1">
      <alignment horizontal="center" vertical="center"/>
    </xf>
    <xf numFmtId="164" fontId="7" fillId="2" borderId="10" xfId="0" applyNumberFormat="1" applyFont="1" applyFill="1" applyBorder="1" applyAlignment="1" applyProtection="1">
      <alignment horizontal="right" vertical="center"/>
    </xf>
    <xf numFmtId="0" fontId="14" fillId="2" borderId="0" xfId="0" applyNumberFormat="1" applyFont="1" applyFill="1" applyBorder="1" applyAlignment="1" applyProtection="1">
      <alignment horizontal="right" vertical="center"/>
    </xf>
    <xf numFmtId="0" fontId="11" fillId="2" borderId="0" xfId="0" applyNumberFormat="1" applyFont="1" applyFill="1" applyBorder="1" applyAlignment="1" applyProtection="1">
      <alignment horizontal="center" vertical="center"/>
    </xf>
    <xf numFmtId="0" fontId="11" fillId="2" borderId="0" xfId="0" applyNumberFormat="1" applyFont="1" applyFill="1" applyBorder="1" applyAlignment="1" applyProtection="1">
      <alignment horizontal="center" vertical="top"/>
    </xf>
    <xf numFmtId="9" fontId="7" fillId="2" borderId="7" xfId="2" applyFont="1" applyFill="1" applyBorder="1" applyAlignment="1" applyProtection="1">
      <alignment horizontal="right" vertical="top"/>
    </xf>
    <xf numFmtId="0" fontId="7" fillId="2" borderId="5" xfId="0" applyNumberFormat="1" applyFont="1" applyFill="1" applyBorder="1" applyAlignment="1" applyProtection="1">
      <alignment horizontal="left" vertical="top" wrapText="1"/>
    </xf>
    <xf numFmtId="0" fontId="12" fillId="0" borderId="0" xfId="0" applyFont="1" applyAlignment="1">
      <alignment vertical="top"/>
    </xf>
    <xf numFmtId="0" fontId="21" fillId="4" borderId="0" xfId="0" applyFont="1" applyFill="1"/>
    <xf numFmtId="0" fontId="22" fillId="4" borderId="0" xfId="0" applyFont="1" applyFill="1" applyAlignment="1">
      <alignment horizontal="left"/>
    </xf>
    <xf numFmtId="0" fontId="21" fillId="4" borderId="0" xfId="0" applyFont="1" applyFill="1" applyAlignment="1">
      <alignment horizontal="left"/>
    </xf>
    <xf numFmtId="0" fontId="22" fillId="4" borderId="0" xfId="0" applyFont="1" applyFill="1"/>
    <xf numFmtId="0" fontId="20" fillId="5" borderId="18" xfId="0" applyFont="1" applyFill="1" applyBorder="1" applyAlignment="1">
      <alignment vertical="center"/>
    </xf>
    <xf numFmtId="0" fontId="20" fillId="5" borderId="18" xfId="0" applyFont="1" applyFill="1" applyBorder="1" applyAlignment="1">
      <alignment vertical="center" wrapText="1"/>
    </xf>
    <xf numFmtId="0" fontId="20" fillId="5" borderId="19" xfId="0" applyFont="1" applyFill="1" applyBorder="1" applyAlignment="1">
      <alignment vertical="center" wrapText="1"/>
    </xf>
    <xf numFmtId="0" fontId="22" fillId="5" borderId="0" xfId="0" applyFont="1" applyFill="1" applyBorder="1" applyAlignment="1">
      <alignment vertical="center"/>
    </xf>
    <xf numFmtId="0" fontId="22" fillId="5" borderId="0" xfId="0" applyFont="1" applyFill="1" applyBorder="1" applyAlignment="1">
      <alignment vertical="center" wrapText="1"/>
    </xf>
    <xf numFmtId="0" fontId="22" fillId="5" borderId="24" xfId="0" applyFont="1" applyFill="1" applyBorder="1" applyAlignment="1">
      <alignment vertical="center" wrapText="1"/>
    </xf>
    <xf numFmtId="0" fontId="23" fillId="4" borderId="0" xfId="0" applyFont="1" applyFill="1" applyBorder="1"/>
    <xf numFmtId="0" fontId="20" fillId="5" borderId="0" xfId="0" applyFont="1" applyFill="1" applyBorder="1" applyAlignment="1">
      <alignment vertical="center"/>
    </xf>
    <xf numFmtId="0" fontId="20" fillId="5" borderId="0" xfId="0" applyFont="1" applyFill="1" applyBorder="1" applyAlignment="1">
      <alignment vertical="center" wrapText="1"/>
    </xf>
    <xf numFmtId="0" fontId="20" fillId="5" borderId="24" xfId="0" applyFont="1" applyFill="1" applyBorder="1" applyAlignment="1">
      <alignment vertical="center" wrapText="1"/>
    </xf>
    <xf numFmtId="14" fontId="20" fillId="5" borderId="0" xfId="0" applyNumberFormat="1" applyFont="1" applyFill="1" applyBorder="1" applyAlignment="1">
      <alignment horizontal="left" vertical="center"/>
    </xf>
    <xf numFmtId="169" fontId="22" fillId="5" borderId="22" xfId="0" applyNumberFormat="1" applyFont="1" applyFill="1" applyBorder="1" applyAlignment="1"/>
    <xf numFmtId="0" fontId="26" fillId="4" borderId="0" xfId="0" applyFont="1" applyFill="1"/>
    <xf numFmtId="0" fontId="31" fillId="4" borderId="0" xfId="5" applyFont="1" applyFill="1" applyBorder="1" applyAlignment="1">
      <alignment horizontal="center" vertical="center"/>
    </xf>
    <xf numFmtId="0" fontId="30" fillId="4" borderId="0" xfId="5" applyFont="1" applyFill="1" applyBorder="1" applyAlignment="1">
      <alignment horizontal="center" vertical="center"/>
    </xf>
    <xf numFmtId="0" fontId="20" fillId="4" borderId="25" xfId="0" applyFont="1" applyFill="1" applyBorder="1" applyAlignment="1">
      <alignment horizontal="center" vertical="center"/>
    </xf>
    <xf numFmtId="0" fontId="20" fillId="4" borderId="25" xfId="0" applyFont="1" applyFill="1" applyBorder="1" applyAlignment="1">
      <alignment horizontal="left" vertical="center"/>
    </xf>
    <xf numFmtId="0" fontId="22" fillId="4" borderId="25" xfId="0" applyFont="1" applyFill="1" applyBorder="1" applyAlignment="1">
      <alignment horizontal="center" vertical="center"/>
    </xf>
    <xf numFmtId="0" fontId="33" fillId="4" borderId="25" xfId="6" applyFont="1" applyFill="1" applyBorder="1" applyAlignment="1">
      <alignment horizontal="center" vertical="center"/>
    </xf>
    <xf numFmtId="0" fontId="34" fillId="4" borderId="25" xfId="6" quotePrefix="1" applyFont="1" applyFill="1" applyBorder="1" applyAlignment="1">
      <alignment horizontal="center" vertical="center"/>
    </xf>
    <xf numFmtId="0" fontId="30" fillId="4" borderId="25" xfId="5" applyFont="1" applyFill="1" applyBorder="1" applyAlignment="1">
      <alignment horizontal="center" vertical="center"/>
    </xf>
    <xf numFmtId="0" fontId="34" fillId="4" borderId="25" xfId="6" applyFont="1" applyFill="1" applyBorder="1" applyAlignment="1">
      <alignment horizontal="center" vertical="center"/>
    </xf>
    <xf numFmtId="0" fontId="35" fillId="4" borderId="0" xfId="0" applyFont="1" applyFill="1" applyBorder="1"/>
    <xf numFmtId="0" fontId="26" fillId="4" borderId="0" xfId="0" applyFont="1" applyFill="1" applyBorder="1" applyAlignment="1">
      <alignment vertical="center"/>
    </xf>
    <xf numFmtId="0" fontId="12" fillId="5" borderId="0" xfId="14" applyFont="1" applyFill="1"/>
    <xf numFmtId="0" fontId="39" fillId="5" borderId="0" xfId="14" applyFont="1" applyFill="1" applyAlignment="1">
      <alignment wrapText="1"/>
    </xf>
    <xf numFmtId="0" fontId="42" fillId="5" borderId="0" xfId="14" applyFont="1" applyFill="1" applyAlignment="1">
      <alignment horizontal="center"/>
    </xf>
    <xf numFmtId="0" fontId="41" fillId="5" borderId="0" xfId="14" applyFont="1" applyFill="1" applyAlignment="1">
      <alignment horizontal="center"/>
    </xf>
    <xf numFmtId="167" fontId="41" fillId="5" borderId="0" xfId="8" applyNumberFormat="1" applyFont="1" applyFill="1" applyAlignment="1">
      <alignment horizontal="center"/>
    </xf>
    <xf numFmtId="0" fontId="41" fillId="5" borderId="0" xfId="14" applyFont="1" applyFill="1" applyAlignment="1">
      <alignment horizontal="center" vertical="center" wrapText="1"/>
    </xf>
    <xf numFmtId="0" fontId="41" fillId="5" borderId="0" xfId="14" applyFont="1" applyFill="1" applyAlignment="1">
      <alignment horizontal="left" vertical="center"/>
    </xf>
    <xf numFmtId="0" fontId="43" fillId="5" borderId="0" xfId="14" applyFont="1" applyFill="1" applyAlignment="1">
      <alignment horizontal="left" vertical="center"/>
    </xf>
    <xf numFmtId="167" fontId="43" fillId="5" borderId="0" xfId="8" applyNumberFormat="1" applyFont="1" applyFill="1" applyAlignment="1">
      <alignment horizontal="center"/>
    </xf>
    <xf numFmtId="0" fontId="43" fillId="5" borderId="0" xfId="14" applyFont="1" applyFill="1" applyAlignment="1">
      <alignment horizontal="center"/>
    </xf>
    <xf numFmtId="0" fontId="41" fillId="5" borderId="0" xfId="14" applyFont="1" applyFill="1" applyAlignment="1">
      <alignment horizontal="center" vertical="center"/>
    </xf>
    <xf numFmtId="0" fontId="41" fillId="5" borderId="0" xfId="14" applyFont="1" applyFill="1" applyAlignment="1">
      <alignment horizontal="left" wrapText="1"/>
    </xf>
    <xf numFmtId="0" fontId="41" fillId="5" borderId="0" xfId="14" applyFont="1" applyFill="1" applyAlignment="1">
      <alignment vertical="center"/>
    </xf>
    <xf numFmtId="48" fontId="43" fillId="5" borderId="0" xfId="14" applyNumberFormat="1" applyFont="1" applyFill="1" applyAlignment="1" applyProtection="1">
      <alignment horizontal="left" vertical="center" wrapText="1"/>
      <protection locked="0"/>
    </xf>
    <xf numFmtId="0" fontId="43" fillId="5" borderId="0" xfId="14" applyFont="1" applyFill="1" applyAlignment="1">
      <alignment horizontal="left" wrapText="1"/>
    </xf>
    <xf numFmtId="0" fontId="7" fillId="2" borderId="0" xfId="16" applyNumberFormat="1" applyFont="1" applyFill="1" applyBorder="1" applyAlignment="1" applyProtection="1">
      <alignment vertical="top"/>
    </xf>
    <xf numFmtId="0" fontId="43" fillId="5" borderId="0" xfId="14" applyFont="1" applyFill="1" applyAlignment="1">
      <alignment vertical="center"/>
    </xf>
    <xf numFmtId="3" fontId="43" fillId="5" borderId="0" xfId="14" applyNumberFormat="1" applyFont="1" applyFill="1" applyAlignment="1">
      <alignment horizontal="left" vertical="center" wrapText="1"/>
    </xf>
    <xf numFmtId="48" fontId="41" fillId="5" borderId="0" xfId="14" applyNumberFormat="1" applyFont="1" applyFill="1" applyAlignment="1" applyProtection="1">
      <alignment horizontal="left" vertical="center" wrapText="1"/>
      <protection locked="0"/>
    </xf>
    <xf numFmtId="48" fontId="43" fillId="5" borderId="0" xfId="14" applyNumberFormat="1" applyFont="1" applyFill="1" applyAlignment="1" applyProtection="1">
      <alignment vertical="center" wrapText="1"/>
      <protection locked="0"/>
    </xf>
    <xf numFmtId="0" fontId="44" fillId="5" borderId="0" xfId="0" applyFont="1" applyFill="1" applyAlignment="1">
      <alignment vertical="center"/>
    </xf>
    <xf numFmtId="170" fontId="43" fillId="5" borderId="0" xfId="14" applyNumberFormat="1" applyFont="1" applyFill="1" applyAlignment="1">
      <alignment horizontal="left" vertical="center" wrapText="1"/>
    </xf>
    <xf numFmtId="0" fontId="43" fillId="5" borderId="0" xfId="14" applyFont="1" applyFill="1" applyAlignment="1">
      <alignment horizontal="left" vertical="center" wrapText="1"/>
    </xf>
    <xf numFmtId="0" fontId="12" fillId="5" borderId="0" xfId="14" applyFont="1" applyFill="1" applyAlignment="1">
      <alignment horizontal="left"/>
    </xf>
    <xf numFmtId="3" fontId="43" fillId="5" borderId="0" xfId="14" applyNumberFormat="1" applyFont="1" applyFill="1" applyAlignment="1">
      <alignment wrapText="1"/>
    </xf>
    <xf numFmtId="3" fontId="41" fillId="5" borderId="0" xfId="14" applyNumberFormat="1" applyFont="1" applyFill="1" applyAlignment="1">
      <alignment wrapText="1"/>
    </xf>
    <xf numFmtId="0" fontId="45" fillId="5" borderId="0" xfId="14" applyFont="1" applyFill="1"/>
    <xf numFmtId="0" fontId="44" fillId="7" borderId="25" xfId="14" applyFont="1" applyFill="1" applyBorder="1" applyAlignment="1">
      <alignment horizontal="center" vertical="center" wrapText="1"/>
    </xf>
    <xf numFmtId="0" fontId="12" fillId="0" borderId="25" xfId="14" applyFont="1" applyFill="1" applyBorder="1" applyAlignment="1">
      <alignment horizontal="center" vertical="center"/>
    </xf>
    <xf numFmtId="49" fontId="12" fillId="0" borderId="25" xfId="14" applyNumberFormat="1" applyFont="1" applyFill="1" applyBorder="1" applyAlignment="1" applyProtection="1">
      <alignment horizontal="left" vertical="center" wrapText="1"/>
    </xf>
    <xf numFmtId="49" fontId="47" fillId="0" borderId="25" xfId="14" applyNumberFormat="1" applyFont="1" applyFill="1" applyBorder="1" applyAlignment="1" applyProtection="1">
      <alignment horizontal="center" vertical="center" wrapText="1"/>
    </xf>
    <xf numFmtId="49" fontId="45" fillId="0" borderId="25" xfId="14" applyNumberFormat="1" applyFont="1" applyFill="1" applyBorder="1" applyAlignment="1" applyProtection="1">
      <alignment horizontal="left" vertical="center" wrapText="1"/>
    </xf>
    <xf numFmtId="49" fontId="12" fillId="0" borderId="25" xfId="14" applyNumberFormat="1" applyFont="1" applyFill="1" applyBorder="1" applyAlignment="1" applyProtection="1">
      <alignment horizontal="center" vertical="center" wrapText="1"/>
    </xf>
    <xf numFmtId="0" fontId="42" fillId="5" borderId="0" xfId="14" applyFont="1" applyFill="1"/>
    <xf numFmtId="172" fontId="46" fillId="5" borderId="0" xfId="17" applyNumberFormat="1" applyFont="1" applyFill="1" applyAlignment="1">
      <alignment vertical="center" wrapText="1"/>
    </xf>
    <xf numFmtId="0" fontId="45" fillId="5" borderId="0" xfId="17" applyFont="1" applyFill="1" applyBorder="1" applyAlignment="1">
      <alignment vertical="center"/>
    </xf>
    <xf numFmtId="167" fontId="46" fillId="5" borderId="0" xfId="8" applyNumberFormat="1" applyFont="1" applyFill="1" applyBorder="1" applyAlignment="1">
      <alignment vertical="center" wrapText="1"/>
    </xf>
    <xf numFmtId="0" fontId="46" fillId="5" borderId="0" xfId="17" applyFont="1" applyFill="1" applyBorder="1" applyAlignment="1">
      <alignment vertical="center"/>
    </xf>
    <xf numFmtId="0" fontId="46" fillId="5" borderId="0" xfId="17" applyFont="1" applyFill="1" applyBorder="1" applyAlignment="1">
      <alignment vertical="center" wrapText="1"/>
    </xf>
    <xf numFmtId="167" fontId="46" fillId="5" borderId="0" xfId="8" applyNumberFormat="1" applyFont="1" applyFill="1" applyBorder="1" applyAlignment="1">
      <alignment horizontal="right" vertical="center" wrapText="1"/>
    </xf>
    <xf numFmtId="167" fontId="46" fillId="5" borderId="0" xfId="8" applyNumberFormat="1" applyFont="1" applyFill="1" applyBorder="1" applyAlignment="1">
      <alignment horizontal="left" vertical="center"/>
    </xf>
    <xf numFmtId="2" fontId="45" fillId="5" borderId="0" xfId="17" applyNumberFormat="1" applyFont="1" applyFill="1" applyAlignment="1">
      <alignment vertical="center"/>
    </xf>
    <xf numFmtId="167" fontId="46" fillId="5" borderId="0" xfId="8" applyNumberFormat="1" applyFont="1" applyFill="1" applyBorder="1" applyAlignment="1">
      <alignment horizontal="right" vertical="center"/>
    </xf>
    <xf numFmtId="167" fontId="46" fillId="5" borderId="0" xfId="8" applyNumberFormat="1" applyFont="1" applyFill="1" applyAlignment="1">
      <alignment horizontal="right" vertical="center"/>
    </xf>
    <xf numFmtId="2" fontId="45" fillId="5" borderId="0" xfId="17" applyNumberFormat="1" applyFont="1" applyFill="1" applyAlignment="1">
      <alignment horizontal="right" vertical="center"/>
    </xf>
    <xf numFmtId="167" fontId="45" fillId="5" borderId="0" xfId="8" applyNumberFormat="1" applyFont="1" applyFill="1" applyAlignment="1">
      <alignment horizontal="right" vertical="center"/>
    </xf>
    <xf numFmtId="2" fontId="46" fillId="5" borderId="0" xfId="17" applyNumberFormat="1" applyFont="1" applyFill="1" applyAlignment="1">
      <alignment vertical="center"/>
    </xf>
    <xf numFmtId="2" fontId="45" fillId="5" borderId="21" xfId="17" applyNumberFormat="1" applyFont="1" applyFill="1" applyBorder="1" applyAlignment="1">
      <alignment vertical="center"/>
    </xf>
    <xf numFmtId="167" fontId="45" fillId="5" borderId="21" xfId="8" applyNumberFormat="1" applyFont="1" applyFill="1" applyBorder="1" applyAlignment="1">
      <alignment horizontal="right" vertical="center"/>
    </xf>
    <xf numFmtId="2" fontId="45" fillId="5" borderId="0" xfId="17" applyNumberFormat="1" applyFont="1" applyFill="1" applyBorder="1" applyAlignment="1">
      <alignment horizontal="right" vertical="center"/>
    </xf>
    <xf numFmtId="0" fontId="12" fillId="5" borderId="0" xfId="14" applyFont="1" applyFill="1" applyBorder="1"/>
    <xf numFmtId="2" fontId="45" fillId="5" borderId="0" xfId="17" applyNumberFormat="1" applyFont="1" applyFill="1" applyBorder="1" applyAlignment="1">
      <alignment vertical="center"/>
    </xf>
    <xf numFmtId="0" fontId="12" fillId="5" borderId="0" xfId="14" applyFont="1" applyFill="1" applyAlignment="1">
      <alignment vertical="center"/>
    </xf>
    <xf numFmtId="2" fontId="12" fillId="5" borderId="0" xfId="17" applyNumberFormat="1" applyFont="1" applyFill="1" applyAlignment="1">
      <alignment vertical="center"/>
    </xf>
    <xf numFmtId="0" fontId="46" fillId="0" borderId="0" xfId="14" applyFont="1" applyFill="1" applyAlignment="1">
      <alignment vertical="center"/>
    </xf>
    <xf numFmtId="0" fontId="46" fillId="5" borderId="0" xfId="14" applyFont="1" applyFill="1" applyAlignment="1">
      <alignment vertical="center"/>
    </xf>
    <xf numFmtId="165" fontId="4" fillId="2" borderId="6" xfId="0" applyNumberFormat="1" applyFont="1" applyFill="1" applyBorder="1" applyAlignment="1" applyProtection="1">
      <alignment horizontal="right" vertical="center"/>
    </xf>
    <xf numFmtId="165" fontId="4" fillId="2" borderId="7" xfId="0" applyNumberFormat="1" applyFont="1" applyFill="1" applyBorder="1" applyAlignment="1" applyProtection="1">
      <alignment horizontal="right" vertical="center"/>
    </xf>
    <xf numFmtId="165" fontId="7" fillId="2" borderId="6" xfId="0" applyNumberFormat="1" applyFont="1" applyFill="1" applyBorder="1" applyAlignment="1" applyProtection="1">
      <alignment horizontal="right" vertical="center"/>
    </xf>
    <xf numFmtId="165" fontId="7" fillId="2" borderId="7" xfId="0" applyNumberFormat="1" applyFont="1" applyFill="1" applyBorder="1" applyAlignment="1" applyProtection="1">
      <alignment horizontal="right" vertical="center"/>
    </xf>
    <xf numFmtId="4" fontId="4" fillId="2" borderId="10" xfId="0" applyNumberFormat="1" applyFont="1" applyFill="1" applyBorder="1" applyAlignment="1" applyProtection="1">
      <alignment horizontal="right" vertical="center"/>
    </xf>
    <xf numFmtId="165" fontId="4" fillId="2" borderId="5" xfId="0" applyNumberFormat="1" applyFont="1" applyFill="1" applyBorder="1" applyAlignment="1" applyProtection="1">
      <alignment horizontal="center" vertical="center"/>
    </xf>
    <xf numFmtId="165" fontId="4" fillId="2" borderId="6" xfId="0" applyNumberFormat="1" applyFont="1" applyFill="1" applyBorder="1" applyAlignment="1" applyProtection="1">
      <alignment horizontal="left" vertical="center" wrapText="1"/>
    </xf>
    <xf numFmtId="165" fontId="4" fillId="2" borderId="6" xfId="0" applyNumberFormat="1" applyFont="1" applyFill="1" applyBorder="1" applyAlignment="1" applyProtection="1">
      <alignment horizontal="center" vertical="center"/>
    </xf>
    <xf numFmtId="0" fontId="12" fillId="0" borderId="0" xfId="0" applyFont="1" applyAlignment="1">
      <alignment vertical="center"/>
    </xf>
    <xf numFmtId="165" fontId="7" fillId="2" borderId="5" xfId="0" applyNumberFormat="1" applyFont="1" applyFill="1" applyBorder="1" applyAlignment="1" applyProtection="1">
      <alignment horizontal="center" vertical="center"/>
    </xf>
    <xf numFmtId="165" fontId="7" fillId="2" borderId="6" xfId="0" applyNumberFormat="1" applyFont="1" applyFill="1" applyBorder="1" applyAlignment="1" applyProtection="1">
      <alignment horizontal="left" vertical="center" wrapText="1"/>
    </xf>
    <xf numFmtId="165" fontId="7" fillId="2" borderId="6" xfId="0" applyNumberFormat="1" applyFont="1" applyFill="1" applyBorder="1" applyAlignment="1" applyProtection="1">
      <alignment horizontal="center" vertical="center"/>
    </xf>
    <xf numFmtId="4" fontId="4" fillId="2" borderId="8" xfId="0" applyNumberFormat="1" applyFont="1" applyFill="1" applyBorder="1" applyAlignment="1" applyProtection="1">
      <alignment horizontal="center" vertical="center"/>
    </xf>
    <xf numFmtId="4" fontId="4" fillId="2" borderId="9" xfId="0" applyNumberFormat="1" applyFont="1" applyFill="1" applyBorder="1" applyAlignment="1" applyProtection="1">
      <alignment horizontal="left" vertical="center" wrapText="1"/>
    </xf>
    <xf numFmtId="4" fontId="4" fillId="2" borderId="9" xfId="0" applyNumberFormat="1" applyFont="1" applyFill="1" applyBorder="1" applyAlignment="1" applyProtection="1">
      <alignment horizontal="center" vertical="center"/>
    </xf>
    <xf numFmtId="0" fontId="22" fillId="5" borderId="23" xfId="0" applyFont="1" applyFill="1" applyBorder="1" applyAlignment="1">
      <alignment horizontal="left" vertical="center" wrapText="1"/>
    </xf>
    <xf numFmtId="0" fontId="22" fillId="5" borderId="0" xfId="0" applyFont="1" applyFill="1" applyBorder="1" applyAlignment="1">
      <alignment horizontal="left" vertical="center" wrapText="1"/>
    </xf>
    <xf numFmtId="0" fontId="20" fillId="4" borderId="0" xfId="0" applyFont="1" applyFill="1" applyBorder="1" applyAlignment="1">
      <alignment horizontal="left"/>
    </xf>
    <xf numFmtId="0" fontId="22" fillId="5" borderId="17" xfId="0" applyFont="1" applyFill="1" applyBorder="1" applyAlignment="1">
      <alignment horizontal="left" wrapText="1"/>
    </xf>
    <xf numFmtId="0" fontId="22" fillId="5" borderId="18" xfId="0" applyFont="1" applyFill="1" applyBorder="1" applyAlignment="1">
      <alignment horizontal="left"/>
    </xf>
    <xf numFmtId="0" fontId="22" fillId="5" borderId="19" xfId="0" applyFont="1" applyFill="1" applyBorder="1" applyAlignment="1">
      <alignment horizontal="left"/>
    </xf>
    <xf numFmtId="0" fontId="22" fillId="5" borderId="20" xfId="0" applyFont="1" applyFill="1" applyBorder="1" applyAlignment="1">
      <alignment horizontal="left" wrapText="1"/>
    </xf>
    <xf numFmtId="0" fontId="22" fillId="5" borderId="21" xfId="0" applyFont="1" applyFill="1" applyBorder="1" applyAlignment="1">
      <alignment horizontal="left"/>
    </xf>
    <xf numFmtId="0" fontId="22" fillId="5" borderId="22" xfId="0" applyFont="1" applyFill="1" applyBorder="1" applyAlignment="1">
      <alignment horizontal="left"/>
    </xf>
    <xf numFmtId="0" fontId="20" fillId="4" borderId="0" xfId="0" applyFont="1" applyFill="1" applyAlignment="1">
      <alignment horizontal="left"/>
    </xf>
    <xf numFmtId="0" fontId="20" fillId="5" borderId="17" xfId="0" applyFont="1" applyFill="1" applyBorder="1" applyAlignment="1">
      <alignment horizontal="left" vertical="center" wrapText="1"/>
    </xf>
    <xf numFmtId="0" fontId="20" fillId="5" borderId="18" xfId="0" applyFont="1" applyFill="1" applyBorder="1" applyAlignment="1">
      <alignment horizontal="left" vertical="center" wrapText="1"/>
    </xf>
    <xf numFmtId="0" fontId="20" fillId="5" borderId="23" xfId="0" applyFont="1" applyFill="1" applyBorder="1" applyAlignment="1">
      <alignment horizontal="left" vertical="center" wrapText="1"/>
    </xf>
    <xf numFmtId="0" fontId="20" fillId="5" borderId="0" xfId="0" applyFont="1" applyFill="1" applyBorder="1" applyAlignment="1">
      <alignment horizontal="left" vertical="center" wrapText="1"/>
    </xf>
    <xf numFmtId="168" fontId="25" fillId="6" borderId="21" xfId="4" applyNumberFormat="1" applyFont="1" applyFill="1" applyBorder="1" applyAlignment="1" applyProtection="1">
      <alignment horizontal="left" vertical="top"/>
    </xf>
    <xf numFmtId="0" fontId="27" fillId="5" borderId="17" xfId="0" applyFont="1" applyFill="1" applyBorder="1" applyAlignment="1">
      <alignment horizontal="center" vertical="center"/>
    </xf>
    <xf numFmtId="0" fontId="27" fillId="5" borderId="18" xfId="0" applyFont="1" applyFill="1" applyBorder="1" applyAlignment="1">
      <alignment horizontal="center" vertical="center"/>
    </xf>
    <xf numFmtId="0" fontId="27" fillId="5" borderId="19" xfId="0" applyFont="1" applyFill="1" applyBorder="1" applyAlignment="1">
      <alignment horizontal="center" vertical="center"/>
    </xf>
    <xf numFmtId="0" fontId="29" fillId="5" borderId="23" xfId="5" applyFont="1" applyFill="1" applyBorder="1" applyAlignment="1">
      <alignment horizontal="center" vertical="center"/>
    </xf>
    <xf numFmtId="0" fontId="29" fillId="5" borderId="0" xfId="5" applyFont="1" applyFill="1" applyBorder="1" applyAlignment="1">
      <alignment horizontal="center" vertical="center"/>
    </xf>
    <xf numFmtId="0" fontId="29" fillId="5" borderId="24" xfId="5" applyFont="1" applyFill="1" applyBorder="1" applyAlignment="1">
      <alignment horizontal="center" vertical="center"/>
    </xf>
    <xf numFmtId="0" fontId="22" fillId="5" borderId="20" xfId="0" applyFont="1" applyFill="1" applyBorder="1" applyAlignment="1">
      <alignment horizontal="left"/>
    </xf>
    <xf numFmtId="0" fontId="22" fillId="4" borderId="25" xfId="0" applyFont="1" applyFill="1" applyBorder="1" applyAlignment="1">
      <alignment horizontal="left" vertical="center"/>
    </xf>
    <xf numFmtId="0" fontId="30" fillId="5" borderId="23" xfId="5" applyFont="1" applyFill="1" applyBorder="1" applyAlignment="1">
      <alignment horizontal="center" vertical="center"/>
    </xf>
    <xf numFmtId="0" fontId="30" fillId="5" borderId="0" xfId="5" applyFont="1" applyFill="1" applyBorder="1" applyAlignment="1">
      <alignment horizontal="center" vertical="center"/>
    </xf>
    <xf numFmtId="0" fontId="30" fillId="5" borderId="24" xfId="5" applyFont="1" applyFill="1" applyBorder="1" applyAlignment="1">
      <alignment horizontal="center" vertical="center"/>
    </xf>
    <xf numFmtId="0" fontId="31" fillId="5" borderId="23" xfId="5" applyFont="1" applyFill="1" applyBorder="1" applyAlignment="1">
      <alignment horizontal="center" vertical="center"/>
    </xf>
    <xf numFmtId="0" fontId="31" fillId="5" borderId="0" xfId="5" applyFont="1" applyFill="1" applyBorder="1" applyAlignment="1">
      <alignment horizontal="center" vertical="center"/>
    </xf>
    <xf numFmtId="0" fontId="31" fillId="5" borderId="24" xfId="5" applyFont="1" applyFill="1" applyBorder="1" applyAlignment="1">
      <alignment horizontal="center" vertical="center"/>
    </xf>
    <xf numFmtId="0" fontId="31" fillId="5" borderId="20" xfId="5" applyFont="1" applyFill="1" applyBorder="1" applyAlignment="1">
      <alignment horizontal="center" vertical="center"/>
    </xf>
    <xf numFmtId="0" fontId="31" fillId="5" borderId="21" xfId="5" applyFont="1" applyFill="1" applyBorder="1" applyAlignment="1">
      <alignment horizontal="center" vertical="center"/>
    </xf>
    <xf numFmtId="0" fontId="31" fillId="5" borderId="22" xfId="5" applyFont="1" applyFill="1" applyBorder="1" applyAlignment="1">
      <alignment horizontal="center" vertical="center"/>
    </xf>
    <xf numFmtId="0" fontId="20" fillId="4" borderId="25" xfId="0" applyFont="1" applyFill="1" applyBorder="1" applyAlignment="1">
      <alignment horizontal="left" vertical="center"/>
    </xf>
    <xf numFmtId="0" fontId="20" fillId="4" borderId="25" xfId="0" applyFont="1" applyFill="1" applyBorder="1" applyAlignment="1">
      <alignment horizontal="left" wrapText="1"/>
    </xf>
    <xf numFmtId="0" fontId="4" fillId="2" borderId="0" xfId="0" applyNumberFormat="1" applyFont="1" applyFill="1" applyBorder="1" applyAlignment="1" applyProtection="1">
      <alignment horizontal="left" vertical="top"/>
    </xf>
    <xf numFmtId="0" fontId="13" fillId="2" borderId="0" xfId="0" applyNumberFormat="1" applyFont="1" applyFill="1" applyBorder="1" applyAlignment="1" applyProtection="1">
      <alignment horizontal="left" vertical="top"/>
    </xf>
    <xf numFmtId="0" fontId="14" fillId="2" borderId="0" xfId="0" applyNumberFormat="1" applyFont="1" applyFill="1" applyBorder="1" applyAlignment="1" applyProtection="1">
      <alignment horizontal="center" vertical="center" wrapText="1"/>
    </xf>
    <xf numFmtId="0" fontId="5"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xf numFmtId="0" fontId="7" fillId="2" borderId="0" xfId="0" applyNumberFormat="1" applyFont="1" applyFill="1" applyBorder="1" applyAlignment="1" applyProtection="1">
      <alignment horizontal="left" vertical="top"/>
    </xf>
    <xf numFmtId="14" fontId="4" fillId="2" borderId="0" xfId="0" applyNumberFormat="1" applyFont="1" applyFill="1" applyBorder="1" applyAlignment="1" applyProtection="1">
      <alignment horizontal="left" vertical="top"/>
    </xf>
    <xf numFmtId="15" fontId="7" fillId="2" borderId="0"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left" vertical="top" wrapText="1"/>
    </xf>
    <xf numFmtId="0" fontId="7" fillId="2" borderId="1" xfId="0" applyNumberFormat="1" applyFont="1" applyFill="1" applyBorder="1" applyAlignment="1" applyProtection="1">
      <alignment horizontal="right" vertical="top"/>
    </xf>
    <xf numFmtId="0" fontId="7" fillId="2" borderId="0" xfId="0" applyNumberFormat="1" applyFont="1" applyFill="1" applyBorder="1" applyAlignment="1" applyProtection="1">
      <alignment horizontal="left" vertical="center" wrapText="1"/>
    </xf>
    <xf numFmtId="0" fontId="4" fillId="2" borderId="0" xfId="0" applyNumberFormat="1" applyFont="1" applyFill="1" applyBorder="1" applyAlignment="1" applyProtection="1">
      <alignment horizontal="center" vertical="top"/>
    </xf>
    <xf numFmtId="0" fontId="7" fillId="2" borderId="0" xfId="0" applyNumberFormat="1" applyFont="1" applyFill="1" applyBorder="1" applyAlignment="1" applyProtection="1">
      <alignment horizontal="center" vertical="center"/>
    </xf>
    <xf numFmtId="0" fontId="18" fillId="2" borderId="0" xfId="0" applyNumberFormat="1" applyFont="1" applyFill="1" applyBorder="1" applyAlignment="1" applyProtection="1">
      <alignment horizontal="left" vertical="top"/>
    </xf>
    <xf numFmtId="0" fontId="7" fillId="2" borderId="0" xfId="0" applyNumberFormat="1" applyFont="1" applyFill="1" applyBorder="1" applyAlignment="1" applyProtection="1">
      <alignment horizontal="left" vertical="center"/>
    </xf>
    <xf numFmtId="0" fontId="10"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center"/>
    </xf>
    <xf numFmtId="0" fontId="4" fillId="2" borderId="0" xfId="0" applyNumberFormat="1" applyFont="1" applyFill="1" applyBorder="1" applyAlignment="1" applyProtection="1">
      <alignment horizontal="center" vertical="center"/>
    </xf>
    <xf numFmtId="14" fontId="4" fillId="2" borderId="0" xfId="0" applyNumberFormat="1" applyFont="1" applyFill="1" applyBorder="1" applyAlignment="1" applyProtection="1">
      <alignment horizontal="left" vertical="center"/>
    </xf>
    <xf numFmtId="15" fontId="7" fillId="2" borderId="0" xfId="0" applyNumberFormat="1" applyFont="1" applyFill="1" applyBorder="1" applyAlignment="1" applyProtection="1">
      <alignment horizontal="left" vertical="center"/>
    </xf>
    <xf numFmtId="0" fontId="4" fillId="2" borderId="0" xfId="0" applyNumberFormat="1" applyFont="1" applyFill="1" applyBorder="1" applyAlignment="1" applyProtection="1">
      <alignment horizontal="left" vertical="center" wrapText="1"/>
    </xf>
    <xf numFmtId="0" fontId="8" fillId="2" borderId="0" xfId="0" applyNumberFormat="1" applyFont="1" applyFill="1" applyBorder="1" applyAlignment="1" applyProtection="1">
      <alignment horizontal="left" vertical="top"/>
    </xf>
    <xf numFmtId="0" fontId="8" fillId="2" borderId="0" xfId="0" applyNumberFormat="1" applyFont="1" applyFill="1" applyBorder="1" applyAlignment="1" applyProtection="1">
      <alignment horizontal="left" vertical="top" wrapText="1"/>
    </xf>
    <xf numFmtId="168" fontId="43" fillId="6" borderId="0" xfId="4" applyNumberFormat="1" applyFont="1" applyFill="1" applyBorder="1" applyAlignment="1" applyProtection="1">
      <alignment horizontal="left" vertical="top"/>
    </xf>
    <xf numFmtId="0" fontId="12" fillId="5" borderId="0" xfId="14" applyFont="1" applyFill="1" applyAlignment="1">
      <alignment horizontal="left"/>
    </xf>
    <xf numFmtId="0" fontId="39" fillId="5" borderId="0" xfId="14" applyFont="1" applyFill="1" applyAlignment="1">
      <alignment horizontal="center" vertical="center" wrapText="1"/>
    </xf>
    <xf numFmtId="0" fontId="40" fillId="5" borderId="0" xfId="14" applyFont="1" applyFill="1" applyAlignment="1">
      <alignment horizontal="center" vertical="center" wrapText="1"/>
    </xf>
    <xf numFmtId="0" fontId="41" fillId="5" borderId="0" xfId="14" applyFont="1" applyFill="1" applyAlignment="1">
      <alignment horizontal="center" vertical="center" wrapText="1"/>
    </xf>
    <xf numFmtId="3" fontId="39" fillId="5" borderId="0" xfId="14" applyNumberFormat="1" applyFont="1" applyFill="1" applyAlignment="1">
      <alignment horizontal="center" vertical="center" wrapText="1"/>
    </xf>
    <xf numFmtId="0" fontId="39" fillId="5" borderId="0" xfId="14" applyFont="1" applyFill="1" applyAlignment="1">
      <alignment horizontal="center" vertical="center"/>
    </xf>
    <xf numFmtId="14" fontId="41" fillId="5" borderId="0" xfId="14" applyNumberFormat="1" applyFont="1" applyFill="1" applyAlignment="1">
      <alignment horizontal="left" vertical="center"/>
    </xf>
    <xf numFmtId="0" fontId="44" fillId="7" borderId="26" xfId="14" applyFont="1" applyFill="1" applyBorder="1" applyAlignment="1">
      <alignment horizontal="center" vertical="center" wrapText="1"/>
    </xf>
    <xf numFmtId="0" fontId="44" fillId="7" borderId="29" xfId="14" applyFont="1" applyFill="1" applyBorder="1" applyAlignment="1">
      <alignment horizontal="center" vertical="center" wrapText="1"/>
    </xf>
    <xf numFmtId="0" fontId="44" fillId="7" borderId="27" xfId="14" applyFont="1" applyFill="1" applyBorder="1" applyAlignment="1">
      <alignment horizontal="center" vertical="center" wrapText="1"/>
    </xf>
    <xf numFmtId="0" fontId="44" fillId="7" borderId="28" xfId="14" applyFont="1" applyFill="1" applyBorder="1" applyAlignment="1">
      <alignment horizontal="center" vertical="center" wrapText="1"/>
    </xf>
    <xf numFmtId="0" fontId="12" fillId="0" borderId="17" xfId="14" applyFont="1" applyBorder="1" applyAlignment="1">
      <alignment horizontal="center" vertical="center" wrapText="1"/>
    </xf>
    <xf numFmtId="0" fontId="12" fillId="0" borderId="18" xfId="14" applyFont="1" applyBorder="1" applyAlignment="1">
      <alignment horizontal="center" vertical="center" wrapText="1"/>
    </xf>
    <xf numFmtId="0" fontId="12" fillId="0" borderId="19" xfId="14" applyFont="1" applyBorder="1" applyAlignment="1">
      <alignment horizontal="center" vertical="center" wrapText="1"/>
    </xf>
    <xf numFmtId="0" fontId="12" fillId="0" borderId="23" xfId="14" applyFont="1" applyBorder="1" applyAlignment="1">
      <alignment horizontal="center" vertical="center" wrapText="1"/>
    </xf>
    <xf numFmtId="0" fontId="12" fillId="0" borderId="0" xfId="14" applyFont="1" applyBorder="1" applyAlignment="1">
      <alignment horizontal="center" vertical="center" wrapText="1"/>
    </xf>
    <xf numFmtId="0" fontId="12" fillId="0" borderId="24" xfId="14" applyFont="1" applyBorder="1" applyAlignment="1">
      <alignment horizontal="center" vertical="center" wrapText="1"/>
    </xf>
    <xf numFmtId="0" fontId="12" fillId="0" borderId="20" xfId="14" applyFont="1" applyBorder="1" applyAlignment="1">
      <alignment horizontal="center" vertical="center" wrapText="1"/>
    </xf>
    <xf numFmtId="0" fontId="12" fillId="0" borderId="21" xfId="14" applyFont="1" applyBorder="1" applyAlignment="1">
      <alignment horizontal="center" vertical="center" wrapText="1"/>
    </xf>
    <xf numFmtId="0" fontId="12" fillId="0" borderId="22" xfId="14" applyFont="1" applyBorder="1" applyAlignment="1">
      <alignment horizontal="center" vertical="center" wrapText="1"/>
    </xf>
    <xf numFmtId="0" fontId="46" fillId="5" borderId="0" xfId="17" applyFont="1" applyFill="1" applyAlignment="1">
      <alignment horizontal="center" vertical="center"/>
    </xf>
    <xf numFmtId="172" fontId="46" fillId="5" borderId="0" xfId="17" applyNumberFormat="1" applyFont="1" applyFill="1" applyAlignment="1">
      <alignment horizontal="center" vertical="center"/>
    </xf>
    <xf numFmtId="0" fontId="44" fillId="7" borderId="25" xfId="14" applyFont="1" applyFill="1" applyBorder="1" applyAlignment="1">
      <alignment horizontal="center" vertical="center" wrapText="1"/>
    </xf>
    <xf numFmtId="0" fontId="46" fillId="7" borderId="26" xfId="14" applyFont="1" applyFill="1" applyBorder="1" applyAlignment="1" applyProtection="1">
      <alignment horizontal="center" vertical="center" wrapText="1"/>
    </xf>
    <xf numFmtId="0" fontId="46" fillId="7" borderId="29" xfId="14" applyFont="1" applyFill="1" applyBorder="1" applyAlignment="1" applyProtection="1">
      <alignment horizontal="center" vertical="center" wrapText="1"/>
    </xf>
    <xf numFmtId="0" fontId="46" fillId="5" borderId="0" xfId="17" applyFont="1" applyFill="1" applyBorder="1" applyAlignment="1">
      <alignment horizontal="center" vertical="center"/>
    </xf>
    <xf numFmtId="0" fontId="41" fillId="6" borderId="0" xfId="11" applyNumberFormat="1" applyFont="1" applyFill="1" applyBorder="1" applyAlignment="1" applyProtection="1">
      <alignment horizontal="center" vertical="center"/>
    </xf>
    <xf numFmtId="167" fontId="46" fillId="5" borderId="0" xfId="8" applyNumberFormat="1" applyFont="1" applyFill="1" applyBorder="1" applyAlignment="1">
      <alignment horizontal="center" vertical="center"/>
    </xf>
    <xf numFmtId="0" fontId="46" fillId="5" borderId="18" xfId="17" applyFont="1" applyFill="1" applyBorder="1" applyAlignment="1">
      <alignment horizontal="center" vertical="center"/>
    </xf>
    <xf numFmtId="0" fontId="3" fillId="2" borderId="0" xfId="0" applyNumberFormat="1" applyFont="1" applyFill="1" applyBorder="1" applyAlignment="1" applyProtection="1">
      <alignment horizontal="left" vertical="top"/>
    </xf>
    <xf numFmtId="0" fontId="15"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center" wrapText="1"/>
    </xf>
    <xf numFmtId="0" fontId="16" fillId="2" borderId="0" xfId="0" applyNumberFormat="1" applyFont="1" applyFill="1" applyBorder="1" applyAlignment="1" applyProtection="1">
      <alignment horizontal="right" vertical="top"/>
    </xf>
    <xf numFmtId="0" fontId="7" fillId="2" borderId="6" xfId="0" applyNumberFormat="1" applyFont="1" applyFill="1" applyBorder="1" applyAlignment="1" applyProtection="1">
      <alignment horizontal="left" vertical="top" wrapText="1"/>
    </xf>
    <xf numFmtId="0" fontId="4" fillId="3" borderId="3" xfId="0" applyNumberFormat="1" applyFont="1" applyFill="1" applyBorder="1" applyAlignment="1" applyProtection="1">
      <alignment horizontal="center" vertical="center" wrapText="1"/>
    </xf>
    <xf numFmtId="0" fontId="7" fillId="2" borderId="9" xfId="0" applyNumberFormat="1" applyFont="1" applyFill="1" applyBorder="1" applyAlignment="1" applyProtection="1">
      <alignment horizontal="left" vertical="top" wrapText="1"/>
    </xf>
    <xf numFmtId="0" fontId="5" fillId="2" borderId="0" xfId="0" applyNumberFormat="1" applyFont="1" applyFill="1" applyBorder="1" applyAlignment="1" applyProtection="1">
      <alignment horizontal="center" vertical="top" wrapText="1"/>
    </xf>
    <xf numFmtId="0" fontId="6" fillId="2" borderId="0" xfId="0" applyNumberFormat="1" applyFont="1" applyFill="1" applyBorder="1" applyAlignment="1" applyProtection="1">
      <alignment horizontal="center" vertical="center"/>
    </xf>
    <xf numFmtId="0" fontId="6" fillId="2" borderId="0" xfId="0" applyNumberFormat="1" applyFont="1" applyFill="1" applyBorder="1" applyAlignment="1" applyProtection="1">
      <alignment horizontal="center" vertical="top"/>
    </xf>
    <xf numFmtId="0" fontId="4" fillId="3" borderId="2" xfId="0" applyNumberFormat="1" applyFont="1" applyFill="1" applyBorder="1" applyAlignment="1" applyProtection="1">
      <alignment horizontal="center" vertical="center" wrapText="1"/>
    </xf>
    <xf numFmtId="0" fontId="4" fillId="3" borderId="14" xfId="0" applyNumberFormat="1" applyFont="1" applyFill="1" applyBorder="1" applyAlignment="1" applyProtection="1">
      <alignment horizontal="center" vertical="center" wrapText="1"/>
    </xf>
    <xf numFmtId="0" fontId="4" fillId="3" borderId="15" xfId="0" applyNumberFormat="1" applyFont="1" applyFill="1" applyBorder="1" applyAlignment="1" applyProtection="1">
      <alignment horizontal="center" vertical="center" wrapText="1"/>
    </xf>
    <xf numFmtId="0" fontId="4" fillId="3" borderId="4" xfId="0" applyNumberFormat="1" applyFont="1" applyFill="1" applyBorder="1" applyAlignment="1" applyProtection="1">
      <alignment horizontal="center" vertical="center" wrapText="1"/>
    </xf>
    <xf numFmtId="0" fontId="8" fillId="2" borderId="0" xfId="0" applyNumberFormat="1" applyFont="1" applyFill="1" applyBorder="1" applyAlignment="1" applyProtection="1">
      <alignment horizontal="center" vertical="center"/>
    </xf>
    <xf numFmtId="0" fontId="8" fillId="2" borderId="0" xfId="0" applyNumberFormat="1" applyFont="1" applyFill="1" applyBorder="1" applyAlignment="1" applyProtection="1">
      <alignment horizontal="center"/>
    </xf>
    <xf numFmtId="14" fontId="4" fillId="2" borderId="0" xfId="0" applyNumberFormat="1" applyFont="1" applyFill="1" applyBorder="1" applyAlignment="1" applyProtection="1">
      <alignment horizontal="left" vertical="top" wrapText="1"/>
    </xf>
    <xf numFmtId="0" fontId="7" fillId="2" borderId="1"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center" wrapText="1"/>
    </xf>
    <xf numFmtId="0" fontId="4"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top"/>
    </xf>
    <xf numFmtId="0" fontId="14" fillId="2" borderId="0" xfId="0" applyNumberFormat="1" applyFont="1" applyFill="1" applyBorder="1" applyAlignment="1" applyProtection="1">
      <alignment horizontal="right" vertical="center" wrapText="1"/>
    </xf>
    <xf numFmtId="0" fontId="6" fillId="2" borderId="0" xfId="0" applyNumberFormat="1" applyFont="1" applyFill="1" applyBorder="1" applyAlignment="1" applyProtection="1">
      <alignment horizontal="center" vertical="center" wrapText="1"/>
    </xf>
    <xf numFmtId="164" fontId="7" fillId="0" borderId="6" xfId="0" applyNumberFormat="1" applyFont="1" applyFill="1" applyBorder="1" applyAlignment="1" applyProtection="1">
      <alignment horizontal="right" vertical="top"/>
    </xf>
  </cellXfs>
  <cellStyles count="19">
    <cellStyle name="Comma 13" xfId="7"/>
    <cellStyle name="Comma 2" xfId="3"/>
    <cellStyle name="Comma 4" xfId="8"/>
    <cellStyle name="Currency [0] 2" xfId="9"/>
    <cellStyle name="Hyperlink" xfId="6" builtinId="8"/>
    <cellStyle name="Normal" xfId="0" builtinId="0"/>
    <cellStyle name="Normal 2" xfId="1"/>
    <cellStyle name="Normal 2 2" xfId="10"/>
    <cellStyle name="Normal 3" xfId="11"/>
    <cellStyle name="Normal 3 2" xfId="12"/>
    <cellStyle name="Normal 3 2 2" xfId="13"/>
    <cellStyle name="Normal 3 2 3" xfId="14"/>
    <cellStyle name="Normal 4" xfId="15"/>
    <cellStyle name="Normal 5" xfId="16"/>
    <cellStyle name="Normal 6" xfId="4"/>
    <cellStyle name="Normal_Bao cao tai chinh 280405" xfId="5"/>
    <cellStyle name="Normal_Bao cao tai chinh 280405 2" xfId="17"/>
    <cellStyle name="Percent" xfId="2" builtinId="5"/>
    <cellStyle name="Percent 2" xfId="18"/>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123824</xdr:colOff>
      <xdr:row>0</xdr:row>
      <xdr:rowOff>28574</xdr:rowOff>
    </xdr:from>
    <xdr:to>
      <xdr:col>1</xdr:col>
      <xdr:colOff>909637</xdr:colOff>
      <xdr:row>0</xdr:row>
      <xdr:rowOff>457199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4" y="28574"/>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66675</xdr:colOff>
      <xdr:row>0</xdr:row>
      <xdr:rowOff>19050</xdr:rowOff>
    </xdr:from>
    <xdr:to>
      <xdr:col>1</xdr:col>
      <xdr:colOff>852488</xdr:colOff>
      <xdr:row>0</xdr:row>
      <xdr:rowOff>447675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19050"/>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219075</xdr:colOff>
      <xdr:row>0</xdr:row>
      <xdr:rowOff>1</xdr:rowOff>
    </xdr:from>
    <xdr:to>
      <xdr:col>1</xdr:col>
      <xdr:colOff>952500</xdr:colOff>
      <xdr:row>1</xdr:row>
      <xdr:rowOff>19051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 y="1"/>
          <a:ext cx="7334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0</xdr:colOff>
      <xdr:row>0</xdr:row>
      <xdr:rowOff>0</xdr:rowOff>
    </xdr:from>
    <xdr:to>
      <xdr:col>1</xdr:col>
      <xdr:colOff>785813</xdr:colOff>
      <xdr:row>1</xdr:row>
      <xdr:rowOff>123825</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 y="0"/>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276226</xdr:colOff>
      <xdr:row>0</xdr:row>
      <xdr:rowOff>1</xdr:rowOff>
    </xdr:from>
    <xdr:to>
      <xdr:col>1</xdr:col>
      <xdr:colOff>922338</xdr:colOff>
      <xdr:row>1</xdr:row>
      <xdr:rowOff>38100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1" y="1"/>
          <a:ext cx="646112" cy="3524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895350</xdr:colOff>
      <xdr:row>0</xdr:row>
      <xdr:rowOff>1</xdr:rowOff>
    </xdr:from>
    <xdr:to>
      <xdr:col>0</xdr:col>
      <xdr:colOff>1628775</xdr:colOff>
      <xdr:row>1</xdr:row>
      <xdr:rowOff>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5350" y="1"/>
          <a:ext cx="7334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466726</xdr:colOff>
      <xdr:row>0</xdr:row>
      <xdr:rowOff>0</xdr:rowOff>
    </xdr:from>
    <xdr:to>
      <xdr:col>1</xdr:col>
      <xdr:colOff>1217614</xdr:colOff>
      <xdr:row>1</xdr:row>
      <xdr:rowOff>19050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1051" y="0"/>
          <a:ext cx="750888"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714375</xdr:colOff>
      <xdr:row>1</xdr:row>
      <xdr:rowOff>18184</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 y="0"/>
          <a:ext cx="714375" cy="3896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zoomScale="80" zoomScaleNormal="50" zoomScaleSheetLayoutView="80" workbookViewId="0">
      <selection activeCell="C4" sqref="C4"/>
    </sheetView>
  </sheetViews>
  <sheetFormatPr defaultRowHeight="15" x14ac:dyDescent="0.25"/>
  <cols>
    <col min="1" max="1" width="11.85546875" style="129" customWidth="1"/>
    <col min="2" max="2" width="6.140625" style="129" customWidth="1"/>
    <col min="3" max="3" width="11.42578125" style="129" customWidth="1"/>
    <col min="4" max="4" width="24.28515625" style="129" customWidth="1"/>
    <col min="5" max="5" width="23.140625" style="129" customWidth="1"/>
    <col min="6" max="6" width="5.28515625" style="129" customWidth="1"/>
    <col min="7" max="7" width="24.5703125" style="129" customWidth="1"/>
    <col min="8" max="8" width="21.42578125" style="129" customWidth="1"/>
    <col min="9" max="9" width="12.85546875" style="129" customWidth="1"/>
    <col min="10" max="16384" width="9.140625" style="129"/>
  </cols>
  <sheetData>
    <row r="1" spans="1:10" ht="15.75" x14ac:dyDescent="0.25">
      <c r="A1" s="230" t="s">
        <v>984</v>
      </c>
      <c r="B1" s="230"/>
    </row>
    <row r="2" spans="1:10" ht="15.75" x14ac:dyDescent="0.25">
      <c r="C2" s="231" t="s">
        <v>1068</v>
      </c>
      <c r="D2" s="232"/>
      <c r="E2" s="233"/>
    </row>
    <row r="3" spans="1:10" ht="15.75" x14ac:dyDescent="0.25">
      <c r="A3" s="130"/>
      <c r="B3" s="130"/>
      <c r="C3" s="234" t="s">
        <v>1067</v>
      </c>
      <c r="D3" s="235"/>
      <c r="E3" s="236"/>
    </row>
    <row r="4" spans="1:10" x14ac:dyDescent="0.25">
      <c r="A4" s="131"/>
      <c r="B4" s="131"/>
    </row>
    <row r="5" spans="1:10" ht="15.75" x14ac:dyDescent="0.25">
      <c r="A5" s="237" t="s">
        <v>985</v>
      </c>
      <c r="B5" s="237"/>
      <c r="E5" s="132"/>
      <c r="F5" s="132"/>
      <c r="G5" s="132"/>
      <c r="H5" s="132"/>
      <c r="I5" s="132"/>
    </row>
    <row r="6" spans="1:10" ht="15.75" x14ac:dyDescent="0.25">
      <c r="A6" s="130"/>
      <c r="B6" s="130"/>
      <c r="C6" s="238" t="s">
        <v>10</v>
      </c>
      <c r="D6" s="239"/>
      <c r="E6" s="133" t="s">
        <v>986</v>
      </c>
      <c r="F6" s="134"/>
      <c r="G6" s="134"/>
      <c r="H6" s="134"/>
      <c r="I6" s="135"/>
    </row>
    <row r="7" spans="1:10" ht="15.75" x14ac:dyDescent="0.25">
      <c r="A7" s="130"/>
      <c r="B7" s="130"/>
      <c r="C7" s="228" t="s">
        <v>12</v>
      </c>
      <c r="D7" s="229"/>
      <c r="E7" s="136" t="s">
        <v>13</v>
      </c>
      <c r="F7" s="137"/>
      <c r="G7" s="137"/>
      <c r="H7" s="137"/>
      <c r="I7" s="138"/>
      <c r="J7" s="139"/>
    </row>
    <row r="8" spans="1:10" ht="15.75" x14ac:dyDescent="0.25">
      <c r="A8" s="130"/>
      <c r="B8" s="130"/>
      <c r="C8" s="240" t="s">
        <v>385</v>
      </c>
      <c r="D8" s="241"/>
      <c r="E8" s="140" t="s">
        <v>987</v>
      </c>
      <c r="F8" s="141"/>
      <c r="G8" s="141"/>
      <c r="H8" s="141"/>
      <c r="I8" s="142"/>
      <c r="J8" s="139"/>
    </row>
    <row r="9" spans="1:10" ht="15.75" x14ac:dyDescent="0.25">
      <c r="A9" s="130"/>
      <c r="B9" s="130"/>
      <c r="C9" s="228" t="s">
        <v>988</v>
      </c>
      <c r="D9" s="229"/>
      <c r="E9" s="136" t="s">
        <v>519</v>
      </c>
      <c r="F9" s="137"/>
      <c r="G9" s="137"/>
      <c r="H9" s="137"/>
      <c r="I9" s="138"/>
      <c r="J9" s="139"/>
    </row>
    <row r="10" spans="1:10" ht="15.75" x14ac:dyDescent="0.25">
      <c r="A10" s="130"/>
      <c r="B10" s="130"/>
      <c r="C10" s="240" t="s">
        <v>5</v>
      </c>
      <c r="D10" s="241"/>
      <c r="E10" s="140" t="s">
        <v>989</v>
      </c>
      <c r="F10" s="141"/>
      <c r="G10" s="141"/>
      <c r="H10" s="141"/>
      <c r="I10" s="142"/>
      <c r="J10" s="139"/>
    </row>
    <row r="11" spans="1:10" ht="15.75" x14ac:dyDescent="0.25">
      <c r="A11" s="130"/>
      <c r="B11" s="130"/>
      <c r="C11" s="228" t="s">
        <v>990</v>
      </c>
      <c r="D11" s="229"/>
      <c r="E11" s="136" t="s">
        <v>991</v>
      </c>
      <c r="F11" s="137"/>
      <c r="G11" s="137"/>
      <c r="H11" s="137"/>
      <c r="I11" s="138"/>
      <c r="J11" s="139"/>
    </row>
    <row r="12" spans="1:10" ht="15.75" x14ac:dyDescent="0.25">
      <c r="A12" s="130"/>
      <c r="B12" s="130"/>
      <c r="C12" s="240" t="s">
        <v>20</v>
      </c>
      <c r="D12" s="241"/>
      <c r="E12" s="143">
        <v>44504</v>
      </c>
      <c r="F12" s="141"/>
      <c r="G12" s="141"/>
      <c r="H12" s="141"/>
      <c r="I12" s="142"/>
      <c r="J12" s="139"/>
    </row>
    <row r="13" spans="1:10" ht="15.75" x14ac:dyDescent="0.25">
      <c r="A13" s="130"/>
      <c r="B13" s="130"/>
      <c r="C13" s="249" t="s">
        <v>21</v>
      </c>
      <c r="D13" s="235"/>
      <c r="E13" s="242">
        <f>+E12</f>
        <v>44504</v>
      </c>
      <c r="F13" s="242"/>
      <c r="G13" s="242"/>
      <c r="H13" s="242"/>
      <c r="I13" s="144"/>
      <c r="J13" s="139"/>
    </row>
    <row r="14" spans="1:10" ht="15.75" x14ac:dyDescent="0.25">
      <c r="C14" s="132"/>
      <c r="D14" s="145"/>
      <c r="E14" s="132"/>
      <c r="F14" s="132"/>
      <c r="G14" s="132"/>
      <c r="H14" s="132"/>
      <c r="I14" s="132"/>
      <c r="J14" s="132"/>
    </row>
    <row r="15" spans="1:10" ht="15.75" x14ac:dyDescent="0.25">
      <c r="A15" s="237" t="s">
        <v>992</v>
      </c>
      <c r="B15" s="237"/>
      <c r="E15" s="132"/>
      <c r="F15" s="132"/>
      <c r="G15" s="132"/>
      <c r="H15" s="132"/>
      <c r="I15" s="132"/>
      <c r="J15" s="132"/>
    </row>
    <row r="16" spans="1:10" ht="15.75" x14ac:dyDescent="0.25">
      <c r="C16" s="243" t="s">
        <v>221</v>
      </c>
      <c r="D16" s="244"/>
      <c r="E16" s="245"/>
      <c r="G16" s="243" t="s">
        <v>993</v>
      </c>
      <c r="H16" s="244"/>
      <c r="I16" s="245"/>
    </row>
    <row r="17" spans="1:9" ht="15.75" x14ac:dyDescent="0.25">
      <c r="A17" s="132"/>
      <c r="B17" s="132"/>
      <c r="C17" s="246" t="s">
        <v>223</v>
      </c>
      <c r="D17" s="247"/>
      <c r="E17" s="248"/>
      <c r="G17" s="246" t="s">
        <v>224</v>
      </c>
      <c r="H17" s="247"/>
      <c r="I17" s="248"/>
    </row>
    <row r="18" spans="1:9" ht="15.75" x14ac:dyDescent="0.25">
      <c r="A18" s="132"/>
      <c r="B18" s="132"/>
      <c r="C18" s="246"/>
      <c r="D18" s="247"/>
      <c r="E18" s="248"/>
      <c r="G18" s="251"/>
      <c r="H18" s="252"/>
      <c r="I18" s="253"/>
    </row>
    <row r="19" spans="1:9" ht="27" customHeight="1" x14ac:dyDescent="0.25">
      <c r="A19" s="132"/>
      <c r="B19" s="132"/>
      <c r="C19" s="246"/>
      <c r="D19" s="247"/>
      <c r="E19" s="248"/>
      <c r="G19" s="251"/>
      <c r="H19" s="252"/>
      <c r="I19" s="253"/>
    </row>
    <row r="20" spans="1:9" ht="15.75" x14ac:dyDescent="0.25">
      <c r="A20" s="132"/>
      <c r="B20" s="132"/>
      <c r="C20" s="246"/>
      <c r="D20" s="247"/>
      <c r="E20" s="248"/>
      <c r="G20" s="251"/>
      <c r="H20" s="252"/>
      <c r="I20" s="253"/>
    </row>
    <row r="21" spans="1:9" ht="15.75" x14ac:dyDescent="0.25">
      <c r="A21" s="132"/>
      <c r="B21" s="132"/>
      <c r="C21" s="246"/>
      <c r="D21" s="247"/>
      <c r="E21" s="248"/>
      <c r="G21" s="251"/>
      <c r="H21" s="252"/>
      <c r="I21" s="253"/>
    </row>
    <row r="22" spans="1:9" ht="15.75" x14ac:dyDescent="0.25">
      <c r="A22" s="132"/>
      <c r="B22" s="132"/>
      <c r="C22" s="246"/>
      <c r="D22" s="247"/>
      <c r="E22" s="248"/>
      <c r="G22" s="251"/>
      <c r="H22" s="252"/>
      <c r="I22" s="253"/>
    </row>
    <row r="23" spans="1:9" ht="15.75" x14ac:dyDescent="0.25">
      <c r="A23" s="132"/>
      <c r="B23" s="132"/>
      <c r="C23" s="246"/>
      <c r="D23" s="247"/>
      <c r="E23" s="248"/>
      <c r="G23" s="251"/>
      <c r="H23" s="252"/>
      <c r="I23" s="253"/>
    </row>
    <row r="24" spans="1:9" ht="15.75" x14ac:dyDescent="0.25">
      <c r="A24" s="132"/>
      <c r="B24" s="132"/>
      <c r="C24" s="254" t="s">
        <v>987</v>
      </c>
      <c r="D24" s="255"/>
      <c r="E24" s="256"/>
      <c r="G24" s="254" t="s">
        <v>986</v>
      </c>
      <c r="H24" s="255"/>
      <c r="I24" s="256"/>
    </row>
    <row r="25" spans="1:9" ht="15.75" x14ac:dyDescent="0.25">
      <c r="A25" s="132"/>
      <c r="B25" s="132"/>
      <c r="C25" s="254" t="s">
        <v>994</v>
      </c>
      <c r="D25" s="255"/>
      <c r="E25" s="256"/>
      <c r="G25" s="254" t="s">
        <v>228</v>
      </c>
      <c r="H25" s="255"/>
      <c r="I25" s="256"/>
    </row>
    <row r="26" spans="1:9" ht="15.75" x14ac:dyDescent="0.25">
      <c r="A26" s="132"/>
      <c r="B26" s="132"/>
      <c r="C26" s="257" t="s">
        <v>995</v>
      </c>
      <c r="D26" s="258"/>
      <c r="E26" s="259"/>
      <c r="G26" s="257" t="s">
        <v>996</v>
      </c>
      <c r="H26" s="258"/>
      <c r="I26" s="259"/>
    </row>
    <row r="27" spans="1:9" ht="15.75" x14ac:dyDescent="0.25">
      <c r="A27" s="132"/>
      <c r="B27" s="132"/>
      <c r="C27" s="146"/>
      <c r="D27" s="146"/>
      <c r="E27" s="146"/>
      <c r="G27" s="147"/>
      <c r="H27" s="147"/>
      <c r="I27" s="147"/>
    </row>
    <row r="28" spans="1:9" ht="15.75" x14ac:dyDescent="0.25">
      <c r="A28" s="132"/>
      <c r="B28" s="132"/>
      <c r="C28" s="146"/>
      <c r="D28" s="146"/>
      <c r="E28" s="146"/>
      <c r="G28" s="147"/>
      <c r="H28" s="147"/>
      <c r="I28" s="147"/>
    </row>
    <row r="29" spans="1:9" ht="15.75" x14ac:dyDescent="0.25">
      <c r="A29" s="132"/>
      <c r="B29" s="132"/>
      <c r="C29" s="148" t="s">
        <v>507</v>
      </c>
      <c r="D29" s="260" t="s">
        <v>997</v>
      </c>
      <c r="E29" s="260"/>
      <c r="F29" s="260"/>
      <c r="G29" s="260"/>
      <c r="H29" s="149" t="s">
        <v>998</v>
      </c>
      <c r="I29" s="147"/>
    </row>
    <row r="30" spans="1:9" ht="15.75" x14ac:dyDescent="0.25">
      <c r="A30" s="132"/>
      <c r="B30" s="132"/>
      <c r="C30" s="148" t="s">
        <v>999</v>
      </c>
      <c r="D30" s="260" t="s">
        <v>1000</v>
      </c>
      <c r="E30" s="260"/>
      <c r="F30" s="260"/>
      <c r="G30" s="260"/>
      <c r="H30" s="149"/>
      <c r="I30" s="147"/>
    </row>
    <row r="31" spans="1:9" ht="15.75" x14ac:dyDescent="0.25">
      <c r="A31" s="132"/>
      <c r="B31" s="132"/>
      <c r="C31" s="150" t="s">
        <v>1001</v>
      </c>
      <c r="D31" s="250" t="s">
        <v>1002</v>
      </c>
      <c r="E31" s="250"/>
      <c r="F31" s="250"/>
      <c r="G31" s="250"/>
      <c r="H31" s="151" t="s">
        <v>1003</v>
      </c>
      <c r="I31" s="147"/>
    </row>
    <row r="32" spans="1:9" ht="15.75" x14ac:dyDescent="0.25">
      <c r="A32" s="132"/>
      <c r="B32" s="132"/>
      <c r="C32" s="150" t="s">
        <v>1004</v>
      </c>
      <c r="D32" s="250" t="s">
        <v>1005</v>
      </c>
      <c r="E32" s="250"/>
      <c r="F32" s="250"/>
      <c r="G32" s="250"/>
      <c r="H32" s="151" t="s">
        <v>1006</v>
      </c>
      <c r="I32" s="147"/>
    </row>
    <row r="33" spans="1:9" ht="15.75" x14ac:dyDescent="0.25">
      <c r="A33" s="132"/>
      <c r="B33" s="132"/>
      <c r="C33" s="150" t="s">
        <v>1007</v>
      </c>
      <c r="D33" s="250" t="s">
        <v>1008</v>
      </c>
      <c r="E33" s="250"/>
      <c r="F33" s="250"/>
      <c r="G33" s="250"/>
      <c r="H33" s="151" t="s">
        <v>1009</v>
      </c>
      <c r="I33" s="147"/>
    </row>
    <row r="34" spans="1:9" ht="15.75" x14ac:dyDescent="0.25">
      <c r="A34" s="132"/>
      <c r="B34" s="132"/>
      <c r="C34" s="150" t="s">
        <v>1010</v>
      </c>
      <c r="D34" s="250" t="s">
        <v>1011</v>
      </c>
      <c r="E34" s="250"/>
      <c r="F34" s="250"/>
      <c r="G34" s="250"/>
      <c r="H34" s="151" t="s">
        <v>1012</v>
      </c>
      <c r="I34" s="147"/>
    </row>
    <row r="35" spans="1:9" ht="15.75" x14ac:dyDescent="0.25">
      <c r="A35" s="132"/>
      <c r="B35" s="132"/>
      <c r="C35" s="150" t="s">
        <v>1013</v>
      </c>
      <c r="D35" s="250" t="s">
        <v>1014</v>
      </c>
      <c r="E35" s="250"/>
      <c r="F35" s="250"/>
      <c r="G35" s="250"/>
      <c r="H35" s="151" t="s">
        <v>1015</v>
      </c>
      <c r="I35" s="147"/>
    </row>
    <row r="36" spans="1:9" ht="15.75" x14ac:dyDescent="0.25">
      <c r="A36" s="132"/>
      <c r="B36" s="132"/>
      <c r="C36" s="150" t="s">
        <v>1016</v>
      </c>
      <c r="D36" s="250" t="s">
        <v>1017</v>
      </c>
      <c r="E36" s="250"/>
      <c r="F36" s="250"/>
      <c r="G36" s="250"/>
      <c r="H36" s="152" t="s">
        <v>1018</v>
      </c>
      <c r="I36" s="147"/>
    </row>
    <row r="37" spans="1:9" ht="15.75" x14ac:dyDescent="0.25">
      <c r="A37" s="132"/>
      <c r="B37" s="132"/>
      <c r="C37" s="150" t="s">
        <v>1019</v>
      </c>
      <c r="D37" s="250" t="s">
        <v>1020</v>
      </c>
      <c r="E37" s="250"/>
      <c r="F37" s="250"/>
      <c r="G37" s="250"/>
      <c r="H37" s="153" t="s">
        <v>1021</v>
      </c>
      <c r="I37" s="147"/>
    </row>
    <row r="38" spans="1:9" ht="15.75" x14ac:dyDescent="0.25">
      <c r="A38" s="132"/>
      <c r="B38" s="132"/>
      <c r="C38" s="150" t="s">
        <v>1022</v>
      </c>
      <c r="D38" s="250" t="s">
        <v>1023</v>
      </c>
      <c r="E38" s="250"/>
      <c r="F38" s="250"/>
      <c r="G38" s="250"/>
      <c r="H38" s="153" t="s">
        <v>1021</v>
      </c>
      <c r="I38" s="147"/>
    </row>
    <row r="39" spans="1:9" ht="15.75" x14ac:dyDescent="0.25">
      <c r="A39" s="132"/>
      <c r="B39" s="132"/>
      <c r="C39" s="148" t="s">
        <v>1024</v>
      </c>
      <c r="D39" s="261" t="s">
        <v>1025</v>
      </c>
      <c r="E39" s="261"/>
      <c r="F39" s="261"/>
      <c r="G39" s="261"/>
      <c r="H39" s="153" t="s">
        <v>1021</v>
      </c>
      <c r="I39" s="147"/>
    </row>
    <row r="40" spans="1:9" ht="15.75" x14ac:dyDescent="0.25">
      <c r="A40" s="132"/>
      <c r="B40" s="132"/>
      <c r="C40" s="150">
        <v>6</v>
      </c>
      <c r="D40" s="250" t="s">
        <v>1026</v>
      </c>
      <c r="E40" s="250"/>
      <c r="F40" s="250"/>
      <c r="G40" s="250"/>
      <c r="H40" s="151" t="s">
        <v>1027</v>
      </c>
      <c r="I40" s="147"/>
    </row>
    <row r="41" spans="1:9" ht="15.75" x14ac:dyDescent="0.25">
      <c r="A41" s="132"/>
      <c r="B41" s="132"/>
      <c r="C41" s="150">
        <v>7</v>
      </c>
      <c r="D41" s="250" t="s">
        <v>1028</v>
      </c>
      <c r="E41" s="250"/>
      <c r="F41" s="250"/>
      <c r="G41" s="250"/>
      <c r="H41" s="151" t="s">
        <v>1029</v>
      </c>
      <c r="I41" s="147"/>
    </row>
    <row r="42" spans="1:9" ht="15.75" x14ac:dyDescent="0.25">
      <c r="A42" s="132"/>
      <c r="B42" s="132"/>
      <c r="C42" s="150">
        <v>8</v>
      </c>
      <c r="D42" s="250" t="s">
        <v>1030</v>
      </c>
      <c r="E42" s="250"/>
      <c r="F42" s="250"/>
      <c r="G42" s="250"/>
      <c r="H42" s="154" t="s">
        <v>1031</v>
      </c>
      <c r="I42" s="147"/>
    </row>
    <row r="43" spans="1:9" ht="15.75" x14ac:dyDescent="0.25">
      <c r="A43" s="132"/>
      <c r="B43" s="132"/>
      <c r="C43" s="146"/>
      <c r="D43" s="146"/>
      <c r="E43" s="146"/>
      <c r="G43" s="147"/>
      <c r="H43" s="147"/>
      <c r="I43" s="147"/>
    </row>
    <row r="44" spans="1:9" ht="15.75" x14ac:dyDescent="0.25">
      <c r="A44" s="132"/>
      <c r="B44" s="132"/>
      <c r="C44" s="146"/>
      <c r="D44" s="146"/>
      <c r="E44" s="146"/>
      <c r="G44" s="147"/>
      <c r="H44" s="147"/>
      <c r="I44" s="147"/>
    </row>
    <row r="45" spans="1:9" ht="15.75" x14ac:dyDescent="0.25">
      <c r="A45" s="132"/>
      <c r="B45" s="132"/>
      <c r="C45" s="146"/>
      <c r="D45" s="146"/>
      <c r="E45" s="146"/>
      <c r="G45" s="147"/>
      <c r="H45" s="147"/>
      <c r="I45" s="147"/>
    </row>
    <row r="46" spans="1:9" ht="15.75" x14ac:dyDescent="0.25">
      <c r="A46" s="132"/>
      <c r="B46" s="132"/>
      <c r="C46" s="146"/>
      <c r="D46" s="146"/>
      <c r="E46" s="146"/>
      <c r="G46" s="147"/>
      <c r="H46" s="147"/>
      <c r="I46" s="147"/>
    </row>
    <row r="47" spans="1:9" ht="15.75" x14ac:dyDescent="0.25">
      <c r="A47" s="132"/>
      <c r="B47" s="132"/>
      <c r="C47" s="146"/>
      <c r="D47" s="146"/>
      <c r="E47" s="146"/>
      <c r="G47" s="147"/>
      <c r="H47" s="147"/>
      <c r="I47" s="147"/>
    </row>
    <row r="48" spans="1:9" ht="15.75" x14ac:dyDescent="0.25">
      <c r="A48" s="132"/>
      <c r="B48" s="132"/>
      <c r="C48" s="146"/>
      <c r="D48" s="146"/>
      <c r="E48" s="146"/>
      <c r="G48" s="147"/>
      <c r="H48" s="147"/>
      <c r="I48" s="147"/>
    </row>
    <row r="49" spans="1:9" ht="15.75" x14ac:dyDescent="0.25">
      <c r="A49" s="132"/>
      <c r="B49" s="132"/>
      <c r="C49" s="146"/>
      <c r="D49" s="146"/>
      <c r="E49" s="146"/>
      <c r="G49" s="147"/>
      <c r="H49" s="147"/>
      <c r="I49" s="147"/>
    </row>
    <row r="50" spans="1:9" ht="15.75" x14ac:dyDescent="0.25">
      <c r="A50" s="132"/>
      <c r="B50" s="132"/>
      <c r="C50" s="146"/>
      <c r="D50" s="146"/>
      <c r="E50" s="146"/>
      <c r="G50" s="147"/>
      <c r="H50" s="147"/>
      <c r="I50" s="147"/>
    </row>
    <row r="51" spans="1:9" ht="15.75" x14ac:dyDescent="0.25">
      <c r="B51" s="155"/>
      <c r="C51" s="156"/>
    </row>
    <row r="68" ht="78.75" customHeight="1" x14ac:dyDescent="0.25"/>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topLeftCell="A35" zoomScaleNormal="100" zoomScaleSheetLayoutView="100" workbookViewId="0">
      <selection activeCell="A53" sqref="A53:XFD56"/>
    </sheetView>
  </sheetViews>
  <sheetFormatPr defaultRowHeight="10.5" x14ac:dyDescent="0.15"/>
  <cols>
    <col min="1" max="1" width="5.7109375" style="67" customWidth="1"/>
    <col min="2" max="2" width="33.28515625" style="67" customWidth="1"/>
    <col min="3" max="3" width="9.140625" style="67"/>
    <col min="4" max="5" width="19.42578125" style="67" customWidth="1"/>
    <col min="6" max="6" width="11.42578125" style="67" customWidth="1"/>
    <col min="7" max="16384" width="9.140625" style="67"/>
  </cols>
  <sheetData>
    <row r="1" spans="1:6" ht="36.75" customHeight="1" x14ac:dyDescent="0.15">
      <c r="A1" s="263"/>
      <c r="B1" s="263"/>
      <c r="C1" s="123"/>
      <c r="D1" s="264" t="s">
        <v>0</v>
      </c>
      <c r="E1" s="264"/>
      <c r="F1" s="264"/>
    </row>
    <row r="2" spans="1:6" ht="27.75" customHeight="1" x14ac:dyDescent="0.15">
      <c r="A2" s="265" t="s">
        <v>1</v>
      </c>
      <c r="B2" s="265"/>
      <c r="C2" s="265"/>
      <c r="D2" s="265"/>
      <c r="E2" s="265"/>
      <c r="F2" s="265"/>
    </row>
    <row r="3" spans="1:6" ht="11.25" customHeight="1" x14ac:dyDescent="0.15">
      <c r="A3" s="5"/>
      <c r="B3" s="5"/>
      <c r="C3" s="5"/>
      <c r="D3" s="5"/>
      <c r="E3" s="5"/>
      <c r="F3" s="5"/>
    </row>
    <row r="4" spans="1:6" ht="27" customHeight="1" x14ac:dyDescent="0.15">
      <c r="A4" s="266" t="s">
        <v>2</v>
      </c>
      <c r="B4" s="266"/>
      <c r="C4" s="266"/>
      <c r="D4" s="266"/>
      <c r="E4" s="266"/>
      <c r="F4" s="266"/>
    </row>
    <row r="5" spans="1:6" ht="22.5" customHeight="1" x14ac:dyDescent="0.15">
      <c r="A5" s="267" t="s">
        <v>3</v>
      </c>
      <c r="B5" s="267"/>
      <c r="C5" s="267"/>
      <c r="D5" s="267"/>
      <c r="E5" s="267"/>
      <c r="F5" s="267"/>
    </row>
    <row r="6" spans="1:6" ht="15.75" customHeight="1" x14ac:dyDescent="0.15">
      <c r="A6" s="3" t="s">
        <v>4</v>
      </c>
      <c r="B6" s="4" t="s">
        <v>5</v>
      </c>
      <c r="C6" s="262" t="s">
        <v>6</v>
      </c>
      <c r="D6" s="262"/>
      <c r="E6" s="262"/>
      <c r="F6" s="262"/>
    </row>
    <row r="7" spans="1:6" ht="15.75" customHeight="1" x14ac:dyDescent="0.15">
      <c r="A7" s="5"/>
      <c r="B7" s="5" t="s">
        <v>7</v>
      </c>
      <c r="C7" s="268" t="s">
        <v>8</v>
      </c>
      <c r="D7" s="268"/>
      <c r="E7" s="268"/>
      <c r="F7" s="268"/>
    </row>
    <row r="8" spans="1:6" ht="15.75" customHeight="1" x14ac:dyDescent="0.15">
      <c r="A8" s="3" t="s">
        <v>9</v>
      </c>
      <c r="B8" s="4" t="s">
        <v>10</v>
      </c>
      <c r="C8" s="262" t="s">
        <v>11</v>
      </c>
      <c r="D8" s="262"/>
      <c r="E8" s="262"/>
      <c r="F8" s="262"/>
    </row>
    <row r="9" spans="1:6" ht="15.75" customHeight="1" x14ac:dyDescent="0.15">
      <c r="A9" s="5"/>
      <c r="B9" s="5" t="s">
        <v>12</v>
      </c>
      <c r="C9" s="268" t="s">
        <v>13</v>
      </c>
      <c r="D9" s="268"/>
      <c r="E9" s="268"/>
      <c r="F9" s="268"/>
    </row>
    <row r="10" spans="1:6" ht="15.75" customHeight="1" x14ac:dyDescent="0.15">
      <c r="A10" s="3" t="s">
        <v>14</v>
      </c>
      <c r="B10" s="4" t="s">
        <v>15</v>
      </c>
      <c r="C10" s="262" t="s">
        <v>16</v>
      </c>
      <c r="D10" s="262"/>
      <c r="E10" s="262"/>
      <c r="F10" s="262"/>
    </row>
    <row r="11" spans="1:6" ht="15.75" customHeight="1" x14ac:dyDescent="0.15">
      <c r="A11" s="5"/>
      <c r="B11" s="5" t="s">
        <v>17</v>
      </c>
      <c r="C11" s="268" t="s">
        <v>18</v>
      </c>
      <c r="D11" s="268"/>
      <c r="E11" s="268"/>
      <c r="F11" s="268"/>
    </row>
    <row r="12" spans="1:6" ht="15.75" customHeight="1" x14ac:dyDescent="0.15">
      <c r="A12" s="3" t="s">
        <v>19</v>
      </c>
      <c r="B12" s="4" t="s">
        <v>20</v>
      </c>
      <c r="C12" s="269">
        <v>44504</v>
      </c>
      <c r="D12" s="262"/>
      <c r="E12" s="262"/>
      <c r="F12" s="262"/>
    </row>
    <row r="13" spans="1:6" ht="15.75" customHeight="1" x14ac:dyDescent="0.15">
      <c r="A13" s="5"/>
      <c r="B13" s="5" t="s">
        <v>21</v>
      </c>
      <c r="C13" s="270">
        <v>44504</v>
      </c>
      <c r="D13" s="268"/>
      <c r="E13" s="268"/>
      <c r="F13" s="268"/>
    </row>
    <row r="14" spans="1:6" ht="15" customHeight="1" x14ac:dyDescent="0.15">
      <c r="A14" s="5"/>
      <c r="B14" s="5"/>
      <c r="C14" s="5"/>
      <c r="D14" s="5"/>
      <c r="E14" s="5"/>
      <c r="F14" s="5"/>
    </row>
    <row r="15" spans="1:6" ht="15" customHeight="1" x14ac:dyDescent="0.15">
      <c r="A15" s="271" t="s">
        <v>22</v>
      </c>
      <c r="B15" s="271"/>
      <c r="C15" s="271"/>
      <c r="D15" s="271"/>
      <c r="E15" s="271"/>
      <c r="F15" s="271"/>
    </row>
    <row r="16" spans="1:6" ht="15" customHeight="1" x14ac:dyDescent="0.15">
      <c r="A16" s="262" t="s">
        <v>23</v>
      </c>
      <c r="B16" s="262"/>
      <c r="C16" s="262"/>
      <c r="D16" s="262"/>
      <c r="E16" s="262"/>
      <c r="F16" s="262"/>
    </row>
    <row r="17" spans="1:6" ht="15" customHeight="1" x14ac:dyDescent="0.15">
      <c r="A17" s="69"/>
      <c r="B17" s="70"/>
      <c r="C17" s="69"/>
      <c r="D17" s="69"/>
      <c r="E17" s="272" t="s">
        <v>24</v>
      </c>
      <c r="F17" s="272"/>
    </row>
    <row r="18" spans="1:6" ht="45" customHeight="1" x14ac:dyDescent="0.15">
      <c r="A18" s="7" t="s">
        <v>25</v>
      </c>
      <c r="B18" s="8" t="s">
        <v>26</v>
      </c>
      <c r="C18" s="8" t="s">
        <v>27</v>
      </c>
      <c r="D18" s="8" t="s">
        <v>28</v>
      </c>
      <c r="E18" s="8" t="s">
        <v>29</v>
      </c>
      <c r="F18" s="9" t="s">
        <v>30</v>
      </c>
    </row>
    <row r="19" spans="1:6" ht="23.1" customHeight="1" x14ac:dyDescent="0.15">
      <c r="A19" s="114" t="s">
        <v>31</v>
      </c>
      <c r="B19" s="115" t="s">
        <v>32</v>
      </c>
      <c r="C19" s="116" t="s">
        <v>33</v>
      </c>
      <c r="D19" s="10">
        <v>0</v>
      </c>
      <c r="E19" s="10">
        <v>0</v>
      </c>
      <c r="F19" s="117">
        <v>0</v>
      </c>
    </row>
    <row r="20" spans="1:6" ht="23.1" customHeight="1" x14ac:dyDescent="0.15">
      <c r="A20" s="114" t="s">
        <v>34</v>
      </c>
      <c r="B20" s="115" t="s">
        <v>35</v>
      </c>
      <c r="C20" s="116" t="s">
        <v>36</v>
      </c>
      <c r="D20" s="118">
        <v>309257182278</v>
      </c>
      <c r="E20" s="118">
        <v>80955826438</v>
      </c>
      <c r="F20" s="117">
        <v>15.008699999999999</v>
      </c>
    </row>
    <row r="21" spans="1:6" ht="23.1" customHeight="1" x14ac:dyDescent="0.15">
      <c r="A21" s="114"/>
      <c r="B21" s="115" t="s">
        <v>37</v>
      </c>
      <c r="C21" s="116" t="s">
        <v>38</v>
      </c>
      <c r="D21" s="118">
        <v>0</v>
      </c>
      <c r="E21" s="118">
        <v>0</v>
      </c>
      <c r="F21" s="117">
        <v>0</v>
      </c>
    </row>
    <row r="22" spans="1:6" ht="23.1" customHeight="1" x14ac:dyDescent="0.15">
      <c r="A22" s="114"/>
      <c r="B22" s="115" t="s">
        <v>39</v>
      </c>
      <c r="C22" s="116" t="s">
        <v>40</v>
      </c>
      <c r="D22" s="118">
        <v>309257182278</v>
      </c>
      <c r="E22" s="118">
        <v>80955826438</v>
      </c>
      <c r="F22" s="117">
        <v>15.008699999999999</v>
      </c>
    </row>
    <row r="23" spans="1:6" ht="33" customHeight="1" x14ac:dyDescent="0.15">
      <c r="A23" s="114"/>
      <c r="B23" s="115" t="s">
        <v>41</v>
      </c>
      <c r="C23" s="116" t="s">
        <v>42</v>
      </c>
      <c r="D23" s="11">
        <v>0</v>
      </c>
      <c r="E23" s="11">
        <v>0</v>
      </c>
      <c r="F23" s="117">
        <v>0</v>
      </c>
    </row>
    <row r="24" spans="1:6" ht="33" customHeight="1" x14ac:dyDescent="0.15">
      <c r="A24" s="114"/>
      <c r="B24" s="115" t="s">
        <v>43</v>
      </c>
      <c r="C24" s="116" t="s">
        <v>44</v>
      </c>
      <c r="D24" s="11">
        <v>0</v>
      </c>
      <c r="E24" s="11">
        <v>0</v>
      </c>
      <c r="F24" s="117">
        <v>0</v>
      </c>
    </row>
    <row r="25" spans="1:6" ht="23.1" customHeight="1" x14ac:dyDescent="0.15">
      <c r="A25" s="114"/>
      <c r="B25" s="115" t="s">
        <v>45</v>
      </c>
      <c r="C25" s="116" t="s">
        <v>46</v>
      </c>
      <c r="D25" s="11">
        <v>309257182278</v>
      </c>
      <c r="E25" s="11">
        <v>80955826438</v>
      </c>
      <c r="F25" s="117">
        <v>15.008699999999999</v>
      </c>
    </row>
    <row r="26" spans="1:6" ht="33" customHeight="1" x14ac:dyDescent="0.15">
      <c r="A26" s="114"/>
      <c r="B26" s="115" t="s">
        <v>47</v>
      </c>
      <c r="C26" s="116" t="s">
        <v>48</v>
      </c>
      <c r="D26" s="11">
        <v>0</v>
      </c>
      <c r="E26" s="11">
        <v>0</v>
      </c>
      <c r="F26" s="117">
        <v>0</v>
      </c>
    </row>
    <row r="27" spans="1:6" ht="23.1" customHeight="1" x14ac:dyDescent="0.15">
      <c r="A27" s="114"/>
      <c r="B27" s="115" t="s">
        <v>49</v>
      </c>
      <c r="C27" s="116" t="s">
        <v>50</v>
      </c>
      <c r="D27" s="11">
        <v>0</v>
      </c>
      <c r="E27" s="11">
        <v>0</v>
      </c>
      <c r="F27" s="117">
        <v>0</v>
      </c>
    </row>
    <row r="28" spans="1:6" ht="23.1" customHeight="1" x14ac:dyDescent="0.15">
      <c r="A28" s="114"/>
      <c r="B28" s="115" t="s">
        <v>51</v>
      </c>
      <c r="C28" s="116" t="s">
        <v>52</v>
      </c>
      <c r="D28" s="118">
        <v>0</v>
      </c>
      <c r="E28" s="118">
        <v>0</v>
      </c>
      <c r="F28" s="117">
        <v>0</v>
      </c>
    </row>
    <row r="29" spans="1:6" ht="23.1" customHeight="1" x14ac:dyDescent="0.15">
      <c r="A29" s="114" t="s">
        <v>53</v>
      </c>
      <c r="B29" s="115" t="s">
        <v>54</v>
      </c>
      <c r="C29" s="116" t="s">
        <v>55</v>
      </c>
      <c r="D29" s="118">
        <v>12399844544950</v>
      </c>
      <c r="E29" s="118">
        <v>12206653999350</v>
      </c>
      <c r="F29" s="117">
        <v>5.4725999999999999</v>
      </c>
    </row>
    <row r="30" spans="1:6" ht="23.1" customHeight="1" x14ac:dyDescent="0.15">
      <c r="A30" s="114"/>
      <c r="B30" s="115" t="s">
        <v>56</v>
      </c>
      <c r="C30" s="116" t="s">
        <v>57</v>
      </c>
      <c r="D30" s="118">
        <v>12399844544950</v>
      </c>
      <c r="E30" s="118">
        <v>12206653999350</v>
      </c>
      <c r="F30" s="117">
        <v>5.4725999999999999</v>
      </c>
    </row>
    <row r="31" spans="1:6" ht="23.1" customHeight="1" x14ac:dyDescent="0.15">
      <c r="A31" s="114"/>
      <c r="B31" s="115" t="s">
        <v>58</v>
      </c>
      <c r="C31" s="116" t="s">
        <v>59</v>
      </c>
      <c r="D31" s="118">
        <v>0</v>
      </c>
      <c r="E31" s="118">
        <v>0</v>
      </c>
      <c r="F31" s="117">
        <v>0</v>
      </c>
    </row>
    <row r="32" spans="1:6" ht="23.1" customHeight="1" x14ac:dyDescent="0.15">
      <c r="A32" s="114"/>
      <c r="B32" s="115" t="s">
        <v>60</v>
      </c>
      <c r="C32" s="116" t="s">
        <v>61</v>
      </c>
      <c r="D32" s="118">
        <v>0</v>
      </c>
      <c r="E32" s="118">
        <v>0</v>
      </c>
      <c r="F32" s="117">
        <v>0</v>
      </c>
    </row>
    <row r="33" spans="1:6" ht="23.1" customHeight="1" x14ac:dyDescent="0.15">
      <c r="A33" s="114"/>
      <c r="B33" s="115" t="s">
        <v>62</v>
      </c>
      <c r="C33" s="116" t="s">
        <v>63</v>
      </c>
      <c r="D33" s="118">
        <v>0</v>
      </c>
      <c r="E33" s="118">
        <v>0</v>
      </c>
      <c r="F33" s="117">
        <v>0</v>
      </c>
    </row>
    <row r="34" spans="1:6" ht="33" customHeight="1" x14ac:dyDescent="0.15">
      <c r="A34" s="114"/>
      <c r="B34" s="115" t="s">
        <v>64</v>
      </c>
      <c r="C34" s="116" t="s">
        <v>65</v>
      </c>
      <c r="D34" s="118">
        <v>0</v>
      </c>
      <c r="E34" s="118">
        <v>0</v>
      </c>
      <c r="F34" s="117">
        <v>0</v>
      </c>
    </row>
    <row r="35" spans="1:6" ht="23.1" customHeight="1" x14ac:dyDescent="0.15">
      <c r="A35" s="114"/>
      <c r="B35" s="115" t="s">
        <v>66</v>
      </c>
      <c r="C35" s="116" t="s">
        <v>67</v>
      </c>
      <c r="D35" s="118">
        <v>0</v>
      </c>
      <c r="E35" s="118">
        <v>0</v>
      </c>
      <c r="F35" s="117">
        <v>0</v>
      </c>
    </row>
    <row r="36" spans="1:6" ht="23.1" customHeight="1" x14ac:dyDescent="0.15">
      <c r="A36" s="114"/>
      <c r="B36" s="115" t="s">
        <v>68</v>
      </c>
      <c r="C36" s="116" t="s">
        <v>69</v>
      </c>
      <c r="D36" s="118">
        <v>0</v>
      </c>
      <c r="E36" s="118">
        <v>0</v>
      </c>
      <c r="F36" s="117">
        <v>0</v>
      </c>
    </row>
    <row r="37" spans="1:6" ht="23.1" customHeight="1" x14ac:dyDescent="0.15">
      <c r="A37" s="114"/>
      <c r="B37" s="115" t="s">
        <v>70</v>
      </c>
      <c r="C37" s="116" t="s">
        <v>71</v>
      </c>
      <c r="D37" s="118">
        <v>0</v>
      </c>
      <c r="E37" s="118">
        <v>0</v>
      </c>
      <c r="F37" s="117">
        <v>0</v>
      </c>
    </row>
    <row r="38" spans="1:6" ht="44.1" customHeight="1" x14ac:dyDescent="0.15">
      <c r="A38" s="114" t="s">
        <v>72</v>
      </c>
      <c r="B38" s="115" t="s">
        <v>73</v>
      </c>
      <c r="C38" s="116"/>
      <c r="D38" s="118">
        <v>0</v>
      </c>
      <c r="E38" s="118">
        <v>0</v>
      </c>
      <c r="F38" s="117">
        <v>0</v>
      </c>
    </row>
    <row r="39" spans="1:6" ht="23.1" customHeight="1" x14ac:dyDescent="0.15">
      <c r="A39" s="114" t="s">
        <v>74</v>
      </c>
      <c r="B39" s="115" t="s">
        <v>75</v>
      </c>
      <c r="C39" s="116" t="s">
        <v>76</v>
      </c>
      <c r="D39" s="118">
        <v>0</v>
      </c>
      <c r="E39" s="118">
        <v>2680960000</v>
      </c>
      <c r="F39" s="117">
        <v>0</v>
      </c>
    </row>
    <row r="40" spans="1:6" ht="23.1" customHeight="1" x14ac:dyDescent="0.15">
      <c r="A40" s="114"/>
      <c r="B40" s="115" t="s">
        <v>77</v>
      </c>
      <c r="C40" s="116" t="s">
        <v>78</v>
      </c>
      <c r="D40" s="118">
        <v>0</v>
      </c>
      <c r="E40" s="118">
        <v>2680960000</v>
      </c>
      <c r="F40" s="117">
        <v>0</v>
      </c>
    </row>
    <row r="41" spans="1:6" ht="23.1" customHeight="1" x14ac:dyDescent="0.15">
      <c r="A41" s="114"/>
      <c r="B41" s="115" t="s">
        <v>79</v>
      </c>
      <c r="C41" s="116" t="s">
        <v>80</v>
      </c>
      <c r="D41" s="118">
        <v>0</v>
      </c>
      <c r="E41" s="118">
        <v>0</v>
      </c>
      <c r="F41" s="117">
        <v>0</v>
      </c>
    </row>
    <row r="42" spans="1:6" ht="23.1" customHeight="1" x14ac:dyDescent="0.15">
      <c r="A42" s="114" t="s">
        <v>81</v>
      </c>
      <c r="B42" s="115" t="s">
        <v>82</v>
      </c>
      <c r="C42" s="116" t="s">
        <v>83</v>
      </c>
      <c r="D42" s="118">
        <v>0</v>
      </c>
      <c r="E42" s="118">
        <v>0</v>
      </c>
      <c r="F42" s="117">
        <v>0</v>
      </c>
    </row>
    <row r="43" spans="1:6" ht="33.950000000000003" customHeight="1" x14ac:dyDescent="0.15">
      <c r="A43" s="114"/>
      <c r="B43" s="115" t="s">
        <v>84</v>
      </c>
      <c r="C43" s="116" t="s">
        <v>85</v>
      </c>
      <c r="D43" s="118">
        <v>0</v>
      </c>
      <c r="E43" s="118">
        <v>0</v>
      </c>
      <c r="F43" s="117">
        <v>0</v>
      </c>
    </row>
    <row r="44" spans="1:6" ht="33.950000000000003" customHeight="1" x14ac:dyDescent="0.15">
      <c r="A44" s="114"/>
      <c r="B44" s="115" t="s">
        <v>86</v>
      </c>
      <c r="C44" s="116" t="s">
        <v>87</v>
      </c>
      <c r="D44" s="118">
        <v>0</v>
      </c>
      <c r="E44" s="118">
        <v>0</v>
      </c>
      <c r="F44" s="117">
        <v>0</v>
      </c>
    </row>
    <row r="45" spans="1:6" ht="33.950000000000003" customHeight="1" x14ac:dyDescent="0.15">
      <c r="A45" s="114"/>
      <c r="B45" s="115" t="s">
        <v>88</v>
      </c>
      <c r="C45" s="116" t="s">
        <v>89</v>
      </c>
      <c r="D45" s="118">
        <v>0</v>
      </c>
      <c r="E45" s="118">
        <v>0</v>
      </c>
      <c r="F45" s="117">
        <v>0</v>
      </c>
    </row>
    <row r="46" spans="1:6" ht="33.950000000000003" customHeight="1" x14ac:dyDescent="0.15">
      <c r="A46" s="114" t="s">
        <v>90</v>
      </c>
      <c r="B46" s="115" t="s">
        <v>91</v>
      </c>
      <c r="C46" s="116" t="s">
        <v>92</v>
      </c>
      <c r="D46" s="118">
        <v>0</v>
      </c>
      <c r="E46" s="118">
        <v>0</v>
      </c>
      <c r="F46" s="117">
        <v>0</v>
      </c>
    </row>
    <row r="47" spans="1:6" ht="23.1" customHeight="1" x14ac:dyDescent="0.15">
      <c r="A47" s="114" t="s">
        <v>93</v>
      </c>
      <c r="B47" s="115" t="s">
        <v>94</v>
      </c>
      <c r="C47" s="116" t="s">
        <v>95</v>
      </c>
      <c r="D47" s="118">
        <v>570350770000</v>
      </c>
      <c r="E47" s="118">
        <v>0</v>
      </c>
      <c r="F47" s="117">
        <v>4.2699999999999996</v>
      </c>
    </row>
    <row r="48" spans="1:6" ht="23.1" customHeight="1" x14ac:dyDescent="0.15">
      <c r="A48" s="114" t="s">
        <v>96</v>
      </c>
      <c r="B48" s="115" t="s">
        <v>97</v>
      </c>
      <c r="C48" s="116" t="s">
        <v>98</v>
      </c>
      <c r="D48" s="118">
        <v>0</v>
      </c>
      <c r="E48" s="118">
        <v>0</v>
      </c>
      <c r="F48" s="117">
        <v>0</v>
      </c>
    </row>
    <row r="49" spans="1:6" ht="23.1" customHeight="1" x14ac:dyDescent="0.15">
      <c r="A49" s="114"/>
      <c r="B49" s="115" t="s">
        <v>99</v>
      </c>
      <c r="C49" s="116" t="s">
        <v>100</v>
      </c>
      <c r="D49" s="118">
        <v>0</v>
      </c>
      <c r="E49" s="118">
        <v>0</v>
      </c>
      <c r="F49" s="117">
        <v>0</v>
      </c>
    </row>
    <row r="50" spans="1:6" ht="23.1" customHeight="1" x14ac:dyDescent="0.15">
      <c r="A50" s="114"/>
      <c r="B50" s="115" t="s">
        <v>101</v>
      </c>
      <c r="C50" s="116" t="s">
        <v>102</v>
      </c>
      <c r="D50" s="118">
        <v>0</v>
      </c>
      <c r="E50" s="118">
        <v>0</v>
      </c>
      <c r="F50" s="117">
        <v>0</v>
      </c>
    </row>
    <row r="51" spans="1:6" ht="23.1" customHeight="1" x14ac:dyDescent="0.15">
      <c r="A51" s="114"/>
      <c r="B51" s="115" t="s">
        <v>103</v>
      </c>
      <c r="C51" s="116" t="s">
        <v>104</v>
      </c>
      <c r="D51" s="118">
        <v>0</v>
      </c>
      <c r="E51" s="118">
        <v>0</v>
      </c>
      <c r="F51" s="117">
        <v>0</v>
      </c>
    </row>
    <row r="52" spans="1:6" ht="23.1" customHeight="1" x14ac:dyDescent="0.15">
      <c r="A52" s="114" t="s">
        <v>105</v>
      </c>
      <c r="B52" s="115" t="s">
        <v>106</v>
      </c>
      <c r="C52" s="116" t="s">
        <v>107</v>
      </c>
      <c r="D52" s="118">
        <v>0</v>
      </c>
      <c r="E52" s="118">
        <v>0</v>
      </c>
      <c r="F52" s="117">
        <v>0</v>
      </c>
    </row>
    <row r="53" spans="1:6" ht="33.950000000000003" customHeight="1" x14ac:dyDescent="0.15">
      <c r="A53" s="114"/>
      <c r="B53" s="115" t="s">
        <v>108</v>
      </c>
      <c r="C53" s="116" t="s">
        <v>109</v>
      </c>
      <c r="D53" s="118">
        <v>0</v>
      </c>
      <c r="E53" s="118">
        <v>0</v>
      </c>
      <c r="F53" s="117">
        <v>0</v>
      </c>
    </row>
    <row r="54" spans="1:6" ht="33.950000000000003" customHeight="1" x14ac:dyDescent="0.15">
      <c r="A54" s="114"/>
      <c r="B54" s="115" t="s">
        <v>110</v>
      </c>
      <c r="C54" s="116" t="s">
        <v>111</v>
      </c>
      <c r="D54" s="118">
        <v>0</v>
      </c>
      <c r="E54" s="118">
        <v>0</v>
      </c>
      <c r="F54" s="117">
        <v>0</v>
      </c>
    </row>
    <row r="55" spans="1:6" ht="33.950000000000003" customHeight="1" x14ac:dyDescent="0.15">
      <c r="A55" s="114"/>
      <c r="B55" s="115" t="s">
        <v>112</v>
      </c>
      <c r="C55" s="116" t="s">
        <v>113</v>
      </c>
      <c r="D55" s="118">
        <v>0</v>
      </c>
      <c r="E55" s="118">
        <v>0</v>
      </c>
      <c r="F55" s="117">
        <v>0</v>
      </c>
    </row>
    <row r="56" spans="1:6" ht="44.1" customHeight="1" x14ac:dyDescent="0.15">
      <c r="A56" s="114"/>
      <c r="B56" s="115" t="s">
        <v>114</v>
      </c>
      <c r="C56" s="116" t="s">
        <v>115</v>
      </c>
      <c r="D56" s="118">
        <v>0</v>
      </c>
      <c r="E56" s="118">
        <v>0</v>
      </c>
      <c r="F56" s="117">
        <v>0</v>
      </c>
    </row>
    <row r="57" spans="1:6" ht="44.1" customHeight="1" x14ac:dyDescent="0.15">
      <c r="A57" s="114"/>
      <c r="B57" s="115" t="s">
        <v>116</v>
      </c>
      <c r="C57" s="116" t="s">
        <v>117</v>
      </c>
      <c r="D57" s="118">
        <v>0</v>
      </c>
      <c r="E57" s="118">
        <v>0</v>
      </c>
      <c r="F57" s="117">
        <v>0</v>
      </c>
    </row>
    <row r="58" spans="1:6" ht="24" customHeight="1" x14ac:dyDescent="0.15">
      <c r="A58" s="114" t="s">
        <v>118</v>
      </c>
      <c r="B58" s="115" t="s">
        <v>119</v>
      </c>
      <c r="C58" s="116" t="s">
        <v>120</v>
      </c>
      <c r="D58" s="10">
        <v>13279452497228</v>
      </c>
      <c r="E58" s="10">
        <v>12290290785788</v>
      </c>
      <c r="F58" s="117">
        <v>5.4874000000000001</v>
      </c>
    </row>
    <row r="59" spans="1:6" ht="24" customHeight="1" x14ac:dyDescent="0.15">
      <c r="A59" s="114" t="s">
        <v>121</v>
      </c>
      <c r="B59" s="115" t="s">
        <v>122</v>
      </c>
      <c r="C59" s="116" t="s">
        <v>123</v>
      </c>
      <c r="D59" s="10">
        <v>0</v>
      </c>
      <c r="E59" s="10">
        <v>0</v>
      </c>
      <c r="F59" s="117">
        <v>0</v>
      </c>
    </row>
    <row r="60" spans="1:6" ht="24" customHeight="1" x14ac:dyDescent="0.15">
      <c r="A60" s="114" t="s">
        <v>124</v>
      </c>
      <c r="B60" s="115" t="s">
        <v>125</v>
      </c>
      <c r="C60" s="116"/>
      <c r="D60" s="118">
        <v>0</v>
      </c>
      <c r="E60" s="118">
        <v>0</v>
      </c>
      <c r="F60" s="117">
        <v>0</v>
      </c>
    </row>
    <row r="61" spans="1:6" ht="24" customHeight="1" x14ac:dyDescent="0.15">
      <c r="A61" s="114" t="s">
        <v>126</v>
      </c>
      <c r="B61" s="115" t="s">
        <v>127</v>
      </c>
      <c r="C61" s="116" t="s">
        <v>128</v>
      </c>
      <c r="D61" s="118">
        <v>228427925000</v>
      </c>
      <c r="E61" s="118">
        <v>0</v>
      </c>
      <c r="F61" s="117">
        <v>18.5671</v>
      </c>
    </row>
    <row r="62" spans="1:6" ht="24" customHeight="1" x14ac:dyDescent="0.15">
      <c r="A62" s="114" t="s">
        <v>129</v>
      </c>
      <c r="B62" s="115" t="s">
        <v>130</v>
      </c>
      <c r="C62" s="116" t="s">
        <v>131</v>
      </c>
      <c r="D62" s="118">
        <v>15234347108</v>
      </c>
      <c r="E62" s="118">
        <v>14855050549</v>
      </c>
      <c r="F62" s="117">
        <v>5.4615</v>
      </c>
    </row>
    <row r="63" spans="1:6" ht="24" customHeight="1" x14ac:dyDescent="0.15">
      <c r="A63" s="114"/>
      <c r="B63" s="115" t="s">
        <v>132</v>
      </c>
      <c r="C63" s="116" t="s">
        <v>133</v>
      </c>
      <c r="D63" s="118">
        <v>0</v>
      </c>
      <c r="E63" s="118">
        <v>38768996</v>
      </c>
      <c r="F63" s="117">
        <v>0</v>
      </c>
    </row>
    <row r="64" spans="1:6" ht="24" customHeight="1" x14ac:dyDescent="0.15">
      <c r="A64" s="114"/>
      <c r="B64" s="115" t="s">
        <v>134</v>
      </c>
      <c r="C64" s="116" t="s">
        <v>135</v>
      </c>
      <c r="D64" s="11">
        <v>0</v>
      </c>
      <c r="E64" s="11">
        <v>0</v>
      </c>
      <c r="F64" s="117">
        <v>0</v>
      </c>
    </row>
    <row r="65" spans="1:6" ht="24" customHeight="1" x14ac:dyDescent="0.15">
      <c r="A65" s="114"/>
      <c r="B65" s="115" t="s">
        <v>136</v>
      </c>
      <c r="C65" s="116" t="s">
        <v>137</v>
      </c>
      <c r="D65" s="11">
        <v>0</v>
      </c>
      <c r="E65" s="11">
        <v>0</v>
      </c>
      <c r="F65" s="117">
        <v>0</v>
      </c>
    </row>
    <row r="66" spans="1:6" ht="33.950000000000003" customHeight="1" x14ac:dyDescent="0.15">
      <c r="A66" s="114"/>
      <c r="B66" s="115" t="s">
        <v>138</v>
      </c>
      <c r="C66" s="116" t="s">
        <v>139</v>
      </c>
      <c r="D66" s="11">
        <v>0</v>
      </c>
      <c r="E66" s="11">
        <v>38768996</v>
      </c>
      <c r="F66" s="117">
        <v>0</v>
      </c>
    </row>
    <row r="67" spans="1:6" ht="33.950000000000003" customHeight="1" x14ac:dyDescent="0.15">
      <c r="A67" s="114"/>
      <c r="B67" s="115" t="s">
        <v>140</v>
      </c>
      <c r="C67" s="116" t="s">
        <v>141</v>
      </c>
      <c r="D67" s="118">
        <v>0</v>
      </c>
      <c r="E67" s="118">
        <v>0</v>
      </c>
      <c r="F67" s="117">
        <v>0</v>
      </c>
    </row>
    <row r="68" spans="1:6" ht="42" x14ac:dyDescent="0.15">
      <c r="A68" s="114"/>
      <c r="B68" s="115" t="s">
        <v>142</v>
      </c>
      <c r="C68" s="116" t="s">
        <v>143</v>
      </c>
      <c r="D68" s="118">
        <v>0</v>
      </c>
      <c r="E68" s="118">
        <v>0</v>
      </c>
      <c r="F68" s="117">
        <v>0</v>
      </c>
    </row>
    <row r="69" spans="1:6" ht="44.1" customHeight="1" x14ac:dyDescent="0.15">
      <c r="A69" s="114"/>
      <c r="B69" s="115" t="s">
        <v>144</v>
      </c>
      <c r="C69" s="116" t="s">
        <v>145</v>
      </c>
      <c r="D69" s="11">
        <v>0</v>
      </c>
      <c r="E69" s="11">
        <v>0</v>
      </c>
      <c r="F69" s="117">
        <v>0</v>
      </c>
    </row>
    <row r="70" spans="1:6" ht="44.1" customHeight="1" x14ac:dyDescent="0.15">
      <c r="A70" s="114"/>
      <c r="B70" s="115" t="s">
        <v>146</v>
      </c>
      <c r="C70" s="116" t="s">
        <v>147</v>
      </c>
      <c r="D70" s="11">
        <v>0</v>
      </c>
      <c r="E70" s="11">
        <v>0</v>
      </c>
      <c r="F70" s="117">
        <v>0</v>
      </c>
    </row>
    <row r="71" spans="1:6" ht="23.1" customHeight="1" x14ac:dyDescent="0.15">
      <c r="A71" s="114"/>
      <c r="B71" s="115" t="s">
        <v>148</v>
      </c>
      <c r="C71" s="116" t="s">
        <v>149</v>
      </c>
      <c r="D71" s="118">
        <v>0</v>
      </c>
      <c r="E71" s="118">
        <v>0</v>
      </c>
      <c r="F71" s="117">
        <v>0</v>
      </c>
    </row>
    <row r="72" spans="1:6" ht="33.950000000000003" customHeight="1" x14ac:dyDescent="0.15">
      <c r="A72" s="114"/>
      <c r="B72" s="115" t="s">
        <v>150</v>
      </c>
      <c r="C72" s="116" t="s">
        <v>151</v>
      </c>
      <c r="D72" s="118">
        <v>16495777</v>
      </c>
      <c r="E72" s="118">
        <v>15731405</v>
      </c>
      <c r="F72" s="117">
        <v>1.2934000000000001</v>
      </c>
    </row>
    <row r="73" spans="1:6" ht="23.1" customHeight="1" x14ac:dyDescent="0.15">
      <c r="A73" s="114"/>
      <c r="B73" s="115" t="s">
        <v>152</v>
      </c>
      <c r="C73" s="116" t="s">
        <v>153</v>
      </c>
      <c r="D73" s="118">
        <v>8568012792</v>
      </c>
      <c r="E73" s="118">
        <v>8281752276</v>
      </c>
      <c r="F73" s="117">
        <v>5.2633000000000001</v>
      </c>
    </row>
    <row r="74" spans="1:6" ht="23.1" customHeight="1" x14ac:dyDescent="0.15">
      <c r="A74" s="114"/>
      <c r="B74" s="115" t="s">
        <v>154</v>
      </c>
      <c r="C74" s="116" t="s">
        <v>155</v>
      </c>
      <c r="D74" s="118">
        <v>235620351</v>
      </c>
      <c r="E74" s="118">
        <v>227748188</v>
      </c>
      <c r="F74" s="117">
        <v>5.2633000000000001</v>
      </c>
    </row>
    <row r="75" spans="1:6" ht="23.1" customHeight="1" x14ac:dyDescent="0.15">
      <c r="A75" s="114"/>
      <c r="B75" s="115" t="s">
        <v>156</v>
      </c>
      <c r="C75" s="116" t="s">
        <v>157</v>
      </c>
      <c r="D75" s="118">
        <v>471240705</v>
      </c>
      <c r="E75" s="118">
        <v>455496378</v>
      </c>
      <c r="F75" s="117">
        <v>5.2633000000000001</v>
      </c>
    </row>
    <row r="76" spans="1:6" ht="23.1" customHeight="1" x14ac:dyDescent="0.15">
      <c r="A76" s="114"/>
      <c r="B76" s="115" t="s">
        <v>158</v>
      </c>
      <c r="C76" s="116" t="s">
        <v>159</v>
      </c>
      <c r="D76" s="118">
        <v>995440366</v>
      </c>
      <c r="E76" s="118">
        <v>0</v>
      </c>
      <c r="F76" s="117">
        <v>4.7489999999999997</v>
      </c>
    </row>
    <row r="77" spans="1:6" ht="23.1" customHeight="1" x14ac:dyDescent="0.15">
      <c r="A77" s="114"/>
      <c r="B77" s="115" t="s">
        <v>160</v>
      </c>
      <c r="C77" s="116" t="s">
        <v>161</v>
      </c>
      <c r="D77" s="11">
        <v>995440366</v>
      </c>
      <c r="E77" s="11">
        <v>0</v>
      </c>
      <c r="F77" s="117">
        <v>4.7489999999999997</v>
      </c>
    </row>
    <row r="78" spans="1:6" ht="23.1" customHeight="1" x14ac:dyDescent="0.15">
      <c r="A78" s="114"/>
      <c r="B78" s="115" t="s">
        <v>162</v>
      </c>
      <c r="C78" s="116" t="s">
        <v>163</v>
      </c>
      <c r="D78" s="11">
        <v>0</v>
      </c>
      <c r="E78" s="11">
        <v>0</v>
      </c>
      <c r="F78" s="117">
        <v>0</v>
      </c>
    </row>
    <row r="79" spans="1:6" ht="23.1" customHeight="1" x14ac:dyDescent="0.15">
      <c r="A79" s="114"/>
      <c r="B79" s="115" t="s">
        <v>164</v>
      </c>
      <c r="C79" s="116" t="s">
        <v>165</v>
      </c>
      <c r="D79" s="118">
        <v>222200319</v>
      </c>
      <c r="E79" s="118">
        <v>211243807</v>
      </c>
      <c r="F79" s="117">
        <v>4.9824000000000002</v>
      </c>
    </row>
    <row r="80" spans="1:6" ht="23.1" customHeight="1" x14ac:dyDescent="0.15">
      <c r="A80" s="114"/>
      <c r="B80" s="115" t="s">
        <v>166</v>
      </c>
      <c r="C80" s="116" t="s">
        <v>167</v>
      </c>
      <c r="D80" s="11">
        <v>214200319</v>
      </c>
      <c r="E80" s="11">
        <v>207043807</v>
      </c>
      <c r="F80" s="117">
        <v>5.2633000000000001</v>
      </c>
    </row>
    <row r="81" spans="1:6" ht="23.1" customHeight="1" x14ac:dyDescent="0.15">
      <c r="A81" s="114"/>
      <c r="B81" s="115" t="s">
        <v>168</v>
      </c>
      <c r="C81" s="116" t="s">
        <v>169</v>
      </c>
      <c r="D81" s="11">
        <v>8000000</v>
      </c>
      <c r="E81" s="11">
        <v>4200000</v>
      </c>
      <c r="F81" s="117">
        <v>2.0512999999999999</v>
      </c>
    </row>
    <row r="82" spans="1:6" ht="23.1" customHeight="1" x14ac:dyDescent="0.15">
      <c r="A82" s="114"/>
      <c r="B82" s="115" t="s">
        <v>170</v>
      </c>
      <c r="C82" s="116" t="s">
        <v>171</v>
      </c>
      <c r="D82" s="11">
        <v>0</v>
      </c>
      <c r="E82" s="11">
        <v>0</v>
      </c>
      <c r="F82" s="117">
        <v>0</v>
      </c>
    </row>
    <row r="83" spans="1:6" ht="44.1" customHeight="1" x14ac:dyDescent="0.15">
      <c r="A83" s="114"/>
      <c r="B83" s="115" t="s">
        <v>172</v>
      </c>
      <c r="C83" s="116" t="s">
        <v>173</v>
      </c>
      <c r="D83" s="11">
        <v>0</v>
      </c>
      <c r="E83" s="11">
        <v>0</v>
      </c>
      <c r="F83" s="117">
        <v>0</v>
      </c>
    </row>
    <row r="84" spans="1:6" ht="23.1" customHeight="1" x14ac:dyDescent="0.15">
      <c r="A84" s="114"/>
      <c r="B84" s="115" t="s">
        <v>174</v>
      </c>
      <c r="C84" s="116" t="s">
        <v>175</v>
      </c>
      <c r="D84" s="118">
        <v>74233044</v>
      </c>
      <c r="E84" s="118">
        <v>56056380</v>
      </c>
      <c r="F84" s="117">
        <v>1.6424000000000001</v>
      </c>
    </row>
    <row r="85" spans="1:6" ht="23.1" customHeight="1" x14ac:dyDescent="0.15">
      <c r="A85" s="114"/>
      <c r="B85" s="115" t="s">
        <v>176</v>
      </c>
      <c r="C85" s="116" t="s">
        <v>177</v>
      </c>
      <c r="D85" s="118">
        <v>0</v>
      </c>
      <c r="E85" s="118">
        <v>0</v>
      </c>
      <c r="F85" s="117">
        <v>0</v>
      </c>
    </row>
    <row r="86" spans="1:6" ht="23.1" customHeight="1" x14ac:dyDescent="0.15">
      <c r="A86" s="114"/>
      <c r="B86" s="115" t="s">
        <v>178</v>
      </c>
      <c r="C86" s="116" t="s">
        <v>179</v>
      </c>
      <c r="D86" s="118">
        <v>0</v>
      </c>
      <c r="E86" s="118">
        <v>0</v>
      </c>
      <c r="F86" s="117">
        <v>0</v>
      </c>
    </row>
    <row r="87" spans="1:6" ht="23.1" customHeight="1" x14ac:dyDescent="0.15">
      <c r="A87" s="114"/>
      <c r="B87" s="115" t="s">
        <v>180</v>
      </c>
      <c r="C87" s="116" t="s">
        <v>181</v>
      </c>
      <c r="D87" s="118">
        <v>5500000</v>
      </c>
      <c r="E87" s="118">
        <v>16500000</v>
      </c>
      <c r="F87" s="117">
        <v>1</v>
      </c>
    </row>
    <row r="88" spans="1:6" ht="44.1" customHeight="1" x14ac:dyDescent="0.15">
      <c r="A88" s="114"/>
      <c r="B88" s="115" t="s">
        <v>182</v>
      </c>
      <c r="C88" s="116" t="s">
        <v>183</v>
      </c>
      <c r="D88" s="118">
        <v>2196093346</v>
      </c>
      <c r="E88" s="118">
        <v>1660592549</v>
      </c>
      <c r="F88" s="117">
        <v>6.9649000000000001</v>
      </c>
    </row>
    <row r="89" spans="1:6" ht="33.950000000000003" customHeight="1" x14ac:dyDescent="0.15">
      <c r="A89" s="114"/>
      <c r="B89" s="115" t="s">
        <v>184</v>
      </c>
      <c r="C89" s="116" t="s">
        <v>185</v>
      </c>
      <c r="D89" s="118">
        <v>1756874685</v>
      </c>
      <c r="E89" s="118">
        <v>1328474044</v>
      </c>
      <c r="F89" s="117">
        <v>5.8765999999999998</v>
      </c>
    </row>
    <row r="90" spans="1:6" ht="23.1" customHeight="1" x14ac:dyDescent="0.15">
      <c r="A90" s="114"/>
      <c r="B90" s="115" t="s">
        <v>186</v>
      </c>
      <c r="C90" s="116" t="s">
        <v>187</v>
      </c>
      <c r="D90" s="118">
        <v>687261718</v>
      </c>
      <c r="E90" s="118">
        <v>2557312521</v>
      </c>
      <c r="F90" s="117">
        <v>0</v>
      </c>
    </row>
    <row r="91" spans="1:6" ht="23.1" customHeight="1" x14ac:dyDescent="0.15">
      <c r="A91" s="114"/>
      <c r="B91" s="115" t="s">
        <v>188</v>
      </c>
      <c r="C91" s="116" t="s">
        <v>189</v>
      </c>
      <c r="D91" s="118">
        <v>5374005</v>
      </c>
      <c r="E91" s="118">
        <v>5374005</v>
      </c>
      <c r="F91" s="117">
        <v>1.2877000000000001</v>
      </c>
    </row>
    <row r="92" spans="1:6" ht="23.1" customHeight="1" x14ac:dyDescent="0.15">
      <c r="A92" s="114"/>
      <c r="B92" s="115" t="s">
        <v>190</v>
      </c>
      <c r="C92" s="116" t="s">
        <v>191</v>
      </c>
      <c r="D92" s="11">
        <v>0</v>
      </c>
      <c r="E92" s="11">
        <v>0</v>
      </c>
      <c r="F92" s="117">
        <v>0</v>
      </c>
    </row>
    <row r="93" spans="1:6" ht="33.950000000000003" customHeight="1" x14ac:dyDescent="0.15">
      <c r="A93" s="114"/>
      <c r="B93" s="115" t="s">
        <v>192</v>
      </c>
      <c r="C93" s="116" t="s">
        <v>193</v>
      </c>
      <c r="D93" s="11">
        <v>0</v>
      </c>
      <c r="E93" s="11">
        <v>0</v>
      </c>
      <c r="F93" s="117">
        <v>0</v>
      </c>
    </row>
    <row r="94" spans="1:6" ht="33.950000000000003" customHeight="1" x14ac:dyDescent="0.15">
      <c r="A94" s="114"/>
      <c r="B94" s="115" t="s">
        <v>194</v>
      </c>
      <c r="C94" s="116" t="s">
        <v>195</v>
      </c>
      <c r="D94" s="11">
        <v>5374005</v>
      </c>
      <c r="E94" s="11">
        <v>5374005</v>
      </c>
      <c r="F94" s="117">
        <v>1.2877000000000001</v>
      </c>
    </row>
    <row r="95" spans="1:6" ht="33.950000000000003" customHeight="1" x14ac:dyDescent="0.15">
      <c r="A95" s="114"/>
      <c r="B95" s="115" t="s">
        <v>196</v>
      </c>
      <c r="C95" s="116" t="s">
        <v>197</v>
      </c>
      <c r="D95" s="11">
        <v>0</v>
      </c>
      <c r="E95" s="11">
        <v>0</v>
      </c>
      <c r="F95" s="117">
        <v>0</v>
      </c>
    </row>
    <row r="96" spans="1:6" ht="33.950000000000003" customHeight="1" x14ac:dyDescent="0.15">
      <c r="A96" s="114"/>
      <c r="B96" s="115" t="s">
        <v>198</v>
      </c>
      <c r="C96" s="116" t="s">
        <v>199</v>
      </c>
      <c r="D96" s="11">
        <v>0</v>
      </c>
      <c r="E96" s="11">
        <v>0</v>
      </c>
      <c r="F96" s="117">
        <v>0</v>
      </c>
    </row>
    <row r="97" spans="1:6" ht="23.1" customHeight="1" x14ac:dyDescent="0.15">
      <c r="A97" s="114"/>
      <c r="B97" s="115" t="s">
        <v>200</v>
      </c>
      <c r="C97" s="116" t="s">
        <v>201</v>
      </c>
      <c r="D97" s="11">
        <v>0</v>
      </c>
      <c r="E97" s="11">
        <v>0</v>
      </c>
      <c r="F97" s="117">
        <v>0</v>
      </c>
    </row>
    <row r="98" spans="1:6" ht="23.1" customHeight="1" x14ac:dyDescent="0.15">
      <c r="A98" s="114"/>
      <c r="B98" s="115" t="s">
        <v>202</v>
      </c>
      <c r="C98" s="116" t="s">
        <v>203</v>
      </c>
      <c r="D98" s="11">
        <v>0</v>
      </c>
      <c r="E98" s="11">
        <v>0</v>
      </c>
      <c r="F98" s="117">
        <v>0</v>
      </c>
    </row>
    <row r="99" spans="1:6" ht="23.1" customHeight="1" x14ac:dyDescent="0.15">
      <c r="A99" s="114"/>
      <c r="B99" s="115" t="s">
        <v>204</v>
      </c>
      <c r="C99" s="116" t="s">
        <v>205</v>
      </c>
      <c r="D99" s="11">
        <v>0</v>
      </c>
      <c r="E99" s="11">
        <v>0</v>
      </c>
      <c r="F99" s="117">
        <v>0</v>
      </c>
    </row>
    <row r="100" spans="1:6" ht="23.1" customHeight="1" x14ac:dyDescent="0.15">
      <c r="A100" s="114"/>
      <c r="B100" s="115" t="s">
        <v>206</v>
      </c>
      <c r="C100" s="116" t="s">
        <v>207</v>
      </c>
      <c r="D100" s="118">
        <v>0</v>
      </c>
      <c r="E100" s="118">
        <v>0</v>
      </c>
      <c r="F100" s="117">
        <v>0</v>
      </c>
    </row>
    <row r="101" spans="1:6" ht="23.1" customHeight="1" x14ac:dyDescent="0.15">
      <c r="A101" s="114"/>
      <c r="B101" s="115" t="s">
        <v>208</v>
      </c>
      <c r="C101" s="116" t="s">
        <v>209</v>
      </c>
      <c r="D101" s="11">
        <v>0</v>
      </c>
      <c r="E101" s="11">
        <v>0</v>
      </c>
      <c r="F101" s="117">
        <v>0</v>
      </c>
    </row>
    <row r="102" spans="1:6" ht="23.1" customHeight="1" x14ac:dyDescent="0.15">
      <c r="A102" s="114"/>
      <c r="B102" s="115" t="s">
        <v>210</v>
      </c>
      <c r="C102" s="116" t="s">
        <v>211</v>
      </c>
      <c r="D102" s="11">
        <v>0</v>
      </c>
      <c r="E102" s="11">
        <v>0</v>
      </c>
      <c r="F102" s="117">
        <v>0</v>
      </c>
    </row>
    <row r="103" spans="1:6" ht="23.1" customHeight="1" x14ac:dyDescent="0.15">
      <c r="A103" s="114" t="s">
        <v>212</v>
      </c>
      <c r="B103" s="115" t="s">
        <v>213</v>
      </c>
      <c r="C103" s="116" t="s">
        <v>214</v>
      </c>
      <c r="D103" s="10">
        <v>243662272108</v>
      </c>
      <c r="E103" s="10">
        <v>14855050549</v>
      </c>
      <c r="F103" s="117">
        <v>16.1449</v>
      </c>
    </row>
    <row r="104" spans="1:6" ht="23.1" customHeight="1" x14ac:dyDescent="0.15">
      <c r="A104" s="114"/>
      <c r="B104" s="115" t="s">
        <v>215</v>
      </c>
      <c r="C104" s="116" t="s">
        <v>216</v>
      </c>
      <c r="D104" s="10">
        <v>13035790225120</v>
      </c>
      <c r="E104" s="10">
        <v>12275435735239</v>
      </c>
      <c r="F104" s="117">
        <v>5.4204999999999997</v>
      </c>
    </row>
    <row r="105" spans="1:6" ht="23.1" customHeight="1" x14ac:dyDescent="0.15">
      <c r="A105" s="114"/>
      <c r="B105" s="115" t="s">
        <v>217</v>
      </c>
      <c r="C105" s="116" t="s">
        <v>218</v>
      </c>
      <c r="D105" s="10">
        <v>472200000</v>
      </c>
      <c r="E105" s="10">
        <v>471500000</v>
      </c>
      <c r="F105" s="117">
        <v>2.6783999999999999</v>
      </c>
    </row>
    <row r="106" spans="1:6" ht="33.950000000000003" customHeight="1" x14ac:dyDescent="0.15">
      <c r="A106" s="119"/>
      <c r="B106" s="120" t="s">
        <v>219</v>
      </c>
      <c r="C106" s="121" t="s">
        <v>220</v>
      </c>
      <c r="D106" s="12">
        <v>27606.5</v>
      </c>
      <c r="E106" s="12">
        <v>26034.85</v>
      </c>
      <c r="F106" s="122">
        <v>2.0238</v>
      </c>
    </row>
    <row r="107" spans="1:6" ht="4.5" customHeight="1" x14ac:dyDescent="0.15">
      <c r="A107" s="273"/>
      <c r="B107" s="273"/>
      <c r="C107" s="273"/>
      <c r="D107" s="273"/>
      <c r="E107" s="273"/>
      <c r="F107" s="273"/>
    </row>
    <row r="108" spans="1:6" ht="4.5" customHeight="1" x14ac:dyDescent="0.15">
      <c r="A108" s="5"/>
      <c r="B108" s="5"/>
      <c r="C108" s="13"/>
      <c r="D108" s="5"/>
      <c r="E108" s="5"/>
      <c r="F108" s="5"/>
    </row>
    <row r="109" spans="1:6" ht="15.75" customHeight="1" x14ac:dyDescent="0.15">
      <c r="A109" s="266" t="s">
        <v>221</v>
      </c>
      <c r="B109" s="266"/>
      <c r="C109" s="266"/>
      <c r="D109" s="266" t="s">
        <v>222</v>
      </c>
      <c r="E109" s="266"/>
      <c r="F109" s="266"/>
    </row>
    <row r="110" spans="1:6" ht="15.75" customHeight="1" x14ac:dyDescent="0.15">
      <c r="A110" s="267" t="s">
        <v>223</v>
      </c>
      <c r="B110" s="267"/>
      <c r="C110" s="267"/>
      <c r="D110" s="275" t="s">
        <v>224</v>
      </c>
      <c r="E110" s="275"/>
      <c r="F110" s="275"/>
    </row>
    <row r="111" spans="1:6" ht="15.75" customHeight="1" x14ac:dyDescent="0.15">
      <c r="A111" s="5"/>
      <c r="B111" s="5"/>
      <c r="C111" s="5"/>
      <c r="D111" s="5"/>
      <c r="E111" s="5"/>
      <c r="F111" s="5"/>
    </row>
    <row r="112" spans="1:6" ht="15.75" customHeight="1" x14ac:dyDescent="0.15">
      <c r="A112" s="5"/>
      <c r="B112" s="5"/>
      <c r="C112" s="5"/>
      <c r="D112" s="5"/>
      <c r="E112" s="5"/>
      <c r="F112" s="5"/>
    </row>
    <row r="113" spans="1:6" ht="15" customHeight="1" x14ac:dyDescent="0.15">
      <c r="A113" s="5"/>
      <c r="B113" s="5"/>
      <c r="C113" s="5"/>
      <c r="D113" s="5"/>
      <c r="E113" s="5"/>
      <c r="F113" s="5"/>
    </row>
    <row r="114" spans="1:6" ht="15.75" customHeight="1" x14ac:dyDescent="0.15">
      <c r="A114" s="5"/>
      <c r="B114" s="5"/>
      <c r="C114" s="5"/>
      <c r="D114" s="5"/>
      <c r="E114" s="5"/>
      <c r="F114" s="5"/>
    </row>
    <row r="115" spans="1:6" ht="15.75" customHeight="1" x14ac:dyDescent="0.15">
      <c r="A115" s="5"/>
      <c r="B115" s="5"/>
      <c r="C115" s="5"/>
      <c r="D115" s="5"/>
      <c r="E115" s="5"/>
      <c r="F115" s="5"/>
    </row>
    <row r="116" spans="1:6" ht="15.75" customHeight="1" x14ac:dyDescent="0.15">
      <c r="A116" s="266" t="s">
        <v>225</v>
      </c>
      <c r="B116" s="266"/>
      <c r="C116" s="266"/>
      <c r="D116" s="266" t="s">
        <v>226</v>
      </c>
      <c r="E116" s="266"/>
      <c r="F116" s="266"/>
    </row>
    <row r="117" spans="1:6" ht="15.75" customHeight="1" x14ac:dyDescent="0.15">
      <c r="A117" s="274" t="s">
        <v>227</v>
      </c>
      <c r="B117" s="274"/>
      <c r="C117" s="274"/>
      <c r="D117" s="274" t="s">
        <v>228</v>
      </c>
      <c r="E117" s="274"/>
      <c r="F117" s="274"/>
    </row>
    <row r="118" spans="1:6" ht="15.75" customHeight="1" x14ac:dyDescent="0.15">
      <c r="A118" s="274" t="s">
        <v>229</v>
      </c>
      <c r="B118" s="274"/>
      <c r="C118" s="274"/>
      <c r="D118" s="274" t="s">
        <v>230</v>
      </c>
      <c r="E118" s="274"/>
      <c r="F118" s="274"/>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59" bottom="0.59" header="0.5" footer="0.5"/>
  <pageSetup paperSize="9" fitToHeight="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zoomScaleNormal="100" zoomScaleSheetLayoutView="100" workbookViewId="0">
      <selection activeCell="E29" sqref="E29"/>
    </sheetView>
  </sheetViews>
  <sheetFormatPr defaultRowHeight="14.25" x14ac:dyDescent="0.2"/>
  <cols>
    <col min="1" max="1" width="5.28515625" style="110" customWidth="1"/>
    <col min="2" max="2" width="32.5703125" style="110" customWidth="1"/>
    <col min="3" max="3" width="8.28515625" style="110" customWidth="1"/>
    <col min="4" max="6" width="17.140625" style="110" customWidth="1"/>
    <col min="7" max="16384" width="9.140625" style="110"/>
  </cols>
  <sheetData>
    <row r="1" spans="1:6" ht="36" customHeight="1" x14ac:dyDescent="0.2">
      <c r="A1" s="276"/>
      <c r="B1" s="276"/>
      <c r="C1" s="34"/>
      <c r="D1" s="266" t="s">
        <v>0</v>
      </c>
      <c r="E1" s="266"/>
      <c r="F1" s="266"/>
    </row>
    <row r="2" spans="1:6" ht="27.75" customHeight="1" x14ac:dyDescent="0.2">
      <c r="A2" s="265" t="s">
        <v>1</v>
      </c>
      <c r="B2" s="265"/>
      <c r="C2" s="265"/>
      <c r="D2" s="265"/>
      <c r="E2" s="265"/>
      <c r="F2" s="265"/>
    </row>
    <row r="3" spans="1:6" ht="11.25" customHeight="1" x14ac:dyDescent="0.2">
      <c r="A3" s="111"/>
      <c r="B3" s="111"/>
      <c r="C3" s="111"/>
      <c r="D3" s="111"/>
      <c r="E3" s="111"/>
      <c r="F3" s="111"/>
    </row>
    <row r="4" spans="1:6" ht="22.5" customHeight="1" x14ac:dyDescent="0.2">
      <c r="A4" s="266" t="s">
        <v>231</v>
      </c>
      <c r="B4" s="266"/>
      <c r="C4" s="266"/>
      <c r="D4" s="266"/>
      <c r="E4" s="266"/>
      <c r="F4" s="266"/>
    </row>
    <row r="5" spans="1:6" ht="15.75" customHeight="1" x14ac:dyDescent="0.2">
      <c r="A5" s="275" t="s">
        <v>3</v>
      </c>
      <c r="B5" s="275"/>
      <c r="C5" s="275"/>
      <c r="D5" s="275"/>
      <c r="E5" s="275"/>
      <c r="F5" s="275"/>
    </row>
    <row r="6" spans="1:6" ht="15.75" customHeight="1" x14ac:dyDescent="0.2">
      <c r="A6" s="124" t="s">
        <v>4</v>
      </c>
      <c r="B6" s="4" t="s">
        <v>232</v>
      </c>
      <c r="C6" s="262" t="s">
        <v>6</v>
      </c>
      <c r="D6" s="262"/>
      <c r="E6" s="262"/>
      <c r="F6" s="262"/>
    </row>
    <row r="7" spans="1:6" ht="15.75" customHeight="1" x14ac:dyDescent="0.2">
      <c r="A7" s="111"/>
      <c r="B7" s="5" t="s">
        <v>7</v>
      </c>
      <c r="C7" s="268" t="s">
        <v>8</v>
      </c>
      <c r="D7" s="268"/>
      <c r="E7" s="268"/>
      <c r="F7" s="268"/>
    </row>
    <row r="8" spans="1:6" ht="15.75" customHeight="1" x14ac:dyDescent="0.2">
      <c r="A8" s="125" t="s">
        <v>9</v>
      </c>
      <c r="B8" s="4" t="s">
        <v>10</v>
      </c>
      <c r="C8" s="262" t="s">
        <v>11</v>
      </c>
      <c r="D8" s="262"/>
      <c r="E8" s="262"/>
      <c r="F8" s="262"/>
    </row>
    <row r="9" spans="1:6" ht="15.75" customHeight="1" x14ac:dyDescent="0.2">
      <c r="A9" s="111"/>
      <c r="B9" s="5" t="s">
        <v>12</v>
      </c>
      <c r="C9" s="268" t="s">
        <v>13</v>
      </c>
      <c r="D9" s="268"/>
      <c r="E9" s="268"/>
      <c r="F9" s="268"/>
    </row>
    <row r="10" spans="1:6" ht="15.75" customHeight="1" x14ac:dyDescent="0.2">
      <c r="A10" s="125" t="s">
        <v>14</v>
      </c>
      <c r="B10" s="4" t="s">
        <v>15</v>
      </c>
      <c r="C10" s="262" t="s">
        <v>16</v>
      </c>
      <c r="D10" s="262"/>
      <c r="E10" s="262"/>
      <c r="F10" s="262"/>
    </row>
    <row r="11" spans="1:6" ht="15.75" customHeight="1" x14ac:dyDescent="0.2">
      <c r="A11" s="111"/>
      <c r="B11" s="5" t="s">
        <v>17</v>
      </c>
      <c r="C11" s="268" t="s">
        <v>18</v>
      </c>
      <c r="D11" s="268"/>
      <c r="E11" s="268"/>
      <c r="F11" s="268"/>
    </row>
    <row r="12" spans="1:6" ht="15.75" customHeight="1" x14ac:dyDescent="0.2">
      <c r="A12" s="125" t="s">
        <v>19</v>
      </c>
      <c r="B12" s="4" t="s">
        <v>20</v>
      </c>
      <c r="C12" s="269">
        <v>44504</v>
      </c>
      <c r="D12" s="262"/>
      <c r="E12" s="262"/>
      <c r="F12" s="262"/>
    </row>
    <row r="13" spans="1:6" ht="15.75" customHeight="1" x14ac:dyDescent="0.2">
      <c r="A13" s="111"/>
      <c r="B13" s="5" t="s">
        <v>21</v>
      </c>
      <c r="C13" s="270">
        <v>44504</v>
      </c>
      <c r="D13" s="268"/>
      <c r="E13" s="268"/>
      <c r="F13" s="268"/>
    </row>
    <row r="14" spans="1:6" ht="15" customHeight="1" x14ac:dyDescent="0.2">
      <c r="A14" s="111"/>
      <c r="B14" s="111"/>
      <c r="C14" s="111"/>
      <c r="D14" s="111"/>
      <c r="E14" s="111"/>
      <c r="F14" s="111"/>
    </row>
    <row r="15" spans="1:6" ht="15.75" customHeight="1" x14ac:dyDescent="0.2">
      <c r="A15" s="271" t="s">
        <v>22</v>
      </c>
      <c r="B15" s="271"/>
      <c r="C15" s="271"/>
      <c r="D15" s="271"/>
      <c r="E15" s="271"/>
      <c r="F15" s="271"/>
    </row>
    <row r="16" spans="1:6" ht="15.75" customHeight="1" x14ac:dyDescent="0.2">
      <c r="A16" s="262" t="s">
        <v>233</v>
      </c>
      <c r="B16" s="262"/>
      <c r="C16" s="262"/>
      <c r="D16" s="262"/>
      <c r="E16" s="262"/>
      <c r="F16" s="262"/>
    </row>
    <row r="17" spans="1:6" ht="15.75" customHeight="1" x14ac:dyDescent="0.2">
      <c r="A17" s="112"/>
      <c r="B17" s="113"/>
      <c r="C17" s="112"/>
      <c r="D17" s="112"/>
      <c r="E17" s="272" t="s">
        <v>24</v>
      </c>
      <c r="F17" s="272"/>
    </row>
    <row r="18" spans="1:6" ht="49.5" customHeight="1" x14ac:dyDescent="0.2">
      <c r="A18" s="7" t="s">
        <v>25</v>
      </c>
      <c r="B18" s="8" t="s">
        <v>26</v>
      </c>
      <c r="C18" s="8" t="s">
        <v>27</v>
      </c>
      <c r="D18" s="8" t="s">
        <v>234</v>
      </c>
      <c r="E18" s="8" t="s">
        <v>235</v>
      </c>
      <c r="F18" s="9" t="s">
        <v>236</v>
      </c>
    </row>
    <row r="19" spans="1:6" ht="23.1" customHeight="1" x14ac:dyDescent="0.2">
      <c r="A19" s="14" t="s">
        <v>31</v>
      </c>
      <c r="B19" s="15" t="s">
        <v>237</v>
      </c>
      <c r="C19" s="16" t="s">
        <v>238</v>
      </c>
      <c r="D19" s="17">
        <v>16956070</v>
      </c>
      <c r="E19" s="17">
        <v>2781739242</v>
      </c>
      <c r="F19" s="18">
        <v>87355381272</v>
      </c>
    </row>
    <row r="20" spans="1:6" ht="23.1" customHeight="1" x14ac:dyDescent="0.2">
      <c r="A20" s="19" t="s">
        <v>4</v>
      </c>
      <c r="B20" s="20" t="s">
        <v>239</v>
      </c>
      <c r="C20" s="21"/>
      <c r="D20" s="22">
        <v>0</v>
      </c>
      <c r="E20" s="22">
        <v>0</v>
      </c>
      <c r="F20" s="23">
        <v>0</v>
      </c>
    </row>
    <row r="21" spans="1:6" ht="23.1" customHeight="1" x14ac:dyDescent="0.2">
      <c r="A21" s="19" t="s">
        <v>9</v>
      </c>
      <c r="B21" s="20" t="s">
        <v>240</v>
      </c>
      <c r="C21" s="21" t="s">
        <v>241</v>
      </c>
      <c r="D21" s="22">
        <v>0</v>
      </c>
      <c r="E21" s="22">
        <v>2680960000</v>
      </c>
      <c r="F21" s="23">
        <v>86844616156</v>
      </c>
    </row>
    <row r="22" spans="1:6" ht="23.1" customHeight="1" x14ac:dyDescent="0.2">
      <c r="A22" s="24"/>
      <c r="B22" s="25" t="s">
        <v>242</v>
      </c>
      <c r="C22" s="26" t="s">
        <v>243</v>
      </c>
      <c r="D22" s="27">
        <v>0</v>
      </c>
      <c r="E22" s="27">
        <v>2680960000</v>
      </c>
      <c r="F22" s="28">
        <v>86844616156</v>
      </c>
    </row>
    <row r="23" spans="1:6" ht="23.1" customHeight="1" x14ac:dyDescent="0.2">
      <c r="A23" s="24"/>
      <c r="B23" s="25" t="s">
        <v>244</v>
      </c>
      <c r="C23" s="26" t="s">
        <v>245</v>
      </c>
      <c r="D23" s="27">
        <v>0</v>
      </c>
      <c r="E23" s="27">
        <v>0</v>
      </c>
      <c r="F23" s="28">
        <v>0</v>
      </c>
    </row>
    <row r="24" spans="1:6" ht="23.1" customHeight="1" x14ac:dyDescent="0.2">
      <c r="A24" s="19" t="s">
        <v>14</v>
      </c>
      <c r="B24" s="20" t="s">
        <v>246</v>
      </c>
      <c r="C24" s="21" t="s">
        <v>247</v>
      </c>
      <c r="D24" s="22">
        <v>16956070</v>
      </c>
      <c r="E24" s="22">
        <v>100779242</v>
      </c>
      <c r="F24" s="23">
        <v>510765116</v>
      </c>
    </row>
    <row r="25" spans="1:6" ht="23.1" customHeight="1" x14ac:dyDescent="0.2">
      <c r="A25" s="24"/>
      <c r="B25" s="25" t="s">
        <v>248</v>
      </c>
      <c r="C25" s="26" t="s">
        <v>249</v>
      </c>
      <c r="D25" s="27">
        <v>16956070</v>
      </c>
      <c r="E25" s="27">
        <v>100779242</v>
      </c>
      <c r="F25" s="28">
        <v>510765116</v>
      </c>
    </row>
    <row r="26" spans="1:6" ht="23.1" customHeight="1" x14ac:dyDescent="0.2">
      <c r="A26" s="24"/>
      <c r="B26" s="25" t="s">
        <v>250</v>
      </c>
      <c r="C26" s="26" t="s">
        <v>251</v>
      </c>
      <c r="D26" s="27">
        <v>0</v>
      </c>
      <c r="E26" s="27">
        <v>0</v>
      </c>
      <c r="F26" s="28">
        <v>0</v>
      </c>
    </row>
    <row r="27" spans="1:6" ht="23.1" customHeight="1" x14ac:dyDescent="0.2">
      <c r="A27" s="19" t="s">
        <v>19</v>
      </c>
      <c r="B27" s="20" t="s">
        <v>252</v>
      </c>
      <c r="C27" s="21" t="s">
        <v>253</v>
      </c>
      <c r="D27" s="22">
        <v>0</v>
      </c>
      <c r="E27" s="22">
        <v>0</v>
      </c>
      <c r="F27" s="23">
        <v>0</v>
      </c>
    </row>
    <row r="28" spans="1:6" ht="23.1" customHeight="1" x14ac:dyDescent="0.2">
      <c r="A28" s="24"/>
      <c r="B28" s="25" t="s">
        <v>254</v>
      </c>
      <c r="C28" s="26" t="s">
        <v>255</v>
      </c>
      <c r="D28" s="27">
        <v>0</v>
      </c>
      <c r="E28" s="27">
        <v>0</v>
      </c>
      <c r="F28" s="28">
        <v>0</v>
      </c>
    </row>
    <row r="29" spans="1:6" ht="23.1" customHeight="1" x14ac:dyDescent="0.2">
      <c r="A29" s="24"/>
      <c r="B29" s="25" t="s">
        <v>256</v>
      </c>
      <c r="C29" s="26" t="s">
        <v>257</v>
      </c>
      <c r="D29" s="27">
        <v>0</v>
      </c>
      <c r="E29" s="27">
        <v>0</v>
      </c>
      <c r="F29" s="28">
        <v>0</v>
      </c>
    </row>
    <row r="30" spans="1:6" ht="64.5" customHeight="1" x14ac:dyDescent="0.2">
      <c r="A30" s="24"/>
      <c r="B30" s="25" t="s">
        <v>258</v>
      </c>
      <c r="C30" s="26" t="s">
        <v>259</v>
      </c>
      <c r="D30" s="27">
        <v>0</v>
      </c>
      <c r="E30" s="27">
        <v>0</v>
      </c>
      <c r="F30" s="28">
        <v>0</v>
      </c>
    </row>
    <row r="31" spans="1:6" ht="23.1" customHeight="1" x14ac:dyDescent="0.2">
      <c r="A31" s="14" t="s">
        <v>121</v>
      </c>
      <c r="B31" s="15" t="s">
        <v>260</v>
      </c>
      <c r="C31" s="16" t="s">
        <v>261</v>
      </c>
      <c r="D31" s="17">
        <v>12763933200</v>
      </c>
      <c r="E31" s="17">
        <v>11034760968</v>
      </c>
      <c r="F31" s="18">
        <v>106543460762</v>
      </c>
    </row>
    <row r="32" spans="1:6" ht="33.950000000000003" customHeight="1" x14ac:dyDescent="0.2">
      <c r="A32" s="19" t="s">
        <v>4</v>
      </c>
      <c r="B32" s="20" t="s">
        <v>262</v>
      </c>
      <c r="C32" s="21" t="s">
        <v>263</v>
      </c>
      <c r="D32" s="22">
        <v>8568012792</v>
      </c>
      <c r="E32" s="22">
        <v>8281752276</v>
      </c>
      <c r="F32" s="23">
        <v>74587558639</v>
      </c>
    </row>
    <row r="33" spans="1:6" ht="45" customHeight="1" x14ac:dyDescent="0.2">
      <c r="A33" s="19" t="s">
        <v>9</v>
      </c>
      <c r="B33" s="20" t="s">
        <v>264</v>
      </c>
      <c r="C33" s="21" t="s">
        <v>265</v>
      </c>
      <c r="D33" s="22">
        <v>751108946</v>
      </c>
      <c r="E33" s="22">
        <v>730516878</v>
      </c>
      <c r="F33" s="23">
        <v>6556784862</v>
      </c>
    </row>
    <row r="34" spans="1:6" ht="23.1" customHeight="1" x14ac:dyDescent="0.2">
      <c r="A34" s="24"/>
      <c r="B34" s="25" t="s">
        <v>266</v>
      </c>
      <c r="C34" s="26" t="s">
        <v>267</v>
      </c>
      <c r="D34" s="27">
        <v>214200319</v>
      </c>
      <c r="E34" s="27">
        <v>207043807</v>
      </c>
      <c r="F34" s="28">
        <v>1864688964</v>
      </c>
    </row>
    <row r="35" spans="1:6" ht="23.1" customHeight="1" x14ac:dyDescent="0.2">
      <c r="A35" s="24"/>
      <c r="B35" s="25" t="s">
        <v>268</v>
      </c>
      <c r="C35" s="26" t="s">
        <v>269</v>
      </c>
      <c r="D35" s="27">
        <v>5700000</v>
      </c>
      <c r="E35" s="27">
        <v>1600000</v>
      </c>
      <c r="F35" s="28">
        <v>43400000</v>
      </c>
    </row>
    <row r="36" spans="1:6" ht="23.1" customHeight="1" x14ac:dyDescent="0.2">
      <c r="A36" s="24"/>
      <c r="B36" s="25" t="s">
        <v>170</v>
      </c>
      <c r="C36" s="26" t="s">
        <v>270</v>
      </c>
      <c r="D36" s="27">
        <v>59967922</v>
      </c>
      <c r="E36" s="27">
        <v>66376693</v>
      </c>
      <c r="F36" s="28">
        <v>546380160</v>
      </c>
    </row>
    <row r="37" spans="1:6" ht="23.1" customHeight="1" x14ac:dyDescent="0.2">
      <c r="A37" s="24"/>
      <c r="B37" s="25" t="s">
        <v>271</v>
      </c>
      <c r="C37" s="26" t="s">
        <v>272</v>
      </c>
      <c r="D37" s="27">
        <v>471240705</v>
      </c>
      <c r="E37" s="27">
        <v>455496378</v>
      </c>
      <c r="F37" s="28">
        <v>4102315738</v>
      </c>
    </row>
    <row r="38" spans="1:6" ht="45" customHeight="1" x14ac:dyDescent="0.2">
      <c r="A38" s="24"/>
      <c r="B38" s="25" t="s">
        <v>172</v>
      </c>
      <c r="C38" s="26" t="s">
        <v>273</v>
      </c>
      <c r="D38" s="27">
        <v>0</v>
      </c>
      <c r="E38" s="27">
        <v>0</v>
      </c>
      <c r="F38" s="28">
        <v>0</v>
      </c>
    </row>
    <row r="39" spans="1:6" ht="56.1" customHeight="1" x14ac:dyDescent="0.2">
      <c r="A39" s="19" t="s">
        <v>14</v>
      </c>
      <c r="B39" s="20" t="s">
        <v>274</v>
      </c>
      <c r="C39" s="21" t="s">
        <v>275</v>
      </c>
      <c r="D39" s="22">
        <v>1892283507</v>
      </c>
      <c r="E39" s="22">
        <v>1962063979</v>
      </c>
      <c r="F39" s="23">
        <v>15384646891</v>
      </c>
    </row>
    <row r="40" spans="1:6" ht="23.1" customHeight="1" x14ac:dyDescent="0.2">
      <c r="A40" s="24"/>
      <c r="B40" s="25" t="s">
        <v>276</v>
      </c>
      <c r="C40" s="26" t="s">
        <v>277</v>
      </c>
      <c r="D40" s="27">
        <v>235620351</v>
      </c>
      <c r="E40" s="27">
        <v>227748188</v>
      </c>
      <c r="F40" s="28">
        <v>2051157858</v>
      </c>
    </row>
    <row r="41" spans="1:6" ht="23.1" customHeight="1" x14ac:dyDescent="0.2">
      <c r="A41" s="24"/>
      <c r="B41" s="25" t="s">
        <v>278</v>
      </c>
      <c r="C41" s="26" t="s">
        <v>279</v>
      </c>
      <c r="D41" s="27">
        <v>5500000</v>
      </c>
      <c r="E41" s="27">
        <v>5500000</v>
      </c>
      <c r="F41" s="28">
        <v>55000000</v>
      </c>
    </row>
    <row r="42" spans="1:6" ht="45" customHeight="1" x14ac:dyDescent="0.2">
      <c r="A42" s="24"/>
      <c r="B42" s="25" t="s">
        <v>280</v>
      </c>
      <c r="C42" s="26" t="s">
        <v>281</v>
      </c>
      <c r="D42" s="27">
        <v>535500797</v>
      </c>
      <c r="E42" s="27">
        <v>517609520</v>
      </c>
      <c r="F42" s="28">
        <v>4661722412</v>
      </c>
    </row>
    <row r="43" spans="1:6" ht="23.1" customHeight="1" x14ac:dyDescent="0.2">
      <c r="A43" s="24"/>
      <c r="B43" s="25" t="s">
        <v>282</v>
      </c>
      <c r="C43" s="26" t="s">
        <v>283</v>
      </c>
      <c r="D43" s="27">
        <v>428400641</v>
      </c>
      <c r="E43" s="27">
        <v>414087616</v>
      </c>
      <c r="F43" s="28">
        <v>3729377942</v>
      </c>
    </row>
    <row r="44" spans="1:6" ht="23.1" customHeight="1" x14ac:dyDescent="0.2">
      <c r="A44" s="24"/>
      <c r="B44" s="25" t="s">
        <v>284</v>
      </c>
      <c r="C44" s="26" t="s">
        <v>285</v>
      </c>
      <c r="D44" s="27">
        <v>687261718</v>
      </c>
      <c r="E44" s="27">
        <v>797118655</v>
      </c>
      <c r="F44" s="28">
        <v>4887388679</v>
      </c>
    </row>
    <row r="45" spans="1:6" ht="45" customHeight="1" x14ac:dyDescent="0.2">
      <c r="A45" s="19" t="s">
        <v>19</v>
      </c>
      <c r="B45" s="20" t="s">
        <v>286</v>
      </c>
      <c r="C45" s="21"/>
      <c r="D45" s="22">
        <v>0</v>
      </c>
      <c r="E45" s="22">
        <v>0</v>
      </c>
      <c r="F45" s="23">
        <v>0</v>
      </c>
    </row>
    <row r="46" spans="1:6" ht="45" customHeight="1" x14ac:dyDescent="0.2">
      <c r="A46" s="19" t="s">
        <v>287</v>
      </c>
      <c r="B46" s="20" t="s">
        <v>288</v>
      </c>
      <c r="C46" s="21"/>
      <c r="D46" s="22">
        <v>0</v>
      </c>
      <c r="E46" s="22">
        <v>0</v>
      </c>
      <c r="F46" s="23">
        <v>0</v>
      </c>
    </row>
    <row r="47" spans="1:6" ht="23.1" customHeight="1" x14ac:dyDescent="0.2">
      <c r="A47" s="19" t="s">
        <v>289</v>
      </c>
      <c r="B47" s="20" t="s">
        <v>290</v>
      </c>
      <c r="C47" s="21" t="s">
        <v>291</v>
      </c>
      <c r="D47" s="22">
        <v>18176664</v>
      </c>
      <c r="E47" s="22">
        <v>17590320</v>
      </c>
      <c r="F47" s="23">
        <v>129233047</v>
      </c>
    </row>
    <row r="48" spans="1:6" ht="66" customHeight="1" x14ac:dyDescent="0.2">
      <c r="A48" s="19" t="s">
        <v>292</v>
      </c>
      <c r="B48" s="20" t="s">
        <v>293</v>
      </c>
      <c r="C48" s="21" t="s">
        <v>294</v>
      </c>
      <c r="D48" s="22">
        <v>9764372</v>
      </c>
      <c r="E48" s="22">
        <v>9739715</v>
      </c>
      <c r="F48" s="23">
        <v>97495777</v>
      </c>
    </row>
    <row r="49" spans="1:6" ht="33.950000000000003" customHeight="1" x14ac:dyDescent="0.2">
      <c r="A49" s="24"/>
      <c r="B49" s="25" t="s">
        <v>295</v>
      </c>
      <c r="C49" s="26" t="s">
        <v>296</v>
      </c>
      <c r="D49" s="27">
        <v>9764372</v>
      </c>
      <c r="E49" s="27">
        <v>9739715</v>
      </c>
      <c r="F49" s="28">
        <v>97495777</v>
      </c>
    </row>
    <row r="50" spans="1:6" ht="23.1" customHeight="1" x14ac:dyDescent="0.2">
      <c r="A50" s="24"/>
      <c r="B50" s="25" t="s">
        <v>297</v>
      </c>
      <c r="C50" s="26" t="s">
        <v>298</v>
      </c>
      <c r="D50" s="27">
        <v>0</v>
      </c>
      <c r="E50" s="27">
        <v>0</v>
      </c>
      <c r="F50" s="28">
        <v>0</v>
      </c>
    </row>
    <row r="51" spans="1:6" ht="23.1" customHeight="1" x14ac:dyDescent="0.2">
      <c r="A51" s="24"/>
      <c r="B51" s="25" t="s">
        <v>299</v>
      </c>
      <c r="C51" s="26" t="s">
        <v>300</v>
      </c>
      <c r="D51" s="27">
        <v>0</v>
      </c>
      <c r="E51" s="27">
        <v>0</v>
      </c>
      <c r="F51" s="28">
        <v>0</v>
      </c>
    </row>
    <row r="52" spans="1:6" ht="139.5" customHeight="1" x14ac:dyDescent="0.2">
      <c r="A52" s="19" t="s">
        <v>301</v>
      </c>
      <c r="B52" s="20" t="s">
        <v>302</v>
      </c>
      <c r="C52" s="21" t="s">
        <v>303</v>
      </c>
      <c r="D52" s="22">
        <v>0</v>
      </c>
      <c r="E52" s="22">
        <v>0</v>
      </c>
      <c r="F52" s="23">
        <v>45425688</v>
      </c>
    </row>
    <row r="53" spans="1:6" ht="23.1" customHeight="1" x14ac:dyDescent="0.2">
      <c r="A53" s="24"/>
      <c r="B53" s="25" t="s">
        <v>304</v>
      </c>
      <c r="C53" s="26" t="s">
        <v>305</v>
      </c>
      <c r="D53" s="27">
        <v>0</v>
      </c>
      <c r="E53" s="27">
        <v>0</v>
      </c>
      <c r="F53" s="28">
        <v>27142500</v>
      </c>
    </row>
    <row r="54" spans="1:6" ht="23.1" customHeight="1" x14ac:dyDescent="0.2">
      <c r="A54" s="24"/>
      <c r="B54" s="25" t="s">
        <v>306</v>
      </c>
      <c r="C54" s="26" t="s">
        <v>307</v>
      </c>
      <c r="D54" s="27">
        <v>0</v>
      </c>
      <c r="E54" s="27">
        <v>0</v>
      </c>
      <c r="F54" s="28">
        <v>0</v>
      </c>
    </row>
    <row r="55" spans="1:6" ht="33.950000000000003" customHeight="1" x14ac:dyDescent="0.2">
      <c r="A55" s="24"/>
      <c r="B55" s="25" t="s">
        <v>308</v>
      </c>
      <c r="C55" s="26" t="s">
        <v>309</v>
      </c>
      <c r="D55" s="27">
        <v>0</v>
      </c>
      <c r="E55" s="27">
        <v>0</v>
      </c>
      <c r="F55" s="28">
        <v>0</v>
      </c>
    </row>
    <row r="56" spans="1:6" ht="33.950000000000003" customHeight="1" x14ac:dyDescent="0.2">
      <c r="A56" s="24"/>
      <c r="B56" s="25" t="s">
        <v>310</v>
      </c>
      <c r="C56" s="26" t="s">
        <v>311</v>
      </c>
      <c r="D56" s="27">
        <v>0</v>
      </c>
      <c r="E56" s="27">
        <v>0</v>
      </c>
      <c r="F56" s="28">
        <v>0</v>
      </c>
    </row>
    <row r="57" spans="1:6" ht="23.1" customHeight="1" x14ac:dyDescent="0.2">
      <c r="A57" s="24"/>
      <c r="B57" s="25" t="s">
        <v>312</v>
      </c>
      <c r="C57" s="26" t="s">
        <v>313</v>
      </c>
      <c r="D57" s="27">
        <v>0</v>
      </c>
      <c r="E57" s="27">
        <v>0</v>
      </c>
      <c r="F57" s="28">
        <v>18283188</v>
      </c>
    </row>
    <row r="58" spans="1:6" ht="45" customHeight="1" x14ac:dyDescent="0.2">
      <c r="A58" s="19" t="s">
        <v>314</v>
      </c>
      <c r="B58" s="20" t="s">
        <v>315</v>
      </c>
      <c r="C58" s="21" t="s">
        <v>316</v>
      </c>
      <c r="D58" s="22">
        <v>1520004897</v>
      </c>
      <c r="E58" s="22">
        <v>29418300</v>
      </c>
      <c r="F58" s="23">
        <v>9663133033</v>
      </c>
    </row>
    <row r="59" spans="1:6" ht="23.1" customHeight="1" x14ac:dyDescent="0.2">
      <c r="A59" s="24"/>
      <c r="B59" s="25" t="s">
        <v>317</v>
      </c>
      <c r="C59" s="26" t="s">
        <v>318</v>
      </c>
      <c r="D59" s="27">
        <v>1520004897</v>
      </c>
      <c r="E59" s="27">
        <v>29418300</v>
      </c>
      <c r="F59" s="28">
        <v>9663133033</v>
      </c>
    </row>
    <row r="60" spans="1:6" ht="23.1" customHeight="1" x14ac:dyDescent="0.2">
      <c r="A60" s="24"/>
      <c r="B60" s="25" t="s">
        <v>319</v>
      </c>
      <c r="C60" s="26" t="s">
        <v>320</v>
      </c>
      <c r="D60" s="27">
        <v>0</v>
      </c>
      <c r="E60" s="27">
        <v>0</v>
      </c>
      <c r="F60" s="28">
        <v>0</v>
      </c>
    </row>
    <row r="61" spans="1:6" ht="23.1" customHeight="1" x14ac:dyDescent="0.2">
      <c r="A61" s="19" t="s">
        <v>321</v>
      </c>
      <c r="B61" s="20" t="s">
        <v>322</v>
      </c>
      <c r="C61" s="21" t="s">
        <v>323</v>
      </c>
      <c r="D61" s="22">
        <v>4582022</v>
      </c>
      <c r="E61" s="22">
        <v>3679500</v>
      </c>
      <c r="F61" s="23">
        <v>79182825</v>
      </c>
    </row>
    <row r="62" spans="1:6" ht="23.1" customHeight="1" x14ac:dyDescent="0.2">
      <c r="A62" s="24"/>
      <c r="B62" s="25" t="s">
        <v>324</v>
      </c>
      <c r="C62" s="26" t="s">
        <v>325</v>
      </c>
      <c r="D62" s="27">
        <v>0</v>
      </c>
      <c r="E62" s="27">
        <v>0</v>
      </c>
      <c r="F62" s="28">
        <v>0</v>
      </c>
    </row>
    <row r="63" spans="1:6" ht="23.1" customHeight="1" x14ac:dyDescent="0.2">
      <c r="A63" s="24"/>
      <c r="B63" s="25" t="s">
        <v>326</v>
      </c>
      <c r="C63" s="26" t="s">
        <v>327</v>
      </c>
      <c r="D63" s="27">
        <v>0</v>
      </c>
      <c r="E63" s="27">
        <v>0</v>
      </c>
      <c r="F63" s="28">
        <v>30000000</v>
      </c>
    </row>
    <row r="64" spans="1:6" ht="23.1" customHeight="1" x14ac:dyDescent="0.2">
      <c r="A64" s="24"/>
      <c r="B64" s="25" t="s">
        <v>328</v>
      </c>
      <c r="C64" s="26" t="s">
        <v>329</v>
      </c>
      <c r="D64" s="27">
        <v>0</v>
      </c>
      <c r="E64" s="27">
        <v>0</v>
      </c>
      <c r="F64" s="28">
        <v>0</v>
      </c>
    </row>
    <row r="65" spans="1:6" ht="23.1" customHeight="1" x14ac:dyDescent="0.2">
      <c r="A65" s="24"/>
      <c r="B65" s="25" t="s">
        <v>330</v>
      </c>
      <c r="C65" s="26" t="s">
        <v>331</v>
      </c>
      <c r="D65" s="27">
        <v>4582022</v>
      </c>
      <c r="E65" s="27">
        <v>3679500</v>
      </c>
      <c r="F65" s="28">
        <v>38682825</v>
      </c>
    </row>
    <row r="66" spans="1:6" ht="23.1" customHeight="1" x14ac:dyDescent="0.2">
      <c r="A66" s="24"/>
      <c r="B66" s="25" t="s">
        <v>332</v>
      </c>
      <c r="C66" s="26" t="s">
        <v>333</v>
      </c>
      <c r="D66" s="27">
        <v>0</v>
      </c>
      <c r="E66" s="27">
        <v>0</v>
      </c>
      <c r="F66" s="28">
        <v>0</v>
      </c>
    </row>
    <row r="67" spans="1:6" ht="23.1" customHeight="1" x14ac:dyDescent="0.2">
      <c r="A67" s="24"/>
      <c r="B67" s="25" t="s">
        <v>334</v>
      </c>
      <c r="C67" s="26" t="s">
        <v>335</v>
      </c>
      <c r="D67" s="27">
        <v>0</v>
      </c>
      <c r="E67" s="27">
        <v>0</v>
      </c>
      <c r="F67" s="28">
        <v>0</v>
      </c>
    </row>
    <row r="68" spans="1:6" ht="33.950000000000003" customHeight="1" x14ac:dyDescent="0.2">
      <c r="A68" s="24"/>
      <c r="B68" s="25" t="s">
        <v>336</v>
      </c>
      <c r="C68" s="26" t="s">
        <v>337</v>
      </c>
      <c r="D68" s="27">
        <v>0</v>
      </c>
      <c r="E68" s="27">
        <v>0</v>
      </c>
      <c r="F68" s="28">
        <v>10500000</v>
      </c>
    </row>
    <row r="69" spans="1:6" ht="33.950000000000003" customHeight="1" x14ac:dyDescent="0.2">
      <c r="A69" s="24"/>
      <c r="B69" s="25" t="s">
        <v>338</v>
      </c>
      <c r="C69" s="26" t="s">
        <v>339</v>
      </c>
      <c r="D69" s="27">
        <v>0</v>
      </c>
      <c r="E69" s="27">
        <v>0</v>
      </c>
      <c r="F69" s="28">
        <v>0</v>
      </c>
    </row>
    <row r="70" spans="1:6" ht="45" customHeight="1" x14ac:dyDescent="0.2">
      <c r="A70" s="14" t="s">
        <v>340</v>
      </c>
      <c r="B70" s="15" t="s">
        <v>341</v>
      </c>
      <c r="C70" s="16" t="s">
        <v>342</v>
      </c>
      <c r="D70" s="17">
        <v>-12746977130</v>
      </c>
      <c r="E70" s="17">
        <v>-8253021726</v>
      </c>
      <c r="F70" s="18">
        <v>-19188079490</v>
      </c>
    </row>
    <row r="71" spans="1:6" ht="33.950000000000003" customHeight="1" x14ac:dyDescent="0.2">
      <c r="A71" s="14" t="s">
        <v>343</v>
      </c>
      <c r="B71" s="15" t="s">
        <v>344</v>
      </c>
      <c r="C71" s="16" t="s">
        <v>345</v>
      </c>
      <c r="D71" s="17">
        <v>752835339645</v>
      </c>
      <c r="E71" s="17">
        <v>513393973926</v>
      </c>
      <c r="F71" s="18">
        <v>5079516986544</v>
      </c>
    </row>
    <row r="72" spans="1:6" ht="44.25" customHeight="1" x14ac:dyDescent="0.2">
      <c r="A72" s="19" t="s">
        <v>4</v>
      </c>
      <c r="B72" s="20" t="s">
        <v>346</v>
      </c>
      <c r="C72" s="21" t="s">
        <v>347</v>
      </c>
      <c r="D72" s="22">
        <v>292825380271</v>
      </c>
      <c r="E72" s="22">
        <v>321701016732</v>
      </c>
      <c r="F72" s="23">
        <v>2047338778933</v>
      </c>
    </row>
    <row r="73" spans="1:6" ht="23.1" customHeight="1" x14ac:dyDescent="0.2">
      <c r="A73" s="24"/>
      <c r="B73" s="25" t="s">
        <v>348</v>
      </c>
      <c r="C73" s="26" t="s">
        <v>349</v>
      </c>
      <c r="D73" s="27">
        <v>259112803630</v>
      </c>
      <c r="E73" s="27">
        <v>6357903</v>
      </c>
      <c r="F73" s="28">
        <v>1133599074134</v>
      </c>
    </row>
    <row r="74" spans="1:6" ht="45" customHeight="1" x14ac:dyDescent="0.2">
      <c r="A74" s="24"/>
      <c r="B74" s="25" t="s">
        <v>350</v>
      </c>
      <c r="C74" s="26" t="s">
        <v>351</v>
      </c>
      <c r="D74" s="27">
        <v>33712576641</v>
      </c>
      <c r="E74" s="27">
        <v>321694658829</v>
      </c>
      <c r="F74" s="28">
        <v>913739704799</v>
      </c>
    </row>
    <row r="75" spans="1:6" ht="43.5" customHeight="1" x14ac:dyDescent="0.2">
      <c r="A75" s="24"/>
      <c r="B75" s="25" t="s">
        <v>352</v>
      </c>
      <c r="C75" s="26" t="s">
        <v>353</v>
      </c>
      <c r="D75" s="27">
        <v>0</v>
      </c>
      <c r="E75" s="27">
        <v>0</v>
      </c>
      <c r="F75" s="28">
        <v>0</v>
      </c>
    </row>
    <row r="76" spans="1:6" ht="33" customHeight="1" x14ac:dyDescent="0.2">
      <c r="A76" s="19" t="s">
        <v>9</v>
      </c>
      <c r="B76" s="20" t="s">
        <v>354</v>
      </c>
      <c r="C76" s="21" t="s">
        <v>355</v>
      </c>
      <c r="D76" s="22">
        <v>460009959374</v>
      </c>
      <c r="E76" s="22">
        <v>191692957194</v>
      </c>
      <c r="F76" s="23">
        <v>3032178207611</v>
      </c>
    </row>
    <row r="77" spans="1:6" ht="65.25" customHeight="1" x14ac:dyDescent="0.2">
      <c r="A77" s="14" t="s">
        <v>356</v>
      </c>
      <c r="B77" s="15" t="s">
        <v>357</v>
      </c>
      <c r="C77" s="16" t="s">
        <v>358</v>
      </c>
      <c r="D77" s="17">
        <v>740088362515</v>
      </c>
      <c r="E77" s="17">
        <v>505140952200</v>
      </c>
      <c r="F77" s="18">
        <v>5060328907054</v>
      </c>
    </row>
    <row r="78" spans="1:6" ht="33.950000000000003" customHeight="1" x14ac:dyDescent="0.2">
      <c r="A78" s="14" t="s">
        <v>359</v>
      </c>
      <c r="B78" s="15" t="s">
        <v>360</v>
      </c>
      <c r="C78" s="16" t="s">
        <v>361</v>
      </c>
      <c r="D78" s="17">
        <v>12275435735239</v>
      </c>
      <c r="E78" s="17">
        <v>12758713399738</v>
      </c>
      <c r="F78" s="18">
        <v>5280430128341</v>
      </c>
    </row>
    <row r="79" spans="1:6" ht="45" customHeight="1" x14ac:dyDescent="0.2">
      <c r="A79" s="14" t="s">
        <v>362</v>
      </c>
      <c r="B79" s="15" t="s">
        <v>363</v>
      </c>
      <c r="C79" s="16" t="s">
        <v>364</v>
      </c>
      <c r="D79" s="17">
        <v>760354489881</v>
      </c>
      <c r="E79" s="17">
        <v>-483277664499</v>
      </c>
      <c r="F79" s="18">
        <v>7755360096779</v>
      </c>
    </row>
    <row r="80" spans="1:6" ht="23.1" customHeight="1" x14ac:dyDescent="0.2">
      <c r="A80" s="19"/>
      <c r="B80" s="20" t="s">
        <v>365</v>
      </c>
      <c r="C80" s="21" t="s">
        <v>366</v>
      </c>
      <c r="D80" s="22">
        <v>0</v>
      </c>
      <c r="E80" s="22">
        <v>0</v>
      </c>
      <c r="F80" s="23">
        <v>0</v>
      </c>
    </row>
    <row r="81" spans="1:6" ht="45" customHeight="1" x14ac:dyDescent="0.2">
      <c r="A81" s="19" t="s">
        <v>4</v>
      </c>
      <c r="B81" s="20" t="s">
        <v>367</v>
      </c>
      <c r="C81" s="21" t="s">
        <v>368</v>
      </c>
      <c r="D81" s="22">
        <v>740088362515</v>
      </c>
      <c r="E81" s="22">
        <v>505140952200</v>
      </c>
      <c r="F81" s="23">
        <v>5060328907054</v>
      </c>
    </row>
    <row r="82" spans="1:6" ht="54" customHeight="1" x14ac:dyDescent="0.2">
      <c r="A82" s="19" t="s">
        <v>9</v>
      </c>
      <c r="B82" s="20" t="s">
        <v>369</v>
      </c>
      <c r="C82" s="21"/>
      <c r="D82" s="22">
        <v>0</v>
      </c>
      <c r="E82" s="22">
        <v>0</v>
      </c>
      <c r="F82" s="23">
        <v>0</v>
      </c>
    </row>
    <row r="83" spans="1:6" ht="43.5" customHeight="1" x14ac:dyDescent="0.2">
      <c r="A83" s="19" t="s">
        <v>14</v>
      </c>
      <c r="B83" s="20" t="s">
        <v>370</v>
      </c>
      <c r="C83" s="21" t="s">
        <v>371</v>
      </c>
      <c r="D83" s="22">
        <v>20266127366</v>
      </c>
      <c r="E83" s="22">
        <v>-988418616699</v>
      </c>
      <c r="F83" s="23">
        <v>2695031189725</v>
      </c>
    </row>
    <row r="84" spans="1:6" ht="45" customHeight="1" x14ac:dyDescent="0.2">
      <c r="A84" s="24"/>
      <c r="B84" s="25" t="s">
        <v>372</v>
      </c>
      <c r="C84" s="26" t="s">
        <v>373</v>
      </c>
      <c r="D84" s="27">
        <v>129270847718</v>
      </c>
      <c r="E84" s="27">
        <v>155891589825</v>
      </c>
      <c r="F84" s="28">
        <v>5939243672458</v>
      </c>
    </row>
    <row r="85" spans="1:6" ht="45" customHeight="1" x14ac:dyDescent="0.2">
      <c r="A85" s="24"/>
      <c r="B85" s="25" t="s">
        <v>374</v>
      </c>
      <c r="C85" s="26" t="s">
        <v>375</v>
      </c>
      <c r="D85" s="27">
        <v>-109004720352</v>
      </c>
      <c r="E85" s="27">
        <v>-1144310206524</v>
      </c>
      <c r="F85" s="28">
        <v>-3244212482733</v>
      </c>
    </row>
    <row r="86" spans="1:6" ht="23.1" customHeight="1" x14ac:dyDescent="0.2">
      <c r="A86" s="14" t="s">
        <v>376</v>
      </c>
      <c r="B86" s="15" t="s">
        <v>377</v>
      </c>
      <c r="C86" s="16" t="s">
        <v>378</v>
      </c>
      <c r="D86" s="17">
        <v>13035790225120</v>
      </c>
      <c r="E86" s="17">
        <v>12275435735239</v>
      </c>
      <c r="F86" s="18">
        <v>13035790225120</v>
      </c>
    </row>
    <row r="87" spans="1:6" ht="45" customHeight="1" x14ac:dyDescent="0.2">
      <c r="A87" s="14" t="s">
        <v>379</v>
      </c>
      <c r="B87" s="15" t="s">
        <v>380</v>
      </c>
      <c r="C87" s="16" t="s">
        <v>381</v>
      </c>
      <c r="D87" s="17">
        <v>0</v>
      </c>
      <c r="E87" s="17">
        <v>0</v>
      </c>
      <c r="F87" s="18">
        <v>0</v>
      </c>
    </row>
    <row r="88" spans="1:6" ht="45" customHeight="1" x14ac:dyDescent="0.2">
      <c r="A88" s="29"/>
      <c r="B88" s="30" t="s">
        <v>382</v>
      </c>
      <c r="C88" s="31" t="s">
        <v>383</v>
      </c>
      <c r="D88" s="32">
        <v>0</v>
      </c>
      <c r="E88" s="32">
        <v>0</v>
      </c>
      <c r="F88" s="33">
        <v>0</v>
      </c>
    </row>
    <row r="89" spans="1:6" ht="11.25" customHeight="1" x14ac:dyDescent="0.2">
      <c r="A89" s="111"/>
      <c r="B89" s="111"/>
      <c r="C89" s="13"/>
      <c r="D89" s="111"/>
      <c r="E89" s="111"/>
      <c r="F89" s="111"/>
    </row>
    <row r="90" spans="1:6" ht="15.75" customHeight="1" x14ac:dyDescent="0.2">
      <c r="A90" s="266" t="s">
        <v>221</v>
      </c>
      <c r="B90" s="266"/>
      <c r="C90" s="266"/>
      <c r="D90" s="266" t="s">
        <v>222</v>
      </c>
      <c r="E90" s="266"/>
      <c r="F90" s="266"/>
    </row>
    <row r="91" spans="1:6" ht="15.75" customHeight="1" x14ac:dyDescent="0.2">
      <c r="A91" s="267" t="s">
        <v>223</v>
      </c>
      <c r="B91" s="267"/>
      <c r="C91" s="267"/>
      <c r="D91" s="275" t="s">
        <v>224</v>
      </c>
      <c r="E91" s="275"/>
      <c r="F91" s="275"/>
    </row>
    <row r="92" spans="1:6" ht="15.75" customHeight="1" x14ac:dyDescent="0.2">
      <c r="A92" s="111"/>
      <c r="B92" s="111"/>
      <c r="C92" s="111"/>
      <c r="D92" s="111"/>
      <c r="E92" s="111"/>
      <c r="F92" s="111"/>
    </row>
    <row r="93" spans="1:6" ht="15.75" customHeight="1" x14ac:dyDescent="0.2">
      <c r="A93" s="111"/>
      <c r="B93" s="111"/>
      <c r="C93" s="111"/>
      <c r="D93" s="111"/>
      <c r="E93" s="111"/>
      <c r="F93" s="111"/>
    </row>
    <row r="94" spans="1:6" ht="15" customHeight="1" x14ac:dyDescent="0.2">
      <c r="A94" s="111"/>
      <c r="B94" s="111"/>
      <c r="C94" s="111"/>
      <c r="D94" s="111"/>
      <c r="E94" s="111"/>
      <c r="F94" s="111"/>
    </row>
    <row r="95" spans="1:6" ht="15" customHeight="1" x14ac:dyDescent="0.2">
      <c r="A95" s="111"/>
      <c r="B95" s="111"/>
      <c r="C95" s="111"/>
      <c r="D95" s="111"/>
      <c r="E95" s="111"/>
      <c r="F95" s="111"/>
    </row>
    <row r="96" spans="1:6" ht="15.75" customHeight="1" x14ac:dyDescent="0.2">
      <c r="A96" s="111"/>
      <c r="B96" s="111"/>
      <c r="C96" s="111"/>
      <c r="D96" s="111"/>
      <c r="E96" s="111"/>
      <c r="F96" s="111"/>
    </row>
    <row r="97" spans="1:6" ht="15.75" customHeight="1" x14ac:dyDescent="0.2">
      <c r="A97" s="266" t="s">
        <v>225</v>
      </c>
      <c r="B97" s="266"/>
      <c r="C97" s="266"/>
      <c r="D97" s="266" t="s">
        <v>226</v>
      </c>
      <c r="E97" s="266"/>
      <c r="F97" s="266"/>
    </row>
    <row r="98" spans="1:6" ht="15.75" customHeight="1" x14ac:dyDescent="0.2">
      <c r="A98" s="274" t="s">
        <v>227</v>
      </c>
      <c r="B98" s="274"/>
      <c r="C98" s="274"/>
      <c r="D98" s="274" t="s">
        <v>228</v>
      </c>
      <c r="E98" s="274"/>
      <c r="F98" s="274"/>
    </row>
    <row r="99" spans="1:6" ht="15.75" customHeight="1" x14ac:dyDescent="0.2">
      <c r="A99" s="274" t="s">
        <v>229</v>
      </c>
      <c r="B99" s="274"/>
      <c r="C99" s="274"/>
      <c r="D99" s="274" t="s">
        <v>230</v>
      </c>
      <c r="E99" s="274"/>
      <c r="F99" s="274"/>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59" bottom="0.59" header="0.5" footer="0.5"/>
  <pageSetup paperSize="9" fitToHeight="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88"/>
  <sheetViews>
    <sheetView showGridLines="0" showZeros="0" showOutlineSymbols="0" view="pageBreakPreview" topLeftCell="A67" zoomScaleNormal="100" zoomScaleSheetLayoutView="100" workbookViewId="0">
      <selection activeCell="F72" sqref="F72:G72"/>
    </sheetView>
  </sheetViews>
  <sheetFormatPr defaultRowHeight="10.5" x14ac:dyDescent="0.15"/>
  <cols>
    <col min="1" max="1" width="3.85546875" style="67" customWidth="1"/>
    <col min="2" max="2" width="34" style="67" customWidth="1"/>
    <col min="3" max="3" width="7.85546875" style="67" customWidth="1"/>
    <col min="4" max="4" width="12.140625" style="67" bestFit="1" customWidth="1"/>
    <col min="5" max="5" width="11.28515625" style="67" bestFit="1" customWidth="1"/>
    <col min="6" max="6" width="15.42578125" style="67" bestFit="1" customWidth="1"/>
    <col min="7" max="7" width="10.7109375" style="67" bestFit="1" customWidth="1"/>
    <col min="8" max="16384" width="9.140625" style="67"/>
  </cols>
  <sheetData>
    <row r="1" spans="1:7" ht="30" customHeight="1" x14ac:dyDescent="0.15">
      <c r="A1" s="97"/>
      <c r="B1" s="97"/>
      <c r="C1" s="123"/>
      <c r="D1" s="266" t="s">
        <v>0</v>
      </c>
      <c r="E1" s="266"/>
      <c r="F1" s="266"/>
      <c r="G1" s="266"/>
    </row>
    <row r="2" spans="1:7" ht="40.5" customHeight="1" x14ac:dyDescent="0.15">
      <c r="A2" s="278" t="s">
        <v>1</v>
      </c>
      <c r="B2" s="278"/>
      <c r="C2" s="278"/>
      <c r="D2" s="278"/>
      <c r="E2" s="278"/>
      <c r="F2" s="278"/>
      <c r="G2" s="278"/>
    </row>
    <row r="3" spans="1:7" ht="11.25" customHeight="1" x14ac:dyDescent="0.15">
      <c r="A3" s="5"/>
      <c r="B3" s="5"/>
      <c r="C3" s="5"/>
      <c r="D3" s="5"/>
      <c r="E3" s="5"/>
      <c r="F3" s="5"/>
      <c r="G3" s="5"/>
    </row>
    <row r="4" spans="1:7" ht="24.75" customHeight="1" x14ac:dyDescent="0.15">
      <c r="A4" s="266" t="s">
        <v>231</v>
      </c>
      <c r="B4" s="266"/>
      <c r="C4" s="266"/>
      <c r="D4" s="266"/>
      <c r="E4" s="266"/>
      <c r="F4" s="266"/>
      <c r="G4" s="266"/>
    </row>
    <row r="5" spans="1:7" ht="18.75" customHeight="1" x14ac:dyDescent="0.15">
      <c r="A5" s="275" t="s">
        <v>384</v>
      </c>
      <c r="B5" s="275"/>
      <c r="C5" s="275"/>
      <c r="D5" s="275"/>
      <c r="E5" s="275"/>
      <c r="F5" s="275"/>
      <c r="G5" s="275"/>
    </row>
    <row r="6" spans="1:7" ht="15.75" customHeight="1" x14ac:dyDescent="0.15">
      <c r="A6" s="35" t="s">
        <v>4</v>
      </c>
      <c r="B6" s="36" t="s">
        <v>232</v>
      </c>
      <c r="C6" s="279" t="s">
        <v>6</v>
      </c>
      <c r="D6" s="279"/>
      <c r="E6" s="279"/>
      <c r="F6" s="279"/>
      <c r="G6" s="279"/>
    </row>
    <row r="7" spans="1:7" ht="15.75" customHeight="1" x14ac:dyDescent="0.15">
      <c r="A7" s="5"/>
      <c r="B7" s="37" t="s">
        <v>7</v>
      </c>
      <c r="C7" s="277" t="s">
        <v>8</v>
      </c>
      <c r="D7" s="277"/>
      <c r="E7" s="277"/>
      <c r="F7" s="277"/>
      <c r="G7" s="277"/>
    </row>
    <row r="8" spans="1:7" ht="15.75" customHeight="1" x14ac:dyDescent="0.15">
      <c r="A8" s="3" t="s">
        <v>9</v>
      </c>
      <c r="B8" s="36" t="s">
        <v>10</v>
      </c>
      <c r="C8" s="279" t="s">
        <v>11</v>
      </c>
      <c r="D8" s="279"/>
      <c r="E8" s="279"/>
      <c r="F8" s="279"/>
      <c r="G8" s="279"/>
    </row>
    <row r="9" spans="1:7" ht="15.75" customHeight="1" x14ac:dyDescent="0.15">
      <c r="A9" s="5"/>
      <c r="B9" s="37" t="s">
        <v>12</v>
      </c>
      <c r="C9" s="277" t="s">
        <v>13</v>
      </c>
      <c r="D9" s="277"/>
      <c r="E9" s="277"/>
      <c r="F9" s="277"/>
      <c r="G9" s="277"/>
    </row>
    <row r="10" spans="1:7" ht="15.75" customHeight="1" x14ac:dyDescent="0.15">
      <c r="A10" s="3" t="s">
        <v>14</v>
      </c>
      <c r="B10" s="36" t="s">
        <v>385</v>
      </c>
      <c r="C10" s="279" t="s">
        <v>16</v>
      </c>
      <c r="D10" s="279"/>
      <c r="E10" s="279"/>
      <c r="F10" s="279"/>
      <c r="G10" s="279"/>
    </row>
    <row r="11" spans="1:7" ht="15.75" customHeight="1" x14ac:dyDescent="0.15">
      <c r="A11" s="5"/>
      <c r="B11" s="37" t="s">
        <v>17</v>
      </c>
      <c r="C11" s="277" t="s">
        <v>18</v>
      </c>
      <c r="D11" s="277"/>
      <c r="E11" s="277"/>
      <c r="F11" s="277"/>
      <c r="G11" s="277"/>
    </row>
    <row r="12" spans="1:7" ht="15.75" customHeight="1" x14ac:dyDescent="0.15">
      <c r="A12" s="3" t="s">
        <v>19</v>
      </c>
      <c r="B12" s="36" t="s">
        <v>20</v>
      </c>
      <c r="C12" s="281">
        <v>44504</v>
      </c>
      <c r="D12" s="279"/>
      <c r="E12" s="279"/>
      <c r="F12" s="279"/>
      <c r="G12" s="279"/>
    </row>
    <row r="13" spans="1:7" ht="15.75" customHeight="1" x14ac:dyDescent="0.15">
      <c r="A13" s="5"/>
      <c r="B13" s="37" t="s">
        <v>21</v>
      </c>
      <c r="C13" s="282">
        <v>44504</v>
      </c>
      <c r="D13" s="277"/>
      <c r="E13" s="277"/>
      <c r="F13" s="277"/>
      <c r="G13" s="277"/>
    </row>
    <row r="14" spans="1:7" ht="7.5" customHeight="1" x14ac:dyDescent="0.15">
      <c r="A14" s="5"/>
      <c r="B14" s="5"/>
      <c r="C14" s="38"/>
      <c r="D14" s="5"/>
      <c r="E14" s="5"/>
      <c r="F14" s="5"/>
      <c r="G14" s="5"/>
    </row>
    <row r="15" spans="1:7" ht="16.5" customHeight="1" x14ac:dyDescent="0.15">
      <c r="A15" s="283" t="s">
        <v>386</v>
      </c>
      <c r="B15" s="283"/>
      <c r="C15" s="283"/>
      <c r="D15" s="283"/>
      <c r="E15" s="283"/>
      <c r="F15" s="283"/>
      <c r="G15" s="283"/>
    </row>
    <row r="16" spans="1:7" ht="16.5" customHeight="1" x14ac:dyDescent="0.15">
      <c r="A16" s="279" t="s">
        <v>387</v>
      </c>
      <c r="B16" s="279"/>
      <c r="C16" s="279"/>
      <c r="D16" s="279"/>
      <c r="E16" s="279"/>
      <c r="F16" s="279"/>
      <c r="G16" s="279"/>
    </row>
    <row r="17" spans="1:7" ht="15.75" customHeight="1" x14ac:dyDescent="0.15">
      <c r="A17" s="69"/>
      <c r="B17" s="69"/>
      <c r="C17" s="39"/>
      <c r="D17" s="69"/>
      <c r="E17" s="69"/>
      <c r="F17" s="272" t="s">
        <v>24</v>
      </c>
      <c r="G17" s="272"/>
    </row>
    <row r="18" spans="1:7" ht="73.5" x14ac:dyDescent="0.15">
      <c r="A18" s="7" t="s">
        <v>388</v>
      </c>
      <c r="B18" s="8" t="s">
        <v>389</v>
      </c>
      <c r="C18" s="8" t="s">
        <v>27</v>
      </c>
      <c r="D18" s="8" t="s">
        <v>390</v>
      </c>
      <c r="E18" s="8" t="s">
        <v>391</v>
      </c>
      <c r="F18" s="8" t="s">
        <v>392</v>
      </c>
      <c r="G18" s="9" t="s">
        <v>393</v>
      </c>
    </row>
    <row r="19" spans="1:7" ht="21" x14ac:dyDescent="0.15">
      <c r="A19" s="40" t="s">
        <v>31</v>
      </c>
      <c r="B19" s="41" t="s">
        <v>394</v>
      </c>
      <c r="C19" s="42"/>
      <c r="D19" s="43">
        <v>0</v>
      </c>
      <c r="E19" s="22">
        <v>0</v>
      </c>
      <c r="F19" s="22">
        <v>0</v>
      </c>
      <c r="G19" s="44">
        <v>0</v>
      </c>
    </row>
    <row r="20" spans="1:7" ht="45" customHeight="1" x14ac:dyDescent="0.15">
      <c r="A20" s="40" t="s">
        <v>121</v>
      </c>
      <c r="B20" s="41" t="s">
        <v>395</v>
      </c>
      <c r="C20" s="42" t="s">
        <v>396</v>
      </c>
      <c r="D20" s="43">
        <v>0</v>
      </c>
      <c r="E20" s="22">
        <v>0</v>
      </c>
      <c r="F20" s="22">
        <v>0</v>
      </c>
      <c r="G20" s="44">
        <v>0</v>
      </c>
    </row>
    <row r="21" spans="1:7" ht="16.5" customHeight="1" x14ac:dyDescent="0.15">
      <c r="A21" s="40" t="s">
        <v>4</v>
      </c>
      <c r="B21" s="41" t="s">
        <v>397</v>
      </c>
      <c r="C21" s="42" t="s">
        <v>398</v>
      </c>
      <c r="D21" s="43">
        <v>27635109</v>
      </c>
      <c r="E21" s="22">
        <v>33000</v>
      </c>
      <c r="F21" s="22">
        <v>911958597000</v>
      </c>
      <c r="G21" s="44">
        <v>6.8699999999999997E-2</v>
      </c>
    </row>
    <row r="22" spans="1:7" ht="16.5" customHeight="1" x14ac:dyDescent="0.15">
      <c r="A22" s="40" t="s">
        <v>9</v>
      </c>
      <c r="B22" s="41" t="s">
        <v>399</v>
      </c>
      <c r="C22" s="42" t="s">
        <v>400</v>
      </c>
      <c r="D22" s="43">
        <v>2673160</v>
      </c>
      <c r="E22" s="22">
        <v>71900</v>
      </c>
      <c r="F22" s="22">
        <v>192200204000</v>
      </c>
      <c r="G22" s="44">
        <v>1.4500000000000001E-2</v>
      </c>
    </row>
    <row r="23" spans="1:7" ht="16.5" customHeight="1" x14ac:dyDescent="0.15">
      <c r="A23" s="40" t="s">
        <v>14</v>
      </c>
      <c r="B23" s="41" t="s">
        <v>401</v>
      </c>
      <c r="C23" s="42" t="s">
        <v>402</v>
      </c>
      <c r="D23" s="43">
        <v>5537715</v>
      </c>
      <c r="E23" s="22">
        <v>31500</v>
      </c>
      <c r="F23" s="22">
        <v>174438022500</v>
      </c>
      <c r="G23" s="44">
        <v>1.3100000000000001E-2</v>
      </c>
    </row>
    <row r="24" spans="1:7" ht="16.5" customHeight="1" x14ac:dyDescent="0.15">
      <c r="A24" s="40" t="s">
        <v>19</v>
      </c>
      <c r="B24" s="41" t="s">
        <v>403</v>
      </c>
      <c r="C24" s="42" t="s">
        <v>404</v>
      </c>
      <c r="D24" s="43">
        <v>3410600</v>
      </c>
      <c r="E24" s="22">
        <v>22500</v>
      </c>
      <c r="F24" s="22">
        <v>76738500000</v>
      </c>
      <c r="G24" s="44">
        <v>5.7999999999999996E-3</v>
      </c>
    </row>
    <row r="25" spans="1:7" ht="16.5" customHeight="1" x14ac:dyDescent="0.15">
      <c r="A25" s="40" t="s">
        <v>287</v>
      </c>
      <c r="B25" s="41" t="s">
        <v>405</v>
      </c>
      <c r="C25" s="42" t="s">
        <v>406</v>
      </c>
      <c r="D25" s="43">
        <v>20679744</v>
      </c>
      <c r="E25" s="22">
        <v>96900</v>
      </c>
      <c r="F25" s="22">
        <v>2003867193600</v>
      </c>
      <c r="G25" s="44">
        <v>0.15090000000000001</v>
      </c>
    </row>
    <row r="26" spans="1:7" ht="16.5" customHeight="1" x14ac:dyDescent="0.15">
      <c r="A26" s="40" t="s">
        <v>289</v>
      </c>
      <c r="B26" s="41" t="s">
        <v>407</v>
      </c>
      <c r="C26" s="42" t="s">
        <v>408</v>
      </c>
      <c r="D26" s="43">
        <v>9504750</v>
      </c>
      <c r="E26" s="22">
        <v>52300</v>
      </c>
      <c r="F26" s="22">
        <v>497098425000</v>
      </c>
      <c r="G26" s="44">
        <v>3.7400000000000003E-2</v>
      </c>
    </row>
    <row r="27" spans="1:7" ht="16.5" customHeight="1" x14ac:dyDescent="0.15">
      <c r="A27" s="40" t="s">
        <v>292</v>
      </c>
      <c r="B27" s="41" t="s">
        <v>409</v>
      </c>
      <c r="C27" s="42" t="s">
        <v>410</v>
      </c>
      <c r="D27" s="43">
        <v>693102</v>
      </c>
      <c r="E27" s="22">
        <v>51000</v>
      </c>
      <c r="F27" s="22">
        <v>35348202000</v>
      </c>
      <c r="G27" s="44">
        <v>2.7000000000000001E-3</v>
      </c>
    </row>
    <row r="28" spans="1:7" ht="16.5" customHeight="1" x14ac:dyDescent="0.15">
      <c r="A28" s="40" t="s">
        <v>301</v>
      </c>
      <c r="B28" s="41" t="s">
        <v>411</v>
      </c>
      <c r="C28" s="42" t="s">
        <v>412</v>
      </c>
      <c r="D28" s="43">
        <v>1917684</v>
      </c>
      <c r="E28" s="22">
        <v>20800</v>
      </c>
      <c r="F28" s="22">
        <v>39887827200</v>
      </c>
      <c r="G28" s="44">
        <v>3.0000000000000001E-3</v>
      </c>
    </row>
    <row r="29" spans="1:7" ht="16.5" customHeight="1" x14ac:dyDescent="0.15">
      <c r="A29" s="40" t="s">
        <v>314</v>
      </c>
      <c r="B29" s="41" t="s">
        <v>413</v>
      </c>
      <c r="C29" s="42" t="s">
        <v>414</v>
      </c>
      <c r="D29" s="43">
        <v>24927454</v>
      </c>
      <c r="E29" s="22">
        <v>28500</v>
      </c>
      <c r="F29" s="22">
        <v>710432439000</v>
      </c>
      <c r="G29" s="44">
        <v>5.3499999999999999E-2</v>
      </c>
    </row>
    <row r="30" spans="1:7" ht="16.5" customHeight="1" x14ac:dyDescent="0.15">
      <c r="A30" s="40" t="s">
        <v>321</v>
      </c>
      <c r="B30" s="41" t="s">
        <v>415</v>
      </c>
      <c r="C30" s="42" t="s">
        <v>416</v>
      </c>
      <c r="D30" s="43">
        <v>12918118</v>
      </c>
      <c r="E30" s="22">
        <v>22900</v>
      </c>
      <c r="F30" s="22">
        <v>295824902200</v>
      </c>
      <c r="G30" s="44">
        <v>2.23E-2</v>
      </c>
    </row>
    <row r="31" spans="1:7" ht="16.5" customHeight="1" x14ac:dyDescent="0.15">
      <c r="A31" s="40" t="s">
        <v>417</v>
      </c>
      <c r="B31" s="41" t="s">
        <v>418</v>
      </c>
      <c r="C31" s="42" t="s">
        <v>419</v>
      </c>
      <c r="D31" s="43">
        <v>15846397</v>
      </c>
      <c r="E31" s="22">
        <v>131400</v>
      </c>
      <c r="F31" s="22">
        <v>2082216565800</v>
      </c>
      <c r="G31" s="44">
        <v>0.15679999999999999</v>
      </c>
    </row>
    <row r="32" spans="1:7" ht="16.5" customHeight="1" x14ac:dyDescent="0.15">
      <c r="A32" s="40" t="s">
        <v>420</v>
      </c>
      <c r="B32" s="41" t="s">
        <v>421</v>
      </c>
      <c r="C32" s="42" t="s">
        <v>422</v>
      </c>
      <c r="D32" s="43">
        <v>10626762</v>
      </c>
      <c r="E32" s="22">
        <v>58000</v>
      </c>
      <c r="F32" s="22">
        <v>616352196000</v>
      </c>
      <c r="G32" s="44">
        <v>4.6399999999999997E-2</v>
      </c>
    </row>
    <row r="33" spans="1:7" ht="16.5" customHeight="1" x14ac:dyDescent="0.15">
      <c r="A33" s="40" t="s">
        <v>423</v>
      </c>
      <c r="B33" s="41" t="s">
        <v>424</v>
      </c>
      <c r="C33" s="42" t="s">
        <v>425</v>
      </c>
      <c r="D33" s="43">
        <v>13327228</v>
      </c>
      <c r="E33" s="22">
        <v>104000</v>
      </c>
      <c r="F33" s="22">
        <v>1386031712000</v>
      </c>
      <c r="G33" s="44">
        <v>0.10440000000000001</v>
      </c>
    </row>
    <row r="34" spans="1:7" ht="16.5" customHeight="1" x14ac:dyDescent="0.15">
      <c r="A34" s="40" t="s">
        <v>426</v>
      </c>
      <c r="B34" s="41" t="s">
        <v>427</v>
      </c>
      <c r="C34" s="42" t="s">
        <v>428</v>
      </c>
      <c r="D34" s="43">
        <v>9930620</v>
      </c>
      <c r="E34" s="22">
        <v>74800</v>
      </c>
      <c r="F34" s="22">
        <v>742810376000</v>
      </c>
      <c r="G34" s="44">
        <v>5.5899999999999998E-2</v>
      </c>
    </row>
    <row r="35" spans="1:7" ht="16.5" customHeight="1" x14ac:dyDescent="0.15">
      <c r="A35" s="40" t="s">
        <v>429</v>
      </c>
      <c r="B35" s="41" t="s">
        <v>430</v>
      </c>
      <c r="C35" s="42" t="s">
        <v>431</v>
      </c>
      <c r="D35" s="43">
        <v>20474900</v>
      </c>
      <c r="E35" s="22">
        <v>51600</v>
      </c>
      <c r="F35" s="22">
        <v>1056504840000</v>
      </c>
      <c r="G35" s="44">
        <v>7.9600000000000004E-2</v>
      </c>
    </row>
    <row r="36" spans="1:7" ht="16.5" customHeight="1" x14ac:dyDescent="0.15">
      <c r="A36" s="40" t="s">
        <v>432</v>
      </c>
      <c r="B36" s="41" t="s">
        <v>433</v>
      </c>
      <c r="C36" s="42" t="s">
        <v>434</v>
      </c>
      <c r="D36" s="43">
        <v>70</v>
      </c>
      <c r="E36" s="22">
        <v>77600</v>
      </c>
      <c r="F36" s="22">
        <v>5432000</v>
      </c>
      <c r="G36" s="126">
        <v>0</v>
      </c>
    </row>
    <row r="37" spans="1:7" ht="16.5" customHeight="1" x14ac:dyDescent="0.15">
      <c r="A37" s="40" t="s">
        <v>435</v>
      </c>
      <c r="B37" s="41" t="s">
        <v>436</v>
      </c>
      <c r="C37" s="42" t="s">
        <v>437</v>
      </c>
      <c r="D37" s="43">
        <v>6626526</v>
      </c>
      <c r="E37" s="22">
        <v>44850</v>
      </c>
      <c r="F37" s="22">
        <v>297199691100</v>
      </c>
      <c r="G37" s="44">
        <v>2.24E-2</v>
      </c>
    </row>
    <row r="38" spans="1:7" ht="16.5" customHeight="1" x14ac:dyDescent="0.15">
      <c r="A38" s="40" t="s">
        <v>438</v>
      </c>
      <c r="B38" s="41" t="s">
        <v>439</v>
      </c>
      <c r="C38" s="42" t="s">
        <v>440</v>
      </c>
      <c r="D38" s="43">
        <v>4235338</v>
      </c>
      <c r="E38" s="22">
        <v>37000</v>
      </c>
      <c r="F38" s="22">
        <v>156707506000</v>
      </c>
      <c r="G38" s="44">
        <v>1.18E-2</v>
      </c>
    </row>
    <row r="39" spans="1:7" ht="16.5" customHeight="1" x14ac:dyDescent="0.15">
      <c r="A39" s="40" t="s">
        <v>441</v>
      </c>
      <c r="B39" s="41" t="s">
        <v>442</v>
      </c>
      <c r="C39" s="42" t="s">
        <v>443</v>
      </c>
      <c r="D39" s="43">
        <v>29545911</v>
      </c>
      <c r="E39" s="22">
        <v>38050</v>
      </c>
      <c r="F39" s="22">
        <v>1124221913550</v>
      </c>
      <c r="G39" s="44">
        <v>8.4699999999999998E-2</v>
      </c>
    </row>
    <row r="40" spans="1:7" ht="16.5" customHeight="1" x14ac:dyDescent="0.15">
      <c r="A40" s="40"/>
      <c r="B40" s="41" t="s">
        <v>444</v>
      </c>
      <c r="C40" s="42" t="s">
        <v>445</v>
      </c>
      <c r="D40" s="43"/>
      <c r="E40" s="22">
        <v>0</v>
      </c>
      <c r="F40" s="22">
        <v>12399844544950</v>
      </c>
      <c r="G40" s="44">
        <v>0.93379999999999996</v>
      </c>
    </row>
    <row r="41" spans="1:7" ht="45" customHeight="1" x14ac:dyDescent="0.15">
      <c r="A41" s="40" t="s">
        <v>340</v>
      </c>
      <c r="B41" s="41" t="s">
        <v>446</v>
      </c>
      <c r="C41" s="42" t="s">
        <v>447</v>
      </c>
      <c r="D41" s="43">
        <v>0</v>
      </c>
      <c r="E41" s="22">
        <v>0</v>
      </c>
      <c r="F41" s="22">
        <v>0</v>
      </c>
      <c r="G41" s="44">
        <v>0</v>
      </c>
    </row>
    <row r="42" spans="1:7" ht="23.1" customHeight="1" x14ac:dyDescent="0.15">
      <c r="A42" s="40"/>
      <c r="B42" s="41" t="s">
        <v>448</v>
      </c>
      <c r="C42" s="42" t="s">
        <v>449</v>
      </c>
      <c r="D42" s="43">
        <v>0</v>
      </c>
      <c r="E42" s="22">
        <v>0</v>
      </c>
      <c r="F42" s="22">
        <v>0</v>
      </c>
      <c r="G42" s="44">
        <v>0</v>
      </c>
    </row>
    <row r="43" spans="1:7" ht="23.1" customHeight="1" x14ac:dyDescent="0.15">
      <c r="A43" s="40"/>
      <c r="B43" s="41" t="s">
        <v>450</v>
      </c>
      <c r="C43" s="42" t="s">
        <v>451</v>
      </c>
      <c r="D43" s="43"/>
      <c r="E43" s="22">
        <v>0</v>
      </c>
      <c r="F43" s="22">
        <v>12399844544950</v>
      </c>
      <c r="G43" s="44">
        <v>0.93379999999999996</v>
      </c>
    </row>
    <row r="44" spans="1:7" ht="23.1" customHeight="1" x14ac:dyDescent="0.15">
      <c r="A44" s="40" t="s">
        <v>343</v>
      </c>
      <c r="B44" s="41" t="s">
        <v>452</v>
      </c>
      <c r="C44" s="42" t="s">
        <v>453</v>
      </c>
      <c r="D44" s="43">
        <v>0</v>
      </c>
      <c r="E44" s="22">
        <v>0</v>
      </c>
      <c r="F44" s="22">
        <v>0</v>
      </c>
      <c r="G44" s="44">
        <v>0</v>
      </c>
    </row>
    <row r="45" spans="1:7" ht="23.1" customHeight="1" x14ac:dyDescent="0.15">
      <c r="A45" s="40"/>
      <c r="B45" s="41" t="s">
        <v>448</v>
      </c>
      <c r="C45" s="42" t="s">
        <v>454</v>
      </c>
      <c r="D45" s="43">
        <v>0</v>
      </c>
      <c r="E45" s="22">
        <v>0</v>
      </c>
      <c r="F45" s="22">
        <v>0</v>
      </c>
      <c r="G45" s="44">
        <v>0</v>
      </c>
    </row>
    <row r="46" spans="1:7" ht="23.1" customHeight="1" x14ac:dyDescent="0.15">
      <c r="A46" s="40" t="s">
        <v>356</v>
      </c>
      <c r="B46" s="41" t="s">
        <v>455</v>
      </c>
      <c r="C46" s="42" t="s">
        <v>456</v>
      </c>
      <c r="D46" s="43">
        <v>0</v>
      </c>
      <c r="E46" s="22">
        <v>0</v>
      </c>
      <c r="F46" s="22">
        <v>0</v>
      </c>
      <c r="G46" s="44">
        <v>0</v>
      </c>
    </row>
    <row r="47" spans="1:7" ht="23.1" customHeight="1" x14ac:dyDescent="0.15">
      <c r="A47" s="40" t="s">
        <v>4</v>
      </c>
      <c r="B47" s="41" t="s">
        <v>457</v>
      </c>
      <c r="C47" s="42" t="s">
        <v>458</v>
      </c>
      <c r="D47" s="43">
        <v>0</v>
      </c>
      <c r="E47" s="22">
        <v>0</v>
      </c>
      <c r="F47" s="22">
        <v>0</v>
      </c>
      <c r="G47" s="44">
        <v>0</v>
      </c>
    </row>
    <row r="48" spans="1:7" ht="23.1" customHeight="1" x14ac:dyDescent="0.15">
      <c r="A48" s="40" t="s">
        <v>9</v>
      </c>
      <c r="B48" s="41" t="s">
        <v>459</v>
      </c>
      <c r="C48" s="42" t="s">
        <v>460</v>
      </c>
      <c r="D48" s="43">
        <v>0</v>
      </c>
      <c r="E48" s="22">
        <v>0</v>
      </c>
      <c r="F48" s="22">
        <v>0</v>
      </c>
      <c r="G48" s="44">
        <v>0</v>
      </c>
    </row>
    <row r="49" spans="1:7" ht="23.1" customHeight="1" x14ac:dyDescent="0.15">
      <c r="A49" s="40"/>
      <c r="B49" s="41" t="s">
        <v>448</v>
      </c>
      <c r="C49" s="42" t="s">
        <v>461</v>
      </c>
      <c r="D49" s="43">
        <v>0</v>
      </c>
      <c r="E49" s="22">
        <v>0</v>
      </c>
      <c r="F49" s="22">
        <v>0</v>
      </c>
      <c r="G49" s="44">
        <v>0</v>
      </c>
    </row>
    <row r="50" spans="1:7" ht="23.1" customHeight="1" x14ac:dyDescent="0.15">
      <c r="A50" s="40"/>
      <c r="B50" s="41" t="s">
        <v>462</v>
      </c>
      <c r="C50" s="42" t="s">
        <v>463</v>
      </c>
      <c r="D50" s="43"/>
      <c r="E50" s="22">
        <v>0</v>
      </c>
      <c r="F50" s="22">
        <v>12399844544950</v>
      </c>
      <c r="G50" s="44">
        <v>0.93379999999999996</v>
      </c>
    </row>
    <row r="51" spans="1:7" ht="23.1" customHeight="1" x14ac:dyDescent="0.15">
      <c r="A51" s="40" t="s">
        <v>359</v>
      </c>
      <c r="B51" s="41" t="s">
        <v>464</v>
      </c>
      <c r="C51" s="42" t="s">
        <v>465</v>
      </c>
      <c r="D51" s="43">
        <v>0</v>
      </c>
      <c r="E51" s="22">
        <v>0</v>
      </c>
      <c r="F51" s="22">
        <v>0</v>
      </c>
      <c r="G51" s="44">
        <v>0</v>
      </c>
    </row>
    <row r="52" spans="1:7" ht="23.1" customHeight="1" x14ac:dyDescent="0.15">
      <c r="A52" s="40" t="s">
        <v>4</v>
      </c>
      <c r="B52" s="41" t="s">
        <v>466</v>
      </c>
      <c r="C52" s="42" t="s">
        <v>467</v>
      </c>
      <c r="D52" s="43">
        <v>0</v>
      </c>
      <c r="E52" s="22">
        <v>0</v>
      </c>
      <c r="F52" s="22">
        <v>0</v>
      </c>
      <c r="G52" s="44">
        <v>0</v>
      </c>
    </row>
    <row r="53" spans="1:7" ht="23.1" customHeight="1" x14ac:dyDescent="0.15">
      <c r="A53" s="40" t="s">
        <v>9</v>
      </c>
      <c r="B53" s="41" t="s">
        <v>468</v>
      </c>
      <c r="C53" s="42" t="s">
        <v>469</v>
      </c>
      <c r="D53" s="43">
        <v>0</v>
      </c>
      <c r="E53" s="22">
        <v>0</v>
      </c>
      <c r="F53" s="22">
        <v>0</v>
      </c>
      <c r="G53" s="44">
        <v>0</v>
      </c>
    </row>
    <row r="54" spans="1:7" ht="23.1" customHeight="1" x14ac:dyDescent="0.15">
      <c r="A54" s="40" t="s">
        <v>14</v>
      </c>
      <c r="B54" s="41" t="s">
        <v>470</v>
      </c>
      <c r="C54" s="42" t="s">
        <v>471</v>
      </c>
      <c r="D54" s="43">
        <v>0</v>
      </c>
      <c r="E54" s="22">
        <v>0</v>
      </c>
      <c r="F54" s="22">
        <v>0</v>
      </c>
      <c r="G54" s="44">
        <v>0</v>
      </c>
    </row>
    <row r="55" spans="1:7" ht="33.950000000000003" customHeight="1" x14ac:dyDescent="0.15">
      <c r="A55" s="40" t="s">
        <v>19</v>
      </c>
      <c r="B55" s="41" t="s">
        <v>472</v>
      </c>
      <c r="C55" s="42" t="s">
        <v>473</v>
      </c>
      <c r="D55" s="43">
        <v>0</v>
      </c>
      <c r="E55" s="22">
        <v>0</v>
      </c>
      <c r="F55" s="22">
        <v>570350770000</v>
      </c>
      <c r="G55" s="44">
        <v>4.2900000000000001E-2</v>
      </c>
    </row>
    <row r="56" spans="1:7" ht="33.950000000000003" customHeight="1" x14ac:dyDescent="0.15">
      <c r="A56" s="40" t="s">
        <v>287</v>
      </c>
      <c r="B56" s="41" t="s">
        <v>474</v>
      </c>
      <c r="C56" s="42" t="s">
        <v>475</v>
      </c>
      <c r="D56" s="43">
        <v>0</v>
      </c>
      <c r="E56" s="22">
        <v>0</v>
      </c>
      <c r="F56" s="22">
        <v>0</v>
      </c>
      <c r="G56" s="44">
        <v>0</v>
      </c>
    </row>
    <row r="57" spans="1:7" ht="23.1" customHeight="1" x14ac:dyDescent="0.15">
      <c r="A57" s="40" t="s">
        <v>289</v>
      </c>
      <c r="B57" s="41" t="s">
        <v>476</v>
      </c>
      <c r="C57" s="42" t="s">
        <v>477</v>
      </c>
      <c r="D57" s="43">
        <v>0</v>
      </c>
      <c r="E57" s="22">
        <v>0</v>
      </c>
      <c r="F57" s="22">
        <v>0</v>
      </c>
      <c r="G57" s="44">
        <v>0</v>
      </c>
    </row>
    <row r="58" spans="1:7" ht="23.1" customHeight="1" x14ac:dyDescent="0.15">
      <c r="A58" s="40" t="s">
        <v>292</v>
      </c>
      <c r="B58" s="41" t="s">
        <v>478</v>
      </c>
      <c r="C58" s="42" t="s">
        <v>479</v>
      </c>
      <c r="D58" s="43">
        <v>0</v>
      </c>
      <c r="E58" s="22">
        <v>0</v>
      </c>
      <c r="F58" s="22">
        <v>0</v>
      </c>
      <c r="G58" s="44">
        <v>0</v>
      </c>
    </row>
    <row r="59" spans="1:7" ht="23.1" customHeight="1" x14ac:dyDescent="0.15">
      <c r="A59" s="40" t="s">
        <v>301</v>
      </c>
      <c r="B59" s="41" t="s">
        <v>480</v>
      </c>
      <c r="C59" s="42" t="s">
        <v>481</v>
      </c>
      <c r="D59" s="43">
        <v>0</v>
      </c>
      <c r="E59" s="22">
        <v>0</v>
      </c>
      <c r="F59" s="22">
        <v>0</v>
      </c>
      <c r="G59" s="44">
        <v>0</v>
      </c>
    </row>
    <row r="60" spans="1:7" ht="23.1" customHeight="1" x14ac:dyDescent="0.15">
      <c r="A60" s="40" t="s">
        <v>314</v>
      </c>
      <c r="B60" s="41" t="s">
        <v>482</v>
      </c>
      <c r="C60" s="42" t="s">
        <v>483</v>
      </c>
      <c r="D60" s="43">
        <v>0</v>
      </c>
      <c r="E60" s="22">
        <v>0</v>
      </c>
      <c r="F60" s="22">
        <v>0</v>
      </c>
      <c r="G60" s="44">
        <v>0</v>
      </c>
    </row>
    <row r="61" spans="1:7" ht="45" customHeight="1" x14ac:dyDescent="0.15">
      <c r="A61" s="40" t="s">
        <v>321</v>
      </c>
      <c r="B61" s="41" t="s">
        <v>484</v>
      </c>
      <c r="C61" s="42" t="s">
        <v>485</v>
      </c>
      <c r="D61" s="43">
        <v>0</v>
      </c>
      <c r="E61" s="22">
        <v>0</v>
      </c>
      <c r="F61" s="22">
        <v>0</v>
      </c>
      <c r="G61" s="44">
        <v>0</v>
      </c>
    </row>
    <row r="62" spans="1:7" ht="23.1" customHeight="1" x14ac:dyDescent="0.15">
      <c r="A62" s="40"/>
      <c r="B62" s="41" t="s">
        <v>448</v>
      </c>
      <c r="C62" s="42" t="s">
        <v>486</v>
      </c>
      <c r="D62" s="43">
        <v>0</v>
      </c>
      <c r="E62" s="22">
        <v>0</v>
      </c>
      <c r="F62" s="22">
        <v>570350770000</v>
      </c>
      <c r="G62" s="44">
        <v>4.2900000000000001E-2</v>
      </c>
    </row>
    <row r="63" spans="1:7" ht="23.1" customHeight="1" x14ac:dyDescent="0.15">
      <c r="A63" s="40" t="s">
        <v>362</v>
      </c>
      <c r="B63" s="41" t="s">
        <v>37</v>
      </c>
      <c r="C63" s="42" t="s">
        <v>487</v>
      </c>
      <c r="D63" s="43">
        <v>0</v>
      </c>
      <c r="E63" s="22">
        <v>0</v>
      </c>
      <c r="F63" s="22">
        <v>0</v>
      </c>
      <c r="G63" s="44">
        <v>0</v>
      </c>
    </row>
    <row r="64" spans="1:7" ht="23.1" customHeight="1" x14ac:dyDescent="0.15">
      <c r="A64" s="40" t="s">
        <v>4</v>
      </c>
      <c r="B64" s="41" t="s">
        <v>488</v>
      </c>
      <c r="C64" s="42" t="s">
        <v>489</v>
      </c>
      <c r="D64" s="43">
        <v>0</v>
      </c>
      <c r="E64" s="22">
        <v>0</v>
      </c>
      <c r="F64" s="22">
        <v>309257182278</v>
      </c>
      <c r="G64" s="44">
        <v>2.3300000000000001E-2</v>
      </c>
    </row>
    <row r="65" spans="1:7" ht="23.1" customHeight="1" x14ac:dyDescent="0.15">
      <c r="A65" s="40"/>
      <c r="B65" s="41" t="s">
        <v>490</v>
      </c>
      <c r="C65" s="42" t="s">
        <v>491</v>
      </c>
      <c r="D65" s="43">
        <v>0</v>
      </c>
      <c r="E65" s="22">
        <v>0</v>
      </c>
      <c r="F65" s="22">
        <v>0</v>
      </c>
      <c r="G65" s="44">
        <v>0</v>
      </c>
    </row>
    <row r="66" spans="1:7" ht="23.1" customHeight="1" x14ac:dyDescent="0.15">
      <c r="A66" s="40"/>
      <c r="B66" s="41" t="s">
        <v>492</v>
      </c>
      <c r="C66" s="42" t="s">
        <v>493</v>
      </c>
      <c r="D66" s="43">
        <v>0</v>
      </c>
      <c r="E66" s="22">
        <v>0</v>
      </c>
      <c r="F66" s="22">
        <v>309257182278</v>
      </c>
      <c r="G66" s="44">
        <v>2.3300000000000001E-2</v>
      </c>
    </row>
    <row r="67" spans="1:7" ht="23.1" customHeight="1" x14ac:dyDescent="0.15">
      <c r="A67" s="40"/>
      <c r="B67" s="41" t="s">
        <v>494</v>
      </c>
      <c r="C67" s="42" t="s">
        <v>495</v>
      </c>
      <c r="D67" s="43">
        <v>0</v>
      </c>
      <c r="E67" s="22">
        <v>0</v>
      </c>
      <c r="F67" s="22">
        <v>0</v>
      </c>
      <c r="G67" s="44">
        <v>0</v>
      </c>
    </row>
    <row r="68" spans="1:7" ht="23.1" customHeight="1" x14ac:dyDescent="0.15">
      <c r="A68" s="40" t="s">
        <v>9</v>
      </c>
      <c r="B68" s="41" t="s">
        <v>496</v>
      </c>
      <c r="C68" s="42" t="s">
        <v>497</v>
      </c>
      <c r="D68" s="43">
        <v>0</v>
      </c>
      <c r="E68" s="22">
        <v>0</v>
      </c>
      <c r="F68" s="22">
        <v>0</v>
      </c>
      <c r="G68" s="44">
        <v>0</v>
      </c>
    </row>
    <row r="69" spans="1:7" ht="23.1" customHeight="1" x14ac:dyDescent="0.15">
      <c r="A69" s="40" t="s">
        <v>14</v>
      </c>
      <c r="B69" s="41" t="s">
        <v>498</v>
      </c>
      <c r="C69" s="42" t="s">
        <v>499</v>
      </c>
      <c r="D69" s="43">
        <v>0</v>
      </c>
      <c r="E69" s="22">
        <v>0</v>
      </c>
      <c r="F69" s="22">
        <v>0</v>
      </c>
      <c r="G69" s="44">
        <v>0</v>
      </c>
    </row>
    <row r="70" spans="1:7" ht="23.1" customHeight="1" x14ac:dyDescent="0.15">
      <c r="A70" s="40" t="s">
        <v>19</v>
      </c>
      <c r="B70" s="41" t="s">
        <v>500</v>
      </c>
      <c r="C70" s="42" t="s">
        <v>501</v>
      </c>
      <c r="D70" s="43">
        <v>0</v>
      </c>
      <c r="E70" s="22">
        <v>0</v>
      </c>
      <c r="F70" s="22">
        <v>0</v>
      </c>
      <c r="G70" s="44">
        <v>0</v>
      </c>
    </row>
    <row r="71" spans="1:7" ht="23.1" customHeight="1" x14ac:dyDescent="0.15">
      <c r="A71" s="40"/>
      <c r="B71" s="41" t="s">
        <v>448</v>
      </c>
      <c r="C71" s="42" t="s">
        <v>502</v>
      </c>
      <c r="D71" s="43">
        <v>0</v>
      </c>
      <c r="E71" s="22">
        <v>0</v>
      </c>
      <c r="F71" s="22">
        <v>309257182278</v>
      </c>
      <c r="G71" s="44">
        <v>2.3300000000000001E-2</v>
      </c>
    </row>
    <row r="72" spans="1:7" ht="23.1" customHeight="1" x14ac:dyDescent="0.15">
      <c r="A72" s="45" t="s">
        <v>376</v>
      </c>
      <c r="B72" s="46" t="s">
        <v>503</v>
      </c>
      <c r="C72" s="47" t="s">
        <v>504</v>
      </c>
      <c r="D72" s="48"/>
      <c r="E72" s="32">
        <v>0</v>
      </c>
      <c r="F72" s="32">
        <v>13279452497228</v>
      </c>
      <c r="G72" s="49">
        <v>1</v>
      </c>
    </row>
    <row r="73" spans="1:7" ht="11.25" customHeight="1" x14ac:dyDescent="0.15">
      <c r="A73" s="5"/>
      <c r="B73" s="5"/>
      <c r="C73" s="5"/>
      <c r="D73" s="5"/>
      <c r="E73" s="5"/>
      <c r="F73" s="5"/>
      <c r="G73" s="5"/>
    </row>
    <row r="74" spans="1:7" ht="15.75" customHeight="1" x14ac:dyDescent="0.15">
      <c r="A74" s="284" t="s">
        <v>505</v>
      </c>
      <c r="B74" s="284"/>
      <c r="C74" s="5"/>
      <c r="D74" s="5"/>
      <c r="E74" s="5"/>
      <c r="F74" s="5"/>
      <c r="G74" s="5"/>
    </row>
    <row r="75" spans="1:7" ht="26.25" customHeight="1" x14ac:dyDescent="0.15">
      <c r="A75" s="285" t="s">
        <v>506</v>
      </c>
      <c r="B75" s="285"/>
      <c r="C75" s="285"/>
      <c r="D75" s="285"/>
      <c r="E75" s="285"/>
      <c r="F75" s="285"/>
      <c r="G75" s="285"/>
    </row>
    <row r="76" spans="1:7" ht="9.75" customHeight="1" x14ac:dyDescent="0.15">
      <c r="A76" s="69"/>
      <c r="B76" s="69"/>
      <c r="C76" s="69"/>
      <c r="D76" s="69"/>
      <c r="E76" s="69"/>
      <c r="F76" s="69"/>
      <c r="G76" s="69"/>
    </row>
    <row r="77" spans="1:7" ht="62.25" customHeight="1" x14ac:dyDescent="0.15">
      <c r="A77" s="50" t="s">
        <v>507</v>
      </c>
      <c r="B77" s="51" t="s">
        <v>508</v>
      </c>
      <c r="C77" s="51" t="s">
        <v>509</v>
      </c>
      <c r="D77" s="51" t="s">
        <v>510</v>
      </c>
      <c r="E77" s="51" t="s">
        <v>511</v>
      </c>
      <c r="F77" s="51" t="s">
        <v>512</v>
      </c>
      <c r="G77" s="52" t="s">
        <v>513</v>
      </c>
    </row>
    <row r="78" spans="1:7" ht="8.25" customHeight="1" x14ac:dyDescent="0.15">
      <c r="A78" s="5"/>
      <c r="B78" s="5"/>
      <c r="C78" s="5"/>
      <c r="D78" s="5"/>
      <c r="E78" s="5"/>
      <c r="F78" s="5"/>
      <c r="G78" s="5"/>
    </row>
    <row r="79" spans="1:7" ht="12.75" customHeight="1" x14ac:dyDescent="0.15">
      <c r="A79" s="280" t="s">
        <v>221</v>
      </c>
      <c r="B79" s="280"/>
      <c r="C79" s="280"/>
      <c r="D79" s="280" t="s">
        <v>222</v>
      </c>
      <c r="E79" s="280"/>
      <c r="F79" s="280"/>
      <c r="G79" s="280"/>
    </row>
    <row r="80" spans="1:7" ht="15.75" customHeight="1" x14ac:dyDescent="0.15">
      <c r="A80" s="275" t="s">
        <v>223</v>
      </c>
      <c r="B80" s="275"/>
      <c r="C80" s="275"/>
      <c r="D80" s="275" t="s">
        <v>224</v>
      </c>
      <c r="E80" s="275"/>
      <c r="F80" s="275"/>
      <c r="G80" s="275"/>
    </row>
    <row r="81" spans="1:7" ht="15" customHeight="1" x14ac:dyDescent="0.15">
      <c r="A81" s="5"/>
      <c r="B81" s="5"/>
      <c r="C81" s="5"/>
      <c r="D81" s="5"/>
      <c r="E81" s="5"/>
      <c r="F81" s="5"/>
      <c r="G81" s="5"/>
    </row>
    <row r="82" spans="1:7" ht="15" customHeight="1" x14ac:dyDescent="0.15">
      <c r="A82" s="5"/>
      <c r="B82" s="5"/>
      <c r="C82" s="5"/>
      <c r="D82" s="5"/>
      <c r="E82" s="5"/>
      <c r="F82" s="5"/>
      <c r="G82" s="5"/>
    </row>
    <row r="83" spans="1:7" ht="15.75" customHeight="1" x14ac:dyDescent="0.15">
      <c r="A83" s="5"/>
      <c r="B83" s="5"/>
      <c r="C83" s="5"/>
      <c r="D83" s="5"/>
      <c r="E83" s="5"/>
      <c r="F83" s="5"/>
      <c r="G83" s="5"/>
    </row>
    <row r="84" spans="1:7" ht="15.75" customHeight="1" x14ac:dyDescent="0.15">
      <c r="A84" s="5"/>
      <c r="B84" s="5"/>
      <c r="C84" s="5"/>
      <c r="D84" s="5"/>
      <c r="E84" s="5"/>
      <c r="F84" s="5"/>
      <c r="G84" s="5"/>
    </row>
    <row r="85" spans="1:7" ht="15.75" customHeight="1" x14ac:dyDescent="0.15">
      <c r="A85" s="5"/>
      <c r="B85" s="5"/>
      <c r="C85" s="5"/>
      <c r="D85" s="5"/>
      <c r="E85" s="5"/>
      <c r="F85" s="5"/>
      <c r="G85" s="5"/>
    </row>
    <row r="86" spans="1:7" ht="15.75" customHeight="1" x14ac:dyDescent="0.15">
      <c r="A86" s="280" t="s">
        <v>225</v>
      </c>
      <c r="B86" s="280"/>
      <c r="C86" s="280"/>
      <c r="D86" s="280" t="s">
        <v>226</v>
      </c>
      <c r="E86" s="280"/>
      <c r="F86" s="280"/>
      <c r="G86" s="280"/>
    </row>
    <row r="87" spans="1:7" ht="15.75" customHeight="1" x14ac:dyDescent="0.15">
      <c r="A87" s="274" t="s">
        <v>514</v>
      </c>
      <c r="B87" s="274"/>
      <c r="C87" s="274"/>
      <c r="D87" s="274" t="s">
        <v>228</v>
      </c>
      <c r="E87" s="274"/>
      <c r="F87" s="274"/>
      <c r="G87" s="274"/>
    </row>
    <row r="88" spans="1:7" ht="15.75" customHeight="1" x14ac:dyDescent="0.15">
      <c r="A88" s="274" t="s">
        <v>229</v>
      </c>
      <c r="B88" s="274"/>
      <c r="C88" s="274"/>
      <c r="D88" s="274" t="s">
        <v>230</v>
      </c>
      <c r="E88" s="274"/>
      <c r="F88" s="274"/>
      <c r="G88" s="274"/>
    </row>
  </sheetData>
  <mergeCells count="27">
    <mergeCell ref="A88:C88"/>
    <mergeCell ref="D88:G88"/>
    <mergeCell ref="A80:C80"/>
    <mergeCell ref="D80:G80"/>
    <mergeCell ref="A86:C86"/>
    <mergeCell ref="D86:G86"/>
    <mergeCell ref="A87:C87"/>
    <mergeCell ref="D87:G87"/>
    <mergeCell ref="A79:C79"/>
    <mergeCell ref="D79:G79"/>
    <mergeCell ref="C8:G8"/>
    <mergeCell ref="C9:G9"/>
    <mergeCell ref="C10:G10"/>
    <mergeCell ref="C11:G11"/>
    <mergeCell ref="C12:G12"/>
    <mergeCell ref="C13:G13"/>
    <mergeCell ref="A15:G15"/>
    <mergeCell ref="A16:G16"/>
    <mergeCell ref="F17:G17"/>
    <mergeCell ref="A74:B74"/>
    <mergeCell ref="A75:G75"/>
    <mergeCell ref="C7:G7"/>
    <mergeCell ref="D1:G1"/>
    <mergeCell ref="A2:G2"/>
    <mergeCell ref="A4:G4"/>
    <mergeCell ref="A5:G5"/>
    <mergeCell ref="C6:G6"/>
  </mergeCells>
  <printOptions horizontalCentered="1"/>
  <pageMargins left="0" right="0" top="0.59" bottom="0.59" header="0.5" footer="0.5"/>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tabSelected="1" view="pageBreakPreview" topLeftCell="A10" zoomScaleNormal="90" zoomScaleSheetLayoutView="100" workbookViewId="0">
      <selection activeCell="A37" sqref="A37"/>
    </sheetView>
  </sheetViews>
  <sheetFormatPr defaultColWidth="9.28515625" defaultRowHeight="10.5" x14ac:dyDescent="0.15"/>
  <cols>
    <col min="1" max="1" width="5.42578125" style="157" customWidth="1"/>
    <col min="2" max="2" width="42.85546875" style="157" customWidth="1"/>
    <col min="3" max="3" width="7.28515625" style="157" customWidth="1"/>
    <col min="4" max="4" width="20.28515625" style="157" customWidth="1"/>
    <col min="5" max="5" width="14.5703125" style="157" customWidth="1"/>
    <col min="6" max="6" width="11.7109375" style="157" customWidth="1"/>
    <col min="7" max="7" width="17.5703125" style="157" customWidth="1"/>
    <col min="8" max="8" width="8.28515625" style="157" customWidth="1"/>
    <col min="9" max="9" width="16.28515625" style="157" customWidth="1"/>
    <col min="10" max="10" width="8.5703125" style="157" customWidth="1"/>
    <col min="11" max="11" width="18.5703125" style="157" customWidth="1"/>
    <col min="12" max="256" width="9.28515625" style="157"/>
    <col min="257" max="257" width="5.42578125" style="157" customWidth="1"/>
    <col min="258" max="258" width="42.85546875" style="157" customWidth="1"/>
    <col min="259" max="259" width="7.28515625" style="157" customWidth="1"/>
    <col min="260" max="260" width="20.28515625" style="157" customWidth="1"/>
    <col min="261" max="261" width="14.5703125" style="157" customWidth="1"/>
    <col min="262" max="262" width="11.7109375" style="157" customWidth="1"/>
    <col min="263" max="263" width="17.5703125" style="157" customWidth="1"/>
    <col min="264" max="264" width="8.28515625" style="157" customWidth="1"/>
    <col min="265" max="265" width="16.28515625" style="157" customWidth="1"/>
    <col min="266" max="266" width="8.5703125" style="157" customWidth="1"/>
    <col min="267" max="267" width="18.5703125" style="157" customWidth="1"/>
    <col min="268" max="512" width="9.28515625" style="157"/>
    <col min="513" max="513" width="5.42578125" style="157" customWidth="1"/>
    <col min="514" max="514" width="42.85546875" style="157" customWidth="1"/>
    <col min="515" max="515" width="7.28515625" style="157" customWidth="1"/>
    <col min="516" max="516" width="20.28515625" style="157" customWidth="1"/>
    <col min="517" max="517" width="14.5703125" style="157" customWidth="1"/>
    <col min="518" max="518" width="11.7109375" style="157" customWidth="1"/>
    <col min="519" max="519" width="17.5703125" style="157" customWidth="1"/>
    <col min="520" max="520" width="8.28515625" style="157" customWidth="1"/>
    <col min="521" max="521" width="16.28515625" style="157" customWidth="1"/>
    <col min="522" max="522" width="8.5703125" style="157" customWidth="1"/>
    <col min="523" max="523" width="18.5703125" style="157" customWidth="1"/>
    <col min="524" max="768" width="9.28515625" style="157"/>
    <col min="769" max="769" width="5.42578125" style="157" customWidth="1"/>
    <col min="770" max="770" width="42.85546875" style="157" customWidth="1"/>
    <col min="771" max="771" width="7.28515625" style="157" customWidth="1"/>
    <col min="772" max="772" width="20.28515625" style="157" customWidth="1"/>
    <col min="773" max="773" width="14.5703125" style="157" customWidth="1"/>
    <col min="774" max="774" width="11.7109375" style="157" customWidth="1"/>
    <col min="775" max="775" width="17.5703125" style="157" customWidth="1"/>
    <col min="776" max="776" width="8.28515625" style="157" customWidth="1"/>
    <col min="777" max="777" width="16.28515625" style="157" customWidth="1"/>
    <col min="778" max="778" width="8.5703125" style="157" customWidth="1"/>
    <col min="779" max="779" width="18.5703125" style="157" customWidth="1"/>
    <col min="780" max="1024" width="9.28515625" style="157"/>
    <col min="1025" max="1025" width="5.42578125" style="157" customWidth="1"/>
    <col min="1026" max="1026" width="42.85546875" style="157" customWidth="1"/>
    <col min="1027" max="1027" width="7.28515625" style="157" customWidth="1"/>
    <col min="1028" max="1028" width="20.28515625" style="157" customWidth="1"/>
    <col min="1029" max="1029" width="14.5703125" style="157" customWidth="1"/>
    <col min="1030" max="1030" width="11.7109375" style="157" customWidth="1"/>
    <col min="1031" max="1031" width="17.5703125" style="157" customWidth="1"/>
    <col min="1032" max="1032" width="8.28515625" style="157" customWidth="1"/>
    <col min="1033" max="1033" width="16.28515625" style="157" customWidth="1"/>
    <col min="1034" max="1034" width="8.5703125" style="157" customWidth="1"/>
    <col min="1035" max="1035" width="18.5703125" style="157" customWidth="1"/>
    <col min="1036" max="1280" width="9.28515625" style="157"/>
    <col min="1281" max="1281" width="5.42578125" style="157" customWidth="1"/>
    <col min="1282" max="1282" width="42.85546875" style="157" customWidth="1"/>
    <col min="1283" max="1283" width="7.28515625" style="157" customWidth="1"/>
    <col min="1284" max="1284" width="20.28515625" style="157" customWidth="1"/>
    <col min="1285" max="1285" width="14.5703125" style="157" customWidth="1"/>
    <col min="1286" max="1286" width="11.7109375" style="157" customWidth="1"/>
    <col min="1287" max="1287" width="17.5703125" style="157" customWidth="1"/>
    <col min="1288" max="1288" width="8.28515625" style="157" customWidth="1"/>
    <col min="1289" max="1289" width="16.28515625" style="157" customWidth="1"/>
    <col min="1290" max="1290" width="8.5703125" style="157" customWidth="1"/>
    <col min="1291" max="1291" width="18.5703125" style="157" customWidth="1"/>
    <col min="1292" max="1536" width="9.28515625" style="157"/>
    <col min="1537" max="1537" width="5.42578125" style="157" customWidth="1"/>
    <col min="1538" max="1538" width="42.85546875" style="157" customWidth="1"/>
    <col min="1539" max="1539" width="7.28515625" style="157" customWidth="1"/>
    <col min="1540" max="1540" width="20.28515625" style="157" customWidth="1"/>
    <col min="1541" max="1541" width="14.5703125" style="157" customWidth="1"/>
    <col min="1542" max="1542" width="11.7109375" style="157" customWidth="1"/>
    <col min="1543" max="1543" width="17.5703125" style="157" customWidth="1"/>
    <col min="1544" max="1544" width="8.28515625" style="157" customWidth="1"/>
    <col min="1545" max="1545" width="16.28515625" style="157" customWidth="1"/>
    <col min="1546" max="1546" width="8.5703125" style="157" customWidth="1"/>
    <col min="1547" max="1547" width="18.5703125" style="157" customWidth="1"/>
    <col min="1548" max="1792" width="9.28515625" style="157"/>
    <col min="1793" max="1793" width="5.42578125" style="157" customWidth="1"/>
    <col min="1794" max="1794" width="42.85546875" style="157" customWidth="1"/>
    <col min="1795" max="1795" width="7.28515625" style="157" customWidth="1"/>
    <col min="1796" max="1796" width="20.28515625" style="157" customWidth="1"/>
    <col min="1797" max="1797" width="14.5703125" style="157" customWidth="1"/>
    <col min="1798" max="1798" width="11.7109375" style="157" customWidth="1"/>
    <col min="1799" max="1799" width="17.5703125" style="157" customWidth="1"/>
    <col min="1800" max="1800" width="8.28515625" style="157" customWidth="1"/>
    <col min="1801" max="1801" width="16.28515625" style="157" customWidth="1"/>
    <col min="1802" max="1802" width="8.5703125" style="157" customWidth="1"/>
    <col min="1803" max="1803" width="18.5703125" style="157" customWidth="1"/>
    <col min="1804" max="2048" width="9.28515625" style="157"/>
    <col min="2049" max="2049" width="5.42578125" style="157" customWidth="1"/>
    <col min="2050" max="2050" width="42.85546875" style="157" customWidth="1"/>
    <col min="2051" max="2051" width="7.28515625" style="157" customWidth="1"/>
    <col min="2052" max="2052" width="20.28515625" style="157" customWidth="1"/>
    <col min="2053" max="2053" width="14.5703125" style="157" customWidth="1"/>
    <col min="2054" max="2054" width="11.7109375" style="157" customWidth="1"/>
    <col min="2055" max="2055" width="17.5703125" style="157" customWidth="1"/>
    <col min="2056" max="2056" width="8.28515625" style="157" customWidth="1"/>
    <col min="2057" max="2057" width="16.28515625" style="157" customWidth="1"/>
    <col min="2058" max="2058" width="8.5703125" style="157" customWidth="1"/>
    <col min="2059" max="2059" width="18.5703125" style="157" customWidth="1"/>
    <col min="2060" max="2304" width="9.28515625" style="157"/>
    <col min="2305" max="2305" width="5.42578125" style="157" customWidth="1"/>
    <col min="2306" max="2306" width="42.85546875" style="157" customWidth="1"/>
    <col min="2307" max="2307" width="7.28515625" style="157" customWidth="1"/>
    <col min="2308" max="2308" width="20.28515625" style="157" customWidth="1"/>
    <col min="2309" max="2309" width="14.5703125" style="157" customWidth="1"/>
    <col min="2310" max="2310" width="11.7109375" style="157" customWidth="1"/>
    <col min="2311" max="2311" width="17.5703125" style="157" customWidth="1"/>
    <col min="2312" max="2312" width="8.28515625" style="157" customWidth="1"/>
    <col min="2313" max="2313" width="16.28515625" style="157" customWidth="1"/>
    <col min="2314" max="2314" width="8.5703125" style="157" customWidth="1"/>
    <col min="2315" max="2315" width="18.5703125" style="157" customWidth="1"/>
    <col min="2316" max="2560" width="9.28515625" style="157"/>
    <col min="2561" max="2561" width="5.42578125" style="157" customWidth="1"/>
    <col min="2562" max="2562" width="42.85546875" style="157" customWidth="1"/>
    <col min="2563" max="2563" width="7.28515625" style="157" customWidth="1"/>
    <col min="2564" max="2564" width="20.28515625" style="157" customWidth="1"/>
    <col min="2565" max="2565" width="14.5703125" style="157" customWidth="1"/>
    <col min="2566" max="2566" width="11.7109375" style="157" customWidth="1"/>
    <col min="2567" max="2567" width="17.5703125" style="157" customWidth="1"/>
    <col min="2568" max="2568" width="8.28515625" style="157" customWidth="1"/>
    <col min="2569" max="2569" width="16.28515625" style="157" customWidth="1"/>
    <col min="2570" max="2570" width="8.5703125" style="157" customWidth="1"/>
    <col min="2571" max="2571" width="18.5703125" style="157" customWidth="1"/>
    <col min="2572" max="2816" width="9.28515625" style="157"/>
    <col min="2817" max="2817" width="5.42578125" style="157" customWidth="1"/>
    <col min="2818" max="2818" width="42.85546875" style="157" customWidth="1"/>
    <col min="2819" max="2819" width="7.28515625" style="157" customWidth="1"/>
    <col min="2820" max="2820" width="20.28515625" style="157" customWidth="1"/>
    <col min="2821" max="2821" width="14.5703125" style="157" customWidth="1"/>
    <col min="2822" max="2822" width="11.7109375" style="157" customWidth="1"/>
    <col min="2823" max="2823" width="17.5703125" style="157" customWidth="1"/>
    <col min="2824" max="2824" width="8.28515625" style="157" customWidth="1"/>
    <col min="2825" max="2825" width="16.28515625" style="157" customWidth="1"/>
    <col min="2826" max="2826" width="8.5703125" style="157" customWidth="1"/>
    <col min="2827" max="2827" width="18.5703125" style="157" customWidth="1"/>
    <col min="2828" max="3072" width="9.28515625" style="157"/>
    <col min="3073" max="3073" width="5.42578125" style="157" customWidth="1"/>
    <col min="3074" max="3074" width="42.85546875" style="157" customWidth="1"/>
    <col min="3075" max="3075" width="7.28515625" style="157" customWidth="1"/>
    <col min="3076" max="3076" width="20.28515625" style="157" customWidth="1"/>
    <col min="3077" max="3077" width="14.5703125" style="157" customWidth="1"/>
    <col min="3078" max="3078" width="11.7109375" style="157" customWidth="1"/>
    <col min="3079" max="3079" width="17.5703125" style="157" customWidth="1"/>
    <col min="3080" max="3080" width="8.28515625" style="157" customWidth="1"/>
    <col min="3081" max="3081" width="16.28515625" style="157" customWidth="1"/>
    <col min="3082" max="3082" width="8.5703125" style="157" customWidth="1"/>
    <col min="3083" max="3083" width="18.5703125" style="157" customWidth="1"/>
    <col min="3084" max="3328" width="9.28515625" style="157"/>
    <col min="3329" max="3329" width="5.42578125" style="157" customWidth="1"/>
    <col min="3330" max="3330" width="42.85546875" style="157" customWidth="1"/>
    <col min="3331" max="3331" width="7.28515625" style="157" customWidth="1"/>
    <col min="3332" max="3332" width="20.28515625" style="157" customWidth="1"/>
    <col min="3333" max="3333" width="14.5703125" style="157" customWidth="1"/>
    <col min="3334" max="3334" width="11.7109375" style="157" customWidth="1"/>
    <col min="3335" max="3335" width="17.5703125" style="157" customWidth="1"/>
    <col min="3336" max="3336" width="8.28515625" style="157" customWidth="1"/>
    <col min="3337" max="3337" width="16.28515625" style="157" customWidth="1"/>
    <col min="3338" max="3338" width="8.5703125" style="157" customWidth="1"/>
    <col min="3339" max="3339" width="18.5703125" style="157" customWidth="1"/>
    <col min="3340" max="3584" width="9.28515625" style="157"/>
    <col min="3585" max="3585" width="5.42578125" style="157" customWidth="1"/>
    <col min="3586" max="3586" width="42.85546875" style="157" customWidth="1"/>
    <col min="3587" max="3587" width="7.28515625" style="157" customWidth="1"/>
    <col min="3588" max="3588" width="20.28515625" style="157" customWidth="1"/>
    <col min="3589" max="3589" width="14.5703125" style="157" customWidth="1"/>
    <col min="3590" max="3590" width="11.7109375" style="157" customWidth="1"/>
    <col min="3591" max="3591" width="17.5703125" style="157" customWidth="1"/>
    <col min="3592" max="3592" width="8.28515625" style="157" customWidth="1"/>
    <col min="3593" max="3593" width="16.28515625" style="157" customWidth="1"/>
    <col min="3594" max="3594" width="8.5703125" style="157" customWidth="1"/>
    <col min="3595" max="3595" width="18.5703125" style="157" customWidth="1"/>
    <col min="3596" max="3840" width="9.28515625" style="157"/>
    <col min="3841" max="3841" width="5.42578125" style="157" customWidth="1"/>
    <col min="3842" max="3842" width="42.85546875" style="157" customWidth="1"/>
    <col min="3843" max="3843" width="7.28515625" style="157" customWidth="1"/>
    <col min="3844" max="3844" width="20.28515625" style="157" customWidth="1"/>
    <col min="3845" max="3845" width="14.5703125" style="157" customWidth="1"/>
    <col min="3846" max="3846" width="11.7109375" style="157" customWidth="1"/>
    <col min="3847" max="3847" width="17.5703125" style="157" customWidth="1"/>
    <col min="3848" max="3848" width="8.28515625" style="157" customWidth="1"/>
    <col min="3849" max="3849" width="16.28515625" style="157" customWidth="1"/>
    <col min="3850" max="3850" width="8.5703125" style="157" customWidth="1"/>
    <col min="3851" max="3851" width="18.5703125" style="157" customWidth="1"/>
    <col min="3852" max="4096" width="9.28515625" style="157"/>
    <col min="4097" max="4097" width="5.42578125" style="157" customWidth="1"/>
    <col min="4098" max="4098" width="42.85546875" style="157" customWidth="1"/>
    <col min="4099" max="4099" width="7.28515625" style="157" customWidth="1"/>
    <col min="4100" max="4100" width="20.28515625" style="157" customWidth="1"/>
    <col min="4101" max="4101" width="14.5703125" style="157" customWidth="1"/>
    <col min="4102" max="4102" width="11.7109375" style="157" customWidth="1"/>
    <col min="4103" max="4103" width="17.5703125" style="157" customWidth="1"/>
    <col min="4104" max="4104" width="8.28515625" style="157" customWidth="1"/>
    <col min="4105" max="4105" width="16.28515625" style="157" customWidth="1"/>
    <col min="4106" max="4106" width="8.5703125" style="157" customWidth="1"/>
    <col min="4107" max="4107" width="18.5703125" style="157" customWidth="1"/>
    <col min="4108" max="4352" width="9.28515625" style="157"/>
    <col min="4353" max="4353" width="5.42578125" style="157" customWidth="1"/>
    <col min="4354" max="4354" width="42.85546875" style="157" customWidth="1"/>
    <col min="4355" max="4355" width="7.28515625" style="157" customWidth="1"/>
    <col min="4356" max="4356" width="20.28515625" style="157" customWidth="1"/>
    <col min="4357" max="4357" width="14.5703125" style="157" customWidth="1"/>
    <col min="4358" max="4358" width="11.7109375" style="157" customWidth="1"/>
    <col min="4359" max="4359" width="17.5703125" style="157" customWidth="1"/>
    <col min="4360" max="4360" width="8.28515625" style="157" customWidth="1"/>
    <col min="4361" max="4361" width="16.28515625" style="157" customWidth="1"/>
    <col min="4362" max="4362" width="8.5703125" style="157" customWidth="1"/>
    <col min="4363" max="4363" width="18.5703125" style="157" customWidth="1"/>
    <col min="4364" max="4608" width="9.28515625" style="157"/>
    <col min="4609" max="4609" width="5.42578125" style="157" customWidth="1"/>
    <col min="4610" max="4610" width="42.85546875" style="157" customWidth="1"/>
    <col min="4611" max="4611" width="7.28515625" style="157" customWidth="1"/>
    <col min="4612" max="4612" width="20.28515625" style="157" customWidth="1"/>
    <col min="4613" max="4613" width="14.5703125" style="157" customWidth="1"/>
    <col min="4614" max="4614" width="11.7109375" style="157" customWidth="1"/>
    <col min="4615" max="4615" width="17.5703125" style="157" customWidth="1"/>
    <col min="4616" max="4616" width="8.28515625" style="157" customWidth="1"/>
    <col min="4617" max="4617" width="16.28515625" style="157" customWidth="1"/>
    <col min="4618" max="4618" width="8.5703125" style="157" customWidth="1"/>
    <col min="4619" max="4619" width="18.5703125" style="157" customWidth="1"/>
    <col min="4620" max="4864" width="9.28515625" style="157"/>
    <col min="4865" max="4865" width="5.42578125" style="157" customWidth="1"/>
    <col min="4866" max="4866" width="42.85546875" style="157" customWidth="1"/>
    <col min="4867" max="4867" width="7.28515625" style="157" customWidth="1"/>
    <col min="4868" max="4868" width="20.28515625" style="157" customWidth="1"/>
    <col min="4869" max="4869" width="14.5703125" style="157" customWidth="1"/>
    <col min="4870" max="4870" width="11.7109375" style="157" customWidth="1"/>
    <col min="4871" max="4871" width="17.5703125" style="157" customWidth="1"/>
    <col min="4872" max="4872" width="8.28515625" style="157" customWidth="1"/>
    <col min="4873" max="4873" width="16.28515625" style="157" customWidth="1"/>
    <col min="4874" max="4874" width="8.5703125" style="157" customWidth="1"/>
    <col min="4875" max="4875" width="18.5703125" style="157" customWidth="1"/>
    <col min="4876" max="5120" width="9.28515625" style="157"/>
    <col min="5121" max="5121" width="5.42578125" style="157" customWidth="1"/>
    <col min="5122" max="5122" width="42.85546875" style="157" customWidth="1"/>
    <col min="5123" max="5123" width="7.28515625" style="157" customWidth="1"/>
    <col min="5124" max="5124" width="20.28515625" style="157" customWidth="1"/>
    <col min="5125" max="5125" width="14.5703125" style="157" customWidth="1"/>
    <col min="5126" max="5126" width="11.7109375" style="157" customWidth="1"/>
    <col min="5127" max="5127" width="17.5703125" style="157" customWidth="1"/>
    <col min="5128" max="5128" width="8.28515625" style="157" customWidth="1"/>
    <col min="5129" max="5129" width="16.28515625" style="157" customWidth="1"/>
    <col min="5130" max="5130" width="8.5703125" style="157" customWidth="1"/>
    <col min="5131" max="5131" width="18.5703125" style="157" customWidth="1"/>
    <col min="5132" max="5376" width="9.28515625" style="157"/>
    <col min="5377" max="5377" width="5.42578125" style="157" customWidth="1"/>
    <col min="5378" max="5378" width="42.85546875" style="157" customWidth="1"/>
    <col min="5379" max="5379" width="7.28515625" style="157" customWidth="1"/>
    <col min="5380" max="5380" width="20.28515625" style="157" customWidth="1"/>
    <col min="5381" max="5381" width="14.5703125" style="157" customWidth="1"/>
    <col min="5382" max="5382" width="11.7109375" style="157" customWidth="1"/>
    <col min="5383" max="5383" width="17.5703125" style="157" customWidth="1"/>
    <col min="5384" max="5384" width="8.28515625" style="157" customWidth="1"/>
    <col min="5385" max="5385" width="16.28515625" style="157" customWidth="1"/>
    <col min="5386" max="5386" width="8.5703125" style="157" customWidth="1"/>
    <col min="5387" max="5387" width="18.5703125" style="157" customWidth="1"/>
    <col min="5388" max="5632" width="9.28515625" style="157"/>
    <col min="5633" max="5633" width="5.42578125" style="157" customWidth="1"/>
    <col min="5634" max="5634" width="42.85546875" style="157" customWidth="1"/>
    <col min="5635" max="5635" width="7.28515625" style="157" customWidth="1"/>
    <col min="5636" max="5636" width="20.28515625" style="157" customWidth="1"/>
    <col min="5637" max="5637" width="14.5703125" style="157" customWidth="1"/>
    <col min="5638" max="5638" width="11.7109375" style="157" customWidth="1"/>
    <col min="5639" max="5639" width="17.5703125" style="157" customWidth="1"/>
    <col min="5640" max="5640" width="8.28515625" style="157" customWidth="1"/>
    <col min="5641" max="5641" width="16.28515625" style="157" customWidth="1"/>
    <col min="5642" max="5642" width="8.5703125" style="157" customWidth="1"/>
    <col min="5643" max="5643" width="18.5703125" style="157" customWidth="1"/>
    <col min="5644" max="5888" width="9.28515625" style="157"/>
    <col min="5889" max="5889" width="5.42578125" style="157" customWidth="1"/>
    <col min="5890" max="5890" width="42.85546875" style="157" customWidth="1"/>
    <col min="5891" max="5891" width="7.28515625" style="157" customWidth="1"/>
    <col min="5892" max="5892" width="20.28515625" style="157" customWidth="1"/>
    <col min="5893" max="5893" width="14.5703125" style="157" customWidth="1"/>
    <col min="5894" max="5894" width="11.7109375" style="157" customWidth="1"/>
    <col min="5895" max="5895" width="17.5703125" style="157" customWidth="1"/>
    <col min="5896" max="5896" width="8.28515625" style="157" customWidth="1"/>
    <col min="5897" max="5897" width="16.28515625" style="157" customWidth="1"/>
    <col min="5898" max="5898" width="8.5703125" style="157" customWidth="1"/>
    <col min="5899" max="5899" width="18.5703125" style="157" customWidth="1"/>
    <col min="5900" max="6144" width="9.28515625" style="157"/>
    <col min="6145" max="6145" width="5.42578125" style="157" customWidth="1"/>
    <col min="6146" max="6146" width="42.85546875" style="157" customWidth="1"/>
    <col min="6147" max="6147" width="7.28515625" style="157" customWidth="1"/>
    <col min="6148" max="6148" width="20.28515625" style="157" customWidth="1"/>
    <col min="6149" max="6149" width="14.5703125" style="157" customWidth="1"/>
    <col min="6150" max="6150" width="11.7109375" style="157" customWidth="1"/>
    <col min="6151" max="6151" width="17.5703125" style="157" customWidth="1"/>
    <col min="6152" max="6152" width="8.28515625" style="157" customWidth="1"/>
    <col min="6153" max="6153" width="16.28515625" style="157" customWidth="1"/>
    <col min="6154" max="6154" width="8.5703125" style="157" customWidth="1"/>
    <col min="6155" max="6155" width="18.5703125" style="157" customWidth="1"/>
    <col min="6156" max="6400" width="9.28515625" style="157"/>
    <col min="6401" max="6401" width="5.42578125" style="157" customWidth="1"/>
    <col min="6402" max="6402" width="42.85546875" style="157" customWidth="1"/>
    <col min="6403" max="6403" width="7.28515625" style="157" customWidth="1"/>
    <col min="6404" max="6404" width="20.28515625" style="157" customWidth="1"/>
    <col min="6405" max="6405" width="14.5703125" style="157" customWidth="1"/>
    <col min="6406" max="6406" width="11.7109375" style="157" customWidth="1"/>
    <col min="6407" max="6407" width="17.5703125" style="157" customWidth="1"/>
    <col min="6408" max="6408" width="8.28515625" style="157" customWidth="1"/>
    <col min="6409" max="6409" width="16.28515625" style="157" customWidth="1"/>
    <col min="6410" max="6410" width="8.5703125" style="157" customWidth="1"/>
    <col min="6411" max="6411" width="18.5703125" style="157" customWidth="1"/>
    <col min="6412" max="6656" width="9.28515625" style="157"/>
    <col min="6657" max="6657" width="5.42578125" style="157" customWidth="1"/>
    <col min="6658" max="6658" width="42.85546875" style="157" customWidth="1"/>
    <col min="6659" max="6659" width="7.28515625" style="157" customWidth="1"/>
    <col min="6660" max="6660" width="20.28515625" style="157" customWidth="1"/>
    <col min="6661" max="6661" width="14.5703125" style="157" customWidth="1"/>
    <col min="6662" max="6662" width="11.7109375" style="157" customWidth="1"/>
    <col min="6663" max="6663" width="17.5703125" style="157" customWidth="1"/>
    <col min="6664" max="6664" width="8.28515625" style="157" customWidth="1"/>
    <col min="6665" max="6665" width="16.28515625" style="157" customWidth="1"/>
    <col min="6666" max="6666" width="8.5703125" style="157" customWidth="1"/>
    <col min="6667" max="6667" width="18.5703125" style="157" customWidth="1"/>
    <col min="6668" max="6912" width="9.28515625" style="157"/>
    <col min="6913" max="6913" width="5.42578125" style="157" customWidth="1"/>
    <col min="6914" max="6914" width="42.85546875" style="157" customWidth="1"/>
    <col min="6915" max="6915" width="7.28515625" style="157" customWidth="1"/>
    <col min="6916" max="6916" width="20.28515625" style="157" customWidth="1"/>
    <col min="6917" max="6917" width="14.5703125" style="157" customWidth="1"/>
    <col min="6918" max="6918" width="11.7109375" style="157" customWidth="1"/>
    <col min="6919" max="6919" width="17.5703125" style="157" customWidth="1"/>
    <col min="6920" max="6920" width="8.28515625" style="157" customWidth="1"/>
    <col min="6921" max="6921" width="16.28515625" style="157" customWidth="1"/>
    <col min="6922" max="6922" width="8.5703125" style="157" customWidth="1"/>
    <col min="6923" max="6923" width="18.5703125" style="157" customWidth="1"/>
    <col min="6924" max="7168" width="9.28515625" style="157"/>
    <col min="7169" max="7169" width="5.42578125" style="157" customWidth="1"/>
    <col min="7170" max="7170" width="42.85546875" style="157" customWidth="1"/>
    <col min="7171" max="7171" width="7.28515625" style="157" customWidth="1"/>
    <col min="7172" max="7172" width="20.28515625" style="157" customWidth="1"/>
    <col min="7173" max="7173" width="14.5703125" style="157" customWidth="1"/>
    <col min="7174" max="7174" width="11.7109375" style="157" customWidth="1"/>
    <col min="7175" max="7175" width="17.5703125" style="157" customWidth="1"/>
    <col min="7176" max="7176" width="8.28515625" style="157" customWidth="1"/>
    <col min="7177" max="7177" width="16.28515625" style="157" customWidth="1"/>
    <col min="7178" max="7178" width="8.5703125" style="157" customWidth="1"/>
    <col min="7179" max="7179" width="18.5703125" style="157" customWidth="1"/>
    <col min="7180" max="7424" width="9.28515625" style="157"/>
    <col min="7425" max="7425" width="5.42578125" style="157" customWidth="1"/>
    <col min="7426" max="7426" width="42.85546875" style="157" customWidth="1"/>
    <col min="7427" max="7427" width="7.28515625" style="157" customWidth="1"/>
    <col min="7428" max="7428" width="20.28515625" style="157" customWidth="1"/>
    <col min="7429" max="7429" width="14.5703125" style="157" customWidth="1"/>
    <col min="7430" max="7430" width="11.7109375" style="157" customWidth="1"/>
    <col min="7431" max="7431" width="17.5703125" style="157" customWidth="1"/>
    <col min="7432" max="7432" width="8.28515625" style="157" customWidth="1"/>
    <col min="7433" max="7433" width="16.28515625" style="157" customWidth="1"/>
    <col min="7434" max="7434" width="8.5703125" style="157" customWidth="1"/>
    <col min="7435" max="7435" width="18.5703125" style="157" customWidth="1"/>
    <col min="7436" max="7680" width="9.28515625" style="157"/>
    <col min="7681" max="7681" width="5.42578125" style="157" customWidth="1"/>
    <col min="7682" max="7682" width="42.85546875" style="157" customWidth="1"/>
    <col min="7683" max="7683" width="7.28515625" style="157" customWidth="1"/>
    <col min="7684" max="7684" width="20.28515625" style="157" customWidth="1"/>
    <col min="7685" max="7685" width="14.5703125" style="157" customWidth="1"/>
    <col min="7686" max="7686" width="11.7109375" style="157" customWidth="1"/>
    <col min="7687" max="7687" width="17.5703125" style="157" customWidth="1"/>
    <col min="7688" max="7688" width="8.28515625" style="157" customWidth="1"/>
    <col min="7689" max="7689" width="16.28515625" style="157" customWidth="1"/>
    <col min="7690" max="7690" width="8.5703125" style="157" customWidth="1"/>
    <col min="7691" max="7691" width="18.5703125" style="157" customWidth="1"/>
    <col min="7692" max="7936" width="9.28515625" style="157"/>
    <col min="7937" max="7937" width="5.42578125" style="157" customWidth="1"/>
    <col min="7938" max="7938" width="42.85546875" style="157" customWidth="1"/>
    <col min="7939" max="7939" width="7.28515625" style="157" customWidth="1"/>
    <col min="7940" max="7940" width="20.28515625" style="157" customWidth="1"/>
    <col min="7941" max="7941" width="14.5703125" style="157" customWidth="1"/>
    <col min="7942" max="7942" width="11.7109375" style="157" customWidth="1"/>
    <col min="7943" max="7943" width="17.5703125" style="157" customWidth="1"/>
    <col min="7944" max="7944" width="8.28515625" style="157" customWidth="1"/>
    <col min="7945" max="7945" width="16.28515625" style="157" customWidth="1"/>
    <col min="7946" max="7946" width="8.5703125" style="157" customWidth="1"/>
    <col min="7947" max="7947" width="18.5703125" style="157" customWidth="1"/>
    <col min="7948" max="8192" width="9.28515625" style="157"/>
    <col min="8193" max="8193" width="5.42578125" style="157" customWidth="1"/>
    <col min="8194" max="8194" width="42.85546875" style="157" customWidth="1"/>
    <col min="8195" max="8195" width="7.28515625" style="157" customWidth="1"/>
    <col min="8196" max="8196" width="20.28515625" style="157" customWidth="1"/>
    <col min="8197" max="8197" width="14.5703125" style="157" customWidth="1"/>
    <col min="8198" max="8198" width="11.7109375" style="157" customWidth="1"/>
    <col min="8199" max="8199" width="17.5703125" style="157" customWidth="1"/>
    <col min="8200" max="8200" width="8.28515625" style="157" customWidth="1"/>
    <col min="8201" max="8201" width="16.28515625" style="157" customWidth="1"/>
    <col min="8202" max="8202" width="8.5703125" style="157" customWidth="1"/>
    <col min="8203" max="8203" width="18.5703125" style="157" customWidth="1"/>
    <col min="8204" max="8448" width="9.28515625" style="157"/>
    <col min="8449" max="8449" width="5.42578125" style="157" customWidth="1"/>
    <col min="8450" max="8450" width="42.85546875" style="157" customWidth="1"/>
    <col min="8451" max="8451" width="7.28515625" style="157" customWidth="1"/>
    <col min="8452" max="8452" width="20.28515625" style="157" customWidth="1"/>
    <col min="8453" max="8453" width="14.5703125" style="157" customWidth="1"/>
    <col min="8454" max="8454" width="11.7109375" style="157" customWidth="1"/>
    <col min="8455" max="8455" width="17.5703125" style="157" customWidth="1"/>
    <col min="8456" max="8456" width="8.28515625" style="157" customWidth="1"/>
    <col min="8457" max="8457" width="16.28515625" style="157" customWidth="1"/>
    <col min="8458" max="8458" width="8.5703125" style="157" customWidth="1"/>
    <col min="8459" max="8459" width="18.5703125" style="157" customWidth="1"/>
    <col min="8460" max="8704" width="9.28515625" style="157"/>
    <col min="8705" max="8705" width="5.42578125" style="157" customWidth="1"/>
    <col min="8706" max="8706" width="42.85546875" style="157" customWidth="1"/>
    <col min="8707" max="8707" width="7.28515625" style="157" customWidth="1"/>
    <col min="8708" max="8708" width="20.28515625" style="157" customWidth="1"/>
    <col min="8709" max="8709" width="14.5703125" style="157" customWidth="1"/>
    <col min="8710" max="8710" width="11.7109375" style="157" customWidth="1"/>
    <col min="8711" max="8711" width="17.5703125" style="157" customWidth="1"/>
    <col min="8712" max="8712" width="8.28515625" style="157" customWidth="1"/>
    <col min="8713" max="8713" width="16.28515625" style="157" customWidth="1"/>
    <col min="8714" max="8714" width="8.5703125" style="157" customWidth="1"/>
    <col min="8715" max="8715" width="18.5703125" style="157" customWidth="1"/>
    <col min="8716" max="8960" width="9.28515625" style="157"/>
    <col min="8961" max="8961" width="5.42578125" style="157" customWidth="1"/>
    <col min="8962" max="8962" width="42.85546875" style="157" customWidth="1"/>
    <col min="8963" max="8963" width="7.28515625" style="157" customWidth="1"/>
    <col min="8964" max="8964" width="20.28515625" style="157" customWidth="1"/>
    <col min="8965" max="8965" width="14.5703125" style="157" customWidth="1"/>
    <col min="8966" max="8966" width="11.7109375" style="157" customWidth="1"/>
    <col min="8967" max="8967" width="17.5703125" style="157" customWidth="1"/>
    <col min="8968" max="8968" width="8.28515625" style="157" customWidth="1"/>
    <col min="8969" max="8969" width="16.28515625" style="157" customWidth="1"/>
    <col min="8970" max="8970" width="8.5703125" style="157" customWidth="1"/>
    <col min="8971" max="8971" width="18.5703125" style="157" customWidth="1"/>
    <col min="8972" max="9216" width="9.28515625" style="157"/>
    <col min="9217" max="9217" width="5.42578125" style="157" customWidth="1"/>
    <col min="9218" max="9218" width="42.85546875" style="157" customWidth="1"/>
    <col min="9219" max="9219" width="7.28515625" style="157" customWidth="1"/>
    <col min="9220" max="9220" width="20.28515625" style="157" customWidth="1"/>
    <col min="9221" max="9221" width="14.5703125" style="157" customWidth="1"/>
    <col min="9222" max="9222" width="11.7109375" style="157" customWidth="1"/>
    <col min="9223" max="9223" width="17.5703125" style="157" customWidth="1"/>
    <col min="9224" max="9224" width="8.28515625" style="157" customWidth="1"/>
    <col min="9225" max="9225" width="16.28515625" style="157" customWidth="1"/>
    <col min="9226" max="9226" width="8.5703125" style="157" customWidth="1"/>
    <col min="9227" max="9227" width="18.5703125" style="157" customWidth="1"/>
    <col min="9228" max="9472" width="9.28515625" style="157"/>
    <col min="9473" max="9473" width="5.42578125" style="157" customWidth="1"/>
    <col min="9474" max="9474" width="42.85546875" style="157" customWidth="1"/>
    <col min="9475" max="9475" width="7.28515625" style="157" customWidth="1"/>
    <col min="9476" max="9476" width="20.28515625" style="157" customWidth="1"/>
    <col min="9477" max="9477" width="14.5703125" style="157" customWidth="1"/>
    <col min="9478" max="9478" width="11.7109375" style="157" customWidth="1"/>
    <col min="9479" max="9479" width="17.5703125" style="157" customWidth="1"/>
    <col min="9480" max="9480" width="8.28515625" style="157" customWidth="1"/>
    <col min="9481" max="9481" width="16.28515625" style="157" customWidth="1"/>
    <col min="9482" max="9482" width="8.5703125" style="157" customWidth="1"/>
    <col min="9483" max="9483" width="18.5703125" style="157" customWidth="1"/>
    <col min="9484" max="9728" width="9.28515625" style="157"/>
    <col min="9729" max="9729" width="5.42578125" style="157" customWidth="1"/>
    <col min="9730" max="9730" width="42.85546875" style="157" customWidth="1"/>
    <col min="9731" max="9731" width="7.28515625" style="157" customWidth="1"/>
    <col min="9732" max="9732" width="20.28515625" style="157" customWidth="1"/>
    <col min="9733" max="9733" width="14.5703125" style="157" customWidth="1"/>
    <col min="9734" max="9734" width="11.7109375" style="157" customWidth="1"/>
    <col min="9735" max="9735" width="17.5703125" style="157" customWidth="1"/>
    <col min="9736" max="9736" width="8.28515625" style="157" customWidth="1"/>
    <col min="9737" max="9737" width="16.28515625" style="157" customWidth="1"/>
    <col min="9738" max="9738" width="8.5703125" style="157" customWidth="1"/>
    <col min="9739" max="9739" width="18.5703125" style="157" customWidth="1"/>
    <col min="9740" max="9984" width="9.28515625" style="157"/>
    <col min="9985" max="9985" width="5.42578125" style="157" customWidth="1"/>
    <col min="9986" max="9986" width="42.85546875" style="157" customWidth="1"/>
    <col min="9987" max="9987" width="7.28515625" style="157" customWidth="1"/>
    <col min="9988" max="9988" width="20.28515625" style="157" customWidth="1"/>
    <col min="9989" max="9989" width="14.5703125" style="157" customWidth="1"/>
    <col min="9990" max="9990" width="11.7109375" style="157" customWidth="1"/>
    <col min="9991" max="9991" width="17.5703125" style="157" customWidth="1"/>
    <col min="9992" max="9992" width="8.28515625" style="157" customWidth="1"/>
    <col min="9993" max="9993" width="16.28515625" style="157" customWidth="1"/>
    <col min="9994" max="9994" width="8.5703125" style="157" customWidth="1"/>
    <col min="9995" max="9995" width="18.5703125" style="157" customWidth="1"/>
    <col min="9996" max="10240" width="9.28515625" style="157"/>
    <col min="10241" max="10241" width="5.42578125" style="157" customWidth="1"/>
    <col min="10242" max="10242" width="42.85546875" style="157" customWidth="1"/>
    <col min="10243" max="10243" width="7.28515625" style="157" customWidth="1"/>
    <col min="10244" max="10244" width="20.28515625" style="157" customWidth="1"/>
    <col min="10245" max="10245" width="14.5703125" style="157" customWidth="1"/>
    <col min="10246" max="10246" width="11.7109375" style="157" customWidth="1"/>
    <col min="10247" max="10247" width="17.5703125" style="157" customWidth="1"/>
    <col min="10248" max="10248" width="8.28515625" style="157" customWidth="1"/>
    <col min="10249" max="10249" width="16.28515625" style="157" customWidth="1"/>
    <col min="10250" max="10250" width="8.5703125" style="157" customWidth="1"/>
    <col min="10251" max="10251" width="18.5703125" style="157" customWidth="1"/>
    <col min="10252" max="10496" width="9.28515625" style="157"/>
    <col min="10497" max="10497" width="5.42578125" style="157" customWidth="1"/>
    <col min="10498" max="10498" width="42.85546875" style="157" customWidth="1"/>
    <col min="10499" max="10499" width="7.28515625" style="157" customWidth="1"/>
    <col min="10500" max="10500" width="20.28515625" style="157" customWidth="1"/>
    <col min="10501" max="10501" width="14.5703125" style="157" customWidth="1"/>
    <col min="10502" max="10502" width="11.7109375" style="157" customWidth="1"/>
    <col min="10503" max="10503" width="17.5703125" style="157" customWidth="1"/>
    <col min="10504" max="10504" width="8.28515625" style="157" customWidth="1"/>
    <col min="10505" max="10505" width="16.28515625" style="157" customWidth="1"/>
    <col min="10506" max="10506" width="8.5703125" style="157" customWidth="1"/>
    <col min="10507" max="10507" width="18.5703125" style="157" customWidth="1"/>
    <col min="10508" max="10752" width="9.28515625" style="157"/>
    <col min="10753" max="10753" width="5.42578125" style="157" customWidth="1"/>
    <col min="10754" max="10754" width="42.85546875" style="157" customWidth="1"/>
    <col min="10755" max="10755" width="7.28515625" style="157" customWidth="1"/>
    <col min="10756" max="10756" width="20.28515625" style="157" customWidth="1"/>
    <col min="10757" max="10757" width="14.5703125" style="157" customWidth="1"/>
    <col min="10758" max="10758" width="11.7109375" style="157" customWidth="1"/>
    <col min="10759" max="10759" width="17.5703125" style="157" customWidth="1"/>
    <col min="10760" max="10760" width="8.28515625" style="157" customWidth="1"/>
    <col min="10761" max="10761" width="16.28515625" style="157" customWidth="1"/>
    <col min="10762" max="10762" width="8.5703125" style="157" customWidth="1"/>
    <col min="10763" max="10763" width="18.5703125" style="157" customWidth="1"/>
    <col min="10764" max="11008" width="9.28515625" style="157"/>
    <col min="11009" max="11009" width="5.42578125" style="157" customWidth="1"/>
    <col min="11010" max="11010" width="42.85546875" style="157" customWidth="1"/>
    <col min="11011" max="11011" width="7.28515625" style="157" customWidth="1"/>
    <col min="11012" max="11012" width="20.28515625" style="157" customWidth="1"/>
    <col min="11013" max="11013" width="14.5703125" style="157" customWidth="1"/>
    <col min="11014" max="11014" width="11.7109375" style="157" customWidth="1"/>
    <col min="11015" max="11015" width="17.5703125" style="157" customWidth="1"/>
    <col min="11016" max="11016" width="8.28515625" style="157" customWidth="1"/>
    <col min="11017" max="11017" width="16.28515625" style="157" customWidth="1"/>
    <col min="11018" max="11018" width="8.5703125" style="157" customWidth="1"/>
    <col min="11019" max="11019" width="18.5703125" style="157" customWidth="1"/>
    <col min="11020" max="11264" width="9.28515625" style="157"/>
    <col min="11265" max="11265" width="5.42578125" style="157" customWidth="1"/>
    <col min="11266" max="11266" width="42.85546875" style="157" customWidth="1"/>
    <col min="11267" max="11267" width="7.28515625" style="157" customWidth="1"/>
    <col min="11268" max="11268" width="20.28515625" style="157" customWidth="1"/>
    <col min="11269" max="11269" width="14.5703125" style="157" customWidth="1"/>
    <col min="11270" max="11270" width="11.7109375" style="157" customWidth="1"/>
    <col min="11271" max="11271" width="17.5703125" style="157" customWidth="1"/>
    <col min="11272" max="11272" width="8.28515625" style="157" customWidth="1"/>
    <col min="11273" max="11273" width="16.28515625" style="157" customWidth="1"/>
    <col min="11274" max="11274" width="8.5703125" style="157" customWidth="1"/>
    <col min="11275" max="11275" width="18.5703125" style="157" customWidth="1"/>
    <col min="11276" max="11520" width="9.28515625" style="157"/>
    <col min="11521" max="11521" width="5.42578125" style="157" customWidth="1"/>
    <col min="11522" max="11522" width="42.85546875" style="157" customWidth="1"/>
    <col min="11523" max="11523" width="7.28515625" style="157" customWidth="1"/>
    <col min="11524" max="11524" width="20.28515625" style="157" customWidth="1"/>
    <col min="11525" max="11525" width="14.5703125" style="157" customWidth="1"/>
    <col min="11526" max="11526" width="11.7109375" style="157" customWidth="1"/>
    <col min="11527" max="11527" width="17.5703125" style="157" customWidth="1"/>
    <col min="11528" max="11528" width="8.28515625" style="157" customWidth="1"/>
    <col min="11529" max="11529" width="16.28515625" style="157" customWidth="1"/>
    <col min="11530" max="11530" width="8.5703125" style="157" customWidth="1"/>
    <col min="11531" max="11531" width="18.5703125" style="157" customWidth="1"/>
    <col min="11532" max="11776" width="9.28515625" style="157"/>
    <col min="11777" max="11777" width="5.42578125" style="157" customWidth="1"/>
    <col min="11778" max="11778" width="42.85546875" style="157" customWidth="1"/>
    <col min="11779" max="11779" width="7.28515625" style="157" customWidth="1"/>
    <col min="11780" max="11780" width="20.28515625" style="157" customWidth="1"/>
    <col min="11781" max="11781" width="14.5703125" style="157" customWidth="1"/>
    <col min="11782" max="11782" width="11.7109375" style="157" customWidth="1"/>
    <col min="11783" max="11783" width="17.5703125" style="157" customWidth="1"/>
    <col min="11784" max="11784" width="8.28515625" style="157" customWidth="1"/>
    <col min="11785" max="11785" width="16.28515625" style="157" customWidth="1"/>
    <col min="11786" max="11786" width="8.5703125" style="157" customWidth="1"/>
    <col min="11787" max="11787" width="18.5703125" style="157" customWidth="1"/>
    <col min="11788" max="12032" width="9.28515625" style="157"/>
    <col min="12033" max="12033" width="5.42578125" style="157" customWidth="1"/>
    <col min="12034" max="12034" width="42.85546875" style="157" customWidth="1"/>
    <col min="12035" max="12035" width="7.28515625" style="157" customWidth="1"/>
    <col min="12036" max="12036" width="20.28515625" style="157" customWidth="1"/>
    <col min="12037" max="12037" width="14.5703125" style="157" customWidth="1"/>
    <col min="12038" max="12038" width="11.7109375" style="157" customWidth="1"/>
    <col min="12039" max="12039" width="17.5703125" style="157" customWidth="1"/>
    <col min="12040" max="12040" width="8.28515625" style="157" customWidth="1"/>
    <col min="12041" max="12041" width="16.28515625" style="157" customWidth="1"/>
    <col min="12042" max="12042" width="8.5703125" style="157" customWidth="1"/>
    <col min="12043" max="12043" width="18.5703125" style="157" customWidth="1"/>
    <col min="12044" max="12288" width="9.28515625" style="157"/>
    <col min="12289" max="12289" width="5.42578125" style="157" customWidth="1"/>
    <col min="12290" max="12290" width="42.85546875" style="157" customWidth="1"/>
    <col min="12291" max="12291" width="7.28515625" style="157" customWidth="1"/>
    <col min="12292" max="12292" width="20.28515625" style="157" customWidth="1"/>
    <col min="12293" max="12293" width="14.5703125" style="157" customWidth="1"/>
    <col min="12294" max="12294" width="11.7109375" style="157" customWidth="1"/>
    <col min="12295" max="12295" width="17.5703125" style="157" customWidth="1"/>
    <col min="12296" max="12296" width="8.28515625" style="157" customWidth="1"/>
    <col min="12297" max="12297" width="16.28515625" style="157" customWidth="1"/>
    <col min="12298" max="12298" width="8.5703125" style="157" customWidth="1"/>
    <col min="12299" max="12299" width="18.5703125" style="157" customWidth="1"/>
    <col min="12300" max="12544" width="9.28515625" style="157"/>
    <col min="12545" max="12545" width="5.42578125" style="157" customWidth="1"/>
    <col min="12546" max="12546" width="42.85546875" style="157" customWidth="1"/>
    <col min="12547" max="12547" width="7.28515625" style="157" customWidth="1"/>
    <col min="12548" max="12548" width="20.28515625" style="157" customWidth="1"/>
    <col min="12549" max="12549" width="14.5703125" style="157" customWidth="1"/>
    <col min="12550" max="12550" width="11.7109375" style="157" customWidth="1"/>
    <col min="12551" max="12551" width="17.5703125" style="157" customWidth="1"/>
    <col min="12552" max="12552" width="8.28515625" style="157" customWidth="1"/>
    <col min="12553" max="12553" width="16.28515625" style="157" customWidth="1"/>
    <col min="12554" max="12554" width="8.5703125" style="157" customWidth="1"/>
    <col min="12555" max="12555" width="18.5703125" style="157" customWidth="1"/>
    <col min="12556" max="12800" width="9.28515625" style="157"/>
    <col min="12801" max="12801" width="5.42578125" style="157" customWidth="1"/>
    <col min="12802" max="12802" width="42.85546875" style="157" customWidth="1"/>
    <col min="12803" max="12803" width="7.28515625" style="157" customWidth="1"/>
    <col min="12804" max="12804" width="20.28515625" style="157" customWidth="1"/>
    <col min="12805" max="12805" width="14.5703125" style="157" customWidth="1"/>
    <col min="12806" max="12806" width="11.7109375" style="157" customWidth="1"/>
    <col min="12807" max="12807" width="17.5703125" style="157" customWidth="1"/>
    <col min="12808" max="12808" width="8.28515625" style="157" customWidth="1"/>
    <col min="12809" max="12809" width="16.28515625" style="157" customWidth="1"/>
    <col min="12810" max="12810" width="8.5703125" style="157" customWidth="1"/>
    <col min="12811" max="12811" width="18.5703125" style="157" customWidth="1"/>
    <col min="12812" max="13056" width="9.28515625" style="157"/>
    <col min="13057" max="13057" width="5.42578125" style="157" customWidth="1"/>
    <col min="13058" max="13058" width="42.85546875" style="157" customWidth="1"/>
    <col min="13059" max="13059" width="7.28515625" style="157" customWidth="1"/>
    <col min="13060" max="13060" width="20.28515625" style="157" customWidth="1"/>
    <col min="13061" max="13061" width="14.5703125" style="157" customWidth="1"/>
    <col min="13062" max="13062" width="11.7109375" style="157" customWidth="1"/>
    <col min="13063" max="13063" width="17.5703125" style="157" customWidth="1"/>
    <col min="13064" max="13064" width="8.28515625" style="157" customWidth="1"/>
    <col min="13065" max="13065" width="16.28515625" style="157" customWidth="1"/>
    <col min="13066" max="13066" width="8.5703125" style="157" customWidth="1"/>
    <col min="13067" max="13067" width="18.5703125" style="157" customWidth="1"/>
    <col min="13068" max="13312" width="9.28515625" style="157"/>
    <col min="13313" max="13313" width="5.42578125" style="157" customWidth="1"/>
    <col min="13314" max="13314" width="42.85546875" style="157" customWidth="1"/>
    <col min="13315" max="13315" width="7.28515625" style="157" customWidth="1"/>
    <col min="13316" max="13316" width="20.28515625" style="157" customWidth="1"/>
    <col min="13317" max="13317" width="14.5703125" style="157" customWidth="1"/>
    <col min="13318" max="13318" width="11.7109375" style="157" customWidth="1"/>
    <col min="13319" max="13319" width="17.5703125" style="157" customWidth="1"/>
    <col min="13320" max="13320" width="8.28515625" style="157" customWidth="1"/>
    <col min="13321" max="13321" width="16.28515625" style="157" customWidth="1"/>
    <col min="13322" max="13322" width="8.5703125" style="157" customWidth="1"/>
    <col min="13323" max="13323" width="18.5703125" style="157" customWidth="1"/>
    <col min="13324" max="13568" width="9.28515625" style="157"/>
    <col min="13569" max="13569" width="5.42578125" style="157" customWidth="1"/>
    <col min="13570" max="13570" width="42.85546875" style="157" customWidth="1"/>
    <col min="13571" max="13571" width="7.28515625" style="157" customWidth="1"/>
    <col min="13572" max="13572" width="20.28515625" style="157" customWidth="1"/>
    <col min="13573" max="13573" width="14.5703125" style="157" customWidth="1"/>
    <col min="13574" max="13574" width="11.7109375" style="157" customWidth="1"/>
    <col min="13575" max="13575" width="17.5703125" style="157" customWidth="1"/>
    <col min="13576" max="13576" width="8.28515625" style="157" customWidth="1"/>
    <col min="13577" max="13577" width="16.28515625" style="157" customWidth="1"/>
    <col min="13578" max="13578" width="8.5703125" style="157" customWidth="1"/>
    <col min="13579" max="13579" width="18.5703125" style="157" customWidth="1"/>
    <col min="13580" max="13824" width="9.28515625" style="157"/>
    <col min="13825" max="13825" width="5.42578125" style="157" customWidth="1"/>
    <col min="13826" max="13826" width="42.85546875" style="157" customWidth="1"/>
    <col min="13827" max="13827" width="7.28515625" style="157" customWidth="1"/>
    <col min="13828" max="13828" width="20.28515625" style="157" customWidth="1"/>
    <col min="13829" max="13829" width="14.5703125" style="157" customWidth="1"/>
    <col min="13830" max="13830" width="11.7109375" style="157" customWidth="1"/>
    <col min="13831" max="13831" width="17.5703125" style="157" customWidth="1"/>
    <col min="13832" max="13832" width="8.28515625" style="157" customWidth="1"/>
    <col min="13833" max="13833" width="16.28515625" style="157" customWidth="1"/>
    <col min="13834" max="13834" width="8.5703125" style="157" customWidth="1"/>
    <col min="13835" max="13835" width="18.5703125" style="157" customWidth="1"/>
    <col min="13836" max="14080" width="9.28515625" style="157"/>
    <col min="14081" max="14081" width="5.42578125" style="157" customWidth="1"/>
    <col min="14082" max="14082" width="42.85546875" style="157" customWidth="1"/>
    <col min="14083" max="14083" width="7.28515625" style="157" customWidth="1"/>
    <col min="14084" max="14084" width="20.28515625" style="157" customWidth="1"/>
    <col min="14085" max="14085" width="14.5703125" style="157" customWidth="1"/>
    <col min="14086" max="14086" width="11.7109375" style="157" customWidth="1"/>
    <col min="14087" max="14087" width="17.5703125" style="157" customWidth="1"/>
    <col min="14088" max="14088" width="8.28515625" style="157" customWidth="1"/>
    <col min="14089" max="14089" width="16.28515625" style="157" customWidth="1"/>
    <col min="14090" max="14090" width="8.5703125" style="157" customWidth="1"/>
    <col min="14091" max="14091" width="18.5703125" style="157" customWidth="1"/>
    <col min="14092" max="14336" width="9.28515625" style="157"/>
    <col min="14337" max="14337" width="5.42578125" style="157" customWidth="1"/>
    <col min="14338" max="14338" width="42.85546875" style="157" customWidth="1"/>
    <col min="14339" max="14339" width="7.28515625" style="157" customWidth="1"/>
    <col min="14340" max="14340" width="20.28515625" style="157" customWidth="1"/>
    <col min="14341" max="14341" width="14.5703125" style="157" customWidth="1"/>
    <col min="14342" max="14342" width="11.7109375" style="157" customWidth="1"/>
    <col min="14343" max="14343" width="17.5703125" style="157" customWidth="1"/>
    <col min="14344" max="14344" width="8.28515625" style="157" customWidth="1"/>
    <col min="14345" max="14345" width="16.28515625" style="157" customWidth="1"/>
    <col min="14346" max="14346" width="8.5703125" style="157" customWidth="1"/>
    <col min="14347" max="14347" width="18.5703125" style="157" customWidth="1"/>
    <col min="14348" max="14592" width="9.28515625" style="157"/>
    <col min="14593" max="14593" width="5.42578125" style="157" customWidth="1"/>
    <col min="14594" max="14594" width="42.85546875" style="157" customWidth="1"/>
    <col min="14595" max="14595" width="7.28515625" style="157" customWidth="1"/>
    <col min="14596" max="14596" width="20.28515625" style="157" customWidth="1"/>
    <col min="14597" max="14597" width="14.5703125" style="157" customWidth="1"/>
    <col min="14598" max="14598" width="11.7109375" style="157" customWidth="1"/>
    <col min="14599" max="14599" width="17.5703125" style="157" customWidth="1"/>
    <col min="14600" max="14600" width="8.28515625" style="157" customWidth="1"/>
    <col min="14601" max="14601" width="16.28515625" style="157" customWidth="1"/>
    <col min="14602" max="14602" width="8.5703125" style="157" customWidth="1"/>
    <col min="14603" max="14603" width="18.5703125" style="157" customWidth="1"/>
    <col min="14604" max="14848" width="9.28515625" style="157"/>
    <col min="14849" max="14849" width="5.42578125" style="157" customWidth="1"/>
    <col min="14850" max="14850" width="42.85546875" style="157" customWidth="1"/>
    <col min="14851" max="14851" width="7.28515625" style="157" customWidth="1"/>
    <col min="14852" max="14852" width="20.28515625" style="157" customWidth="1"/>
    <col min="14853" max="14853" width="14.5703125" style="157" customWidth="1"/>
    <col min="14854" max="14854" width="11.7109375" style="157" customWidth="1"/>
    <col min="14855" max="14855" width="17.5703125" style="157" customWidth="1"/>
    <col min="14856" max="14856" width="8.28515625" style="157" customWidth="1"/>
    <col min="14857" max="14857" width="16.28515625" style="157" customWidth="1"/>
    <col min="14858" max="14858" width="8.5703125" style="157" customWidth="1"/>
    <col min="14859" max="14859" width="18.5703125" style="157" customWidth="1"/>
    <col min="14860" max="15104" width="9.28515625" style="157"/>
    <col min="15105" max="15105" width="5.42578125" style="157" customWidth="1"/>
    <col min="15106" max="15106" width="42.85546875" style="157" customWidth="1"/>
    <col min="15107" max="15107" width="7.28515625" style="157" customWidth="1"/>
    <col min="15108" max="15108" width="20.28515625" style="157" customWidth="1"/>
    <col min="15109" max="15109" width="14.5703125" style="157" customWidth="1"/>
    <col min="15110" max="15110" width="11.7109375" style="157" customWidth="1"/>
    <col min="15111" max="15111" width="17.5703125" style="157" customWidth="1"/>
    <col min="15112" max="15112" width="8.28515625" style="157" customWidth="1"/>
    <col min="15113" max="15113" width="16.28515625" style="157" customWidth="1"/>
    <col min="15114" max="15114" width="8.5703125" style="157" customWidth="1"/>
    <col min="15115" max="15115" width="18.5703125" style="157" customWidth="1"/>
    <col min="15116" max="15360" width="9.28515625" style="157"/>
    <col min="15361" max="15361" width="5.42578125" style="157" customWidth="1"/>
    <col min="15362" max="15362" width="42.85546875" style="157" customWidth="1"/>
    <col min="15363" max="15363" width="7.28515625" style="157" customWidth="1"/>
    <col min="15364" max="15364" width="20.28515625" style="157" customWidth="1"/>
    <col min="15365" max="15365" width="14.5703125" style="157" customWidth="1"/>
    <col min="15366" max="15366" width="11.7109375" style="157" customWidth="1"/>
    <col min="15367" max="15367" width="17.5703125" style="157" customWidth="1"/>
    <col min="15368" max="15368" width="8.28515625" style="157" customWidth="1"/>
    <col min="15369" max="15369" width="16.28515625" style="157" customWidth="1"/>
    <col min="15370" max="15370" width="8.5703125" style="157" customWidth="1"/>
    <col min="15371" max="15371" width="18.5703125" style="157" customWidth="1"/>
    <col min="15372" max="15616" width="9.28515625" style="157"/>
    <col min="15617" max="15617" width="5.42578125" style="157" customWidth="1"/>
    <col min="15618" max="15618" width="42.85546875" style="157" customWidth="1"/>
    <col min="15619" max="15619" width="7.28515625" style="157" customWidth="1"/>
    <col min="15620" max="15620" width="20.28515625" style="157" customWidth="1"/>
    <col min="15621" max="15621" width="14.5703125" style="157" customWidth="1"/>
    <col min="15622" max="15622" width="11.7109375" style="157" customWidth="1"/>
    <col min="15623" max="15623" width="17.5703125" style="157" customWidth="1"/>
    <col min="15624" max="15624" width="8.28515625" style="157" customWidth="1"/>
    <col min="15625" max="15625" width="16.28515625" style="157" customWidth="1"/>
    <col min="15626" max="15626" width="8.5703125" style="157" customWidth="1"/>
    <col min="15627" max="15627" width="18.5703125" style="157" customWidth="1"/>
    <col min="15628" max="15872" width="9.28515625" style="157"/>
    <col min="15873" max="15873" width="5.42578125" style="157" customWidth="1"/>
    <col min="15874" max="15874" width="42.85546875" style="157" customWidth="1"/>
    <col min="15875" max="15875" width="7.28515625" style="157" customWidth="1"/>
    <col min="15876" max="15876" width="20.28515625" style="157" customWidth="1"/>
    <col min="15877" max="15877" width="14.5703125" style="157" customWidth="1"/>
    <col min="15878" max="15878" width="11.7109375" style="157" customWidth="1"/>
    <col min="15879" max="15879" width="17.5703125" style="157" customWidth="1"/>
    <col min="15880" max="15880" width="8.28515625" style="157" customWidth="1"/>
    <col min="15881" max="15881" width="16.28515625" style="157" customWidth="1"/>
    <col min="15882" max="15882" width="8.5703125" style="157" customWidth="1"/>
    <col min="15883" max="15883" width="18.5703125" style="157" customWidth="1"/>
    <col min="15884" max="16128" width="9.28515625" style="157"/>
    <col min="16129" max="16129" width="5.42578125" style="157" customWidth="1"/>
    <col min="16130" max="16130" width="42.85546875" style="157" customWidth="1"/>
    <col min="16131" max="16131" width="7.28515625" style="157" customWidth="1"/>
    <col min="16132" max="16132" width="20.28515625" style="157" customWidth="1"/>
    <col min="16133" max="16133" width="14.5703125" style="157" customWidth="1"/>
    <col min="16134" max="16134" width="11.7109375" style="157" customWidth="1"/>
    <col min="16135" max="16135" width="17.5703125" style="157" customWidth="1"/>
    <col min="16136" max="16136" width="8.28515625" style="157" customWidth="1"/>
    <col min="16137" max="16137" width="16.28515625" style="157" customWidth="1"/>
    <col min="16138" max="16138" width="8.5703125" style="157" customWidth="1"/>
    <col min="16139" max="16139" width="18.5703125" style="157" customWidth="1"/>
    <col min="16140" max="16384" width="9.28515625" style="157"/>
  </cols>
  <sheetData>
    <row r="1" spans="1:11" ht="24" customHeight="1" x14ac:dyDescent="0.15">
      <c r="B1" s="158"/>
      <c r="C1" s="158"/>
      <c r="D1" s="158"/>
      <c r="E1" s="158"/>
      <c r="F1" s="158"/>
      <c r="G1" s="158"/>
      <c r="H1" s="288" t="s">
        <v>918</v>
      </c>
      <c r="I1" s="288"/>
      <c r="J1" s="288"/>
      <c r="K1" s="288"/>
    </row>
    <row r="2" spans="1:11" ht="26.25" customHeight="1" x14ac:dyDescent="0.15">
      <c r="A2" s="289" t="s">
        <v>1032</v>
      </c>
      <c r="B2" s="289"/>
      <c r="C2" s="289"/>
      <c r="D2" s="289"/>
      <c r="E2" s="289"/>
      <c r="F2" s="289"/>
      <c r="G2" s="289"/>
      <c r="H2" s="289"/>
      <c r="I2" s="289"/>
      <c r="J2" s="289"/>
      <c r="K2" s="289"/>
    </row>
    <row r="3" spans="1:11" ht="28.5" customHeight="1" x14ac:dyDescent="0.15">
      <c r="A3" s="290" t="s">
        <v>1033</v>
      </c>
      <c r="B3" s="290"/>
      <c r="C3" s="290"/>
      <c r="D3" s="290"/>
      <c r="E3" s="290"/>
      <c r="F3" s="290"/>
      <c r="G3" s="290"/>
      <c r="H3" s="290"/>
      <c r="I3" s="290"/>
      <c r="J3" s="290"/>
      <c r="K3" s="290"/>
    </row>
    <row r="4" spans="1:11" ht="18" customHeight="1" x14ac:dyDescent="0.15">
      <c r="A4" s="291" t="s">
        <v>1067</v>
      </c>
      <c r="B4" s="292"/>
      <c r="C4" s="292"/>
      <c r="D4" s="292"/>
      <c r="E4" s="292"/>
      <c r="F4" s="292"/>
      <c r="G4" s="292"/>
      <c r="H4" s="292"/>
      <c r="I4" s="292"/>
      <c r="J4" s="292"/>
      <c r="K4" s="292"/>
    </row>
    <row r="5" spans="1:11" x14ac:dyDescent="0.15">
      <c r="A5" s="159"/>
      <c r="B5" s="160"/>
      <c r="C5" s="160"/>
      <c r="D5" s="161"/>
      <c r="E5" s="161"/>
      <c r="F5" s="160"/>
      <c r="G5" s="160"/>
      <c r="H5" s="160"/>
      <c r="I5" s="160"/>
      <c r="J5" s="160"/>
      <c r="K5" s="160"/>
    </row>
    <row r="6" spans="1:11" x14ac:dyDescent="0.15">
      <c r="A6" s="162">
        <v>1</v>
      </c>
      <c r="B6" s="163" t="s">
        <v>10</v>
      </c>
      <c r="C6" s="163" t="s">
        <v>1034</v>
      </c>
      <c r="D6" s="161"/>
      <c r="E6" s="161"/>
      <c r="F6" s="160"/>
      <c r="G6" s="160"/>
      <c r="H6" s="160"/>
      <c r="I6" s="160"/>
      <c r="J6" s="160"/>
      <c r="K6" s="160"/>
    </row>
    <row r="7" spans="1:11" x14ac:dyDescent="0.15">
      <c r="A7" s="162"/>
      <c r="B7" s="164" t="s">
        <v>12</v>
      </c>
      <c r="C7" s="164" t="s">
        <v>13</v>
      </c>
      <c r="D7" s="165"/>
      <c r="E7" s="165"/>
      <c r="F7" s="166"/>
      <c r="G7" s="166"/>
      <c r="H7" s="166"/>
      <c r="I7" s="166"/>
      <c r="J7" s="166"/>
      <c r="K7" s="166"/>
    </row>
    <row r="8" spans="1:11" ht="12.75" customHeight="1" x14ac:dyDescent="0.15">
      <c r="A8" s="167">
        <v>2</v>
      </c>
      <c r="B8" s="168" t="s">
        <v>385</v>
      </c>
      <c r="C8" s="169" t="s">
        <v>987</v>
      </c>
      <c r="D8" s="169"/>
      <c r="E8" s="169"/>
      <c r="F8" s="169"/>
      <c r="G8" s="169"/>
      <c r="H8" s="169"/>
      <c r="I8" s="170"/>
      <c r="J8" s="170"/>
      <c r="K8" s="170"/>
    </row>
    <row r="9" spans="1:11" ht="12.75" customHeight="1" x14ac:dyDescent="0.15">
      <c r="A9" s="167"/>
      <c r="B9" s="171" t="s">
        <v>988</v>
      </c>
      <c r="C9" s="172" t="s">
        <v>519</v>
      </c>
      <c r="D9" s="173"/>
      <c r="E9" s="173"/>
      <c r="F9" s="173"/>
      <c r="G9" s="173"/>
      <c r="H9" s="173"/>
      <c r="I9" s="174"/>
      <c r="J9" s="174"/>
      <c r="K9" s="174"/>
    </row>
    <row r="10" spans="1:11" ht="12.75" customHeight="1" x14ac:dyDescent="0.15">
      <c r="A10" s="167">
        <v>3</v>
      </c>
      <c r="B10" s="168" t="s">
        <v>5</v>
      </c>
      <c r="C10" s="169" t="s">
        <v>989</v>
      </c>
      <c r="D10" s="169"/>
      <c r="E10" s="169"/>
      <c r="F10" s="169"/>
      <c r="G10" s="169"/>
      <c r="H10" s="169"/>
      <c r="I10" s="170"/>
      <c r="J10" s="170"/>
      <c r="K10" s="170"/>
    </row>
    <row r="11" spans="1:11" ht="12.75" customHeight="1" x14ac:dyDescent="0.15">
      <c r="A11" s="167"/>
      <c r="B11" s="171" t="s">
        <v>990</v>
      </c>
      <c r="C11" s="173" t="s">
        <v>991</v>
      </c>
      <c r="D11" s="173"/>
      <c r="E11" s="173"/>
      <c r="F11" s="173"/>
      <c r="G11" s="173"/>
      <c r="H11" s="173"/>
      <c r="I11" s="170"/>
      <c r="J11" s="170"/>
      <c r="K11" s="170"/>
    </row>
    <row r="12" spans="1:11" ht="13.5" customHeight="1" x14ac:dyDescent="0.15">
      <c r="A12" s="167">
        <v>4</v>
      </c>
      <c r="B12" s="168" t="s">
        <v>20</v>
      </c>
      <c r="C12" s="293">
        <v>44504</v>
      </c>
      <c r="D12" s="293"/>
      <c r="E12" s="169"/>
      <c r="F12" s="169"/>
      <c r="G12" s="169"/>
      <c r="H12" s="169"/>
      <c r="I12" s="175"/>
      <c r="J12" s="175"/>
      <c r="K12" s="175"/>
    </row>
    <row r="13" spans="1:11" ht="13.5" customHeight="1" x14ac:dyDescent="0.15">
      <c r="A13" s="173"/>
      <c r="B13" s="171" t="s">
        <v>21</v>
      </c>
      <c r="C13" s="286">
        <f>+C12</f>
        <v>44504</v>
      </c>
      <c r="D13" s="286"/>
      <c r="E13" s="286"/>
      <c r="F13" s="286"/>
      <c r="G13" s="287"/>
      <c r="H13" s="287"/>
      <c r="I13" s="176"/>
      <c r="J13" s="176"/>
      <c r="K13" s="176"/>
    </row>
    <row r="14" spans="1:11" x14ac:dyDescent="0.15">
      <c r="A14" s="177" t="s">
        <v>999</v>
      </c>
      <c r="B14" s="177" t="s">
        <v>1035</v>
      </c>
      <c r="C14" s="178"/>
      <c r="D14" s="179"/>
      <c r="E14" s="179"/>
      <c r="F14" s="179"/>
      <c r="G14" s="180"/>
      <c r="H14" s="180"/>
      <c r="I14" s="176"/>
      <c r="J14" s="176"/>
      <c r="K14" s="176"/>
    </row>
    <row r="15" spans="1:11" x14ac:dyDescent="0.15">
      <c r="A15" s="163" t="s">
        <v>343</v>
      </c>
      <c r="B15" s="163" t="s">
        <v>1036</v>
      </c>
      <c r="C15" s="181"/>
      <c r="D15" s="182"/>
      <c r="E15" s="182"/>
      <c r="F15" s="183"/>
      <c r="G15" s="183"/>
      <c r="H15" s="183"/>
      <c r="I15" s="183"/>
      <c r="J15" s="183"/>
      <c r="K15" s="183"/>
    </row>
    <row r="16" spans="1:11" ht="24.75" customHeight="1" x14ac:dyDescent="0.15">
      <c r="A16" s="309" t="s">
        <v>388</v>
      </c>
      <c r="B16" s="294" t="s">
        <v>1037</v>
      </c>
      <c r="C16" s="310" t="s">
        <v>27</v>
      </c>
      <c r="D16" s="294" t="s">
        <v>1038</v>
      </c>
      <c r="E16" s="294" t="s">
        <v>1039</v>
      </c>
      <c r="F16" s="294" t="s">
        <v>1040</v>
      </c>
      <c r="G16" s="294" t="s">
        <v>1041</v>
      </c>
      <c r="H16" s="296" t="s">
        <v>1042</v>
      </c>
      <c r="I16" s="297"/>
      <c r="J16" s="296" t="s">
        <v>1043</v>
      </c>
      <c r="K16" s="297"/>
    </row>
    <row r="17" spans="1:11" ht="58.5" customHeight="1" x14ac:dyDescent="0.15">
      <c r="A17" s="309"/>
      <c r="B17" s="295"/>
      <c r="C17" s="311"/>
      <c r="D17" s="295"/>
      <c r="E17" s="295"/>
      <c r="F17" s="295"/>
      <c r="G17" s="295"/>
      <c r="H17" s="184" t="s">
        <v>1044</v>
      </c>
      <c r="I17" s="184" t="s">
        <v>1045</v>
      </c>
      <c r="J17" s="184" t="s">
        <v>1046</v>
      </c>
      <c r="K17" s="184" t="s">
        <v>1047</v>
      </c>
    </row>
    <row r="18" spans="1:11" ht="21" x14ac:dyDescent="0.15">
      <c r="A18" s="185">
        <v>1</v>
      </c>
      <c r="B18" s="186" t="s">
        <v>1048</v>
      </c>
      <c r="C18" s="187" t="s">
        <v>979</v>
      </c>
      <c r="D18" s="298"/>
      <c r="E18" s="299"/>
      <c r="F18" s="299"/>
      <c r="G18" s="299"/>
      <c r="H18" s="299"/>
      <c r="I18" s="299"/>
      <c r="J18" s="299"/>
      <c r="K18" s="300"/>
    </row>
    <row r="19" spans="1:11" ht="21" x14ac:dyDescent="0.15">
      <c r="A19" s="185" t="s">
        <v>31</v>
      </c>
      <c r="B19" s="186" t="s">
        <v>1049</v>
      </c>
      <c r="C19" s="187" t="s">
        <v>1050</v>
      </c>
      <c r="D19" s="301"/>
      <c r="E19" s="302"/>
      <c r="F19" s="302"/>
      <c r="G19" s="302"/>
      <c r="H19" s="302"/>
      <c r="I19" s="302"/>
      <c r="J19" s="302"/>
      <c r="K19" s="303"/>
    </row>
    <row r="20" spans="1:11" ht="21" x14ac:dyDescent="0.15">
      <c r="A20" s="185">
        <v>2</v>
      </c>
      <c r="B20" s="186" t="s">
        <v>1051</v>
      </c>
      <c r="C20" s="187" t="s">
        <v>1052</v>
      </c>
      <c r="D20" s="301"/>
      <c r="E20" s="302"/>
      <c r="F20" s="302"/>
      <c r="G20" s="302"/>
      <c r="H20" s="302"/>
      <c r="I20" s="302"/>
      <c r="J20" s="302"/>
      <c r="K20" s="303"/>
    </row>
    <row r="21" spans="1:11" ht="21" x14ac:dyDescent="0.15">
      <c r="A21" s="185" t="s">
        <v>121</v>
      </c>
      <c r="B21" s="186" t="s">
        <v>1053</v>
      </c>
      <c r="C21" s="187" t="s">
        <v>1054</v>
      </c>
      <c r="D21" s="301"/>
      <c r="E21" s="302"/>
      <c r="F21" s="302"/>
      <c r="G21" s="302"/>
      <c r="H21" s="302"/>
      <c r="I21" s="302"/>
      <c r="J21" s="302"/>
      <c r="K21" s="303"/>
    </row>
    <row r="22" spans="1:11" ht="21" x14ac:dyDescent="0.15">
      <c r="A22" s="185" t="s">
        <v>999</v>
      </c>
      <c r="B22" s="188" t="s">
        <v>1055</v>
      </c>
      <c r="C22" s="187" t="s">
        <v>1056</v>
      </c>
      <c r="D22" s="301"/>
      <c r="E22" s="302"/>
      <c r="F22" s="302"/>
      <c r="G22" s="302"/>
      <c r="H22" s="302"/>
      <c r="I22" s="302"/>
      <c r="J22" s="302"/>
      <c r="K22" s="303"/>
    </row>
    <row r="23" spans="1:11" ht="21" x14ac:dyDescent="0.15">
      <c r="A23" s="189" t="s">
        <v>14</v>
      </c>
      <c r="B23" s="188" t="s">
        <v>1057</v>
      </c>
      <c r="C23" s="187" t="s">
        <v>1058</v>
      </c>
      <c r="D23" s="301"/>
      <c r="E23" s="302"/>
      <c r="F23" s="302"/>
      <c r="G23" s="302"/>
      <c r="H23" s="302"/>
      <c r="I23" s="302"/>
      <c r="J23" s="302"/>
      <c r="K23" s="303"/>
    </row>
    <row r="24" spans="1:11" ht="21" x14ac:dyDescent="0.15">
      <c r="A24" s="189" t="s">
        <v>340</v>
      </c>
      <c r="B24" s="186" t="s">
        <v>1059</v>
      </c>
      <c r="C24" s="187" t="s">
        <v>1060</v>
      </c>
      <c r="D24" s="301"/>
      <c r="E24" s="302"/>
      <c r="F24" s="302"/>
      <c r="G24" s="302"/>
      <c r="H24" s="302"/>
      <c r="I24" s="302"/>
      <c r="J24" s="302"/>
      <c r="K24" s="303"/>
    </row>
    <row r="25" spans="1:11" ht="21" x14ac:dyDescent="0.15">
      <c r="A25" s="189" t="s">
        <v>19</v>
      </c>
      <c r="B25" s="186" t="s">
        <v>1061</v>
      </c>
      <c r="C25" s="187" t="s">
        <v>1062</v>
      </c>
      <c r="D25" s="301"/>
      <c r="E25" s="302"/>
      <c r="F25" s="302"/>
      <c r="G25" s="302"/>
      <c r="H25" s="302"/>
      <c r="I25" s="302"/>
      <c r="J25" s="302"/>
      <c r="K25" s="303"/>
    </row>
    <row r="26" spans="1:11" ht="21" x14ac:dyDescent="0.15">
      <c r="A26" s="189" t="s">
        <v>343</v>
      </c>
      <c r="B26" s="186" t="s">
        <v>1059</v>
      </c>
      <c r="C26" s="187" t="s">
        <v>1063</v>
      </c>
      <c r="D26" s="301"/>
      <c r="E26" s="302"/>
      <c r="F26" s="302"/>
      <c r="G26" s="302"/>
      <c r="H26" s="302"/>
      <c r="I26" s="302"/>
      <c r="J26" s="302"/>
      <c r="K26" s="303"/>
    </row>
    <row r="27" spans="1:11" ht="25.5" customHeight="1" x14ac:dyDescent="0.15">
      <c r="A27" s="185" t="s">
        <v>1024</v>
      </c>
      <c r="B27" s="188" t="s">
        <v>1064</v>
      </c>
      <c r="C27" s="187" t="s">
        <v>1065</v>
      </c>
      <c r="D27" s="304"/>
      <c r="E27" s="305"/>
      <c r="F27" s="305"/>
      <c r="G27" s="305"/>
      <c r="H27" s="305"/>
      <c r="I27" s="305"/>
      <c r="J27" s="305"/>
      <c r="K27" s="306"/>
    </row>
    <row r="28" spans="1:11" ht="9" customHeight="1" x14ac:dyDescent="0.15">
      <c r="A28" s="183"/>
      <c r="B28" s="190"/>
      <c r="C28" s="190"/>
      <c r="D28" s="183"/>
      <c r="E28" s="183"/>
      <c r="F28" s="183"/>
      <c r="G28" s="183"/>
      <c r="H28" s="183"/>
      <c r="I28" s="183"/>
      <c r="J28" s="183"/>
      <c r="K28" s="183"/>
    </row>
    <row r="29" spans="1:11" x14ac:dyDescent="0.15">
      <c r="A29" s="307" t="s">
        <v>221</v>
      </c>
      <c r="B29" s="307"/>
      <c r="C29" s="307"/>
      <c r="E29" s="191"/>
      <c r="F29" s="192"/>
      <c r="G29" s="192"/>
      <c r="H29" s="308" t="s">
        <v>222</v>
      </c>
      <c r="I29" s="308"/>
      <c r="J29" s="308"/>
      <c r="K29" s="308"/>
    </row>
    <row r="30" spans="1:11" x14ac:dyDescent="0.15">
      <c r="A30" s="312" t="s">
        <v>223</v>
      </c>
      <c r="B30" s="312"/>
      <c r="C30" s="312"/>
      <c r="E30" s="193"/>
      <c r="F30" s="194"/>
      <c r="G30" s="194"/>
      <c r="H30" s="314" t="s">
        <v>224</v>
      </c>
      <c r="I30" s="314"/>
      <c r="J30" s="314"/>
      <c r="K30" s="314"/>
    </row>
    <row r="31" spans="1:11" ht="36.75" customHeight="1" x14ac:dyDescent="0.15">
      <c r="A31" s="194"/>
      <c r="B31" s="195"/>
      <c r="C31" s="196"/>
      <c r="E31" s="193"/>
      <c r="F31" s="194"/>
      <c r="G31" s="194"/>
      <c r="H31" s="197"/>
      <c r="J31" s="198"/>
      <c r="K31" s="199"/>
    </row>
    <row r="32" spans="1:11" ht="36.75" customHeight="1" x14ac:dyDescent="0.15">
      <c r="A32" s="195"/>
      <c r="B32" s="195"/>
      <c r="C32" s="200"/>
      <c r="D32" s="201"/>
      <c r="E32" s="202"/>
      <c r="F32" s="203"/>
      <c r="G32" s="198"/>
      <c r="H32" s="198"/>
      <c r="J32" s="198"/>
      <c r="K32" s="198"/>
    </row>
    <row r="33" spans="1:11" x14ac:dyDescent="0.15">
      <c r="A33" s="204"/>
      <c r="B33" s="204"/>
      <c r="C33" s="205"/>
      <c r="D33" s="206"/>
      <c r="E33" s="207"/>
      <c r="F33" s="203"/>
      <c r="G33" s="208"/>
      <c r="H33" s="204"/>
      <c r="I33" s="204"/>
      <c r="J33" s="205"/>
      <c r="K33" s="198"/>
    </row>
    <row r="34" spans="1:11" s="209" customFormat="1" ht="12.75" customHeight="1" x14ac:dyDescent="0.25">
      <c r="A34" s="312" t="s">
        <v>1066</v>
      </c>
      <c r="B34" s="312"/>
      <c r="C34" s="312"/>
      <c r="E34" s="194"/>
      <c r="F34" s="194"/>
      <c r="G34" s="210"/>
      <c r="H34" s="315" t="s">
        <v>986</v>
      </c>
      <c r="I34" s="315"/>
      <c r="J34" s="315"/>
      <c r="K34" s="315"/>
    </row>
    <row r="35" spans="1:11" s="209" customFormat="1" ht="12.75" customHeight="1" x14ac:dyDescent="0.25">
      <c r="A35" s="312" t="s">
        <v>227</v>
      </c>
      <c r="B35" s="312"/>
      <c r="C35" s="312"/>
      <c r="E35" s="211"/>
      <c r="F35" s="212"/>
      <c r="G35" s="210"/>
      <c r="H35" s="313" t="s">
        <v>228</v>
      </c>
      <c r="I35" s="313"/>
      <c r="J35" s="313"/>
      <c r="K35" s="313"/>
    </row>
    <row r="36" spans="1:11" s="209" customFormat="1" ht="12.75" customHeight="1" x14ac:dyDescent="0.25">
      <c r="A36" s="312" t="s">
        <v>229</v>
      </c>
      <c r="B36" s="312"/>
      <c r="C36" s="312"/>
      <c r="H36" s="313" t="s">
        <v>230</v>
      </c>
      <c r="I36" s="313"/>
      <c r="J36" s="313"/>
      <c r="K36" s="313"/>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D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65"/>
  <sheetViews>
    <sheetView showGridLines="0" showZeros="0" showOutlineSymbols="0" view="pageBreakPreview" topLeftCell="A58" zoomScaleNormal="100" zoomScaleSheetLayoutView="100" workbookViewId="0">
      <selection activeCell="A2" sqref="A2:G2"/>
    </sheetView>
  </sheetViews>
  <sheetFormatPr defaultRowHeight="15" x14ac:dyDescent="0.25"/>
  <cols>
    <col min="1" max="1" width="5" style="1" customWidth="1"/>
    <col min="2" max="3" width="19.140625" style="1" customWidth="1"/>
    <col min="4" max="4" width="9.140625" style="1"/>
    <col min="5" max="5" width="9.7109375" style="1" bestFit="1" customWidth="1"/>
    <col min="6" max="7" width="17.85546875" style="1" customWidth="1"/>
    <col min="8" max="16384" width="9.140625" style="1"/>
  </cols>
  <sheetData>
    <row r="1" spans="1:7" ht="24.75" customHeight="1" x14ac:dyDescent="0.25">
      <c r="A1" s="316"/>
      <c r="B1" s="316"/>
      <c r="C1" s="2"/>
      <c r="D1" s="2"/>
      <c r="E1" s="317" t="s">
        <v>918</v>
      </c>
      <c r="F1" s="317"/>
      <c r="G1" s="317"/>
    </row>
    <row r="2" spans="1:7" ht="38.25" customHeight="1" x14ac:dyDescent="0.25">
      <c r="A2" s="265" t="s">
        <v>1</v>
      </c>
      <c r="B2" s="265"/>
      <c r="C2" s="265"/>
      <c r="D2" s="265"/>
      <c r="E2" s="265"/>
      <c r="F2" s="265"/>
      <c r="G2" s="265"/>
    </row>
    <row r="3" spans="1:7" ht="11.25" customHeight="1" x14ac:dyDescent="0.25">
      <c r="A3" s="2"/>
      <c r="B3" s="2"/>
      <c r="C3" s="2"/>
      <c r="D3" s="2"/>
      <c r="E3" s="2"/>
      <c r="F3" s="2"/>
      <c r="G3" s="2"/>
    </row>
    <row r="4" spans="1:7" ht="24.75" customHeight="1" x14ac:dyDescent="0.25">
      <c r="A4" s="318" t="s">
        <v>231</v>
      </c>
      <c r="B4" s="318"/>
      <c r="C4" s="318"/>
      <c r="D4" s="318"/>
      <c r="E4" s="318"/>
      <c r="F4" s="318"/>
      <c r="G4" s="318"/>
    </row>
    <row r="5" spans="1:7" ht="22.5" customHeight="1" x14ac:dyDescent="0.25">
      <c r="A5" s="267" t="s">
        <v>3</v>
      </c>
      <c r="B5" s="267"/>
      <c r="C5" s="267"/>
      <c r="D5" s="267"/>
      <c r="E5" s="267"/>
      <c r="F5" s="267"/>
      <c r="G5" s="267"/>
    </row>
    <row r="6" spans="1:7" ht="15.75" customHeight="1" x14ac:dyDescent="0.25">
      <c r="A6" s="35" t="s">
        <v>4</v>
      </c>
      <c r="B6" s="262" t="s">
        <v>232</v>
      </c>
      <c r="C6" s="262"/>
      <c r="D6" s="262" t="s">
        <v>6</v>
      </c>
      <c r="E6" s="262"/>
      <c r="F6" s="262"/>
      <c r="G6" s="262"/>
    </row>
    <row r="7" spans="1:7" ht="15.75" customHeight="1" x14ac:dyDescent="0.25">
      <c r="A7" s="2"/>
      <c r="B7" s="268" t="s">
        <v>7</v>
      </c>
      <c r="C7" s="268"/>
      <c r="D7" s="268" t="s">
        <v>8</v>
      </c>
      <c r="E7" s="268"/>
      <c r="F7" s="268"/>
      <c r="G7" s="268"/>
    </row>
    <row r="8" spans="1:7" ht="15.75" customHeight="1" x14ac:dyDescent="0.25">
      <c r="A8" s="3" t="s">
        <v>9</v>
      </c>
      <c r="B8" s="262" t="s">
        <v>10</v>
      </c>
      <c r="C8" s="262"/>
      <c r="D8" s="262" t="s">
        <v>11</v>
      </c>
      <c r="E8" s="262"/>
      <c r="F8" s="262"/>
      <c r="G8" s="262"/>
    </row>
    <row r="9" spans="1:7" ht="15.75" customHeight="1" x14ac:dyDescent="0.25">
      <c r="A9" s="2"/>
      <c r="B9" s="268" t="s">
        <v>12</v>
      </c>
      <c r="C9" s="268"/>
      <c r="D9" s="268" t="s">
        <v>13</v>
      </c>
      <c r="E9" s="268"/>
      <c r="F9" s="268"/>
      <c r="G9" s="268"/>
    </row>
    <row r="10" spans="1:7" ht="15.75" customHeight="1" x14ac:dyDescent="0.25">
      <c r="A10" s="3" t="s">
        <v>14</v>
      </c>
      <c r="B10" s="262" t="s">
        <v>15</v>
      </c>
      <c r="C10" s="262"/>
      <c r="D10" s="262" t="s">
        <v>16</v>
      </c>
      <c r="E10" s="262"/>
      <c r="F10" s="262"/>
      <c r="G10" s="262"/>
    </row>
    <row r="11" spans="1:7" ht="15.75" customHeight="1" x14ac:dyDescent="0.25">
      <c r="A11" s="2"/>
      <c r="B11" s="268" t="s">
        <v>17</v>
      </c>
      <c r="C11" s="268"/>
      <c r="D11" s="268" t="s">
        <v>18</v>
      </c>
      <c r="E11" s="268"/>
      <c r="F11" s="268"/>
      <c r="G11" s="268"/>
    </row>
    <row r="12" spans="1:7" ht="15.75" customHeight="1" x14ac:dyDescent="0.25">
      <c r="A12" s="3" t="s">
        <v>19</v>
      </c>
      <c r="B12" s="262" t="s">
        <v>20</v>
      </c>
      <c r="C12" s="262"/>
      <c r="D12" s="269">
        <v>44504</v>
      </c>
      <c r="E12" s="262"/>
      <c r="F12" s="262"/>
      <c r="G12" s="262"/>
    </row>
    <row r="13" spans="1:7" ht="15.75" customHeight="1" x14ac:dyDescent="0.25">
      <c r="A13" s="2"/>
      <c r="B13" s="268" t="s">
        <v>21</v>
      </c>
      <c r="C13" s="268"/>
      <c r="D13" s="270">
        <v>44504</v>
      </c>
      <c r="E13" s="268"/>
      <c r="F13" s="268"/>
      <c r="G13" s="268"/>
    </row>
    <row r="14" spans="1:7" ht="14.25" customHeight="1" x14ac:dyDescent="0.25">
      <c r="A14" s="2"/>
      <c r="B14" s="2"/>
      <c r="C14" s="2"/>
      <c r="D14" s="5"/>
      <c r="E14" s="319"/>
      <c r="F14" s="319"/>
      <c r="G14" s="319"/>
    </row>
    <row r="15" spans="1:7" ht="15.75" customHeight="1" x14ac:dyDescent="0.25">
      <c r="A15" s="271" t="s">
        <v>22</v>
      </c>
      <c r="B15" s="271"/>
      <c r="C15" s="271"/>
      <c r="D15" s="271"/>
      <c r="E15" s="271"/>
      <c r="F15" s="271"/>
      <c r="G15" s="271"/>
    </row>
    <row r="16" spans="1:7" ht="15.75" customHeight="1" x14ac:dyDescent="0.25">
      <c r="A16" s="262" t="s">
        <v>919</v>
      </c>
      <c r="B16" s="262"/>
      <c r="C16" s="262"/>
      <c r="D16" s="262"/>
      <c r="E16" s="262"/>
      <c r="F16" s="262"/>
      <c r="G16" s="262"/>
    </row>
    <row r="17" spans="1:7" ht="15.75" customHeight="1" x14ac:dyDescent="0.25">
      <c r="A17" s="6"/>
      <c r="B17" s="98"/>
      <c r="C17" s="6"/>
      <c r="D17" s="272" t="s">
        <v>24</v>
      </c>
      <c r="E17" s="272"/>
      <c r="F17" s="272"/>
      <c r="G17" s="272"/>
    </row>
    <row r="18" spans="1:7" ht="33.75" customHeight="1" x14ac:dyDescent="0.25">
      <c r="A18" s="7" t="s">
        <v>920</v>
      </c>
      <c r="B18" s="321" t="s">
        <v>26</v>
      </c>
      <c r="C18" s="321"/>
      <c r="D18" s="321"/>
      <c r="E18" s="8" t="s">
        <v>27</v>
      </c>
      <c r="F18" s="8" t="s">
        <v>234</v>
      </c>
      <c r="G18" s="9" t="s">
        <v>235</v>
      </c>
    </row>
    <row r="19" spans="1:7" ht="23.1" customHeight="1" x14ac:dyDescent="0.25">
      <c r="A19" s="40" t="s">
        <v>31</v>
      </c>
      <c r="B19" s="320" t="s">
        <v>921</v>
      </c>
      <c r="C19" s="320"/>
      <c r="D19" s="320"/>
      <c r="E19" s="42" t="s">
        <v>922</v>
      </c>
      <c r="F19" s="99">
        <v>0</v>
      </c>
      <c r="G19" s="100">
        <v>0</v>
      </c>
    </row>
    <row r="20" spans="1:7" ht="33.950000000000003" customHeight="1" x14ac:dyDescent="0.25">
      <c r="A20" s="40" t="s">
        <v>4</v>
      </c>
      <c r="B20" s="320" t="s">
        <v>923</v>
      </c>
      <c r="C20" s="320"/>
      <c r="D20" s="320"/>
      <c r="E20" s="42" t="s">
        <v>924</v>
      </c>
      <c r="F20" s="101">
        <v>8.1539999999999998E-3</v>
      </c>
      <c r="G20" s="44">
        <v>7.8960000000000002E-3</v>
      </c>
    </row>
    <row r="21" spans="1:7" ht="33.950000000000003" customHeight="1" x14ac:dyDescent="0.25">
      <c r="A21" s="40" t="s">
        <v>9</v>
      </c>
      <c r="B21" s="320" t="s">
        <v>925</v>
      </c>
      <c r="C21" s="320"/>
      <c r="D21" s="320"/>
      <c r="E21" s="42" t="s">
        <v>926</v>
      </c>
      <c r="F21" s="101">
        <v>7.1500000000000003E-4</v>
      </c>
      <c r="G21" s="44">
        <v>6.96E-4</v>
      </c>
    </row>
    <row r="22" spans="1:7" ht="45" customHeight="1" x14ac:dyDescent="0.25">
      <c r="A22" s="40" t="s">
        <v>14</v>
      </c>
      <c r="B22" s="320" t="s">
        <v>927</v>
      </c>
      <c r="C22" s="320"/>
      <c r="D22" s="320"/>
      <c r="E22" s="42" t="s">
        <v>928</v>
      </c>
      <c r="F22" s="101">
        <v>1.8010000000000001E-3</v>
      </c>
      <c r="G22" s="44">
        <v>1.872E-3</v>
      </c>
    </row>
    <row r="23" spans="1:7" ht="33.950000000000003" customHeight="1" x14ac:dyDescent="0.25">
      <c r="A23" s="40" t="s">
        <v>19</v>
      </c>
      <c r="B23" s="320" t="s">
        <v>929</v>
      </c>
      <c r="C23" s="320"/>
      <c r="D23" s="320"/>
      <c r="E23" s="42" t="s">
        <v>930</v>
      </c>
      <c r="F23" s="101">
        <v>1.7E-5</v>
      </c>
      <c r="G23" s="44">
        <v>1.2E-5</v>
      </c>
    </row>
    <row r="24" spans="1:7" ht="45" customHeight="1" x14ac:dyDescent="0.25">
      <c r="A24" s="40" t="s">
        <v>287</v>
      </c>
      <c r="B24" s="320" t="s">
        <v>931</v>
      </c>
      <c r="C24" s="320"/>
      <c r="D24" s="320"/>
      <c r="E24" s="42"/>
      <c r="F24" s="102"/>
      <c r="G24" s="103">
        <v>0</v>
      </c>
    </row>
    <row r="25" spans="1:7" ht="45" customHeight="1" x14ac:dyDescent="0.25">
      <c r="A25" s="40" t="s">
        <v>289</v>
      </c>
      <c r="B25" s="320" t="s">
        <v>932</v>
      </c>
      <c r="C25" s="320"/>
      <c r="D25" s="320"/>
      <c r="E25" s="42"/>
      <c r="F25" s="102"/>
      <c r="G25" s="103">
        <v>0</v>
      </c>
    </row>
    <row r="26" spans="1:7" ht="66" customHeight="1" x14ac:dyDescent="0.25">
      <c r="A26" s="40" t="s">
        <v>292</v>
      </c>
      <c r="B26" s="320" t="s">
        <v>933</v>
      </c>
      <c r="C26" s="320"/>
      <c r="D26" s="320"/>
      <c r="E26" s="42" t="s">
        <v>934</v>
      </c>
      <c r="F26" s="101">
        <v>9.0000000000000002E-6</v>
      </c>
      <c r="G26" s="44">
        <v>1.2E-5</v>
      </c>
    </row>
    <row r="27" spans="1:7" ht="23.1" customHeight="1" x14ac:dyDescent="0.25">
      <c r="A27" s="40" t="s">
        <v>301</v>
      </c>
      <c r="B27" s="320" t="s">
        <v>935</v>
      </c>
      <c r="C27" s="320"/>
      <c r="D27" s="320"/>
      <c r="E27" s="42" t="s">
        <v>936</v>
      </c>
      <c r="F27" s="101">
        <v>1.2147E-2</v>
      </c>
      <c r="G27" s="44">
        <v>1.0512000000000001E-2</v>
      </c>
    </row>
    <row r="28" spans="1:7" ht="54.75" customHeight="1" x14ac:dyDescent="0.25">
      <c r="A28" s="40" t="s">
        <v>314</v>
      </c>
      <c r="B28" s="320" t="s">
        <v>937</v>
      </c>
      <c r="C28" s="320"/>
      <c r="D28" s="320"/>
      <c r="E28" s="42" t="s">
        <v>938</v>
      </c>
      <c r="F28" s="101">
        <v>0.60263299999999997</v>
      </c>
      <c r="G28" s="44">
        <v>9.3480000000000004E-3</v>
      </c>
    </row>
    <row r="29" spans="1:7" ht="44.25" customHeight="1" x14ac:dyDescent="0.25">
      <c r="A29" s="40" t="s">
        <v>321</v>
      </c>
      <c r="B29" s="320" t="s">
        <v>939</v>
      </c>
      <c r="C29" s="320"/>
      <c r="D29" s="320"/>
      <c r="E29" s="42"/>
      <c r="F29" s="102">
        <v>0</v>
      </c>
      <c r="G29" s="103">
        <v>0</v>
      </c>
    </row>
    <row r="30" spans="1:7" ht="23.1" customHeight="1" x14ac:dyDescent="0.25">
      <c r="A30" s="40" t="s">
        <v>121</v>
      </c>
      <c r="B30" s="320" t="s">
        <v>940</v>
      </c>
      <c r="C30" s="320"/>
      <c r="D30" s="320"/>
      <c r="E30" s="42" t="s">
        <v>941</v>
      </c>
      <c r="F30" s="99">
        <v>0</v>
      </c>
      <c r="G30" s="100">
        <v>0</v>
      </c>
    </row>
    <row r="31" spans="1:7" ht="23.1" customHeight="1" x14ac:dyDescent="0.25">
      <c r="A31" s="40" t="s">
        <v>4</v>
      </c>
      <c r="B31" s="320" t="s">
        <v>942</v>
      </c>
      <c r="C31" s="320"/>
      <c r="D31" s="320"/>
      <c r="E31" s="42" t="s">
        <v>943</v>
      </c>
      <c r="F31" s="104">
        <v>4715000000000</v>
      </c>
      <c r="G31" s="105">
        <v>5100000000000</v>
      </c>
    </row>
    <row r="32" spans="1:7" ht="33.950000000000003" customHeight="1" x14ac:dyDescent="0.25">
      <c r="A32" s="40"/>
      <c r="B32" s="320" t="s">
        <v>944</v>
      </c>
      <c r="C32" s="320"/>
      <c r="D32" s="320"/>
      <c r="E32" s="42" t="s">
        <v>945</v>
      </c>
      <c r="F32" s="104">
        <v>4715000000000</v>
      </c>
      <c r="G32" s="105">
        <v>5100000000000</v>
      </c>
    </row>
    <row r="33" spans="1:7" ht="33.950000000000003" customHeight="1" x14ac:dyDescent="0.25">
      <c r="A33" s="40"/>
      <c r="B33" s="320" t="s">
        <v>946</v>
      </c>
      <c r="C33" s="320"/>
      <c r="D33" s="320"/>
      <c r="E33" s="42" t="s">
        <v>947</v>
      </c>
      <c r="F33" s="104">
        <v>471500000</v>
      </c>
      <c r="G33" s="105">
        <v>510000000</v>
      </c>
    </row>
    <row r="34" spans="1:7" ht="23.1" customHeight="1" x14ac:dyDescent="0.25">
      <c r="A34" s="40" t="s">
        <v>9</v>
      </c>
      <c r="B34" s="320" t="s">
        <v>948</v>
      </c>
      <c r="C34" s="320"/>
      <c r="D34" s="320"/>
      <c r="E34" s="42" t="s">
        <v>949</v>
      </c>
      <c r="F34" s="104">
        <v>7000000000</v>
      </c>
      <c r="G34" s="105">
        <v>-385000000000</v>
      </c>
    </row>
    <row r="35" spans="1:7" ht="23.1" customHeight="1" x14ac:dyDescent="0.25">
      <c r="A35" s="40"/>
      <c r="B35" s="320" t="s">
        <v>950</v>
      </c>
      <c r="C35" s="320"/>
      <c r="D35" s="320"/>
      <c r="E35" s="42" t="s">
        <v>951</v>
      </c>
      <c r="F35" s="104">
        <v>700000</v>
      </c>
      <c r="G35" s="105">
        <v>-38500000</v>
      </c>
    </row>
    <row r="36" spans="1:7" ht="23.1" customHeight="1" x14ac:dyDescent="0.25">
      <c r="A36" s="40"/>
      <c r="B36" s="320" t="s">
        <v>952</v>
      </c>
      <c r="C36" s="320"/>
      <c r="D36" s="320"/>
      <c r="E36" s="42" t="s">
        <v>953</v>
      </c>
      <c r="F36" s="104">
        <v>7000000000</v>
      </c>
      <c r="G36" s="105">
        <v>-385000000000</v>
      </c>
    </row>
    <row r="37" spans="1:7" ht="23.1" customHeight="1" x14ac:dyDescent="0.25">
      <c r="A37" s="40"/>
      <c r="B37" s="320" t="s">
        <v>954</v>
      </c>
      <c r="C37" s="320"/>
      <c r="D37" s="320"/>
      <c r="E37" s="42" t="s">
        <v>955</v>
      </c>
      <c r="F37" s="104">
        <v>4800000</v>
      </c>
      <c r="G37" s="105">
        <v>6200000</v>
      </c>
    </row>
    <row r="38" spans="1:7" ht="23.1" customHeight="1" x14ac:dyDescent="0.25">
      <c r="A38" s="40"/>
      <c r="B38" s="320" t="s">
        <v>956</v>
      </c>
      <c r="C38" s="320"/>
      <c r="D38" s="320"/>
      <c r="E38" s="42" t="s">
        <v>957</v>
      </c>
      <c r="F38" s="104">
        <v>48000000000</v>
      </c>
      <c r="G38" s="105">
        <v>62000000000</v>
      </c>
    </row>
    <row r="39" spans="1:7" ht="23.1" customHeight="1" x14ac:dyDescent="0.25">
      <c r="A39" s="40"/>
      <c r="B39" s="320" t="s">
        <v>958</v>
      </c>
      <c r="C39" s="320"/>
      <c r="D39" s="320"/>
      <c r="E39" s="42" t="s">
        <v>959</v>
      </c>
      <c r="F39" s="104">
        <v>-4100000</v>
      </c>
      <c r="G39" s="105">
        <v>-44700000</v>
      </c>
    </row>
    <row r="40" spans="1:7" ht="23.1" customHeight="1" x14ac:dyDescent="0.25">
      <c r="A40" s="40"/>
      <c r="B40" s="320" t="s">
        <v>960</v>
      </c>
      <c r="C40" s="320"/>
      <c r="D40" s="320"/>
      <c r="E40" s="42" t="s">
        <v>961</v>
      </c>
      <c r="F40" s="104">
        <v>-41000000000</v>
      </c>
      <c r="G40" s="105">
        <v>-447000000000</v>
      </c>
    </row>
    <row r="41" spans="1:7" ht="23.1" customHeight="1" x14ac:dyDescent="0.25">
      <c r="A41" s="40" t="s">
        <v>14</v>
      </c>
      <c r="B41" s="320" t="s">
        <v>962</v>
      </c>
      <c r="C41" s="320"/>
      <c r="D41" s="320"/>
      <c r="E41" s="42" t="s">
        <v>963</v>
      </c>
      <c r="F41" s="104">
        <v>4722000000000</v>
      </c>
      <c r="G41" s="105">
        <v>4715000000000</v>
      </c>
    </row>
    <row r="42" spans="1:7" ht="23.1" customHeight="1" x14ac:dyDescent="0.25">
      <c r="A42" s="40"/>
      <c r="B42" s="320" t="s">
        <v>964</v>
      </c>
      <c r="C42" s="320"/>
      <c r="D42" s="320"/>
      <c r="E42" s="42" t="s">
        <v>965</v>
      </c>
      <c r="F42" s="104">
        <v>4722000000000</v>
      </c>
      <c r="G42" s="105">
        <v>4715000000000</v>
      </c>
    </row>
    <row r="43" spans="1:7" ht="33.950000000000003" customHeight="1" x14ac:dyDescent="0.25">
      <c r="A43" s="40"/>
      <c r="B43" s="320" t="s">
        <v>966</v>
      </c>
      <c r="C43" s="320"/>
      <c r="D43" s="320"/>
      <c r="E43" s="42" t="s">
        <v>967</v>
      </c>
      <c r="F43" s="104">
        <v>472200000</v>
      </c>
      <c r="G43" s="105">
        <v>471500000</v>
      </c>
    </row>
    <row r="44" spans="1:7" ht="45" customHeight="1" x14ac:dyDescent="0.25">
      <c r="A44" s="40" t="s">
        <v>19</v>
      </c>
      <c r="B44" s="320" t="s">
        <v>968</v>
      </c>
      <c r="C44" s="320"/>
      <c r="D44" s="320"/>
      <c r="E44" s="42" t="s">
        <v>969</v>
      </c>
      <c r="F44" s="339">
        <v>2.1666200000000002E-3</v>
      </c>
      <c r="G44" s="44">
        <v>2.16942E-3</v>
      </c>
    </row>
    <row r="45" spans="1:7" ht="23.1" customHeight="1" x14ac:dyDescent="0.25">
      <c r="A45" s="40" t="s">
        <v>287</v>
      </c>
      <c r="B45" s="320" t="s">
        <v>970</v>
      </c>
      <c r="C45" s="320"/>
      <c r="D45" s="320"/>
      <c r="E45" s="42" t="s">
        <v>971</v>
      </c>
      <c r="F45" s="101">
        <v>0.63375846000000002</v>
      </c>
      <c r="G45" s="44">
        <v>0.63344568000000001</v>
      </c>
    </row>
    <row r="46" spans="1:7" ht="23.1" customHeight="1" x14ac:dyDescent="0.25">
      <c r="A46" s="40" t="s">
        <v>289</v>
      </c>
      <c r="B46" s="320" t="s">
        <v>972</v>
      </c>
      <c r="C46" s="320"/>
      <c r="D46" s="320"/>
      <c r="E46" s="42" t="s">
        <v>973</v>
      </c>
      <c r="F46" s="101">
        <v>0.98313458999999903</v>
      </c>
      <c r="G46" s="44">
        <v>0.98297188999999996</v>
      </c>
    </row>
    <row r="47" spans="1:7" ht="23.1" customHeight="1" x14ac:dyDescent="0.25">
      <c r="A47" s="40" t="s">
        <v>292</v>
      </c>
      <c r="B47" s="320" t="s">
        <v>974</v>
      </c>
      <c r="C47" s="320"/>
      <c r="D47" s="320"/>
      <c r="E47" s="42" t="s">
        <v>975</v>
      </c>
      <c r="F47" s="43">
        <v>27606.5</v>
      </c>
      <c r="G47" s="106">
        <v>26034.85</v>
      </c>
    </row>
    <row r="48" spans="1:7" ht="23.1" customHeight="1" x14ac:dyDescent="0.25">
      <c r="A48" s="40" t="s">
        <v>301</v>
      </c>
      <c r="B48" s="320" t="s">
        <v>976</v>
      </c>
      <c r="C48" s="320"/>
      <c r="D48" s="320"/>
      <c r="E48" s="42" t="s">
        <v>977</v>
      </c>
      <c r="F48" s="102">
        <v>27720</v>
      </c>
      <c r="G48" s="103">
        <v>26250</v>
      </c>
    </row>
    <row r="49" spans="1:7" ht="23.1" customHeight="1" x14ac:dyDescent="0.25">
      <c r="A49" s="45" t="s">
        <v>314</v>
      </c>
      <c r="B49" s="322" t="s">
        <v>978</v>
      </c>
      <c r="C49" s="322"/>
      <c r="D49" s="322"/>
      <c r="E49" s="47" t="s">
        <v>979</v>
      </c>
      <c r="F49" s="107">
        <v>2861</v>
      </c>
      <c r="G49" s="108">
        <v>2845</v>
      </c>
    </row>
    <row r="50" spans="1:7" ht="6.75" customHeight="1" x14ac:dyDescent="0.25">
      <c r="A50" s="2"/>
      <c r="B50" s="2"/>
      <c r="C50" s="2"/>
      <c r="D50" s="2"/>
      <c r="E50" s="2"/>
      <c r="F50" s="2"/>
      <c r="G50" s="2"/>
    </row>
    <row r="51" spans="1:7" ht="14.25" customHeight="1" x14ac:dyDescent="0.25">
      <c r="A51" s="277" t="s">
        <v>980</v>
      </c>
      <c r="B51" s="277"/>
      <c r="C51" s="277"/>
      <c r="D51" s="277"/>
      <c r="E51" s="277"/>
      <c r="F51" s="277"/>
      <c r="G51" s="277"/>
    </row>
    <row r="52" spans="1:7" ht="50.25" customHeight="1" x14ac:dyDescent="0.25">
      <c r="A52" s="273" t="s">
        <v>981</v>
      </c>
      <c r="B52" s="273"/>
      <c r="C52" s="273"/>
      <c r="D52" s="273"/>
      <c r="E52" s="273"/>
      <c r="F52" s="273"/>
      <c r="G52" s="273"/>
    </row>
    <row r="53" spans="1:7" ht="46.5" customHeight="1" x14ac:dyDescent="0.25">
      <c r="A53" s="273" t="s">
        <v>982</v>
      </c>
      <c r="B53" s="273"/>
      <c r="C53" s="273"/>
      <c r="D53" s="273"/>
      <c r="E53" s="273"/>
      <c r="F53" s="273"/>
      <c r="G53" s="273"/>
    </row>
    <row r="54" spans="1:7" ht="6.75" customHeight="1" x14ac:dyDescent="0.25">
      <c r="A54" s="2"/>
      <c r="B54" s="109"/>
      <c r="C54" s="2"/>
      <c r="D54" s="2"/>
      <c r="E54" s="2"/>
      <c r="F54" s="2"/>
      <c r="G54" s="2"/>
    </row>
    <row r="55" spans="1:7" ht="14.25" customHeight="1" x14ac:dyDescent="0.25">
      <c r="A55" s="280" t="s">
        <v>983</v>
      </c>
      <c r="B55" s="280"/>
      <c r="C55" s="280"/>
      <c r="D55" s="280"/>
      <c r="E55" s="274" t="s">
        <v>222</v>
      </c>
      <c r="F55" s="274"/>
      <c r="G55" s="274"/>
    </row>
    <row r="56" spans="1:7" ht="12" customHeight="1" x14ac:dyDescent="0.25">
      <c r="A56" s="275" t="s">
        <v>223</v>
      </c>
      <c r="B56" s="275"/>
      <c r="C56" s="275"/>
      <c r="D56" s="275"/>
      <c r="E56" s="267" t="s">
        <v>224</v>
      </c>
      <c r="F56" s="267"/>
      <c r="G56" s="267"/>
    </row>
    <row r="57" spans="1:7" ht="15" customHeight="1" x14ac:dyDescent="0.25">
      <c r="A57" s="2"/>
      <c r="B57" s="2"/>
      <c r="C57" s="2"/>
      <c r="D57" s="2"/>
      <c r="E57" s="2"/>
      <c r="F57" s="2"/>
      <c r="G57" s="2"/>
    </row>
    <row r="58" spans="1:7" ht="15" customHeight="1" x14ac:dyDescent="0.25">
      <c r="A58" s="2"/>
      <c r="B58" s="2"/>
      <c r="C58" s="2"/>
      <c r="D58" s="2"/>
      <c r="E58" s="2"/>
      <c r="F58" s="2"/>
      <c r="G58" s="2"/>
    </row>
    <row r="59" spans="1:7" ht="15.75" customHeight="1" x14ac:dyDescent="0.25">
      <c r="A59" s="2"/>
      <c r="B59" s="2"/>
      <c r="C59" s="2"/>
      <c r="D59" s="2"/>
      <c r="E59" s="2"/>
      <c r="F59" s="2"/>
      <c r="G59" s="2"/>
    </row>
    <row r="60" spans="1:7" ht="15" customHeight="1" x14ac:dyDescent="0.25">
      <c r="A60" s="2"/>
      <c r="B60" s="2"/>
      <c r="C60" s="2"/>
      <c r="D60" s="2"/>
      <c r="E60" s="2"/>
      <c r="F60" s="2"/>
      <c r="G60" s="2"/>
    </row>
    <row r="61" spans="1:7" ht="15.75" customHeight="1" x14ac:dyDescent="0.25">
      <c r="A61" s="2"/>
      <c r="B61" s="2"/>
      <c r="C61" s="2"/>
      <c r="D61" s="2"/>
      <c r="E61" s="2"/>
      <c r="F61" s="2"/>
      <c r="G61" s="2"/>
    </row>
    <row r="62" spans="1:7" ht="15.75" customHeight="1" x14ac:dyDescent="0.25">
      <c r="A62" s="2"/>
      <c r="B62" s="2"/>
      <c r="C62" s="2"/>
      <c r="D62" s="2"/>
      <c r="E62" s="2"/>
      <c r="F62" s="2"/>
      <c r="G62" s="2"/>
    </row>
    <row r="63" spans="1:7" ht="15.75" customHeight="1" x14ac:dyDescent="0.25">
      <c r="A63" s="274" t="s">
        <v>225</v>
      </c>
      <c r="B63" s="274"/>
      <c r="C63" s="274"/>
      <c r="D63" s="274"/>
      <c r="E63" s="274" t="s">
        <v>226</v>
      </c>
      <c r="F63" s="274"/>
      <c r="G63" s="274"/>
    </row>
    <row r="64" spans="1:7" ht="15.75" customHeight="1" x14ac:dyDescent="0.25">
      <c r="A64" s="274" t="s">
        <v>514</v>
      </c>
      <c r="B64" s="274"/>
      <c r="C64" s="274"/>
      <c r="D64" s="274"/>
      <c r="E64" s="274" t="s">
        <v>228</v>
      </c>
      <c r="F64" s="274"/>
      <c r="G64" s="274"/>
    </row>
    <row r="65" spans="1:7" ht="15.75" customHeight="1" x14ac:dyDescent="0.25">
      <c r="A65" s="274" t="s">
        <v>229</v>
      </c>
      <c r="B65" s="274"/>
      <c r="C65" s="274"/>
      <c r="D65" s="274"/>
      <c r="E65" s="274" t="s">
        <v>230</v>
      </c>
      <c r="F65" s="274"/>
      <c r="G65" s="274"/>
    </row>
  </sheetData>
  <mergeCells count="70">
    <mergeCell ref="A65:D65"/>
    <mergeCell ref="E65:G65"/>
    <mergeCell ref="A56:D56"/>
    <mergeCell ref="E56:G56"/>
    <mergeCell ref="A63:D63"/>
    <mergeCell ref="E63:G63"/>
    <mergeCell ref="A64:D64"/>
    <mergeCell ref="E64:G64"/>
    <mergeCell ref="A55:D55"/>
    <mergeCell ref="E55:G55"/>
    <mergeCell ref="B42:D42"/>
    <mergeCell ref="B43:D43"/>
    <mergeCell ref="B44:D44"/>
    <mergeCell ref="B45:D45"/>
    <mergeCell ref="B46:D46"/>
    <mergeCell ref="B47:D47"/>
    <mergeCell ref="B48:D48"/>
    <mergeCell ref="B49:D49"/>
    <mergeCell ref="A51:G51"/>
    <mergeCell ref="A52:G52"/>
    <mergeCell ref="A53:G53"/>
    <mergeCell ref="B41:D41"/>
    <mergeCell ref="B30:D30"/>
    <mergeCell ref="B31:D31"/>
    <mergeCell ref="B32:D32"/>
    <mergeCell ref="B33:D33"/>
    <mergeCell ref="B34:D34"/>
    <mergeCell ref="B35:D35"/>
    <mergeCell ref="B36:D36"/>
    <mergeCell ref="B37:D37"/>
    <mergeCell ref="B38:D38"/>
    <mergeCell ref="B39:D39"/>
    <mergeCell ref="B40:D40"/>
    <mergeCell ref="B29:D29"/>
    <mergeCell ref="B18:D18"/>
    <mergeCell ref="B19:D19"/>
    <mergeCell ref="B20:D20"/>
    <mergeCell ref="B21:D21"/>
    <mergeCell ref="B22:D22"/>
    <mergeCell ref="B23:D23"/>
    <mergeCell ref="B24:D24"/>
    <mergeCell ref="B25:D25"/>
    <mergeCell ref="B26:D26"/>
    <mergeCell ref="B27:D27"/>
    <mergeCell ref="B28:D28"/>
    <mergeCell ref="D17:G17"/>
    <mergeCell ref="B10:C10"/>
    <mergeCell ref="D10:G10"/>
    <mergeCell ref="B11:C11"/>
    <mergeCell ref="D11:G11"/>
    <mergeCell ref="B12:C12"/>
    <mergeCell ref="D12:G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 right="0" top="0.18" bottom="0.18" header="0.17" footer="0.17"/>
  <pageSetup paperSize="9"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topLeftCell="A67" zoomScaleNormal="100" zoomScaleSheetLayoutView="100" workbookViewId="0"/>
  </sheetViews>
  <sheetFormatPr defaultRowHeight="10.5" x14ac:dyDescent="0.15"/>
  <cols>
    <col min="1" max="1" width="24.5703125" style="67" customWidth="1"/>
    <col min="2" max="2" width="9.28515625" style="67" customWidth="1"/>
    <col min="3" max="3" width="7.5703125" style="67" customWidth="1"/>
    <col min="4" max="7" width="15.85546875" style="67" customWidth="1"/>
    <col min="8" max="16384" width="9.140625" style="67"/>
  </cols>
  <sheetData>
    <row r="1" spans="1:7" ht="31.5" customHeight="1" x14ac:dyDescent="0.15">
      <c r="A1" s="97"/>
      <c r="B1" s="263"/>
      <c r="C1" s="263"/>
      <c r="D1" s="264" t="s">
        <v>515</v>
      </c>
      <c r="E1" s="264"/>
      <c r="F1" s="264"/>
      <c r="G1" s="264"/>
    </row>
    <row r="2" spans="1:7" ht="22.5" customHeight="1" x14ac:dyDescent="0.15">
      <c r="A2" s="323" t="s">
        <v>516</v>
      </c>
      <c r="B2" s="323"/>
      <c r="C2" s="323"/>
      <c r="D2" s="323"/>
      <c r="E2" s="323"/>
      <c r="F2" s="323"/>
      <c r="G2" s="323"/>
    </row>
    <row r="3" spans="1:7" ht="4.5" customHeight="1" x14ac:dyDescent="0.15">
      <c r="A3" s="5"/>
      <c r="B3" s="268"/>
      <c r="C3" s="268"/>
      <c r="D3" s="268"/>
      <c r="E3" s="268"/>
      <c r="F3" s="268"/>
      <c r="G3" s="268"/>
    </row>
    <row r="4" spans="1:7" ht="13.5" customHeight="1" x14ac:dyDescent="0.15">
      <c r="A4" s="324" t="s">
        <v>517</v>
      </c>
      <c r="B4" s="324"/>
      <c r="C4" s="324"/>
      <c r="D4" s="324"/>
      <c r="E4" s="324"/>
      <c r="F4" s="324"/>
      <c r="G4" s="324"/>
    </row>
    <row r="5" spans="1:7" ht="13.5" customHeight="1" x14ac:dyDescent="0.15">
      <c r="A5" s="325" t="s">
        <v>518</v>
      </c>
      <c r="B5" s="325"/>
      <c r="C5" s="325"/>
      <c r="D5" s="325"/>
      <c r="E5" s="325"/>
      <c r="F5" s="325"/>
      <c r="G5" s="325"/>
    </row>
    <row r="6" spans="1:7" ht="12" customHeight="1" x14ac:dyDescent="0.15">
      <c r="A6" s="275" t="s">
        <v>3</v>
      </c>
      <c r="B6" s="275"/>
      <c r="C6" s="275"/>
      <c r="D6" s="275"/>
      <c r="E6" s="275"/>
      <c r="F6" s="275"/>
      <c r="G6" s="275"/>
    </row>
    <row r="7" spans="1:7" ht="9.75" customHeight="1" x14ac:dyDescent="0.15">
      <c r="A7" s="5"/>
      <c r="B7" s="268"/>
      <c r="C7" s="268"/>
      <c r="D7" s="268"/>
      <c r="E7" s="268"/>
      <c r="F7" s="268"/>
      <c r="G7" s="268"/>
    </row>
    <row r="8" spans="1:7" ht="15.75" customHeight="1" x14ac:dyDescent="0.15">
      <c r="A8" s="36" t="s">
        <v>10</v>
      </c>
      <c r="B8" s="262" t="s">
        <v>11</v>
      </c>
      <c r="C8" s="262"/>
      <c r="D8" s="262"/>
      <c r="E8" s="262"/>
      <c r="F8" s="262"/>
      <c r="G8" s="262"/>
    </row>
    <row r="9" spans="1:7" ht="15.75" customHeight="1" x14ac:dyDescent="0.15">
      <c r="A9" s="37" t="s">
        <v>12</v>
      </c>
      <c r="B9" s="268" t="s">
        <v>13</v>
      </c>
      <c r="C9" s="268"/>
      <c r="D9" s="268"/>
      <c r="E9" s="268"/>
      <c r="F9" s="268"/>
      <c r="G9" s="268"/>
    </row>
    <row r="10" spans="1:7" ht="15.75" customHeight="1" x14ac:dyDescent="0.15">
      <c r="A10" s="36" t="s">
        <v>385</v>
      </c>
      <c r="B10" s="262" t="s">
        <v>16</v>
      </c>
      <c r="C10" s="262"/>
      <c r="D10" s="262"/>
      <c r="E10" s="262"/>
      <c r="F10" s="262"/>
      <c r="G10" s="262"/>
    </row>
    <row r="11" spans="1:7" ht="15.75" customHeight="1" x14ac:dyDescent="0.15">
      <c r="A11" s="37" t="s">
        <v>17</v>
      </c>
      <c r="B11" s="268" t="s">
        <v>519</v>
      </c>
      <c r="C11" s="268"/>
      <c r="D11" s="268"/>
      <c r="E11" s="268"/>
      <c r="F11" s="268"/>
      <c r="G11" s="268"/>
    </row>
    <row r="12" spans="1:7" ht="15.75" customHeight="1" x14ac:dyDescent="0.15">
      <c r="A12" s="36" t="s">
        <v>5</v>
      </c>
      <c r="B12" s="271" t="s">
        <v>6</v>
      </c>
      <c r="C12" s="271"/>
      <c r="D12" s="271"/>
      <c r="E12" s="271"/>
      <c r="F12" s="271"/>
      <c r="G12" s="271"/>
    </row>
    <row r="13" spans="1:7" ht="15.75" customHeight="1" x14ac:dyDescent="0.15">
      <c r="A13" s="37" t="s">
        <v>7</v>
      </c>
      <c r="B13" s="268" t="s">
        <v>8</v>
      </c>
      <c r="C13" s="268"/>
      <c r="D13" s="268"/>
      <c r="E13" s="268"/>
      <c r="F13" s="268"/>
      <c r="G13" s="268"/>
    </row>
    <row r="14" spans="1:7" ht="15.75" customHeight="1" x14ac:dyDescent="0.15">
      <c r="A14" s="36" t="s">
        <v>20</v>
      </c>
      <c r="B14" s="332">
        <v>44504</v>
      </c>
      <c r="C14" s="271"/>
      <c r="D14" s="271"/>
      <c r="E14" s="271"/>
      <c r="F14" s="271"/>
      <c r="G14" s="271"/>
    </row>
    <row r="15" spans="1:7" ht="15.75" customHeight="1" x14ac:dyDescent="0.15">
      <c r="A15" s="37" t="s">
        <v>21</v>
      </c>
      <c r="B15" s="270">
        <v>44504</v>
      </c>
      <c r="C15" s="268"/>
      <c r="D15" s="268"/>
      <c r="E15" s="268"/>
      <c r="F15" s="268"/>
      <c r="G15" s="268"/>
    </row>
    <row r="16" spans="1:7" ht="16.5" customHeight="1" x14ac:dyDescent="0.15">
      <c r="A16" s="69"/>
      <c r="B16" s="333"/>
      <c r="C16" s="333"/>
      <c r="D16" s="333"/>
      <c r="E16" s="333"/>
      <c r="F16" s="272" t="s">
        <v>24</v>
      </c>
      <c r="G16" s="272"/>
    </row>
    <row r="17" spans="1:7" ht="33.75" customHeight="1" x14ac:dyDescent="0.15">
      <c r="A17" s="326" t="s">
        <v>26</v>
      </c>
      <c r="B17" s="321" t="s">
        <v>520</v>
      </c>
      <c r="C17" s="321" t="s">
        <v>521</v>
      </c>
      <c r="D17" s="321" t="s">
        <v>522</v>
      </c>
      <c r="E17" s="321"/>
      <c r="F17" s="321" t="s">
        <v>523</v>
      </c>
      <c r="G17" s="329"/>
    </row>
    <row r="18" spans="1:7" ht="36.75" customHeight="1" x14ac:dyDescent="0.15">
      <c r="A18" s="327"/>
      <c r="B18" s="328"/>
      <c r="C18" s="328"/>
      <c r="D18" s="53" t="s">
        <v>234</v>
      </c>
      <c r="E18" s="53" t="s">
        <v>524</v>
      </c>
      <c r="F18" s="53" t="s">
        <v>525</v>
      </c>
      <c r="G18" s="54" t="s">
        <v>524</v>
      </c>
    </row>
    <row r="19" spans="1:7" ht="33.950000000000003" customHeight="1" x14ac:dyDescent="0.15">
      <c r="A19" s="55" t="s">
        <v>526</v>
      </c>
      <c r="B19" s="56" t="s">
        <v>527</v>
      </c>
      <c r="C19" s="57"/>
      <c r="D19" s="17">
        <f>D20+D23+D26+D30+D31+D32+D33+D34</f>
        <v>752852295715</v>
      </c>
      <c r="E19" s="17">
        <f>E20+E23+E26+E30+E31+E32+E33+E34</f>
        <v>5166872367816</v>
      </c>
      <c r="F19" s="17">
        <f>F20+F23+F26+F30+F31+F32+F33+F34</f>
        <v>54465689139</v>
      </c>
      <c r="G19" s="18">
        <f>G20+G23+G26+G30+G31+G32+G33+G34</f>
        <v>262262650438</v>
      </c>
    </row>
    <row r="20" spans="1:7" ht="23.1" customHeight="1" x14ac:dyDescent="0.15">
      <c r="A20" s="127" t="s">
        <v>528</v>
      </c>
      <c r="B20" s="42" t="s">
        <v>529</v>
      </c>
      <c r="C20" s="116"/>
      <c r="D20" s="22">
        <f>D21+D22</f>
        <v>0</v>
      </c>
      <c r="E20" s="22">
        <f>E21+E22</f>
        <v>86844616156</v>
      </c>
      <c r="F20" s="22">
        <f>F21+F22</f>
        <v>5736060000</v>
      </c>
      <c r="G20" s="23">
        <f>G21+G22</f>
        <v>18678302000</v>
      </c>
    </row>
    <row r="21" spans="1:7" ht="23.1" customHeight="1" x14ac:dyDescent="0.15">
      <c r="A21" s="58" t="s">
        <v>530</v>
      </c>
      <c r="B21" s="59" t="s">
        <v>531</v>
      </c>
      <c r="C21" s="60"/>
      <c r="D21" s="27">
        <v>0</v>
      </c>
      <c r="E21" s="27">
        <v>86844616156</v>
      </c>
      <c r="F21" s="27">
        <v>5736060000</v>
      </c>
      <c r="G21" s="28">
        <v>18678302000</v>
      </c>
    </row>
    <row r="22" spans="1:7" ht="23.1" customHeight="1" x14ac:dyDescent="0.15">
      <c r="A22" s="58" t="s">
        <v>532</v>
      </c>
      <c r="B22" s="59" t="s">
        <v>533</v>
      </c>
      <c r="C22" s="60"/>
      <c r="D22" s="27">
        <v>0</v>
      </c>
      <c r="E22" s="27">
        <v>0</v>
      </c>
      <c r="F22" s="27">
        <v>0</v>
      </c>
      <c r="G22" s="28">
        <v>0</v>
      </c>
    </row>
    <row r="23" spans="1:7" ht="23.1" customHeight="1" x14ac:dyDescent="0.15">
      <c r="A23" s="127" t="s">
        <v>534</v>
      </c>
      <c r="B23" s="42" t="s">
        <v>535</v>
      </c>
      <c r="C23" s="116"/>
      <c r="D23" s="22">
        <f>D24+D25</f>
        <v>16956070</v>
      </c>
      <c r="E23" s="22">
        <f>E24+E25</f>
        <v>510765116</v>
      </c>
      <c r="F23" s="22">
        <f>F24+F25</f>
        <v>24913789</v>
      </c>
      <c r="G23" s="23">
        <f>G24+G25</f>
        <v>62096388</v>
      </c>
    </row>
    <row r="24" spans="1:7" ht="33.950000000000003" customHeight="1" x14ac:dyDescent="0.15">
      <c r="A24" s="58" t="s">
        <v>536</v>
      </c>
      <c r="B24" s="59" t="s">
        <v>537</v>
      </c>
      <c r="C24" s="60"/>
      <c r="D24" s="27">
        <v>16956070</v>
      </c>
      <c r="E24" s="27">
        <v>510765116</v>
      </c>
      <c r="F24" s="27">
        <v>24913789</v>
      </c>
      <c r="G24" s="28">
        <v>62096388</v>
      </c>
    </row>
    <row r="25" spans="1:7" ht="33.950000000000003" customHeight="1" x14ac:dyDescent="0.15">
      <c r="A25" s="58" t="s">
        <v>538</v>
      </c>
      <c r="B25" s="59" t="s">
        <v>539</v>
      </c>
      <c r="C25" s="60"/>
      <c r="D25" s="27">
        <v>0</v>
      </c>
      <c r="E25" s="27">
        <v>0</v>
      </c>
      <c r="F25" s="27">
        <v>0</v>
      </c>
      <c r="G25" s="28">
        <v>0</v>
      </c>
    </row>
    <row r="26" spans="1:7" ht="45" customHeight="1" x14ac:dyDescent="0.15">
      <c r="A26" s="127" t="s">
        <v>540</v>
      </c>
      <c r="B26" s="42" t="s">
        <v>541</v>
      </c>
      <c r="C26" s="116"/>
      <c r="D26" s="22">
        <f>D27+D28+D29</f>
        <v>292825380271</v>
      </c>
      <c r="E26" s="22">
        <f>E27+E28+E29</f>
        <v>2047338778933</v>
      </c>
      <c r="F26" s="22">
        <f>F27+F28+F29</f>
        <v>17364123358</v>
      </c>
      <c r="G26" s="23">
        <f>G27+G28+G29</f>
        <v>17883057902</v>
      </c>
    </row>
    <row r="27" spans="1:7" ht="45" customHeight="1" x14ac:dyDescent="0.15">
      <c r="A27" s="58" t="s">
        <v>542</v>
      </c>
      <c r="B27" s="59" t="s">
        <v>543</v>
      </c>
      <c r="C27" s="60"/>
      <c r="D27" s="27">
        <v>259112803630</v>
      </c>
      <c r="E27" s="27">
        <v>1133599074134</v>
      </c>
      <c r="F27" s="27">
        <v>13344798458</v>
      </c>
      <c r="G27" s="28">
        <v>12415420336</v>
      </c>
    </row>
    <row r="28" spans="1:7" ht="45" customHeight="1" x14ac:dyDescent="0.15">
      <c r="A28" s="58" t="s">
        <v>544</v>
      </c>
      <c r="B28" s="59" t="s">
        <v>545</v>
      </c>
      <c r="C28" s="60"/>
      <c r="D28" s="27">
        <v>33712576641</v>
      </c>
      <c r="E28" s="27">
        <v>913739704799</v>
      </c>
      <c r="F28" s="27">
        <v>4019324900</v>
      </c>
      <c r="G28" s="28">
        <v>5467637566</v>
      </c>
    </row>
    <row r="29" spans="1:7" ht="54.95" customHeight="1" x14ac:dyDescent="0.15">
      <c r="A29" s="58" t="s">
        <v>546</v>
      </c>
      <c r="B29" s="59" t="s">
        <v>547</v>
      </c>
      <c r="C29" s="60"/>
      <c r="D29" s="27">
        <v>0</v>
      </c>
      <c r="E29" s="27">
        <v>0</v>
      </c>
      <c r="F29" s="27">
        <v>0</v>
      </c>
      <c r="G29" s="28">
        <v>0</v>
      </c>
    </row>
    <row r="30" spans="1:7" ht="54.95" customHeight="1" x14ac:dyDescent="0.15">
      <c r="A30" s="127" t="s">
        <v>548</v>
      </c>
      <c r="B30" s="42" t="s">
        <v>549</v>
      </c>
      <c r="C30" s="116"/>
      <c r="D30" s="22">
        <v>460009959374</v>
      </c>
      <c r="E30" s="22">
        <v>3032178207611</v>
      </c>
      <c r="F30" s="22">
        <v>31340591992</v>
      </c>
      <c r="G30" s="23">
        <v>225639194148</v>
      </c>
    </row>
    <row r="31" spans="1:7" ht="23.1" customHeight="1" x14ac:dyDescent="0.15">
      <c r="A31" s="127" t="s">
        <v>550</v>
      </c>
      <c r="B31" s="42" t="s">
        <v>551</v>
      </c>
      <c r="C31" s="116"/>
      <c r="D31" s="22">
        <v>0</v>
      </c>
      <c r="E31" s="22">
        <v>0</v>
      </c>
      <c r="F31" s="22">
        <v>0</v>
      </c>
      <c r="G31" s="23">
        <v>0</v>
      </c>
    </row>
    <row r="32" spans="1:7" ht="45" customHeight="1" x14ac:dyDescent="0.15">
      <c r="A32" s="127" t="s">
        <v>552</v>
      </c>
      <c r="B32" s="42" t="s">
        <v>553</v>
      </c>
      <c r="C32" s="116"/>
      <c r="D32" s="22">
        <v>0</v>
      </c>
      <c r="E32" s="22">
        <v>0</v>
      </c>
      <c r="F32" s="22">
        <v>0</v>
      </c>
      <c r="G32" s="23">
        <v>0</v>
      </c>
    </row>
    <row r="33" spans="1:7" ht="23.1" customHeight="1" x14ac:dyDescent="0.15">
      <c r="A33" s="127" t="s">
        <v>554</v>
      </c>
      <c r="B33" s="42" t="s">
        <v>555</v>
      </c>
      <c r="C33" s="116"/>
      <c r="D33" s="22">
        <v>0</v>
      </c>
      <c r="E33" s="22">
        <v>0</v>
      </c>
      <c r="F33" s="22">
        <v>0</v>
      </c>
      <c r="G33" s="23">
        <v>0</v>
      </c>
    </row>
    <row r="34" spans="1:7" ht="86.25" customHeight="1" x14ac:dyDescent="0.15">
      <c r="A34" s="127" t="s">
        <v>556</v>
      </c>
      <c r="B34" s="42" t="s">
        <v>557</v>
      </c>
      <c r="C34" s="116"/>
      <c r="D34" s="22">
        <v>0</v>
      </c>
      <c r="E34" s="22">
        <v>0</v>
      </c>
      <c r="F34" s="22">
        <v>0</v>
      </c>
      <c r="G34" s="23">
        <v>0</v>
      </c>
    </row>
    <row r="35" spans="1:7" ht="23.1" customHeight="1" x14ac:dyDescent="0.15">
      <c r="A35" s="55" t="s">
        <v>558</v>
      </c>
      <c r="B35" s="56" t="s">
        <v>321</v>
      </c>
      <c r="C35" s="57"/>
      <c r="D35" s="17">
        <f>D36+D39+D40+D41+D42</f>
        <v>1520004897</v>
      </c>
      <c r="E35" s="17">
        <f>E36+E39+E40+E41+E42</f>
        <v>9663133033</v>
      </c>
      <c r="F35" s="17">
        <f>F36+F39+F40+F41+F42</f>
        <v>229483265</v>
      </c>
      <c r="G35" s="18">
        <f>G36+G39+G40+G41+G42</f>
        <v>334390222</v>
      </c>
    </row>
    <row r="36" spans="1:7" ht="45" customHeight="1" x14ac:dyDescent="0.15">
      <c r="A36" s="127" t="s">
        <v>559</v>
      </c>
      <c r="B36" s="42" t="s">
        <v>417</v>
      </c>
      <c r="C36" s="116"/>
      <c r="D36" s="22">
        <f>D37+D38</f>
        <v>1520004897</v>
      </c>
      <c r="E36" s="22">
        <f>E37+E38</f>
        <v>9663133033</v>
      </c>
      <c r="F36" s="22">
        <f>F37+F38</f>
        <v>229483265</v>
      </c>
      <c r="G36" s="23">
        <f>G37+G38</f>
        <v>334390222</v>
      </c>
    </row>
    <row r="37" spans="1:7" ht="23.1" customHeight="1" x14ac:dyDescent="0.15">
      <c r="A37" s="58" t="s">
        <v>560</v>
      </c>
      <c r="B37" s="59" t="s">
        <v>561</v>
      </c>
      <c r="C37" s="60"/>
      <c r="D37" s="27">
        <v>1520004897</v>
      </c>
      <c r="E37" s="27">
        <v>9663133033</v>
      </c>
      <c r="F37" s="27">
        <v>229483265</v>
      </c>
      <c r="G37" s="28">
        <v>334390222</v>
      </c>
    </row>
    <row r="38" spans="1:7" ht="23.1" customHeight="1" x14ac:dyDescent="0.15">
      <c r="A38" s="58" t="s">
        <v>562</v>
      </c>
      <c r="B38" s="59" t="s">
        <v>563</v>
      </c>
      <c r="C38" s="60"/>
      <c r="D38" s="27">
        <v>0</v>
      </c>
      <c r="E38" s="27">
        <v>0</v>
      </c>
      <c r="F38" s="27">
        <v>0</v>
      </c>
      <c r="G38" s="28">
        <v>0</v>
      </c>
    </row>
    <row r="39" spans="1:7" ht="45" customHeight="1" x14ac:dyDescent="0.15">
      <c r="A39" s="127" t="s">
        <v>564</v>
      </c>
      <c r="B39" s="42" t="s">
        <v>420</v>
      </c>
      <c r="C39" s="116"/>
      <c r="D39" s="22">
        <v>0</v>
      </c>
      <c r="E39" s="22">
        <v>0</v>
      </c>
      <c r="F39" s="22">
        <v>0</v>
      </c>
      <c r="G39" s="23">
        <v>0</v>
      </c>
    </row>
    <row r="40" spans="1:7" ht="23.1" customHeight="1" x14ac:dyDescent="0.15">
      <c r="A40" s="127" t="s">
        <v>565</v>
      </c>
      <c r="B40" s="42" t="s">
        <v>423</v>
      </c>
      <c r="C40" s="116"/>
      <c r="D40" s="22">
        <v>0</v>
      </c>
      <c r="E40" s="22">
        <v>0</v>
      </c>
      <c r="F40" s="22">
        <v>0</v>
      </c>
      <c r="G40" s="23">
        <v>0</v>
      </c>
    </row>
    <row r="41" spans="1:7" ht="75.75" customHeight="1" x14ac:dyDescent="0.15">
      <c r="A41" s="127" t="s">
        <v>566</v>
      </c>
      <c r="B41" s="42" t="s">
        <v>426</v>
      </c>
      <c r="C41" s="116"/>
      <c r="D41" s="22">
        <v>0</v>
      </c>
      <c r="E41" s="22">
        <v>0</v>
      </c>
      <c r="F41" s="22">
        <v>0</v>
      </c>
      <c r="G41" s="23">
        <v>0</v>
      </c>
    </row>
    <row r="42" spans="1:7" ht="23.1" customHeight="1" x14ac:dyDescent="0.15">
      <c r="A42" s="127" t="s">
        <v>567</v>
      </c>
      <c r="B42" s="42" t="s">
        <v>429</v>
      </c>
      <c r="C42" s="116"/>
      <c r="D42" s="22">
        <v>0</v>
      </c>
      <c r="E42" s="22">
        <v>0</v>
      </c>
      <c r="F42" s="22">
        <v>0</v>
      </c>
      <c r="G42" s="23">
        <v>0</v>
      </c>
    </row>
    <row r="43" spans="1:7" ht="33.950000000000003" customHeight="1" x14ac:dyDescent="0.15">
      <c r="A43" s="55" t="s">
        <v>568</v>
      </c>
      <c r="B43" s="56" t="s">
        <v>569</v>
      </c>
      <c r="C43" s="57"/>
      <c r="D43" s="17">
        <f>D44+D45+D50+D51+D52+D53+D57+D58+D59+D60</f>
        <v>11243928303</v>
      </c>
      <c r="E43" s="17">
        <f>E44+E45+E50+E51+E52+E53+E57+E58+E59+E60</f>
        <v>96880327729</v>
      </c>
      <c r="F43" s="17">
        <f>F44+F45+F50+F51+F52+F53+F57+F58+F59+F60</f>
        <v>2040029847</v>
      </c>
      <c r="G43" s="18">
        <f>G44+G45+G50+G51+G52+G53+G57+G58+G59+G60</f>
        <v>7818464717</v>
      </c>
    </row>
    <row r="44" spans="1:7" ht="23.1" customHeight="1" x14ac:dyDescent="0.15">
      <c r="A44" s="127" t="s">
        <v>570</v>
      </c>
      <c r="B44" s="42" t="s">
        <v>571</v>
      </c>
      <c r="C44" s="116"/>
      <c r="D44" s="22">
        <v>8568012792</v>
      </c>
      <c r="E44" s="22">
        <v>74587558639</v>
      </c>
      <c r="F44" s="22">
        <v>1627889072</v>
      </c>
      <c r="G44" s="23">
        <v>6058668282</v>
      </c>
    </row>
    <row r="45" spans="1:7" ht="33.950000000000003" customHeight="1" x14ac:dyDescent="0.15">
      <c r="A45" s="127" t="s">
        <v>572</v>
      </c>
      <c r="B45" s="42" t="s">
        <v>573</v>
      </c>
      <c r="C45" s="116"/>
      <c r="D45" s="22">
        <f>D46+D47+D48+D49</f>
        <v>279868241</v>
      </c>
      <c r="E45" s="22">
        <f>E46+E47+E48+E49</f>
        <v>2454469124</v>
      </c>
      <c r="F45" s="22">
        <f>F46+F47+F48+F49</f>
        <v>60992900</v>
      </c>
      <c r="G45" s="23">
        <f>G46+G47+G48+G49</f>
        <v>230645003</v>
      </c>
    </row>
    <row r="46" spans="1:7" ht="45" customHeight="1" x14ac:dyDescent="0.15">
      <c r="A46" s="58" t="s">
        <v>574</v>
      </c>
      <c r="B46" s="59" t="s">
        <v>575</v>
      </c>
      <c r="C46" s="60"/>
      <c r="D46" s="27">
        <v>214200319</v>
      </c>
      <c r="E46" s="27">
        <v>1864688964</v>
      </c>
      <c r="F46" s="27">
        <v>40697226</v>
      </c>
      <c r="G46" s="28">
        <v>158228380</v>
      </c>
    </row>
    <row r="47" spans="1:7" ht="45" customHeight="1" x14ac:dyDescent="0.15">
      <c r="A47" s="58" t="s">
        <v>576</v>
      </c>
      <c r="B47" s="59" t="s">
        <v>577</v>
      </c>
      <c r="C47" s="60"/>
      <c r="D47" s="27">
        <v>5700000</v>
      </c>
      <c r="E47" s="27">
        <v>43400000</v>
      </c>
      <c r="F47" s="27">
        <v>1800000</v>
      </c>
      <c r="G47" s="28">
        <v>7500000</v>
      </c>
    </row>
    <row r="48" spans="1:7" ht="23.1" customHeight="1" x14ac:dyDescent="0.15">
      <c r="A48" s="58" t="s">
        <v>578</v>
      </c>
      <c r="B48" s="59" t="s">
        <v>579</v>
      </c>
      <c r="C48" s="60"/>
      <c r="D48" s="27">
        <v>59967922</v>
      </c>
      <c r="E48" s="27">
        <v>546380160</v>
      </c>
      <c r="F48" s="27">
        <v>18495674</v>
      </c>
      <c r="G48" s="28">
        <v>64916623</v>
      </c>
    </row>
    <row r="49" spans="1:7" ht="65.25" customHeight="1" x14ac:dyDescent="0.15">
      <c r="A49" s="58" t="s">
        <v>580</v>
      </c>
      <c r="B49" s="59" t="s">
        <v>581</v>
      </c>
      <c r="C49" s="60"/>
      <c r="D49" s="27">
        <v>0</v>
      </c>
      <c r="E49" s="27">
        <v>0</v>
      </c>
      <c r="F49" s="27">
        <v>0</v>
      </c>
      <c r="G49" s="28">
        <v>0</v>
      </c>
    </row>
    <row r="50" spans="1:7" ht="23.1" customHeight="1" x14ac:dyDescent="0.15">
      <c r="A50" s="127" t="s">
        <v>582</v>
      </c>
      <c r="B50" s="42" t="s">
        <v>583</v>
      </c>
      <c r="C50" s="116"/>
      <c r="D50" s="22">
        <v>471240705</v>
      </c>
      <c r="E50" s="22">
        <v>4102315738</v>
      </c>
      <c r="F50" s="22">
        <v>89533901</v>
      </c>
      <c r="G50" s="23">
        <v>348444569</v>
      </c>
    </row>
    <row r="51" spans="1:7" ht="23.1" customHeight="1" x14ac:dyDescent="0.15">
      <c r="A51" s="127" t="s">
        <v>584</v>
      </c>
      <c r="B51" s="42" t="s">
        <v>585</v>
      </c>
      <c r="C51" s="116"/>
      <c r="D51" s="22">
        <v>235620351</v>
      </c>
      <c r="E51" s="22">
        <v>2051157858</v>
      </c>
      <c r="F51" s="22">
        <v>44766946</v>
      </c>
      <c r="G51" s="23">
        <v>183553046</v>
      </c>
    </row>
    <row r="52" spans="1:7" ht="33.950000000000003" customHeight="1" x14ac:dyDescent="0.15">
      <c r="A52" s="127" t="s">
        <v>586</v>
      </c>
      <c r="B52" s="42" t="s">
        <v>587</v>
      </c>
      <c r="C52" s="116"/>
      <c r="D52" s="22">
        <v>5500000</v>
      </c>
      <c r="E52" s="22">
        <v>55000000</v>
      </c>
      <c r="F52" s="22">
        <v>5500000</v>
      </c>
      <c r="G52" s="23">
        <v>31048387</v>
      </c>
    </row>
    <row r="53" spans="1:7" ht="33.950000000000003" customHeight="1" x14ac:dyDescent="0.15">
      <c r="A53" s="127" t="s">
        <v>588</v>
      </c>
      <c r="B53" s="42" t="s">
        <v>589</v>
      </c>
      <c r="C53" s="116"/>
      <c r="D53" s="22">
        <f>D54+D55+D56</f>
        <v>1651163156</v>
      </c>
      <c r="E53" s="22">
        <f>E54+E55+E56</f>
        <v>13278489033</v>
      </c>
      <c r="F53" s="22">
        <f>F54+F55+F56</f>
        <v>183137518</v>
      </c>
      <c r="G53" s="23">
        <f>G54+G55+G56</f>
        <v>759287941</v>
      </c>
    </row>
    <row r="54" spans="1:7" ht="54.95" customHeight="1" x14ac:dyDescent="0.15">
      <c r="A54" s="58" t="s">
        <v>590</v>
      </c>
      <c r="B54" s="59" t="s">
        <v>591</v>
      </c>
      <c r="C54" s="60"/>
      <c r="D54" s="27">
        <v>535500797</v>
      </c>
      <c r="E54" s="27">
        <v>4661722412</v>
      </c>
      <c r="F54" s="27">
        <v>101743065</v>
      </c>
      <c r="G54" s="28">
        <v>375599382</v>
      </c>
    </row>
    <row r="55" spans="1:7" ht="42" x14ac:dyDescent="0.15">
      <c r="A55" s="58" t="s">
        <v>592</v>
      </c>
      <c r="B55" s="59" t="s">
        <v>593</v>
      </c>
      <c r="C55" s="60"/>
      <c r="D55" s="27">
        <v>428400641</v>
      </c>
      <c r="E55" s="27">
        <v>3729377942</v>
      </c>
      <c r="F55" s="27">
        <v>81394453</v>
      </c>
      <c r="G55" s="28">
        <v>383688559</v>
      </c>
    </row>
    <row r="56" spans="1:7" ht="42" x14ac:dyDescent="0.15">
      <c r="A56" s="58" t="s">
        <v>594</v>
      </c>
      <c r="B56" s="59" t="s">
        <v>595</v>
      </c>
      <c r="C56" s="60"/>
      <c r="D56" s="27">
        <v>687261718</v>
      </c>
      <c r="E56" s="27">
        <v>4887388679</v>
      </c>
      <c r="F56" s="27">
        <v>0</v>
      </c>
      <c r="G56" s="28">
        <v>0</v>
      </c>
    </row>
    <row r="57" spans="1:7" ht="45" customHeight="1" x14ac:dyDescent="0.15">
      <c r="A57" s="127" t="s">
        <v>596</v>
      </c>
      <c r="B57" s="42" t="s">
        <v>597</v>
      </c>
      <c r="C57" s="116"/>
      <c r="D57" s="22">
        <v>0</v>
      </c>
      <c r="E57" s="22">
        <v>27142500</v>
      </c>
      <c r="F57" s="22">
        <v>0</v>
      </c>
      <c r="G57" s="23">
        <v>0</v>
      </c>
    </row>
    <row r="58" spans="1:7" ht="23.1" customHeight="1" x14ac:dyDescent="0.15">
      <c r="A58" s="127" t="s">
        <v>598</v>
      </c>
      <c r="B58" s="42" t="s">
        <v>599</v>
      </c>
      <c r="C58" s="116"/>
      <c r="D58" s="22">
        <v>18176664</v>
      </c>
      <c r="E58" s="22">
        <v>129233047</v>
      </c>
      <c r="F58" s="22">
        <v>16161137</v>
      </c>
      <c r="G58" s="23">
        <v>78199050</v>
      </c>
    </row>
    <row r="59" spans="1:7" ht="31.5" x14ac:dyDescent="0.15">
      <c r="A59" s="127" t="s">
        <v>600</v>
      </c>
      <c r="B59" s="42" t="s">
        <v>601</v>
      </c>
      <c r="C59" s="116"/>
      <c r="D59" s="22">
        <v>0</v>
      </c>
      <c r="E59" s="22">
        <v>0</v>
      </c>
      <c r="F59" s="22">
        <v>0</v>
      </c>
      <c r="G59" s="23">
        <v>0</v>
      </c>
    </row>
    <row r="60" spans="1:7" ht="23.1" customHeight="1" x14ac:dyDescent="0.15">
      <c r="A60" s="127" t="s">
        <v>602</v>
      </c>
      <c r="B60" s="42" t="s">
        <v>603</v>
      </c>
      <c r="C60" s="116"/>
      <c r="D60" s="22">
        <f>D61+D62+D63+D64+D65+D66+D67+D68+D69+D70+D71+D72+D73+D74</f>
        <v>14346394</v>
      </c>
      <c r="E60" s="22">
        <f>E61+E62+E63+E64+E65+E66+E67+E68+E69+E70+E71+E72+E73+E74</f>
        <v>194961790</v>
      </c>
      <c r="F60" s="22">
        <f>F61+F62+F63+F64+F65+F66+F67+F68+F69+F70+F71+F72+F73+F74</f>
        <v>12048373</v>
      </c>
      <c r="G60" s="23">
        <f>G61+G62+G63+G64+G65+G66+G67+G68+G69+G70+G71+G72+G73+G74</f>
        <v>128618439</v>
      </c>
    </row>
    <row r="61" spans="1:7" ht="33.950000000000003" customHeight="1" x14ac:dyDescent="0.15">
      <c r="A61" s="58" t="s">
        <v>604</v>
      </c>
      <c r="B61" s="59" t="s">
        <v>605</v>
      </c>
      <c r="C61" s="60"/>
      <c r="D61" s="27">
        <v>9764372</v>
      </c>
      <c r="E61" s="27">
        <v>97495777</v>
      </c>
      <c r="F61" s="27">
        <v>9760518</v>
      </c>
      <c r="G61" s="28">
        <v>48753526</v>
      </c>
    </row>
    <row r="62" spans="1:7" ht="45" customHeight="1" x14ac:dyDescent="0.15">
      <c r="A62" s="58" t="s">
        <v>606</v>
      </c>
      <c r="B62" s="59" t="s">
        <v>607</v>
      </c>
      <c r="C62" s="60"/>
      <c r="D62" s="27">
        <v>0</v>
      </c>
      <c r="E62" s="27">
        <v>0</v>
      </c>
      <c r="F62" s="27">
        <v>0</v>
      </c>
      <c r="G62" s="28">
        <v>0</v>
      </c>
    </row>
    <row r="63" spans="1:7" ht="23.1" customHeight="1" x14ac:dyDescent="0.15">
      <c r="A63" s="58" t="s">
        <v>608</v>
      </c>
      <c r="B63" s="59" t="s">
        <v>609</v>
      </c>
      <c r="C63" s="60"/>
      <c r="D63" s="27">
        <v>0</v>
      </c>
      <c r="E63" s="27">
        <v>0</v>
      </c>
      <c r="F63" s="27">
        <v>0</v>
      </c>
      <c r="G63" s="28">
        <v>0</v>
      </c>
    </row>
    <row r="64" spans="1:7" ht="33.950000000000003" customHeight="1" x14ac:dyDescent="0.15">
      <c r="A64" s="58" t="s">
        <v>610</v>
      </c>
      <c r="B64" s="59" t="s">
        <v>611</v>
      </c>
      <c r="C64" s="60"/>
      <c r="D64" s="27">
        <v>0</v>
      </c>
      <c r="E64" s="27">
        <v>0</v>
      </c>
      <c r="F64" s="27">
        <v>0</v>
      </c>
      <c r="G64" s="28">
        <v>0</v>
      </c>
    </row>
    <row r="65" spans="1:7" ht="23.1" customHeight="1" x14ac:dyDescent="0.15">
      <c r="A65" s="58" t="s">
        <v>612</v>
      </c>
      <c r="B65" s="59" t="s">
        <v>613</v>
      </c>
      <c r="C65" s="60"/>
      <c r="D65" s="27">
        <v>0</v>
      </c>
      <c r="E65" s="27">
        <v>0</v>
      </c>
      <c r="F65" s="27">
        <v>0</v>
      </c>
      <c r="G65" s="28">
        <v>0</v>
      </c>
    </row>
    <row r="66" spans="1:7" ht="23.1" customHeight="1" x14ac:dyDescent="0.15">
      <c r="A66" s="58" t="s">
        <v>614</v>
      </c>
      <c r="B66" s="59" t="s">
        <v>615</v>
      </c>
      <c r="C66" s="60"/>
      <c r="D66" s="27">
        <v>0</v>
      </c>
      <c r="E66" s="27">
        <v>0</v>
      </c>
      <c r="F66" s="27">
        <v>0</v>
      </c>
      <c r="G66" s="28">
        <v>50000000</v>
      </c>
    </row>
    <row r="67" spans="1:7" ht="33.950000000000003" customHeight="1" x14ac:dyDescent="0.15">
      <c r="A67" s="58" t="s">
        <v>616</v>
      </c>
      <c r="B67" s="59" t="s">
        <v>617</v>
      </c>
      <c r="C67" s="60"/>
      <c r="D67" s="27">
        <v>0</v>
      </c>
      <c r="E67" s="27">
        <v>0</v>
      </c>
      <c r="F67" s="27">
        <v>610235</v>
      </c>
      <c r="G67" s="28">
        <v>4173220</v>
      </c>
    </row>
    <row r="68" spans="1:7" ht="23.1" customHeight="1" x14ac:dyDescent="0.15">
      <c r="A68" s="58" t="s">
        <v>618</v>
      </c>
      <c r="B68" s="59" t="s">
        <v>619</v>
      </c>
      <c r="C68" s="60"/>
      <c r="D68" s="27">
        <v>4582022</v>
      </c>
      <c r="E68" s="27">
        <v>38682825</v>
      </c>
      <c r="F68" s="27">
        <v>1677620</v>
      </c>
      <c r="G68" s="28">
        <v>8191693</v>
      </c>
    </row>
    <row r="69" spans="1:7" ht="33.950000000000003" customHeight="1" x14ac:dyDescent="0.15">
      <c r="A69" s="58" t="s">
        <v>620</v>
      </c>
      <c r="B69" s="59" t="s">
        <v>621</v>
      </c>
      <c r="C69" s="60"/>
      <c r="D69" s="27">
        <v>0</v>
      </c>
      <c r="E69" s="27">
        <v>0</v>
      </c>
      <c r="F69" s="27">
        <v>0</v>
      </c>
      <c r="G69" s="28">
        <v>0</v>
      </c>
    </row>
    <row r="70" spans="1:7" ht="33.950000000000003" customHeight="1" x14ac:dyDescent="0.15">
      <c r="A70" s="58" t="s">
        <v>622</v>
      </c>
      <c r="B70" s="59" t="s">
        <v>623</v>
      </c>
      <c r="C70" s="60"/>
      <c r="D70" s="27">
        <v>0</v>
      </c>
      <c r="E70" s="27">
        <v>18283188</v>
      </c>
      <c r="F70" s="27">
        <v>0</v>
      </c>
      <c r="G70" s="28">
        <v>0</v>
      </c>
    </row>
    <row r="71" spans="1:7" ht="33.950000000000003" customHeight="1" x14ac:dyDescent="0.15">
      <c r="A71" s="58" t="s">
        <v>624</v>
      </c>
      <c r="B71" s="59" t="s">
        <v>625</v>
      </c>
      <c r="C71" s="60"/>
      <c r="D71" s="27">
        <v>0</v>
      </c>
      <c r="E71" s="27">
        <v>10500000</v>
      </c>
      <c r="F71" s="27">
        <v>0</v>
      </c>
      <c r="G71" s="28">
        <v>0</v>
      </c>
    </row>
    <row r="72" spans="1:7" ht="42" x14ac:dyDescent="0.15">
      <c r="A72" s="58" t="s">
        <v>626</v>
      </c>
      <c r="B72" s="59" t="s">
        <v>627</v>
      </c>
      <c r="C72" s="60"/>
      <c r="D72" s="27">
        <v>0</v>
      </c>
      <c r="E72" s="27">
        <v>0</v>
      </c>
      <c r="F72" s="27">
        <v>0</v>
      </c>
      <c r="G72" s="28">
        <v>0</v>
      </c>
    </row>
    <row r="73" spans="1:7" ht="23.1" customHeight="1" x14ac:dyDescent="0.15">
      <c r="A73" s="58" t="s">
        <v>628</v>
      </c>
      <c r="B73" s="59" t="s">
        <v>629</v>
      </c>
      <c r="C73" s="60"/>
      <c r="D73" s="27">
        <v>0</v>
      </c>
      <c r="E73" s="27">
        <v>30000000</v>
      </c>
      <c r="F73" s="27">
        <v>0</v>
      </c>
      <c r="G73" s="28">
        <v>17500000</v>
      </c>
    </row>
    <row r="74" spans="1:7" ht="23.1" customHeight="1" x14ac:dyDescent="0.15">
      <c r="A74" s="58" t="s">
        <v>630</v>
      </c>
      <c r="B74" s="59" t="s">
        <v>631</v>
      </c>
      <c r="C74" s="60"/>
      <c r="D74" s="27">
        <v>0</v>
      </c>
      <c r="E74" s="27">
        <v>0</v>
      </c>
      <c r="F74" s="27">
        <v>0</v>
      </c>
      <c r="G74" s="28">
        <v>0</v>
      </c>
    </row>
    <row r="75" spans="1:7" ht="54.95" customHeight="1" x14ac:dyDescent="0.15">
      <c r="A75" s="55" t="s">
        <v>632</v>
      </c>
      <c r="B75" s="56" t="s">
        <v>633</v>
      </c>
      <c r="C75" s="57"/>
      <c r="D75" s="17">
        <f>D19-D35-D43</f>
        <v>740088362515</v>
      </c>
      <c r="E75" s="17">
        <f>E19-E35-E43</f>
        <v>5060328907054</v>
      </c>
      <c r="F75" s="17">
        <f>F19-F35-F43</f>
        <v>52196176027</v>
      </c>
      <c r="G75" s="18">
        <f>G19-G35-G43</f>
        <v>254109795499</v>
      </c>
    </row>
    <row r="76" spans="1:7" ht="33" customHeight="1" x14ac:dyDescent="0.15">
      <c r="A76" s="55" t="s">
        <v>634</v>
      </c>
      <c r="B76" s="56" t="s">
        <v>635</v>
      </c>
      <c r="C76" s="57"/>
      <c r="D76" s="17">
        <f>D77-D78</f>
        <v>0</v>
      </c>
      <c r="E76" s="17">
        <f>E77-E78</f>
        <v>0</v>
      </c>
      <c r="F76" s="17">
        <f>F77-F78</f>
        <v>0</v>
      </c>
      <c r="G76" s="18">
        <f>G77-G78</f>
        <v>0</v>
      </c>
    </row>
    <row r="77" spans="1:7" ht="23.1" customHeight="1" x14ac:dyDescent="0.15">
      <c r="A77" s="127" t="s">
        <v>636</v>
      </c>
      <c r="B77" s="42" t="s">
        <v>637</v>
      </c>
      <c r="C77" s="116"/>
      <c r="D77" s="22">
        <v>0</v>
      </c>
      <c r="E77" s="22">
        <v>0</v>
      </c>
      <c r="F77" s="22">
        <v>0</v>
      </c>
      <c r="G77" s="23">
        <v>0</v>
      </c>
    </row>
    <row r="78" spans="1:7" ht="23.1" customHeight="1" x14ac:dyDescent="0.15">
      <c r="A78" s="127" t="s">
        <v>638</v>
      </c>
      <c r="B78" s="42" t="s">
        <v>639</v>
      </c>
      <c r="C78" s="116"/>
      <c r="D78" s="22">
        <v>0</v>
      </c>
      <c r="E78" s="22">
        <v>0</v>
      </c>
      <c r="F78" s="22">
        <v>0</v>
      </c>
      <c r="G78" s="23">
        <v>0</v>
      </c>
    </row>
    <row r="79" spans="1:7" ht="45" customHeight="1" x14ac:dyDescent="0.15">
      <c r="A79" s="55" t="s">
        <v>640</v>
      </c>
      <c r="B79" s="56" t="s">
        <v>641</v>
      </c>
      <c r="C79" s="57"/>
      <c r="D79" s="17">
        <f>D75+D76</f>
        <v>740088362515</v>
      </c>
      <c r="E79" s="17">
        <f>E75+E76</f>
        <v>5060328907054</v>
      </c>
      <c r="F79" s="17">
        <f>F75+F76</f>
        <v>52196176027</v>
      </c>
      <c r="G79" s="18">
        <f>G75+G76</f>
        <v>254109795499</v>
      </c>
    </row>
    <row r="80" spans="1:7" ht="23.1" customHeight="1" x14ac:dyDescent="0.15">
      <c r="A80" s="127" t="s">
        <v>642</v>
      </c>
      <c r="B80" s="42" t="s">
        <v>643</v>
      </c>
      <c r="C80" s="116"/>
      <c r="D80" s="22">
        <v>280078403141</v>
      </c>
      <c r="E80" s="22">
        <v>2028150699443</v>
      </c>
      <c r="F80" s="22">
        <v>20855584035</v>
      </c>
      <c r="G80" s="23">
        <v>28470601351</v>
      </c>
    </row>
    <row r="81" spans="1:7" ht="23.1" customHeight="1" x14ac:dyDescent="0.15">
      <c r="A81" s="127" t="s">
        <v>644</v>
      </c>
      <c r="B81" s="42" t="s">
        <v>645</v>
      </c>
      <c r="C81" s="116"/>
      <c r="D81" s="22">
        <v>460009959374</v>
      </c>
      <c r="E81" s="22">
        <v>3032178207611</v>
      </c>
      <c r="F81" s="22">
        <v>31340591992</v>
      </c>
      <c r="G81" s="23">
        <v>225639194148</v>
      </c>
    </row>
    <row r="82" spans="1:7" ht="23.1" customHeight="1" x14ac:dyDescent="0.15">
      <c r="A82" s="55" t="s">
        <v>646</v>
      </c>
      <c r="B82" s="56" t="s">
        <v>647</v>
      </c>
      <c r="C82" s="57"/>
      <c r="D82" s="17">
        <v>0</v>
      </c>
      <c r="E82" s="17">
        <v>0</v>
      </c>
      <c r="F82" s="17">
        <v>0</v>
      </c>
      <c r="G82" s="18">
        <v>0</v>
      </c>
    </row>
    <row r="83" spans="1:7" ht="45" customHeight="1" x14ac:dyDescent="0.15">
      <c r="A83" s="61" t="s">
        <v>648</v>
      </c>
      <c r="B83" s="62" t="s">
        <v>649</v>
      </c>
      <c r="C83" s="63"/>
      <c r="D83" s="64">
        <f>D79</f>
        <v>740088362515</v>
      </c>
      <c r="E83" s="64">
        <f>E79</f>
        <v>5060328907054</v>
      </c>
      <c r="F83" s="64">
        <f>F79</f>
        <v>52196176027</v>
      </c>
      <c r="G83" s="65">
        <f>G79</f>
        <v>254109795499</v>
      </c>
    </row>
    <row r="84" spans="1:7" ht="10.5" customHeight="1" x14ac:dyDescent="0.15">
      <c r="A84" s="5"/>
      <c r="B84" s="268"/>
      <c r="C84" s="268"/>
      <c r="D84" s="268"/>
      <c r="E84" s="268"/>
      <c r="F84" s="268"/>
      <c r="G84" s="268"/>
    </row>
    <row r="85" spans="1:7" ht="19.5" customHeight="1" x14ac:dyDescent="0.15">
      <c r="A85" s="3" t="s">
        <v>650</v>
      </c>
      <c r="B85" s="266" t="s">
        <v>651</v>
      </c>
      <c r="C85" s="266"/>
      <c r="D85" s="266"/>
      <c r="E85" s="266"/>
      <c r="F85" s="334" t="s">
        <v>228</v>
      </c>
      <c r="G85" s="334"/>
    </row>
    <row r="86" spans="1:7" ht="15" customHeight="1" x14ac:dyDescent="0.15">
      <c r="A86" s="66" t="s">
        <v>652</v>
      </c>
      <c r="B86" s="330" t="s">
        <v>652</v>
      </c>
      <c r="C86" s="330"/>
      <c r="D86" s="330"/>
      <c r="E86" s="330"/>
      <c r="F86" s="331" t="s">
        <v>653</v>
      </c>
      <c r="G86" s="331"/>
    </row>
    <row r="87" spans="1:7" ht="91.5" customHeight="1" x14ac:dyDescent="0.15">
      <c r="A87" s="5"/>
      <c r="B87" s="268"/>
      <c r="C87" s="268"/>
      <c r="D87" s="268"/>
      <c r="E87" s="268"/>
      <c r="F87" s="268"/>
      <c r="G87" s="268"/>
    </row>
    <row r="88" spans="1:7" ht="15.75" customHeight="1" x14ac:dyDescent="0.15">
      <c r="A88" s="3" t="s">
        <v>654</v>
      </c>
      <c r="B88" s="274" t="s">
        <v>655</v>
      </c>
      <c r="C88" s="274"/>
      <c r="D88" s="274"/>
      <c r="E88" s="274"/>
      <c r="F88" s="274" t="s">
        <v>230</v>
      </c>
      <c r="G88" s="274"/>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 right="0" top="0.39" bottom="0.57999999999999996" header="0.33" footer="0.48"/>
  <pageSetup paperSize="9" scale="96" fitToHeight="4"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30"/>
  <sheetViews>
    <sheetView showGridLines="0" showZeros="0" showOutlineSymbols="0" view="pageBreakPreview" topLeftCell="A16" zoomScaleNormal="100" zoomScaleSheetLayoutView="100" workbookViewId="0">
      <selection sqref="A1:B1"/>
    </sheetView>
  </sheetViews>
  <sheetFormatPr defaultRowHeight="10.5" x14ac:dyDescent="0.15"/>
  <cols>
    <col min="1" max="1" width="4.7109375" style="67" bestFit="1" customWidth="1"/>
    <col min="2" max="2" width="34.42578125" style="67" customWidth="1"/>
    <col min="3" max="4" width="9.140625" style="67"/>
    <col min="5" max="6" width="18" style="67" customWidth="1"/>
    <col min="7" max="16384" width="9.140625" style="67"/>
  </cols>
  <sheetData>
    <row r="1" spans="1:6" ht="30.75" customHeight="1" x14ac:dyDescent="0.15">
      <c r="A1" s="263"/>
      <c r="B1" s="263"/>
      <c r="C1" s="264" t="s">
        <v>656</v>
      </c>
      <c r="D1" s="264"/>
      <c r="E1" s="264"/>
      <c r="F1" s="264"/>
    </row>
    <row r="2" spans="1:6" ht="24" customHeight="1" x14ac:dyDescent="0.15">
      <c r="A2" s="265" t="s">
        <v>516</v>
      </c>
      <c r="B2" s="265"/>
      <c r="C2" s="265"/>
      <c r="D2" s="265"/>
      <c r="E2" s="265"/>
      <c r="F2" s="265"/>
    </row>
    <row r="3" spans="1:6" ht="3.75" customHeight="1" x14ac:dyDescent="0.15">
      <c r="A3" s="5"/>
      <c r="B3" s="5"/>
      <c r="C3" s="5"/>
      <c r="D3" s="5"/>
      <c r="E3" s="5"/>
      <c r="F3" s="5"/>
    </row>
    <row r="4" spans="1:6" ht="30.75" customHeight="1" x14ac:dyDescent="0.15">
      <c r="A4" s="266" t="s">
        <v>657</v>
      </c>
      <c r="B4" s="266"/>
      <c r="C4" s="266"/>
      <c r="D4" s="266"/>
      <c r="E4" s="266"/>
      <c r="F4" s="266"/>
    </row>
    <row r="5" spans="1:6" ht="11.25" customHeight="1" x14ac:dyDescent="0.15">
      <c r="A5" s="275" t="s">
        <v>384</v>
      </c>
      <c r="B5" s="275"/>
      <c r="C5" s="275"/>
      <c r="D5" s="275"/>
      <c r="E5" s="275"/>
      <c r="F5" s="275"/>
    </row>
    <row r="6" spans="1:6" ht="5.25" customHeight="1" x14ac:dyDescent="0.15">
      <c r="A6" s="5"/>
      <c r="B6" s="5"/>
      <c r="C6" s="68"/>
      <c r="D6" s="5"/>
      <c r="E6" s="5"/>
      <c r="F6" s="5"/>
    </row>
    <row r="7" spans="1:6" ht="4.5" customHeight="1" x14ac:dyDescent="0.15">
      <c r="A7" s="5"/>
      <c r="B7" s="5"/>
      <c r="C7" s="5"/>
      <c r="D7" s="5"/>
      <c r="E7" s="5"/>
      <c r="F7" s="5"/>
    </row>
    <row r="8" spans="1:6" ht="12.75" customHeight="1" x14ac:dyDescent="0.15">
      <c r="A8" s="262" t="s">
        <v>10</v>
      </c>
      <c r="B8" s="262"/>
      <c r="C8" s="262" t="s">
        <v>11</v>
      </c>
      <c r="D8" s="262"/>
      <c r="E8" s="262"/>
      <c r="F8" s="262"/>
    </row>
    <row r="9" spans="1:6" ht="12.75" customHeight="1" x14ac:dyDescent="0.15">
      <c r="A9" s="268" t="s">
        <v>12</v>
      </c>
      <c r="B9" s="268"/>
      <c r="C9" s="268" t="s">
        <v>13</v>
      </c>
      <c r="D9" s="268"/>
      <c r="E9" s="268"/>
      <c r="F9" s="268"/>
    </row>
    <row r="10" spans="1:6" ht="12.75" customHeight="1" x14ac:dyDescent="0.15">
      <c r="A10" s="262" t="s">
        <v>385</v>
      </c>
      <c r="B10" s="262"/>
      <c r="C10" s="262" t="s">
        <v>16</v>
      </c>
      <c r="D10" s="262"/>
      <c r="E10" s="262"/>
      <c r="F10" s="262"/>
    </row>
    <row r="11" spans="1:6" ht="12.75" customHeight="1" x14ac:dyDescent="0.15">
      <c r="A11" s="268" t="s">
        <v>17</v>
      </c>
      <c r="B11" s="268"/>
      <c r="C11" s="268" t="s">
        <v>18</v>
      </c>
      <c r="D11" s="268"/>
      <c r="E11" s="268"/>
      <c r="F11" s="268"/>
    </row>
    <row r="12" spans="1:6" ht="12.75" customHeight="1" x14ac:dyDescent="0.15">
      <c r="A12" s="262" t="s">
        <v>5</v>
      </c>
      <c r="B12" s="262"/>
      <c r="C12" s="262" t="s">
        <v>6</v>
      </c>
      <c r="D12" s="262"/>
      <c r="E12" s="262"/>
      <c r="F12" s="262"/>
    </row>
    <row r="13" spans="1:6" ht="12.75" customHeight="1" x14ac:dyDescent="0.15">
      <c r="A13" s="268" t="s">
        <v>7</v>
      </c>
      <c r="B13" s="268"/>
      <c r="C13" s="268" t="s">
        <v>8</v>
      </c>
      <c r="D13" s="268"/>
      <c r="E13" s="268"/>
      <c r="F13" s="268"/>
    </row>
    <row r="14" spans="1:6" ht="12.75" customHeight="1" x14ac:dyDescent="0.15">
      <c r="A14" s="262" t="s">
        <v>20</v>
      </c>
      <c r="B14" s="262"/>
      <c r="C14" s="269">
        <v>44504</v>
      </c>
      <c r="D14" s="262"/>
      <c r="E14" s="262"/>
      <c r="F14" s="262"/>
    </row>
    <row r="15" spans="1:6" ht="12.75" customHeight="1" x14ac:dyDescent="0.15">
      <c r="A15" s="268" t="s">
        <v>21</v>
      </c>
      <c r="B15" s="268"/>
      <c r="C15" s="270">
        <v>44504</v>
      </c>
      <c r="D15" s="268"/>
      <c r="E15" s="268"/>
      <c r="F15" s="268"/>
    </row>
    <row r="16" spans="1:6" ht="12.75" customHeight="1" x14ac:dyDescent="0.15">
      <c r="A16" s="69"/>
      <c r="B16" s="69"/>
      <c r="C16" s="69"/>
      <c r="D16" s="69"/>
      <c r="E16" s="69"/>
      <c r="F16" s="70" t="s">
        <v>24</v>
      </c>
    </row>
    <row r="17" spans="1:6" ht="36" customHeight="1" x14ac:dyDescent="0.15">
      <c r="A17" s="7" t="s">
        <v>388</v>
      </c>
      <c r="B17" s="8" t="s">
        <v>658</v>
      </c>
      <c r="C17" s="8" t="s">
        <v>520</v>
      </c>
      <c r="D17" s="8" t="s">
        <v>659</v>
      </c>
      <c r="E17" s="71" t="s">
        <v>660</v>
      </c>
      <c r="F17" s="9" t="s">
        <v>661</v>
      </c>
    </row>
    <row r="18" spans="1:6" ht="24" customHeight="1" x14ac:dyDescent="0.15">
      <c r="A18" s="72" t="s">
        <v>31</v>
      </c>
      <c r="B18" s="73" t="s">
        <v>662</v>
      </c>
      <c r="C18" s="74" t="s">
        <v>31</v>
      </c>
      <c r="D18" s="74"/>
      <c r="E18" s="75">
        <v>0</v>
      </c>
      <c r="F18" s="76">
        <v>0</v>
      </c>
    </row>
    <row r="19" spans="1:6" ht="24" customHeight="1" x14ac:dyDescent="0.15">
      <c r="A19" s="72" t="s">
        <v>4</v>
      </c>
      <c r="B19" s="73" t="s">
        <v>663</v>
      </c>
      <c r="C19" s="74" t="s">
        <v>664</v>
      </c>
      <c r="D19" s="74"/>
      <c r="E19" s="75">
        <f>E20+E25+E26</f>
        <v>309257182278</v>
      </c>
      <c r="F19" s="76">
        <f>F20+F25+F26</f>
        <v>80955826438</v>
      </c>
    </row>
    <row r="20" spans="1:6" ht="24" customHeight="1" x14ac:dyDescent="0.15">
      <c r="A20" s="77" t="s">
        <v>665</v>
      </c>
      <c r="B20" s="78" t="s">
        <v>666</v>
      </c>
      <c r="C20" s="79" t="s">
        <v>667</v>
      </c>
      <c r="D20" s="79"/>
      <c r="E20" s="80">
        <f>E21+E22+E23+E24</f>
        <v>309257182278</v>
      </c>
      <c r="F20" s="81">
        <f>F21+F22+F23+F24</f>
        <v>80955826438</v>
      </c>
    </row>
    <row r="21" spans="1:6" ht="24" customHeight="1" x14ac:dyDescent="0.15">
      <c r="A21" s="82"/>
      <c r="B21" s="83" t="s">
        <v>668</v>
      </c>
      <c r="C21" s="84" t="s">
        <v>669</v>
      </c>
      <c r="D21" s="84"/>
      <c r="E21" s="85">
        <v>0</v>
      </c>
      <c r="F21" s="86">
        <v>0</v>
      </c>
    </row>
    <row r="22" spans="1:6" ht="24" customHeight="1" x14ac:dyDescent="0.15">
      <c r="A22" s="82"/>
      <c r="B22" s="83" t="s">
        <v>670</v>
      </c>
      <c r="C22" s="84" t="s">
        <v>671</v>
      </c>
      <c r="D22" s="84"/>
      <c r="E22" s="85">
        <v>0</v>
      </c>
      <c r="F22" s="86">
        <v>0</v>
      </c>
    </row>
    <row r="23" spans="1:6" ht="24" customHeight="1" x14ac:dyDescent="0.15">
      <c r="A23" s="82"/>
      <c r="B23" s="83" t="s">
        <v>492</v>
      </c>
      <c r="C23" s="84" t="s">
        <v>672</v>
      </c>
      <c r="D23" s="84"/>
      <c r="E23" s="85">
        <v>309257182278</v>
      </c>
      <c r="F23" s="86">
        <v>80955826438</v>
      </c>
    </row>
    <row r="24" spans="1:6" ht="24" customHeight="1" x14ac:dyDescent="0.15">
      <c r="A24" s="82"/>
      <c r="B24" s="83" t="s">
        <v>673</v>
      </c>
      <c r="C24" s="84" t="s">
        <v>674</v>
      </c>
      <c r="D24" s="84"/>
      <c r="E24" s="85">
        <v>0</v>
      </c>
      <c r="F24" s="86">
        <v>0</v>
      </c>
    </row>
    <row r="25" spans="1:6" ht="24" customHeight="1" x14ac:dyDescent="0.15">
      <c r="A25" s="77" t="s">
        <v>675</v>
      </c>
      <c r="B25" s="78" t="s">
        <v>676</v>
      </c>
      <c r="C25" s="79" t="s">
        <v>677</v>
      </c>
      <c r="D25" s="79"/>
      <c r="E25" s="80">
        <v>0</v>
      </c>
      <c r="F25" s="81">
        <v>0</v>
      </c>
    </row>
    <row r="26" spans="1:6" ht="24" customHeight="1" x14ac:dyDescent="0.15">
      <c r="A26" s="77" t="s">
        <v>678</v>
      </c>
      <c r="B26" s="78" t="s">
        <v>679</v>
      </c>
      <c r="C26" s="79" t="s">
        <v>680</v>
      </c>
      <c r="D26" s="79"/>
      <c r="E26" s="80">
        <v>0</v>
      </c>
      <c r="F26" s="81">
        <v>0</v>
      </c>
    </row>
    <row r="27" spans="1:6" ht="24" customHeight="1" x14ac:dyDescent="0.15">
      <c r="A27" s="72" t="s">
        <v>9</v>
      </c>
      <c r="B27" s="73" t="s">
        <v>681</v>
      </c>
      <c r="C27" s="74" t="s">
        <v>682</v>
      </c>
      <c r="D27" s="74"/>
      <c r="E27" s="75">
        <f>E28-E38</f>
        <v>12399844544950</v>
      </c>
      <c r="F27" s="76">
        <f>F28-F38</f>
        <v>12206653999350</v>
      </c>
    </row>
    <row r="28" spans="1:6" ht="24" customHeight="1" x14ac:dyDescent="0.15">
      <c r="A28" s="77" t="s">
        <v>683</v>
      </c>
      <c r="B28" s="78" t="s">
        <v>684</v>
      </c>
      <c r="C28" s="79" t="s">
        <v>685</v>
      </c>
      <c r="D28" s="79"/>
      <c r="E28" s="80">
        <f>E29+E30+E31+E32+E33+E34+E35+E36+E37</f>
        <v>12399844544950</v>
      </c>
      <c r="F28" s="81">
        <f>F29+F30+F31+F32+F33+F34+F35+F36+F37</f>
        <v>12206653999350</v>
      </c>
    </row>
    <row r="29" spans="1:6" ht="24" customHeight="1" x14ac:dyDescent="0.15">
      <c r="A29" s="82"/>
      <c r="B29" s="83" t="s">
        <v>686</v>
      </c>
      <c r="C29" s="84" t="s">
        <v>687</v>
      </c>
      <c r="D29" s="84"/>
      <c r="E29" s="85">
        <v>12399844544950</v>
      </c>
      <c r="F29" s="86">
        <v>12206653999350</v>
      </c>
    </row>
    <row r="30" spans="1:6" ht="24" customHeight="1" x14ac:dyDescent="0.15">
      <c r="A30" s="82"/>
      <c r="B30" s="83" t="s">
        <v>688</v>
      </c>
      <c r="C30" s="84" t="s">
        <v>689</v>
      </c>
      <c r="D30" s="84"/>
      <c r="E30" s="85">
        <v>0</v>
      </c>
      <c r="F30" s="86">
        <v>0</v>
      </c>
    </row>
    <row r="31" spans="1:6" ht="24" customHeight="1" x14ac:dyDescent="0.15">
      <c r="A31" s="82"/>
      <c r="B31" s="83" t="s">
        <v>690</v>
      </c>
      <c r="C31" s="84" t="s">
        <v>691</v>
      </c>
      <c r="D31" s="84"/>
      <c r="E31" s="85">
        <v>0</v>
      </c>
      <c r="F31" s="86">
        <v>0</v>
      </c>
    </row>
    <row r="32" spans="1:6" ht="24" customHeight="1" x14ac:dyDescent="0.15">
      <c r="A32" s="82"/>
      <c r="B32" s="83" t="s">
        <v>692</v>
      </c>
      <c r="C32" s="84" t="s">
        <v>693</v>
      </c>
      <c r="D32" s="84"/>
      <c r="E32" s="85">
        <v>0</v>
      </c>
      <c r="F32" s="86">
        <v>0</v>
      </c>
    </row>
    <row r="33" spans="1:6" ht="24" customHeight="1" x14ac:dyDescent="0.15">
      <c r="A33" s="82"/>
      <c r="B33" s="83" t="s">
        <v>694</v>
      </c>
      <c r="C33" s="84" t="s">
        <v>695</v>
      </c>
      <c r="D33" s="84"/>
      <c r="E33" s="85">
        <v>0</v>
      </c>
      <c r="F33" s="86">
        <v>0</v>
      </c>
    </row>
    <row r="34" spans="1:6" ht="24" customHeight="1" x14ac:dyDescent="0.15">
      <c r="A34" s="82"/>
      <c r="B34" s="83" t="s">
        <v>696</v>
      </c>
      <c r="C34" s="84" t="s">
        <v>697</v>
      </c>
      <c r="D34" s="84"/>
      <c r="E34" s="85">
        <v>0</v>
      </c>
      <c r="F34" s="86">
        <v>0</v>
      </c>
    </row>
    <row r="35" spans="1:6" ht="24" customHeight="1" x14ac:dyDescent="0.15">
      <c r="A35" s="82"/>
      <c r="B35" s="83" t="s">
        <v>457</v>
      </c>
      <c r="C35" s="84" t="s">
        <v>698</v>
      </c>
      <c r="D35" s="84"/>
      <c r="E35" s="85">
        <v>0</v>
      </c>
      <c r="F35" s="86">
        <v>0</v>
      </c>
    </row>
    <row r="36" spans="1:6" ht="24" customHeight="1" x14ac:dyDescent="0.15">
      <c r="A36" s="82"/>
      <c r="B36" s="83" t="s">
        <v>699</v>
      </c>
      <c r="C36" s="84" t="s">
        <v>700</v>
      </c>
      <c r="D36" s="84"/>
      <c r="E36" s="85">
        <v>0</v>
      </c>
      <c r="F36" s="86">
        <v>0</v>
      </c>
    </row>
    <row r="37" spans="1:6" ht="24" customHeight="1" x14ac:dyDescent="0.15">
      <c r="A37" s="82"/>
      <c r="B37" s="83" t="s">
        <v>70</v>
      </c>
      <c r="C37" s="84" t="s">
        <v>701</v>
      </c>
      <c r="D37" s="84"/>
      <c r="E37" s="85">
        <v>0</v>
      </c>
      <c r="F37" s="86">
        <v>0</v>
      </c>
    </row>
    <row r="38" spans="1:6" ht="24" customHeight="1" x14ac:dyDescent="0.15">
      <c r="A38" s="77" t="s">
        <v>702</v>
      </c>
      <c r="B38" s="78" t="s">
        <v>703</v>
      </c>
      <c r="C38" s="79" t="s">
        <v>704</v>
      </c>
      <c r="D38" s="79"/>
      <c r="E38" s="80">
        <v>0</v>
      </c>
      <c r="F38" s="81">
        <v>0</v>
      </c>
    </row>
    <row r="39" spans="1:6" ht="24" customHeight="1" x14ac:dyDescent="0.15">
      <c r="A39" s="72" t="s">
        <v>14</v>
      </c>
      <c r="B39" s="73" t="s">
        <v>705</v>
      </c>
      <c r="C39" s="74" t="s">
        <v>706</v>
      </c>
      <c r="D39" s="74"/>
      <c r="E39" s="75">
        <f>E40+E42+E56-E64</f>
        <v>570350770000</v>
      </c>
      <c r="F39" s="76">
        <f>F40+F42+F56-F64</f>
        <v>2680960000</v>
      </c>
    </row>
    <row r="40" spans="1:6" ht="24" customHeight="1" x14ac:dyDescent="0.15">
      <c r="A40" s="77" t="s">
        <v>707</v>
      </c>
      <c r="B40" s="78" t="s">
        <v>708</v>
      </c>
      <c r="C40" s="79" t="s">
        <v>709</v>
      </c>
      <c r="D40" s="79"/>
      <c r="E40" s="80">
        <v>570350770000</v>
      </c>
      <c r="F40" s="81">
        <v>0</v>
      </c>
    </row>
    <row r="41" spans="1:6" ht="24" customHeight="1" x14ac:dyDescent="0.15">
      <c r="A41" s="77"/>
      <c r="B41" s="78" t="s">
        <v>710</v>
      </c>
      <c r="C41" s="79" t="s">
        <v>711</v>
      </c>
      <c r="D41" s="79"/>
      <c r="E41" s="80">
        <v>0</v>
      </c>
      <c r="F41" s="81">
        <v>0</v>
      </c>
    </row>
    <row r="42" spans="1:6" ht="24" customHeight="1" x14ac:dyDescent="0.15">
      <c r="A42" s="77" t="s">
        <v>712</v>
      </c>
      <c r="B42" s="78" t="s">
        <v>713</v>
      </c>
      <c r="C42" s="79" t="s">
        <v>714</v>
      </c>
      <c r="D42" s="79"/>
      <c r="E42" s="80">
        <f>E43+E49+E50</f>
        <v>0</v>
      </c>
      <c r="F42" s="81">
        <f>F43+F49+F50</f>
        <v>2680960000</v>
      </c>
    </row>
    <row r="43" spans="1:6" ht="24" customHeight="1" x14ac:dyDescent="0.15">
      <c r="A43" s="77" t="s">
        <v>715</v>
      </c>
      <c r="B43" s="78" t="s">
        <v>716</v>
      </c>
      <c r="C43" s="79" t="s">
        <v>717</v>
      </c>
      <c r="D43" s="79"/>
      <c r="E43" s="80">
        <f>E44+E45+E46+E47+E48</f>
        <v>0</v>
      </c>
      <c r="F43" s="81">
        <f>F44+F45+F46+F47+F48</f>
        <v>0</v>
      </c>
    </row>
    <row r="44" spans="1:6" ht="24" customHeight="1" x14ac:dyDescent="0.15">
      <c r="A44" s="82"/>
      <c r="B44" s="83" t="s">
        <v>718</v>
      </c>
      <c r="C44" s="84" t="s">
        <v>719</v>
      </c>
      <c r="D44" s="84"/>
      <c r="E44" s="85">
        <v>0</v>
      </c>
      <c r="F44" s="86">
        <v>0</v>
      </c>
    </row>
    <row r="45" spans="1:6" ht="24" customHeight="1" x14ac:dyDescent="0.15">
      <c r="A45" s="82"/>
      <c r="B45" s="83" t="s">
        <v>720</v>
      </c>
      <c r="C45" s="84" t="s">
        <v>721</v>
      </c>
      <c r="D45" s="84"/>
      <c r="E45" s="85">
        <v>0</v>
      </c>
      <c r="F45" s="86">
        <v>0</v>
      </c>
    </row>
    <row r="46" spans="1:6" ht="33.950000000000003" customHeight="1" x14ac:dyDescent="0.15">
      <c r="A46" s="82"/>
      <c r="B46" s="83" t="s">
        <v>722</v>
      </c>
      <c r="C46" s="84" t="s">
        <v>723</v>
      </c>
      <c r="D46" s="84"/>
      <c r="E46" s="85">
        <v>0</v>
      </c>
      <c r="F46" s="86">
        <v>0</v>
      </c>
    </row>
    <row r="47" spans="1:6" ht="33.950000000000003" customHeight="1" x14ac:dyDescent="0.15">
      <c r="A47" s="82"/>
      <c r="B47" s="83" t="s">
        <v>724</v>
      </c>
      <c r="C47" s="84" t="s">
        <v>725</v>
      </c>
      <c r="D47" s="84"/>
      <c r="E47" s="85">
        <v>0</v>
      </c>
      <c r="F47" s="86">
        <v>0</v>
      </c>
    </row>
    <row r="48" spans="1:6" ht="24" customHeight="1" x14ac:dyDescent="0.15">
      <c r="A48" s="82"/>
      <c r="B48" s="83" t="s">
        <v>726</v>
      </c>
      <c r="C48" s="84" t="s">
        <v>727</v>
      </c>
      <c r="D48" s="84"/>
      <c r="E48" s="85">
        <v>0</v>
      </c>
      <c r="F48" s="86">
        <v>0</v>
      </c>
    </row>
    <row r="49" spans="1:6" ht="33.950000000000003" customHeight="1" x14ac:dyDescent="0.15">
      <c r="A49" s="77"/>
      <c r="B49" s="78" t="s">
        <v>728</v>
      </c>
      <c r="C49" s="79" t="s">
        <v>729</v>
      </c>
      <c r="D49" s="79"/>
      <c r="E49" s="80">
        <v>0</v>
      </c>
      <c r="F49" s="81">
        <v>0</v>
      </c>
    </row>
    <row r="50" spans="1:6" ht="24" customHeight="1" x14ac:dyDescent="0.15">
      <c r="A50" s="77" t="s">
        <v>730</v>
      </c>
      <c r="B50" s="78" t="s">
        <v>731</v>
      </c>
      <c r="C50" s="79" t="s">
        <v>732</v>
      </c>
      <c r="D50" s="79"/>
      <c r="E50" s="80">
        <f>E51+E52+E53+E54+E55</f>
        <v>0</v>
      </c>
      <c r="F50" s="81">
        <f>F51+F52+F53+F54+F55</f>
        <v>2680960000</v>
      </c>
    </row>
    <row r="51" spans="1:6" ht="24" customHeight="1" x14ac:dyDescent="0.15">
      <c r="A51" s="82"/>
      <c r="B51" s="83" t="s">
        <v>733</v>
      </c>
      <c r="C51" s="84" t="s">
        <v>734</v>
      </c>
      <c r="D51" s="84"/>
      <c r="E51" s="85">
        <v>0</v>
      </c>
      <c r="F51" s="86">
        <v>2680960000</v>
      </c>
    </row>
    <row r="52" spans="1:6" ht="24" customHeight="1" x14ac:dyDescent="0.15">
      <c r="A52" s="82"/>
      <c r="B52" s="83" t="s">
        <v>735</v>
      </c>
      <c r="C52" s="84" t="s">
        <v>736</v>
      </c>
      <c r="D52" s="84"/>
      <c r="E52" s="85">
        <v>0</v>
      </c>
      <c r="F52" s="86">
        <v>0</v>
      </c>
    </row>
    <row r="53" spans="1:6" ht="33.950000000000003" customHeight="1" x14ac:dyDescent="0.15">
      <c r="A53" s="82"/>
      <c r="B53" s="83" t="s">
        <v>737</v>
      </c>
      <c r="C53" s="84" t="s">
        <v>738</v>
      </c>
      <c r="D53" s="84"/>
      <c r="E53" s="85">
        <v>0</v>
      </c>
      <c r="F53" s="86">
        <v>0</v>
      </c>
    </row>
    <row r="54" spans="1:6" ht="33.950000000000003" customHeight="1" x14ac:dyDescent="0.15">
      <c r="A54" s="82"/>
      <c r="B54" s="83" t="s">
        <v>739</v>
      </c>
      <c r="C54" s="84" t="s">
        <v>740</v>
      </c>
      <c r="D54" s="84"/>
      <c r="E54" s="85">
        <v>0</v>
      </c>
      <c r="F54" s="86">
        <v>0</v>
      </c>
    </row>
    <row r="55" spans="1:6" ht="24" customHeight="1" x14ac:dyDescent="0.15">
      <c r="A55" s="82"/>
      <c r="B55" s="83" t="s">
        <v>741</v>
      </c>
      <c r="C55" s="84" t="s">
        <v>742</v>
      </c>
      <c r="D55" s="84"/>
      <c r="E55" s="85">
        <v>0</v>
      </c>
      <c r="F55" s="86">
        <v>0</v>
      </c>
    </row>
    <row r="56" spans="1:6" ht="24" customHeight="1" x14ac:dyDescent="0.15">
      <c r="A56" s="77" t="s">
        <v>743</v>
      </c>
      <c r="B56" s="78" t="s">
        <v>744</v>
      </c>
      <c r="C56" s="79" t="s">
        <v>745</v>
      </c>
      <c r="D56" s="79"/>
      <c r="E56" s="80">
        <f>E57+E58+E63</f>
        <v>0</v>
      </c>
      <c r="F56" s="81">
        <f>F57+F58+F63</f>
        <v>0</v>
      </c>
    </row>
    <row r="57" spans="1:6" ht="44.1" customHeight="1" x14ac:dyDescent="0.15">
      <c r="A57" s="82"/>
      <c r="B57" s="83" t="s">
        <v>746</v>
      </c>
      <c r="C57" s="84" t="s">
        <v>747</v>
      </c>
      <c r="D57" s="84"/>
      <c r="E57" s="85">
        <v>0</v>
      </c>
      <c r="F57" s="86">
        <v>0</v>
      </c>
    </row>
    <row r="58" spans="1:6" ht="24" customHeight="1" x14ac:dyDescent="0.15">
      <c r="A58" s="82"/>
      <c r="B58" s="83" t="s">
        <v>464</v>
      </c>
      <c r="C58" s="84" t="s">
        <v>748</v>
      </c>
      <c r="D58" s="84"/>
      <c r="E58" s="85">
        <f>E59+E60+E61+E62</f>
        <v>0</v>
      </c>
      <c r="F58" s="86">
        <f>F59+F60+F61+F62</f>
        <v>0</v>
      </c>
    </row>
    <row r="59" spans="1:6" ht="24" customHeight="1" x14ac:dyDescent="0.15">
      <c r="A59" s="82"/>
      <c r="B59" s="83" t="s">
        <v>478</v>
      </c>
      <c r="C59" s="84" t="s">
        <v>749</v>
      </c>
      <c r="D59" s="84"/>
      <c r="E59" s="85">
        <v>0</v>
      </c>
      <c r="F59" s="86">
        <v>0</v>
      </c>
    </row>
    <row r="60" spans="1:6" ht="24" customHeight="1" x14ac:dyDescent="0.15">
      <c r="A60" s="82"/>
      <c r="B60" s="83" t="s">
        <v>750</v>
      </c>
      <c r="C60" s="84" t="s">
        <v>751</v>
      </c>
      <c r="D60" s="84"/>
      <c r="E60" s="85">
        <v>0</v>
      </c>
      <c r="F60" s="86">
        <v>0</v>
      </c>
    </row>
    <row r="61" spans="1:6" ht="24" customHeight="1" x14ac:dyDescent="0.15">
      <c r="A61" s="82"/>
      <c r="B61" s="83" t="s">
        <v>482</v>
      </c>
      <c r="C61" s="84" t="s">
        <v>752</v>
      </c>
      <c r="D61" s="84"/>
      <c r="E61" s="85">
        <v>0</v>
      </c>
      <c r="F61" s="86">
        <v>0</v>
      </c>
    </row>
    <row r="62" spans="1:6" ht="33.950000000000003" customHeight="1" x14ac:dyDescent="0.15">
      <c r="A62" s="82"/>
      <c r="B62" s="83" t="s">
        <v>484</v>
      </c>
      <c r="C62" s="84" t="s">
        <v>753</v>
      </c>
      <c r="D62" s="84"/>
      <c r="E62" s="85">
        <v>0</v>
      </c>
      <c r="F62" s="86">
        <v>0</v>
      </c>
    </row>
    <row r="63" spans="1:6" ht="24" customHeight="1" x14ac:dyDescent="0.15">
      <c r="A63" s="82"/>
      <c r="B63" s="83" t="s">
        <v>754</v>
      </c>
      <c r="C63" s="84" t="s">
        <v>755</v>
      </c>
      <c r="D63" s="84"/>
      <c r="E63" s="85">
        <v>0</v>
      </c>
      <c r="F63" s="86">
        <v>0</v>
      </c>
    </row>
    <row r="64" spans="1:6" ht="24" customHeight="1" x14ac:dyDescent="0.15">
      <c r="A64" s="77" t="s">
        <v>756</v>
      </c>
      <c r="B64" s="78" t="s">
        <v>757</v>
      </c>
      <c r="C64" s="79" t="s">
        <v>758</v>
      </c>
      <c r="D64" s="79"/>
      <c r="E64" s="80">
        <v>0</v>
      </c>
      <c r="F64" s="81">
        <v>0</v>
      </c>
    </row>
    <row r="65" spans="1:6" ht="24" customHeight="1" x14ac:dyDescent="0.15">
      <c r="A65" s="72"/>
      <c r="B65" s="73" t="s">
        <v>759</v>
      </c>
      <c r="C65" s="74" t="s">
        <v>760</v>
      </c>
      <c r="D65" s="74"/>
      <c r="E65" s="75">
        <f>E19+E27+E39</f>
        <v>13279452497228</v>
      </c>
      <c r="F65" s="76">
        <f>F19+F27+F39</f>
        <v>12290290785788</v>
      </c>
    </row>
    <row r="66" spans="1:6" ht="24" customHeight="1" x14ac:dyDescent="0.15">
      <c r="A66" s="72" t="s">
        <v>121</v>
      </c>
      <c r="B66" s="73" t="s">
        <v>761</v>
      </c>
      <c r="C66" s="74" t="s">
        <v>121</v>
      </c>
      <c r="D66" s="74"/>
      <c r="E66" s="75">
        <v>0</v>
      </c>
      <c r="F66" s="76">
        <v>0</v>
      </c>
    </row>
    <row r="67" spans="1:6" ht="24" customHeight="1" x14ac:dyDescent="0.15">
      <c r="A67" s="77" t="s">
        <v>4</v>
      </c>
      <c r="B67" s="78" t="s">
        <v>762</v>
      </c>
      <c r="C67" s="79" t="s">
        <v>763</v>
      </c>
      <c r="D67" s="79"/>
      <c r="E67" s="80">
        <v>0</v>
      </c>
      <c r="F67" s="81">
        <v>0</v>
      </c>
    </row>
    <row r="68" spans="1:6" ht="24" customHeight="1" x14ac:dyDescent="0.15">
      <c r="A68" s="77"/>
      <c r="B68" s="78" t="s">
        <v>764</v>
      </c>
      <c r="C68" s="79" t="s">
        <v>765</v>
      </c>
      <c r="D68" s="79"/>
      <c r="E68" s="80">
        <v>0</v>
      </c>
      <c r="F68" s="81">
        <v>0</v>
      </c>
    </row>
    <row r="69" spans="1:6" ht="24" customHeight="1" x14ac:dyDescent="0.15">
      <c r="A69" s="77"/>
      <c r="B69" s="78" t="s">
        <v>766</v>
      </c>
      <c r="C69" s="79" t="s">
        <v>767</v>
      </c>
      <c r="D69" s="79"/>
      <c r="E69" s="80">
        <v>0</v>
      </c>
      <c r="F69" s="81">
        <v>0</v>
      </c>
    </row>
    <row r="70" spans="1:6" ht="24" customHeight="1" x14ac:dyDescent="0.15">
      <c r="A70" s="77" t="s">
        <v>9</v>
      </c>
      <c r="B70" s="78" t="s">
        <v>768</v>
      </c>
      <c r="C70" s="79" t="s">
        <v>769</v>
      </c>
      <c r="D70" s="79"/>
      <c r="E70" s="80">
        <v>228427925000</v>
      </c>
      <c r="F70" s="81">
        <v>0</v>
      </c>
    </row>
    <row r="71" spans="1:6" ht="44.1" customHeight="1" x14ac:dyDescent="0.15">
      <c r="A71" s="77" t="s">
        <v>14</v>
      </c>
      <c r="B71" s="78" t="s">
        <v>770</v>
      </c>
      <c r="C71" s="79" t="s">
        <v>771</v>
      </c>
      <c r="D71" s="79"/>
      <c r="E71" s="80">
        <f>E72+E73</f>
        <v>0</v>
      </c>
      <c r="F71" s="81">
        <f>F72+F73</f>
        <v>0</v>
      </c>
    </row>
    <row r="72" spans="1:6" ht="24" customHeight="1" x14ac:dyDescent="0.15">
      <c r="A72" s="82"/>
      <c r="B72" s="83" t="s">
        <v>772</v>
      </c>
      <c r="C72" s="84" t="s">
        <v>773</v>
      </c>
      <c r="D72" s="84"/>
      <c r="E72" s="85">
        <v>0</v>
      </c>
      <c r="F72" s="86">
        <v>0</v>
      </c>
    </row>
    <row r="73" spans="1:6" ht="33.950000000000003" customHeight="1" x14ac:dyDescent="0.15">
      <c r="A73" s="82"/>
      <c r="B73" s="83" t="s">
        <v>774</v>
      </c>
      <c r="C73" s="84" t="s">
        <v>775</v>
      </c>
      <c r="D73" s="84"/>
      <c r="E73" s="85">
        <v>0</v>
      </c>
      <c r="F73" s="86">
        <v>0</v>
      </c>
    </row>
    <row r="74" spans="1:6" ht="24" customHeight="1" x14ac:dyDescent="0.15">
      <c r="A74" s="77" t="s">
        <v>19</v>
      </c>
      <c r="B74" s="78" t="s">
        <v>776</v>
      </c>
      <c r="C74" s="79" t="s">
        <v>777</v>
      </c>
      <c r="D74" s="79"/>
      <c r="E74" s="80">
        <v>0</v>
      </c>
      <c r="F74" s="81">
        <v>0</v>
      </c>
    </row>
    <row r="75" spans="1:6" ht="24" customHeight="1" x14ac:dyDescent="0.15">
      <c r="A75" s="77" t="s">
        <v>287</v>
      </c>
      <c r="B75" s="78" t="s">
        <v>778</v>
      </c>
      <c r="C75" s="79" t="s">
        <v>779</v>
      </c>
      <c r="D75" s="79"/>
      <c r="E75" s="80">
        <v>0</v>
      </c>
      <c r="F75" s="81">
        <v>0</v>
      </c>
    </row>
    <row r="76" spans="1:6" ht="24" customHeight="1" x14ac:dyDescent="0.15">
      <c r="A76" s="77" t="s">
        <v>289</v>
      </c>
      <c r="B76" s="78" t="s">
        <v>780</v>
      </c>
      <c r="C76" s="79" t="s">
        <v>781</v>
      </c>
      <c r="D76" s="79"/>
      <c r="E76" s="80">
        <f>E77+E78+E79+E80+E81+E82+E83</f>
        <v>1091543192</v>
      </c>
      <c r="F76" s="81">
        <f>F77+F78+F79+F80+F81+F82+F83</f>
        <v>77161790</v>
      </c>
    </row>
    <row r="77" spans="1:6" ht="24" customHeight="1" x14ac:dyDescent="0.15">
      <c r="A77" s="82"/>
      <c r="B77" s="83" t="s">
        <v>782</v>
      </c>
      <c r="C77" s="84" t="s">
        <v>783</v>
      </c>
      <c r="D77" s="84"/>
      <c r="E77" s="85">
        <v>995440366</v>
      </c>
      <c r="F77" s="86">
        <v>0</v>
      </c>
    </row>
    <row r="78" spans="1:6" ht="24" customHeight="1" x14ac:dyDescent="0.15">
      <c r="A78" s="82"/>
      <c r="B78" s="83" t="s">
        <v>784</v>
      </c>
      <c r="C78" s="84" t="s">
        <v>785</v>
      </c>
      <c r="D78" s="84"/>
      <c r="E78" s="85">
        <v>74233044</v>
      </c>
      <c r="F78" s="86">
        <v>56056380</v>
      </c>
    </row>
    <row r="79" spans="1:6" ht="24" customHeight="1" x14ac:dyDescent="0.15">
      <c r="A79" s="82"/>
      <c r="B79" s="83" t="s">
        <v>786</v>
      </c>
      <c r="C79" s="84" t="s">
        <v>787</v>
      </c>
      <c r="D79" s="84"/>
      <c r="E79" s="85">
        <v>0</v>
      </c>
      <c r="F79" s="86">
        <v>0</v>
      </c>
    </row>
    <row r="80" spans="1:6" ht="24" customHeight="1" x14ac:dyDescent="0.15">
      <c r="A80" s="82"/>
      <c r="B80" s="83" t="s">
        <v>788</v>
      </c>
      <c r="C80" s="84" t="s">
        <v>789</v>
      </c>
      <c r="D80" s="84"/>
      <c r="E80" s="85">
        <v>0</v>
      </c>
      <c r="F80" s="86">
        <v>0</v>
      </c>
    </row>
    <row r="81" spans="1:6" ht="33.950000000000003" customHeight="1" x14ac:dyDescent="0.15">
      <c r="A81" s="82"/>
      <c r="B81" s="83" t="s">
        <v>790</v>
      </c>
      <c r="C81" s="84" t="s">
        <v>791</v>
      </c>
      <c r="D81" s="84"/>
      <c r="E81" s="85">
        <v>16495777</v>
      </c>
      <c r="F81" s="86">
        <v>15731405</v>
      </c>
    </row>
    <row r="82" spans="1:6" ht="24" customHeight="1" x14ac:dyDescent="0.15">
      <c r="A82" s="82"/>
      <c r="B82" s="83" t="s">
        <v>792</v>
      </c>
      <c r="C82" s="84" t="s">
        <v>793</v>
      </c>
      <c r="D82" s="84"/>
      <c r="E82" s="85">
        <v>0</v>
      </c>
      <c r="F82" s="86">
        <v>0</v>
      </c>
    </row>
    <row r="83" spans="1:6" ht="24" customHeight="1" x14ac:dyDescent="0.15">
      <c r="A83" s="82"/>
      <c r="B83" s="83" t="s">
        <v>794</v>
      </c>
      <c r="C83" s="84" t="s">
        <v>795</v>
      </c>
      <c r="D83" s="84"/>
      <c r="E83" s="85">
        <v>5374005</v>
      </c>
      <c r="F83" s="86">
        <v>5374005</v>
      </c>
    </row>
    <row r="84" spans="1:6" ht="24" customHeight="1" x14ac:dyDescent="0.15">
      <c r="A84" s="77" t="s">
        <v>292</v>
      </c>
      <c r="B84" s="78" t="s">
        <v>796</v>
      </c>
      <c r="C84" s="79" t="s">
        <v>797</v>
      </c>
      <c r="D84" s="79"/>
      <c r="E84" s="80">
        <v>0</v>
      </c>
      <c r="F84" s="81">
        <v>0</v>
      </c>
    </row>
    <row r="85" spans="1:6" ht="24" customHeight="1" x14ac:dyDescent="0.15">
      <c r="A85" s="77" t="s">
        <v>301</v>
      </c>
      <c r="B85" s="78" t="s">
        <v>798</v>
      </c>
      <c r="C85" s="79" t="s">
        <v>799</v>
      </c>
      <c r="D85" s="79"/>
      <c r="E85" s="80">
        <v>0</v>
      </c>
      <c r="F85" s="81">
        <v>38768996</v>
      </c>
    </row>
    <row r="86" spans="1:6" ht="24" customHeight="1" x14ac:dyDescent="0.15">
      <c r="A86" s="77" t="s">
        <v>314</v>
      </c>
      <c r="B86" s="78" t="s">
        <v>800</v>
      </c>
      <c r="C86" s="79" t="s">
        <v>801</v>
      </c>
      <c r="D86" s="79"/>
      <c r="E86" s="80">
        <f>E87+E88+E93+E94+E95+E96+E97+E98</f>
        <v>14142803916</v>
      </c>
      <c r="F86" s="81">
        <f>F87+F88+F93+F94+F95+F96+F97+F98</f>
        <v>14739119763</v>
      </c>
    </row>
    <row r="87" spans="1:6" ht="24" customHeight="1" x14ac:dyDescent="0.15">
      <c r="A87" s="82" t="s">
        <v>802</v>
      </c>
      <c r="B87" s="83" t="s">
        <v>803</v>
      </c>
      <c r="C87" s="84" t="s">
        <v>804</v>
      </c>
      <c r="D87" s="84"/>
      <c r="E87" s="85">
        <v>8568012792</v>
      </c>
      <c r="F87" s="86">
        <v>8281752276</v>
      </c>
    </row>
    <row r="88" spans="1:6" ht="24" customHeight="1" x14ac:dyDescent="0.15">
      <c r="A88" s="82" t="s">
        <v>805</v>
      </c>
      <c r="B88" s="83" t="s">
        <v>806</v>
      </c>
      <c r="C88" s="84" t="s">
        <v>807</v>
      </c>
      <c r="D88" s="84"/>
      <c r="E88" s="85">
        <f>E89+E90+E91</f>
        <v>222200319</v>
      </c>
      <c r="F88" s="86">
        <f>F89+F90+F91</f>
        <v>211243807</v>
      </c>
    </row>
    <row r="89" spans="1:6" ht="24" customHeight="1" x14ac:dyDescent="0.15">
      <c r="A89" s="82"/>
      <c r="B89" s="83" t="s">
        <v>808</v>
      </c>
      <c r="C89" s="84" t="s">
        <v>809</v>
      </c>
      <c r="D89" s="84"/>
      <c r="E89" s="85">
        <v>214200319</v>
      </c>
      <c r="F89" s="86">
        <v>207043807</v>
      </c>
    </row>
    <row r="90" spans="1:6" ht="24" customHeight="1" x14ac:dyDescent="0.15">
      <c r="A90" s="82"/>
      <c r="B90" s="83" t="s">
        <v>810</v>
      </c>
      <c r="C90" s="84" t="s">
        <v>811</v>
      </c>
      <c r="D90" s="84"/>
      <c r="E90" s="85">
        <v>8000000</v>
      </c>
      <c r="F90" s="86">
        <v>4200000</v>
      </c>
    </row>
    <row r="91" spans="1:6" ht="24" customHeight="1" x14ac:dyDescent="0.15">
      <c r="A91" s="82"/>
      <c r="B91" s="83" t="s">
        <v>812</v>
      </c>
      <c r="C91" s="84" t="s">
        <v>813</v>
      </c>
      <c r="D91" s="84"/>
      <c r="E91" s="85">
        <v>0</v>
      </c>
      <c r="F91" s="86">
        <v>0</v>
      </c>
    </row>
    <row r="92" spans="1:6" ht="44.1" customHeight="1" x14ac:dyDescent="0.15">
      <c r="A92" s="82"/>
      <c r="B92" s="83" t="s">
        <v>814</v>
      </c>
      <c r="C92" s="84" t="s">
        <v>815</v>
      </c>
      <c r="D92" s="84"/>
      <c r="E92" s="85">
        <v>0</v>
      </c>
      <c r="F92" s="86">
        <v>0</v>
      </c>
    </row>
    <row r="93" spans="1:6" ht="24" customHeight="1" x14ac:dyDescent="0.15">
      <c r="A93" s="82" t="s">
        <v>816</v>
      </c>
      <c r="B93" s="83" t="s">
        <v>817</v>
      </c>
      <c r="C93" s="84" t="s">
        <v>818</v>
      </c>
      <c r="D93" s="84"/>
      <c r="E93" s="85">
        <v>235620351</v>
      </c>
      <c r="F93" s="86">
        <v>227748188</v>
      </c>
    </row>
    <row r="94" spans="1:6" ht="24" customHeight="1" x14ac:dyDescent="0.15">
      <c r="A94" s="82" t="s">
        <v>819</v>
      </c>
      <c r="B94" s="83" t="s">
        <v>820</v>
      </c>
      <c r="C94" s="84" t="s">
        <v>821</v>
      </c>
      <c r="D94" s="84"/>
      <c r="E94" s="85">
        <v>471240705</v>
      </c>
      <c r="F94" s="86">
        <v>455496378</v>
      </c>
    </row>
    <row r="95" spans="1:6" ht="24" customHeight="1" x14ac:dyDescent="0.15">
      <c r="A95" s="82" t="s">
        <v>822</v>
      </c>
      <c r="B95" s="83" t="s">
        <v>823</v>
      </c>
      <c r="C95" s="84" t="s">
        <v>824</v>
      </c>
      <c r="D95" s="84"/>
      <c r="E95" s="85">
        <v>5500000</v>
      </c>
      <c r="F95" s="86">
        <v>16500000</v>
      </c>
    </row>
    <row r="96" spans="1:6" ht="33.950000000000003" customHeight="1" x14ac:dyDescent="0.15">
      <c r="A96" s="82" t="s">
        <v>825</v>
      </c>
      <c r="B96" s="83" t="s">
        <v>826</v>
      </c>
      <c r="C96" s="84" t="s">
        <v>827</v>
      </c>
      <c r="D96" s="84"/>
      <c r="E96" s="85">
        <v>2196093346</v>
      </c>
      <c r="F96" s="86">
        <v>1660592549</v>
      </c>
    </row>
    <row r="97" spans="1:6" ht="24" customHeight="1" x14ac:dyDescent="0.15">
      <c r="A97" s="82" t="s">
        <v>828</v>
      </c>
      <c r="B97" s="83" t="s">
        <v>829</v>
      </c>
      <c r="C97" s="84" t="s">
        <v>830</v>
      </c>
      <c r="D97" s="84"/>
      <c r="E97" s="85">
        <v>1756874685</v>
      </c>
      <c r="F97" s="86">
        <v>1328474044</v>
      </c>
    </row>
    <row r="98" spans="1:6" ht="24" customHeight="1" x14ac:dyDescent="0.15">
      <c r="A98" s="82" t="s">
        <v>828</v>
      </c>
      <c r="B98" s="83" t="s">
        <v>831</v>
      </c>
      <c r="C98" s="84" t="s">
        <v>832</v>
      </c>
      <c r="D98" s="84"/>
      <c r="E98" s="85">
        <v>687261718</v>
      </c>
      <c r="F98" s="86">
        <v>2557312521</v>
      </c>
    </row>
    <row r="99" spans="1:6" ht="24" customHeight="1" x14ac:dyDescent="0.15">
      <c r="A99" s="77" t="s">
        <v>321</v>
      </c>
      <c r="B99" s="78" t="s">
        <v>833</v>
      </c>
      <c r="C99" s="79" t="s">
        <v>834</v>
      </c>
      <c r="D99" s="79"/>
      <c r="E99" s="80">
        <f>E100+E101+E102</f>
        <v>0</v>
      </c>
      <c r="F99" s="81">
        <f>F100+F101+F102</f>
        <v>0</v>
      </c>
    </row>
    <row r="100" spans="1:6" ht="24" customHeight="1" x14ac:dyDescent="0.15">
      <c r="A100" s="82" t="s">
        <v>835</v>
      </c>
      <c r="B100" s="83" t="s">
        <v>836</v>
      </c>
      <c r="C100" s="84" t="s">
        <v>837</v>
      </c>
      <c r="D100" s="84"/>
      <c r="E100" s="85">
        <v>0</v>
      </c>
      <c r="F100" s="86">
        <v>0</v>
      </c>
    </row>
    <row r="101" spans="1:6" ht="33.950000000000003" customHeight="1" x14ac:dyDescent="0.15">
      <c r="A101" s="82" t="s">
        <v>838</v>
      </c>
      <c r="B101" s="83" t="s">
        <v>839</v>
      </c>
      <c r="C101" s="84" t="s">
        <v>840</v>
      </c>
      <c r="D101" s="84"/>
      <c r="E101" s="85">
        <v>0</v>
      </c>
      <c r="F101" s="86">
        <v>0</v>
      </c>
    </row>
    <row r="102" spans="1:6" ht="24" customHeight="1" x14ac:dyDescent="0.15">
      <c r="A102" s="82" t="s">
        <v>841</v>
      </c>
      <c r="B102" s="83" t="s">
        <v>842</v>
      </c>
      <c r="C102" s="84" t="s">
        <v>843</v>
      </c>
      <c r="D102" s="84"/>
      <c r="E102" s="85">
        <f>E103+E104+E105+E106+E107</f>
        <v>0</v>
      </c>
      <c r="F102" s="86">
        <f>F103+F104+F105+F106+F107</f>
        <v>0</v>
      </c>
    </row>
    <row r="103" spans="1:6" ht="24" customHeight="1" x14ac:dyDescent="0.15">
      <c r="A103" s="82"/>
      <c r="B103" s="83" t="s">
        <v>844</v>
      </c>
      <c r="C103" s="84" t="s">
        <v>845</v>
      </c>
      <c r="D103" s="84"/>
      <c r="E103" s="85">
        <v>0</v>
      </c>
      <c r="F103" s="86">
        <v>0</v>
      </c>
    </row>
    <row r="104" spans="1:6" ht="24" customHeight="1" x14ac:dyDescent="0.15">
      <c r="A104" s="82"/>
      <c r="B104" s="83" t="s">
        <v>846</v>
      </c>
      <c r="C104" s="84" t="s">
        <v>847</v>
      </c>
      <c r="D104" s="84"/>
      <c r="E104" s="85">
        <v>0</v>
      </c>
      <c r="F104" s="86">
        <v>0</v>
      </c>
    </row>
    <row r="105" spans="1:6" ht="24" customHeight="1" x14ac:dyDescent="0.15">
      <c r="A105" s="77"/>
      <c r="B105" s="78" t="s">
        <v>848</v>
      </c>
      <c r="C105" s="79" t="s">
        <v>849</v>
      </c>
      <c r="D105" s="79"/>
      <c r="E105" s="80">
        <v>0</v>
      </c>
      <c r="F105" s="81">
        <v>0</v>
      </c>
    </row>
    <row r="106" spans="1:6" ht="24" customHeight="1" x14ac:dyDescent="0.15">
      <c r="A106" s="82"/>
      <c r="B106" s="83" t="s">
        <v>850</v>
      </c>
      <c r="C106" s="84" t="s">
        <v>851</v>
      </c>
      <c r="D106" s="84"/>
      <c r="E106" s="85">
        <v>0</v>
      </c>
      <c r="F106" s="86">
        <v>0</v>
      </c>
    </row>
    <row r="107" spans="1:6" ht="24" customHeight="1" x14ac:dyDescent="0.15">
      <c r="A107" s="82"/>
      <c r="B107" s="83" t="s">
        <v>852</v>
      </c>
      <c r="C107" s="84" t="s">
        <v>853</v>
      </c>
      <c r="D107" s="84"/>
      <c r="E107" s="85">
        <v>0</v>
      </c>
      <c r="F107" s="86">
        <v>0</v>
      </c>
    </row>
    <row r="108" spans="1:6" ht="24" customHeight="1" x14ac:dyDescent="0.15">
      <c r="A108" s="72"/>
      <c r="B108" s="73" t="s">
        <v>854</v>
      </c>
      <c r="C108" s="74" t="s">
        <v>855</v>
      </c>
      <c r="D108" s="74"/>
      <c r="E108" s="75">
        <f>E67+E70+E71+E74+E75+E76+E84+E85+E86+E99</f>
        <v>243662272108</v>
      </c>
      <c r="F108" s="76">
        <f>F67+F70+F71+F74+F75+F76+F84+F85+F86+F99</f>
        <v>14855050549</v>
      </c>
    </row>
    <row r="109" spans="1:6" ht="33.950000000000003" customHeight="1" x14ac:dyDescent="0.15">
      <c r="A109" s="72" t="s">
        <v>340</v>
      </c>
      <c r="B109" s="73" t="s">
        <v>856</v>
      </c>
      <c r="C109" s="74" t="s">
        <v>857</v>
      </c>
      <c r="D109" s="74"/>
      <c r="E109" s="75">
        <f>E65-E108</f>
        <v>13035790225120</v>
      </c>
      <c r="F109" s="76">
        <f>F65-F108</f>
        <v>12275435735239</v>
      </c>
    </row>
    <row r="110" spans="1:6" ht="24" customHeight="1" x14ac:dyDescent="0.15">
      <c r="A110" s="77" t="s">
        <v>4</v>
      </c>
      <c r="B110" s="78" t="s">
        <v>858</v>
      </c>
      <c r="C110" s="79" t="s">
        <v>859</v>
      </c>
      <c r="D110" s="79"/>
      <c r="E110" s="80">
        <f>E111+E112</f>
        <v>4722000000000</v>
      </c>
      <c r="F110" s="81">
        <f>F111+F112</f>
        <v>4715000000000</v>
      </c>
    </row>
    <row r="111" spans="1:6" ht="24" customHeight="1" x14ac:dyDescent="0.15">
      <c r="A111" s="77" t="s">
        <v>665</v>
      </c>
      <c r="B111" s="78" t="s">
        <v>860</v>
      </c>
      <c r="C111" s="79" t="s">
        <v>861</v>
      </c>
      <c r="D111" s="79"/>
      <c r="E111" s="80">
        <v>6134000000000</v>
      </c>
      <c r="F111" s="81">
        <v>6086000000000</v>
      </c>
    </row>
    <row r="112" spans="1:6" ht="24" customHeight="1" x14ac:dyDescent="0.15">
      <c r="A112" s="77" t="s">
        <v>675</v>
      </c>
      <c r="B112" s="78" t="s">
        <v>862</v>
      </c>
      <c r="C112" s="79" t="s">
        <v>863</v>
      </c>
      <c r="D112" s="79"/>
      <c r="E112" s="80">
        <v>-1412000000000</v>
      </c>
      <c r="F112" s="81">
        <v>-1371000000000</v>
      </c>
    </row>
    <row r="113" spans="1:6" ht="24" customHeight="1" x14ac:dyDescent="0.15">
      <c r="A113" s="77" t="s">
        <v>9</v>
      </c>
      <c r="B113" s="78" t="s">
        <v>864</v>
      </c>
      <c r="C113" s="79" t="s">
        <v>865</v>
      </c>
      <c r="D113" s="79"/>
      <c r="E113" s="80">
        <v>2222901045827</v>
      </c>
      <c r="F113" s="81">
        <v>2209634918461</v>
      </c>
    </row>
    <row r="114" spans="1:6" ht="24" customHeight="1" x14ac:dyDescent="0.15">
      <c r="A114" s="77" t="s">
        <v>14</v>
      </c>
      <c r="B114" s="78" t="s">
        <v>866</v>
      </c>
      <c r="C114" s="79" t="s">
        <v>867</v>
      </c>
      <c r="D114" s="79"/>
      <c r="E114" s="80">
        <f>E115+E116</f>
        <v>6090889179293</v>
      </c>
      <c r="F114" s="81">
        <f>F115+F116</f>
        <v>5350800816778</v>
      </c>
    </row>
    <row r="115" spans="1:6" ht="24" customHeight="1" x14ac:dyDescent="0.15">
      <c r="A115" s="77" t="s">
        <v>707</v>
      </c>
      <c r="B115" s="78" t="s">
        <v>868</v>
      </c>
      <c r="C115" s="79" t="s">
        <v>869</v>
      </c>
      <c r="D115" s="79"/>
      <c r="E115" s="80">
        <v>5350800816778</v>
      </c>
      <c r="F115" s="81">
        <v>4845659864578</v>
      </c>
    </row>
    <row r="116" spans="1:6" ht="24" customHeight="1" x14ac:dyDescent="0.15">
      <c r="A116" s="77" t="s">
        <v>712</v>
      </c>
      <c r="B116" s="78" t="s">
        <v>870</v>
      </c>
      <c r="C116" s="79" t="s">
        <v>871</v>
      </c>
      <c r="D116" s="79"/>
      <c r="E116" s="80">
        <v>740088362515</v>
      </c>
      <c r="F116" s="81">
        <v>505140952200</v>
      </c>
    </row>
    <row r="117" spans="1:6" ht="33.950000000000003" customHeight="1" x14ac:dyDescent="0.15">
      <c r="A117" s="87" t="s">
        <v>343</v>
      </c>
      <c r="B117" s="88" t="s">
        <v>872</v>
      </c>
      <c r="C117" s="89" t="s">
        <v>873</v>
      </c>
      <c r="D117" s="89"/>
      <c r="E117" s="90">
        <v>27606.5</v>
      </c>
      <c r="F117" s="91">
        <v>26034.85</v>
      </c>
    </row>
    <row r="118" spans="1:6" ht="24" customHeight="1" x14ac:dyDescent="0.15">
      <c r="A118" s="72" t="s">
        <v>356</v>
      </c>
      <c r="B118" s="73" t="s">
        <v>874</v>
      </c>
      <c r="C118" s="74" t="s">
        <v>875</v>
      </c>
      <c r="D118" s="74"/>
      <c r="E118" s="75">
        <f>E119+E120</f>
        <v>0</v>
      </c>
      <c r="F118" s="76">
        <f>F119+F120</f>
        <v>0</v>
      </c>
    </row>
    <row r="119" spans="1:6" ht="24" customHeight="1" x14ac:dyDescent="0.15">
      <c r="A119" s="77" t="s">
        <v>4</v>
      </c>
      <c r="B119" s="78" t="s">
        <v>876</v>
      </c>
      <c r="C119" s="79" t="s">
        <v>877</v>
      </c>
      <c r="D119" s="79"/>
      <c r="E119" s="80">
        <v>0</v>
      </c>
      <c r="F119" s="81">
        <v>0</v>
      </c>
    </row>
    <row r="120" spans="1:6" ht="33.950000000000003" customHeight="1" x14ac:dyDescent="0.15">
      <c r="A120" s="77" t="s">
        <v>9</v>
      </c>
      <c r="B120" s="78" t="s">
        <v>878</v>
      </c>
      <c r="C120" s="79" t="s">
        <v>879</v>
      </c>
      <c r="D120" s="79"/>
      <c r="E120" s="80">
        <v>0</v>
      </c>
      <c r="F120" s="81">
        <v>0</v>
      </c>
    </row>
    <row r="121" spans="1:6" ht="33.950000000000003" customHeight="1" x14ac:dyDescent="0.15">
      <c r="A121" s="72" t="s">
        <v>359</v>
      </c>
      <c r="B121" s="73" t="s">
        <v>880</v>
      </c>
      <c r="C121" s="74" t="s">
        <v>359</v>
      </c>
      <c r="D121" s="74"/>
      <c r="E121" s="75">
        <v>0</v>
      </c>
      <c r="F121" s="76">
        <v>0</v>
      </c>
    </row>
    <row r="122" spans="1:6" ht="24" customHeight="1" x14ac:dyDescent="0.15">
      <c r="A122" s="77" t="s">
        <v>4</v>
      </c>
      <c r="B122" s="78" t="s">
        <v>881</v>
      </c>
      <c r="C122" s="79" t="s">
        <v>882</v>
      </c>
      <c r="D122" s="79"/>
      <c r="E122" s="80">
        <v>0</v>
      </c>
      <c r="F122" s="81">
        <v>0</v>
      </c>
    </row>
    <row r="123" spans="1:6" ht="24" customHeight="1" x14ac:dyDescent="0.15">
      <c r="A123" s="77" t="s">
        <v>9</v>
      </c>
      <c r="B123" s="78" t="s">
        <v>883</v>
      </c>
      <c r="C123" s="79" t="s">
        <v>884</v>
      </c>
      <c r="D123" s="79"/>
      <c r="E123" s="80">
        <v>0</v>
      </c>
      <c r="F123" s="81">
        <v>0</v>
      </c>
    </row>
    <row r="124" spans="1:6" ht="24" customHeight="1" x14ac:dyDescent="0.15">
      <c r="A124" s="77" t="s">
        <v>14</v>
      </c>
      <c r="B124" s="78" t="s">
        <v>885</v>
      </c>
      <c r="C124" s="79" t="s">
        <v>886</v>
      </c>
      <c r="D124" s="79"/>
      <c r="E124" s="80">
        <v>0</v>
      </c>
      <c r="F124" s="81">
        <v>0</v>
      </c>
    </row>
    <row r="125" spans="1:6" ht="24" customHeight="1" x14ac:dyDescent="0.15">
      <c r="A125" s="92" t="s">
        <v>19</v>
      </c>
      <c r="B125" s="93" t="s">
        <v>887</v>
      </c>
      <c r="C125" s="94" t="s">
        <v>888</v>
      </c>
      <c r="D125" s="94"/>
      <c r="E125" s="95">
        <v>472200000</v>
      </c>
      <c r="F125" s="96">
        <v>471500000</v>
      </c>
    </row>
    <row r="126" spans="1:6" ht="10.5" customHeight="1" x14ac:dyDescent="0.15">
      <c r="A126" s="5"/>
      <c r="B126" s="5"/>
      <c r="C126" s="5"/>
      <c r="D126" s="5"/>
      <c r="E126" s="5"/>
      <c r="F126" s="5"/>
    </row>
    <row r="127" spans="1:6" s="128" customFormat="1" ht="24" customHeight="1" x14ac:dyDescent="0.25">
      <c r="A127" s="335" t="s">
        <v>650</v>
      </c>
      <c r="B127" s="335"/>
      <c r="C127" s="335" t="s">
        <v>651</v>
      </c>
      <c r="D127" s="335"/>
      <c r="E127" s="335" t="s">
        <v>228</v>
      </c>
      <c r="F127" s="335"/>
    </row>
    <row r="128" spans="1:6" s="128" customFormat="1" ht="15" customHeight="1" x14ac:dyDescent="0.25">
      <c r="A128" s="336" t="s">
        <v>652</v>
      </c>
      <c r="B128" s="336"/>
      <c r="C128" s="336" t="s">
        <v>652</v>
      </c>
      <c r="D128" s="336"/>
      <c r="E128" s="336" t="s">
        <v>653</v>
      </c>
      <c r="F128" s="336"/>
    </row>
    <row r="129" spans="1:6" ht="97.5" customHeight="1" x14ac:dyDescent="0.15">
      <c r="A129" s="5"/>
      <c r="B129" s="5"/>
      <c r="C129" s="5"/>
      <c r="D129" s="5"/>
      <c r="E129" s="5"/>
      <c r="F129" s="5"/>
    </row>
    <row r="130" spans="1:6" ht="15.75" customHeight="1" x14ac:dyDescent="0.15">
      <c r="A130" s="274" t="s">
        <v>654</v>
      </c>
      <c r="B130" s="274"/>
      <c r="C130" s="274" t="s">
        <v>655</v>
      </c>
      <c r="D130" s="274"/>
      <c r="E130" s="274" t="s">
        <v>230</v>
      </c>
      <c r="F130" s="274"/>
    </row>
  </sheetData>
  <mergeCells count="30">
    <mergeCell ref="A130:B130"/>
    <mergeCell ref="C130:D130"/>
    <mergeCell ref="E130:F130"/>
    <mergeCell ref="A15:B15"/>
    <mergeCell ref="C15:F15"/>
    <mergeCell ref="A127:B127"/>
    <mergeCell ref="C127:D127"/>
    <mergeCell ref="E127:F127"/>
    <mergeCell ref="A128:B128"/>
    <mergeCell ref="C128:D128"/>
    <mergeCell ref="E128:F128"/>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 right="0" top="0.59" bottom="0.17" header="0.5" footer="0.17"/>
  <pageSetup paperSize="9"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28"/>
  <sheetViews>
    <sheetView showGridLines="0" showZeros="0" showOutlineSymbols="0" view="pageBreakPreview" topLeftCell="A7" zoomScaleNormal="100" zoomScaleSheetLayoutView="100" workbookViewId="0">
      <selection activeCell="B18" sqref="B18"/>
    </sheetView>
  </sheetViews>
  <sheetFormatPr defaultRowHeight="10.5" x14ac:dyDescent="0.15"/>
  <cols>
    <col min="1" max="1" width="5.42578125" style="67" customWidth="1"/>
    <col min="2" max="2" width="31.28515625" style="67" customWidth="1"/>
    <col min="3" max="3" width="9.140625" style="67"/>
    <col min="4" max="5" width="22.5703125" style="67" customWidth="1"/>
    <col min="6" max="6" width="5.28515625" style="67" customWidth="1"/>
    <col min="7" max="16384" width="9.140625" style="67"/>
  </cols>
  <sheetData>
    <row r="1" spans="1:5" ht="29.25" customHeight="1" x14ac:dyDescent="0.15">
      <c r="A1" s="97"/>
      <c r="B1" s="337" t="s">
        <v>889</v>
      </c>
      <c r="C1" s="337"/>
      <c r="D1" s="337"/>
      <c r="E1" s="337"/>
    </row>
    <row r="2" spans="1:5" ht="20.25" customHeight="1" x14ac:dyDescent="0.15">
      <c r="A2" s="323" t="s">
        <v>516</v>
      </c>
      <c r="B2" s="323"/>
      <c r="C2" s="323"/>
      <c r="D2" s="323"/>
      <c r="E2" s="323"/>
    </row>
    <row r="3" spans="1:5" ht="6" customHeight="1" x14ac:dyDescent="0.15">
      <c r="A3" s="5"/>
      <c r="B3" s="5"/>
      <c r="C3" s="5"/>
      <c r="D3" s="268"/>
      <c r="E3" s="268"/>
    </row>
    <row r="4" spans="1:5" ht="31.5" customHeight="1" x14ac:dyDescent="0.15">
      <c r="A4" s="338" t="s">
        <v>890</v>
      </c>
      <c r="B4" s="338"/>
      <c r="C4" s="338"/>
      <c r="D4" s="338"/>
      <c r="E4" s="338"/>
    </row>
    <row r="5" spans="1:5" ht="15.75" customHeight="1" x14ac:dyDescent="0.15">
      <c r="A5" s="267" t="s">
        <v>3</v>
      </c>
      <c r="B5" s="267"/>
      <c r="C5" s="267"/>
      <c r="D5" s="267"/>
      <c r="E5" s="267"/>
    </row>
    <row r="6" spans="1:5" ht="3.75" customHeight="1" x14ac:dyDescent="0.15">
      <c r="A6" s="5"/>
      <c r="B6" s="5"/>
      <c r="C6" s="5"/>
      <c r="D6" s="268"/>
      <c r="E6" s="268"/>
    </row>
    <row r="7" spans="1:5" ht="15.75" customHeight="1" x14ac:dyDescent="0.15">
      <c r="A7" s="262" t="s">
        <v>891</v>
      </c>
      <c r="B7" s="262"/>
      <c r="C7" s="262" t="s">
        <v>11</v>
      </c>
      <c r="D7" s="262"/>
      <c r="E7" s="262"/>
    </row>
    <row r="8" spans="1:5" ht="15.75" customHeight="1" x14ac:dyDescent="0.15">
      <c r="A8" s="268" t="s">
        <v>12</v>
      </c>
      <c r="B8" s="268"/>
      <c r="C8" s="268" t="s">
        <v>13</v>
      </c>
      <c r="D8" s="268"/>
      <c r="E8" s="268"/>
    </row>
    <row r="9" spans="1:5" ht="15.75" customHeight="1" x14ac:dyDescent="0.15">
      <c r="A9" s="262" t="s">
        <v>15</v>
      </c>
      <c r="B9" s="262"/>
      <c r="C9" s="262" t="s">
        <v>16</v>
      </c>
      <c r="D9" s="262"/>
      <c r="E9" s="262"/>
    </row>
    <row r="10" spans="1:5" ht="15.75" customHeight="1" x14ac:dyDescent="0.15">
      <c r="A10" s="268" t="s">
        <v>892</v>
      </c>
      <c r="B10" s="268"/>
      <c r="C10" s="268" t="s">
        <v>18</v>
      </c>
      <c r="D10" s="268"/>
      <c r="E10" s="268"/>
    </row>
    <row r="11" spans="1:5" ht="15" customHeight="1" x14ac:dyDescent="0.15">
      <c r="A11" s="262" t="s">
        <v>893</v>
      </c>
      <c r="B11" s="262"/>
      <c r="C11" s="269">
        <v>44504</v>
      </c>
      <c r="D11" s="262"/>
      <c r="E11" s="262"/>
    </row>
    <row r="12" spans="1:5" ht="15.75" customHeight="1" x14ac:dyDescent="0.15">
      <c r="A12" s="268" t="s">
        <v>894</v>
      </c>
      <c r="B12" s="268"/>
      <c r="C12" s="270">
        <v>44504</v>
      </c>
      <c r="D12" s="268"/>
      <c r="E12" s="268"/>
    </row>
    <row r="13" spans="1:5" ht="15.75" customHeight="1" x14ac:dyDescent="0.15">
      <c r="A13" s="69"/>
      <c r="B13" s="69"/>
      <c r="C13" s="69"/>
      <c r="D13" s="272" t="s">
        <v>895</v>
      </c>
      <c r="E13" s="272"/>
    </row>
    <row r="14" spans="1:5" ht="45" customHeight="1" x14ac:dyDescent="0.15">
      <c r="A14" s="7" t="s">
        <v>25</v>
      </c>
      <c r="B14" s="8" t="s">
        <v>896</v>
      </c>
      <c r="C14" s="8" t="s">
        <v>897</v>
      </c>
      <c r="D14" s="8" t="s">
        <v>234</v>
      </c>
      <c r="E14" s="9" t="s">
        <v>235</v>
      </c>
    </row>
    <row r="15" spans="1:5" s="221" customFormat="1" ht="44.1" customHeight="1" x14ac:dyDescent="0.25">
      <c r="A15" s="218" t="s">
        <v>31</v>
      </c>
      <c r="B15" s="219" t="s">
        <v>898</v>
      </c>
      <c r="C15" s="220" t="s">
        <v>899</v>
      </c>
      <c r="D15" s="213">
        <v>12275435735239</v>
      </c>
      <c r="E15" s="214">
        <v>12758713399738</v>
      </c>
    </row>
    <row r="16" spans="1:5" s="221" customFormat="1" ht="44.1" customHeight="1" x14ac:dyDescent="0.25">
      <c r="A16" s="218" t="s">
        <v>121</v>
      </c>
      <c r="B16" s="219" t="s">
        <v>900</v>
      </c>
      <c r="C16" s="220" t="s">
        <v>901</v>
      </c>
      <c r="D16" s="213">
        <v>740088362515</v>
      </c>
      <c r="E16" s="214">
        <v>505140952200</v>
      </c>
    </row>
    <row r="17" spans="1:6" s="221" customFormat="1" ht="44.1" customHeight="1" x14ac:dyDescent="0.25">
      <c r="A17" s="222" t="s">
        <v>124</v>
      </c>
      <c r="B17" s="223" t="s">
        <v>902</v>
      </c>
      <c r="C17" s="224" t="s">
        <v>903</v>
      </c>
      <c r="D17" s="215">
        <v>740088362515</v>
      </c>
      <c r="E17" s="216">
        <v>505140952200</v>
      </c>
    </row>
    <row r="18" spans="1:6" s="221" customFormat="1" ht="44.1" customHeight="1" x14ac:dyDescent="0.25">
      <c r="A18" s="222" t="s">
        <v>126</v>
      </c>
      <c r="B18" s="223" t="s">
        <v>904</v>
      </c>
      <c r="C18" s="224" t="s">
        <v>905</v>
      </c>
      <c r="D18" s="215">
        <v>0</v>
      </c>
      <c r="E18" s="216">
        <v>0</v>
      </c>
    </row>
    <row r="19" spans="1:6" s="221" customFormat="1" ht="66.75" customHeight="1" x14ac:dyDescent="0.25">
      <c r="A19" s="218" t="s">
        <v>340</v>
      </c>
      <c r="B19" s="219" t="s">
        <v>906</v>
      </c>
      <c r="C19" s="220" t="s">
        <v>907</v>
      </c>
      <c r="D19" s="213">
        <v>20266127366</v>
      </c>
      <c r="E19" s="214">
        <v>-988418616699</v>
      </c>
    </row>
    <row r="20" spans="1:6" s="221" customFormat="1" ht="44.1" customHeight="1" x14ac:dyDescent="0.25">
      <c r="A20" s="222" t="s">
        <v>908</v>
      </c>
      <c r="B20" s="223" t="s">
        <v>909</v>
      </c>
      <c r="C20" s="224" t="s">
        <v>910</v>
      </c>
      <c r="D20" s="215">
        <v>129270847718</v>
      </c>
      <c r="E20" s="216">
        <v>155891589825</v>
      </c>
    </row>
    <row r="21" spans="1:6" s="221" customFormat="1" ht="44.1" customHeight="1" x14ac:dyDescent="0.25">
      <c r="A21" s="222" t="s">
        <v>911</v>
      </c>
      <c r="B21" s="223" t="s">
        <v>912</v>
      </c>
      <c r="C21" s="224" t="s">
        <v>913</v>
      </c>
      <c r="D21" s="215">
        <v>-109004720352</v>
      </c>
      <c r="E21" s="216">
        <v>-1144310206524</v>
      </c>
    </row>
    <row r="22" spans="1:6" s="221" customFormat="1" ht="44.1" customHeight="1" x14ac:dyDescent="0.25">
      <c r="A22" s="218" t="s">
        <v>343</v>
      </c>
      <c r="B22" s="219" t="s">
        <v>914</v>
      </c>
      <c r="C22" s="220" t="s">
        <v>915</v>
      </c>
      <c r="D22" s="213">
        <v>13035790225120</v>
      </c>
      <c r="E22" s="214">
        <v>12275435735239</v>
      </c>
    </row>
    <row r="23" spans="1:6" s="221" customFormat="1" ht="44.1" customHeight="1" x14ac:dyDescent="0.25">
      <c r="A23" s="225" t="s">
        <v>356</v>
      </c>
      <c r="B23" s="226" t="s">
        <v>916</v>
      </c>
      <c r="C23" s="227" t="s">
        <v>917</v>
      </c>
      <c r="D23" s="12">
        <v>27606.5</v>
      </c>
      <c r="E23" s="217">
        <v>26034.85</v>
      </c>
    </row>
    <row r="24" spans="1:6" ht="9" customHeight="1" x14ac:dyDescent="0.15">
      <c r="A24" s="268"/>
      <c r="B24" s="268"/>
      <c r="C24" s="268"/>
      <c r="D24" s="268"/>
      <c r="E24" s="5"/>
    </row>
    <row r="25" spans="1:6" s="128" customFormat="1" ht="22.5" customHeight="1" x14ac:dyDescent="0.25">
      <c r="A25" s="274" t="s">
        <v>650</v>
      </c>
      <c r="B25" s="274"/>
      <c r="C25" s="274" t="s">
        <v>651</v>
      </c>
      <c r="D25" s="274"/>
      <c r="E25" s="335" t="s">
        <v>228</v>
      </c>
      <c r="F25" s="335"/>
    </row>
    <row r="26" spans="1:6" x14ac:dyDescent="0.15">
      <c r="A26" s="330" t="s">
        <v>652</v>
      </c>
      <c r="B26" s="330"/>
      <c r="C26" s="275" t="s">
        <v>652</v>
      </c>
      <c r="D26" s="275"/>
      <c r="E26" s="330" t="s">
        <v>653</v>
      </c>
      <c r="F26" s="330"/>
    </row>
    <row r="27" spans="1:6" ht="82.5" customHeight="1" x14ac:dyDescent="0.15">
      <c r="A27" s="268"/>
      <c r="B27" s="268"/>
      <c r="C27" s="268"/>
      <c r="D27" s="268"/>
      <c r="E27" s="5"/>
    </row>
    <row r="28" spans="1:6" ht="15.75" customHeight="1" x14ac:dyDescent="0.15">
      <c r="A28" s="274" t="s">
        <v>654</v>
      </c>
      <c r="B28" s="274"/>
      <c r="C28" s="274" t="s">
        <v>655</v>
      </c>
      <c r="D28" s="274"/>
      <c r="E28" s="274" t="s">
        <v>230</v>
      </c>
      <c r="F28" s="274"/>
    </row>
  </sheetData>
  <mergeCells count="32">
    <mergeCell ref="A28:B28"/>
    <mergeCell ref="C28:D28"/>
    <mergeCell ref="E28:F28"/>
    <mergeCell ref="D13:E13"/>
    <mergeCell ref="A24:B24"/>
    <mergeCell ref="C24:D24"/>
    <mergeCell ref="A25:B25"/>
    <mergeCell ref="C25:D25"/>
    <mergeCell ref="E25:F25"/>
    <mergeCell ref="A26:B26"/>
    <mergeCell ref="C26:D26"/>
    <mergeCell ref="E26:F26"/>
    <mergeCell ref="A27:B27"/>
    <mergeCell ref="C27:D27"/>
    <mergeCell ref="A10:B10"/>
    <mergeCell ref="C10:E10"/>
    <mergeCell ref="A11:B11"/>
    <mergeCell ref="C11:E11"/>
    <mergeCell ref="A12:B12"/>
    <mergeCell ref="C12:E12"/>
    <mergeCell ref="A7:B7"/>
    <mergeCell ref="C7:E7"/>
    <mergeCell ref="A8:B8"/>
    <mergeCell ref="C8:E8"/>
    <mergeCell ref="A9:B9"/>
    <mergeCell ref="C9:E9"/>
    <mergeCell ref="D6:E6"/>
    <mergeCell ref="B1:E1"/>
    <mergeCell ref="A2:E2"/>
    <mergeCell ref="D3:E3"/>
    <mergeCell ref="A4:E4"/>
    <mergeCell ref="A5:E5"/>
  </mergeCells>
  <printOptions horizontalCentered="1"/>
  <pageMargins left="0.34"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exmAKKtCaLVyXWP18U+TsZjS2QQ=</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I5J4DHQqHyalsn7AuMO5Cax9Zj0=</DigestValue>
    </Reference>
  </SignedInfo>
  <SignatureValue>ob+WhLVsEAOogW1DckJqApSrW2Zn2JQXRa3l2ZxmFoKYO+Mrdm/6N6ZhExrLMePxHxgjQU2kMCco
S6et11biTi+DYOi24U8WRU5Z8CGXg1HKVxgMY9GAzEGnQme4CH8fpW36h/QO5QDHkiUMOh0KSVby
DG71revot3W/E/dQl7g=</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worksheets/sheet7.xml?ContentType=application/vnd.openxmlformats-officedocument.spreadsheetml.worksheet+xml">
        <DigestMethod Algorithm="http://www.w3.org/2000/09/xmldsig#sha1"/>
        <DigestValue>hh1vEBn0+ldmwaqr1Zj4IKqjiZ8=</DigestValue>
      </Reference>
      <Reference URI="/xl/drawings/drawing6.xml?ContentType=application/vnd.openxmlformats-officedocument.drawing+xml">
        <DigestMethod Algorithm="http://www.w3.org/2000/09/xmldsig#sha1"/>
        <DigestValue>YUbR9xYghN+cUfPhHlllmlkrCL4=</DigestValue>
      </Reference>
      <Reference URI="/xl/printerSettings/printerSettings8.bin?ContentType=application/vnd.openxmlformats-officedocument.spreadsheetml.printerSettings">
        <DigestMethod Algorithm="http://www.w3.org/2000/09/xmldsig#sha1"/>
        <DigestValue>wLg5NkNPVkmqad2/GVoZoZYF8xU=</DigestValue>
      </Reference>
      <Reference URI="/xl/drawings/drawing2.xml?ContentType=application/vnd.openxmlformats-officedocument.drawing+xml">
        <DigestMethod Algorithm="http://www.w3.org/2000/09/xmldsig#sha1"/>
        <DigestValue>WfVXqkf5kftvcU8KMp6Fsh8rz3A=</DigestValue>
      </Reference>
      <Reference URI="/xl/sharedStrings.xml?ContentType=application/vnd.openxmlformats-officedocument.spreadsheetml.sharedStrings+xml">
        <DigestMethod Algorithm="http://www.w3.org/2000/09/xmldsig#sha1"/>
        <DigestValue>JLt9VS1qZsCQMN0drDandbZtQ3w=</DigestValue>
      </Reference>
      <Reference URI="/xl/printerSettings/printerSettings1.bin?ContentType=application/vnd.openxmlformats-officedocument.spreadsheetml.printerSettings">
        <DigestMethod Algorithm="http://www.w3.org/2000/09/xmldsig#sha1"/>
        <DigestValue>wLg5NkNPVkmqad2/GVoZoZYF8xU=</DigestValue>
      </Reference>
      <Reference URI="/xl/drawings/drawing3.xml?ContentType=application/vnd.openxmlformats-officedocument.drawing+xml">
        <DigestMethod Algorithm="http://www.w3.org/2000/09/xmldsig#sha1"/>
        <DigestValue>19N8MBroQJnQS3h58iJeoAW+8V4=</DigestValue>
      </Reference>
      <Reference URI="/xl/drawings/drawing4.xml?ContentType=application/vnd.openxmlformats-officedocument.drawing+xml">
        <DigestMethod Algorithm="http://www.w3.org/2000/09/xmldsig#sha1"/>
        <DigestValue>NTVZ1cf5nymUYQqXnw77YgVDNVs=</DigestValue>
      </Reference>
      <Reference URI="/xl/printerSettings/printerSettings2.bin?ContentType=application/vnd.openxmlformats-officedocument.spreadsheetml.printerSettings">
        <DigestMethod Algorithm="http://www.w3.org/2000/09/xmldsig#sha1"/>
        <DigestValue>wLg5NkNPVkmqad2/GVoZoZYF8xU=</DigestValue>
      </Reference>
      <Reference URI="/xl/theme/theme1.xml?ContentType=application/vnd.openxmlformats-officedocument.theme+xml">
        <DigestMethod Algorithm="http://www.w3.org/2000/09/xmldsig#sha1"/>
        <DigestValue>9qmLS+LilE9mSl2hTMj5oHE8VR8=</DigestValue>
      </Reference>
      <Reference URI="/xl/worksheets/sheet6.xml?ContentType=application/vnd.openxmlformats-officedocument.spreadsheetml.worksheet+xml">
        <DigestMethod Algorithm="http://www.w3.org/2000/09/xmldsig#sha1"/>
        <DigestValue>abBSESKajBPwvsMF5umEh8NrIIQ=</DigestValue>
      </Reference>
      <Reference URI="/xl/worksheets/sheet8.xml?ContentType=application/vnd.openxmlformats-officedocument.spreadsheetml.worksheet+xml">
        <DigestMethod Algorithm="http://www.w3.org/2000/09/xmldsig#sha1"/>
        <DigestValue>sBtQAsCoSX/3seGqCmiByW73jOo=</DigestValue>
      </Reference>
      <Reference URI="/xl/worksheets/sheet5.xml?ContentType=application/vnd.openxmlformats-officedocument.spreadsheetml.worksheet+xml">
        <DigestMethod Algorithm="http://www.w3.org/2000/09/xmldsig#sha1"/>
        <DigestValue>/VowhvnnDCXg58fibbQSqVJS8o8=</DigestValue>
      </Reference>
      <Reference URI="/xl/drawings/drawing1.xml?ContentType=application/vnd.openxmlformats-officedocument.drawing+xml">
        <DigestMethod Algorithm="http://www.w3.org/2000/09/xmldsig#sha1"/>
        <DigestValue>tyQgZBcleHMb3UfoCqxrPpe9CtM=</DigestValue>
      </Reference>
      <Reference URI="/xl/worksheets/sheet9.xml?ContentType=application/vnd.openxmlformats-officedocument.spreadsheetml.worksheet+xml">
        <DigestMethod Algorithm="http://www.w3.org/2000/09/xmldsig#sha1"/>
        <DigestValue>E4sMu8cucGTBIipAOgVQT6pauB8=</DigestValue>
      </Reference>
      <Reference URI="/xl/drawings/drawing5.xml?ContentType=application/vnd.openxmlformats-officedocument.drawing+xml">
        <DigestMethod Algorithm="http://www.w3.org/2000/09/xmldsig#sha1"/>
        <DigestValue>MNDMK5GUeJ1Pj2PSlM6nISHmuLk=</DigestValue>
      </Reference>
      <Reference URI="/xl/styles.xml?ContentType=application/vnd.openxmlformats-officedocument.spreadsheetml.styles+xml">
        <DigestMethod Algorithm="http://www.w3.org/2000/09/xmldsig#sha1"/>
        <DigestValue>N1GBOZP5JKybk8W/2LeU2rh4lnA=</DigestValue>
      </Reference>
      <Reference URI="/xl/printerSettings/printerSettings3.bin?ContentType=application/vnd.openxmlformats-officedocument.spreadsheetml.printerSettings">
        <DigestMethod Algorithm="http://www.w3.org/2000/09/xmldsig#sha1"/>
        <DigestValue>wLg5NkNPVkmqad2/GVoZoZYF8xU=</DigestValue>
      </Reference>
      <Reference URI="/xl/calcChain.xml?ContentType=application/vnd.openxmlformats-officedocument.spreadsheetml.calcChain+xml">
        <DigestMethod Algorithm="http://www.w3.org/2000/09/xmldsig#sha1"/>
        <DigestValue>h7SvfQyUROciHY60dpRi4YuIwu0=</DigestValue>
      </Reference>
      <Reference URI="/xl/worksheets/sheet2.xml?ContentType=application/vnd.openxmlformats-officedocument.spreadsheetml.worksheet+xml">
        <DigestMethod Algorithm="http://www.w3.org/2000/09/xmldsig#sha1"/>
        <DigestValue>vp2KntrtvKFWoQEdeJwqW/W0lo8=</DigestValue>
      </Reference>
      <Reference URI="/xl/printerSettings/printerSettings6.bin?ContentType=application/vnd.openxmlformats-officedocument.spreadsheetml.printerSettings">
        <DigestMethod Algorithm="http://www.w3.org/2000/09/xmldsig#sha1"/>
        <DigestValue>wLg5NkNPVkmqad2/GVoZoZYF8xU=</DigestValue>
      </Reference>
      <Reference URI="/xl/worksheets/sheet4.xml?ContentType=application/vnd.openxmlformats-officedocument.spreadsheetml.worksheet+xml">
        <DigestMethod Algorithm="http://www.w3.org/2000/09/xmldsig#sha1"/>
        <DigestValue>Yzx9V+GNm2MisHxgLvK7aAdpo0U=</DigestValue>
      </Reference>
      <Reference URI="/xl/printerSettings/printerSettings5.bin?ContentType=application/vnd.openxmlformats-officedocument.spreadsheetml.printerSettings">
        <DigestMethod Algorithm="http://www.w3.org/2000/09/xmldsig#sha1"/>
        <DigestValue>NAeAtySJ2UY6B+Nzw0SfhNImxb0=</DigestValue>
      </Reference>
      <Reference URI="/xl/workbook.xml?ContentType=application/vnd.openxmlformats-officedocument.spreadsheetml.sheet.main+xml">
        <DigestMethod Algorithm="http://www.w3.org/2000/09/xmldsig#sha1"/>
        <DigestValue>e0imCTsNA44/9T3gjWE34tfX4OM=</DigestValue>
      </Reference>
      <Reference URI="/xl/media/image1.jpeg?ContentType=image/jpeg">
        <DigestMethod Algorithm="http://www.w3.org/2000/09/xmldsig#sha1"/>
        <DigestValue>AzE9ld77n5Vj8r0Cfohgo3tQAYo=</DigestValue>
      </Reference>
      <Reference URI="/xl/worksheets/sheet3.xml?ContentType=application/vnd.openxmlformats-officedocument.spreadsheetml.worksheet+xml">
        <DigestMethod Algorithm="http://www.w3.org/2000/09/xmldsig#sha1"/>
        <DigestValue>XrJTbG/2jN7CZ5+yYoH1P+Nh824=</DigestValue>
      </Reference>
      <Reference URI="/xl/drawings/drawing7.xml?ContentType=application/vnd.openxmlformats-officedocument.drawing+xml">
        <DigestMethod Algorithm="http://www.w3.org/2000/09/xmldsig#sha1"/>
        <DigestValue>+ODdgRTBAUtiy1yngFA+a94THuQ=</DigestValue>
      </Reference>
      <Reference URI="/xl/printerSettings/printerSettings4.bin?ContentType=application/vnd.openxmlformats-officedocument.spreadsheetml.printerSettings">
        <DigestMethod Algorithm="http://www.w3.org/2000/09/xmldsig#sha1"/>
        <DigestValue>wLg5NkNPVkmqad2/GVoZoZYF8xU=</DigestValue>
      </Reference>
      <Reference URI="/xl/printerSettings/printerSettings9.bin?ContentType=application/vnd.openxmlformats-officedocument.spreadsheetml.printerSettings">
        <DigestMethod Algorithm="http://www.w3.org/2000/09/xmldsig#sha1"/>
        <DigestValue>wLg5NkNPVkmqad2/GVoZoZYF8xU=</DigestValue>
      </Reference>
      <Reference URI="/xl/worksheets/sheet1.xml?ContentType=application/vnd.openxmlformats-officedocument.spreadsheetml.worksheet+xml">
        <DigestMethod Algorithm="http://www.w3.org/2000/09/xmldsig#sha1"/>
        <DigestValue>SD2bUWoQwT00b4Bw5H5C6+6bHBU=</DigestValue>
      </Reference>
      <Reference URI="/xl/drawings/drawing8.xml?ContentType=application/vnd.openxmlformats-officedocument.drawing+xml">
        <DigestMethod Algorithm="http://www.w3.org/2000/09/xmldsig#sha1"/>
        <DigestValue>kWAOiaR0DmyctnWgtQB2w05VvtY=</DigestValue>
      </Reference>
      <Reference URI="/xl/printerSettings/printerSettings7.bin?ContentType=application/vnd.openxmlformats-officedocument.spreadsheetml.printerSettings">
        <DigestMethod Algorithm="http://www.w3.org/2000/09/xmldsig#sha1"/>
        <DigestValue>wLg5NkNPVkmqad2/GVoZoZYF8xU=</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S4dROHh4domAi1wIR2Hi7qGrRys=</DigestValue>
      </Reference>
    </Manifest>
    <SignatureProperties>
      <SignatureProperty Id="idSignatureTime" Target="#idPackageSignature">
        <mdssi:SignatureTime>
          <mdssi:Format>YYYY-MM-DDThh:mm:ssTZD</mdssi:Format>
          <mdssi:Value>2021-11-03T02:34:04Z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2021-11-03T02:34:04Z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BCGiaodichTaiSan_06141</vt:lpstr>
      <vt:lpstr>Khac_06137</vt:lpstr>
      <vt:lpstr>BCThuNhap_06203</vt:lpstr>
      <vt:lpstr>BCTinhHinhTaiChinh_06105</vt:lpstr>
      <vt:lpstr>GTTSRong_06107</vt:lpstr>
      <vt:lpstr>BCGiaodichTaiSan_06141!Print_Area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2021-11-02T11:17:29Z</dcterms:modified>
</cp:coreProperties>
</file>