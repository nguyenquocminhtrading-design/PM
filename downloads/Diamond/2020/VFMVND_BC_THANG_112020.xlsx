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285" windowWidth="14805" windowHeight="7830"/>
  </bookViews>
  <sheets>
    <sheet name="TONGQUAN" sheetId="9" r:id="rId1"/>
    <sheet name="BCTaiSan_06134" sheetId="8" r:id="rId2"/>
    <sheet name="BCKetQuaHoatDong_06135" sheetId="10" r:id="rId3"/>
    <sheet name="BCDanhMucDauTu_06136" sheetId="11" r:id="rId4"/>
    <sheet name="Khac_06137" sheetId="12" r:id="rId5"/>
    <sheet name="BCGiaodichTaiSan_06141" sheetId="18" r:id="rId6"/>
    <sheet name="BCThuNhap_06203" sheetId="17" r:id="rId7"/>
    <sheet name="BCTinhHinhTaiChinh_06105" sheetId="14" r:id="rId8"/>
    <sheet name="GTTSRong_06107" sheetId="15" r:id="rId9"/>
    <sheet name="DangHD_06182" sheetId="16" r:id="rId10"/>
  </sheets>
  <definedNames>
    <definedName name="_xlnm.Print_Area" localSheetId="5">BCGiaodichTaiSan_06141!$A$1:$K$37</definedName>
    <definedName name="_xlnm.Print_Area" localSheetId="0">TONGQUAN!$A$1:$I$48</definedName>
  </definedNames>
  <calcPr calcId="145621"/>
</workbook>
</file>

<file path=xl/calcChain.xml><?xml version="1.0" encoding="utf-8"?>
<calcChain xmlns="http://schemas.openxmlformats.org/spreadsheetml/2006/main">
  <c r="G75" i="17" l="1"/>
  <c r="F75" i="17"/>
  <c r="E75" i="17"/>
  <c r="D75" i="17"/>
  <c r="G59" i="17"/>
  <c r="F59" i="17"/>
  <c r="E59" i="17"/>
  <c r="D59" i="17"/>
  <c r="G53" i="17"/>
  <c r="F53" i="17"/>
  <c r="E53" i="17"/>
  <c r="D53" i="17"/>
  <c r="G45" i="17"/>
  <c r="F45" i="17"/>
  <c r="E45" i="17"/>
  <c r="D45" i="17"/>
  <c r="G43" i="17"/>
  <c r="F43" i="17"/>
  <c r="E43" i="17"/>
  <c r="D43" i="17"/>
  <c r="G36" i="17"/>
  <c r="F36" i="17"/>
  <c r="E36" i="17"/>
  <c r="E35" i="17" s="1"/>
  <c r="D36" i="17"/>
  <c r="D35" i="17" s="1"/>
  <c r="G35" i="17"/>
  <c r="F35" i="17"/>
  <c r="G26" i="17"/>
  <c r="F26" i="17"/>
  <c r="E26" i="17"/>
  <c r="D26" i="17"/>
  <c r="G23" i="17"/>
  <c r="F23" i="17"/>
  <c r="E23" i="17"/>
  <c r="D23" i="17"/>
  <c r="G20" i="17"/>
  <c r="F20" i="17"/>
  <c r="E20" i="17"/>
  <c r="D20" i="17"/>
  <c r="G19" i="17"/>
  <c r="G74" i="17" s="1"/>
  <c r="G78" i="17" s="1"/>
  <c r="G82" i="17" s="1"/>
  <c r="F19" i="17"/>
  <c r="F74" i="17" s="1"/>
  <c r="F78" i="17" s="1"/>
  <c r="F82" i="17" s="1"/>
  <c r="E19" i="17"/>
  <c r="D19" i="17"/>
  <c r="D74" i="17" l="1"/>
  <c r="D78" i="17" s="1"/>
  <c r="D82" i="17" s="1"/>
  <c r="E74" i="17"/>
  <c r="E78" i="17" s="1"/>
  <c r="E82" i="17" s="1"/>
  <c r="F117" i="14" l="1"/>
  <c r="E117" i="14"/>
  <c r="F113" i="14"/>
  <c r="E113" i="14"/>
  <c r="F109" i="14"/>
  <c r="E109" i="14"/>
  <c r="F101" i="14"/>
  <c r="F98" i="14" s="1"/>
  <c r="E101" i="14"/>
  <c r="E98" i="14" s="1"/>
  <c r="F88" i="14"/>
  <c r="F86" i="14" s="1"/>
  <c r="E88" i="14"/>
  <c r="E86" i="14" s="1"/>
  <c r="F76" i="14"/>
  <c r="E76" i="14"/>
  <c r="F71" i="14"/>
  <c r="E71" i="14"/>
  <c r="E107" i="14" s="1"/>
  <c r="F58" i="14"/>
  <c r="E58" i="14"/>
  <c r="F56" i="14"/>
  <c r="E56" i="14"/>
  <c r="F50" i="14"/>
  <c r="E50" i="14"/>
  <c r="F43" i="14"/>
  <c r="F42" i="14" s="1"/>
  <c r="F39" i="14" s="1"/>
  <c r="E43" i="14"/>
  <c r="E42" i="14" s="1"/>
  <c r="E39" i="14" s="1"/>
  <c r="F28" i="14"/>
  <c r="E28" i="14"/>
  <c r="F27" i="14"/>
  <c r="E27" i="14"/>
  <c r="F20" i="14"/>
  <c r="E20" i="14"/>
  <c r="F19" i="14"/>
  <c r="F65" i="14" s="1"/>
  <c r="E19" i="14"/>
  <c r="E65" i="14" s="1"/>
  <c r="E108" i="14" s="1"/>
  <c r="F107" i="14" l="1"/>
  <c r="F108" i="14" s="1"/>
</calcChain>
</file>

<file path=xl/sharedStrings.xml><?xml version="1.0" encoding="utf-8"?>
<sst xmlns="http://schemas.openxmlformats.org/spreadsheetml/2006/main" count="1462" uniqueCount="1079">
  <si>
    <t>Phụ lục số 07. Mẫu Báo cáo hoạt động đầu tư của quỹ ETF
Appendix 07. Report on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</si>
  <si>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</si>
  <si>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BÁO CÁO HOẠT ĐỘNG ĐẦU TƯ CỦA QUỸ ETF
REPORT ON ETF FUND'S INVESTMENT ACTIVITIES</t>
  </si>
  <si>
    <t>Tại ngày 30 tháng 11  năm 2020 
As at 30 Nov 2020</t>
  </si>
  <si>
    <t>1</t>
  </si>
  <si>
    <t>Tên 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</si>
  <si>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</si>
  <si>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</si>
  <si>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</si>
  <si>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</si>
  <si>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</si>
  <si>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</si>
  <si>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</si>
  <si>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</si>
  <si>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</si>
  <si>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</si>
  <si>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</si>
  <si>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</si>
  <si>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</si>
  <si>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</si>
  <si>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Ngày lập báo cáo:</t>
  </si>
  <si>
    <t>Reporting Date:</t>
  </si>
  <si>
    <t>A. BÁO CÁO CHUNG VỀ HOẠT ĐỘNG ĐẦU TƯ CỦA QUỸ ETF/GENERAL INFOMATION ON ETF FUND'S INVESTMENT ACTIVITIES</t>
  </si>
  <si>
    <t>I. BÁO CÁO VỀ TÀI SẢN CỦA QUỸ/ ASSET REPORT</t>
  </si>
  <si>
    <t>Đơn vị tính/Currency: VND</t>
  </si>
  <si>
    <t>TT
NO</t>
  </si>
  <si>
    <t>Chỉ tiêu
Indicators</t>
  </si>
  <si>
    <t>Mã chỉ tiêu
Code</t>
  </si>
  <si>
    <t>Tại ngày 31 tháng 10  năm 2020 
As at 31 Oct 2020</t>
  </si>
  <si>
    <t>%/cùng kỳ năm trước
%/against last year (*)</t>
  </si>
  <si>
    <t>I</t>
  </si>
  <si>
    <t>Tài sản
Assets</t>
  </si>
  <si>
    <t>2200</t>
  </si>
  <si>
    <t>I.1</t>
  </si>
  <si>
    <t>Tiền gửi ngân hàng và các khoản tương đương tiền
Cash at bank and cash equivalent</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</si>
  <si>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</si>
  <si>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</si>
  <si>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</si>
  <si>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</si>
  <si>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</si>
  <si>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</si>
  <si>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</si>
  <si>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</si>
  <si>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</si>
  <si>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</si>
  <si>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</si>
  <si>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</si>
  <si>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</si>
  <si>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</si>
  <si>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</si>
  <si>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</si>
  <si>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</si>
  <si>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</si>
  <si>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</si>
  <si>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</si>
  <si>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</si>
  <si>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</si>
  <si>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</si>
  <si>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</si>
  <si>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</si>
  <si>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</si>
  <si>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</si>
  <si>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</si>
  <si>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</si>
  <si>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</si>
  <si>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</si>
  <si>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</si>
  <si>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</si>
  <si>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</si>
  <si>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</si>
  <si>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</si>
  <si>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</si>
  <si>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Cổ tức, trái tức được nhận
Dividend, Coupon Receivables</t>
  </si>
  <si>
    <t>2206</t>
  </si>
  <si>
    <t>Phải thu cổ tức
Dividend receivables</t>
  </si>
  <si>
    <t>2206.1</t>
  </si>
  <si>
    <t>Phải thu trái tức
Coupon receivables</t>
  </si>
  <si>
    <t>2206.2</t>
  </si>
  <si>
    <t>I.4</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</si>
  <si>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</si>
  <si>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</si>
  <si>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</si>
  <si>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</si>
  <si>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</si>
  <si>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</si>
  <si>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</si>
  <si>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</si>
  <si>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I.5</t>
  </si>
  <si>
    <t>Tiền bán chứng khoán chờ thu
Securities Trading Receivables</t>
  </si>
  <si>
    <t>2208</t>
  </si>
  <si>
    <t>I.6</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</si>
  <si>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</si>
  <si>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</si>
  <si>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</si>
  <si>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</si>
  <si>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</si>
  <si>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</si>
  <si>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</si>
  <si>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</si>
  <si>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I.7</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</si>
  <si>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</si>
  <si>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</si>
  <si>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</si>
  <si>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</si>
  <si>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</si>
  <si>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</si>
  <si>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</si>
  <si>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</si>
  <si>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</si>
  <si>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</si>
  <si>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</si>
  <si>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</si>
  <si>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</si>
  <si>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</si>
  <si>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</si>
  <si>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</si>
  <si>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</si>
  <si>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</si>
  <si>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</si>
  <si>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</si>
  <si>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</si>
  <si>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</si>
  <si>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</si>
  <si>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</si>
  <si>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</si>
  <si>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</si>
  <si>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</si>
  <si>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</si>
  <si>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</si>
  <si>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</si>
  <si>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</si>
  <si>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</si>
  <si>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</si>
  <si>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</si>
  <si>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</si>
  <si>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</si>
  <si>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</si>
  <si>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</si>
  <si>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</si>
  <si>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</si>
  <si>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</si>
  <si>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</si>
  <si>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</si>
  <si>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</si>
  <si>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</si>
  <si>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</si>
  <si>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</si>
  <si>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</si>
  <si>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</si>
  <si>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</si>
  <si>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</si>
  <si>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</si>
  <si>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</si>
  <si>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</si>
  <si>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</si>
  <si>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</si>
  <si>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</si>
  <si>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</si>
  <si>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</si>
  <si>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</si>
  <si>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</si>
  <si>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</si>
  <si>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</si>
  <si>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</si>
  <si>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</si>
  <si>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</si>
  <si>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</si>
  <si>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</si>
  <si>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</si>
  <si>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</si>
  <si>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</si>
  <si>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</si>
  <si>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</si>
  <si>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</si>
  <si>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</si>
  <si>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</si>
  <si>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</si>
  <si>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</si>
  <si>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Phải trả khác
Other payable</t>
  </si>
  <si>
    <t>2215.17</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</si>
  <si>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</si>
  <si>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</si>
  <si>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</si>
  <si>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</si>
  <si>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</si>
  <si>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</si>
  <si>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</si>
  <si>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</si>
  <si>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</si>
  <si>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</si>
  <si>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</si>
  <si>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</si>
  <si>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</si>
  <si>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</si>
  <si>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</si>
  <si>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</si>
  <si>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</si>
  <si>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2215.18</t>
  </si>
  <si>
    <t>Gốc khoản vay ngắn hạn 
Short-term loans Principal</t>
  </si>
  <si>
    <t>2215.18.1</t>
  </si>
  <si>
    <t>Trich trước lãi vay ngắn hạn
Accrued Interest Expense</t>
  </si>
  <si>
    <t>2215.18.2</t>
  </si>
  <si>
    <t>II.3</t>
  </si>
  <si>
    <t>TỔNG NỢ
TOTAL LIABILITIES</t>
  </si>
  <si>
    <t>2216</t>
  </si>
  <si>
    <t>Tài sản ròng của Quỹ ( = I.8 - II.3)
Net Asset Value ( = I.8 - II.3)</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</si>
  <si>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</si>
  <si>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</si>
  <si>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</si>
  <si>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</si>
  <si>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</si>
  <si>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22/04/2020, so data for 2019 is left blank.</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</si>
  <si>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</si>
  <si>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</si>
  <si>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</si>
  <si>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</si>
  <si>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</si>
  <si>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</si>
  <si>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</si>
  <si>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</si>
  <si>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</si>
  <si>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</si>
  <si>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Kỳ báo cáo:</t>
  </si>
  <si>
    <t>Tại ngày 30 tháng 11 năm 2020/ As at 30 Nov 2020</t>
  </si>
  <si>
    <t>Tháng 11 năm 2020/ Nov 2020</t>
  </si>
  <si>
    <t>Thông tin chung:</t>
  </si>
  <si>
    <t>Công ty Cổ phần Quản lý Quỹ Đầu tư Việt Nam</t>
  </si>
  <si>
    <t>Tên ngân hàng giám sát:</t>
  </si>
  <si>
    <t>Ngân hàng TMCP Ngoại thương Việt Nam - CN TP.HCM</t>
  </si>
  <si>
    <t xml:space="preserve">Supervising bank: </t>
  </si>
  <si>
    <t>Joint Stock Commercial Bank for Foreign Trade of Vietnam - HCMC Branch</t>
  </si>
  <si>
    <t>Quỹ ETF VFMVN Diamond (FUEVFVND)</t>
  </si>
  <si>
    <t xml:space="preserve">Fund name: </t>
  </si>
  <si>
    <t>VFMVN Diamond ETF (FUEVFVND)</t>
  </si>
  <si>
    <t>Người ký báo cáo:</t>
  </si>
  <si>
    <t>Đại diện có thẩm quyền của Công ty quản lý Quỹ</t>
  </si>
  <si>
    <t>Tổng Giám đốc</t>
  </si>
  <si>
    <t>NGÔ THÙY DƯƠNG</t>
  </si>
  <si>
    <t>TRẦN THANH TÂN</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</si>
  <si>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</si>
  <si>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</si>
  <si>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</si>
  <si>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</si>
  <si>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</si>
  <si>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</si>
  <si>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</si>
  <si>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</si>
  <si>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</si>
  <si>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</si>
  <si>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</si>
  <si>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</si>
  <si>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</si>
  <si>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</si>
  <si>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</si>
  <si>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</si>
  <si>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</si>
  <si>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</si>
  <si>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</si>
  <si>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</si>
  <si>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</si>
  <si>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</si>
  <si>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</si>
  <si>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</si>
  <si>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</si>
  <si>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</si>
  <si>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07. Mẫu báo cáo hoạt động đầu tư của quỹ ETF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</si>
  <si>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
(Issued in association with Circular 91/2012/TT-BTC dated 31 Dec 2019 amending and supplementing a number of Circulars guiding on reporting  and administration of Fund Management Companies, Securities Investment Funds and  Securities Investment Companies)</t>
  </si>
  <si>
    <t>Tháng 11 năm 2020 / Nov 2020</t>
  </si>
  <si>
    <t>II. BÁO CÁO KẾT QUẢ HOẠT ĐỘNG / PROFIT AND LOSS REPORT</t>
  </si>
  <si>
    <t>Tháng 11 năm 2020
Nov 2020</t>
  </si>
  <si>
    <t>Tháng 10 năm 2020
Oct 2020</t>
  </si>
  <si>
    <t>Lũy kế từ đầu năm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</si>
  <si>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</si>
  <si>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</si>
  <si>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</si>
  <si>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</si>
  <si>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</si>
  <si>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</si>
  <si>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</si>
  <si>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</si>
  <si>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</si>
  <si>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</si>
  <si>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</si>
  <si>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</si>
  <si>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</si>
  <si>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</si>
  <si>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</si>
  <si>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</si>
  <si>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</si>
  <si>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</si>
  <si>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</si>
  <si>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</si>
  <si>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</si>
  <si>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</si>
  <si>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</si>
  <si>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</si>
  <si>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</si>
  <si>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</si>
  <si>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</si>
  <si>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</si>
  <si>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2226.1</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</si>
  <si>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</si>
  <si>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</si>
  <si>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</si>
  <si>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</si>
  <si>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</si>
  <si>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</si>
  <si>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</si>
  <si>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</si>
  <si>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</si>
  <si>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</si>
  <si>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</si>
  <si>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</si>
  <si>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</si>
  <si>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</si>
  <si>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</si>
  <si>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</si>
  <si>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</si>
  <si>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</si>
  <si>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</si>
  <si>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</si>
  <si>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</si>
  <si>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</si>
  <si>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</si>
  <si>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</si>
  <si>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</si>
  <si>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</si>
  <si>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</si>
  <si>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</si>
  <si>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</si>
  <si>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</si>
  <si>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</si>
  <si>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</si>
  <si>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</si>
  <si>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</si>
  <si>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</si>
  <si>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</si>
  <si>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</si>
  <si>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</si>
  <si>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</si>
  <si>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</si>
  <si>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</si>
  <si>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</si>
  <si>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</si>
  <si>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</si>
  <si>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</si>
  <si>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</si>
  <si>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</si>
  <si>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</si>
  <si>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</si>
  <si>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</si>
  <si>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</si>
  <si>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</si>
  <si>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</si>
  <si>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</si>
  <si>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</si>
  <si>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</si>
  <si>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</si>
  <si>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</si>
  <si>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</si>
  <si>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</si>
  <si>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</si>
  <si>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</si>
  <si>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</si>
  <si>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</si>
  <si>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</si>
  <si>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</si>
  <si>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</si>
  <si>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</si>
  <si>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</si>
  <si>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</si>
  <si>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</si>
  <si>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</si>
  <si>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</si>
  <si>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</si>
  <si>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</si>
  <si>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</si>
  <si>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</si>
  <si>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</si>
  <si>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</si>
  <si>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</si>
  <si>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</si>
  <si>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</si>
  <si>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</si>
  <si>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</si>
  <si>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</si>
  <si>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</si>
  <si>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</si>
  <si>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</si>
  <si>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</si>
  <si>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</si>
  <si>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</si>
  <si>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</si>
  <si>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</si>
  <si>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</si>
  <si>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Thay đổi giá trị tài sản ròng của Quỹ liên quan tới nhà đầu tư trong kỳ
Change of Net Asset Value related to investors during the period</t>
  </si>
  <si>
    <t>2242</t>
  </si>
  <si>
    <t>Thay đổi giá trị tài sản ròng của Quỹ do việc phân phối thu nhập của Quỹ cho các nhà đầu tư trong kỳ
Change of Net Asset Value due to profit distribution to investors during the period</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</si>
  <si>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</si>
  <si>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</si>
  <si>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</si>
  <si>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</si>
  <si>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</si>
  <si>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</si>
  <si>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</si>
  <si>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</si>
  <si>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</si>
  <si>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</si>
  <si>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</si>
  <si>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</si>
  <si>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</si>
  <si>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REPORT ON ETF FUND'S INVESTMENT ACTIVITIES</t>
  </si>
  <si>
    <t>BÁO CÁO HOẠT ĐỘNG ĐẦU TƯ CỦA QUỸ ETF</t>
  </si>
  <si>
    <t>Tại ngày 30 tháng 11 năm 2020 / As at 30 Nov 2020</t>
  </si>
  <si>
    <t>A. BÁO CÁO CHUNG VỀ HOẠT ĐỘNG ĐẦU TƯ CỦA QUỸ ETF / GENERAL INFOMATION ON ETF FUND'S INVESTMENT ACTIVITIES</t>
  </si>
  <si>
    <t>III. BÁO CÁO DANH MỤC ĐẦU TƯ CỦA QUỸ/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</si>
  <si>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</si>
  <si>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</si>
  <si>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</si>
  <si>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</si>
  <si>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</si>
  <si>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</si>
  <si>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2246</t>
  </si>
  <si>
    <t>CTD</t>
  </si>
  <si>
    <t>2246.1</t>
  </si>
  <si>
    <t>CTG</t>
  </si>
  <si>
    <t>2246.2</t>
  </si>
  <si>
    <t>FPT</t>
  </si>
  <si>
    <t>2246.3</t>
  </si>
  <si>
    <t>GMD</t>
  </si>
  <si>
    <t>2246.4</t>
  </si>
  <si>
    <t>KDH</t>
  </si>
  <si>
    <t>2246.5</t>
  </si>
  <si>
    <t>MBB</t>
  </si>
  <si>
    <t>2246.6</t>
  </si>
  <si>
    <t>MWG</t>
  </si>
  <si>
    <t>2246.7</t>
  </si>
  <si>
    <t>NLG</t>
  </si>
  <si>
    <t>2246.8</t>
  </si>
  <si>
    <t>9</t>
  </si>
  <si>
    <t>PNJ</t>
  </si>
  <si>
    <t>2246.9</t>
  </si>
  <si>
    <t>10</t>
  </si>
  <si>
    <t>REE</t>
  </si>
  <si>
    <t>2246.10</t>
  </si>
  <si>
    <t>11</t>
  </si>
  <si>
    <t>TCB</t>
  </si>
  <si>
    <t>2246.11</t>
  </si>
  <si>
    <t>12</t>
  </si>
  <si>
    <t>TPB</t>
  </si>
  <si>
    <t>2246.12</t>
  </si>
  <si>
    <t>13</t>
  </si>
  <si>
    <t>VPB</t>
  </si>
  <si>
    <t>2246.13</t>
  </si>
  <si>
    <t>Tổng</t>
  </si>
  <si>
    <t>2247</t>
  </si>
  <si>
    <t>Cổ phiếu không niêm yết
Unlisted shares</t>
  </si>
  <si>
    <t>2248</t>
  </si>
  <si>
    <t>Tổng
Total</t>
  </si>
  <si>
    <t>2249</t>
  </si>
  <si>
    <t>Tổng các loại cổ phiếu
Total shares</t>
  </si>
  <si>
    <t>2250</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</si>
  <si>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</si>
  <si>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</si>
  <si>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</si>
  <si>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</si>
  <si>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</si>
  <si>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</si>
  <si>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</si>
  <si>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</si>
  <si>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</si>
  <si>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</si>
  <si>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</si>
  <si>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</si>
  <si>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</si>
  <si>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</si>
  <si>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</si>
  <si>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</si>
  <si>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</si>
  <si>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</si>
  <si>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</si>
  <si>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</si>
  <si>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</si>
  <si>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</si>
  <si>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</si>
  <si>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</si>
  <si>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</si>
  <si>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</si>
  <si>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</si>
  <si>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</si>
  <si>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</si>
  <si>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</si>
  <si>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</si>
  <si>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</si>
  <si>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</si>
  <si>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</si>
  <si>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gửi Ngân Hàng
Cash at Bank</t>
  </si>
  <si>
    <t>2259</t>
  </si>
  <si>
    <t>2259.1</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</si>
  <si>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</si>
  <si>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</si>
  <si>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</si>
  <si>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</si>
  <si>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</si>
  <si>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</si>
  <si>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</si>
  <si>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</si>
  <si>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Tổng giá trị danh mục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</si>
  <si>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</si>
  <si>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</si>
  <si>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</si>
  <si>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</si>
  <si>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</si>
  <si>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</si>
  <si>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</si>
  <si>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
Appendix 07. Report on Fund's Investment Activities</t>
  </si>
  <si>
    <t>BÁO CÁO HOẠT ĐỘNG ĐẦU TƯ CỦA QUỸ ETF
REPORT ON FUND'S INVESTMENT ACTIVITIES</t>
  </si>
  <si>
    <t>V. MỘT SỐ CHỈ TIÊU KHÁC / OTHER INDICATORS</t>
  </si>
  <si>
    <t>TT
No.</t>
  </si>
  <si>
    <t>Các chỉ tiêu về hiệu quả hoạt động
Investment performance indicators (*)</t>
  </si>
  <si>
    <t>2264</t>
  </si>
  <si>
    <t>Tỷ lệ phí quản lý trả cho công ty quản lý quỹ/Giá trị tài sản ròng trung bình trong kỳ (%)
Management expense over average NAV ratio (%)</t>
  </si>
  <si>
    <t>2265</t>
  </si>
  <si>
    <t>Tỷ lệ phí lưu ký, giám sát trả cho NHGS/Giá trị tài sản ròng trung bình trong kỳ (%)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</si>
  <si>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</si>
  <si>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</si>
  <si>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</si>
  <si>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</si>
  <si>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</si>
  <si>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</si>
  <si>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</si>
  <si>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</si>
  <si>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</si>
  <si>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</si>
  <si>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</si>
  <si>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</si>
  <si>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</si>
  <si>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</si>
  <si>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</si>
  <si>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</si>
  <si>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</si>
  <si>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</si>
  <si>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</si>
  <si>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</si>
  <si>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</si>
  <si>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</si>
  <si>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</si>
  <si>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</si>
  <si>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</si>
  <si>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</si>
  <si>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</si>
  <si>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</si>
  <si>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</si>
  <si>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</si>
  <si>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</si>
  <si>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</si>
  <si>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</si>
  <si>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</si>
  <si>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</si>
  <si>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</si>
  <si>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</si>
  <si>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</si>
  <si>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</si>
  <si>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</si>
  <si>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</si>
  <si>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</si>
  <si>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</si>
  <si>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</si>
  <si>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</si>
  <si>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</si>
  <si>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</si>
  <si>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</si>
  <si>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</si>
  <si>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</si>
  <si>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</si>
  <si>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</si>
  <si>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Excluding the committed value of the Index Futures contracts.</t>
  </si>
  <si>
    <t>Đại diện có thẩm quyền của ngân hàng giám sát</t>
  </si>
  <si>
    <t>Mã số
Code</t>
  </si>
  <si>
    <t>Thuyết minh
Note</t>
  </si>
  <si>
    <t>NĂM 2020
YEAR 2020</t>
  </si>
  <si>
    <t>NĂM 2019
YEAR 2020</t>
  </si>
  <si>
    <t>Số lũy kế
Year-to-date</t>
  </si>
  <si>
    <t>Tháng 11 năm 2019
Nov 2019</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</si>
  <si>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</si>
  <si>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</si>
  <si>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</si>
  <si>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</si>
  <si>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</si>
  <si>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</si>
  <si>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</si>
  <si>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</si>
  <si>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</si>
  <si>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</si>
  <si>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</si>
  <si>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</si>
  <si>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</si>
  <si>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</si>
  <si>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</si>
  <si>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</si>
  <si>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</si>
  <si>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</si>
  <si>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</si>
  <si>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</si>
  <si>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</si>
  <si>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</si>
  <si>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</si>
  <si>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</si>
  <si>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</si>
  <si>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</si>
  <si>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</si>
  <si>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</si>
  <si>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</si>
  <si>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</si>
  <si>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</si>
  <si>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</si>
  <si>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</si>
  <si>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</si>
  <si>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</si>
  <si>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</si>
  <si>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</si>
  <si>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</si>
  <si>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</si>
  <si>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</si>
  <si>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</si>
  <si>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14</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</si>
  <si>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</si>
  <si>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</si>
  <si>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</si>
  <si>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</si>
  <si>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</si>
  <si>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</si>
  <si>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</si>
  <si>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</si>
  <si>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</si>
  <si>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</si>
  <si>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</si>
  <si>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</si>
  <si>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</si>
  <si>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</si>
  <si>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</si>
  <si>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</si>
  <si>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</si>
  <si>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</si>
  <si>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</si>
  <si>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</si>
  <si>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</si>
  <si>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</si>
  <si>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</si>
  <si>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</si>
  <si>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</si>
  <si>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</si>
  <si>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</si>
  <si>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</si>
  <si>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</si>
  <si>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</si>
  <si>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</si>
  <si>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</si>
  <si>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</si>
  <si>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</si>
  <si>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</si>
  <si>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</si>
  <si>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</si>
  <si>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</si>
  <si>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</si>
  <si>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</si>
  <si>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</si>
  <si>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</si>
  <si>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</si>
  <si>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</si>
  <si>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20.10.05</t>
  </si>
  <si>
    <t>Chi phí thiết lập Quỹ
Setup Expenses</t>
  </si>
  <si>
    <t>20.10.06</t>
  </si>
  <si>
    <t>Phí quản lý thường niên trả UBCKNN
Accrued fee payable to SSC</t>
  </si>
  <si>
    <t>20.10.07</t>
  </si>
  <si>
    <t>20.10.08</t>
  </si>
  <si>
    <t>20.10.09</t>
  </si>
  <si>
    <t>20.10.10</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</si>
  <si>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</si>
  <si>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</si>
  <si>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</si>
  <si>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</si>
  <si>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</si>
  <si>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</si>
  <si>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</si>
  <si>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</si>
  <si>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</si>
  <si>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</si>
  <si>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</si>
  <si>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</si>
  <si>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</si>
  <si>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</si>
  <si>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</si>
  <si>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</si>
  <si>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</si>
  <si>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</si>
  <si>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</si>
  <si>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</si>
  <si>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</si>
  <si>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</si>
  <si>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</si>
  <si>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</si>
  <si>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</si>
  <si>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</si>
  <si>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</si>
  <si>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</si>
  <si>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</si>
  <si>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</si>
  <si>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</si>
  <si>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</si>
  <si>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</si>
  <si>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</si>
  <si>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</si>
  <si>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</si>
  <si>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</si>
  <si>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</si>
  <si>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</si>
  <si>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</si>
  <si>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</si>
  <si>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</si>
  <si>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</si>
  <si>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</si>
  <si>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</si>
  <si>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</si>
  <si>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</si>
  <si>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</si>
  <si>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</si>
  <si>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</si>
  <si>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</si>
  <si>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</si>
  <si>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</si>
  <si>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</si>
  <si>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</si>
  <si>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</si>
  <si>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</si>
  <si>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</si>
  <si>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</si>
  <si>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</si>
  <si>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</si>
  <si>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</si>
  <si>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</si>
  <si>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</si>
  <si>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</si>
  <si>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</si>
  <si>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</si>
  <si>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</si>
  <si>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</si>
  <si>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</si>
  <si>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</si>
  <si>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</si>
  <si>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</si>
  <si>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</si>
  <si>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</si>
  <si>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</si>
  <si>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</si>
  <si>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</si>
  <si>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</si>
  <si>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</si>
  <si>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</si>
  <si>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</si>
  <si>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</si>
  <si>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</si>
  <si>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</si>
  <si>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134.2</t>
  </si>
  <si>
    <t>Phải thu lãi tiền gửi có kỳ hạn dưới 3 tháng
Interest receivables from deposit with term less than three (03) months</t>
  </si>
  <si>
    <t>134.3</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</si>
  <si>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</si>
  <si>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</si>
  <si>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</si>
  <si>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</si>
  <si>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</si>
  <si>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</si>
  <si>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</si>
  <si>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</si>
  <si>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</si>
  <si>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</si>
  <si>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</si>
  <si>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</si>
  <si>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</si>
  <si>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</si>
  <si>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</si>
  <si>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</si>
  <si>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</si>
  <si>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</si>
  <si>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</si>
  <si>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</si>
  <si>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</si>
  <si>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</si>
  <si>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</si>
  <si>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</si>
  <si>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</si>
  <si>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</si>
  <si>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</si>
  <si>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</si>
  <si>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</si>
  <si>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</si>
  <si>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</si>
  <si>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</si>
  <si>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</si>
  <si>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</si>
  <si>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</si>
  <si>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</si>
  <si>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</si>
  <si>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</si>
  <si>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</si>
  <si>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</si>
  <si>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</si>
  <si>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</si>
  <si>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</si>
  <si>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</si>
  <si>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</si>
  <si>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</si>
  <si>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</si>
  <si>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</si>
  <si>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</si>
  <si>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</si>
  <si>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</si>
  <si>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</si>
  <si>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</si>
  <si>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</si>
  <si>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</si>
  <si>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</si>
  <si>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</si>
  <si>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</si>
  <si>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</si>
  <si>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</si>
  <si>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</si>
  <si>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</si>
  <si>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</si>
  <si>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</si>
  <si>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</si>
  <si>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</si>
  <si>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</si>
  <si>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</si>
  <si>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</si>
  <si>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</si>
  <si>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</si>
  <si>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</si>
  <si>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</si>
  <si>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</si>
  <si>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</si>
  <si>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</si>
  <si>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</si>
  <si>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</si>
  <si>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</si>
  <si>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</si>
  <si>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</si>
  <si>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</si>
  <si>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</si>
  <si>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</si>
  <si>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</si>
  <si>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</si>
  <si>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</si>
  <si>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</si>
  <si>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</si>
  <si>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</si>
  <si>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</si>
  <si>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</si>
  <si>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</si>
  <si>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</si>
  <si>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</si>
  <si>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</si>
  <si>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</si>
  <si>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</si>
  <si>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</si>
  <si>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</si>
  <si>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</si>
  <si>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</si>
  <si>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</si>
  <si>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</si>
  <si>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</si>
  <si>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</si>
  <si>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</si>
  <si>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</si>
  <si>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</si>
  <si>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</si>
  <si>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</si>
  <si>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</si>
  <si>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</si>
  <si>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</si>
  <si>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</si>
  <si>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</si>
  <si>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320.3.1</t>
  </si>
  <si>
    <t>320.3.2</t>
  </si>
  <si>
    <t>Phí đăng ký niêm yết trả HOSE
Listed register fee payable to HOSE</t>
  </si>
  <si>
    <t>320.3.3</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</si>
  <si>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</si>
  <si>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</si>
  <si>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</si>
  <si>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</si>
  <si>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</si>
  <si>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</si>
  <si>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</si>
  <si>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</si>
  <si>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</si>
  <si>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</si>
  <si>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</si>
  <si>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</si>
  <si>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</si>
  <si>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</si>
  <si>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</si>
  <si>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</si>
  <si>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</si>
  <si>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</si>
  <si>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</si>
  <si>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</si>
  <si>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</si>
  <si>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</si>
  <si>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</si>
  <si>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</si>
  <si>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</si>
  <si>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</si>
  <si>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</si>
  <si>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</si>
  <si>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</si>
  <si>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</si>
  <si>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</si>
  <si>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</si>
  <si>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</si>
  <si>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</si>
  <si>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</si>
  <si>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</si>
  <si>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</si>
  <si>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</si>
  <si>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</si>
  <si>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</si>
  <si>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Tổng giám đốc</t>
  </si>
  <si>
    <t>(Ký, họ tên)</t>
  </si>
  <si>
    <t>(Ký, họ tên, đóng dấu)</t>
  </si>
  <si>
    <t>Vương Thị Trâm Anh</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</si>
  <si>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</si>
  <si>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</si>
  <si>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</si>
  <si>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</si>
  <si>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</si>
  <si>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</si>
  <si>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</si>
  <si>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STT
No</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</si>
  <si>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</si>
  <si>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</si>
  <si>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</si>
  <si>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</si>
  <si>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</si>
  <si>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</si>
  <si>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</si>
  <si>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</si>
  <si>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</si>
  <si>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</si>
  <si>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</si>
  <si>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</si>
  <si>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</si>
  <si>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</si>
  <si>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</si>
  <si>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</si>
  <si>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</si>
  <si>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</si>
  <si>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</si>
  <si>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</si>
  <si>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</si>
  <si>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</si>
  <si>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</si>
  <si>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t>
  </si>
  <si>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</si>
  <si>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</si>
  <si>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</si>
  <si>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</si>
  <si>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Mã chứng khoán:</t>
  </si>
  <si>
    <t>FUEVFVND</t>
  </si>
  <si>
    <t>Code:</t>
  </si>
  <si>
    <t>Đơn vị tính/ Currency: VND</t>
  </si>
  <si>
    <t>STT
NO</t>
  </si>
  <si>
    <t>CHỈ TIÊU
CRITERIA</t>
  </si>
  <si>
    <t>MÃ SỐ
Item No</t>
  </si>
  <si>
    <t>KỲ BÁO CÁO
THIS PERIOD
30/11/2020</t>
  </si>
  <si>
    <t>KỲ TRƯỚC
LAST PERIOD
 31/10/2020</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</si>
  <si>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</si>
  <si>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</si>
  <si>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</si>
  <si>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</si>
  <si>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</si>
  <si>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</si>
  <si>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</si>
  <si>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</si>
  <si>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</si>
  <si>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</si>
  <si>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</si>
  <si>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</si>
  <si>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</si>
  <si>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</si>
  <si>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</si>
  <si>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</si>
  <si>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</si>
  <si>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</si>
  <si>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</si>
  <si>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</si>
  <si>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</si>
  <si>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</si>
  <si>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</si>
  <si>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</si>
  <si>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</si>
  <si>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</si>
  <si>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</si>
  <si>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</si>
  <si>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</si>
  <si>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</si>
  <si>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</si>
  <si>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</si>
  <si>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</si>
  <si>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</si>
  <si>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</si>
  <si>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</si>
  <si>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</si>
  <si>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</si>
  <si>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</si>
  <si>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</si>
  <si>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</si>
  <si>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</si>
  <si>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</si>
  <si>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</si>
  <si>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</si>
  <si>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</si>
  <si>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</si>
  <si>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</si>
  <si>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</si>
  <si>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</si>
  <si>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</si>
  <si>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</si>
  <si>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</si>
  <si>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</si>
  <si>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</si>
  <si>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</si>
  <si>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</si>
  <si>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</si>
  <si>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</si>
  <si>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</si>
  <si>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Mẫu số B01g - ETF. Báo cáo thu nhập
Template B01g - ETF. Statement of Comprehensive Income</t>
  </si>
  <si>
    <t>BÁO CÁO THU NHẬP</t>
  </si>
  <si>
    <t>STATEMENT OF COMPREHENSIVE INCOME</t>
  </si>
  <si>
    <t>Joint Stock Commercial Bank for Foreign Trade of Vietnam</t>
  </si>
  <si>
    <t>JSC Bank for Foreign Trade of Vietnam-HCMC Branch</t>
  </si>
  <si>
    <t>Phạm Thanh Dũng</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</si>
  <si>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</si>
  <si>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</si>
  <si>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</si>
  <si>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</si>
  <si>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</si>
  <si>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</si>
  <si>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</si>
  <si>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</si>
  <si>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</si>
  <si>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</si>
  <si>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</si>
  <si>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</si>
  <si>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</si>
  <si>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</si>
  <si>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</si>
  <si>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</si>
  <si>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</si>
  <si>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</si>
  <si>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</si>
  <si>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</si>
  <si>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</si>
  <si>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</si>
  <si>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</si>
  <si>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</si>
  <si>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</si>
  <si>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</si>
  <si>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</si>
  <si>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</si>
  <si>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</si>
  <si>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</si>
  <si>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</si>
  <si>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</si>
  <si>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</si>
  <si>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</si>
  <si>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</si>
  <si>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</si>
  <si>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</si>
  <si>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xml:space="preserve">Đơn vị tính/Currency: VND   </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</si>
</sst>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_);_(* \(#,##0.00\);_(* &quot;-&quot;??_);_(@_)"/>
    <numFmt numFmtId="164" formatCode="#,##0.00%"/>
    <numFmt numFmtId="165" formatCode="[$-409]d\-mmm\-yyyy;@"/>
    <numFmt numFmtId="166" formatCode="dd/mmm/yyyy"/>
    <numFmt numFmtId="167" formatCode="_-* #,##0.00\ _₫_-;\-* #,##0.00\ _₫_-;_-* &quot;-&quot;??\ _₫_-;_-@_-"/>
    <numFmt numFmtId="168" formatCode="#,##0;\(#,##0\);"/>
    <numFmt numFmtId="169" formatCode="&quot;&quot;#,##0"/>
    <numFmt numFmtId="170" formatCode="#,##0;\(#,##0\);\ "/>
    <numFmt numFmtId="171" formatCode="#,##0.00;\(#,##0.00\);\ "/>
    <numFmt numFmtId="172" formatCode="#0.00%;\(#0.00\)%;\ "/>
    <numFmt numFmtId="173" formatCode="_(* #,##0_);_(* \(#,##0\);_(* &quot;-&quot;??_);_(@_)"/>
    <numFmt numFmtId="174" formatCode="[$-1010000]d/m/yyyy;@"/>
    <numFmt numFmtId="175" formatCode="dd\ mmm\ yyyy"/>
  </numFmts>
  <fonts count="47">
    <font>
      <sz val="11"/>
      <color theme="1"/>
      <name val="Calibri"/>
      <family val="2"/>
      <scheme val="minor"/>
    </font>
    <font>
      <sz val="10"/>
      <color theme="1"/>
      <name val="Calibri"/>
      <family val="2"/>
      <scheme val="minor"/>
    </font>
    <font>
      <sz val="11"/>
      <color theme="1"/>
      <name val="Calibri"/>
      <family val="2"/>
      <scheme val="minor"/>
    </font>
    <font>
      <sz val="9.75"/>
      <color rgb="FF000000"/>
      <name val="Times New Roman"/>
      <family val="2"/>
    </font>
    <font>
      <b/>
      <sz val="8"/>
      <color rgb="FF000000"/>
      <name val="Tahoma"/>
      <family val="2"/>
    </font>
    <font>
      <i/>
      <sz val="7.5"/>
      <color rgb="FF000000"/>
      <name val="Tahoma"/>
      <family val="2"/>
    </font>
    <font>
      <b/>
      <sz val="10"/>
      <color rgb="FF000000"/>
      <name val="Tahoma"/>
      <family val="2"/>
    </font>
    <font>
      <i/>
      <sz val="8"/>
      <color rgb="FF000000"/>
      <name val="Tahoma"/>
      <family val="2"/>
    </font>
    <font>
      <sz val="8"/>
      <color rgb="FF000000"/>
      <name val="Tahoma"/>
      <family val="2"/>
    </font>
    <font>
      <i/>
      <sz val="9.75"/>
      <color rgb="FF000000"/>
      <name val="Tahoma"/>
      <family val="2"/>
    </font>
    <font>
      <b/>
      <sz val="9.75"/>
      <color rgb="FF000000"/>
      <name val="Times New Roman"/>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1"/>
      <color indexed="8"/>
      <name val="Calibri"/>
      <family val="2"/>
      <scheme val="minor"/>
    </font>
    <font>
      <sz val="10"/>
      <color theme="1"/>
      <name val="Arial"/>
      <family val="2"/>
    </font>
    <font>
      <i/>
      <sz val="7"/>
      <color rgb="FF000000"/>
      <name val="Tahoma"/>
      <family val="2"/>
    </font>
    <font>
      <i/>
      <sz val="9.75"/>
      <color rgb="FF000000"/>
      <name val="Times New Roman"/>
      <family val="2"/>
    </font>
    <font>
      <b/>
      <sz val="9"/>
      <color rgb="FF000000"/>
      <name val="Tahoma"/>
      <family val="2"/>
    </font>
    <font>
      <sz val="9.75"/>
      <color rgb="FF000000"/>
      <name val="Tahoma"/>
      <family val="2"/>
    </font>
    <font>
      <sz val="7.9"/>
      <color rgb="FF000000"/>
      <name val="Tahoma"/>
      <family val="2"/>
    </font>
    <font>
      <i/>
      <sz val="6.5"/>
      <color rgb="FF000000"/>
      <name val="Times New Roman"/>
      <family val="2"/>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8"/>
      <color indexed="8"/>
      <name val="Tahoma"/>
      <family val="2"/>
    </font>
    <font>
      <b/>
      <sz val="8"/>
      <color theme="1"/>
      <name val="Tahoma"/>
      <family val="2"/>
    </font>
    <font>
      <sz val="8"/>
      <name val="Tahoma"/>
      <family val="2"/>
    </font>
    <font>
      <b/>
      <sz val="8"/>
      <name val="Tahoma"/>
      <family val="2"/>
    </font>
    <font>
      <sz val="11"/>
      <color theme="1"/>
      <name val="Tahoma"/>
      <family val="2"/>
    </font>
    <font>
      <b/>
      <sz val="9.75"/>
      <color rgb="FF000000"/>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F0"/>
        <bgColor indexed="64"/>
      </patternFill>
    </fill>
  </fills>
  <borders count="49">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A0A0A0"/>
      </right>
      <top/>
      <bottom style="thin">
        <color rgb="FFA0A0A0"/>
      </bottom>
      <diagonal/>
    </border>
    <border>
      <left/>
      <right style="thin">
        <color rgb="FF000000"/>
      </right>
      <top/>
      <bottom style="thin">
        <color rgb="FFA0A0A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A0A0A0"/>
      </bottom>
      <diagonal/>
    </border>
    <border>
      <left style="thin">
        <color rgb="FFA0A0A0"/>
      </left>
      <right style="thin">
        <color rgb="FFA0A0A0"/>
      </right>
      <top style="thin">
        <color rgb="FF000000"/>
      </top>
      <bottom/>
      <diagonal/>
    </border>
    <border>
      <left style="thin">
        <color rgb="FFA0A0A0"/>
      </left>
      <right style="thin">
        <color rgb="FFA0A0A0"/>
      </right>
      <top/>
      <bottom style="thin">
        <color rgb="FFA0A0A0"/>
      </bottom>
      <diagonal/>
    </border>
    <border>
      <left style="thin">
        <color rgb="FFA0A0A0"/>
      </left>
      <right/>
      <top style="thin">
        <color rgb="FF000000"/>
      </top>
      <bottom style="thin">
        <color rgb="FFA0A0A0"/>
      </bottom>
      <diagonal/>
    </border>
    <border>
      <left style="thin">
        <color rgb="FF000000"/>
      </left>
      <right style="thin">
        <color theme="0" tint="-0.24994659260841701"/>
      </right>
      <top style="thin">
        <color rgb="FFA0A0A0"/>
      </top>
      <bottom style="thin">
        <color theme="0" tint="-0.24994659260841701"/>
      </bottom>
      <diagonal/>
    </border>
    <border>
      <left style="thin">
        <color theme="0" tint="-0.24994659260841701"/>
      </left>
      <right style="thin">
        <color theme="0" tint="-0.24994659260841701"/>
      </right>
      <top style="thin">
        <color rgb="FFA0A0A0"/>
      </top>
      <bottom style="thin">
        <color theme="0" tint="-0.24994659260841701"/>
      </bottom>
      <diagonal/>
    </border>
    <border>
      <left style="thin">
        <color theme="0" tint="-0.24994659260841701"/>
      </left>
      <right style="thin">
        <color rgb="FF000000"/>
      </right>
      <top style="thin">
        <color rgb="FFA0A0A0"/>
      </top>
      <bottom style="thin">
        <color theme="0" tint="-0.24994659260841701"/>
      </bottom>
      <diagonal/>
    </border>
    <border>
      <left style="thin">
        <color rgb="FF000000"/>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rgb="FF000000"/>
      </right>
      <top style="thin">
        <color theme="0" tint="-0.24994659260841701"/>
      </top>
      <bottom style="thin">
        <color theme="0" tint="-0.24994659260841701"/>
      </bottom>
      <diagonal/>
    </border>
    <border>
      <left style="thin">
        <color rgb="FF000000"/>
      </left>
      <right style="thin">
        <color theme="0" tint="-0.24994659260841701"/>
      </right>
      <top style="thin">
        <color theme="0" tint="-0.24994659260841701"/>
      </top>
      <bottom style="thin">
        <color rgb="FF000000"/>
      </bottom>
      <diagonal/>
    </border>
    <border>
      <left style="thin">
        <color theme="0" tint="-0.24994659260841701"/>
      </left>
      <right style="thin">
        <color theme="0" tint="-0.24994659260841701"/>
      </right>
      <top style="thin">
        <color theme="0" tint="-0.24994659260841701"/>
      </top>
      <bottom style="thin">
        <color rgb="FF000000"/>
      </bottom>
      <diagonal/>
    </border>
    <border>
      <left style="thin">
        <color theme="0" tint="-0.24994659260841701"/>
      </left>
      <right style="thin">
        <color rgb="FF000000"/>
      </right>
      <top style="thin">
        <color theme="0" tint="-0.24994659260841701"/>
      </top>
      <bottom style="thin">
        <color rgb="FF000000"/>
      </bottom>
      <diagonal/>
    </border>
    <border>
      <left style="thin">
        <color auto="1"/>
      </left>
      <right style="thin">
        <color theme="0" tint="-0.499984740745262"/>
      </right>
      <top style="thin">
        <color rgb="FF000000"/>
      </top>
      <bottom style="thin">
        <color theme="0" tint="-0.499984740745262"/>
      </bottom>
      <diagonal/>
    </border>
    <border>
      <left style="thin">
        <color theme="0" tint="-0.499984740745262"/>
      </left>
      <right style="thin">
        <color theme="0" tint="-0.499984740745262"/>
      </right>
      <top style="thin">
        <color rgb="FF000000"/>
      </top>
      <bottom style="thin">
        <color theme="0" tint="-0.499984740745262"/>
      </bottom>
      <diagonal/>
    </border>
    <border>
      <left style="thin">
        <color theme="0" tint="-0.499984740745262"/>
      </left>
      <right style="thin">
        <color auto="1"/>
      </right>
      <top style="thin">
        <color rgb="FF000000"/>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auto="1"/>
      </right>
      <top style="thin">
        <color theme="0" tint="-0.499984740745262"/>
      </top>
      <bottom style="thin">
        <color indexed="64"/>
      </bottom>
      <diagonal/>
    </border>
  </borders>
  <cellStyleXfs count="19">
    <xf numFmtId="0" fontId="0" fillId="0" borderId="0"/>
    <xf numFmtId="0" fontId="1" fillId="0" borderId="0"/>
    <xf numFmtId="0" fontId="15" fillId="0" borderId="0">
      <alignment vertical="center"/>
    </xf>
    <xf numFmtId="0" fontId="19" fillId="0" borderId="0"/>
    <xf numFmtId="0" fontId="23" fillId="0" borderId="0" applyNumberFormat="0" applyFill="0" applyBorder="0" applyAlignment="0" applyProtection="0"/>
    <xf numFmtId="167" fontId="26" fillId="0" borderId="0" quotePrefix="1" applyFont="0" applyFill="0" applyBorder="0" applyAlignment="0">
      <protection locked="0"/>
    </xf>
    <xf numFmtId="167" fontId="26" fillId="0" borderId="0" applyFont="0" applyFill="0" applyBorder="0" applyAlignment="0" applyProtection="0"/>
    <xf numFmtId="167" fontId="27" fillId="0" borderId="0" applyFont="0" applyFill="0" applyBorder="0" applyAlignment="0" applyProtection="0"/>
    <xf numFmtId="0" fontId="26" fillId="0" borderId="0"/>
    <xf numFmtId="0" fontId="26" fillId="0" borderId="0"/>
    <xf numFmtId="0" fontId="28" fillId="0" borderId="0">
      <alignment vertical="center"/>
    </xf>
    <xf numFmtId="0" fontId="29" fillId="0" borderId="0"/>
    <xf numFmtId="0" fontId="29" fillId="0" borderId="0"/>
    <xf numFmtId="0" fontId="2" fillId="0" borderId="0"/>
    <xf numFmtId="0" fontId="2" fillId="0" borderId="0"/>
    <xf numFmtId="0" fontId="1" fillId="0" borderId="0"/>
    <xf numFmtId="4" fontId="2" fillId="0" borderId="0" applyFont="0" applyFill="0" applyBorder="0" applyAlignment="0" applyProtection="0"/>
    <xf numFmtId="0" fontId="19" fillId="0" borderId="0"/>
    <xf numFmtId="43" fontId="2" fillId="0" borderId="0" applyFont="0" applyFill="0" applyBorder="0" applyAlignment="0" applyProtection="0"/>
  </cellStyleXfs>
  <cellXfs count="383">
    <xf numFmtId="0" fontId="0" fillId="0" borderId="0" xfId="0"/>
    <xf numFmtId="0" fontId="0" fillId="0" borderId="0" xfId="0" applyFont="1"/>
    <xf numFmtId="0" fontId="3"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8" fillId="2" borderId="0" xfId="0" applyNumberFormat="1" applyFont="1" applyFill="1" applyBorder="1" applyAlignment="1" applyProtection="1">
      <alignment horizontal="left" vertical="center"/>
    </xf>
    <xf numFmtId="0" fontId="3" fillId="2" borderId="1" xfId="0" applyNumberFormat="1" applyFont="1" applyFill="1" applyBorder="1" applyAlignment="1" applyProtection="1">
      <alignment horizontal="left" vertical="top"/>
    </xf>
    <xf numFmtId="0" fontId="3" fillId="2" borderId="1" xfId="0" applyNumberFormat="1" applyFont="1" applyFill="1" applyBorder="1" applyAlignment="1" applyProtection="1">
      <alignment horizontal="left" vertical="top"/>
    </xf>
    <xf numFmtId="0" fontId="4" fillId="3" borderId="2"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wrapText="1"/>
    </xf>
    <xf numFmtId="0" fontId="4" fillId="3" borderId="4" xfId="0" applyNumberFormat="1" applyFont="1" applyFill="1" applyBorder="1" applyAlignment="1" applyProtection="1">
      <alignment horizontal="center" vertical="center" wrapText="1"/>
    </xf>
    <xf numFmtId="0" fontId="4" fillId="2" borderId="5" xfId="0"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left" vertical="top" wrapText="1"/>
    </xf>
    <xf numFmtId="0" fontId="4" fillId="2" borderId="6" xfId="0" applyNumberFormat="1" applyFont="1" applyFill="1" applyBorder="1" applyAlignment="1" applyProtection="1">
      <alignment horizontal="center" vertical="top"/>
    </xf>
    <xf numFmtId="3" fontId="4" fillId="2" borderId="6" xfId="0" applyNumberFormat="1" applyFont="1" applyFill="1" applyBorder="1" applyAlignment="1" applyProtection="1">
      <alignment horizontal="right" vertical="top"/>
    </xf>
    <xf numFmtId="164" fontId="4" fillId="2" borderId="7" xfId="0" applyNumberFormat="1" applyFont="1" applyFill="1" applyBorder="1" applyAlignment="1" applyProtection="1">
      <alignment horizontal="right" vertical="top"/>
    </xf>
    <xf numFmtId="0" fontId="8" fillId="2" borderId="5" xfId="0" applyNumberFormat="1" applyFont="1" applyFill="1" applyBorder="1" applyAlignment="1" applyProtection="1">
      <alignment horizontal="center" vertical="top"/>
    </xf>
    <xf numFmtId="0" fontId="8" fillId="2" borderId="6" xfId="0" applyNumberFormat="1" applyFont="1" applyFill="1" applyBorder="1" applyAlignment="1" applyProtection="1">
      <alignment horizontal="left" vertical="top" wrapText="1"/>
    </xf>
    <xf numFmtId="0" fontId="8" fillId="2" borderId="6" xfId="0" applyNumberFormat="1" applyFont="1" applyFill="1" applyBorder="1" applyAlignment="1" applyProtection="1">
      <alignment horizontal="center" vertical="top"/>
    </xf>
    <xf numFmtId="3" fontId="8" fillId="2" borderId="6" xfId="0" applyNumberFormat="1" applyFont="1" applyFill="1" applyBorder="1" applyAlignment="1" applyProtection="1">
      <alignment horizontal="right" vertical="top"/>
    </xf>
    <xf numFmtId="164" fontId="8" fillId="2" borderId="7" xfId="0" applyNumberFormat="1" applyFont="1" applyFill="1" applyBorder="1" applyAlignment="1" applyProtection="1">
      <alignment horizontal="right" vertical="top"/>
    </xf>
    <xf numFmtId="0" fontId="7" fillId="2" borderId="5" xfId="0" applyNumberFormat="1" applyFont="1" applyFill="1" applyBorder="1" applyAlignment="1" applyProtection="1">
      <alignment horizontal="center" vertical="top"/>
    </xf>
    <xf numFmtId="0" fontId="7" fillId="2" borderId="6" xfId="0" applyNumberFormat="1" applyFont="1" applyFill="1" applyBorder="1" applyAlignment="1" applyProtection="1">
      <alignment horizontal="left" vertical="top" wrapText="1"/>
    </xf>
    <xf numFmtId="0" fontId="7" fillId="2" borderId="6" xfId="0" applyNumberFormat="1" applyFont="1" applyFill="1" applyBorder="1" applyAlignment="1" applyProtection="1">
      <alignment horizontal="center" vertical="top"/>
    </xf>
    <xf numFmtId="3" fontId="7" fillId="2" borderId="6" xfId="0" applyNumberFormat="1" applyFont="1" applyFill="1" applyBorder="1" applyAlignment="1" applyProtection="1">
      <alignment horizontal="right" vertical="top"/>
    </xf>
    <xf numFmtId="164" fontId="7" fillId="2" borderId="7" xfId="0" applyNumberFormat="1" applyFont="1" applyFill="1" applyBorder="1" applyAlignment="1" applyProtection="1">
      <alignment horizontal="right" vertical="top"/>
    </xf>
    <xf numFmtId="0" fontId="4" fillId="2" borderId="8" xfId="0" applyNumberFormat="1" applyFont="1" applyFill="1" applyBorder="1" applyAlignment="1" applyProtection="1">
      <alignment horizontal="center" vertical="top"/>
    </xf>
    <xf numFmtId="0" fontId="4" fillId="2" borderId="9" xfId="0" applyNumberFormat="1" applyFont="1" applyFill="1" applyBorder="1" applyAlignment="1" applyProtection="1">
      <alignment horizontal="left" vertical="top" wrapText="1"/>
    </xf>
    <xf numFmtId="0" fontId="4" fillId="2" borderId="9" xfId="0" applyNumberFormat="1" applyFont="1" applyFill="1" applyBorder="1" applyAlignment="1" applyProtection="1">
      <alignment horizontal="center" vertical="top"/>
    </xf>
    <xf numFmtId="4" fontId="4" fillId="2" borderId="9" xfId="0" applyNumberFormat="1" applyFont="1" applyFill="1" applyBorder="1" applyAlignment="1" applyProtection="1">
      <alignment horizontal="right" vertical="top"/>
    </xf>
    <xf numFmtId="164" fontId="4" fillId="2" borderId="10" xfId="0" applyNumberFormat="1" applyFont="1" applyFill="1" applyBorder="1" applyAlignment="1" applyProtection="1">
      <alignment horizontal="right" vertical="top"/>
    </xf>
    <xf numFmtId="0" fontId="12" fillId="4" borderId="0" xfId="0" applyFont="1" applyFill="1"/>
    <xf numFmtId="0" fontId="13" fillId="4" borderId="0" xfId="0" applyFont="1" applyFill="1" applyAlignment="1">
      <alignment horizontal="left"/>
    </xf>
    <xf numFmtId="0" fontId="12" fillId="4" borderId="0" xfId="0" applyFont="1" applyFill="1" applyAlignment="1">
      <alignment horizontal="left"/>
    </xf>
    <xf numFmtId="0" fontId="13" fillId="4" borderId="0" xfId="0" applyFont="1" applyFill="1"/>
    <xf numFmtId="0" fontId="11" fillId="5" borderId="12" xfId="0" applyFont="1" applyFill="1" applyBorder="1" applyAlignment="1">
      <alignment vertical="center"/>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13" fillId="5" borderId="0" xfId="0" applyFont="1" applyFill="1" applyBorder="1" applyAlignment="1">
      <alignment vertical="center"/>
    </xf>
    <xf numFmtId="0" fontId="13" fillId="5" borderId="0" xfId="0" applyFont="1" applyFill="1" applyBorder="1" applyAlignment="1">
      <alignment vertical="center" wrapText="1"/>
    </xf>
    <xf numFmtId="0" fontId="13" fillId="5" borderId="18" xfId="0" applyFont="1" applyFill="1" applyBorder="1" applyAlignment="1">
      <alignment vertical="center" wrapText="1"/>
    </xf>
    <xf numFmtId="0" fontId="14"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14" fontId="11" fillId="5" borderId="0" xfId="0" applyNumberFormat="1" applyFont="1" applyFill="1" applyBorder="1" applyAlignment="1">
      <alignment horizontal="left" vertical="center"/>
    </xf>
    <xf numFmtId="165" fontId="16" fillId="6" borderId="15" xfId="2" applyNumberFormat="1" applyFont="1" applyFill="1" applyBorder="1" applyAlignment="1" applyProtection="1">
      <alignment vertical="top"/>
    </xf>
    <xf numFmtId="166" fontId="13" fillId="5" borderId="16" xfId="0" applyNumberFormat="1" applyFont="1" applyFill="1" applyBorder="1" applyAlignment="1"/>
    <xf numFmtId="0" fontId="17" fillId="4" borderId="0" xfId="0" applyFont="1" applyFill="1"/>
    <xf numFmtId="0" fontId="22" fillId="4" borderId="0" xfId="3" applyFont="1" applyFill="1" applyBorder="1" applyAlignment="1">
      <alignment horizontal="center" vertical="center"/>
    </xf>
    <xf numFmtId="0" fontId="21" fillId="4" borderId="0" xfId="3" applyFont="1" applyFill="1" applyBorder="1" applyAlignment="1">
      <alignment horizontal="center" vertical="center"/>
    </xf>
    <xf numFmtId="0" fontId="11" fillId="4" borderId="19" xfId="0" applyFont="1" applyFill="1" applyBorder="1" applyAlignment="1">
      <alignment horizontal="center" vertical="center"/>
    </xf>
    <xf numFmtId="0" fontId="11" fillId="4" borderId="19" xfId="0" applyFont="1" applyFill="1" applyBorder="1" applyAlignment="1">
      <alignment horizontal="left" vertical="center"/>
    </xf>
    <xf numFmtId="0" fontId="13" fillId="4" borderId="19" xfId="0" applyFont="1" applyFill="1" applyBorder="1" applyAlignment="1">
      <alignment horizontal="center" vertical="center"/>
    </xf>
    <xf numFmtId="0" fontId="24" fillId="4" borderId="19" xfId="4" applyFont="1" applyFill="1" applyBorder="1" applyAlignment="1">
      <alignment horizontal="center" vertical="center"/>
    </xf>
    <xf numFmtId="0" fontId="21" fillId="4" borderId="19" xfId="3" applyFont="1" applyFill="1" applyBorder="1" applyAlignment="1">
      <alignment horizontal="center" vertical="center"/>
    </xf>
    <xf numFmtId="0" fontId="25" fillId="4" borderId="0" xfId="0" applyFont="1" applyFill="1" applyBorder="1"/>
    <xf numFmtId="0" fontId="17" fillId="4" borderId="0" xfId="0" applyFont="1" applyFill="1" applyBorder="1" applyAlignment="1">
      <alignment vertical="center"/>
    </xf>
    <xf numFmtId="0" fontId="4"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left" vertical="top"/>
    </xf>
    <xf numFmtId="168" fontId="4" fillId="2" borderId="5" xfId="0" applyNumberFormat="1" applyFont="1" applyFill="1" applyBorder="1" applyAlignment="1" applyProtection="1">
      <alignment horizontal="center" vertical="top"/>
    </xf>
    <xf numFmtId="168" fontId="4" fillId="2" borderId="6" xfId="0" applyNumberFormat="1" applyFont="1" applyFill="1" applyBorder="1" applyAlignment="1" applyProtection="1">
      <alignment horizontal="left" vertical="top" wrapText="1"/>
    </xf>
    <xf numFmtId="168" fontId="4" fillId="2" borderId="6" xfId="0" applyNumberFormat="1" applyFont="1" applyFill="1" applyBorder="1" applyAlignment="1" applyProtection="1">
      <alignment horizontal="center" vertical="top"/>
    </xf>
    <xf numFmtId="168" fontId="4" fillId="2" borderId="6" xfId="0" applyNumberFormat="1" applyFont="1" applyFill="1" applyBorder="1" applyAlignment="1" applyProtection="1">
      <alignment horizontal="right" vertical="top"/>
    </xf>
    <xf numFmtId="168" fontId="4" fillId="2" borderId="7" xfId="0" applyNumberFormat="1" applyFont="1" applyFill="1" applyBorder="1" applyAlignment="1" applyProtection="1">
      <alignment horizontal="right" vertical="top"/>
    </xf>
    <xf numFmtId="168" fontId="8" fillId="2" borderId="5" xfId="0" applyNumberFormat="1" applyFont="1" applyFill="1" applyBorder="1" applyAlignment="1" applyProtection="1">
      <alignment horizontal="center" vertical="top"/>
    </xf>
    <xf numFmtId="168" fontId="8" fillId="2" borderId="6" xfId="0" applyNumberFormat="1" applyFont="1" applyFill="1" applyBorder="1" applyAlignment="1" applyProtection="1">
      <alignment horizontal="left" vertical="top" wrapText="1"/>
    </xf>
    <xf numFmtId="168" fontId="8" fillId="2" borderId="6" xfId="0" applyNumberFormat="1" applyFont="1" applyFill="1" applyBorder="1" applyAlignment="1" applyProtection="1">
      <alignment horizontal="center" vertical="top"/>
    </xf>
    <xf numFmtId="168" fontId="8" fillId="2" borderId="6" xfId="0" applyNumberFormat="1" applyFont="1" applyFill="1" applyBorder="1" applyAlignment="1" applyProtection="1">
      <alignment horizontal="right" vertical="top"/>
    </xf>
    <xf numFmtId="168" fontId="8" fillId="2" borderId="7" xfId="0" applyNumberFormat="1" applyFont="1" applyFill="1" applyBorder="1" applyAlignment="1" applyProtection="1">
      <alignment horizontal="right" vertical="top"/>
    </xf>
    <xf numFmtId="168" fontId="7" fillId="2" borderId="5" xfId="0" applyNumberFormat="1" applyFont="1" applyFill="1" applyBorder="1" applyAlignment="1" applyProtection="1">
      <alignment horizontal="center" vertical="top"/>
    </xf>
    <xf numFmtId="168" fontId="7" fillId="2" borderId="6" xfId="0" applyNumberFormat="1" applyFont="1" applyFill="1" applyBorder="1" applyAlignment="1" applyProtection="1">
      <alignment horizontal="left" vertical="top" wrapText="1"/>
    </xf>
    <xf numFmtId="168" fontId="7" fillId="2" borderId="6" xfId="0" applyNumberFormat="1" applyFont="1" applyFill="1" applyBorder="1" applyAlignment="1" applyProtection="1">
      <alignment horizontal="center" vertical="top"/>
    </xf>
    <xf numFmtId="168" fontId="7" fillId="2" borderId="6" xfId="0" applyNumberFormat="1" applyFont="1" applyFill="1" applyBorder="1" applyAlignment="1" applyProtection="1">
      <alignment horizontal="right" vertical="top"/>
    </xf>
    <xf numFmtId="168" fontId="7" fillId="2" borderId="7" xfId="0" applyNumberFormat="1" applyFont="1" applyFill="1" applyBorder="1" applyAlignment="1" applyProtection="1">
      <alignment horizontal="right" vertical="top"/>
    </xf>
    <xf numFmtId="168" fontId="8" fillId="2" borderId="8" xfId="0" applyNumberFormat="1" applyFont="1" applyFill="1" applyBorder="1" applyAlignment="1" applyProtection="1">
      <alignment horizontal="center" vertical="top"/>
    </xf>
    <xf numFmtId="168" fontId="8" fillId="2" borderId="9" xfId="0" applyNumberFormat="1" applyFont="1" applyFill="1" applyBorder="1" applyAlignment="1" applyProtection="1">
      <alignment horizontal="left" vertical="top" wrapText="1"/>
    </xf>
    <xf numFmtId="168" fontId="8" fillId="2" borderId="9" xfId="0" applyNumberFormat="1" applyFont="1" applyFill="1" applyBorder="1" applyAlignment="1" applyProtection="1">
      <alignment horizontal="center" vertical="top"/>
    </xf>
    <xf numFmtId="168" fontId="8" fillId="2" borderId="9" xfId="0" applyNumberFormat="1" applyFont="1" applyFill="1" applyBorder="1" applyAlignment="1" applyProtection="1">
      <alignment horizontal="right" vertical="top"/>
    </xf>
    <xf numFmtId="168" fontId="8" fillId="2" borderId="10" xfId="0" applyNumberFormat="1" applyFont="1" applyFill="1" applyBorder="1" applyAlignment="1" applyProtection="1">
      <alignment horizontal="right" vertical="top"/>
    </xf>
    <xf numFmtId="4" fontId="4" fillId="2" borderId="6" xfId="0" applyNumberFormat="1" applyFont="1" applyFill="1" applyBorder="1" applyAlignment="1" applyProtection="1">
      <alignment horizontal="right" vertical="top"/>
    </xf>
    <xf numFmtId="4" fontId="8" fillId="2" borderId="6" xfId="0" applyNumberFormat="1" applyFont="1" applyFill="1" applyBorder="1" applyAlignment="1" applyProtection="1">
      <alignment horizontal="right" vertical="top"/>
    </xf>
    <xf numFmtId="168" fontId="4" fillId="2" borderId="9" xfId="0" applyNumberFormat="1" applyFont="1" applyFill="1" applyBorder="1" applyAlignment="1" applyProtection="1">
      <alignment horizontal="right" vertical="top"/>
    </xf>
    <xf numFmtId="0" fontId="7"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top" wrapText="1"/>
    </xf>
    <xf numFmtId="0" fontId="4" fillId="3" borderId="20" xfId="0" applyNumberFormat="1" applyFont="1" applyFill="1" applyBorder="1" applyAlignment="1" applyProtection="1">
      <alignment horizontal="center" vertical="center" wrapText="1"/>
    </xf>
    <xf numFmtId="0" fontId="4" fillId="3" borderId="21" xfId="0" applyNumberFormat="1" applyFont="1" applyFill="1" applyBorder="1" applyAlignment="1" applyProtection="1">
      <alignment horizontal="center" vertical="center" wrapText="1"/>
    </xf>
    <xf numFmtId="0" fontId="4" fillId="3" borderId="22" xfId="0" applyNumberFormat="1" applyFont="1" applyFill="1" applyBorder="1" applyAlignment="1" applyProtection="1">
      <alignment horizontal="center" vertical="center" wrapText="1"/>
    </xf>
    <xf numFmtId="3" fontId="4" fillId="2" borderId="7" xfId="0" applyNumberFormat="1" applyFont="1" applyFill="1" applyBorder="1" applyAlignment="1" applyProtection="1">
      <alignment horizontal="right" vertical="top"/>
    </xf>
    <xf numFmtId="164" fontId="8" fillId="2" borderId="6" xfId="0" applyNumberFormat="1" applyFont="1" applyFill="1" applyBorder="1" applyAlignment="1" applyProtection="1">
      <alignment horizontal="right" vertical="top"/>
    </xf>
    <xf numFmtId="3" fontId="8" fillId="2" borderId="7" xfId="0" applyNumberFormat="1" applyFont="1" applyFill="1" applyBorder="1" applyAlignment="1" applyProtection="1">
      <alignment horizontal="right" vertical="top"/>
    </xf>
    <xf numFmtId="4" fontId="8" fillId="2" borderId="7" xfId="0" applyNumberFormat="1" applyFont="1" applyFill="1" applyBorder="1" applyAlignment="1" applyProtection="1">
      <alignment horizontal="right" vertical="top"/>
    </xf>
    <xf numFmtId="0" fontId="8" fillId="2" borderId="8" xfId="0" applyNumberFormat="1" applyFont="1" applyFill="1" applyBorder="1" applyAlignment="1" applyProtection="1">
      <alignment horizontal="center" vertical="top"/>
    </xf>
    <xf numFmtId="0" fontId="8" fillId="2" borderId="9" xfId="0" applyNumberFormat="1" applyFont="1" applyFill="1" applyBorder="1" applyAlignment="1" applyProtection="1">
      <alignment horizontal="left" vertical="top" wrapText="1"/>
    </xf>
    <xf numFmtId="0" fontId="8" fillId="2" borderId="9" xfId="0" applyNumberFormat="1" applyFont="1" applyFill="1" applyBorder="1" applyAlignment="1" applyProtection="1">
      <alignment horizontal="center" vertical="top"/>
    </xf>
    <xf numFmtId="3" fontId="8" fillId="2" borderId="9" xfId="0" applyNumberFormat="1" applyFont="1" applyFill="1" applyBorder="1" applyAlignment="1" applyProtection="1">
      <alignment horizontal="right" vertical="top"/>
    </xf>
    <xf numFmtId="3" fontId="8" fillId="2" borderId="10" xfId="0" applyNumberFormat="1" applyFont="1" applyFill="1" applyBorder="1" applyAlignment="1" applyProtection="1">
      <alignment horizontal="right" vertical="top"/>
    </xf>
    <xf numFmtId="0" fontId="8" fillId="2" borderId="0" xfId="0" applyNumberFormat="1" applyFont="1" applyFill="1" applyBorder="1" applyAlignment="1" applyProtection="1">
      <alignment horizontal="center" vertical="center"/>
    </xf>
    <xf numFmtId="0" fontId="4" fillId="7" borderId="23" xfId="0" applyNumberFormat="1" applyFont="1" applyFill="1" applyBorder="1" applyAlignment="1" applyProtection="1">
      <alignment horizontal="center" vertical="center" wrapText="1"/>
    </xf>
    <xf numFmtId="0" fontId="4" fillId="7" borderId="24"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right" vertical="top"/>
    </xf>
    <xf numFmtId="0" fontId="33" fillId="2" borderId="1" xfId="0" applyNumberFormat="1" applyFont="1" applyFill="1" applyBorder="1" applyAlignment="1" applyProtection="1">
      <alignment horizontal="left" vertical="top"/>
    </xf>
    <xf numFmtId="169" fontId="4" fillId="2" borderId="5" xfId="0" applyNumberFormat="1" applyFont="1" applyFill="1" applyBorder="1" applyAlignment="1" applyProtection="1">
      <alignment horizontal="center" vertical="top"/>
    </xf>
    <xf numFmtId="169" fontId="4" fillId="2" borderId="6" xfId="0" applyNumberFormat="1" applyFont="1" applyFill="1" applyBorder="1" applyAlignment="1" applyProtection="1">
      <alignment horizontal="left" vertical="top" wrapText="1"/>
    </xf>
    <xf numFmtId="169" fontId="4" fillId="2" borderId="6" xfId="0" applyNumberFormat="1" applyFont="1" applyFill="1" applyBorder="1" applyAlignment="1" applyProtection="1">
      <alignment horizontal="center" vertical="top"/>
    </xf>
    <xf numFmtId="169" fontId="8" fillId="2" borderId="5" xfId="0" applyNumberFormat="1" applyFont="1" applyFill="1" applyBorder="1" applyAlignment="1" applyProtection="1">
      <alignment horizontal="center" vertical="top"/>
    </xf>
    <xf numFmtId="169" fontId="8" fillId="2" borderId="6" xfId="0" applyNumberFormat="1" applyFont="1" applyFill="1" applyBorder="1" applyAlignment="1" applyProtection="1">
      <alignment horizontal="left" vertical="top" wrapText="1"/>
    </xf>
    <xf numFmtId="169" fontId="8" fillId="2" borderId="6" xfId="0" applyNumberFormat="1" applyFont="1" applyFill="1" applyBorder="1" applyAlignment="1" applyProtection="1">
      <alignment horizontal="center" vertical="top"/>
    </xf>
    <xf numFmtId="169" fontId="7" fillId="2" borderId="5" xfId="0" applyNumberFormat="1" applyFont="1" applyFill="1" applyBorder="1" applyAlignment="1" applyProtection="1">
      <alignment horizontal="center" vertical="top"/>
    </xf>
    <xf numFmtId="169" fontId="7" fillId="2" borderId="6" xfId="0" applyNumberFormat="1" applyFont="1" applyFill="1" applyBorder="1" applyAlignment="1" applyProtection="1">
      <alignment horizontal="left" vertical="top" wrapText="1"/>
    </xf>
    <xf numFmtId="169" fontId="7" fillId="2" borderId="6" xfId="0" applyNumberFormat="1" applyFont="1" applyFill="1" applyBorder="1" applyAlignment="1" applyProtection="1">
      <alignment horizontal="center" vertical="top"/>
    </xf>
    <xf numFmtId="4" fontId="4" fillId="2" borderId="5" xfId="0" applyNumberFormat="1" applyFont="1" applyFill="1" applyBorder="1" applyAlignment="1" applyProtection="1">
      <alignment horizontal="center" vertical="top"/>
    </xf>
    <xf numFmtId="4" fontId="4" fillId="2" borderId="6" xfId="0" applyNumberFormat="1" applyFont="1" applyFill="1" applyBorder="1" applyAlignment="1" applyProtection="1">
      <alignment horizontal="left" vertical="top" wrapText="1"/>
    </xf>
    <xf numFmtId="4" fontId="4" fillId="2" borderId="6" xfId="0" applyNumberFormat="1" applyFont="1" applyFill="1" applyBorder="1" applyAlignment="1" applyProtection="1">
      <alignment horizontal="center" vertical="top"/>
    </xf>
    <xf numFmtId="169" fontId="8" fillId="2" borderId="8" xfId="0" applyNumberFormat="1" applyFont="1" applyFill="1" applyBorder="1" applyAlignment="1" applyProtection="1">
      <alignment horizontal="center" vertical="top"/>
    </xf>
    <xf numFmtId="169" fontId="8" fillId="2" borderId="9" xfId="0" applyNumberFormat="1" applyFont="1" applyFill="1" applyBorder="1" applyAlignment="1" applyProtection="1">
      <alignment horizontal="left" vertical="top" wrapText="1"/>
    </xf>
    <xf numFmtId="169" fontId="8" fillId="2" borderId="9" xfId="0" applyNumberFormat="1" applyFont="1" applyFill="1" applyBorder="1" applyAlignment="1" applyProtection="1">
      <alignment horizontal="center" vertical="top"/>
    </xf>
    <xf numFmtId="4" fontId="4" fillId="2" borderId="8" xfId="0" applyNumberFormat="1" applyFont="1" applyFill="1" applyBorder="1" applyAlignment="1" applyProtection="1">
      <alignment horizontal="center" vertical="top"/>
    </xf>
    <xf numFmtId="4" fontId="4" fillId="2" borderId="9" xfId="0" applyNumberFormat="1" applyFont="1" applyFill="1" applyBorder="1" applyAlignment="1" applyProtection="1">
      <alignment horizontal="left" vertical="top" wrapText="1"/>
    </xf>
    <xf numFmtId="4" fontId="4" fillId="2" borderId="9" xfId="0" applyNumberFormat="1" applyFont="1" applyFill="1" applyBorder="1" applyAlignment="1" applyProtection="1">
      <alignment horizontal="center" vertical="top"/>
    </xf>
    <xf numFmtId="4" fontId="4" fillId="2" borderId="10"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center" vertical="center"/>
    </xf>
    <xf numFmtId="0" fontId="4" fillId="2" borderId="5" xfId="0" applyNumberFormat="1" applyFont="1" applyFill="1" applyBorder="1" applyAlignment="1" applyProtection="1">
      <alignment horizontal="center" vertical="center"/>
    </xf>
    <xf numFmtId="0" fontId="4" fillId="2" borderId="6" xfId="0" applyNumberFormat="1" applyFont="1" applyFill="1" applyBorder="1" applyAlignment="1" applyProtection="1">
      <alignment horizontal="left" vertical="center" wrapText="1"/>
    </xf>
    <xf numFmtId="0" fontId="4" fillId="2" borderId="6" xfId="0" applyNumberFormat="1" applyFont="1" applyFill="1" applyBorder="1" applyAlignment="1" applyProtection="1">
      <alignment horizontal="center" vertical="center"/>
    </xf>
    <xf numFmtId="170" fontId="4" fillId="2" borderId="6" xfId="0" applyNumberFormat="1" applyFont="1" applyFill="1" applyBorder="1" applyAlignment="1" applyProtection="1">
      <alignment horizontal="right" vertical="center"/>
    </xf>
    <xf numFmtId="170" fontId="4" fillId="2" borderId="7" xfId="0" applyNumberFormat="1" applyFont="1" applyFill="1" applyBorder="1" applyAlignment="1" applyProtection="1">
      <alignment horizontal="right" vertical="center"/>
    </xf>
    <xf numFmtId="0" fontId="8" fillId="2" borderId="5" xfId="0" applyNumberFormat="1" applyFont="1" applyFill="1" applyBorder="1" applyAlignment="1" applyProtection="1">
      <alignment horizontal="center" vertical="center"/>
    </xf>
    <xf numFmtId="0" fontId="8" fillId="2" borderId="6"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center" vertical="center"/>
    </xf>
    <xf numFmtId="170" fontId="8" fillId="2" borderId="6" xfId="0" applyNumberFormat="1" applyFont="1" applyFill="1" applyBorder="1" applyAlignment="1" applyProtection="1">
      <alignment horizontal="right" vertical="center"/>
    </xf>
    <xf numFmtId="170" fontId="8" fillId="2" borderId="7" xfId="0" applyNumberFormat="1" applyFont="1" applyFill="1" applyBorder="1" applyAlignment="1" applyProtection="1">
      <alignment horizontal="right" vertical="center"/>
    </xf>
    <xf numFmtId="171" fontId="8" fillId="2" borderId="6" xfId="0" applyNumberFormat="1" applyFont="1" applyFill="1" applyBorder="1" applyAlignment="1" applyProtection="1">
      <alignment horizontal="right" vertical="center"/>
    </xf>
    <xf numFmtId="171" fontId="8" fillId="2" borderId="7" xfId="0" applyNumberFormat="1" applyFont="1" applyFill="1" applyBorder="1" applyAlignment="1" applyProtection="1">
      <alignment horizontal="right" vertical="center"/>
    </xf>
    <xf numFmtId="0" fontId="7" fillId="2" borderId="5" xfId="0" applyNumberFormat="1" applyFont="1" applyFill="1" applyBorder="1" applyAlignment="1" applyProtection="1">
      <alignment horizontal="center" vertical="center"/>
    </xf>
    <xf numFmtId="0" fontId="7" fillId="2" borderId="6" xfId="0" applyNumberFormat="1" applyFont="1" applyFill="1" applyBorder="1" applyAlignment="1" applyProtection="1">
      <alignment horizontal="left" vertical="center" wrapText="1"/>
    </xf>
    <xf numFmtId="0" fontId="7" fillId="2" borderId="6" xfId="0" applyNumberFormat="1" applyFont="1" applyFill="1" applyBorder="1" applyAlignment="1" applyProtection="1">
      <alignment horizontal="center" vertical="center"/>
    </xf>
    <xf numFmtId="170" fontId="7" fillId="2" borderId="6" xfId="0" applyNumberFormat="1" applyFont="1" applyFill="1" applyBorder="1" applyAlignment="1" applyProtection="1">
      <alignment horizontal="right" vertical="center"/>
    </xf>
    <xf numFmtId="170" fontId="7" fillId="2" borderId="7" xfId="0" applyNumberFormat="1" applyFont="1" applyFill="1" applyBorder="1" applyAlignment="1" applyProtection="1">
      <alignment horizontal="right" vertical="center"/>
    </xf>
    <xf numFmtId="171" fontId="7" fillId="2" borderId="6" xfId="0" applyNumberFormat="1" applyFont="1" applyFill="1" applyBorder="1" applyAlignment="1" applyProtection="1">
      <alignment horizontal="right" vertical="center"/>
    </xf>
    <xf numFmtId="171" fontId="7" fillId="2" borderId="7" xfId="0" applyNumberFormat="1" applyFont="1" applyFill="1" applyBorder="1" applyAlignment="1" applyProtection="1">
      <alignment horizontal="right" vertical="center"/>
    </xf>
    <xf numFmtId="172" fontId="7" fillId="2" borderId="6" xfId="0" applyNumberFormat="1" applyFont="1" applyFill="1" applyBorder="1" applyAlignment="1" applyProtection="1">
      <alignment horizontal="right" vertical="center"/>
    </xf>
    <xf numFmtId="172" fontId="7" fillId="2" borderId="7" xfId="0" applyNumberFormat="1" applyFont="1" applyFill="1" applyBorder="1" applyAlignment="1" applyProtection="1">
      <alignment horizontal="right" vertical="center"/>
    </xf>
    <xf numFmtId="0" fontId="7" fillId="2" borderId="8" xfId="0" applyNumberFormat="1" applyFont="1" applyFill="1" applyBorder="1" applyAlignment="1" applyProtection="1">
      <alignment horizontal="center" vertical="center"/>
    </xf>
    <xf numFmtId="0" fontId="7" fillId="2" borderId="9" xfId="0" applyNumberFormat="1" applyFont="1" applyFill="1" applyBorder="1" applyAlignment="1" applyProtection="1">
      <alignment horizontal="left" vertical="center" wrapText="1"/>
    </xf>
    <xf numFmtId="0" fontId="7" fillId="2" borderId="9" xfId="0" applyNumberFormat="1" applyFont="1" applyFill="1" applyBorder="1" applyAlignment="1" applyProtection="1">
      <alignment horizontal="center" vertical="center"/>
    </xf>
    <xf numFmtId="171" fontId="7" fillId="2" borderId="9" xfId="0" applyNumberFormat="1" applyFont="1" applyFill="1" applyBorder="1" applyAlignment="1" applyProtection="1">
      <alignment horizontal="right" vertical="center"/>
    </xf>
    <xf numFmtId="171" fontId="7" fillId="2" borderId="10" xfId="0" applyNumberFormat="1" applyFont="1" applyFill="1" applyBorder="1" applyAlignment="1" applyProtection="1">
      <alignment horizontal="right" vertical="center"/>
    </xf>
    <xf numFmtId="0" fontId="3" fillId="2" borderId="0" xfId="0" applyNumberFormat="1" applyFont="1" applyFill="1" applyBorder="1" applyAlignment="1" applyProtection="1">
      <alignment vertical="top"/>
    </xf>
    <xf numFmtId="0" fontId="4" fillId="2" borderId="0" xfId="0" applyNumberFormat="1" applyFont="1" applyFill="1" applyBorder="1" applyAlignment="1" applyProtection="1">
      <alignment vertical="top"/>
    </xf>
    <xf numFmtId="0" fontId="8" fillId="2" borderId="0" xfId="0" applyNumberFormat="1" applyFont="1" applyFill="1" applyBorder="1" applyAlignment="1" applyProtection="1">
      <alignment vertical="top"/>
    </xf>
    <xf numFmtId="0" fontId="3" fillId="2" borderId="25" xfId="0" applyNumberFormat="1" applyFont="1" applyFill="1" applyBorder="1" applyAlignment="1" applyProtection="1">
      <alignment vertical="top"/>
    </xf>
    <xf numFmtId="0" fontId="4" fillId="2" borderId="31" xfId="0" applyNumberFormat="1" applyFont="1" applyFill="1" applyBorder="1" applyAlignment="1" applyProtection="1">
      <alignment vertical="top" wrapText="1"/>
    </xf>
    <xf numFmtId="0" fontId="4" fillId="2" borderId="32" xfId="0" applyNumberFormat="1" applyFont="1" applyFill="1" applyBorder="1" applyAlignment="1" applyProtection="1">
      <alignment horizontal="center" vertical="top"/>
    </xf>
    <xf numFmtId="0" fontId="4" fillId="2" borderId="32" xfId="0" applyNumberFormat="1" applyFont="1" applyFill="1" applyBorder="1" applyAlignment="1" applyProtection="1">
      <alignment horizontal="left" vertical="top"/>
    </xf>
    <xf numFmtId="3" fontId="4" fillId="2" borderId="32" xfId="0" applyNumberFormat="1" applyFont="1" applyFill="1" applyBorder="1" applyAlignment="1" applyProtection="1">
      <alignment horizontal="right" vertical="top"/>
    </xf>
    <xf numFmtId="3" fontId="4" fillId="2" borderId="33" xfId="0" applyNumberFormat="1" applyFont="1" applyFill="1" applyBorder="1" applyAlignment="1" applyProtection="1">
      <alignment horizontal="right" vertical="top"/>
    </xf>
    <xf numFmtId="0" fontId="8" fillId="2" borderId="34" xfId="0" applyNumberFormat="1" applyFont="1" applyFill="1" applyBorder="1" applyAlignment="1" applyProtection="1">
      <alignment vertical="top" wrapText="1"/>
    </xf>
    <xf numFmtId="0" fontId="8" fillId="2" borderId="35" xfId="0" applyNumberFormat="1" applyFont="1" applyFill="1" applyBorder="1" applyAlignment="1" applyProtection="1">
      <alignment horizontal="center" vertical="top"/>
    </xf>
    <xf numFmtId="0" fontId="8" fillId="2" borderId="35" xfId="0" applyNumberFormat="1" applyFont="1" applyFill="1" applyBorder="1" applyAlignment="1" applyProtection="1">
      <alignment horizontal="left" vertical="top"/>
    </xf>
    <xf numFmtId="3" fontId="8" fillId="2" borderId="35" xfId="0" applyNumberFormat="1" applyFont="1" applyFill="1" applyBorder="1" applyAlignment="1" applyProtection="1">
      <alignment horizontal="right" vertical="top"/>
    </xf>
    <xf numFmtId="3" fontId="8" fillId="2" borderId="36" xfId="0" applyNumberFormat="1" applyFont="1" applyFill="1" applyBorder="1" applyAlignment="1" applyProtection="1">
      <alignment horizontal="right" vertical="top"/>
    </xf>
    <xf numFmtId="0" fontId="7" fillId="2" borderId="34" xfId="0" applyNumberFormat="1" applyFont="1" applyFill="1" applyBorder="1" applyAlignment="1" applyProtection="1">
      <alignment vertical="top" wrapText="1"/>
    </xf>
    <xf numFmtId="0" fontId="7" fillId="2" borderId="35" xfId="0" applyNumberFormat="1" applyFont="1" applyFill="1" applyBorder="1" applyAlignment="1" applyProtection="1">
      <alignment horizontal="center" vertical="top"/>
    </xf>
    <xf numFmtId="0" fontId="7" fillId="2" borderId="35" xfId="0" applyNumberFormat="1" applyFont="1" applyFill="1" applyBorder="1" applyAlignment="1" applyProtection="1">
      <alignment horizontal="left" vertical="top"/>
    </xf>
    <xf numFmtId="3" fontId="7" fillId="2" borderId="35" xfId="0" applyNumberFormat="1" applyFont="1" applyFill="1" applyBorder="1" applyAlignment="1" applyProtection="1">
      <alignment horizontal="right" vertical="top"/>
    </xf>
    <xf numFmtId="3" fontId="7" fillId="2" borderId="36" xfId="0" applyNumberFormat="1" applyFont="1" applyFill="1" applyBorder="1" applyAlignment="1" applyProtection="1">
      <alignment horizontal="right" vertical="top"/>
    </xf>
    <xf numFmtId="0" fontId="4" fillId="2" borderId="34" xfId="0" applyNumberFormat="1" applyFont="1" applyFill="1" applyBorder="1" applyAlignment="1" applyProtection="1">
      <alignment vertical="top" wrapText="1"/>
    </xf>
    <xf numFmtId="0" fontId="4" fillId="2" borderId="35" xfId="0" applyNumberFormat="1" applyFont="1" applyFill="1" applyBorder="1" applyAlignment="1" applyProtection="1">
      <alignment horizontal="center" vertical="top"/>
    </xf>
    <xf numFmtId="0" fontId="4" fillId="2" borderId="35" xfId="0" applyNumberFormat="1" applyFont="1" applyFill="1" applyBorder="1" applyAlignment="1" applyProtection="1">
      <alignment horizontal="left" vertical="top"/>
    </xf>
    <xf numFmtId="3" fontId="4" fillId="2" borderId="35" xfId="0" applyNumberFormat="1" applyFont="1" applyFill="1" applyBorder="1" applyAlignment="1" applyProtection="1">
      <alignment horizontal="right" vertical="top"/>
    </xf>
    <xf numFmtId="3" fontId="4" fillId="2" borderId="36" xfId="0" applyNumberFormat="1" applyFont="1" applyFill="1" applyBorder="1" applyAlignment="1" applyProtection="1">
      <alignment horizontal="right" vertical="top"/>
    </xf>
    <xf numFmtId="0" fontId="4" fillId="2" borderId="37" xfId="0" applyNumberFormat="1" applyFont="1" applyFill="1" applyBorder="1" applyAlignment="1" applyProtection="1">
      <alignment vertical="top" wrapText="1"/>
    </xf>
    <xf numFmtId="0" fontId="4" fillId="2" borderId="38" xfId="0" applyNumberFormat="1" applyFont="1" applyFill="1" applyBorder="1" applyAlignment="1" applyProtection="1">
      <alignment horizontal="center" vertical="top"/>
    </xf>
    <xf numFmtId="0" fontId="4" fillId="2" borderId="38" xfId="0" applyNumberFormat="1" applyFont="1" applyFill="1" applyBorder="1" applyAlignment="1" applyProtection="1">
      <alignment horizontal="left" vertical="top"/>
    </xf>
    <xf numFmtId="3" fontId="4" fillId="2" borderId="38" xfId="0" applyNumberFormat="1" applyFont="1" applyFill="1" applyBorder="1" applyAlignment="1" applyProtection="1">
      <alignment horizontal="right" vertical="top"/>
    </xf>
    <xf numFmtId="3" fontId="4" fillId="2" borderId="39" xfId="0" applyNumberFormat="1" applyFont="1" applyFill="1" applyBorder="1" applyAlignment="1" applyProtection="1">
      <alignment horizontal="right" vertical="top"/>
    </xf>
    <xf numFmtId="0" fontId="0" fillId="0" borderId="0" xfId="0" applyFont="1" applyAlignment="1">
      <alignment horizontal="center" vertical="center"/>
    </xf>
    <xf numFmtId="0" fontId="3"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left" vertical="center"/>
    </xf>
    <xf numFmtId="0" fontId="8"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top" wrapText="1"/>
    </xf>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left" vertical="top"/>
    </xf>
    <xf numFmtId="0" fontId="8" fillId="2" borderId="1" xfId="0" applyNumberFormat="1" applyFont="1" applyFill="1" applyBorder="1" applyAlignment="1" applyProtection="1">
      <alignment horizontal="right" vertical="top"/>
    </xf>
    <xf numFmtId="0" fontId="36" fillId="5" borderId="0" xfId="13" applyFont="1" applyFill="1"/>
    <xf numFmtId="0" fontId="37" fillId="5" borderId="0" xfId="13" applyFont="1" applyFill="1" applyAlignment="1">
      <alignment wrapText="1"/>
    </xf>
    <xf numFmtId="0" fontId="40" fillId="5" borderId="0" xfId="13" applyFont="1" applyFill="1" applyAlignment="1">
      <alignment horizontal="center"/>
    </xf>
    <xf numFmtId="0" fontId="39" fillId="5" borderId="0" xfId="13" applyFont="1" applyFill="1" applyAlignment="1">
      <alignment horizontal="center"/>
    </xf>
    <xf numFmtId="173" fontId="39" fillId="5" borderId="0" xfId="7" applyNumberFormat="1" applyFont="1" applyFill="1" applyAlignment="1">
      <alignment horizontal="center"/>
    </xf>
    <xf numFmtId="0" fontId="39" fillId="5" borderId="0" xfId="13" applyFont="1" applyFill="1" applyAlignment="1">
      <alignment horizontal="center" vertical="center" wrapText="1"/>
    </xf>
    <xf numFmtId="0" fontId="39" fillId="5" borderId="0" xfId="13" applyFont="1" applyFill="1" applyAlignment="1">
      <alignment horizontal="left" vertical="center"/>
    </xf>
    <xf numFmtId="0" fontId="41" fillId="5" borderId="0" xfId="13" applyFont="1" applyFill="1" applyAlignment="1">
      <alignment horizontal="left" vertical="center"/>
    </xf>
    <xf numFmtId="173" fontId="41" fillId="5" borderId="0" xfId="7" applyNumberFormat="1" applyFont="1" applyFill="1" applyAlignment="1">
      <alignment horizontal="center"/>
    </xf>
    <xf numFmtId="0" fontId="41" fillId="5" borderId="0" xfId="13" applyFont="1" applyFill="1" applyAlignment="1">
      <alignment horizontal="center"/>
    </xf>
    <xf numFmtId="0" fontId="39" fillId="5" borderId="0" xfId="13" applyFont="1" applyFill="1" applyAlignment="1">
      <alignment horizontal="center" vertical="center"/>
    </xf>
    <xf numFmtId="0" fontId="39" fillId="5" borderId="0" xfId="13" applyFont="1" applyFill="1" applyAlignment="1">
      <alignment horizontal="left" wrapText="1"/>
    </xf>
    <xf numFmtId="0" fontId="39" fillId="5" borderId="0" xfId="13" applyFont="1" applyFill="1" applyAlignment="1">
      <alignment vertical="center"/>
    </xf>
    <xf numFmtId="48" fontId="41" fillId="5" borderId="0" xfId="13" applyNumberFormat="1" applyFont="1" applyFill="1" applyAlignment="1" applyProtection="1">
      <alignment horizontal="left" vertical="center" wrapText="1"/>
      <protection locked="0"/>
    </xf>
    <xf numFmtId="0" fontId="41" fillId="5" borderId="0" xfId="13" applyFont="1" applyFill="1" applyAlignment="1">
      <alignment horizontal="left" wrapText="1"/>
    </xf>
    <xf numFmtId="0" fontId="8" fillId="2" borderId="0" xfId="15" applyNumberFormat="1" applyFont="1" applyFill="1" applyBorder="1" applyAlignment="1" applyProtection="1">
      <alignment vertical="top"/>
    </xf>
    <xf numFmtId="0" fontId="41" fillId="5" borderId="0" xfId="13" applyFont="1" applyFill="1" applyAlignment="1">
      <alignment vertical="center"/>
    </xf>
    <xf numFmtId="3" fontId="41" fillId="5" borderId="0" xfId="13" applyNumberFormat="1" applyFont="1" applyFill="1" applyAlignment="1">
      <alignment horizontal="left" vertical="center" wrapText="1"/>
    </xf>
    <xf numFmtId="48" fontId="39" fillId="5" borderId="0" xfId="13" applyNumberFormat="1" applyFont="1" applyFill="1" applyAlignment="1" applyProtection="1">
      <alignment horizontal="left" vertical="center" wrapText="1"/>
      <protection locked="0"/>
    </xf>
    <xf numFmtId="48" fontId="41" fillId="5" borderId="0" xfId="13" applyNumberFormat="1" applyFont="1" applyFill="1" applyAlignment="1" applyProtection="1">
      <alignment vertical="center" wrapText="1"/>
      <protection locked="0"/>
    </xf>
    <xf numFmtId="0" fontId="42" fillId="5" borderId="0" xfId="0" applyFont="1" applyFill="1" applyAlignment="1">
      <alignment vertical="center"/>
    </xf>
    <xf numFmtId="167" fontId="41" fillId="5" borderId="0" xfId="13" applyNumberFormat="1" applyFont="1" applyFill="1" applyAlignment="1">
      <alignment horizontal="left" vertical="center" wrapText="1"/>
    </xf>
    <xf numFmtId="0" fontId="41" fillId="5" borderId="0" xfId="13" applyFont="1" applyFill="1" applyAlignment="1">
      <alignment horizontal="left" vertical="center" wrapText="1"/>
    </xf>
    <xf numFmtId="0" fontId="36" fillId="5" borderId="0" xfId="13" applyFont="1" applyFill="1" applyAlignment="1">
      <alignment horizontal="left"/>
    </xf>
    <xf numFmtId="3" fontId="41" fillId="5" borderId="0" xfId="13" applyNumberFormat="1" applyFont="1" applyFill="1" applyAlignment="1">
      <alignment wrapText="1"/>
    </xf>
    <xf numFmtId="3" fontId="39" fillId="5" borderId="0" xfId="13" applyNumberFormat="1" applyFont="1" applyFill="1" applyAlignment="1">
      <alignment wrapText="1"/>
    </xf>
    <xf numFmtId="0" fontId="43" fillId="5" borderId="0" xfId="13" applyFont="1" applyFill="1"/>
    <xf numFmtId="0" fontId="4" fillId="3" borderId="44" xfId="0" applyNumberFormat="1" applyFont="1" applyFill="1" applyBorder="1" applyAlignment="1" applyProtection="1">
      <alignment horizontal="center" vertical="center" wrapText="1"/>
    </xf>
    <xf numFmtId="0" fontId="4" fillId="3" borderId="45" xfId="0" applyNumberFormat="1" applyFont="1" applyFill="1" applyBorder="1" applyAlignment="1" applyProtection="1">
      <alignment horizontal="center" vertical="center" wrapText="1"/>
    </xf>
    <xf numFmtId="0" fontId="36" fillId="0" borderId="43" xfId="13" applyFont="1" applyFill="1" applyBorder="1" applyAlignment="1">
      <alignment horizontal="center" vertical="center"/>
    </xf>
    <xf numFmtId="49" fontId="36" fillId="0" borderId="44" xfId="13" applyNumberFormat="1" applyFont="1" applyFill="1" applyBorder="1" applyAlignment="1" applyProtection="1">
      <alignment horizontal="left" vertical="center" wrapText="1"/>
    </xf>
    <xf numFmtId="49" fontId="43" fillId="0" borderId="44" xfId="13" applyNumberFormat="1" applyFont="1" applyFill="1" applyBorder="1" applyAlignment="1" applyProtection="1">
      <alignment horizontal="center" vertical="center" wrapText="1"/>
    </xf>
    <xf numFmtId="49" fontId="43" fillId="0" borderId="44" xfId="13" applyNumberFormat="1" applyFont="1" applyFill="1" applyBorder="1" applyAlignment="1" applyProtection="1">
      <alignment horizontal="left" vertical="center" wrapText="1"/>
    </xf>
    <xf numFmtId="49" fontId="36" fillId="0" borderId="43" xfId="13" applyNumberFormat="1" applyFont="1" applyFill="1" applyBorder="1" applyAlignment="1" applyProtection="1">
      <alignment horizontal="center" vertical="center" wrapText="1"/>
    </xf>
    <xf numFmtId="0" fontId="36" fillId="0" borderId="46" xfId="13" applyFont="1" applyFill="1" applyBorder="1" applyAlignment="1">
      <alignment horizontal="center" vertical="center"/>
    </xf>
    <xf numFmtId="49" fontId="43" fillId="0" borderId="47" xfId="13" applyNumberFormat="1" applyFont="1" applyFill="1" applyBorder="1" applyAlignment="1" applyProtection="1">
      <alignment horizontal="left" vertical="center" wrapText="1"/>
    </xf>
    <xf numFmtId="49" fontId="43" fillId="0" borderId="47" xfId="13" applyNumberFormat="1" applyFont="1" applyFill="1" applyBorder="1" applyAlignment="1" applyProtection="1">
      <alignment horizontal="center" vertical="center" wrapText="1"/>
    </xf>
    <xf numFmtId="0" fontId="40" fillId="5" borderId="0" xfId="13" applyFont="1" applyFill="1"/>
    <xf numFmtId="174" fontId="44" fillId="5" borderId="0" xfId="17" applyNumberFormat="1" applyFont="1" applyFill="1" applyAlignment="1">
      <alignment vertical="center" wrapText="1"/>
    </xf>
    <xf numFmtId="0" fontId="43" fillId="5" borderId="0" xfId="17" applyFont="1" applyFill="1" applyBorder="1" applyAlignment="1">
      <alignment vertical="center"/>
    </xf>
    <xf numFmtId="173" fontId="44" fillId="5" borderId="0" xfId="7" applyNumberFormat="1" applyFont="1" applyFill="1" applyBorder="1" applyAlignment="1">
      <alignment vertical="center" wrapText="1"/>
    </xf>
    <xf numFmtId="0" fontId="44" fillId="5" borderId="0" xfId="17" applyFont="1" applyFill="1" applyBorder="1" applyAlignment="1">
      <alignment vertical="center"/>
    </xf>
    <xf numFmtId="0" fontId="44" fillId="5" borderId="0" xfId="17" applyFont="1" applyFill="1" applyBorder="1" applyAlignment="1">
      <alignment vertical="center" wrapText="1"/>
    </xf>
    <xf numFmtId="173" fontId="44" fillId="5" borderId="0" xfId="7" applyNumberFormat="1" applyFont="1" applyFill="1" applyBorder="1" applyAlignment="1">
      <alignment horizontal="right" vertical="center" wrapText="1"/>
    </xf>
    <xf numFmtId="173" fontId="44" fillId="5" borderId="0" xfId="7" applyNumberFormat="1" applyFont="1" applyFill="1" applyBorder="1" applyAlignment="1">
      <alignment horizontal="left" vertical="center"/>
    </xf>
    <xf numFmtId="2" fontId="43" fillId="5" borderId="0" xfId="17" applyNumberFormat="1" applyFont="1" applyFill="1" applyAlignment="1">
      <alignment vertical="center"/>
    </xf>
    <xf numFmtId="173" fontId="44" fillId="5" borderId="0" xfId="7" applyNumberFormat="1" applyFont="1" applyFill="1" applyBorder="1" applyAlignment="1">
      <alignment horizontal="right" vertical="center"/>
    </xf>
    <xf numFmtId="173" fontId="44" fillId="5" borderId="0" xfId="7" applyNumberFormat="1" applyFont="1" applyFill="1" applyAlignment="1">
      <alignment horizontal="right" vertical="center"/>
    </xf>
    <xf numFmtId="2" fontId="43" fillId="5" borderId="0" xfId="17" applyNumberFormat="1" applyFont="1" applyFill="1" applyAlignment="1">
      <alignment horizontal="right" vertical="center"/>
    </xf>
    <xf numFmtId="173" fontId="43" fillId="5" borderId="0" xfId="7" applyNumberFormat="1" applyFont="1" applyFill="1" applyAlignment="1">
      <alignment horizontal="right" vertical="center"/>
    </xf>
    <xf numFmtId="2" fontId="44" fillId="5" borderId="0" xfId="17" applyNumberFormat="1" applyFont="1" applyFill="1" applyAlignment="1">
      <alignment vertical="center"/>
    </xf>
    <xf numFmtId="2" fontId="43" fillId="5" borderId="15" xfId="17" applyNumberFormat="1" applyFont="1" applyFill="1" applyBorder="1" applyAlignment="1">
      <alignment vertical="center"/>
    </xf>
    <xf numFmtId="173" fontId="43" fillId="5" borderId="15" xfId="7" applyNumberFormat="1" applyFont="1" applyFill="1" applyBorder="1" applyAlignment="1">
      <alignment horizontal="right" vertical="center"/>
    </xf>
    <xf numFmtId="2" fontId="43" fillId="5" borderId="0" xfId="17" applyNumberFormat="1" applyFont="1" applyFill="1" applyBorder="1" applyAlignment="1">
      <alignment horizontal="right" vertical="center"/>
    </xf>
    <xf numFmtId="0" fontId="36" fillId="5" borderId="0" xfId="13" applyFont="1" applyFill="1" applyBorder="1"/>
    <xf numFmtId="2" fontId="43" fillId="5" borderId="0" xfId="17" applyNumberFormat="1" applyFont="1" applyFill="1" applyBorder="1" applyAlignment="1">
      <alignment vertical="center"/>
    </xf>
    <xf numFmtId="0" fontId="36" fillId="5" borderId="0" xfId="13" applyFont="1" applyFill="1" applyAlignment="1">
      <alignment vertical="center"/>
    </xf>
    <xf numFmtId="2" fontId="36" fillId="5" borderId="0" xfId="17" applyNumberFormat="1" applyFont="1" applyFill="1" applyAlignment="1">
      <alignment vertical="center"/>
    </xf>
    <xf numFmtId="0" fontId="44" fillId="0" borderId="0" xfId="13" applyFont="1" applyFill="1" applyAlignment="1">
      <alignment vertical="center"/>
    </xf>
    <xf numFmtId="0" fontId="44" fillId="5" borderId="0" xfId="13" applyFont="1" applyFill="1" applyAlignment="1">
      <alignment vertical="center"/>
    </xf>
    <xf numFmtId="175" fontId="16" fillId="6" borderId="15" xfId="2" applyNumberFormat="1" applyFont="1" applyFill="1" applyBorder="1" applyAlignment="1" applyProtection="1">
      <alignment horizontal="left" vertical="top"/>
    </xf>
    <xf numFmtId="0" fontId="45" fillId="0" borderId="0" xfId="0" applyFont="1"/>
    <xf numFmtId="0" fontId="33" fillId="2" borderId="0" xfId="0" applyNumberFormat="1" applyFont="1" applyFill="1" applyBorder="1" applyAlignment="1" applyProtection="1">
      <alignment horizontal="left" vertical="top"/>
    </xf>
    <xf numFmtId="0" fontId="36" fillId="0" borderId="0" xfId="0" applyFont="1"/>
    <xf numFmtId="0" fontId="46" fillId="2" borderId="0" xfId="0" applyNumberFormat="1" applyFont="1" applyFill="1" applyBorder="1" applyAlignment="1" applyProtection="1">
      <alignment horizontal="center" vertical="top"/>
    </xf>
    <xf numFmtId="173" fontId="3" fillId="2" borderId="0" xfId="18" applyNumberFormat="1" applyFont="1" applyFill="1" applyBorder="1" applyAlignment="1" applyProtection="1">
      <alignment horizontal="left" vertical="top"/>
    </xf>
    <xf numFmtId="173" fontId="3" fillId="2" borderId="1" xfId="18" applyNumberFormat="1" applyFont="1" applyFill="1" applyBorder="1" applyAlignment="1" applyProtection="1">
      <alignment horizontal="left" vertical="top"/>
    </xf>
    <xf numFmtId="173" fontId="8" fillId="2" borderId="1" xfId="18" applyNumberFormat="1" applyFont="1" applyFill="1" applyBorder="1" applyAlignment="1" applyProtection="1">
      <alignment horizontal="right" vertical="top"/>
    </xf>
    <xf numFmtId="173" fontId="4" fillId="3" borderId="3" xfId="18" applyNumberFormat="1" applyFont="1" applyFill="1" applyBorder="1" applyAlignment="1" applyProtection="1">
      <alignment horizontal="center" vertical="center" wrapText="1"/>
    </xf>
    <xf numFmtId="173" fontId="4" fillId="3" borderId="4" xfId="18" applyNumberFormat="1" applyFont="1" applyFill="1" applyBorder="1" applyAlignment="1" applyProtection="1">
      <alignment horizontal="center" vertical="center" wrapText="1"/>
    </xf>
    <xf numFmtId="173" fontId="4" fillId="2" borderId="6" xfId="18" applyNumberFormat="1" applyFont="1" applyFill="1" applyBorder="1" applyAlignment="1" applyProtection="1">
      <alignment horizontal="right" vertical="top"/>
    </xf>
    <xf numFmtId="173" fontId="4" fillId="2" borderId="7" xfId="18" applyNumberFormat="1" applyFont="1" applyFill="1" applyBorder="1" applyAlignment="1" applyProtection="1">
      <alignment horizontal="right" vertical="top"/>
    </xf>
    <xf numFmtId="173" fontId="8" fillId="2" borderId="6" xfId="18" applyNumberFormat="1" applyFont="1" applyFill="1" applyBorder="1" applyAlignment="1" applyProtection="1">
      <alignment horizontal="right" vertical="top"/>
    </xf>
    <xf numFmtId="173" fontId="8" fillId="2" borderId="7" xfId="18" applyNumberFormat="1" applyFont="1" applyFill="1" applyBorder="1" applyAlignment="1" applyProtection="1">
      <alignment horizontal="right" vertical="top"/>
    </xf>
    <xf numFmtId="173" fontId="7" fillId="2" borderId="6" xfId="18" applyNumberFormat="1" applyFont="1" applyFill="1" applyBorder="1" applyAlignment="1" applyProtection="1">
      <alignment horizontal="right" vertical="top"/>
    </xf>
    <xf numFmtId="173" fontId="7" fillId="2" borderId="7" xfId="18" applyNumberFormat="1" applyFont="1" applyFill="1" applyBorder="1" applyAlignment="1" applyProtection="1">
      <alignment horizontal="right" vertical="top"/>
    </xf>
    <xf numFmtId="173" fontId="8" fillId="2" borderId="9" xfId="18" applyNumberFormat="1" applyFont="1" applyFill="1" applyBorder="1" applyAlignment="1" applyProtection="1">
      <alignment horizontal="right" vertical="top"/>
    </xf>
    <xf numFmtId="173" fontId="8" fillId="2" borderId="10" xfId="18" applyNumberFormat="1" applyFont="1" applyFill="1" applyBorder="1" applyAlignment="1" applyProtection="1">
      <alignment horizontal="right" vertical="top"/>
    </xf>
    <xf numFmtId="173" fontId="7" fillId="2" borderId="0" xfId="18" applyNumberFormat="1" applyFont="1" applyFill="1" applyBorder="1" applyAlignment="1" applyProtection="1">
      <alignment horizontal="center" vertical="center"/>
    </xf>
    <xf numFmtId="173" fontId="0" fillId="0" borderId="0" xfId="18" applyNumberFormat="1" applyFont="1"/>
    <xf numFmtId="43" fontId="8" fillId="2" borderId="6" xfId="18" applyFont="1" applyFill="1" applyBorder="1" applyAlignment="1" applyProtection="1">
      <alignment horizontal="right" vertical="top"/>
    </xf>
    <xf numFmtId="43" fontId="8" fillId="2" borderId="7" xfId="18" applyFont="1" applyFill="1" applyBorder="1" applyAlignment="1" applyProtection="1">
      <alignment horizontal="right" vertical="top"/>
    </xf>
    <xf numFmtId="0" fontId="11" fillId="4" borderId="19" xfId="0" applyFont="1" applyFill="1" applyBorder="1" applyAlignment="1">
      <alignment horizontal="left" wrapText="1"/>
    </xf>
    <xf numFmtId="0" fontId="11" fillId="4" borderId="19" xfId="0" applyFont="1" applyFill="1" applyBorder="1" applyAlignment="1">
      <alignment horizontal="left" vertical="center"/>
    </xf>
    <xf numFmtId="0" fontId="13" fillId="4" borderId="19" xfId="0" applyFont="1" applyFill="1" applyBorder="1" applyAlignment="1">
      <alignment horizontal="left" vertical="center"/>
    </xf>
    <xf numFmtId="0" fontId="22" fillId="5" borderId="17" xfId="3" applyFont="1" applyFill="1" applyBorder="1" applyAlignment="1">
      <alignment horizontal="center" vertical="center"/>
    </xf>
    <xf numFmtId="0" fontId="22" fillId="5" borderId="0" xfId="3" applyFont="1" applyFill="1" applyBorder="1" applyAlignment="1">
      <alignment horizontal="center" vertical="center"/>
    </xf>
    <xf numFmtId="0" fontId="22" fillId="5" borderId="18" xfId="3" applyFont="1" applyFill="1" applyBorder="1" applyAlignment="1">
      <alignment horizontal="center" vertical="center"/>
    </xf>
    <xf numFmtId="0" fontId="22" fillId="5" borderId="14" xfId="3" applyFont="1" applyFill="1" applyBorder="1" applyAlignment="1">
      <alignment horizontal="center" vertical="center"/>
    </xf>
    <xf numFmtId="0" fontId="22" fillId="5" borderId="15" xfId="3" applyFont="1" applyFill="1" applyBorder="1" applyAlignment="1">
      <alignment horizontal="center" vertical="center"/>
    </xf>
    <xf numFmtId="0" fontId="22" fillId="5" borderId="16" xfId="3" applyFont="1" applyFill="1" applyBorder="1" applyAlignment="1">
      <alignment horizontal="center" vertical="center"/>
    </xf>
    <xf numFmtId="0" fontId="11" fillId="4" borderId="0" xfId="0" applyFont="1" applyFill="1" applyAlignment="1">
      <alignment horizontal="left"/>
    </xf>
    <xf numFmtId="0" fontId="18" fillId="5" borderId="11" xfId="0" applyFont="1" applyFill="1" applyBorder="1" applyAlignment="1">
      <alignment horizontal="center" vertical="center"/>
    </xf>
    <xf numFmtId="0" fontId="18" fillId="5" borderId="12" xfId="0" applyFont="1" applyFill="1" applyBorder="1" applyAlignment="1">
      <alignment horizontal="center" vertical="center"/>
    </xf>
    <xf numFmtId="0" fontId="18" fillId="5" borderId="13" xfId="0" applyFont="1" applyFill="1" applyBorder="1" applyAlignment="1">
      <alignment horizontal="center" vertical="center"/>
    </xf>
    <xf numFmtId="0" fontId="20" fillId="5" borderId="17" xfId="3" applyFont="1" applyFill="1" applyBorder="1" applyAlignment="1">
      <alignment horizontal="center" vertical="center"/>
    </xf>
    <xf numFmtId="0" fontId="20" fillId="5" borderId="0" xfId="3" applyFont="1" applyFill="1" applyBorder="1" applyAlignment="1">
      <alignment horizontal="center" vertical="center"/>
    </xf>
    <xf numFmtId="0" fontId="20" fillId="5" borderId="18" xfId="3" applyFont="1" applyFill="1" applyBorder="1" applyAlignment="1">
      <alignment horizontal="center" vertical="center"/>
    </xf>
    <xf numFmtId="0" fontId="21" fillId="5" borderId="17" xfId="3" applyFont="1" applyFill="1" applyBorder="1" applyAlignment="1">
      <alignment horizontal="center" vertical="center"/>
    </xf>
    <xf numFmtId="0" fontId="21" fillId="5" borderId="0" xfId="3" applyFont="1" applyFill="1" applyBorder="1" applyAlignment="1">
      <alignment horizontal="center" vertical="center"/>
    </xf>
    <xf numFmtId="0" fontId="21" fillId="5" borderId="18" xfId="3" applyFont="1" applyFill="1" applyBorder="1" applyAlignment="1">
      <alignment horizontal="center" vertical="center"/>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13" fillId="5" borderId="17" xfId="0" applyFont="1" applyFill="1" applyBorder="1" applyAlignment="1">
      <alignment horizontal="left" vertical="center" wrapText="1"/>
    </xf>
    <xf numFmtId="0" fontId="13" fillId="5" borderId="0" xfId="0" applyFont="1" applyFill="1" applyBorder="1" applyAlignment="1">
      <alignment horizontal="left" vertical="center" wrapText="1"/>
    </xf>
    <xf numFmtId="0" fontId="13" fillId="5" borderId="14" xfId="0" applyFont="1" applyFill="1" applyBorder="1" applyAlignment="1">
      <alignment horizontal="left"/>
    </xf>
    <xf numFmtId="0" fontId="13" fillId="5" borderId="15" xfId="0" applyFont="1" applyFill="1" applyBorder="1" applyAlignment="1">
      <alignment horizontal="left"/>
    </xf>
    <xf numFmtId="0" fontId="11" fillId="4" borderId="0" xfId="0" applyFont="1" applyFill="1" applyBorder="1" applyAlignment="1">
      <alignment horizontal="left"/>
    </xf>
    <xf numFmtId="0" fontId="13" fillId="5" borderId="11" xfId="0" applyFont="1" applyFill="1" applyBorder="1" applyAlignment="1">
      <alignment horizontal="left" wrapText="1"/>
    </xf>
    <xf numFmtId="0" fontId="13" fillId="5" borderId="12" xfId="0" applyFont="1" applyFill="1" applyBorder="1" applyAlignment="1">
      <alignment horizontal="left"/>
    </xf>
    <xf numFmtId="0" fontId="13" fillId="5" borderId="13" xfId="0" applyFont="1" applyFill="1" applyBorder="1" applyAlignment="1">
      <alignment horizontal="left"/>
    </xf>
    <xf numFmtId="0" fontId="13" fillId="5" borderId="14" xfId="0" applyFont="1" applyFill="1" applyBorder="1" applyAlignment="1">
      <alignment horizontal="left" wrapText="1"/>
    </xf>
    <xf numFmtId="0" fontId="13" fillId="5" borderId="16" xfId="0" applyFont="1" applyFill="1" applyBorder="1" applyAlignment="1">
      <alignment horizontal="left"/>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4" fillId="2" borderId="0" xfId="0" applyNumberFormat="1" applyFont="1" applyFill="1" applyBorder="1" applyAlignment="1" applyProtection="1">
      <alignment horizontal="center" vertical="top"/>
    </xf>
    <xf numFmtId="0" fontId="9" fillId="2" borderId="0" xfId="0" applyNumberFormat="1" applyFont="1" applyFill="1" applyBorder="1" applyAlignment="1" applyProtection="1">
      <alignment horizontal="center" vertical="top"/>
    </xf>
    <xf numFmtId="0" fontId="33"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top" wrapText="1"/>
    </xf>
    <xf numFmtId="175" fontId="8"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center" vertical="top" wrapText="1"/>
    </xf>
    <xf numFmtId="0" fontId="4" fillId="2" borderId="0" xfId="0" applyNumberFormat="1" applyFont="1" applyFill="1" applyBorder="1" applyAlignment="1" applyProtection="1">
      <alignment horizontal="left" vertical="top"/>
    </xf>
    <xf numFmtId="0" fontId="8" fillId="2" borderId="1" xfId="0" applyNumberFormat="1" applyFont="1" applyFill="1" applyBorder="1" applyAlignment="1" applyProtection="1">
      <alignment horizontal="right" vertical="top"/>
    </xf>
    <xf numFmtId="0" fontId="8" fillId="2" borderId="0" xfId="0" applyNumberFormat="1" applyFont="1" applyFill="1" applyBorder="1" applyAlignment="1" applyProtection="1">
      <alignment horizontal="left" vertical="top" wrapText="1"/>
    </xf>
    <xf numFmtId="14" fontId="4"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wrapText="1"/>
    </xf>
    <xf numFmtId="0" fontId="8"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7" fillId="2" borderId="0" xfId="0" applyNumberFormat="1" applyFont="1" applyFill="1" applyBorder="1" applyAlignment="1" applyProtection="1">
      <alignment horizontal="center"/>
    </xf>
    <xf numFmtId="0" fontId="8" fillId="2" borderId="0" xfId="0" applyNumberFormat="1" applyFont="1" applyFill="1" applyBorder="1" applyAlignment="1" applyProtection="1">
      <alignment horizontal="left" vertical="top"/>
    </xf>
    <xf numFmtId="14" fontId="4" fillId="2" borderId="0" xfId="0" applyNumberFormat="1" applyFont="1" applyFill="1" applyBorder="1" applyAlignment="1" applyProtection="1">
      <alignment horizontal="left" vertical="top"/>
    </xf>
    <xf numFmtId="175" fontId="8"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right" vertical="top"/>
    </xf>
    <xf numFmtId="0" fontId="30"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xf numFmtId="0" fontId="10"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center"/>
    </xf>
    <xf numFmtId="0" fontId="31" fillId="2" borderId="0" xfId="0" applyNumberFormat="1" applyFont="1" applyFill="1" applyBorder="1" applyAlignment="1" applyProtection="1">
      <alignment horizontal="center"/>
    </xf>
    <xf numFmtId="0" fontId="4" fillId="2" borderId="0" xfId="0" applyNumberFormat="1" applyFont="1" applyFill="1" applyBorder="1" applyAlignment="1" applyProtection="1">
      <alignment horizontal="left" vertical="top" wrapText="1"/>
    </xf>
    <xf numFmtId="175" fontId="41" fillId="6" borderId="0" xfId="2" applyNumberFormat="1" applyFont="1" applyFill="1" applyBorder="1" applyAlignment="1" applyProtection="1">
      <alignment horizontal="left" vertical="top"/>
    </xf>
    <xf numFmtId="0" fontId="36" fillId="5" borderId="0" xfId="13" applyFont="1" applyFill="1" applyAlignment="1">
      <alignment horizontal="left"/>
    </xf>
    <xf numFmtId="0" fontId="37" fillId="5" borderId="0" xfId="13" applyFont="1" applyFill="1" applyAlignment="1">
      <alignment horizontal="center" wrapText="1"/>
    </xf>
    <xf numFmtId="0" fontId="38" fillId="5" borderId="0" xfId="13" applyFont="1" applyFill="1" applyAlignment="1">
      <alignment horizontal="center" vertical="center" wrapText="1"/>
    </xf>
    <xf numFmtId="0" fontId="39" fillId="5" borderId="0" xfId="13" applyFont="1" applyFill="1" applyAlignment="1">
      <alignment horizontal="center" vertical="center" wrapText="1"/>
    </xf>
    <xf numFmtId="3" fontId="37" fillId="5" borderId="0" xfId="13" applyNumberFormat="1" applyFont="1" applyFill="1" applyAlignment="1">
      <alignment horizontal="center" vertical="center" wrapText="1"/>
    </xf>
    <xf numFmtId="0" fontId="37" fillId="5" borderId="0" xfId="13" applyFont="1" applyFill="1" applyAlignment="1">
      <alignment horizontal="center" vertical="center"/>
    </xf>
    <xf numFmtId="14" fontId="39" fillId="5" borderId="0" xfId="13" applyNumberFormat="1" applyFont="1" applyFill="1" applyAlignment="1">
      <alignment horizontal="left" vertical="center"/>
    </xf>
    <xf numFmtId="0" fontId="4" fillId="3" borderId="41" xfId="0" applyNumberFormat="1" applyFont="1" applyFill="1" applyBorder="1" applyAlignment="1" applyProtection="1">
      <alignment horizontal="center" vertical="center" wrapText="1"/>
    </xf>
    <xf numFmtId="0" fontId="4" fillId="3" borderId="44" xfId="0" applyNumberFormat="1" applyFont="1" applyFill="1" applyBorder="1" applyAlignment="1" applyProtection="1">
      <alignment horizontal="center" vertical="center" wrapText="1"/>
    </xf>
    <xf numFmtId="0" fontId="4" fillId="3" borderId="42" xfId="0" applyNumberFormat="1" applyFont="1" applyFill="1" applyBorder="1" applyAlignment="1" applyProtection="1">
      <alignment horizontal="center" vertical="center" wrapText="1"/>
    </xf>
    <xf numFmtId="0" fontId="36" fillId="0" borderId="44" xfId="13" applyFont="1" applyBorder="1" applyAlignment="1">
      <alignment horizontal="center" vertical="center" wrapText="1"/>
    </xf>
    <xf numFmtId="0" fontId="36" fillId="0" borderId="45" xfId="13" applyFont="1" applyBorder="1" applyAlignment="1">
      <alignment horizontal="center" vertical="center" wrapText="1"/>
    </xf>
    <xf numFmtId="0" fontId="36" fillId="0" borderId="47" xfId="13" applyFont="1" applyBorder="1" applyAlignment="1">
      <alignment horizontal="center" vertical="center" wrapText="1"/>
    </xf>
    <xf numFmtId="0" fontId="36" fillId="0" borderId="48" xfId="13" applyFont="1" applyBorder="1" applyAlignment="1">
      <alignment horizontal="center" vertical="center" wrapText="1"/>
    </xf>
    <xf numFmtId="0" fontId="44" fillId="5" borderId="0" xfId="17" applyFont="1" applyFill="1" applyAlignment="1">
      <alignment horizontal="center" vertical="center"/>
    </xf>
    <xf numFmtId="174" fontId="44" fillId="5" borderId="0" xfId="17" applyNumberFormat="1" applyFont="1" applyFill="1" applyAlignment="1">
      <alignment horizontal="center" vertical="center"/>
    </xf>
    <xf numFmtId="0" fontId="4" fillId="3" borderId="40" xfId="0" applyNumberFormat="1" applyFont="1" applyFill="1" applyBorder="1" applyAlignment="1" applyProtection="1">
      <alignment horizontal="center" vertical="center" wrapText="1"/>
    </xf>
    <xf numFmtId="0" fontId="4" fillId="3" borderId="43" xfId="0" applyNumberFormat="1" applyFont="1" applyFill="1" applyBorder="1" applyAlignment="1" applyProtection="1">
      <alignment horizontal="center" vertical="center" wrapText="1"/>
    </xf>
    <xf numFmtId="0" fontId="44" fillId="5" borderId="0" xfId="17" applyFont="1" applyFill="1" applyBorder="1" applyAlignment="1">
      <alignment horizontal="center" vertical="center"/>
    </xf>
    <xf numFmtId="0" fontId="44" fillId="0" borderId="0" xfId="13" applyFont="1" applyFill="1" applyAlignment="1">
      <alignment horizontal="center" vertical="center"/>
    </xf>
    <xf numFmtId="173" fontId="44" fillId="5" borderId="0" xfId="7" applyNumberFormat="1" applyFont="1" applyFill="1" applyBorder="1" applyAlignment="1">
      <alignment horizontal="center" vertical="center"/>
    </xf>
    <xf numFmtId="2" fontId="44" fillId="5" borderId="0" xfId="17" applyNumberFormat="1" applyFont="1" applyFill="1" applyAlignment="1">
      <alignment horizontal="right" vertical="center" wrapText="1"/>
    </xf>
    <xf numFmtId="0" fontId="44" fillId="5" borderId="12" xfId="17" applyFont="1" applyFill="1" applyBorder="1" applyAlignment="1">
      <alignment horizontal="center" vertical="center"/>
    </xf>
    <xf numFmtId="0" fontId="6" fillId="2" borderId="0" xfId="0" applyNumberFormat="1" applyFont="1" applyFill="1" applyBorder="1" applyAlignment="1" applyProtection="1">
      <alignment horizontal="center" vertical="center"/>
    </xf>
    <xf numFmtId="0" fontId="4" fillId="7" borderId="26" xfId="0" applyNumberFormat="1" applyFont="1" applyFill="1" applyBorder="1" applyAlignment="1" applyProtection="1">
      <alignment horizontal="center" vertical="center" wrapText="1"/>
    </xf>
    <xf numFmtId="0" fontId="4" fillId="7" borderId="27" xfId="0" applyNumberFormat="1" applyFont="1" applyFill="1" applyBorder="1" applyAlignment="1" applyProtection="1">
      <alignment horizontal="center" vertical="center" wrapText="1"/>
    </xf>
    <xf numFmtId="0" fontId="4" fillId="7" borderId="28" xfId="0" applyNumberFormat="1" applyFont="1" applyFill="1" applyBorder="1" applyAlignment="1" applyProtection="1">
      <alignment horizontal="center" vertical="center" wrapText="1"/>
    </xf>
    <xf numFmtId="0" fontId="4" fillId="7" borderId="29" xfId="0" applyNumberFormat="1" applyFont="1" applyFill="1" applyBorder="1" applyAlignment="1" applyProtection="1">
      <alignment horizontal="center" vertical="center" wrapText="1"/>
    </xf>
    <xf numFmtId="0" fontId="32" fillId="7" borderId="30" xfId="0" applyNumberFormat="1" applyFont="1" applyFill="1" applyBorder="1" applyAlignment="1" applyProtection="1">
      <alignment horizontal="center" vertical="center" wrapText="1"/>
    </xf>
    <xf numFmtId="0" fontId="32" fillId="7" borderId="3" xfId="0" applyNumberFormat="1" applyFont="1" applyFill="1" applyBorder="1" applyAlignment="1" applyProtection="1">
      <alignment horizontal="center" vertical="center" wrapText="1"/>
    </xf>
    <xf numFmtId="0" fontId="32" fillId="7" borderId="4"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xf>
    <xf numFmtId="173" fontId="4" fillId="2" borderId="0" xfId="18"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xf>
    <xf numFmtId="173" fontId="7" fillId="2" borderId="0" xfId="18"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right" vertical="center" wrapText="1"/>
    </xf>
    <xf numFmtId="0" fontId="5" fillId="2" borderId="0" xfId="0" applyNumberFormat="1" applyFont="1" applyFill="1" applyBorder="1" applyAlignment="1" applyProtection="1">
      <alignment horizontal="center" vertical="top" wrapText="1"/>
    </xf>
    <xf numFmtId="0" fontId="32" fillId="2" borderId="0" xfId="0" applyNumberFormat="1" applyFont="1" applyFill="1" applyBorder="1" applyAlignment="1" applyProtection="1">
      <alignment horizontal="center" vertical="center" wrapText="1"/>
    </xf>
    <xf numFmtId="0" fontId="34"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center"/>
    </xf>
    <xf numFmtId="0" fontId="7" fillId="2" borderId="1" xfId="0" applyNumberFormat="1" applyFont="1" applyFill="1" applyBorder="1" applyAlignment="1" applyProtection="1">
      <alignment horizontal="right" vertical="center"/>
    </xf>
    <xf numFmtId="0" fontId="35"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left" vertical="center"/>
    </xf>
  </cellXfs>
  <cellStyles count="19">
    <cellStyle name="Comma" xfId="18" builtinId="3"/>
    <cellStyle name="Comma 13" xfId="5"/>
    <cellStyle name="Comma 2" xfId="6"/>
    <cellStyle name="Comma 4" xfId="7"/>
    <cellStyle name="Currency [0] 2" xfId="8"/>
    <cellStyle name="Hyperlink" xfId="4" builtinId="8"/>
    <cellStyle name="Normal" xfId="0" builtinId="0"/>
    <cellStyle name="Normal 2" xfId="1"/>
    <cellStyle name="Normal 2 2" xfId="9"/>
    <cellStyle name="Normal 3" xfId="10"/>
    <cellStyle name="Normal 3 2" xfId="11"/>
    <cellStyle name="Normal 3 2 2" xfId="12"/>
    <cellStyle name="Normal 3 2 3" xfId="13"/>
    <cellStyle name="Normal 4" xfId="14"/>
    <cellStyle name="Normal 5" xfId="15"/>
    <cellStyle name="Normal 6" xfId="2"/>
    <cellStyle name="Normal_Bao cao tai chinh 280405" xfId="3"/>
    <cellStyle name="Normal_Bao cao tai chinh 280405 2" xfId="17"/>
    <cellStyle name="Percent 2" xfId="1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57150</xdr:rowOff>
    </xdr:from>
    <xdr:ext cx="895350" cy="336713"/>
    <xdr:pic>
      <xdr:nvPicPr>
        <xdr:cNvPr id="2" name="Picture 1"/>
        <xdr:cNvPicPr>
          <a:picLocks noChangeAspect="1"/>
        </xdr:cNvPicPr>
      </xdr:nvPicPr>
      <xdr:blipFill rotWithShape="1">
        <a:blip xmlns:r="http://schemas.openxmlformats.org/officeDocument/2006/relationships" r:embed="rId1"/>
        <a:srcRect l="10563" t="25925" r="7042" b="19753"/>
        <a:stretch/>
      </xdr:blipFill>
      <xdr:spPr>
        <a:xfrm>
          <a:off x="28575" y="57150"/>
          <a:ext cx="895350" cy="336713"/>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895350" cy="336713"/>
    <xdr:pic>
      <xdr:nvPicPr>
        <xdr:cNvPr id="2" name="Picture 1"/>
        <xdr:cNvPicPr>
          <a:picLocks noChangeAspect="1"/>
        </xdr:cNvPicPr>
      </xdr:nvPicPr>
      <xdr:blipFill rotWithShape="1">
        <a:blip xmlns:r="http://schemas.openxmlformats.org/officeDocument/2006/relationships" r:embed="rId1"/>
        <a:srcRect l="10563" t="25925" r="7042" b="19753"/>
        <a:stretch/>
      </xdr:blipFill>
      <xdr:spPr>
        <a:xfrm>
          <a:off x="28575" y="28575"/>
          <a:ext cx="895350" cy="336713"/>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66</xdr:row>
      <xdr:rowOff>9525</xdr:rowOff>
    </xdr:from>
    <xdr:ext cx="7162800" cy="200025"/>
    <xdr:sp macro="" textlink="" fLocksText="0">
      <xdr:nvSpPr>
        <xdr:cNvPr id="3" name="TextBox 2"/>
        <xdr:cNvSpPr txBox="1"/>
      </xdr:nvSpPr>
      <xdr:spPr>
        <a:xfrm>
          <a:off x="9525" y="16992600"/>
          <a:ext cx="71628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Ghi chú:</a:t>
          </a:r>
        </a:p>
      </xdr:txBody>
    </xdr:sp>
    <xdr:clientData/>
  </xdr:oneCellAnchor>
  <xdr:oneCellAnchor>
    <xdr:from>
      <xdr:col>0</xdr:col>
      <xdr:colOff>9525</xdr:colOff>
      <xdr:row>67</xdr:row>
      <xdr:rowOff>9525</xdr:rowOff>
    </xdr:from>
    <xdr:ext cx="7162800" cy="276225"/>
    <xdr:sp macro="" textlink="" fLocksText="0">
      <xdr:nvSpPr>
        <xdr:cNvPr id="4" name="TextBox 3"/>
        <xdr:cNvSpPr txBox="1"/>
      </xdr:nvSpPr>
      <xdr:spPr>
        <a:xfrm>
          <a:off x="9525" y="17192625"/>
          <a:ext cx="7162800" cy="2762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oneCellAnchor>
  <xdr:oneCellAnchor>
    <xdr:from>
      <xdr:col>0</xdr:col>
      <xdr:colOff>9525</xdr:colOff>
      <xdr:row>71</xdr:row>
      <xdr:rowOff>9525</xdr:rowOff>
    </xdr:from>
    <xdr:ext cx="3352800" cy="161925"/>
    <xdr:sp macro="" textlink="" fLocksText="0">
      <xdr:nvSpPr>
        <xdr:cNvPr id="5" name="TextBox 4"/>
        <xdr:cNvSpPr txBox="1"/>
      </xdr:nvSpPr>
      <xdr:spPr>
        <a:xfrm>
          <a:off x="9525" y="18345150"/>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Đại diện có thẩm quyền của Ngân hàng giám sát</a:t>
          </a:r>
        </a:p>
      </xdr:txBody>
    </xdr:sp>
    <xdr:clientData/>
  </xdr:oneCellAnchor>
  <xdr:oneCellAnchor>
    <xdr:from>
      <xdr:col>3</xdr:col>
      <xdr:colOff>9525</xdr:colOff>
      <xdr:row>71</xdr:row>
      <xdr:rowOff>9525</xdr:rowOff>
    </xdr:from>
    <xdr:ext cx="3810000" cy="161925"/>
    <xdr:sp macro="" textlink="" fLocksText="0">
      <xdr:nvSpPr>
        <xdr:cNvPr id="6" name="TextBox 5"/>
        <xdr:cNvSpPr txBox="1"/>
      </xdr:nvSpPr>
      <xdr:spPr>
        <a:xfrm>
          <a:off x="3362325" y="18345150"/>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Đại diện có thẩm quyền của Công ty quản lý quỹ</a:t>
          </a:r>
        </a:p>
      </xdr:txBody>
    </xdr:sp>
    <xdr:clientData/>
  </xdr:oneCellAnchor>
  <xdr:oneCellAnchor>
    <xdr:from>
      <xdr:col>0</xdr:col>
      <xdr:colOff>9525</xdr:colOff>
      <xdr:row>72</xdr:row>
      <xdr:rowOff>9525</xdr:rowOff>
    </xdr:from>
    <xdr:ext cx="3352800" cy="200025"/>
    <xdr:sp macro="" textlink="" fLocksText="0">
      <xdr:nvSpPr>
        <xdr:cNvPr id="7" name="TextBox 6"/>
        <xdr:cNvSpPr txBox="1"/>
      </xdr:nvSpPr>
      <xdr:spPr>
        <a:xfrm>
          <a:off x="9525" y="18507075"/>
          <a:ext cx="33528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Authorised Representative of Supervisory Bank</a:t>
          </a:r>
        </a:p>
      </xdr:txBody>
    </xdr:sp>
    <xdr:clientData/>
  </xdr:oneCellAnchor>
  <xdr:oneCellAnchor>
    <xdr:from>
      <xdr:col>3</xdr:col>
      <xdr:colOff>9525</xdr:colOff>
      <xdr:row>72</xdr:row>
      <xdr:rowOff>9525</xdr:rowOff>
    </xdr:from>
    <xdr:ext cx="3810000" cy="200025"/>
    <xdr:sp macro="" textlink="" fLocksText="0">
      <xdr:nvSpPr>
        <xdr:cNvPr id="8" name="TextBox 7"/>
        <xdr:cNvSpPr txBox="1"/>
      </xdr:nvSpPr>
      <xdr:spPr>
        <a:xfrm>
          <a:off x="3362325" y="18507075"/>
          <a:ext cx="3810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Authorised Representative of Fund Management Company</a:t>
          </a:r>
        </a:p>
      </xdr:txBody>
    </xdr:sp>
    <xdr:clientData/>
  </xdr:oneCellAnchor>
  <xdr:oneCellAnchor>
    <xdr:from>
      <xdr:col>0</xdr:col>
      <xdr:colOff>9525</xdr:colOff>
      <xdr:row>77</xdr:row>
      <xdr:rowOff>9525</xdr:rowOff>
    </xdr:from>
    <xdr:ext cx="3352800" cy="161925"/>
    <xdr:sp macro="" textlink="" fLocksText="0">
      <xdr:nvSpPr>
        <xdr:cNvPr id="9" name="TextBox 8"/>
        <xdr:cNvSpPr txBox="1"/>
      </xdr:nvSpPr>
      <xdr:spPr>
        <a:xfrm>
          <a:off x="9525" y="19307175"/>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NGÂN HÀNG TMCP NGOẠI THƯƠNG VIỆT NAM-CN TP.HCM</a:t>
          </a:r>
        </a:p>
      </xdr:txBody>
    </xdr:sp>
    <xdr:clientData/>
  </xdr:oneCellAnchor>
  <xdr:oneCellAnchor>
    <xdr:from>
      <xdr:col>3</xdr:col>
      <xdr:colOff>9525</xdr:colOff>
      <xdr:row>77</xdr:row>
      <xdr:rowOff>9525</xdr:rowOff>
    </xdr:from>
    <xdr:ext cx="3810000" cy="161925"/>
    <xdr:sp macro="" textlink="" fLocksText="0">
      <xdr:nvSpPr>
        <xdr:cNvPr id="10" name="TextBox 9"/>
        <xdr:cNvSpPr txBox="1"/>
      </xdr:nvSpPr>
      <xdr:spPr>
        <a:xfrm>
          <a:off x="3362325" y="19307175"/>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CÔNG TY CỔ PHẦN QUẢN LÝ QUỸ ĐẦU TƯ VIỆT NAM</a:t>
          </a:r>
        </a:p>
      </xdr:txBody>
    </xdr:sp>
    <xdr:clientData/>
  </xdr:oneCellAnchor>
  <xdr:oneCellAnchor>
    <xdr:from>
      <xdr:col>0</xdr:col>
      <xdr:colOff>9525</xdr:colOff>
      <xdr:row>78</xdr:row>
      <xdr:rowOff>9525</xdr:rowOff>
    </xdr:from>
    <xdr:ext cx="3352800" cy="161925"/>
    <xdr:sp macro="" textlink="" fLocksText="0">
      <xdr:nvSpPr>
        <xdr:cNvPr id="11" name="TextBox 10"/>
        <xdr:cNvSpPr txBox="1"/>
      </xdr:nvSpPr>
      <xdr:spPr>
        <a:xfrm>
          <a:off x="9525" y="19469100"/>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800" b="1" i="0" u="none" baseline="0">
              <a:solidFill>
                <a:srgbClr val="000000"/>
              </a:solidFill>
              <a:latin typeface="Tahoma" panose="020B0604030504040204" pitchFamily="34" charset="0"/>
              <a:ea typeface="Times New Roman"/>
              <a:cs typeface="Tahoma" panose="020B0604030504040204" pitchFamily="34" charset="0"/>
            </a:rPr>
            <a:t>Phó Trưởng Phòng DVKHTC2</a:t>
          </a:r>
        </a:p>
      </xdr:txBody>
    </xdr:sp>
    <xdr:clientData/>
  </xdr:oneCellAnchor>
  <xdr:oneCellAnchor>
    <xdr:from>
      <xdr:col>3</xdr:col>
      <xdr:colOff>9525</xdr:colOff>
      <xdr:row>78</xdr:row>
      <xdr:rowOff>9525</xdr:rowOff>
    </xdr:from>
    <xdr:ext cx="3810000" cy="161925"/>
    <xdr:sp macro="" textlink="" fLocksText="0">
      <xdr:nvSpPr>
        <xdr:cNvPr id="12" name="TextBox 11"/>
        <xdr:cNvSpPr txBox="1"/>
      </xdr:nvSpPr>
      <xdr:spPr>
        <a:xfrm>
          <a:off x="3362325" y="19469100"/>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800" b="1" i="0" u="none" baseline="0">
              <a:solidFill>
                <a:srgbClr val="000000"/>
              </a:solidFill>
              <a:latin typeface="Tahoma" panose="020B0604030504040204" pitchFamily="34" charset="0"/>
              <a:ea typeface="Times New Roman"/>
              <a:cs typeface="Tahoma" panose="020B0604030504040204" pitchFamily="34" charset="0"/>
            </a:rPr>
            <a:t>Tổng Giám Đốc</a:t>
          </a:r>
        </a:p>
      </xdr:txBody>
    </xdr:sp>
    <xdr:clientData/>
  </xdr:oneCellAnchor>
  <xdr:oneCellAnchor>
    <xdr:from>
      <xdr:col>0</xdr:col>
      <xdr:colOff>9525</xdr:colOff>
      <xdr:row>79</xdr:row>
      <xdr:rowOff>9525</xdr:rowOff>
    </xdr:from>
    <xdr:ext cx="3352800" cy="161925"/>
    <xdr:sp macro="" textlink="" fLocksText="0">
      <xdr:nvSpPr>
        <xdr:cNvPr id="13" name="TextBox 12"/>
        <xdr:cNvSpPr txBox="1"/>
      </xdr:nvSpPr>
      <xdr:spPr>
        <a:xfrm>
          <a:off x="9525" y="19631025"/>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800" b="1" i="0" u="none" baseline="0">
              <a:solidFill>
                <a:srgbClr val="000000"/>
              </a:solidFill>
              <a:latin typeface="Tahoma" panose="020B0604030504040204" pitchFamily="34" charset="0"/>
              <a:ea typeface="Times New Roman"/>
              <a:cs typeface="Tahoma" panose="020B0604030504040204" pitchFamily="34" charset="0"/>
            </a:rPr>
            <a:t>Ngô Thùy Dương</a:t>
          </a:r>
        </a:p>
      </xdr:txBody>
    </xdr:sp>
    <xdr:clientData/>
  </xdr:oneCellAnchor>
  <xdr:oneCellAnchor>
    <xdr:from>
      <xdr:col>3</xdr:col>
      <xdr:colOff>9525</xdr:colOff>
      <xdr:row>79</xdr:row>
      <xdr:rowOff>9525</xdr:rowOff>
    </xdr:from>
    <xdr:ext cx="3810000" cy="161925"/>
    <xdr:sp macro="" textlink="" fLocksText="0">
      <xdr:nvSpPr>
        <xdr:cNvPr id="14" name="TextBox 13"/>
        <xdr:cNvSpPr txBox="1"/>
      </xdr:nvSpPr>
      <xdr:spPr>
        <a:xfrm>
          <a:off x="3362325" y="19631025"/>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800" b="1" i="0" u="none" baseline="0">
              <a:solidFill>
                <a:srgbClr val="000000"/>
              </a:solidFill>
              <a:latin typeface="Tahoma" panose="020B0604030504040204" pitchFamily="34" charset="0"/>
              <a:ea typeface="Times New Roman"/>
              <a:cs typeface="Tahoma" panose="020B0604030504040204" pitchFamily="34" charset="0"/>
            </a:rPr>
            <a:t>Trần Thanh Tân</a:t>
          </a:r>
        </a:p>
      </xdr:txBody>
    </xdr:sp>
    <xdr:clientData/>
  </xdr:oneCellAnchor>
  <xdr:oneCellAnchor>
    <xdr:from>
      <xdr:col>0</xdr:col>
      <xdr:colOff>28575</xdr:colOff>
      <xdr:row>0</xdr:row>
      <xdr:rowOff>28575</xdr:rowOff>
    </xdr:from>
    <xdr:ext cx="895350" cy="336713"/>
    <xdr:pic>
      <xdr:nvPicPr>
        <xdr:cNvPr id="15" name="Picture 14"/>
        <xdr:cNvPicPr>
          <a:picLocks noChangeAspect="1"/>
        </xdr:cNvPicPr>
      </xdr:nvPicPr>
      <xdr:blipFill rotWithShape="1">
        <a:blip xmlns:r="http://schemas.openxmlformats.org/officeDocument/2006/relationships" r:embed="rId1"/>
        <a:srcRect l="10563" t="25925" r="7042" b="19753"/>
        <a:stretch/>
      </xdr:blipFill>
      <xdr:spPr>
        <a:xfrm>
          <a:off x="28575" y="28575"/>
          <a:ext cx="895350" cy="336713"/>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895350" cy="336713"/>
    <xdr:pic>
      <xdr:nvPicPr>
        <xdr:cNvPr id="3" name="Picture 2"/>
        <xdr:cNvPicPr>
          <a:picLocks noChangeAspect="1"/>
        </xdr:cNvPicPr>
      </xdr:nvPicPr>
      <xdr:blipFill rotWithShape="1">
        <a:blip xmlns:r="http://schemas.openxmlformats.org/officeDocument/2006/relationships" r:embed="rId1"/>
        <a:srcRect l="10563" t="25925" r="7042" b="19753"/>
        <a:stretch/>
      </xdr:blipFill>
      <xdr:spPr>
        <a:xfrm>
          <a:off x="28575" y="28575"/>
          <a:ext cx="895350" cy="336713"/>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659981" y="3552825"/>
          <a:ext cx="7670006" cy="2697956"/>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95250</xdr:colOff>
      <xdr:row>0</xdr:row>
      <xdr:rowOff>38100</xdr:rowOff>
    </xdr:from>
    <xdr:to>
      <xdr:col>1</xdr:col>
      <xdr:colOff>533400</xdr:colOff>
      <xdr:row>1</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95250" y="3810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38101</xdr:colOff>
      <xdr:row>0</xdr:row>
      <xdr:rowOff>19050</xdr:rowOff>
    </xdr:from>
    <xdr:ext cx="895350" cy="336713"/>
    <xdr:pic>
      <xdr:nvPicPr>
        <xdr:cNvPr id="2" name="Picture 1"/>
        <xdr:cNvPicPr>
          <a:picLocks noChangeAspect="1"/>
        </xdr:cNvPicPr>
      </xdr:nvPicPr>
      <xdr:blipFill rotWithShape="1">
        <a:blip xmlns:r="http://schemas.openxmlformats.org/officeDocument/2006/relationships" r:embed="rId1"/>
        <a:srcRect l="10563" t="25925" r="7042" b="19753"/>
        <a:stretch/>
      </xdr:blipFill>
      <xdr:spPr>
        <a:xfrm>
          <a:off x="38101" y="19050"/>
          <a:ext cx="895350" cy="336713"/>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0</xdr:row>
      <xdr:rowOff>28575</xdr:rowOff>
    </xdr:from>
    <xdr:ext cx="895350" cy="336713"/>
    <xdr:pic>
      <xdr:nvPicPr>
        <xdr:cNvPr id="3" name="Picture 2"/>
        <xdr:cNvPicPr>
          <a:picLocks noChangeAspect="1"/>
        </xdr:cNvPicPr>
      </xdr:nvPicPr>
      <xdr:blipFill rotWithShape="1">
        <a:blip xmlns:r="http://schemas.openxmlformats.org/officeDocument/2006/relationships" r:embed="rId1"/>
        <a:srcRect l="10563" t="25925" r="7042" b="19753"/>
        <a:stretch/>
      </xdr:blipFill>
      <xdr:spPr>
        <a:xfrm>
          <a:off x="57150" y="28575"/>
          <a:ext cx="895350" cy="336713"/>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38100</xdr:colOff>
      <xdr:row>0</xdr:row>
      <xdr:rowOff>28575</xdr:rowOff>
    </xdr:from>
    <xdr:ext cx="895350" cy="336713"/>
    <xdr:pic>
      <xdr:nvPicPr>
        <xdr:cNvPr id="3" name="Picture 2"/>
        <xdr:cNvPicPr>
          <a:picLocks noChangeAspect="1"/>
        </xdr:cNvPicPr>
      </xdr:nvPicPr>
      <xdr:blipFill rotWithShape="1">
        <a:blip xmlns:r="http://schemas.openxmlformats.org/officeDocument/2006/relationships" r:embed="rId1"/>
        <a:srcRect l="10563" t="25925" r="7042" b="19753"/>
        <a:stretch/>
      </xdr:blipFill>
      <xdr:spPr>
        <a:xfrm>
          <a:off x="38100" y="28575"/>
          <a:ext cx="895350" cy="336713"/>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28575</xdr:colOff>
      <xdr:row>0</xdr:row>
      <xdr:rowOff>19050</xdr:rowOff>
    </xdr:from>
    <xdr:ext cx="895350" cy="336713"/>
    <xdr:pic>
      <xdr:nvPicPr>
        <xdr:cNvPr id="3" name="Picture 2"/>
        <xdr:cNvPicPr>
          <a:picLocks noChangeAspect="1"/>
        </xdr:cNvPicPr>
      </xdr:nvPicPr>
      <xdr:blipFill rotWithShape="1">
        <a:blip xmlns:r="http://schemas.openxmlformats.org/officeDocument/2006/relationships" r:embed="rId1"/>
        <a:srcRect l="10563" t="25925" r="7042" b="19753"/>
        <a:stretch/>
      </xdr:blipFill>
      <xdr:spPr>
        <a:xfrm>
          <a:off x="28575" y="19050"/>
          <a:ext cx="895350" cy="336713"/>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topLeftCell="A28" zoomScale="80" zoomScaleNormal="50" zoomScaleSheetLayoutView="80" workbookViewId="0">
      <selection activeCell="E46" sqref="E46"/>
    </sheetView>
  </sheetViews>
  <sheetFormatPr defaultRowHeight="15"/>
  <cols>
    <col min="1" max="1" width="11.85546875" style="31" customWidth="1"/>
    <col min="2" max="2" width="6.140625" style="31" customWidth="1"/>
    <col min="3" max="3" width="11.42578125" style="31" customWidth="1"/>
    <col min="4" max="4" width="24.28515625" style="31" customWidth="1"/>
    <col min="5" max="5" width="23.140625" style="31" customWidth="1"/>
    <col min="6" max="6" width="5.28515625" style="31" customWidth="1"/>
    <col min="7" max="7" width="24.5703125" style="31" customWidth="1"/>
    <col min="8" max="8" width="21.42578125" style="31" customWidth="1"/>
    <col min="9" max="9" width="12.85546875" style="31" customWidth="1"/>
    <col min="10" max="16384" width="9.140625" style="31"/>
  </cols>
  <sheetData>
    <row r="1" spans="1:10" ht="15.75">
      <c r="A1" s="298" t="s">
        <v>222</v>
      </c>
      <c r="B1" s="298"/>
    </row>
    <row r="2" spans="1:10" ht="15.75">
      <c r="C2" s="299" t="s">
        <v>223</v>
      </c>
      <c r="D2" s="300"/>
      <c r="E2" s="301"/>
    </row>
    <row r="3" spans="1:10" ht="15.75">
      <c r="A3" s="32"/>
      <c r="B3" s="32"/>
      <c r="C3" s="302" t="s">
        <v>224</v>
      </c>
      <c r="D3" s="297"/>
      <c r="E3" s="303"/>
    </row>
    <row r="4" spans="1:10">
      <c r="A4" s="33"/>
      <c r="B4" s="33"/>
    </row>
    <row r="5" spans="1:10" ht="15.75">
      <c r="A5" s="282" t="s">
        <v>225</v>
      </c>
      <c r="B5" s="282"/>
      <c r="E5" s="34"/>
      <c r="F5" s="34"/>
      <c r="G5" s="34"/>
      <c r="H5" s="34"/>
      <c r="I5" s="34"/>
    </row>
    <row r="6" spans="1:10" ht="15.75">
      <c r="A6" s="32"/>
      <c r="B6" s="32"/>
      <c r="C6" s="304" t="s">
        <v>5</v>
      </c>
      <c r="D6" s="305"/>
      <c r="E6" s="35" t="s">
        <v>226</v>
      </c>
      <c r="F6" s="36"/>
      <c r="G6" s="36"/>
      <c r="H6" s="36"/>
      <c r="I6" s="37"/>
    </row>
    <row r="7" spans="1:10" ht="15.75">
      <c r="A7" s="32"/>
      <c r="B7" s="32"/>
      <c r="C7" s="294" t="s">
        <v>7</v>
      </c>
      <c r="D7" s="295"/>
      <c r="E7" s="38" t="s">
        <v>8</v>
      </c>
      <c r="F7" s="39"/>
      <c r="G7" s="39"/>
      <c r="H7" s="39"/>
      <c r="I7" s="40"/>
      <c r="J7" s="41"/>
    </row>
    <row r="8" spans="1:10" ht="15.75">
      <c r="A8" s="32"/>
      <c r="B8" s="32"/>
      <c r="C8" s="292" t="s">
        <v>227</v>
      </c>
      <c r="D8" s="293"/>
      <c r="E8" s="42" t="s">
        <v>228</v>
      </c>
      <c r="F8" s="43"/>
      <c r="G8" s="43"/>
      <c r="H8" s="43"/>
      <c r="I8" s="44"/>
      <c r="J8" s="41"/>
    </row>
    <row r="9" spans="1:10" ht="15.75">
      <c r="A9" s="32"/>
      <c r="B9" s="32"/>
      <c r="C9" s="294" t="s">
        <v>229</v>
      </c>
      <c r="D9" s="295"/>
      <c r="E9" s="38" t="s">
        <v>230</v>
      </c>
      <c r="F9" s="39"/>
      <c r="G9" s="39"/>
      <c r="H9" s="39"/>
      <c r="I9" s="40"/>
      <c r="J9" s="41"/>
    </row>
    <row r="10" spans="1:10" ht="15.75">
      <c r="A10" s="32"/>
      <c r="B10" s="32"/>
      <c r="C10" s="292" t="s">
        <v>15</v>
      </c>
      <c r="D10" s="293"/>
      <c r="E10" s="42" t="s">
        <v>231</v>
      </c>
      <c r="F10" s="43"/>
      <c r="G10" s="43"/>
      <c r="H10" s="43"/>
      <c r="I10" s="44"/>
      <c r="J10" s="41"/>
    </row>
    <row r="11" spans="1:10" ht="15.75">
      <c r="A11" s="32"/>
      <c r="B11" s="32"/>
      <c r="C11" s="294" t="s">
        <v>232</v>
      </c>
      <c r="D11" s="295"/>
      <c r="E11" s="38" t="s">
        <v>233</v>
      </c>
      <c r="F11" s="39"/>
      <c r="G11" s="39"/>
      <c r="H11" s="39"/>
      <c r="I11" s="40"/>
      <c r="J11" s="41"/>
    </row>
    <row r="12" spans="1:10" ht="15.75">
      <c r="A12" s="32"/>
      <c r="B12" s="32"/>
      <c r="C12" s="292" t="s">
        <v>20</v>
      </c>
      <c r="D12" s="293"/>
      <c r="E12" s="45">
        <v>44169</v>
      </c>
      <c r="F12" s="43"/>
      <c r="G12" s="43"/>
      <c r="H12" s="43"/>
      <c r="I12" s="44"/>
      <c r="J12" s="41"/>
    </row>
    <row r="13" spans="1:10" ht="15.75">
      <c r="A13" s="32"/>
      <c r="B13" s="32"/>
      <c r="C13" s="296" t="s">
        <v>21</v>
      </c>
      <c r="D13" s="297"/>
      <c r="E13" s="251">
        <v>44169</v>
      </c>
      <c r="F13" s="46"/>
      <c r="G13" s="46"/>
      <c r="H13" s="46"/>
      <c r="I13" s="47"/>
      <c r="J13" s="41"/>
    </row>
    <row r="14" spans="1:10" ht="15.75">
      <c r="C14" s="34"/>
      <c r="D14" s="48"/>
      <c r="E14" s="34"/>
      <c r="F14" s="34"/>
      <c r="G14" s="34"/>
      <c r="H14" s="34"/>
      <c r="I14" s="34"/>
      <c r="J14" s="34"/>
    </row>
    <row r="15" spans="1:10" ht="15.75">
      <c r="A15" s="282" t="s">
        <v>234</v>
      </c>
      <c r="B15" s="282"/>
      <c r="E15" s="34"/>
      <c r="F15" s="34"/>
      <c r="G15" s="34"/>
      <c r="H15" s="34"/>
      <c r="I15" s="34"/>
      <c r="J15" s="34"/>
    </row>
    <row r="16" spans="1:10" ht="15.75">
      <c r="C16" s="283" t="s">
        <v>212</v>
      </c>
      <c r="D16" s="284"/>
      <c r="E16" s="285"/>
      <c r="G16" s="283" t="s">
        <v>235</v>
      </c>
      <c r="H16" s="284"/>
      <c r="I16" s="285"/>
    </row>
    <row r="17" spans="1:9" ht="15.75">
      <c r="A17" s="34"/>
      <c r="B17" s="34"/>
      <c r="C17" s="286" t="s">
        <v>214</v>
      </c>
      <c r="D17" s="287"/>
      <c r="E17" s="288"/>
      <c r="G17" s="286" t="s">
        <v>215</v>
      </c>
      <c r="H17" s="287"/>
      <c r="I17" s="288"/>
    </row>
    <row r="18" spans="1:9" ht="15.75">
      <c r="A18" s="34"/>
      <c r="B18" s="34"/>
      <c r="C18" s="286"/>
      <c r="D18" s="287"/>
      <c r="E18" s="288"/>
      <c r="G18" s="289"/>
      <c r="H18" s="290"/>
      <c r="I18" s="291"/>
    </row>
    <row r="19" spans="1:9" ht="27" customHeight="1">
      <c r="A19" s="34"/>
      <c r="B19" s="34"/>
      <c r="C19" s="286"/>
      <c r="D19" s="287"/>
      <c r="E19" s="288"/>
      <c r="G19" s="289"/>
      <c r="H19" s="290"/>
      <c r="I19" s="291"/>
    </row>
    <row r="20" spans="1:9" ht="15.75">
      <c r="A20" s="34"/>
      <c r="B20" s="34"/>
      <c r="C20" s="286"/>
      <c r="D20" s="287"/>
      <c r="E20" s="288"/>
      <c r="G20" s="289"/>
      <c r="H20" s="290"/>
      <c r="I20" s="291"/>
    </row>
    <row r="21" spans="1:9" ht="15.75">
      <c r="A21" s="34"/>
      <c r="B21" s="34"/>
      <c r="C21" s="286"/>
      <c r="D21" s="287"/>
      <c r="E21" s="288"/>
      <c r="G21" s="289"/>
      <c r="H21" s="290"/>
      <c r="I21" s="291"/>
    </row>
    <row r="22" spans="1:9" ht="15.75">
      <c r="A22" s="34"/>
      <c r="B22" s="34"/>
      <c r="C22" s="286"/>
      <c r="D22" s="287"/>
      <c r="E22" s="288"/>
      <c r="G22" s="289"/>
      <c r="H22" s="290"/>
      <c r="I22" s="291"/>
    </row>
    <row r="23" spans="1:9" ht="15.75">
      <c r="A23" s="34"/>
      <c r="B23" s="34"/>
      <c r="C23" s="286"/>
      <c r="D23" s="287"/>
      <c r="E23" s="288"/>
      <c r="G23" s="289"/>
      <c r="H23" s="290"/>
      <c r="I23" s="291"/>
    </row>
    <row r="24" spans="1:9" ht="15.75">
      <c r="A24" s="34"/>
      <c r="B24" s="34"/>
      <c r="C24" s="276" t="s">
        <v>228</v>
      </c>
      <c r="D24" s="277"/>
      <c r="E24" s="278"/>
      <c r="G24" s="276" t="s">
        <v>226</v>
      </c>
      <c r="H24" s="277"/>
      <c r="I24" s="278"/>
    </row>
    <row r="25" spans="1:9" ht="15.75">
      <c r="A25" s="34"/>
      <c r="B25" s="34"/>
      <c r="C25" s="276" t="s">
        <v>218</v>
      </c>
      <c r="D25" s="277"/>
      <c r="E25" s="278"/>
      <c r="G25" s="276" t="s">
        <v>236</v>
      </c>
      <c r="H25" s="277"/>
      <c r="I25" s="278"/>
    </row>
    <row r="26" spans="1:9" ht="15.75">
      <c r="A26" s="34"/>
      <c r="B26" s="34"/>
      <c r="C26" s="279" t="s">
        <v>237</v>
      </c>
      <c r="D26" s="280"/>
      <c r="E26" s="281"/>
      <c r="G26" s="279" t="s">
        <v>238</v>
      </c>
      <c r="H26" s="280"/>
      <c r="I26" s="281"/>
    </row>
    <row r="27" spans="1:9" ht="15.75">
      <c r="A27" s="34"/>
      <c r="B27" s="34"/>
      <c r="C27" s="49"/>
      <c r="D27" s="49"/>
      <c r="E27" s="49"/>
      <c r="G27" s="50"/>
      <c r="H27" s="50"/>
      <c r="I27" s="50"/>
    </row>
    <row r="28" spans="1:9" ht="15.75">
      <c r="A28" s="34"/>
      <c r="B28" s="34"/>
      <c r="C28" s="49"/>
      <c r="D28" s="49"/>
      <c r="E28" s="49"/>
      <c r="G28" s="50"/>
      <c r="H28" s="50"/>
      <c r="I28" s="50"/>
    </row>
    <row r="29" spans="1:9" ht="15.75">
      <c r="A29" s="34"/>
      <c r="B29" s="34"/>
      <c r="C29" s="51" t="s">
        <v>239</v>
      </c>
      <c r="D29" s="274" t="s">
        <v>240</v>
      </c>
      <c r="E29" s="274"/>
      <c r="F29" s="274"/>
      <c r="G29" s="274"/>
      <c r="H29" s="52" t="s">
        <v>241</v>
      </c>
      <c r="I29" s="50"/>
    </row>
    <row r="30" spans="1:9" ht="15.75">
      <c r="A30" s="34"/>
      <c r="B30" s="34"/>
      <c r="C30" s="51" t="s">
        <v>242</v>
      </c>
      <c r="D30" s="274" t="s">
        <v>243</v>
      </c>
      <c r="E30" s="274"/>
      <c r="F30" s="274"/>
      <c r="G30" s="274"/>
      <c r="H30" s="52"/>
      <c r="I30" s="50"/>
    </row>
    <row r="31" spans="1:9" ht="15.75">
      <c r="A31" s="34"/>
      <c r="B31" s="34"/>
      <c r="C31" s="53">
        <v>1</v>
      </c>
      <c r="D31" s="275" t="s">
        <v>244</v>
      </c>
      <c r="E31" s="275"/>
      <c r="F31" s="275"/>
      <c r="G31" s="275"/>
      <c r="H31" s="54" t="s">
        <v>245</v>
      </c>
      <c r="I31" s="50"/>
    </row>
    <row r="32" spans="1:9" ht="15.75">
      <c r="A32" s="34"/>
      <c r="B32" s="34"/>
      <c r="C32" s="53">
        <v>2</v>
      </c>
      <c r="D32" s="275" t="s">
        <v>246</v>
      </c>
      <c r="E32" s="275"/>
      <c r="F32" s="275"/>
      <c r="G32" s="275"/>
      <c r="H32" s="54" t="s">
        <v>247</v>
      </c>
      <c r="I32" s="50"/>
    </row>
    <row r="33" spans="1:9" ht="15.75">
      <c r="A33" s="34"/>
      <c r="B33" s="34"/>
      <c r="C33" s="53">
        <v>3</v>
      </c>
      <c r="D33" s="275" t="s">
        <v>248</v>
      </c>
      <c r="E33" s="275"/>
      <c r="F33" s="275"/>
      <c r="G33" s="275"/>
      <c r="H33" s="54" t="s">
        <v>249</v>
      </c>
      <c r="I33" s="50"/>
    </row>
    <row r="34" spans="1:9" ht="15.75">
      <c r="A34" s="34"/>
      <c r="B34" s="34"/>
      <c r="C34" s="53">
        <v>4</v>
      </c>
      <c r="D34" s="275" t="s">
        <v>250</v>
      </c>
      <c r="E34" s="275"/>
      <c r="F34" s="275"/>
      <c r="G34" s="275"/>
      <c r="H34" s="54" t="s">
        <v>251</v>
      </c>
      <c r="I34" s="50"/>
    </row>
    <row r="35" spans="1:9" ht="15.75">
      <c r="A35" s="34"/>
      <c r="B35" s="34"/>
      <c r="C35" s="53">
        <v>5</v>
      </c>
      <c r="D35" s="275" t="s">
        <v>252</v>
      </c>
      <c r="E35" s="275"/>
      <c r="F35" s="275"/>
      <c r="G35" s="275"/>
      <c r="H35" s="54" t="s">
        <v>253</v>
      </c>
      <c r="I35" s="50"/>
    </row>
    <row r="36" spans="1:9" ht="15.75">
      <c r="A36" s="34"/>
      <c r="B36" s="34"/>
      <c r="C36" s="53">
        <v>6</v>
      </c>
      <c r="D36" s="275" t="s">
        <v>254</v>
      </c>
      <c r="E36" s="275"/>
      <c r="F36" s="275"/>
      <c r="G36" s="275"/>
      <c r="H36" s="54" t="s">
        <v>255</v>
      </c>
      <c r="I36" s="50"/>
    </row>
    <row r="37" spans="1:9" ht="15.75">
      <c r="A37" s="34"/>
      <c r="B37" s="34"/>
      <c r="C37" s="53">
        <v>7</v>
      </c>
      <c r="D37" s="275" t="s">
        <v>256</v>
      </c>
      <c r="E37" s="275"/>
      <c r="F37" s="275"/>
      <c r="G37" s="275"/>
      <c r="H37" s="54" t="s">
        <v>257</v>
      </c>
      <c r="I37" s="50"/>
    </row>
    <row r="38" spans="1:9" ht="15.75">
      <c r="A38" s="34"/>
      <c r="B38" s="34"/>
      <c r="C38" s="53">
        <v>8</v>
      </c>
      <c r="D38" s="275" t="s">
        <v>258</v>
      </c>
      <c r="E38" s="275"/>
      <c r="F38" s="275"/>
      <c r="G38" s="275"/>
      <c r="H38" s="54" t="s">
        <v>259</v>
      </c>
      <c r="I38" s="50"/>
    </row>
    <row r="39" spans="1:9" ht="15.75">
      <c r="A39" s="34"/>
      <c r="B39" s="34"/>
      <c r="C39" s="53">
        <v>9</v>
      </c>
      <c r="D39" s="275" t="s">
        <v>260</v>
      </c>
      <c r="E39" s="275"/>
      <c r="F39" s="275"/>
      <c r="G39" s="275"/>
      <c r="H39" s="54" t="s">
        <v>261</v>
      </c>
      <c r="I39" s="50"/>
    </row>
    <row r="40" spans="1:9" ht="15.75">
      <c r="A40" s="34"/>
      <c r="B40" s="34"/>
      <c r="C40" s="51" t="s">
        <v>262</v>
      </c>
      <c r="D40" s="273" t="s">
        <v>263</v>
      </c>
      <c r="E40" s="273"/>
      <c r="F40" s="273"/>
      <c r="G40" s="273"/>
      <c r="H40" s="55" t="s">
        <v>264</v>
      </c>
      <c r="I40" s="50"/>
    </row>
    <row r="41" spans="1:9" ht="15.75">
      <c r="A41" s="34"/>
      <c r="B41" s="34"/>
      <c r="C41" s="49"/>
      <c r="D41" s="49"/>
      <c r="E41" s="49"/>
      <c r="G41" s="50"/>
      <c r="H41" s="50"/>
      <c r="I41" s="50"/>
    </row>
    <row r="42" spans="1:9" ht="15.75">
      <c r="A42" s="34"/>
      <c r="B42" s="34"/>
      <c r="C42" s="49"/>
      <c r="D42" s="49"/>
      <c r="E42" s="49"/>
      <c r="G42" s="50"/>
      <c r="H42" s="50"/>
      <c r="I42" s="50"/>
    </row>
    <row r="43" spans="1:9" ht="15.75">
      <c r="A43" s="34"/>
      <c r="B43" s="34"/>
      <c r="C43" s="49"/>
      <c r="D43" s="49"/>
      <c r="E43" s="49"/>
      <c r="G43" s="50"/>
      <c r="H43" s="50"/>
      <c r="I43" s="50"/>
    </row>
    <row r="44" spans="1:9" ht="15.75">
      <c r="A44" s="34"/>
      <c r="B44" s="34"/>
      <c r="C44" s="49"/>
      <c r="D44" s="49"/>
      <c r="E44" s="49"/>
      <c r="G44" s="50"/>
      <c r="H44" s="50"/>
      <c r="I44" s="50"/>
    </row>
    <row r="45" spans="1:9" ht="15.75">
      <c r="A45" s="34"/>
      <c r="B45" s="34"/>
      <c r="C45" s="49"/>
      <c r="D45" s="49"/>
      <c r="E45" s="49"/>
      <c r="G45" s="50"/>
      <c r="H45" s="50"/>
      <c r="I45" s="50"/>
    </row>
    <row r="46" spans="1:9" ht="15.75">
      <c r="A46" s="34"/>
      <c r="B46" s="34"/>
      <c r="C46" s="49"/>
      <c r="D46" s="49"/>
      <c r="E46" s="49"/>
      <c r="G46" s="50"/>
      <c r="H46" s="50"/>
      <c r="I46" s="50"/>
    </row>
    <row r="47" spans="1:9" ht="15.75">
      <c r="A47" s="34"/>
      <c r="B47" s="34"/>
      <c r="C47" s="49"/>
      <c r="D47" s="49"/>
      <c r="E47" s="49"/>
      <c r="G47" s="50"/>
      <c r="H47" s="50"/>
      <c r="I47" s="50"/>
    </row>
    <row r="48" spans="1:9" ht="15.75">
      <c r="A48" s="34"/>
      <c r="B48" s="34"/>
      <c r="C48" s="49"/>
      <c r="D48" s="49"/>
      <c r="E48" s="49"/>
      <c r="G48" s="50"/>
      <c r="H48" s="50"/>
      <c r="I48" s="50"/>
    </row>
    <row r="49" spans="1:9" ht="15.75">
      <c r="A49" s="34"/>
      <c r="B49" s="34"/>
      <c r="C49" s="49"/>
      <c r="D49" s="49"/>
      <c r="E49" s="49"/>
      <c r="G49" s="50"/>
      <c r="H49" s="50"/>
      <c r="I49" s="50"/>
    </row>
    <row r="50" spans="1:9" ht="15.75">
      <c r="A50" s="34"/>
      <c r="B50" s="34"/>
      <c r="C50" s="49"/>
      <c r="D50" s="49"/>
      <c r="E50" s="49"/>
      <c r="G50" s="50"/>
      <c r="H50" s="50"/>
      <c r="I50" s="50"/>
    </row>
    <row r="51" spans="1:9" ht="15.75">
      <c r="A51" s="34"/>
      <c r="B51" s="34"/>
      <c r="C51" s="49"/>
      <c r="D51" s="49"/>
      <c r="E51" s="49"/>
      <c r="G51" s="50"/>
      <c r="H51" s="50"/>
      <c r="I51" s="50"/>
    </row>
    <row r="52" spans="1:9" ht="15.75">
      <c r="B52" s="56"/>
      <c r="C52" s="57"/>
    </row>
    <row r="69" ht="78.75" customHeight="1"/>
  </sheetData>
  <mergeCells count="37">
    <mergeCell ref="C7:D7"/>
    <mergeCell ref="A1:B1"/>
    <mergeCell ref="C2:E2"/>
    <mergeCell ref="C3:E3"/>
    <mergeCell ref="A5:B5"/>
    <mergeCell ref="C6:D6"/>
    <mergeCell ref="C18:E23"/>
    <mergeCell ref="G18:I23"/>
    <mergeCell ref="C8:D8"/>
    <mergeCell ref="C9:D9"/>
    <mergeCell ref="C10:D10"/>
    <mergeCell ref="C11:D11"/>
    <mergeCell ref="C12:D12"/>
    <mergeCell ref="C13:D13"/>
    <mergeCell ref="A15:B15"/>
    <mergeCell ref="C16:E16"/>
    <mergeCell ref="G16:I16"/>
    <mergeCell ref="C17:E17"/>
    <mergeCell ref="G17:I17"/>
    <mergeCell ref="C24:E24"/>
    <mergeCell ref="G24:I24"/>
    <mergeCell ref="C25:E25"/>
    <mergeCell ref="G25:I25"/>
    <mergeCell ref="C26:E26"/>
    <mergeCell ref="G26:I26"/>
    <mergeCell ref="D40:G40"/>
    <mergeCell ref="D29:G29"/>
    <mergeCell ref="D30:G30"/>
    <mergeCell ref="D31:G31"/>
    <mergeCell ref="D32:G32"/>
    <mergeCell ref="D33:G33"/>
    <mergeCell ref="D34:G34"/>
    <mergeCell ref="D35:G35"/>
    <mergeCell ref="D36:G36"/>
    <mergeCell ref="D37:G37"/>
    <mergeCell ref="D38:G38"/>
    <mergeCell ref="D39:G39"/>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A1" display="06107"/>
    <hyperlink ref="H39" location="DangHD_06182!A1" display="06182"/>
  </hyperlinks>
  <pageMargins left="0.31" right="0.25" top="1.23" bottom="0.75" header="0.3" footer="0.3"/>
  <pageSetup paperSize="9" scale="7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4"/>
  <sheetViews>
    <sheetView showGridLines="0" showZeros="0" showOutlineSymbols="0" view="pageBreakPreview" topLeftCell="A80" zoomScaleNormal="100" zoomScaleSheetLayoutView="100" workbookViewId="0">
      <selection activeCell="D20" sqref="D20:E102"/>
    </sheetView>
  </sheetViews>
  <sheetFormatPr defaultRowHeight="14.25"/>
  <cols>
    <col min="1" max="1" width="4.28515625" style="252" customWidth="1"/>
    <col min="2" max="2" width="42.28515625" style="252" customWidth="1"/>
    <col min="3" max="3" width="9.140625" style="252" customWidth="1"/>
    <col min="4" max="5" width="18.5703125" style="252" customWidth="1"/>
    <col min="6" max="6" width="12.85546875" style="252" customWidth="1"/>
    <col min="7" max="16384" width="9.140625" style="252"/>
  </cols>
  <sheetData>
    <row r="1" spans="1:6" ht="27.75" customHeight="1">
      <c r="A1" s="308"/>
      <c r="B1" s="308"/>
      <c r="C1" s="318" t="s">
        <v>0</v>
      </c>
      <c r="D1" s="318"/>
      <c r="E1" s="318"/>
      <c r="F1" s="318"/>
    </row>
    <row r="2" spans="1:6" ht="41.25" customHeight="1">
      <c r="A2" s="319" t="s">
        <v>1</v>
      </c>
      <c r="B2" s="319"/>
      <c r="C2" s="319"/>
      <c r="D2" s="319"/>
      <c r="E2" s="319"/>
      <c r="F2" s="319"/>
    </row>
    <row r="3" spans="1:6" ht="33" customHeight="1">
      <c r="A3" s="320" t="s">
        <v>2</v>
      </c>
      <c r="B3" s="320"/>
      <c r="C3" s="320"/>
      <c r="D3" s="320"/>
      <c r="E3" s="320"/>
      <c r="F3" s="320"/>
    </row>
    <row r="4" spans="1:6" ht="23.25" customHeight="1">
      <c r="A4" s="312" t="s">
        <v>3</v>
      </c>
      <c r="B4" s="312"/>
      <c r="C4" s="312"/>
      <c r="D4" s="312"/>
      <c r="E4" s="312"/>
      <c r="F4" s="312"/>
    </row>
    <row r="5" spans="1:6" ht="9" customHeight="1">
      <c r="A5" s="253"/>
      <c r="B5" s="253"/>
      <c r="C5" s="253"/>
      <c r="D5" s="253"/>
      <c r="E5" s="253"/>
      <c r="F5" s="253"/>
    </row>
    <row r="6" spans="1:6" ht="12.75" customHeight="1">
      <c r="A6" s="183" t="s">
        <v>4</v>
      </c>
      <c r="B6" s="182" t="s">
        <v>5</v>
      </c>
      <c r="C6" s="317" t="s">
        <v>6</v>
      </c>
      <c r="D6" s="317"/>
      <c r="E6" s="317"/>
      <c r="F6" s="317"/>
    </row>
    <row r="7" spans="1:6" ht="12.75" customHeight="1">
      <c r="A7" s="253"/>
      <c r="B7" s="184" t="s">
        <v>7</v>
      </c>
      <c r="C7" s="321" t="s">
        <v>8</v>
      </c>
      <c r="D7" s="321"/>
      <c r="E7" s="321"/>
      <c r="F7" s="321"/>
    </row>
    <row r="8" spans="1:6" ht="12.75" customHeight="1">
      <c r="A8" s="183" t="s">
        <v>9</v>
      </c>
      <c r="B8" s="182" t="s">
        <v>10</v>
      </c>
      <c r="C8" s="322" t="s">
        <v>11</v>
      </c>
      <c r="D8" s="322"/>
      <c r="E8" s="322"/>
      <c r="F8" s="322"/>
    </row>
    <row r="9" spans="1:6" ht="12.75" customHeight="1">
      <c r="A9" s="253"/>
      <c r="B9" s="184" t="s">
        <v>12</v>
      </c>
      <c r="C9" s="323" t="s">
        <v>13</v>
      </c>
      <c r="D9" s="323"/>
      <c r="E9" s="323"/>
      <c r="F9" s="323"/>
    </row>
    <row r="10" spans="1:6" ht="12.75" customHeight="1">
      <c r="A10" s="183" t="s">
        <v>14</v>
      </c>
      <c r="B10" s="182" t="s">
        <v>15</v>
      </c>
      <c r="C10" s="317" t="s">
        <v>16</v>
      </c>
      <c r="D10" s="317"/>
      <c r="E10" s="317"/>
      <c r="F10" s="317"/>
    </row>
    <row r="11" spans="1:6" ht="12.75" customHeight="1">
      <c r="A11" s="253"/>
      <c r="B11" s="184" t="s">
        <v>17</v>
      </c>
      <c r="C11" s="321" t="s">
        <v>18</v>
      </c>
      <c r="D11" s="321"/>
      <c r="E11" s="321"/>
      <c r="F11" s="321"/>
    </row>
    <row r="12" spans="1:6" ht="12.75" customHeight="1">
      <c r="A12" s="183" t="s">
        <v>19</v>
      </c>
      <c r="B12" s="182" t="s">
        <v>20</v>
      </c>
      <c r="C12" s="316">
        <v>44169</v>
      </c>
      <c r="D12" s="317"/>
      <c r="E12" s="317"/>
      <c r="F12" s="317"/>
    </row>
    <row r="13" spans="1:6" ht="12.75" customHeight="1">
      <c r="A13" s="253"/>
      <c r="B13" s="184" t="s">
        <v>21</v>
      </c>
      <c r="C13" s="311">
        <v>44169</v>
      </c>
      <c r="D13" s="311"/>
      <c r="E13" s="311"/>
      <c r="F13" s="311"/>
    </row>
    <row r="14" spans="1:6" ht="12.75" customHeight="1">
      <c r="A14" s="253"/>
      <c r="B14" s="189"/>
      <c r="C14" s="312"/>
      <c r="D14" s="312"/>
      <c r="E14" s="312"/>
      <c r="F14" s="312"/>
    </row>
    <row r="15" spans="1:6" ht="12.75" customHeight="1">
      <c r="A15" s="313" t="s">
        <v>22</v>
      </c>
      <c r="B15" s="313"/>
      <c r="C15" s="313"/>
      <c r="D15" s="313"/>
      <c r="E15" s="313"/>
      <c r="F15" s="313"/>
    </row>
    <row r="16" spans="1:6" ht="12.75" customHeight="1">
      <c r="A16" s="313" t="s">
        <v>23</v>
      </c>
      <c r="B16" s="313"/>
      <c r="C16" s="313"/>
      <c r="D16" s="313"/>
      <c r="E16" s="313"/>
      <c r="F16" s="253"/>
    </row>
    <row r="17" spans="1:6" ht="12.75" customHeight="1">
      <c r="A17" s="190"/>
      <c r="B17" s="103"/>
      <c r="C17" s="103"/>
      <c r="D17" s="103"/>
      <c r="E17" s="314" t="s">
        <v>1078</v>
      </c>
      <c r="F17" s="314"/>
    </row>
    <row r="18" spans="1:6" ht="42">
      <c r="A18" s="8" t="s">
        <v>25</v>
      </c>
      <c r="B18" s="9" t="s">
        <v>26</v>
      </c>
      <c r="C18" s="9" t="s">
        <v>27</v>
      </c>
      <c r="D18" s="9" t="s">
        <v>3</v>
      </c>
      <c r="E18" s="9" t="s">
        <v>28</v>
      </c>
      <c r="F18" s="10" t="s">
        <v>29</v>
      </c>
    </row>
    <row r="19" spans="1:6" ht="22.5" customHeight="1">
      <c r="A19" s="11" t="s">
        <v>30</v>
      </c>
      <c r="B19" s="12" t="s">
        <v>31</v>
      </c>
      <c r="C19" s="13" t="s">
        <v>32</v>
      </c>
      <c r="D19" s="14">
        <v>0</v>
      </c>
      <c r="E19" s="14">
        <v>0</v>
      </c>
      <c r="F19" s="15">
        <v>0</v>
      </c>
    </row>
    <row r="20" spans="1:6" ht="22.5" customHeight="1">
      <c r="A20" s="16" t="s">
        <v>33</v>
      </c>
      <c r="B20" s="17" t="s">
        <v>34</v>
      </c>
      <c r="C20" s="18" t="s">
        <v>35</v>
      </c>
      <c r="D20" s="19">
        <v>26220551331</v>
      </c>
      <c r="E20" s="19">
        <v>20605256713</v>
      </c>
      <c r="F20" s="20">
        <v>0</v>
      </c>
    </row>
    <row r="21" spans="1:6" ht="22.5" customHeight="1">
      <c r="A21" s="16"/>
      <c r="B21" s="17" t="s">
        <v>36</v>
      </c>
      <c r="C21" s="18" t="s">
        <v>37</v>
      </c>
      <c r="D21" s="19">
        <v>0</v>
      </c>
      <c r="E21" s="19">
        <v>0</v>
      </c>
      <c r="F21" s="20">
        <v>0</v>
      </c>
    </row>
    <row r="22" spans="1:6" ht="22.5" customHeight="1">
      <c r="A22" s="16"/>
      <c r="B22" s="17" t="s">
        <v>38</v>
      </c>
      <c r="C22" s="18" t="s">
        <v>39</v>
      </c>
      <c r="D22" s="19">
        <v>26220551331</v>
      </c>
      <c r="E22" s="19">
        <v>20605256713</v>
      </c>
      <c r="F22" s="20">
        <v>0</v>
      </c>
    </row>
    <row r="23" spans="1:6" ht="22.5" customHeight="1">
      <c r="A23" s="21"/>
      <c r="B23" s="22" t="s">
        <v>40</v>
      </c>
      <c r="C23" s="23" t="s">
        <v>41</v>
      </c>
      <c r="D23" s="24">
        <v>0</v>
      </c>
      <c r="E23" s="24">
        <v>0</v>
      </c>
      <c r="F23" s="25">
        <v>0</v>
      </c>
    </row>
    <row r="24" spans="1:6" ht="22.5" customHeight="1">
      <c r="A24" s="21"/>
      <c r="B24" s="22" t="s">
        <v>42</v>
      </c>
      <c r="C24" s="23" t="s">
        <v>43</v>
      </c>
      <c r="D24" s="24">
        <v>0</v>
      </c>
      <c r="E24" s="24">
        <v>0</v>
      </c>
      <c r="F24" s="25">
        <v>0</v>
      </c>
    </row>
    <row r="25" spans="1:6" ht="22.5" customHeight="1">
      <c r="A25" s="21"/>
      <c r="B25" s="22" t="s">
        <v>44</v>
      </c>
      <c r="C25" s="23" t="s">
        <v>45</v>
      </c>
      <c r="D25" s="24">
        <v>25522622051</v>
      </c>
      <c r="E25" s="24">
        <v>20605256713</v>
      </c>
      <c r="F25" s="25">
        <v>0</v>
      </c>
    </row>
    <row r="26" spans="1:6" ht="22.5" customHeight="1">
      <c r="A26" s="21"/>
      <c r="B26" s="22" t="s">
        <v>46</v>
      </c>
      <c r="C26" s="23" t="s">
        <v>47</v>
      </c>
      <c r="D26" s="24">
        <v>0</v>
      </c>
      <c r="E26" s="24">
        <v>0</v>
      </c>
      <c r="F26" s="25">
        <v>0</v>
      </c>
    </row>
    <row r="27" spans="1:6" ht="22.5" customHeight="1">
      <c r="A27" s="21"/>
      <c r="B27" s="22" t="s">
        <v>48</v>
      </c>
      <c r="C27" s="23" t="s">
        <v>49</v>
      </c>
      <c r="D27" s="24">
        <v>697929280</v>
      </c>
      <c r="E27" s="24">
        <v>0</v>
      </c>
      <c r="F27" s="25">
        <v>0</v>
      </c>
    </row>
    <row r="28" spans="1:6" ht="22.5" customHeight="1">
      <c r="A28" s="16"/>
      <c r="B28" s="17" t="s">
        <v>50</v>
      </c>
      <c r="C28" s="18" t="s">
        <v>51</v>
      </c>
      <c r="D28" s="19">
        <v>0</v>
      </c>
      <c r="E28" s="19">
        <v>0</v>
      </c>
      <c r="F28" s="20">
        <v>0</v>
      </c>
    </row>
    <row r="29" spans="1:6" ht="22.5" customHeight="1">
      <c r="A29" s="16" t="s">
        <v>52</v>
      </c>
      <c r="B29" s="17" t="s">
        <v>53</v>
      </c>
      <c r="C29" s="18" t="s">
        <v>54</v>
      </c>
      <c r="D29" s="19">
        <v>2996121230900</v>
      </c>
      <c r="E29" s="19">
        <v>2265804129550</v>
      </c>
      <c r="F29" s="20">
        <v>0</v>
      </c>
    </row>
    <row r="30" spans="1:6" ht="22.5" customHeight="1">
      <c r="A30" s="16"/>
      <c r="B30" s="17" t="s">
        <v>55</v>
      </c>
      <c r="C30" s="18" t="s">
        <v>56</v>
      </c>
      <c r="D30" s="19">
        <v>2996121230900</v>
      </c>
      <c r="E30" s="19">
        <v>2265804129550</v>
      </c>
      <c r="F30" s="20">
        <v>0</v>
      </c>
    </row>
    <row r="31" spans="1:6" ht="22.5" customHeight="1">
      <c r="A31" s="16"/>
      <c r="B31" s="17" t="s">
        <v>57</v>
      </c>
      <c r="C31" s="18" t="s">
        <v>58</v>
      </c>
      <c r="D31" s="19">
        <v>0</v>
      </c>
      <c r="E31" s="19">
        <v>0</v>
      </c>
      <c r="F31" s="20">
        <v>0</v>
      </c>
    </row>
    <row r="32" spans="1:6" ht="22.5" customHeight="1">
      <c r="A32" s="16"/>
      <c r="B32" s="17" t="s">
        <v>59</v>
      </c>
      <c r="C32" s="18" t="s">
        <v>60</v>
      </c>
      <c r="D32" s="19">
        <v>0</v>
      </c>
      <c r="E32" s="19">
        <v>0</v>
      </c>
      <c r="F32" s="20">
        <v>0</v>
      </c>
    </row>
    <row r="33" spans="1:6" ht="22.5" customHeight="1">
      <c r="A33" s="16"/>
      <c r="B33" s="17" t="s">
        <v>61</v>
      </c>
      <c r="C33" s="18" t="s">
        <v>62</v>
      </c>
      <c r="D33" s="19">
        <v>0</v>
      </c>
      <c r="E33" s="19">
        <v>0</v>
      </c>
      <c r="F33" s="20">
        <v>0</v>
      </c>
    </row>
    <row r="34" spans="1:6" ht="22.5" customHeight="1">
      <c r="A34" s="16"/>
      <c r="B34" s="17" t="s">
        <v>63</v>
      </c>
      <c r="C34" s="18" t="s">
        <v>64</v>
      </c>
      <c r="D34" s="19">
        <v>0</v>
      </c>
      <c r="E34" s="19">
        <v>0</v>
      </c>
      <c r="F34" s="20">
        <v>0</v>
      </c>
    </row>
    <row r="35" spans="1:6" ht="22.5" customHeight="1">
      <c r="A35" s="16"/>
      <c r="B35" s="17" t="s">
        <v>65</v>
      </c>
      <c r="C35" s="18" t="s">
        <v>66</v>
      </c>
      <c r="D35" s="19">
        <v>0</v>
      </c>
      <c r="E35" s="19">
        <v>0</v>
      </c>
      <c r="F35" s="20">
        <v>0</v>
      </c>
    </row>
    <row r="36" spans="1:6" ht="22.5" customHeight="1">
      <c r="A36" s="16"/>
      <c r="B36" s="17" t="s">
        <v>67</v>
      </c>
      <c r="C36" s="18" t="s">
        <v>68</v>
      </c>
      <c r="D36" s="19">
        <v>0</v>
      </c>
      <c r="E36" s="19">
        <v>0</v>
      </c>
      <c r="F36" s="20">
        <v>0</v>
      </c>
    </row>
    <row r="37" spans="1:6" ht="22.5" customHeight="1">
      <c r="A37" s="16"/>
      <c r="B37" s="17" t="s">
        <v>69</v>
      </c>
      <c r="C37" s="18" t="s">
        <v>70</v>
      </c>
      <c r="D37" s="19">
        <v>0</v>
      </c>
      <c r="E37" s="19">
        <v>0</v>
      </c>
      <c r="F37" s="20">
        <v>0</v>
      </c>
    </row>
    <row r="38" spans="1:6" ht="22.5" customHeight="1">
      <c r="A38" s="16" t="s">
        <v>71</v>
      </c>
      <c r="B38" s="17" t="s">
        <v>72</v>
      </c>
      <c r="C38" s="18" t="s">
        <v>73</v>
      </c>
      <c r="D38" s="19">
        <v>0</v>
      </c>
      <c r="E38" s="19">
        <v>0</v>
      </c>
      <c r="F38" s="20">
        <v>0</v>
      </c>
    </row>
    <row r="39" spans="1:6" ht="22.5" customHeight="1">
      <c r="A39" s="16"/>
      <c r="B39" s="17" t="s">
        <v>74</v>
      </c>
      <c r="C39" s="18" t="s">
        <v>75</v>
      </c>
      <c r="D39" s="19">
        <v>0</v>
      </c>
      <c r="E39" s="19">
        <v>0</v>
      </c>
      <c r="F39" s="20">
        <v>0</v>
      </c>
    </row>
    <row r="40" spans="1:6" ht="22.5" customHeight="1">
      <c r="A40" s="16"/>
      <c r="B40" s="17" t="s">
        <v>76</v>
      </c>
      <c r="C40" s="18" t="s">
        <v>77</v>
      </c>
      <c r="D40" s="19">
        <v>0</v>
      </c>
      <c r="E40" s="19">
        <v>0</v>
      </c>
      <c r="F40" s="20">
        <v>0</v>
      </c>
    </row>
    <row r="41" spans="1:6" ht="22.5" customHeight="1">
      <c r="A41" s="16" t="s">
        <v>78</v>
      </c>
      <c r="B41" s="17" t="s">
        <v>79</v>
      </c>
      <c r="C41" s="18" t="s">
        <v>80</v>
      </c>
      <c r="D41" s="19">
        <v>0</v>
      </c>
      <c r="E41" s="19">
        <v>0</v>
      </c>
      <c r="F41" s="20">
        <v>0</v>
      </c>
    </row>
    <row r="42" spans="1:6" ht="33.75" customHeight="1">
      <c r="A42" s="16"/>
      <c r="B42" s="17" t="s">
        <v>81</v>
      </c>
      <c r="C42" s="18" t="s">
        <v>82</v>
      </c>
      <c r="D42" s="19">
        <v>0</v>
      </c>
      <c r="E42" s="19">
        <v>0</v>
      </c>
      <c r="F42" s="20">
        <v>0</v>
      </c>
    </row>
    <row r="43" spans="1:6" ht="33.75" customHeight="1">
      <c r="A43" s="16"/>
      <c r="B43" s="17" t="s">
        <v>83</v>
      </c>
      <c r="C43" s="18" t="s">
        <v>84</v>
      </c>
      <c r="D43" s="19">
        <v>0</v>
      </c>
      <c r="E43" s="19">
        <v>0</v>
      </c>
      <c r="F43" s="20">
        <v>0</v>
      </c>
    </row>
    <row r="44" spans="1:6" ht="22.5" customHeight="1">
      <c r="A44" s="16"/>
      <c r="B44" s="17" t="s">
        <v>85</v>
      </c>
      <c r="C44" s="18" t="s">
        <v>86</v>
      </c>
      <c r="D44" s="19">
        <v>0</v>
      </c>
      <c r="E44" s="19">
        <v>0</v>
      </c>
      <c r="F44" s="20">
        <v>0</v>
      </c>
    </row>
    <row r="45" spans="1:6" ht="22.5" customHeight="1">
      <c r="A45" s="16" t="s">
        <v>87</v>
      </c>
      <c r="B45" s="17" t="s">
        <v>88</v>
      </c>
      <c r="C45" s="18" t="s">
        <v>89</v>
      </c>
      <c r="D45" s="19">
        <v>5336613000</v>
      </c>
      <c r="E45" s="19">
        <v>133570828500</v>
      </c>
      <c r="F45" s="20">
        <v>0</v>
      </c>
    </row>
    <row r="46" spans="1:6" ht="22.5" customHeight="1">
      <c r="A46" s="16" t="s">
        <v>90</v>
      </c>
      <c r="B46" s="17" t="s">
        <v>91</v>
      </c>
      <c r="C46" s="18" t="s">
        <v>92</v>
      </c>
      <c r="D46" s="19">
        <v>0</v>
      </c>
      <c r="E46" s="19">
        <v>0</v>
      </c>
      <c r="F46" s="20">
        <v>0</v>
      </c>
    </row>
    <row r="47" spans="1:6" ht="22.5" customHeight="1">
      <c r="A47" s="16"/>
      <c r="B47" s="17" t="s">
        <v>93</v>
      </c>
      <c r="C47" s="18" t="s">
        <v>94</v>
      </c>
      <c r="D47" s="19">
        <v>0</v>
      </c>
      <c r="E47" s="19">
        <v>0</v>
      </c>
      <c r="F47" s="20">
        <v>0</v>
      </c>
    </row>
    <row r="48" spans="1:6" ht="22.5" customHeight="1">
      <c r="A48" s="16"/>
      <c r="B48" s="17" t="s">
        <v>95</v>
      </c>
      <c r="C48" s="18" t="s">
        <v>96</v>
      </c>
      <c r="D48" s="19">
        <v>0</v>
      </c>
      <c r="E48" s="19">
        <v>0</v>
      </c>
      <c r="F48" s="20">
        <v>0</v>
      </c>
    </row>
    <row r="49" spans="1:6" ht="22.5" customHeight="1">
      <c r="A49" s="16"/>
      <c r="B49" s="17" t="s">
        <v>97</v>
      </c>
      <c r="C49" s="18" t="s">
        <v>98</v>
      </c>
      <c r="D49" s="19">
        <v>0</v>
      </c>
      <c r="E49" s="19">
        <v>0</v>
      </c>
      <c r="F49" s="20">
        <v>0</v>
      </c>
    </row>
    <row r="50" spans="1:6" ht="22.5" customHeight="1">
      <c r="A50" s="16" t="s">
        <v>99</v>
      </c>
      <c r="B50" s="17" t="s">
        <v>100</v>
      </c>
      <c r="C50" s="18" t="s">
        <v>101</v>
      </c>
      <c r="D50" s="19">
        <v>0</v>
      </c>
      <c r="E50" s="19">
        <v>0</v>
      </c>
      <c r="F50" s="20">
        <v>0</v>
      </c>
    </row>
    <row r="51" spans="1:6" ht="22.5" customHeight="1">
      <c r="A51" s="16"/>
      <c r="B51" s="17" t="s">
        <v>102</v>
      </c>
      <c r="C51" s="18" t="s">
        <v>103</v>
      </c>
      <c r="D51" s="19">
        <v>0</v>
      </c>
      <c r="E51" s="19">
        <v>0</v>
      </c>
      <c r="F51" s="20">
        <v>0</v>
      </c>
    </row>
    <row r="52" spans="1:6" ht="22.5" customHeight="1">
      <c r="A52" s="16"/>
      <c r="B52" s="17" t="s">
        <v>104</v>
      </c>
      <c r="C52" s="18" t="s">
        <v>105</v>
      </c>
      <c r="D52" s="19">
        <v>0</v>
      </c>
      <c r="E52" s="19">
        <v>0</v>
      </c>
      <c r="F52" s="20">
        <v>0</v>
      </c>
    </row>
    <row r="53" spans="1:6" ht="22.5" customHeight="1">
      <c r="A53" s="16"/>
      <c r="B53" s="17" t="s">
        <v>106</v>
      </c>
      <c r="C53" s="18" t="s">
        <v>107</v>
      </c>
      <c r="D53" s="19">
        <v>0</v>
      </c>
      <c r="E53" s="19">
        <v>0</v>
      </c>
      <c r="F53" s="20">
        <v>0</v>
      </c>
    </row>
    <row r="54" spans="1:6" ht="22.5" customHeight="1">
      <c r="A54" s="16"/>
      <c r="B54" s="17" t="s">
        <v>108</v>
      </c>
      <c r="C54" s="18" t="s">
        <v>109</v>
      </c>
      <c r="D54" s="19">
        <v>0</v>
      </c>
      <c r="E54" s="19">
        <v>0</v>
      </c>
      <c r="F54" s="20">
        <v>0</v>
      </c>
    </row>
    <row r="55" spans="1:6" ht="34.5" customHeight="1">
      <c r="A55" s="16"/>
      <c r="B55" s="17" t="s">
        <v>110</v>
      </c>
      <c r="C55" s="18" t="s">
        <v>111</v>
      </c>
      <c r="D55" s="19">
        <v>0</v>
      </c>
      <c r="E55" s="19">
        <v>0</v>
      </c>
      <c r="F55" s="20">
        <v>0</v>
      </c>
    </row>
    <row r="56" spans="1:6" ht="22.5" customHeight="1">
      <c r="A56" s="11" t="s">
        <v>112</v>
      </c>
      <c r="B56" s="12" t="s">
        <v>113</v>
      </c>
      <c r="C56" s="13" t="s">
        <v>114</v>
      </c>
      <c r="D56" s="14">
        <v>3027678395231</v>
      </c>
      <c r="E56" s="14">
        <v>2419980214763</v>
      </c>
      <c r="F56" s="15">
        <v>0</v>
      </c>
    </row>
    <row r="57" spans="1:6" ht="22.5" customHeight="1">
      <c r="A57" s="11" t="s">
        <v>115</v>
      </c>
      <c r="B57" s="12" t="s">
        <v>116</v>
      </c>
      <c r="C57" s="13" t="s">
        <v>117</v>
      </c>
      <c r="D57" s="14">
        <v>0</v>
      </c>
      <c r="E57" s="14">
        <v>0</v>
      </c>
      <c r="F57" s="15">
        <v>0</v>
      </c>
    </row>
    <row r="58" spans="1:6" ht="22.5" customHeight="1">
      <c r="A58" s="16" t="s">
        <v>118</v>
      </c>
      <c r="B58" s="17" t="s">
        <v>119</v>
      </c>
      <c r="C58" s="18" t="s">
        <v>120</v>
      </c>
      <c r="D58" s="19">
        <v>0</v>
      </c>
      <c r="E58" s="19">
        <v>12302825000</v>
      </c>
      <c r="F58" s="20">
        <v>0</v>
      </c>
    </row>
    <row r="59" spans="1:6" ht="22.5" customHeight="1">
      <c r="A59" s="16" t="s">
        <v>121</v>
      </c>
      <c r="B59" s="17" t="s">
        <v>122</v>
      </c>
      <c r="C59" s="18" t="s">
        <v>123</v>
      </c>
      <c r="D59" s="19">
        <v>2776922105</v>
      </c>
      <c r="E59" s="19">
        <v>2789386840</v>
      </c>
      <c r="F59" s="20">
        <v>0</v>
      </c>
    </row>
    <row r="60" spans="1:6" ht="22.5" customHeight="1">
      <c r="A60" s="16"/>
      <c r="B60" s="17" t="s">
        <v>124</v>
      </c>
      <c r="C60" s="18" t="s">
        <v>125</v>
      </c>
      <c r="D60" s="19">
        <v>0</v>
      </c>
      <c r="E60" s="19">
        <v>91095348</v>
      </c>
      <c r="F60" s="20">
        <v>0</v>
      </c>
    </row>
    <row r="61" spans="1:6" ht="22.5" customHeight="1">
      <c r="A61" s="21"/>
      <c r="B61" s="22" t="s">
        <v>126</v>
      </c>
      <c r="C61" s="23" t="s">
        <v>127</v>
      </c>
      <c r="D61" s="24">
        <v>0</v>
      </c>
      <c r="E61" s="24">
        <v>0</v>
      </c>
      <c r="F61" s="25">
        <v>0</v>
      </c>
    </row>
    <row r="62" spans="1:6" ht="22.5" customHeight="1">
      <c r="A62" s="21"/>
      <c r="B62" s="22" t="s">
        <v>128</v>
      </c>
      <c r="C62" s="23" t="s">
        <v>129</v>
      </c>
      <c r="D62" s="24">
        <v>0</v>
      </c>
      <c r="E62" s="24">
        <v>0</v>
      </c>
      <c r="F62" s="25">
        <v>0</v>
      </c>
    </row>
    <row r="63" spans="1:6" ht="22.5" customHeight="1">
      <c r="A63" s="21"/>
      <c r="B63" s="22" t="s">
        <v>130</v>
      </c>
      <c r="C63" s="23" t="s">
        <v>131</v>
      </c>
      <c r="D63" s="24">
        <v>0</v>
      </c>
      <c r="E63" s="24">
        <v>91095348</v>
      </c>
      <c r="F63" s="25">
        <v>0</v>
      </c>
    </row>
    <row r="64" spans="1:6" ht="22.5" customHeight="1">
      <c r="A64" s="16"/>
      <c r="B64" s="17" t="s">
        <v>132</v>
      </c>
      <c r="C64" s="18" t="s">
        <v>133</v>
      </c>
      <c r="D64" s="19">
        <v>0</v>
      </c>
      <c r="E64" s="19">
        <v>0</v>
      </c>
      <c r="F64" s="20">
        <v>0</v>
      </c>
    </row>
    <row r="65" spans="1:6" ht="45" customHeight="1">
      <c r="A65" s="16"/>
      <c r="B65" s="17" t="s">
        <v>134</v>
      </c>
      <c r="C65" s="18" t="s">
        <v>135</v>
      </c>
      <c r="D65" s="19">
        <v>0</v>
      </c>
      <c r="E65" s="19">
        <v>0</v>
      </c>
      <c r="F65" s="20">
        <v>0</v>
      </c>
    </row>
    <row r="66" spans="1:6" ht="33.75" customHeight="1">
      <c r="A66" s="21"/>
      <c r="B66" s="22" t="s">
        <v>136</v>
      </c>
      <c r="C66" s="23" t="s">
        <v>137</v>
      </c>
      <c r="D66" s="24">
        <v>0</v>
      </c>
      <c r="E66" s="24">
        <v>0</v>
      </c>
      <c r="F66" s="25">
        <v>0</v>
      </c>
    </row>
    <row r="67" spans="1:6" ht="33.75" customHeight="1">
      <c r="A67" s="21"/>
      <c r="B67" s="22" t="s">
        <v>138</v>
      </c>
      <c r="C67" s="23" t="s">
        <v>139</v>
      </c>
      <c r="D67" s="24">
        <v>0</v>
      </c>
      <c r="E67" s="24">
        <v>0</v>
      </c>
      <c r="F67" s="25">
        <v>0</v>
      </c>
    </row>
    <row r="68" spans="1:6" ht="22.5" customHeight="1">
      <c r="A68" s="16"/>
      <c r="B68" s="17" t="s">
        <v>140</v>
      </c>
      <c r="C68" s="18" t="s">
        <v>141</v>
      </c>
      <c r="D68" s="19">
        <v>0</v>
      </c>
      <c r="E68" s="19">
        <v>0</v>
      </c>
      <c r="F68" s="20">
        <v>0</v>
      </c>
    </row>
    <row r="69" spans="1:6" ht="22.5" customHeight="1">
      <c r="A69" s="16"/>
      <c r="B69" s="17" t="s">
        <v>142</v>
      </c>
      <c r="C69" s="18" t="s">
        <v>143</v>
      </c>
      <c r="D69" s="19">
        <v>13489512</v>
      </c>
      <c r="E69" s="19">
        <v>12753526</v>
      </c>
      <c r="F69" s="20">
        <v>0</v>
      </c>
    </row>
    <row r="70" spans="1:6" ht="22.5" customHeight="1">
      <c r="A70" s="16"/>
      <c r="B70" s="17" t="s">
        <v>144</v>
      </c>
      <c r="C70" s="18" t="s">
        <v>145</v>
      </c>
      <c r="D70" s="19">
        <v>1689222745</v>
      </c>
      <c r="E70" s="19">
        <v>1627889072</v>
      </c>
      <c r="F70" s="20">
        <v>0</v>
      </c>
    </row>
    <row r="71" spans="1:6" ht="22.5" customHeight="1">
      <c r="A71" s="16"/>
      <c r="B71" s="17" t="s">
        <v>146</v>
      </c>
      <c r="C71" s="18" t="s">
        <v>147</v>
      </c>
      <c r="D71" s="19">
        <v>46453625</v>
      </c>
      <c r="E71" s="19">
        <v>44766946</v>
      </c>
      <c r="F71" s="20">
        <v>0</v>
      </c>
    </row>
    <row r="72" spans="1:6" ht="22.5" customHeight="1">
      <c r="A72" s="16"/>
      <c r="B72" s="17" t="s">
        <v>148</v>
      </c>
      <c r="C72" s="18" t="s">
        <v>149</v>
      </c>
      <c r="D72" s="19">
        <v>92907252</v>
      </c>
      <c r="E72" s="19">
        <v>89533901</v>
      </c>
      <c r="F72" s="20">
        <v>0</v>
      </c>
    </row>
    <row r="73" spans="1:6" ht="22.5" customHeight="1">
      <c r="A73" s="16"/>
      <c r="B73" s="17" t="s">
        <v>150</v>
      </c>
      <c r="C73" s="18" t="s">
        <v>151</v>
      </c>
      <c r="D73" s="19">
        <v>6310120</v>
      </c>
      <c r="E73" s="19">
        <v>209610458</v>
      </c>
      <c r="F73" s="20">
        <v>0</v>
      </c>
    </row>
    <row r="74" spans="1:6" ht="22.5" customHeight="1">
      <c r="A74" s="21"/>
      <c r="B74" s="22" t="s">
        <v>152</v>
      </c>
      <c r="C74" s="23" t="s">
        <v>153</v>
      </c>
      <c r="D74" s="24">
        <v>6310120</v>
      </c>
      <c r="E74" s="24">
        <v>209610458</v>
      </c>
      <c r="F74" s="25">
        <v>0</v>
      </c>
    </row>
    <row r="75" spans="1:6" ht="22.5" customHeight="1">
      <c r="A75" s="21"/>
      <c r="B75" s="22" t="s">
        <v>154</v>
      </c>
      <c r="C75" s="23" t="s">
        <v>155</v>
      </c>
      <c r="D75" s="24">
        <v>0</v>
      </c>
      <c r="E75" s="24">
        <v>0</v>
      </c>
      <c r="F75" s="25">
        <v>0</v>
      </c>
    </row>
    <row r="76" spans="1:6" ht="22.5" customHeight="1">
      <c r="A76" s="16"/>
      <c r="B76" s="17" t="s">
        <v>156</v>
      </c>
      <c r="C76" s="18" t="s">
        <v>157</v>
      </c>
      <c r="D76" s="19">
        <v>47630568</v>
      </c>
      <c r="E76" s="19">
        <v>44597226</v>
      </c>
      <c r="F76" s="20">
        <v>0</v>
      </c>
    </row>
    <row r="77" spans="1:6" ht="22.5" customHeight="1">
      <c r="A77" s="21"/>
      <c r="B77" s="22" t="s">
        <v>158</v>
      </c>
      <c r="C77" s="23" t="s">
        <v>159</v>
      </c>
      <c r="D77" s="24">
        <v>42230568</v>
      </c>
      <c r="E77" s="24">
        <v>40697226</v>
      </c>
      <c r="F77" s="25">
        <v>0</v>
      </c>
    </row>
    <row r="78" spans="1:6" ht="22.5" customHeight="1">
      <c r="A78" s="21"/>
      <c r="B78" s="22" t="s">
        <v>160</v>
      </c>
      <c r="C78" s="23" t="s">
        <v>161</v>
      </c>
      <c r="D78" s="24">
        <v>5400000</v>
      </c>
      <c r="E78" s="24">
        <v>3900000</v>
      </c>
      <c r="F78" s="25">
        <v>0</v>
      </c>
    </row>
    <row r="79" spans="1:6" ht="22.5" customHeight="1">
      <c r="A79" s="21"/>
      <c r="B79" s="22" t="s">
        <v>162</v>
      </c>
      <c r="C79" s="23" t="s">
        <v>163</v>
      </c>
      <c r="D79" s="24">
        <v>0</v>
      </c>
      <c r="E79" s="24">
        <v>0</v>
      </c>
      <c r="F79" s="25">
        <v>0</v>
      </c>
    </row>
    <row r="80" spans="1:6" ht="45" customHeight="1">
      <c r="A80" s="21"/>
      <c r="B80" s="22" t="s">
        <v>164</v>
      </c>
      <c r="C80" s="23" t="s">
        <v>165</v>
      </c>
      <c r="D80" s="24">
        <v>0</v>
      </c>
      <c r="E80" s="24">
        <v>0</v>
      </c>
      <c r="F80" s="25">
        <v>0</v>
      </c>
    </row>
    <row r="81" spans="1:6" ht="22.5" customHeight="1">
      <c r="A81" s="16"/>
      <c r="B81" s="17" t="s">
        <v>166</v>
      </c>
      <c r="C81" s="18" t="s">
        <v>167</v>
      </c>
      <c r="D81" s="19">
        <v>60838860</v>
      </c>
      <c r="E81" s="19">
        <v>45199050</v>
      </c>
      <c r="F81" s="20">
        <v>0</v>
      </c>
    </row>
    <row r="82" spans="1:6" ht="22.5" customHeight="1">
      <c r="A82" s="16"/>
      <c r="B82" s="17" t="s">
        <v>168</v>
      </c>
      <c r="C82" s="18" t="s">
        <v>169</v>
      </c>
      <c r="D82" s="19">
        <v>0</v>
      </c>
      <c r="E82" s="19">
        <v>0</v>
      </c>
      <c r="F82" s="20">
        <v>0</v>
      </c>
    </row>
    <row r="83" spans="1:6" ht="22.5" customHeight="1">
      <c r="A83" s="16"/>
      <c r="B83" s="17" t="s">
        <v>170</v>
      </c>
      <c r="C83" s="18" t="s">
        <v>171</v>
      </c>
      <c r="D83" s="19">
        <v>0</v>
      </c>
      <c r="E83" s="19">
        <v>0</v>
      </c>
      <c r="F83" s="20">
        <v>0</v>
      </c>
    </row>
    <row r="84" spans="1:6" ht="22.5" customHeight="1">
      <c r="A84" s="16"/>
      <c r="B84" s="17" t="s">
        <v>172</v>
      </c>
      <c r="C84" s="18" t="s">
        <v>173</v>
      </c>
      <c r="D84" s="19">
        <v>11000000</v>
      </c>
      <c r="E84" s="19">
        <v>5500000</v>
      </c>
      <c r="F84" s="20">
        <v>0</v>
      </c>
    </row>
    <row r="85" spans="1:6" ht="33.75" customHeight="1">
      <c r="A85" s="16"/>
      <c r="B85" s="17" t="s">
        <v>174</v>
      </c>
      <c r="C85" s="18" t="s">
        <v>175</v>
      </c>
      <c r="D85" s="19">
        <v>420885084</v>
      </c>
      <c r="E85" s="19">
        <v>315308662</v>
      </c>
      <c r="F85" s="20">
        <v>0</v>
      </c>
    </row>
    <row r="86" spans="1:6" ht="22.5" customHeight="1">
      <c r="A86" s="16"/>
      <c r="B86" s="17" t="s">
        <v>176</v>
      </c>
      <c r="C86" s="18" t="s">
        <v>177</v>
      </c>
      <c r="D86" s="19">
        <v>383420569</v>
      </c>
      <c r="E86" s="19">
        <v>298959431</v>
      </c>
      <c r="F86" s="20">
        <v>0</v>
      </c>
    </row>
    <row r="87" spans="1:6" ht="22.5" customHeight="1">
      <c r="A87" s="16"/>
      <c r="B87" s="17" t="s">
        <v>178</v>
      </c>
      <c r="C87" s="18" t="s">
        <v>179</v>
      </c>
      <c r="D87" s="19">
        <v>4763770</v>
      </c>
      <c r="E87" s="19">
        <v>4173220</v>
      </c>
      <c r="F87" s="20">
        <v>0</v>
      </c>
    </row>
    <row r="88" spans="1:6" ht="22.5" customHeight="1">
      <c r="A88" s="21"/>
      <c r="B88" s="22" t="s">
        <v>180</v>
      </c>
      <c r="C88" s="23" t="s">
        <v>181</v>
      </c>
      <c r="D88" s="24">
        <v>0</v>
      </c>
      <c r="E88" s="24">
        <v>0</v>
      </c>
      <c r="F88" s="25">
        <v>0</v>
      </c>
    </row>
    <row r="89" spans="1:6" ht="33.75" customHeight="1">
      <c r="A89" s="21"/>
      <c r="B89" s="22" t="s">
        <v>182</v>
      </c>
      <c r="C89" s="23" t="s">
        <v>183</v>
      </c>
      <c r="D89" s="24">
        <v>0</v>
      </c>
      <c r="E89" s="24">
        <v>0</v>
      </c>
      <c r="F89" s="25">
        <v>0</v>
      </c>
    </row>
    <row r="90" spans="1:6" ht="22.5" customHeight="1">
      <c r="A90" s="21"/>
      <c r="B90" s="22" t="s">
        <v>184</v>
      </c>
      <c r="C90" s="23" t="s">
        <v>185</v>
      </c>
      <c r="D90" s="24">
        <v>4763770</v>
      </c>
      <c r="E90" s="24">
        <v>4173220</v>
      </c>
      <c r="F90" s="25">
        <v>0</v>
      </c>
    </row>
    <row r="91" spans="1:6" ht="22.5" customHeight="1">
      <c r="A91" s="21"/>
      <c r="B91" s="22" t="s">
        <v>186</v>
      </c>
      <c r="C91" s="23" t="s">
        <v>187</v>
      </c>
      <c r="D91" s="24">
        <v>0</v>
      </c>
      <c r="E91" s="24">
        <v>0</v>
      </c>
      <c r="F91" s="25">
        <v>0</v>
      </c>
    </row>
    <row r="92" spans="1:6" ht="22.5" customHeight="1">
      <c r="A92" s="16"/>
      <c r="B92" s="17" t="s">
        <v>188</v>
      </c>
      <c r="C92" s="18" t="s">
        <v>189</v>
      </c>
      <c r="D92" s="19">
        <v>0</v>
      </c>
      <c r="E92" s="19">
        <v>0</v>
      </c>
      <c r="F92" s="20">
        <v>0</v>
      </c>
    </row>
    <row r="93" spans="1:6" ht="22.5" customHeight="1">
      <c r="A93" s="16"/>
      <c r="B93" s="17" t="s">
        <v>190</v>
      </c>
      <c r="C93" s="18" t="s">
        <v>191</v>
      </c>
      <c r="D93" s="19">
        <v>0</v>
      </c>
      <c r="E93" s="19">
        <v>0</v>
      </c>
      <c r="F93" s="20">
        <v>0</v>
      </c>
    </row>
    <row r="94" spans="1:6" ht="22.5" customHeight="1">
      <c r="A94" s="16"/>
      <c r="B94" s="17" t="s">
        <v>192</v>
      </c>
      <c r="C94" s="18" t="s">
        <v>193</v>
      </c>
      <c r="D94" s="19">
        <v>0</v>
      </c>
      <c r="E94" s="19">
        <v>0</v>
      </c>
      <c r="F94" s="20">
        <v>0</v>
      </c>
    </row>
    <row r="95" spans="1:6" ht="22.5" customHeight="1">
      <c r="A95" s="16"/>
      <c r="B95" s="17" t="s">
        <v>194</v>
      </c>
      <c r="C95" s="18" t="s">
        <v>195</v>
      </c>
      <c r="D95" s="19">
        <v>0</v>
      </c>
      <c r="E95" s="19">
        <v>0</v>
      </c>
      <c r="F95" s="20">
        <v>0</v>
      </c>
    </row>
    <row r="96" spans="1:6" ht="22.5" customHeight="1">
      <c r="A96" s="16"/>
      <c r="B96" s="17" t="s">
        <v>196</v>
      </c>
      <c r="C96" s="18" t="s">
        <v>197</v>
      </c>
      <c r="D96" s="19">
        <v>0</v>
      </c>
      <c r="E96" s="19">
        <v>0</v>
      </c>
      <c r="F96" s="20">
        <v>0</v>
      </c>
    </row>
    <row r="97" spans="1:6" ht="22.5" customHeight="1">
      <c r="A97" s="21"/>
      <c r="B97" s="22" t="s">
        <v>198</v>
      </c>
      <c r="C97" s="23" t="s">
        <v>199</v>
      </c>
      <c r="D97" s="24">
        <v>0</v>
      </c>
      <c r="E97" s="24">
        <v>0</v>
      </c>
      <c r="F97" s="25">
        <v>0</v>
      </c>
    </row>
    <row r="98" spans="1:6" ht="22.5" customHeight="1">
      <c r="A98" s="21"/>
      <c r="B98" s="22" t="s">
        <v>200</v>
      </c>
      <c r="C98" s="23" t="s">
        <v>201</v>
      </c>
      <c r="D98" s="24">
        <v>0</v>
      </c>
      <c r="E98" s="24">
        <v>0</v>
      </c>
      <c r="F98" s="25">
        <v>0</v>
      </c>
    </row>
    <row r="99" spans="1:6" ht="22.5" customHeight="1">
      <c r="A99" s="11" t="s">
        <v>202</v>
      </c>
      <c r="B99" s="12" t="s">
        <v>203</v>
      </c>
      <c r="C99" s="13" t="s">
        <v>204</v>
      </c>
      <c r="D99" s="14">
        <v>2776922105</v>
      </c>
      <c r="E99" s="14">
        <v>15092211840</v>
      </c>
      <c r="F99" s="15">
        <v>0</v>
      </c>
    </row>
    <row r="100" spans="1:6" ht="22.5" customHeight="1">
      <c r="A100" s="11"/>
      <c r="B100" s="12" t="s">
        <v>205</v>
      </c>
      <c r="C100" s="13" t="s">
        <v>206</v>
      </c>
      <c r="D100" s="14">
        <v>3024901473126</v>
      </c>
      <c r="E100" s="14">
        <v>2404888002923</v>
      </c>
      <c r="F100" s="15">
        <v>0</v>
      </c>
    </row>
    <row r="101" spans="1:6" ht="22.5" customHeight="1">
      <c r="A101" s="11"/>
      <c r="B101" s="12" t="s">
        <v>207</v>
      </c>
      <c r="C101" s="13" t="s">
        <v>208</v>
      </c>
      <c r="D101" s="14">
        <v>198200000</v>
      </c>
      <c r="E101" s="14">
        <v>176300000</v>
      </c>
      <c r="F101" s="15"/>
    </row>
    <row r="102" spans="1:6" ht="22.5" customHeight="1">
      <c r="A102" s="26"/>
      <c r="B102" s="27" t="s">
        <v>209</v>
      </c>
      <c r="C102" s="28" t="s">
        <v>210</v>
      </c>
      <c r="D102" s="29">
        <v>15261.86</v>
      </c>
      <c r="E102" s="29">
        <v>13640.88</v>
      </c>
      <c r="F102" s="30">
        <v>0</v>
      </c>
    </row>
    <row r="103" spans="1:6" ht="8.25" customHeight="1">
      <c r="A103" s="308"/>
      <c r="B103" s="308"/>
      <c r="C103" s="308"/>
      <c r="D103" s="308"/>
      <c r="E103" s="308"/>
      <c r="F103" s="308"/>
    </row>
    <row r="104" spans="1:6" ht="23.25" customHeight="1">
      <c r="A104" s="315" t="s">
        <v>211</v>
      </c>
      <c r="B104" s="315"/>
      <c r="C104" s="315"/>
      <c r="D104" s="315"/>
      <c r="E104" s="315"/>
      <c r="F104" s="315"/>
    </row>
    <row r="105" spans="1:6" ht="6.75" customHeight="1">
      <c r="A105" s="308"/>
      <c r="B105" s="308"/>
      <c r="C105" s="308"/>
      <c r="D105" s="308"/>
      <c r="E105" s="308"/>
      <c r="F105" s="308"/>
    </row>
    <row r="106" spans="1:6" ht="12.75" customHeight="1">
      <c r="A106" s="306" t="s">
        <v>212</v>
      </c>
      <c r="B106" s="306"/>
      <c r="C106" s="306" t="s">
        <v>213</v>
      </c>
      <c r="D106" s="306"/>
      <c r="E106" s="306"/>
      <c r="F106" s="306"/>
    </row>
    <row r="107" spans="1:6" ht="12.75" customHeight="1">
      <c r="A107" s="309" t="s">
        <v>214</v>
      </c>
      <c r="B107" s="309"/>
      <c r="C107" s="310" t="s">
        <v>215</v>
      </c>
      <c r="D107" s="310"/>
      <c r="E107" s="310"/>
      <c r="F107" s="310"/>
    </row>
    <row r="108" spans="1:6" ht="12.75" customHeight="1">
      <c r="A108" s="185"/>
      <c r="B108" s="185"/>
      <c r="C108" s="186"/>
      <c r="D108" s="186"/>
      <c r="E108" s="186"/>
      <c r="F108" s="186"/>
    </row>
    <row r="109" spans="1:6" ht="12.75" customHeight="1">
      <c r="A109" s="185"/>
      <c r="B109" s="185"/>
      <c r="C109" s="186"/>
      <c r="D109" s="186"/>
      <c r="E109" s="186"/>
      <c r="F109" s="186"/>
    </row>
    <row r="110" spans="1:6" ht="15" customHeight="1">
      <c r="A110" s="307"/>
      <c r="B110" s="307"/>
      <c r="C110" s="307"/>
      <c r="D110" s="307"/>
      <c r="E110" s="307"/>
      <c r="F110" s="307"/>
    </row>
    <row r="111" spans="1:6" ht="15" customHeight="1">
      <c r="A111" s="308"/>
      <c r="B111" s="308"/>
      <c r="C111" s="308"/>
      <c r="D111" s="308"/>
      <c r="E111" s="308"/>
      <c r="F111" s="308"/>
    </row>
    <row r="112" spans="1:6" s="254" customFormat="1" ht="12.75" customHeight="1">
      <c r="A112" s="306" t="s">
        <v>216</v>
      </c>
      <c r="B112" s="306"/>
      <c r="C112" s="306" t="s">
        <v>217</v>
      </c>
      <c r="D112" s="306"/>
      <c r="E112" s="306"/>
      <c r="F112" s="306"/>
    </row>
    <row r="113" spans="1:6" s="254" customFormat="1" ht="12.75" customHeight="1">
      <c r="A113" s="306" t="s">
        <v>218</v>
      </c>
      <c r="B113" s="306"/>
      <c r="C113" s="306" t="s">
        <v>219</v>
      </c>
      <c r="D113" s="306"/>
      <c r="E113" s="306"/>
      <c r="F113" s="306"/>
    </row>
    <row r="114" spans="1:6" s="254" customFormat="1" ht="12.75" customHeight="1">
      <c r="A114" s="306" t="s">
        <v>220</v>
      </c>
      <c r="B114" s="306"/>
      <c r="C114" s="306" t="s">
        <v>221</v>
      </c>
      <c r="D114" s="306"/>
      <c r="E114" s="306"/>
      <c r="F114" s="306"/>
    </row>
  </sheetData>
  <mergeCells count="36">
    <mergeCell ref="C12:F12"/>
    <mergeCell ref="A1:B1"/>
    <mergeCell ref="C1:F1"/>
    <mergeCell ref="A2:F2"/>
    <mergeCell ref="A3:F3"/>
    <mergeCell ref="A4:F4"/>
    <mergeCell ref="C6:F6"/>
    <mergeCell ref="C7:F7"/>
    <mergeCell ref="C8:F8"/>
    <mergeCell ref="C9:F9"/>
    <mergeCell ref="C10:F10"/>
    <mergeCell ref="C11:F1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3:B113"/>
    <mergeCell ref="C113:F113"/>
    <mergeCell ref="A114:B114"/>
    <mergeCell ref="C114:F114"/>
    <mergeCell ref="A110:B110"/>
    <mergeCell ref="C110:F110"/>
    <mergeCell ref="A111:B111"/>
    <mergeCell ref="C111:F111"/>
    <mergeCell ref="A112:B112"/>
    <mergeCell ref="C112:F112"/>
  </mergeCells>
  <printOptions horizontalCentered="1"/>
  <pageMargins left="0.25" right="0.25" top="0.25" bottom="0.25" header="0.25" footer="0.25"/>
  <pageSetup paperSize="9" scale="9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70" zoomScaleNormal="100" zoomScaleSheetLayoutView="100" workbookViewId="0">
      <selection activeCell="D19" sqref="D19:F84"/>
    </sheetView>
  </sheetViews>
  <sheetFormatPr defaultRowHeight="14.25"/>
  <cols>
    <col min="1" max="1" width="4.28515625" style="252" customWidth="1"/>
    <col min="2" max="2" width="36.5703125" style="252" customWidth="1"/>
    <col min="3" max="3" width="9.140625" style="252" customWidth="1"/>
    <col min="4" max="4" width="18.5703125" style="252" customWidth="1"/>
    <col min="5" max="6" width="18.42578125" style="252" customWidth="1"/>
    <col min="7" max="16384" width="9.140625" style="252"/>
  </cols>
  <sheetData>
    <row r="1" spans="1:6" ht="31.5" customHeight="1">
      <c r="A1" s="308"/>
      <c r="B1" s="308"/>
      <c r="C1" s="318" t="s">
        <v>265</v>
      </c>
      <c r="D1" s="318"/>
      <c r="E1" s="318"/>
      <c r="F1" s="318"/>
    </row>
    <row r="2" spans="1:6" ht="42.75" customHeight="1">
      <c r="A2" s="329" t="s">
        <v>266</v>
      </c>
      <c r="B2" s="329"/>
      <c r="C2" s="329"/>
      <c r="D2" s="329"/>
      <c r="E2" s="329"/>
      <c r="F2" s="329"/>
    </row>
    <row r="3" spans="1:6" ht="27" customHeight="1">
      <c r="A3" s="330" t="s">
        <v>2</v>
      </c>
      <c r="B3" s="330"/>
      <c r="C3" s="330"/>
      <c r="D3" s="330"/>
      <c r="E3" s="330"/>
      <c r="F3" s="330"/>
    </row>
    <row r="4" spans="1:6" ht="13.5" customHeight="1">
      <c r="A4" s="309" t="s">
        <v>267</v>
      </c>
      <c r="B4" s="309"/>
      <c r="C4" s="309"/>
      <c r="D4" s="309"/>
      <c r="E4" s="309"/>
      <c r="F4" s="309"/>
    </row>
    <row r="5" spans="1:6" ht="9.75" customHeight="1">
      <c r="A5" s="253"/>
      <c r="B5" s="253"/>
      <c r="C5" s="253"/>
      <c r="D5" s="253"/>
      <c r="E5" s="253"/>
      <c r="F5" s="253"/>
    </row>
    <row r="6" spans="1:6" ht="12.75" customHeight="1">
      <c r="A6" s="188" t="s">
        <v>4</v>
      </c>
      <c r="B6" s="187" t="s">
        <v>5</v>
      </c>
      <c r="C6" s="313" t="s">
        <v>6</v>
      </c>
      <c r="D6" s="313"/>
      <c r="E6" s="313"/>
      <c r="F6" s="313"/>
    </row>
    <row r="7" spans="1:6" ht="12.75" customHeight="1">
      <c r="A7" s="185"/>
      <c r="B7" s="189" t="s">
        <v>7</v>
      </c>
      <c r="C7" s="325" t="s">
        <v>8</v>
      </c>
      <c r="D7" s="325"/>
      <c r="E7" s="325"/>
      <c r="F7" s="325"/>
    </row>
    <row r="8" spans="1:6" ht="12.75" customHeight="1">
      <c r="A8" s="188" t="s">
        <v>9</v>
      </c>
      <c r="B8" s="187" t="s">
        <v>10</v>
      </c>
      <c r="C8" s="313" t="s">
        <v>11</v>
      </c>
      <c r="D8" s="313"/>
      <c r="E8" s="313"/>
      <c r="F8" s="313"/>
    </row>
    <row r="9" spans="1:6" ht="12.75" customHeight="1">
      <c r="A9" s="185"/>
      <c r="B9" s="189" t="s">
        <v>12</v>
      </c>
      <c r="C9" s="325" t="s">
        <v>13</v>
      </c>
      <c r="D9" s="325"/>
      <c r="E9" s="325"/>
      <c r="F9" s="325"/>
    </row>
    <row r="10" spans="1:6" ht="12.75" customHeight="1">
      <c r="A10" s="188" t="s">
        <v>14</v>
      </c>
      <c r="B10" s="187" t="s">
        <v>15</v>
      </c>
      <c r="C10" s="313" t="s">
        <v>16</v>
      </c>
      <c r="D10" s="313"/>
      <c r="E10" s="313"/>
      <c r="F10" s="313"/>
    </row>
    <row r="11" spans="1:6" ht="12.75" customHeight="1">
      <c r="A11" s="185"/>
      <c r="B11" s="189" t="s">
        <v>17</v>
      </c>
      <c r="C11" s="325" t="s">
        <v>18</v>
      </c>
      <c r="D11" s="325"/>
      <c r="E11" s="325"/>
      <c r="F11" s="325"/>
    </row>
    <row r="12" spans="1:6" ht="12.75" customHeight="1">
      <c r="A12" s="188" t="s">
        <v>19</v>
      </c>
      <c r="B12" s="187" t="s">
        <v>20</v>
      </c>
      <c r="C12" s="326">
        <v>44169</v>
      </c>
      <c r="D12" s="313"/>
      <c r="E12" s="313"/>
      <c r="F12" s="313"/>
    </row>
    <row r="13" spans="1:6" ht="12.75" customHeight="1">
      <c r="A13" s="185"/>
      <c r="B13" s="189" t="s">
        <v>21</v>
      </c>
      <c r="C13" s="327">
        <v>44169</v>
      </c>
      <c r="D13" s="327"/>
      <c r="E13" s="327"/>
      <c r="F13" s="327"/>
    </row>
    <row r="14" spans="1:6" ht="12.75" customHeight="1">
      <c r="A14" s="253"/>
      <c r="B14" s="189"/>
      <c r="C14" s="189"/>
      <c r="D14" s="189"/>
      <c r="E14" s="328"/>
      <c r="F14" s="328"/>
    </row>
    <row r="15" spans="1:6" ht="12.75" customHeight="1">
      <c r="A15" s="313" t="s">
        <v>22</v>
      </c>
      <c r="B15" s="313"/>
      <c r="C15" s="313"/>
      <c r="D15" s="313"/>
      <c r="E15" s="313"/>
      <c r="F15" s="313"/>
    </row>
    <row r="16" spans="1:6" ht="12.75" customHeight="1">
      <c r="A16" s="313" t="s">
        <v>268</v>
      </c>
      <c r="B16" s="313"/>
      <c r="C16" s="313"/>
      <c r="D16" s="313"/>
      <c r="E16" s="313"/>
      <c r="F16" s="313"/>
    </row>
    <row r="17" spans="1:6" ht="12.75" customHeight="1">
      <c r="A17" s="314" t="s">
        <v>24</v>
      </c>
      <c r="B17" s="314"/>
      <c r="C17" s="314"/>
      <c r="D17" s="314"/>
      <c r="E17" s="314"/>
      <c r="F17" s="314"/>
    </row>
    <row r="18" spans="1:6" ht="42">
      <c r="A18" s="8" t="s">
        <v>25</v>
      </c>
      <c r="B18" s="9" t="s">
        <v>26</v>
      </c>
      <c r="C18" s="9" t="s">
        <v>27</v>
      </c>
      <c r="D18" s="9" t="s">
        <v>269</v>
      </c>
      <c r="E18" s="9" t="s">
        <v>270</v>
      </c>
      <c r="F18" s="10" t="s">
        <v>271</v>
      </c>
    </row>
    <row r="19" spans="1:6" ht="22.5" customHeight="1">
      <c r="A19" s="62" t="s">
        <v>30</v>
      </c>
      <c r="B19" s="63" t="s">
        <v>272</v>
      </c>
      <c r="C19" s="64" t="s">
        <v>273</v>
      </c>
      <c r="D19" s="65">
        <v>6865710</v>
      </c>
      <c r="E19" s="65">
        <v>5760973789</v>
      </c>
      <c r="F19" s="66">
        <v>18747264098</v>
      </c>
    </row>
    <row r="20" spans="1:6" ht="22.5" customHeight="1">
      <c r="A20" s="67" t="s">
        <v>4</v>
      </c>
      <c r="B20" s="68" t="s">
        <v>274</v>
      </c>
      <c r="C20" s="69" t="s">
        <v>275</v>
      </c>
      <c r="D20" s="70">
        <v>0</v>
      </c>
      <c r="E20" s="70">
        <v>5736060000</v>
      </c>
      <c r="F20" s="71">
        <v>18678302000</v>
      </c>
    </row>
    <row r="21" spans="1:6" ht="22.5" customHeight="1">
      <c r="A21" s="72"/>
      <c r="B21" s="73" t="s">
        <v>276</v>
      </c>
      <c r="C21" s="74" t="s">
        <v>277</v>
      </c>
      <c r="D21" s="75">
        <v>0</v>
      </c>
      <c r="E21" s="75">
        <v>5736060000</v>
      </c>
      <c r="F21" s="76">
        <v>18678302000</v>
      </c>
    </row>
    <row r="22" spans="1:6" ht="22.5" customHeight="1">
      <c r="A22" s="72"/>
      <c r="B22" s="73" t="s">
        <v>278</v>
      </c>
      <c r="C22" s="74" t="s">
        <v>279</v>
      </c>
      <c r="D22" s="75">
        <v>0</v>
      </c>
      <c r="E22" s="75">
        <v>0</v>
      </c>
      <c r="F22" s="76">
        <v>0</v>
      </c>
    </row>
    <row r="23" spans="1:6" ht="22.5" customHeight="1">
      <c r="A23" s="67" t="s">
        <v>9</v>
      </c>
      <c r="B23" s="68" t="s">
        <v>280</v>
      </c>
      <c r="C23" s="69" t="s">
        <v>281</v>
      </c>
      <c r="D23" s="70">
        <v>6865710</v>
      </c>
      <c r="E23" s="70">
        <v>24913789</v>
      </c>
      <c r="F23" s="71">
        <v>68962098</v>
      </c>
    </row>
    <row r="24" spans="1:6" ht="22.5" customHeight="1">
      <c r="A24" s="72"/>
      <c r="B24" s="73" t="s">
        <v>282</v>
      </c>
      <c r="C24" s="74" t="s">
        <v>283</v>
      </c>
      <c r="D24" s="75">
        <v>6865710</v>
      </c>
      <c r="E24" s="75">
        <v>24913789</v>
      </c>
      <c r="F24" s="76">
        <v>68962098</v>
      </c>
    </row>
    <row r="25" spans="1:6" ht="22.5" customHeight="1">
      <c r="A25" s="72"/>
      <c r="B25" s="73" t="s">
        <v>284</v>
      </c>
      <c r="C25" s="74" t="s">
        <v>285</v>
      </c>
      <c r="D25" s="75">
        <v>0</v>
      </c>
      <c r="E25" s="75">
        <v>0</v>
      </c>
      <c r="F25" s="76">
        <v>0</v>
      </c>
    </row>
    <row r="26" spans="1:6" ht="22.5" customHeight="1">
      <c r="A26" s="67" t="s">
        <v>14</v>
      </c>
      <c r="B26" s="68" t="s">
        <v>286</v>
      </c>
      <c r="C26" s="69" t="s">
        <v>287</v>
      </c>
      <c r="D26" s="70">
        <v>0</v>
      </c>
      <c r="E26" s="70">
        <v>0</v>
      </c>
      <c r="F26" s="71">
        <v>0</v>
      </c>
    </row>
    <row r="27" spans="1:6" ht="22.5" customHeight="1">
      <c r="A27" s="72"/>
      <c r="B27" s="73" t="s">
        <v>288</v>
      </c>
      <c r="C27" s="74" t="s">
        <v>289</v>
      </c>
      <c r="D27" s="75">
        <v>0</v>
      </c>
      <c r="E27" s="75">
        <v>0</v>
      </c>
      <c r="F27" s="76">
        <v>0</v>
      </c>
    </row>
    <row r="28" spans="1:6" ht="22.5" customHeight="1">
      <c r="A28" s="72"/>
      <c r="B28" s="73" t="s">
        <v>290</v>
      </c>
      <c r="C28" s="74" t="s">
        <v>291</v>
      </c>
      <c r="D28" s="75">
        <v>0</v>
      </c>
      <c r="E28" s="75">
        <v>0</v>
      </c>
      <c r="F28" s="76">
        <v>0</v>
      </c>
    </row>
    <row r="29" spans="1:6" ht="54" customHeight="1">
      <c r="A29" s="72"/>
      <c r="B29" s="73" t="s">
        <v>292</v>
      </c>
      <c r="C29" s="74" t="s">
        <v>293</v>
      </c>
      <c r="D29" s="75">
        <v>0</v>
      </c>
      <c r="E29" s="75">
        <v>0</v>
      </c>
      <c r="F29" s="76">
        <v>0</v>
      </c>
    </row>
    <row r="30" spans="1:6" ht="22.5" customHeight="1">
      <c r="A30" s="62" t="s">
        <v>115</v>
      </c>
      <c r="B30" s="63" t="s">
        <v>294</v>
      </c>
      <c r="C30" s="64" t="s">
        <v>295</v>
      </c>
      <c r="D30" s="65">
        <v>2307641356</v>
      </c>
      <c r="E30" s="65">
        <v>2269513112</v>
      </c>
      <c r="F30" s="66">
        <v>10460496295</v>
      </c>
    </row>
    <row r="31" spans="1:6" ht="22.5" customHeight="1">
      <c r="A31" s="67" t="s">
        <v>4</v>
      </c>
      <c r="B31" s="68" t="s">
        <v>296</v>
      </c>
      <c r="C31" s="69" t="s">
        <v>297</v>
      </c>
      <c r="D31" s="70">
        <v>1689222745</v>
      </c>
      <c r="E31" s="70">
        <v>1627889072</v>
      </c>
      <c r="F31" s="71">
        <v>7747891027</v>
      </c>
    </row>
    <row r="32" spans="1:6" ht="22.5" customHeight="1">
      <c r="A32" s="67" t="s">
        <v>9</v>
      </c>
      <c r="B32" s="68" t="s">
        <v>298</v>
      </c>
      <c r="C32" s="69" t="s">
        <v>299</v>
      </c>
      <c r="D32" s="70">
        <v>158370416</v>
      </c>
      <c r="E32" s="70">
        <v>150526801</v>
      </c>
      <c r="F32" s="71">
        <v>737459988</v>
      </c>
    </row>
    <row r="33" spans="1:6" ht="22.5" customHeight="1">
      <c r="A33" s="72"/>
      <c r="B33" s="73" t="s">
        <v>158</v>
      </c>
      <c r="C33" s="74" t="s">
        <v>300</v>
      </c>
      <c r="D33" s="75">
        <v>42230568</v>
      </c>
      <c r="E33" s="75">
        <v>40697226</v>
      </c>
      <c r="F33" s="76">
        <v>200458948</v>
      </c>
    </row>
    <row r="34" spans="1:6" ht="22.5" customHeight="1">
      <c r="A34" s="72"/>
      <c r="B34" s="73" t="s">
        <v>160</v>
      </c>
      <c r="C34" s="74" t="s">
        <v>301</v>
      </c>
      <c r="D34" s="75">
        <v>2200000</v>
      </c>
      <c r="E34" s="75">
        <v>1800000</v>
      </c>
      <c r="F34" s="76">
        <v>9700000</v>
      </c>
    </row>
    <row r="35" spans="1:6" ht="22.5" customHeight="1">
      <c r="A35" s="72"/>
      <c r="B35" s="73" t="s">
        <v>162</v>
      </c>
      <c r="C35" s="74" t="s">
        <v>302</v>
      </c>
      <c r="D35" s="75">
        <v>21032596</v>
      </c>
      <c r="E35" s="75">
        <v>18495674</v>
      </c>
      <c r="F35" s="76">
        <v>85949219</v>
      </c>
    </row>
    <row r="36" spans="1:6" ht="22.5" customHeight="1">
      <c r="A36" s="72"/>
      <c r="B36" s="73" t="s">
        <v>303</v>
      </c>
      <c r="C36" s="74" t="s">
        <v>304</v>
      </c>
      <c r="D36" s="75">
        <v>92907252</v>
      </c>
      <c r="E36" s="75">
        <v>89533901</v>
      </c>
      <c r="F36" s="76">
        <v>441351821</v>
      </c>
    </row>
    <row r="37" spans="1:6" ht="45" customHeight="1">
      <c r="A37" s="72"/>
      <c r="B37" s="73" t="s">
        <v>164</v>
      </c>
      <c r="C37" s="74" t="s">
        <v>305</v>
      </c>
      <c r="D37" s="75">
        <v>0</v>
      </c>
      <c r="E37" s="75">
        <v>0</v>
      </c>
      <c r="F37" s="76">
        <v>0</v>
      </c>
    </row>
    <row r="38" spans="1:6" ht="56.25" customHeight="1">
      <c r="A38" s="67" t="s">
        <v>14</v>
      </c>
      <c r="B38" s="68" t="s">
        <v>306</v>
      </c>
      <c r="C38" s="69" t="s">
        <v>307</v>
      </c>
      <c r="D38" s="70">
        <v>241991185</v>
      </c>
      <c r="E38" s="70">
        <v>233404464</v>
      </c>
      <c r="F38" s="71">
        <v>1215880559</v>
      </c>
    </row>
    <row r="39" spans="1:6" ht="22.5" customHeight="1">
      <c r="A39" s="72"/>
      <c r="B39" s="73" t="s">
        <v>308</v>
      </c>
      <c r="C39" s="74" t="s">
        <v>309</v>
      </c>
      <c r="D39" s="75">
        <v>46453625</v>
      </c>
      <c r="E39" s="75">
        <v>44766946</v>
      </c>
      <c r="F39" s="76">
        <v>230006671</v>
      </c>
    </row>
    <row r="40" spans="1:6" ht="22.5" customHeight="1">
      <c r="A40" s="72"/>
      <c r="B40" s="73" t="s">
        <v>310</v>
      </c>
      <c r="C40" s="74" t="s">
        <v>311</v>
      </c>
      <c r="D40" s="75">
        <v>5500000</v>
      </c>
      <c r="E40" s="75">
        <v>5500000</v>
      </c>
      <c r="F40" s="76">
        <v>36548387</v>
      </c>
    </row>
    <row r="41" spans="1:6" ht="33.75" customHeight="1">
      <c r="A41" s="72"/>
      <c r="B41" s="73" t="s">
        <v>312</v>
      </c>
      <c r="C41" s="74" t="s">
        <v>313</v>
      </c>
      <c r="D41" s="75">
        <v>105576422</v>
      </c>
      <c r="E41" s="75">
        <v>101743065</v>
      </c>
      <c r="F41" s="76">
        <v>481175804</v>
      </c>
    </row>
    <row r="42" spans="1:6" ht="22.5" customHeight="1">
      <c r="A42" s="72"/>
      <c r="B42" s="73" t="s">
        <v>314</v>
      </c>
      <c r="C42" s="74" t="s">
        <v>315</v>
      </c>
      <c r="D42" s="75">
        <v>84461138</v>
      </c>
      <c r="E42" s="75">
        <v>81394453</v>
      </c>
      <c r="F42" s="76">
        <v>468149697</v>
      </c>
    </row>
    <row r="43" spans="1:6" ht="22.5" customHeight="1">
      <c r="A43" s="67" t="s">
        <v>19</v>
      </c>
      <c r="B43" s="68" t="s">
        <v>316</v>
      </c>
      <c r="C43" s="69" t="s">
        <v>317</v>
      </c>
      <c r="D43" s="70">
        <v>15639810</v>
      </c>
      <c r="E43" s="70">
        <v>16161137</v>
      </c>
      <c r="F43" s="71">
        <v>93838860</v>
      </c>
    </row>
    <row r="44" spans="1:6" ht="63">
      <c r="A44" s="67" t="s">
        <v>318</v>
      </c>
      <c r="B44" s="68" t="s">
        <v>319</v>
      </c>
      <c r="C44" s="69" t="s">
        <v>320</v>
      </c>
      <c r="D44" s="70">
        <v>9735986</v>
      </c>
      <c r="E44" s="70">
        <v>9760518</v>
      </c>
      <c r="F44" s="71">
        <v>58489512</v>
      </c>
    </row>
    <row r="45" spans="1:6" ht="22.5" customHeight="1">
      <c r="A45" s="72"/>
      <c r="B45" s="73" t="s">
        <v>321</v>
      </c>
      <c r="C45" s="74" t="s">
        <v>322</v>
      </c>
      <c r="D45" s="75">
        <v>9735986</v>
      </c>
      <c r="E45" s="75">
        <v>9760518</v>
      </c>
      <c r="F45" s="76">
        <v>58489512</v>
      </c>
    </row>
    <row r="46" spans="1:6" ht="22.5" customHeight="1">
      <c r="A46" s="72"/>
      <c r="B46" s="73" t="s">
        <v>323</v>
      </c>
      <c r="C46" s="74" t="s">
        <v>324</v>
      </c>
      <c r="D46" s="75">
        <v>0</v>
      </c>
      <c r="E46" s="75">
        <v>0</v>
      </c>
      <c r="F46" s="76">
        <v>0</v>
      </c>
    </row>
    <row r="47" spans="1:6" ht="22.5" customHeight="1">
      <c r="A47" s="72"/>
      <c r="B47" s="73" t="s">
        <v>325</v>
      </c>
      <c r="C47" s="74" t="s">
        <v>326</v>
      </c>
      <c r="D47" s="75">
        <v>0</v>
      </c>
      <c r="E47" s="75">
        <v>0</v>
      </c>
      <c r="F47" s="76">
        <v>0</v>
      </c>
    </row>
    <row r="48" spans="1:6" ht="126">
      <c r="A48" s="67" t="s">
        <v>327</v>
      </c>
      <c r="B48" s="68" t="s">
        <v>328</v>
      </c>
      <c r="C48" s="69" t="s">
        <v>329</v>
      </c>
      <c r="D48" s="70">
        <v>0</v>
      </c>
      <c r="E48" s="70">
        <v>0</v>
      </c>
      <c r="F48" s="71">
        <v>0</v>
      </c>
    </row>
    <row r="49" spans="1:6" ht="22.5" customHeight="1">
      <c r="A49" s="72"/>
      <c r="B49" s="73" t="s">
        <v>330</v>
      </c>
      <c r="C49" s="74" t="s">
        <v>331</v>
      </c>
      <c r="D49" s="75">
        <v>0</v>
      </c>
      <c r="E49" s="75">
        <v>0</v>
      </c>
      <c r="F49" s="76">
        <v>0</v>
      </c>
    </row>
    <row r="50" spans="1:6" ht="22.5" customHeight="1">
      <c r="A50" s="72"/>
      <c r="B50" s="73" t="s">
        <v>332</v>
      </c>
      <c r="C50" s="74" t="s">
        <v>333</v>
      </c>
      <c r="D50" s="75">
        <v>0</v>
      </c>
      <c r="E50" s="75">
        <v>0</v>
      </c>
      <c r="F50" s="76">
        <v>0</v>
      </c>
    </row>
    <row r="51" spans="1:6" ht="33.75" customHeight="1">
      <c r="A51" s="72"/>
      <c r="B51" s="73" t="s">
        <v>334</v>
      </c>
      <c r="C51" s="74" t="s">
        <v>335</v>
      </c>
      <c r="D51" s="75">
        <v>0</v>
      </c>
      <c r="E51" s="75">
        <v>0</v>
      </c>
      <c r="F51" s="76">
        <v>0</v>
      </c>
    </row>
    <row r="52" spans="1:6" ht="22.5" customHeight="1">
      <c r="A52" s="72"/>
      <c r="B52" s="73" t="s">
        <v>336</v>
      </c>
      <c r="C52" s="74" t="s">
        <v>337</v>
      </c>
      <c r="D52" s="75">
        <v>0</v>
      </c>
      <c r="E52" s="75">
        <v>0</v>
      </c>
      <c r="F52" s="76">
        <v>0</v>
      </c>
    </row>
    <row r="53" spans="1:6" ht="22.5" customHeight="1">
      <c r="A53" s="72"/>
      <c r="B53" s="73" t="s">
        <v>338</v>
      </c>
      <c r="C53" s="74" t="s">
        <v>339</v>
      </c>
      <c r="D53" s="75">
        <v>0</v>
      </c>
      <c r="E53" s="75">
        <v>0</v>
      </c>
      <c r="F53" s="76">
        <v>0</v>
      </c>
    </row>
    <row r="54" spans="1:6" ht="45" customHeight="1">
      <c r="A54" s="67" t="s">
        <v>340</v>
      </c>
      <c r="B54" s="68" t="s">
        <v>341</v>
      </c>
      <c r="C54" s="69" t="s">
        <v>342</v>
      </c>
      <c r="D54" s="70">
        <v>190127625</v>
      </c>
      <c r="E54" s="70">
        <v>229483265</v>
      </c>
      <c r="F54" s="71">
        <v>524517847</v>
      </c>
    </row>
    <row r="55" spans="1:6" ht="22.5" customHeight="1">
      <c r="A55" s="72"/>
      <c r="B55" s="73" t="s">
        <v>343</v>
      </c>
      <c r="C55" s="74" t="s">
        <v>344</v>
      </c>
      <c r="D55" s="75">
        <v>190127625</v>
      </c>
      <c r="E55" s="75">
        <v>229483265</v>
      </c>
      <c r="F55" s="76">
        <v>524517847</v>
      </c>
    </row>
    <row r="56" spans="1:6" ht="22.5" customHeight="1">
      <c r="A56" s="72"/>
      <c r="B56" s="73" t="s">
        <v>345</v>
      </c>
      <c r="C56" s="74" t="s">
        <v>346</v>
      </c>
      <c r="D56" s="75">
        <v>0</v>
      </c>
      <c r="E56" s="75">
        <v>0</v>
      </c>
      <c r="F56" s="76">
        <v>0</v>
      </c>
    </row>
    <row r="57" spans="1:6" ht="22.5" customHeight="1">
      <c r="A57" s="67" t="s">
        <v>347</v>
      </c>
      <c r="B57" s="68" t="s">
        <v>348</v>
      </c>
      <c r="C57" s="69" t="s">
        <v>349</v>
      </c>
      <c r="D57" s="70">
        <v>2553589</v>
      </c>
      <c r="E57" s="70">
        <v>2287855</v>
      </c>
      <c r="F57" s="71">
        <v>82418502</v>
      </c>
    </row>
    <row r="58" spans="1:6" ht="22.5" customHeight="1">
      <c r="A58" s="72"/>
      <c r="B58" s="73" t="s">
        <v>350</v>
      </c>
      <c r="C58" s="74" t="s">
        <v>351</v>
      </c>
      <c r="D58" s="75">
        <v>0</v>
      </c>
      <c r="E58" s="75">
        <v>0</v>
      </c>
      <c r="F58" s="76">
        <v>50000000</v>
      </c>
    </row>
    <row r="59" spans="1:6" ht="22.5" customHeight="1">
      <c r="A59" s="72"/>
      <c r="B59" s="73" t="s">
        <v>352</v>
      </c>
      <c r="C59" s="74" t="s">
        <v>353</v>
      </c>
      <c r="D59" s="75">
        <v>0</v>
      </c>
      <c r="E59" s="75">
        <v>0</v>
      </c>
      <c r="F59" s="76">
        <v>17500000</v>
      </c>
    </row>
    <row r="60" spans="1:6" ht="22.5" customHeight="1">
      <c r="A60" s="72"/>
      <c r="B60" s="73" t="s">
        <v>354</v>
      </c>
      <c r="C60" s="74" t="s">
        <v>355</v>
      </c>
      <c r="D60" s="75">
        <v>590550</v>
      </c>
      <c r="E60" s="75">
        <v>610235</v>
      </c>
      <c r="F60" s="76">
        <v>4763770</v>
      </c>
    </row>
    <row r="61" spans="1:6" ht="22.5" customHeight="1">
      <c r="A61" s="72"/>
      <c r="B61" s="73" t="s">
        <v>356</v>
      </c>
      <c r="C61" s="74" t="s">
        <v>357</v>
      </c>
      <c r="D61" s="75">
        <v>1963039</v>
      </c>
      <c r="E61" s="75">
        <v>1677620</v>
      </c>
      <c r="F61" s="76">
        <v>10154732</v>
      </c>
    </row>
    <row r="62" spans="1:6" ht="22.5" customHeight="1">
      <c r="A62" s="72"/>
      <c r="B62" s="73" t="s">
        <v>358</v>
      </c>
      <c r="C62" s="74" t="s">
        <v>359</v>
      </c>
      <c r="D62" s="75">
        <v>0</v>
      </c>
      <c r="E62" s="75">
        <v>0</v>
      </c>
      <c r="F62" s="76">
        <v>0</v>
      </c>
    </row>
    <row r="63" spans="1:6" ht="22.5" customHeight="1">
      <c r="A63" s="72"/>
      <c r="B63" s="73" t="s">
        <v>360</v>
      </c>
      <c r="C63" s="74" t="s">
        <v>361</v>
      </c>
      <c r="D63" s="75">
        <v>0</v>
      </c>
      <c r="E63" s="75">
        <v>0</v>
      </c>
      <c r="F63" s="76">
        <v>0</v>
      </c>
    </row>
    <row r="64" spans="1:6" ht="22.5" customHeight="1">
      <c r="A64" s="72"/>
      <c r="B64" s="73" t="s">
        <v>362</v>
      </c>
      <c r="C64" s="74" t="s">
        <v>363</v>
      </c>
      <c r="D64" s="75">
        <v>0</v>
      </c>
      <c r="E64" s="75">
        <v>0</v>
      </c>
      <c r="F64" s="76">
        <v>0</v>
      </c>
    </row>
    <row r="65" spans="1:6" ht="22.5" customHeight="1">
      <c r="A65" s="72"/>
      <c r="B65" s="73" t="s">
        <v>364</v>
      </c>
      <c r="C65" s="74" t="s">
        <v>365</v>
      </c>
      <c r="D65" s="75">
        <v>0</v>
      </c>
      <c r="E65" s="75">
        <v>0</v>
      </c>
      <c r="F65" s="76">
        <v>0</v>
      </c>
    </row>
    <row r="66" spans="1:6" ht="21.75" customHeight="1">
      <c r="A66" s="62" t="s">
        <v>366</v>
      </c>
      <c r="B66" s="63" t="s">
        <v>367</v>
      </c>
      <c r="C66" s="64" t="s">
        <v>368</v>
      </c>
      <c r="D66" s="65">
        <v>-2300775646</v>
      </c>
      <c r="E66" s="65">
        <v>3491460677</v>
      </c>
      <c r="F66" s="66">
        <v>8286767803</v>
      </c>
    </row>
    <row r="67" spans="1:6" ht="21.75" customHeight="1">
      <c r="A67" s="62" t="s">
        <v>369</v>
      </c>
      <c r="B67" s="63" t="s">
        <v>370</v>
      </c>
      <c r="C67" s="64" t="s">
        <v>371</v>
      </c>
      <c r="D67" s="65">
        <v>294837708097</v>
      </c>
      <c r="E67" s="65">
        <v>48704715350</v>
      </c>
      <c r="F67" s="66">
        <v>538359960147</v>
      </c>
    </row>
    <row r="68" spans="1:6" ht="22.5" customHeight="1">
      <c r="A68" s="67" t="s">
        <v>4</v>
      </c>
      <c r="B68" s="68" t="s">
        <v>372</v>
      </c>
      <c r="C68" s="69" t="s">
        <v>373</v>
      </c>
      <c r="D68" s="70">
        <v>12357655240</v>
      </c>
      <c r="E68" s="70">
        <v>17364123358</v>
      </c>
      <c r="F68" s="71">
        <v>30240713142</v>
      </c>
    </row>
    <row r="69" spans="1:6" ht="22.5" customHeight="1">
      <c r="A69" s="72"/>
      <c r="B69" s="73" t="s">
        <v>374</v>
      </c>
      <c r="C69" s="74" t="s">
        <v>375</v>
      </c>
      <c r="D69" s="75">
        <v>1640935254</v>
      </c>
      <c r="E69" s="75">
        <v>13344798458</v>
      </c>
      <c r="F69" s="76">
        <v>14056355590</v>
      </c>
    </row>
    <row r="70" spans="1:6" ht="33.75" customHeight="1">
      <c r="A70" s="72"/>
      <c r="B70" s="73" t="s">
        <v>376</v>
      </c>
      <c r="C70" s="74" t="s">
        <v>377</v>
      </c>
      <c r="D70" s="75">
        <v>10716719986</v>
      </c>
      <c r="E70" s="75">
        <v>4019324900</v>
      </c>
      <c r="F70" s="76">
        <v>16184357552</v>
      </c>
    </row>
    <row r="71" spans="1:6" ht="45" customHeight="1">
      <c r="A71" s="72"/>
      <c r="B71" s="73" t="s">
        <v>378</v>
      </c>
      <c r="C71" s="74" t="s">
        <v>379</v>
      </c>
      <c r="D71" s="75">
        <v>0</v>
      </c>
      <c r="E71" s="75">
        <v>0</v>
      </c>
      <c r="F71" s="76">
        <v>0</v>
      </c>
    </row>
    <row r="72" spans="1:6" ht="22.5" customHeight="1">
      <c r="A72" s="67" t="s">
        <v>9</v>
      </c>
      <c r="B72" s="68" t="s">
        <v>380</v>
      </c>
      <c r="C72" s="69" t="s">
        <v>381</v>
      </c>
      <c r="D72" s="70">
        <v>282480052857</v>
      </c>
      <c r="E72" s="70">
        <v>31340591992</v>
      </c>
      <c r="F72" s="71">
        <v>508119247005</v>
      </c>
    </row>
    <row r="73" spans="1:6" ht="56.25" customHeight="1">
      <c r="A73" s="62" t="s">
        <v>382</v>
      </c>
      <c r="B73" s="63" t="s">
        <v>383</v>
      </c>
      <c r="C73" s="64" t="s">
        <v>384</v>
      </c>
      <c r="D73" s="65">
        <v>292536932451</v>
      </c>
      <c r="E73" s="65">
        <v>52196176027</v>
      </c>
      <c r="F73" s="66">
        <v>546646727950</v>
      </c>
    </row>
    <row r="74" spans="1:6" ht="22.5" customHeight="1">
      <c r="A74" s="62" t="s">
        <v>385</v>
      </c>
      <c r="B74" s="63" t="s">
        <v>386</v>
      </c>
      <c r="C74" s="64" t="s">
        <v>387</v>
      </c>
      <c r="D74" s="65">
        <v>2404888002923</v>
      </c>
      <c r="E74" s="65">
        <v>2244878995971</v>
      </c>
      <c r="F74" s="66">
        <v>0</v>
      </c>
    </row>
    <row r="75" spans="1:6" ht="33.75" customHeight="1">
      <c r="A75" s="62" t="s">
        <v>388</v>
      </c>
      <c r="B75" s="63" t="s">
        <v>389</v>
      </c>
      <c r="C75" s="64" t="s">
        <v>390</v>
      </c>
      <c r="D75" s="65">
        <v>620013470203</v>
      </c>
      <c r="E75" s="65">
        <v>160009006952</v>
      </c>
      <c r="F75" s="66">
        <v>3024901473126</v>
      </c>
    </row>
    <row r="76" spans="1:6" ht="22.5" customHeight="1">
      <c r="A76" s="67"/>
      <c r="B76" s="68" t="s">
        <v>391</v>
      </c>
      <c r="C76" s="69" t="s">
        <v>392</v>
      </c>
      <c r="D76" s="70">
        <v>0</v>
      </c>
      <c r="E76" s="70">
        <v>0</v>
      </c>
      <c r="F76" s="71">
        <v>0</v>
      </c>
    </row>
    <row r="77" spans="1:6" ht="45" customHeight="1">
      <c r="A77" s="67" t="s">
        <v>4</v>
      </c>
      <c r="B77" s="68" t="s">
        <v>393</v>
      </c>
      <c r="C77" s="69" t="s">
        <v>394</v>
      </c>
      <c r="D77" s="70">
        <v>292536932451</v>
      </c>
      <c r="E77" s="70">
        <v>52196176027</v>
      </c>
      <c r="F77" s="71">
        <v>546646727950</v>
      </c>
    </row>
    <row r="78" spans="1:6" ht="45" customHeight="1">
      <c r="A78" s="67" t="s">
        <v>9</v>
      </c>
      <c r="B78" s="68" t="s">
        <v>395</v>
      </c>
      <c r="C78" s="69" t="s">
        <v>396</v>
      </c>
      <c r="D78" s="70">
        <v>327476537752</v>
      </c>
      <c r="E78" s="70">
        <v>107812830925</v>
      </c>
      <c r="F78" s="71">
        <v>2478254745176</v>
      </c>
    </row>
    <row r="79" spans="1:6" ht="45" customHeight="1">
      <c r="A79" s="72"/>
      <c r="B79" s="73" t="s">
        <v>397</v>
      </c>
      <c r="C79" s="74" t="s">
        <v>398</v>
      </c>
      <c r="D79" s="75">
        <v>0</v>
      </c>
      <c r="E79" s="75">
        <v>0</v>
      </c>
      <c r="F79" s="76">
        <v>0</v>
      </c>
    </row>
    <row r="80" spans="1:6" ht="33.75" customHeight="1">
      <c r="A80" s="72"/>
      <c r="B80" s="73" t="s">
        <v>399</v>
      </c>
      <c r="C80" s="74" t="s">
        <v>400</v>
      </c>
      <c r="D80" s="75">
        <v>416249026565</v>
      </c>
      <c r="E80" s="75">
        <v>138849970508</v>
      </c>
      <c r="F80" s="76">
        <v>2636931095746</v>
      </c>
    </row>
    <row r="81" spans="1:6" ht="33.75" customHeight="1">
      <c r="A81" s="72"/>
      <c r="B81" s="73" t="s">
        <v>401</v>
      </c>
      <c r="C81" s="74" t="s">
        <v>402</v>
      </c>
      <c r="D81" s="75">
        <v>-88772488813</v>
      </c>
      <c r="E81" s="75">
        <v>-31037139583</v>
      </c>
      <c r="F81" s="76">
        <v>-158676350570</v>
      </c>
    </row>
    <row r="82" spans="1:6" ht="22.5" customHeight="1">
      <c r="A82" s="62" t="s">
        <v>403</v>
      </c>
      <c r="B82" s="63" t="s">
        <v>404</v>
      </c>
      <c r="C82" s="64" t="s">
        <v>405</v>
      </c>
      <c r="D82" s="65">
        <v>3024901473126</v>
      </c>
      <c r="E82" s="65">
        <v>2404888002923</v>
      </c>
      <c r="F82" s="66">
        <v>3024901473126</v>
      </c>
    </row>
    <row r="83" spans="1:6" ht="45" customHeight="1">
      <c r="A83" s="62" t="s">
        <v>406</v>
      </c>
      <c r="B83" s="63" t="s">
        <v>407</v>
      </c>
      <c r="C83" s="64" t="s">
        <v>408</v>
      </c>
      <c r="D83" s="65">
        <v>0</v>
      </c>
      <c r="E83" s="65">
        <v>0</v>
      </c>
      <c r="F83" s="66">
        <v>0</v>
      </c>
    </row>
    <row r="84" spans="1:6" ht="45" customHeight="1">
      <c r="A84" s="77"/>
      <c r="B84" s="78" t="s">
        <v>409</v>
      </c>
      <c r="C84" s="79" t="s">
        <v>410</v>
      </c>
      <c r="D84" s="80">
        <v>0</v>
      </c>
      <c r="E84" s="80">
        <v>0</v>
      </c>
      <c r="F84" s="81">
        <v>0</v>
      </c>
    </row>
    <row r="85" spans="1:6" ht="8.25" customHeight="1">
      <c r="A85" s="308"/>
      <c r="B85" s="308"/>
      <c r="C85" s="308"/>
      <c r="D85" s="324"/>
      <c r="E85" s="324"/>
      <c r="F85" s="324"/>
    </row>
    <row r="86" spans="1:6" ht="12.75" customHeight="1">
      <c r="A86" s="318" t="s">
        <v>212</v>
      </c>
      <c r="B86" s="318"/>
      <c r="C86" s="318"/>
      <c r="D86" s="306" t="s">
        <v>213</v>
      </c>
      <c r="E86" s="306"/>
      <c r="F86" s="306"/>
    </row>
    <row r="87" spans="1:6" ht="12.75" customHeight="1">
      <c r="A87" s="309" t="s">
        <v>214</v>
      </c>
      <c r="B87" s="309"/>
      <c r="C87" s="309"/>
      <c r="D87" s="309" t="s">
        <v>215</v>
      </c>
      <c r="E87" s="309"/>
      <c r="F87" s="309"/>
    </row>
    <row r="88" spans="1:6" ht="15.75" customHeight="1">
      <c r="A88" s="308"/>
      <c r="B88" s="308"/>
      <c r="C88" s="308"/>
      <c r="D88" s="308"/>
      <c r="E88" s="308"/>
      <c r="F88" s="308"/>
    </row>
    <row r="89" spans="1:6" ht="15.75" customHeight="1">
      <c r="A89" s="308"/>
      <c r="B89" s="308"/>
      <c r="C89" s="308"/>
      <c r="D89" s="308"/>
      <c r="E89" s="308"/>
      <c r="F89" s="308"/>
    </row>
    <row r="90" spans="1:6" ht="15.75" customHeight="1">
      <c r="A90" s="308"/>
      <c r="B90" s="308"/>
      <c r="C90" s="308"/>
      <c r="D90" s="308"/>
      <c r="E90" s="308"/>
      <c r="F90" s="308"/>
    </row>
    <row r="91" spans="1:6" ht="15.75" customHeight="1">
      <c r="A91" s="308"/>
      <c r="B91" s="308"/>
      <c r="C91" s="308"/>
      <c r="D91" s="308"/>
      <c r="E91" s="308"/>
      <c r="F91" s="308"/>
    </row>
    <row r="92" spans="1:6" s="254" customFormat="1" ht="12.75" customHeight="1">
      <c r="A92" s="318" t="s">
        <v>216</v>
      </c>
      <c r="B92" s="318"/>
      <c r="C92" s="318"/>
      <c r="D92" s="318" t="s">
        <v>217</v>
      </c>
      <c r="E92" s="318"/>
      <c r="F92" s="318"/>
    </row>
    <row r="93" spans="1:6" s="254" customFormat="1" ht="12.75" customHeight="1">
      <c r="A93" s="306" t="s">
        <v>218</v>
      </c>
      <c r="B93" s="306"/>
      <c r="C93" s="306"/>
      <c r="D93" s="306" t="s">
        <v>219</v>
      </c>
      <c r="E93" s="306"/>
      <c r="F93" s="306"/>
    </row>
    <row r="94" spans="1:6" s="254" customFormat="1" ht="12.75" customHeight="1">
      <c r="A94" s="306" t="s">
        <v>220</v>
      </c>
      <c r="B94" s="306"/>
      <c r="C94" s="306"/>
      <c r="D94" s="306" t="s">
        <v>221</v>
      </c>
      <c r="E94" s="306"/>
      <c r="F94" s="306"/>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C13:F13"/>
    <mergeCell ref="E14:F14"/>
    <mergeCell ref="A15:F15"/>
    <mergeCell ref="A16:F16"/>
    <mergeCell ref="A17:F17"/>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25" right="0.25" top="0.25" bottom="0.25" header="0.25" footer="0.2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topLeftCell="A52" zoomScaleNormal="100" zoomScaleSheetLayoutView="100" workbookViewId="0">
      <selection activeCell="D22" sqref="D22:G22"/>
    </sheetView>
  </sheetViews>
  <sheetFormatPr defaultRowHeight="14.25"/>
  <cols>
    <col min="1" max="1" width="4.28515625" style="252" customWidth="1"/>
    <col min="2" max="2" width="33.7109375" style="252" customWidth="1"/>
    <col min="3" max="3" width="9.140625" style="252"/>
    <col min="4" max="4" width="14.28515625" style="252" customWidth="1"/>
    <col min="5" max="5" width="12.85546875" style="252" customWidth="1"/>
    <col min="6" max="6" width="18.5703125" style="252" customWidth="1"/>
    <col min="7" max="7" width="12.85546875" style="252" customWidth="1"/>
    <col min="8" max="16384" width="9.140625" style="252"/>
  </cols>
  <sheetData>
    <row r="1" spans="1:7" ht="32.25" customHeight="1">
      <c r="A1" s="308"/>
      <c r="B1" s="308"/>
      <c r="C1" s="318" t="s">
        <v>265</v>
      </c>
      <c r="D1" s="318"/>
      <c r="E1" s="318"/>
      <c r="F1" s="318"/>
      <c r="G1" s="318"/>
    </row>
    <row r="2" spans="1:7" ht="43.5" customHeight="1">
      <c r="A2" s="331" t="s">
        <v>266</v>
      </c>
      <c r="B2" s="331"/>
      <c r="C2" s="331"/>
      <c r="D2" s="331"/>
      <c r="E2" s="331"/>
      <c r="F2" s="331"/>
      <c r="G2" s="331"/>
    </row>
    <row r="3" spans="1:7" ht="9.75" customHeight="1">
      <c r="A3" s="253"/>
      <c r="B3" s="253"/>
      <c r="C3" s="308"/>
      <c r="D3" s="308"/>
      <c r="E3" s="308"/>
      <c r="F3" s="308"/>
      <c r="G3" s="308"/>
    </row>
    <row r="4" spans="1:7" ht="13.5" customHeight="1">
      <c r="A4" s="332" t="s">
        <v>411</v>
      </c>
      <c r="B4" s="332"/>
      <c r="C4" s="332"/>
      <c r="D4" s="332"/>
      <c r="E4" s="332"/>
      <c r="F4" s="332"/>
      <c r="G4" s="332"/>
    </row>
    <row r="5" spans="1:7" ht="12.75" customHeight="1">
      <c r="A5" s="332" t="s">
        <v>412</v>
      </c>
      <c r="B5" s="332"/>
      <c r="C5" s="332"/>
      <c r="D5" s="332"/>
      <c r="E5" s="332"/>
      <c r="F5" s="332"/>
      <c r="G5" s="332"/>
    </row>
    <row r="6" spans="1:7" ht="12" customHeight="1">
      <c r="A6" s="309" t="s">
        <v>413</v>
      </c>
      <c r="B6" s="309"/>
      <c r="C6" s="309"/>
      <c r="D6" s="309"/>
      <c r="E6" s="309"/>
      <c r="F6" s="309"/>
      <c r="G6" s="309"/>
    </row>
    <row r="7" spans="1:7" ht="9.75" customHeight="1">
      <c r="A7" s="253"/>
      <c r="B7" s="253"/>
      <c r="C7" s="308"/>
      <c r="D7" s="308"/>
      <c r="E7" s="308"/>
      <c r="F7" s="308"/>
      <c r="G7" s="308"/>
    </row>
    <row r="8" spans="1:7" ht="12.75" customHeight="1">
      <c r="A8" s="188" t="s">
        <v>4</v>
      </c>
      <c r="B8" s="187" t="s">
        <v>5</v>
      </c>
      <c r="C8" s="313" t="s">
        <v>6</v>
      </c>
      <c r="D8" s="313"/>
      <c r="E8" s="313"/>
      <c r="F8" s="313"/>
      <c r="G8" s="313"/>
    </row>
    <row r="9" spans="1:7" ht="12.75" customHeight="1">
      <c r="A9" s="253"/>
      <c r="B9" s="189" t="s">
        <v>7</v>
      </c>
      <c r="C9" s="325" t="s">
        <v>8</v>
      </c>
      <c r="D9" s="325"/>
      <c r="E9" s="325"/>
      <c r="F9" s="325"/>
      <c r="G9" s="325"/>
    </row>
    <row r="10" spans="1:7" ht="12.75" customHeight="1">
      <c r="A10" s="188" t="s">
        <v>9</v>
      </c>
      <c r="B10" s="187" t="s">
        <v>227</v>
      </c>
      <c r="C10" s="313" t="s">
        <v>11</v>
      </c>
      <c r="D10" s="313"/>
      <c r="E10" s="313"/>
      <c r="F10" s="313"/>
      <c r="G10" s="313"/>
    </row>
    <row r="11" spans="1:7" ht="12.75" customHeight="1">
      <c r="A11" s="253"/>
      <c r="B11" s="189" t="s">
        <v>12</v>
      </c>
      <c r="C11" s="325" t="s">
        <v>13</v>
      </c>
      <c r="D11" s="325"/>
      <c r="E11" s="325"/>
      <c r="F11" s="325"/>
      <c r="G11" s="325"/>
    </row>
    <row r="12" spans="1:7" ht="12.75" customHeight="1">
      <c r="A12" s="188" t="s">
        <v>14</v>
      </c>
      <c r="B12" s="187" t="s">
        <v>15</v>
      </c>
      <c r="C12" s="313" t="s">
        <v>16</v>
      </c>
      <c r="D12" s="313"/>
      <c r="E12" s="313"/>
      <c r="F12" s="313"/>
      <c r="G12" s="313"/>
    </row>
    <row r="13" spans="1:7" ht="12.75" customHeight="1">
      <c r="A13" s="253"/>
      <c r="B13" s="189" t="s">
        <v>17</v>
      </c>
      <c r="C13" s="325" t="s">
        <v>18</v>
      </c>
      <c r="D13" s="325"/>
      <c r="E13" s="325"/>
      <c r="F13" s="325"/>
      <c r="G13" s="325"/>
    </row>
    <row r="14" spans="1:7" ht="12.75" customHeight="1">
      <c r="A14" s="188" t="s">
        <v>19</v>
      </c>
      <c r="B14" s="187" t="s">
        <v>20</v>
      </c>
      <c r="C14" s="326">
        <v>44169</v>
      </c>
      <c r="D14" s="313"/>
      <c r="E14" s="313"/>
      <c r="F14" s="313"/>
      <c r="G14" s="313"/>
    </row>
    <row r="15" spans="1:7" ht="12.75" customHeight="1">
      <c r="A15" s="253"/>
      <c r="B15" s="189" t="s">
        <v>21</v>
      </c>
      <c r="C15" s="327">
        <v>44169</v>
      </c>
      <c r="D15" s="327"/>
      <c r="E15" s="327"/>
      <c r="F15" s="327"/>
      <c r="G15" s="327"/>
    </row>
    <row r="16" spans="1:7" ht="12.75" customHeight="1">
      <c r="A16" s="253"/>
      <c r="B16" s="253"/>
      <c r="C16" s="328"/>
      <c r="D16" s="328"/>
      <c r="E16" s="328"/>
      <c r="F16" s="328"/>
      <c r="G16" s="328"/>
    </row>
    <row r="17" spans="1:7" ht="12.75" customHeight="1">
      <c r="A17" s="313" t="s">
        <v>414</v>
      </c>
      <c r="B17" s="313"/>
      <c r="C17" s="313"/>
      <c r="D17" s="313"/>
      <c r="E17" s="313"/>
      <c r="F17" s="313"/>
      <c r="G17" s="313"/>
    </row>
    <row r="18" spans="1:7" ht="12.75" customHeight="1">
      <c r="A18" s="313" t="s">
        <v>415</v>
      </c>
      <c r="B18" s="313"/>
      <c r="C18" s="313"/>
      <c r="D18" s="313"/>
      <c r="E18" s="313"/>
      <c r="F18" s="313"/>
      <c r="G18" s="313"/>
    </row>
    <row r="19" spans="1:7" ht="12.75" customHeight="1">
      <c r="A19" s="103"/>
      <c r="B19" s="103"/>
      <c r="C19" s="314" t="s">
        <v>24</v>
      </c>
      <c r="D19" s="314"/>
      <c r="E19" s="314"/>
      <c r="F19" s="314"/>
      <c r="G19" s="314"/>
    </row>
    <row r="20" spans="1:7" ht="63">
      <c r="A20" s="8" t="s">
        <v>416</v>
      </c>
      <c r="B20" s="9" t="s">
        <v>417</v>
      </c>
      <c r="C20" s="9" t="s">
        <v>27</v>
      </c>
      <c r="D20" s="9" t="s">
        <v>418</v>
      </c>
      <c r="E20" s="9" t="s">
        <v>419</v>
      </c>
      <c r="F20" s="9" t="s">
        <v>420</v>
      </c>
      <c r="G20" s="10" t="s">
        <v>421</v>
      </c>
    </row>
    <row r="21" spans="1:7" ht="22.5" customHeight="1">
      <c r="A21" s="11" t="s">
        <v>30</v>
      </c>
      <c r="B21" s="12" t="s">
        <v>55</v>
      </c>
      <c r="C21" s="13" t="s">
        <v>422</v>
      </c>
      <c r="D21" s="82">
        <v>0</v>
      </c>
      <c r="E21" s="65">
        <v>0</v>
      </c>
      <c r="F21" s="65">
        <v>0</v>
      </c>
      <c r="G21" s="15">
        <v>0</v>
      </c>
    </row>
    <row r="22" spans="1:7">
      <c r="A22" s="16" t="s">
        <v>4</v>
      </c>
      <c r="B22" s="17" t="s">
        <v>423</v>
      </c>
      <c r="C22" s="18" t="s">
        <v>424</v>
      </c>
      <c r="D22" s="83">
        <v>794150</v>
      </c>
      <c r="E22" s="70">
        <v>64200</v>
      </c>
      <c r="F22" s="70">
        <v>50984430000</v>
      </c>
      <c r="G22" s="20">
        <v>1.6799999999999999E-2</v>
      </c>
    </row>
    <row r="23" spans="1:7">
      <c r="A23" s="16" t="s">
        <v>9</v>
      </c>
      <c r="B23" s="17" t="s">
        <v>425</v>
      </c>
      <c r="C23" s="18" t="s">
        <v>426</v>
      </c>
      <c r="D23" s="83">
        <v>5953750</v>
      </c>
      <c r="E23" s="70">
        <v>33500</v>
      </c>
      <c r="F23" s="70">
        <v>199450625000</v>
      </c>
      <c r="G23" s="20">
        <v>6.59E-2</v>
      </c>
    </row>
    <row r="24" spans="1:7">
      <c r="A24" s="16" t="s">
        <v>14</v>
      </c>
      <c r="B24" s="17" t="s">
        <v>427</v>
      </c>
      <c r="C24" s="18" t="s">
        <v>428</v>
      </c>
      <c r="D24" s="83">
        <v>7751150</v>
      </c>
      <c r="E24" s="70">
        <v>55400</v>
      </c>
      <c r="F24" s="70">
        <v>429413710000</v>
      </c>
      <c r="G24" s="20">
        <v>0.14180000000000001</v>
      </c>
    </row>
    <row r="25" spans="1:7">
      <c r="A25" s="16" t="s">
        <v>19</v>
      </c>
      <c r="B25" s="17" t="s">
        <v>429</v>
      </c>
      <c r="C25" s="18" t="s">
        <v>430</v>
      </c>
      <c r="D25" s="83">
        <v>5254430</v>
      </c>
      <c r="E25" s="70">
        <v>27800</v>
      </c>
      <c r="F25" s="70">
        <v>146073154000</v>
      </c>
      <c r="G25" s="20">
        <v>4.82E-2</v>
      </c>
    </row>
    <row r="26" spans="1:7">
      <c r="A26" s="16" t="s">
        <v>318</v>
      </c>
      <c r="B26" s="17" t="s">
        <v>431</v>
      </c>
      <c r="C26" s="18" t="s">
        <v>432</v>
      </c>
      <c r="D26" s="83">
        <v>7476123</v>
      </c>
      <c r="E26" s="70">
        <v>26750</v>
      </c>
      <c r="F26" s="70">
        <v>199986290250</v>
      </c>
      <c r="G26" s="20">
        <v>6.6100000000000006E-2</v>
      </c>
    </row>
    <row r="27" spans="1:7">
      <c r="A27" s="16" t="s">
        <v>327</v>
      </c>
      <c r="B27" s="17" t="s">
        <v>433</v>
      </c>
      <c r="C27" s="18" t="s">
        <v>434</v>
      </c>
      <c r="D27" s="83">
        <v>13305449</v>
      </c>
      <c r="E27" s="70">
        <v>20350</v>
      </c>
      <c r="F27" s="70">
        <v>270765887150</v>
      </c>
      <c r="G27" s="20">
        <v>8.9399999999999993E-2</v>
      </c>
    </row>
    <row r="28" spans="1:7">
      <c r="A28" s="16" t="s">
        <v>340</v>
      </c>
      <c r="B28" s="17" t="s">
        <v>435</v>
      </c>
      <c r="C28" s="18" t="s">
        <v>436</v>
      </c>
      <c r="D28" s="83">
        <v>3807536</v>
      </c>
      <c r="E28" s="70">
        <v>116000</v>
      </c>
      <c r="F28" s="70">
        <v>441674176000</v>
      </c>
      <c r="G28" s="20">
        <v>0.1459</v>
      </c>
    </row>
    <row r="29" spans="1:7">
      <c r="A29" s="16" t="s">
        <v>347</v>
      </c>
      <c r="B29" s="17" t="s">
        <v>437</v>
      </c>
      <c r="C29" s="18" t="s">
        <v>438</v>
      </c>
      <c r="D29" s="83">
        <v>3227042</v>
      </c>
      <c r="E29" s="70">
        <v>28800</v>
      </c>
      <c r="F29" s="70">
        <v>92938809600</v>
      </c>
      <c r="G29" s="20">
        <v>3.0700000000000002E-2</v>
      </c>
    </row>
    <row r="30" spans="1:7">
      <c r="A30" s="16" t="s">
        <v>439</v>
      </c>
      <c r="B30" s="17" t="s">
        <v>440</v>
      </c>
      <c r="C30" s="18" t="s">
        <v>441</v>
      </c>
      <c r="D30" s="83">
        <v>3796396</v>
      </c>
      <c r="E30" s="70">
        <v>77900</v>
      </c>
      <c r="F30" s="70">
        <v>295739248400</v>
      </c>
      <c r="G30" s="20">
        <v>9.7699999999999995E-2</v>
      </c>
    </row>
    <row r="31" spans="1:7">
      <c r="A31" s="16" t="s">
        <v>442</v>
      </c>
      <c r="B31" s="17" t="s">
        <v>443</v>
      </c>
      <c r="C31" s="18" t="s">
        <v>444</v>
      </c>
      <c r="D31" s="83">
        <v>2953653</v>
      </c>
      <c r="E31" s="70">
        <v>48600</v>
      </c>
      <c r="F31" s="70">
        <v>143547535800</v>
      </c>
      <c r="G31" s="20">
        <v>4.7399999999999998E-2</v>
      </c>
    </row>
    <row r="32" spans="1:7">
      <c r="A32" s="16" t="s">
        <v>445</v>
      </c>
      <c r="B32" s="17" t="s">
        <v>446</v>
      </c>
      <c r="C32" s="18" t="s">
        <v>447</v>
      </c>
      <c r="D32" s="83">
        <v>12792680</v>
      </c>
      <c r="E32" s="70">
        <v>24100</v>
      </c>
      <c r="F32" s="70">
        <v>308303588000</v>
      </c>
      <c r="G32" s="20">
        <v>0.1018</v>
      </c>
    </row>
    <row r="33" spans="1:7">
      <c r="A33" s="16" t="s">
        <v>448</v>
      </c>
      <c r="B33" s="17" t="s">
        <v>449</v>
      </c>
      <c r="C33" s="18" t="s">
        <v>450</v>
      </c>
      <c r="D33" s="83">
        <v>4545169</v>
      </c>
      <c r="E33" s="70">
        <v>22300</v>
      </c>
      <c r="F33" s="70">
        <v>101357268700</v>
      </c>
      <c r="G33" s="20">
        <v>3.3500000000000002E-2</v>
      </c>
    </row>
    <row r="34" spans="1:7">
      <c r="A34" s="16" t="s">
        <v>451</v>
      </c>
      <c r="B34" s="17" t="s">
        <v>452</v>
      </c>
      <c r="C34" s="18" t="s">
        <v>453</v>
      </c>
      <c r="D34" s="83">
        <v>11786810</v>
      </c>
      <c r="E34" s="70">
        <v>26800</v>
      </c>
      <c r="F34" s="70">
        <v>315886508000</v>
      </c>
      <c r="G34" s="20">
        <v>0.1043</v>
      </c>
    </row>
    <row r="35" spans="1:7">
      <c r="A35" s="11"/>
      <c r="B35" s="12" t="s">
        <v>454</v>
      </c>
      <c r="C35" s="13" t="s">
        <v>455</v>
      </c>
      <c r="D35" s="82"/>
      <c r="E35" s="65">
        <v>0</v>
      </c>
      <c r="F35" s="65">
        <v>2996121230900</v>
      </c>
      <c r="G35" s="15">
        <v>0.98960000000000004</v>
      </c>
    </row>
    <row r="36" spans="1:7" ht="22.5" customHeight="1">
      <c r="A36" s="11" t="s">
        <v>115</v>
      </c>
      <c r="B36" s="12" t="s">
        <v>456</v>
      </c>
      <c r="C36" s="13" t="s">
        <v>457</v>
      </c>
      <c r="D36" s="82">
        <v>0</v>
      </c>
      <c r="E36" s="65">
        <v>0</v>
      </c>
      <c r="F36" s="65">
        <v>0</v>
      </c>
      <c r="G36" s="15">
        <v>0</v>
      </c>
    </row>
    <row r="37" spans="1:7" ht="22.5" customHeight="1">
      <c r="A37" s="16"/>
      <c r="B37" s="17" t="s">
        <v>458</v>
      </c>
      <c r="C37" s="18" t="s">
        <v>459</v>
      </c>
      <c r="D37" s="83">
        <v>0</v>
      </c>
      <c r="E37" s="70">
        <v>0</v>
      </c>
      <c r="F37" s="70">
        <v>0</v>
      </c>
      <c r="G37" s="20">
        <v>0</v>
      </c>
    </row>
    <row r="38" spans="1:7" ht="22.5" customHeight="1">
      <c r="A38" s="11"/>
      <c r="B38" s="12" t="s">
        <v>460</v>
      </c>
      <c r="C38" s="13" t="s">
        <v>461</v>
      </c>
      <c r="D38" s="82"/>
      <c r="E38" s="65">
        <v>0</v>
      </c>
      <c r="F38" s="65">
        <v>2996121230900</v>
      </c>
      <c r="G38" s="15">
        <v>0.98960000000000004</v>
      </c>
    </row>
    <row r="39" spans="1:7" ht="22.5" customHeight="1">
      <c r="A39" s="11" t="s">
        <v>366</v>
      </c>
      <c r="B39" s="12" t="s">
        <v>59</v>
      </c>
      <c r="C39" s="13" t="s">
        <v>462</v>
      </c>
      <c r="D39" s="82">
        <v>0</v>
      </c>
      <c r="E39" s="65">
        <v>0</v>
      </c>
      <c r="F39" s="65">
        <v>0</v>
      </c>
      <c r="G39" s="15">
        <v>0</v>
      </c>
    </row>
    <row r="40" spans="1:7" ht="22.5" customHeight="1">
      <c r="A40" s="11"/>
      <c r="B40" s="12" t="s">
        <v>454</v>
      </c>
      <c r="C40" s="13" t="s">
        <v>463</v>
      </c>
      <c r="D40" s="82">
        <v>0</v>
      </c>
      <c r="E40" s="65">
        <v>0</v>
      </c>
      <c r="F40" s="65">
        <v>0</v>
      </c>
      <c r="G40" s="15">
        <v>0</v>
      </c>
    </row>
    <row r="41" spans="1:7" ht="22.5" customHeight="1">
      <c r="A41" s="11" t="s">
        <v>369</v>
      </c>
      <c r="B41" s="12" t="s">
        <v>464</v>
      </c>
      <c r="C41" s="13" t="s">
        <v>465</v>
      </c>
      <c r="D41" s="82">
        <v>0</v>
      </c>
      <c r="E41" s="65">
        <v>0</v>
      </c>
      <c r="F41" s="65">
        <v>0</v>
      </c>
      <c r="G41" s="15">
        <v>0</v>
      </c>
    </row>
    <row r="42" spans="1:7" ht="22.5" customHeight="1">
      <c r="A42" s="16" t="s">
        <v>4</v>
      </c>
      <c r="B42" s="17" t="s">
        <v>466</v>
      </c>
      <c r="C42" s="18" t="s">
        <v>467</v>
      </c>
      <c r="D42" s="83">
        <v>0</v>
      </c>
      <c r="E42" s="70">
        <v>0</v>
      </c>
      <c r="F42" s="70">
        <v>0</v>
      </c>
      <c r="G42" s="20">
        <v>0</v>
      </c>
    </row>
    <row r="43" spans="1:7" ht="22.5" customHeight="1">
      <c r="A43" s="16" t="s">
        <v>9</v>
      </c>
      <c r="B43" s="17" t="s">
        <v>468</v>
      </c>
      <c r="C43" s="18" t="s">
        <v>469</v>
      </c>
      <c r="D43" s="83">
        <v>0</v>
      </c>
      <c r="E43" s="70">
        <v>0</v>
      </c>
      <c r="F43" s="70">
        <v>0</v>
      </c>
      <c r="G43" s="20">
        <v>0</v>
      </c>
    </row>
    <row r="44" spans="1:7" ht="22.5" customHeight="1">
      <c r="A44" s="16"/>
      <c r="B44" s="17" t="s">
        <v>458</v>
      </c>
      <c r="C44" s="18" t="s">
        <v>470</v>
      </c>
      <c r="D44" s="83">
        <v>0</v>
      </c>
      <c r="E44" s="70">
        <v>0</v>
      </c>
      <c r="F44" s="70">
        <v>0</v>
      </c>
      <c r="G44" s="20">
        <v>0</v>
      </c>
    </row>
    <row r="45" spans="1:7" ht="22.5" customHeight="1">
      <c r="A45" s="11"/>
      <c r="B45" s="12" t="s">
        <v>471</v>
      </c>
      <c r="C45" s="13" t="s">
        <v>472</v>
      </c>
      <c r="D45" s="82"/>
      <c r="E45" s="65">
        <v>0</v>
      </c>
      <c r="F45" s="65">
        <v>2996121230900</v>
      </c>
      <c r="G45" s="15">
        <v>0.98960000000000004</v>
      </c>
    </row>
    <row r="46" spans="1:7" ht="22.5" customHeight="1">
      <c r="A46" s="11" t="s">
        <v>382</v>
      </c>
      <c r="B46" s="12" t="s">
        <v>473</v>
      </c>
      <c r="C46" s="13" t="s">
        <v>474</v>
      </c>
      <c r="D46" s="82">
        <v>0</v>
      </c>
      <c r="E46" s="65">
        <v>0</v>
      </c>
      <c r="F46" s="65">
        <v>0</v>
      </c>
      <c r="G46" s="15">
        <v>0</v>
      </c>
    </row>
    <row r="47" spans="1:7" ht="22.5" customHeight="1">
      <c r="A47" s="16" t="s">
        <v>4</v>
      </c>
      <c r="B47" s="17" t="s">
        <v>475</v>
      </c>
      <c r="C47" s="18" t="s">
        <v>476</v>
      </c>
      <c r="D47" s="83">
        <v>0</v>
      </c>
      <c r="E47" s="70">
        <v>0</v>
      </c>
      <c r="F47" s="70">
        <v>0</v>
      </c>
      <c r="G47" s="20">
        <v>0</v>
      </c>
    </row>
    <row r="48" spans="1:7" ht="22.5" customHeight="1">
      <c r="A48" s="16" t="s">
        <v>9</v>
      </c>
      <c r="B48" s="17" t="s">
        <v>477</v>
      </c>
      <c r="C48" s="18" t="s">
        <v>478</v>
      </c>
      <c r="D48" s="83">
        <v>0</v>
      </c>
      <c r="E48" s="70">
        <v>0</v>
      </c>
      <c r="F48" s="70">
        <v>0</v>
      </c>
      <c r="G48" s="20">
        <v>0</v>
      </c>
    </row>
    <row r="49" spans="1:7" ht="22.5" customHeight="1">
      <c r="A49" s="16" t="s">
        <v>14</v>
      </c>
      <c r="B49" s="17" t="s">
        <v>479</v>
      </c>
      <c r="C49" s="18" t="s">
        <v>480</v>
      </c>
      <c r="D49" s="83">
        <v>0</v>
      </c>
      <c r="E49" s="70">
        <v>0</v>
      </c>
      <c r="F49" s="70">
        <v>0</v>
      </c>
      <c r="G49" s="20">
        <v>0</v>
      </c>
    </row>
    <row r="50" spans="1:7" ht="33.75" customHeight="1">
      <c r="A50" s="16" t="s">
        <v>19</v>
      </c>
      <c r="B50" s="17" t="s">
        <v>481</v>
      </c>
      <c r="C50" s="18" t="s">
        <v>482</v>
      </c>
      <c r="D50" s="83">
        <v>0</v>
      </c>
      <c r="E50" s="70">
        <v>0</v>
      </c>
      <c r="F50" s="70">
        <v>5336613000</v>
      </c>
      <c r="G50" s="20">
        <v>1.8E-3</v>
      </c>
    </row>
    <row r="51" spans="1:7" ht="33.75" customHeight="1">
      <c r="A51" s="16" t="s">
        <v>318</v>
      </c>
      <c r="B51" s="17" t="s">
        <v>483</v>
      </c>
      <c r="C51" s="18" t="s">
        <v>484</v>
      </c>
      <c r="D51" s="83">
        <v>0</v>
      </c>
      <c r="E51" s="70">
        <v>0</v>
      </c>
      <c r="F51" s="70">
        <v>0</v>
      </c>
      <c r="G51" s="20">
        <v>0</v>
      </c>
    </row>
    <row r="52" spans="1:7" ht="22.5" customHeight="1">
      <c r="A52" s="16" t="s">
        <v>327</v>
      </c>
      <c r="B52" s="17" t="s">
        <v>485</v>
      </c>
      <c r="C52" s="18" t="s">
        <v>486</v>
      </c>
      <c r="D52" s="83">
        <v>0</v>
      </c>
      <c r="E52" s="70">
        <v>0</v>
      </c>
      <c r="F52" s="70">
        <v>0</v>
      </c>
      <c r="G52" s="20">
        <v>0</v>
      </c>
    </row>
    <row r="53" spans="1:7" ht="22.5" customHeight="1">
      <c r="A53" s="16" t="s">
        <v>340</v>
      </c>
      <c r="B53" s="17" t="s">
        <v>104</v>
      </c>
      <c r="C53" s="18" t="s">
        <v>487</v>
      </c>
      <c r="D53" s="83">
        <v>0</v>
      </c>
      <c r="E53" s="70">
        <v>0</v>
      </c>
      <c r="F53" s="70">
        <v>0</v>
      </c>
      <c r="G53" s="20">
        <v>0</v>
      </c>
    </row>
    <row r="54" spans="1:7" ht="22.5" customHeight="1">
      <c r="A54" s="16" t="s">
        <v>347</v>
      </c>
      <c r="B54" s="17" t="s">
        <v>488</v>
      </c>
      <c r="C54" s="18" t="s">
        <v>489</v>
      </c>
      <c r="D54" s="83">
        <v>0</v>
      </c>
      <c r="E54" s="70">
        <v>0</v>
      </c>
      <c r="F54" s="70">
        <v>0</v>
      </c>
      <c r="G54" s="20">
        <v>0</v>
      </c>
    </row>
    <row r="55" spans="1:7" ht="31.5">
      <c r="A55" s="16" t="s">
        <v>439</v>
      </c>
      <c r="B55" s="17" t="s">
        <v>490</v>
      </c>
      <c r="C55" s="18" t="s">
        <v>491</v>
      </c>
      <c r="D55" s="83">
        <v>0</v>
      </c>
      <c r="E55" s="70">
        <v>0</v>
      </c>
      <c r="F55" s="70">
        <v>0</v>
      </c>
      <c r="G55" s="20">
        <v>0</v>
      </c>
    </row>
    <row r="56" spans="1:7" ht="45" customHeight="1">
      <c r="A56" s="16" t="s">
        <v>442</v>
      </c>
      <c r="B56" s="17" t="s">
        <v>492</v>
      </c>
      <c r="C56" s="18" t="s">
        <v>493</v>
      </c>
      <c r="D56" s="83">
        <v>0</v>
      </c>
      <c r="E56" s="70">
        <v>0</v>
      </c>
      <c r="F56" s="70">
        <v>0</v>
      </c>
      <c r="G56" s="20">
        <v>0</v>
      </c>
    </row>
    <row r="57" spans="1:7" ht="22.5" customHeight="1">
      <c r="A57" s="11"/>
      <c r="B57" s="12" t="s">
        <v>458</v>
      </c>
      <c r="C57" s="13" t="s">
        <v>494</v>
      </c>
      <c r="D57" s="82">
        <v>0</v>
      </c>
      <c r="E57" s="65">
        <v>0</v>
      </c>
      <c r="F57" s="65">
        <v>5336613000</v>
      </c>
      <c r="G57" s="15">
        <v>1.8E-3</v>
      </c>
    </row>
    <row r="58" spans="1:7" ht="22.5" customHeight="1">
      <c r="A58" s="11" t="s">
        <v>385</v>
      </c>
      <c r="B58" s="12" t="s">
        <v>36</v>
      </c>
      <c r="C58" s="13" t="s">
        <v>495</v>
      </c>
      <c r="D58" s="82">
        <v>0</v>
      </c>
      <c r="E58" s="65">
        <v>0</v>
      </c>
      <c r="F58" s="65">
        <v>0</v>
      </c>
      <c r="G58" s="15">
        <v>0</v>
      </c>
    </row>
    <row r="59" spans="1:7" ht="22.5" customHeight="1">
      <c r="A59" s="16" t="s">
        <v>4</v>
      </c>
      <c r="B59" s="17" t="s">
        <v>496</v>
      </c>
      <c r="C59" s="18" t="s">
        <v>497</v>
      </c>
      <c r="D59" s="83">
        <v>0</v>
      </c>
      <c r="E59" s="70">
        <v>0</v>
      </c>
      <c r="F59" s="70">
        <v>26220551331</v>
      </c>
      <c r="G59" s="20">
        <v>8.6999999999999994E-3</v>
      </c>
    </row>
    <row r="60" spans="1:7" ht="22.5" customHeight="1">
      <c r="A60" s="16"/>
      <c r="B60" s="17" t="s">
        <v>38</v>
      </c>
      <c r="C60" s="18" t="s">
        <v>498</v>
      </c>
      <c r="D60" s="83">
        <v>0</v>
      </c>
      <c r="E60" s="70">
        <v>0</v>
      </c>
      <c r="F60" s="70">
        <v>26220551331</v>
      </c>
      <c r="G60" s="20">
        <v>8.6999999999999994E-3</v>
      </c>
    </row>
    <row r="61" spans="1:7" ht="22.5" customHeight="1">
      <c r="A61" s="16"/>
      <c r="B61" s="17" t="s">
        <v>50</v>
      </c>
      <c r="C61" s="18" t="s">
        <v>499</v>
      </c>
      <c r="D61" s="83">
        <v>0</v>
      </c>
      <c r="E61" s="70">
        <v>0</v>
      </c>
      <c r="F61" s="70">
        <v>0</v>
      </c>
      <c r="G61" s="20">
        <v>0</v>
      </c>
    </row>
    <row r="62" spans="1:7" ht="22.5" customHeight="1">
      <c r="A62" s="16"/>
      <c r="B62" s="17" t="s">
        <v>500</v>
      </c>
      <c r="C62" s="18" t="s">
        <v>501</v>
      </c>
      <c r="D62" s="83">
        <v>0</v>
      </c>
      <c r="E62" s="70">
        <v>0</v>
      </c>
      <c r="F62" s="70">
        <v>0</v>
      </c>
      <c r="G62" s="20">
        <v>0</v>
      </c>
    </row>
    <row r="63" spans="1:7" ht="22.5" customHeight="1">
      <c r="A63" s="16" t="s">
        <v>9</v>
      </c>
      <c r="B63" s="17" t="s">
        <v>502</v>
      </c>
      <c r="C63" s="18" t="s">
        <v>503</v>
      </c>
      <c r="D63" s="83">
        <v>0</v>
      </c>
      <c r="E63" s="70">
        <v>0</v>
      </c>
      <c r="F63" s="70">
        <v>0</v>
      </c>
      <c r="G63" s="20">
        <v>0</v>
      </c>
    </row>
    <row r="64" spans="1:7" ht="22.5" customHeight="1">
      <c r="A64" s="16" t="s">
        <v>14</v>
      </c>
      <c r="B64" s="17" t="s">
        <v>504</v>
      </c>
      <c r="C64" s="18" t="s">
        <v>505</v>
      </c>
      <c r="D64" s="83">
        <v>0</v>
      </c>
      <c r="E64" s="70">
        <v>0</v>
      </c>
      <c r="F64" s="70">
        <v>0</v>
      </c>
      <c r="G64" s="20">
        <v>0</v>
      </c>
    </row>
    <row r="65" spans="1:7" ht="22.5" customHeight="1">
      <c r="A65" s="11"/>
      <c r="B65" s="12" t="s">
        <v>458</v>
      </c>
      <c r="C65" s="13" t="s">
        <v>506</v>
      </c>
      <c r="D65" s="82">
        <v>0</v>
      </c>
      <c r="E65" s="65">
        <v>0</v>
      </c>
      <c r="F65" s="65">
        <v>26220551331</v>
      </c>
      <c r="G65" s="15">
        <v>8.6999999999999994E-3</v>
      </c>
    </row>
    <row r="66" spans="1:7" ht="22.5" customHeight="1">
      <c r="A66" s="26" t="s">
        <v>388</v>
      </c>
      <c r="B66" s="27" t="s">
        <v>507</v>
      </c>
      <c r="C66" s="28" t="s">
        <v>508</v>
      </c>
      <c r="D66" s="29"/>
      <c r="E66" s="84">
        <v>0</v>
      </c>
      <c r="F66" s="84">
        <v>3027678395231</v>
      </c>
      <c r="G66" s="30">
        <v>1</v>
      </c>
    </row>
    <row r="67" spans="1:7">
      <c r="A67" s="85"/>
    </row>
    <row r="68" spans="1:7">
      <c r="A68" s="86"/>
    </row>
    <row r="69" spans="1:7">
      <c r="A69" s="103"/>
      <c r="B69" s="103"/>
      <c r="C69" s="103"/>
    </row>
    <row r="70" spans="1:7" ht="52.5">
      <c r="A70" s="87" t="s">
        <v>239</v>
      </c>
      <c r="B70" s="88" t="s">
        <v>509</v>
      </c>
      <c r="C70" s="88" t="s">
        <v>510</v>
      </c>
      <c r="D70" s="88" t="s">
        <v>511</v>
      </c>
      <c r="E70" s="88" t="s">
        <v>512</v>
      </c>
      <c r="F70" s="88" t="s">
        <v>513</v>
      </c>
      <c r="G70" s="89" t="s">
        <v>514</v>
      </c>
    </row>
    <row r="71" spans="1:7" ht="12" customHeight="1">
      <c r="A71" s="253"/>
      <c r="B71" s="253"/>
      <c r="C71" s="253"/>
      <c r="D71" s="253"/>
    </row>
    <row r="72" spans="1:7">
      <c r="A72" s="188"/>
      <c r="B72" s="188"/>
    </row>
    <row r="73" spans="1:7">
      <c r="A73" s="185"/>
      <c r="B73" s="185"/>
    </row>
    <row r="74" spans="1:7">
      <c r="A74" s="253"/>
      <c r="B74" s="253"/>
      <c r="C74" s="253"/>
      <c r="D74" s="253"/>
    </row>
    <row r="75" spans="1:7">
      <c r="A75" s="253"/>
      <c r="B75" s="253"/>
      <c r="C75" s="253"/>
      <c r="D75" s="253"/>
    </row>
    <row r="76" spans="1:7">
      <c r="A76" s="253"/>
      <c r="B76" s="253"/>
      <c r="C76" s="253"/>
      <c r="D76" s="253"/>
    </row>
    <row r="77" spans="1:7">
      <c r="A77" s="253"/>
      <c r="B77" s="253"/>
      <c r="C77" s="253"/>
      <c r="D77" s="253"/>
    </row>
    <row r="78" spans="1:7">
      <c r="A78" s="183"/>
      <c r="B78" s="183"/>
    </row>
    <row r="79" spans="1:7">
      <c r="A79" s="255"/>
      <c r="B79" s="255"/>
    </row>
    <row r="80" spans="1:7">
      <c r="A80" s="255"/>
      <c r="B80" s="255"/>
    </row>
  </sheetData>
  <mergeCells count="20">
    <mergeCell ref="C11:G11"/>
    <mergeCell ref="A1:B1"/>
    <mergeCell ref="C1:G1"/>
    <mergeCell ref="A2:G2"/>
    <mergeCell ref="C3:G3"/>
    <mergeCell ref="A4:G4"/>
    <mergeCell ref="A5:G5"/>
    <mergeCell ref="A6:G6"/>
    <mergeCell ref="C7:G7"/>
    <mergeCell ref="C8:G8"/>
    <mergeCell ref="C9:G9"/>
    <mergeCell ref="C10:G10"/>
    <mergeCell ref="A18:G18"/>
    <mergeCell ref="C19:G19"/>
    <mergeCell ref="C12:G12"/>
    <mergeCell ref="C13:G13"/>
    <mergeCell ref="C14:G14"/>
    <mergeCell ref="C15:G15"/>
    <mergeCell ref="C16:G16"/>
    <mergeCell ref="A17:G17"/>
  </mergeCells>
  <printOptions horizontalCentered="1"/>
  <pageMargins left="0.25" right="0.25" top="0.25" bottom="0.25" header="0.25" footer="0.25"/>
  <pageSetup paperSize="9" scale="95" fitToHeight="2" orientation="portrait" r:id="rId1"/>
  <rowBreaks count="1" manualBreakCount="1">
    <brk id="6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topLeftCell="A24" zoomScaleNormal="100" zoomScaleSheetLayoutView="100" workbookViewId="0">
      <selection activeCell="D19" sqref="D19:E45"/>
    </sheetView>
  </sheetViews>
  <sheetFormatPr defaultRowHeight="15"/>
  <cols>
    <col min="1" max="1" width="5.7109375" style="1" customWidth="1"/>
    <col min="2" max="2" width="50.7109375" style="1" customWidth="1"/>
    <col min="3" max="3" width="10.7109375" style="1" customWidth="1"/>
    <col min="4" max="5" width="19.28515625" style="1" customWidth="1"/>
    <col min="6" max="16384" width="9.140625" style="1"/>
  </cols>
  <sheetData>
    <row r="1" spans="1:5" ht="27.75" customHeight="1">
      <c r="A1" s="334"/>
      <c r="B1" s="334"/>
      <c r="C1" s="318" t="s">
        <v>515</v>
      </c>
      <c r="D1" s="318"/>
      <c r="E1" s="318"/>
    </row>
    <row r="2" spans="1:5" ht="46.5" customHeight="1">
      <c r="A2" s="331" t="s">
        <v>266</v>
      </c>
      <c r="B2" s="331"/>
      <c r="C2" s="331"/>
      <c r="D2" s="331"/>
      <c r="E2" s="331"/>
    </row>
    <row r="3" spans="1:5" ht="33.75" customHeight="1">
      <c r="A3" s="2"/>
      <c r="B3" s="320" t="s">
        <v>516</v>
      </c>
      <c r="C3" s="320"/>
      <c r="D3" s="320"/>
      <c r="E3" s="320"/>
    </row>
    <row r="4" spans="1:5" ht="12.75" customHeight="1">
      <c r="A4" s="2"/>
      <c r="B4" s="309" t="s">
        <v>267</v>
      </c>
      <c r="C4" s="309"/>
      <c r="D4" s="309"/>
      <c r="E4" s="309"/>
    </row>
    <row r="5" spans="1:5" ht="12.75" customHeight="1">
      <c r="A5" s="58" t="s">
        <v>4</v>
      </c>
      <c r="B5" s="59" t="s">
        <v>5</v>
      </c>
      <c r="C5" s="313" t="s">
        <v>6</v>
      </c>
      <c r="D5" s="313"/>
      <c r="E5" s="313"/>
    </row>
    <row r="6" spans="1:5" ht="12.75" customHeight="1">
      <c r="A6" s="2"/>
      <c r="B6" s="60" t="s">
        <v>7</v>
      </c>
      <c r="C6" s="325" t="s">
        <v>8</v>
      </c>
      <c r="D6" s="325"/>
      <c r="E6" s="325"/>
    </row>
    <row r="7" spans="1:5" ht="12.75" customHeight="1">
      <c r="A7" s="58" t="s">
        <v>9</v>
      </c>
      <c r="B7" s="59" t="s">
        <v>10</v>
      </c>
      <c r="C7" s="337" t="s">
        <v>11</v>
      </c>
      <c r="D7" s="337"/>
      <c r="E7" s="337"/>
    </row>
    <row r="8" spans="1:5" ht="12.75" customHeight="1">
      <c r="A8" s="2"/>
      <c r="B8" s="60" t="s">
        <v>12</v>
      </c>
      <c r="C8" s="325" t="s">
        <v>1039</v>
      </c>
      <c r="D8" s="325"/>
      <c r="E8" s="325"/>
    </row>
    <row r="9" spans="1:5" ht="12.75" customHeight="1">
      <c r="A9" s="58" t="s">
        <v>14</v>
      </c>
      <c r="B9" s="59" t="s">
        <v>15</v>
      </c>
      <c r="C9" s="313" t="s">
        <v>16</v>
      </c>
      <c r="D9" s="313"/>
      <c r="E9" s="313"/>
    </row>
    <row r="10" spans="1:5" ht="12.75" customHeight="1">
      <c r="A10" s="2"/>
      <c r="B10" s="60" t="s">
        <v>17</v>
      </c>
      <c r="C10" s="325" t="s">
        <v>18</v>
      </c>
      <c r="D10" s="325"/>
      <c r="E10" s="325"/>
    </row>
    <row r="11" spans="1:5" ht="12.75" customHeight="1">
      <c r="A11" s="58" t="s">
        <v>19</v>
      </c>
      <c r="B11" s="59" t="s">
        <v>20</v>
      </c>
      <c r="C11" s="326">
        <v>44169</v>
      </c>
      <c r="D11" s="313"/>
      <c r="E11" s="313"/>
    </row>
    <row r="12" spans="1:5" ht="12.75" customHeight="1">
      <c r="A12" s="2"/>
      <c r="B12" s="60" t="s">
        <v>21</v>
      </c>
      <c r="C12" s="327">
        <v>44169</v>
      </c>
      <c r="D12" s="327"/>
      <c r="E12" s="327"/>
    </row>
    <row r="13" spans="1:5" ht="12.75" customHeight="1">
      <c r="A13" s="2"/>
      <c r="B13" s="60"/>
      <c r="C13" s="328"/>
      <c r="D13" s="328"/>
      <c r="E13" s="328"/>
    </row>
    <row r="14" spans="1:5" ht="12.75" customHeight="1">
      <c r="A14" s="337" t="s">
        <v>22</v>
      </c>
      <c r="B14" s="337"/>
      <c r="C14" s="337"/>
      <c r="D14" s="337"/>
      <c r="E14" s="337"/>
    </row>
    <row r="15" spans="1:5" ht="12.75" customHeight="1">
      <c r="A15" s="313" t="s">
        <v>517</v>
      </c>
      <c r="B15" s="313"/>
      <c r="C15" s="313"/>
      <c r="D15" s="313"/>
      <c r="E15" s="313"/>
    </row>
    <row r="16" spans="1:5" ht="12.75" customHeight="1">
      <c r="A16" s="314" t="s">
        <v>24</v>
      </c>
      <c r="B16" s="314"/>
      <c r="C16" s="314"/>
      <c r="D16" s="314"/>
      <c r="E16" s="314"/>
    </row>
    <row r="17" spans="1:5" ht="22.5" customHeight="1">
      <c r="A17" s="8" t="s">
        <v>518</v>
      </c>
      <c r="B17" s="9" t="s">
        <v>26</v>
      </c>
      <c r="C17" s="9" t="s">
        <v>27</v>
      </c>
      <c r="D17" s="9" t="s">
        <v>269</v>
      </c>
      <c r="E17" s="10" t="s">
        <v>270</v>
      </c>
    </row>
    <row r="18" spans="1:5" ht="22.5" customHeight="1">
      <c r="A18" s="11" t="s">
        <v>30</v>
      </c>
      <c r="B18" s="12" t="s">
        <v>519</v>
      </c>
      <c r="C18" s="13" t="s">
        <v>520</v>
      </c>
      <c r="D18" s="14">
        <v>0</v>
      </c>
      <c r="E18" s="90">
        <v>0</v>
      </c>
    </row>
    <row r="19" spans="1:5" ht="33.75" customHeight="1">
      <c r="A19" s="16" t="s">
        <v>4</v>
      </c>
      <c r="B19" s="17" t="s">
        <v>521</v>
      </c>
      <c r="C19" s="18" t="s">
        <v>522</v>
      </c>
      <c r="D19" s="91">
        <v>7.8720000000000005E-3</v>
      </c>
      <c r="E19" s="20">
        <v>8.1359999999999991E-3</v>
      </c>
    </row>
    <row r="20" spans="1:5" ht="33.75" customHeight="1">
      <c r="A20" s="16" t="s">
        <v>9</v>
      </c>
      <c r="B20" s="17" t="s">
        <v>523</v>
      </c>
      <c r="C20" s="18" t="s">
        <v>524</v>
      </c>
      <c r="D20" s="91">
        <v>7.3200000000000001E-4</v>
      </c>
      <c r="E20" s="20">
        <v>7.5600000000000005E-4</v>
      </c>
    </row>
    <row r="21" spans="1:5" ht="45" customHeight="1">
      <c r="A21" s="16" t="s">
        <v>14</v>
      </c>
      <c r="B21" s="17" t="s">
        <v>525</v>
      </c>
      <c r="C21" s="18" t="s">
        <v>526</v>
      </c>
      <c r="D21" s="91">
        <v>1.1280000000000001E-3</v>
      </c>
      <c r="E21" s="20">
        <v>1.1640000000000001E-3</v>
      </c>
    </row>
    <row r="22" spans="1:5" ht="33.75" customHeight="1">
      <c r="A22" s="16" t="s">
        <v>19</v>
      </c>
      <c r="B22" s="17" t="s">
        <v>527</v>
      </c>
      <c r="C22" s="18" t="s">
        <v>528</v>
      </c>
      <c r="D22" s="91">
        <v>7.2000000000000002E-5</v>
      </c>
      <c r="E22" s="20">
        <v>8.3999999999999995E-5</v>
      </c>
    </row>
    <row r="23" spans="1:5" ht="45" customHeight="1">
      <c r="A23" s="16" t="s">
        <v>318</v>
      </c>
      <c r="B23" s="17" t="s">
        <v>529</v>
      </c>
      <c r="C23" s="18">
        <v>2268</v>
      </c>
      <c r="D23" s="91">
        <v>4.8000000000000001E-5</v>
      </c>
      <c r="E23" s="20">
        <v>4.8000000000000001E-5</v>
      </c>
    </row>
    <row r="24" spans="1:5" ht="22.5" customHeight="1">
      <c r="A24" s="16" t="s">
        <v>327</v>
      </c>
      <c r="B24" s="17" t="s">
        <v>530</v>
      </c>
      <c r="C24" s="18" t="s">
        <v>531</v>
      </c>
      <c r="D24" s="91">
        <v>1.0751999999999999E-2</v>
      </c>
      <c r="E24" s="20">
        <v>1.1339999999999999E-2</v>
      </c>
    </row>
    <row r="25" spans="1:5" ht="45" customHeight="1">
      <c r="A25" s="16" t="s">
        <v>340</v>
      </c>
      <c r="B25" s="17" t="s">
        <v>532</v>
      </c>
      <c r="C25" s="18" t="s">
        <v>533</v>
      </c>
      <c r="D25" s="91">
        <v>0.29787599999999997</v>
      </c>
      <c r="E25" s="20">
        <v>0.40316400000000002</v>
      </c>
    </row>
    <row r="26" spans="1:5" ht="22.5" customHeight="1">
      <c r="A26" s="11" t="s">
        <v>115</v>
      </c>
      <c r="B26" s="12" t="s">
        <v>534</v>
      </c>
      <c r="C26" s="13" t="s">
        <v>535</v>
      </c>
      <c r="D26" s="14">
        <v>0</v>
      </c>
      <c r="E26" s="90">
        <v>0</v>
      </c>
    </row>
    <row r="27" spans="1:5" ht="22.5" customHeight="1">
      <c r="A27" s="16" t="s">
        <v>4</v>
      </c>
      <c r="B27" s="17" t="s">
        <v>536</v>
      </c>
      <c r="C27" s="18" t="s">
        <v>537</v>
      </c>
      <c r="D27" s="19">
        <v>1763000000000</v>
      </c>
      <c r="E27" s="92">
        <v>1683000000000</v>
      </c>
    </row>
    <row r="28" spans="1:5" ht="22.5" customHeight="1">
      <c r="A28" s="16"/>
      <c r="B28" s="17" t="s">
        <v>538</v>
      </c>
      <c r="C28" s="18" t="s">
        <v>539</v>
      </c>
      <c r="D28" s="19">
        <v>1763000000000</v>
      </c>
      <c r="E28" s="92">
        <v>1683000000000</v>
      </c>
    </row>
    <row r="29" spans="1:5" ht="22.5" customHeight="1">
      <c r="A29" s="16"/>
      <c r="B29" s="17" t="s">
        <v>540</v>
      </c>
      <c r="C29" s="18" t="s">
        <v>541</v>
      </c>
      <c r="D29" s="19">
        <v>176300000</v>
      </c>
      <c r="E29" s="92">
        <v>168300000</v>
      </c>
    </row>
    <row r="30" spans="1:5" ht="22.5" customHeight="1">
      <c r="A30" s="16" t="s">
        <v>9</v>
      </c>
      <c r="B30" s="17" t="s">
        <v>542</v>
      </c>
      <c r="C30" s="18" t="s">
        <v>543</v>
      </c>
      <c r="D30" s="19">
        <v>219000000000</v>
      </c>
      <c r="E30" s="92">
        <v>80000000000</v>
      </c>
    </row>
    <row r="31" spans="1:5" ht="22.5" customHeight="1">
      <c r="A31" s="16"/>
      <c r="B31" s="17" t="s">
        <v>544</v>
      </c>
      <c r="C31" s="18" t="s">
        <v>545</v>
      </c>
      <c r="D31" s="19">
        <v>21900000</v>
      </c>
      <c r="E31" s="92">
        <v>8000000</v>
      </c>
    </row>
    <row r="32" spans="1:5" ht="22.5" customHeight="1">
      <c r="A32" s="16"/>
      <c r="B32" s="17" t="s">
        <v>546</v>
      </c>
      <c r="C32" s="18" t="s">
        <v>547</v>
      </c>
      <c r="D32" s="19">
        <v>219000000000</v>
      </c>
      <c r="E32" s="92">
        <v>80000000000</v>
      </c>
    </row>
    <row r="33" spans="1:5" ht="22.5" customHeight="1">
      <c r="A33" s="16"/>
      <c r="B33" s="17" t="s">
        <v>548</v>
      </c>
      <c r="C33" s="18" t="s">
        <v>549</v>
      </c>
      <c r="D33" s="19">
        <v>28200000</v>
      </c>
      <c r="E33" s="92">
        <v>10200000</v>
      </c>
    </row>
    <row r="34" spans="1:5" ht="22.5" customHeight="1">
      <c r="A34" s="16"/>
      <c r="B34" s="17" t="s">
        <v>550</v>
      </c>
      <c r="C34" s="18" t="s">
        <v>551</v>
      </c>
      <c r="D34" s="19">
        <v>282000000000</v>
      </c>
      <c r="E34" s="92">
        <v>102000000000</v>
      </c>
    </row>
    <row r="35" spans="1:5" ht="22.5" customHeight="1">
      <c r="A35" s="16"/>
      <c r="B35" s="17" t="s">
        <v>552</v>
      </c>
      <c r="C35" s="18" t="s">
        <v>553</v>
      </c>
      <c r="D35" s="271">
        <v>-6300000</v>
      </c>
      <c r="E35" s="272">
        <v>-2200000</v>
      </c>
    </row>
    <row r="36" spans="1:5" ht="33.75" customHeight="1">
      <c r="A36" s="16"/>
      <c r="B36" s="17" t="s">
        <v>554</v>
      </c>
      <c r="C36" s="18" t="s">
        <v>555</v>
      </c>
      <c r="D36" s="271">
        <v>-63000000000</v>
      </c>
      <c r="E36" s="272">
        <v>-22000000000</v>
      </c>
    </row>
    <row r="37" spans="1:5" ht="21">
      <c r="A37" s="16" t="s">
        <v>14</v>
      </c>
      <c r="B37" s="17" t="s">
        <v>556</v>
      </c>
      <c r="C37" s="18" t="s">
        <v>557</v>
      </c>
      <c r="D37" s="19">
        <v>1982000000000</v>
      </c>
      <c r="E37" s="92">
        <v>1763000000000</v>
      </c>
    </row>
    <row r="38" spans="1:5" ht="22.5" customHeight="1">
      <c r="A38" s="16"/>
      <c r="B38" s="17" t="s">
        <v>558</v>
      </c>
      <c r="C38" s="18" t="s">
        <v>559</v>
      </c>
      <c r="D38" s="19">
        <v>1982000000000</v>
      </c>
      <c r="E38" s="92">
        <v>1763000000000</v>
      </c>
    </row>
    <row r="39" spans="1:5" ht="22.5" customHeight="1">
      <c r="A39" s="16"/>
      <c r="B39" s="17" t="s">
        <v>560</v>
      </c>
      <c r="C39" s="18" t="s">
        <v>561</v>
      </c>
      <c r="D39" s="19">
        <v>198200000</v>
      </c>
      <c r="E39" s="92">
        <v>176300000</v>
      </c>
    </row>
    <row r="40" spans="1:5" ht="42">
      <c r="A40" s="16" t="s">
        <v>19</v>
      </c>
      <c r="B40" s="17" t="s">
        <v>562</v>
      </c>
      <c r="C40" s="18" t="s">
        <v>563</v>
      </c>
      <c r="D40" s="91">
        <v>9.3046899999999991E-3</v>
      </c>
      <c r="E40" s="20">
        <v>1.0460519999999999E-2</v>
      </c>
    </row>
    <row r="41" spans="1:5" ht="22.5" customHeight="1">
      <c r="A41" s="16" t="s">
        <v>318</v>
      </c>
      <c r="B41" s="17" t="s">
        <v>564</v>
      </c>
      <c r="C41" s="18" t="s">
        <v>565</v>
      </c>
      <c r="D41" s="91">
        <v>0.63798659999999996</v>
      </c>
      <c r="E41" s="20">
        <v>0.64313494999999998</v>
      </c>
    </row>
    <row r="42" spans="1:5" ht="22.5" customHeight="1">
      <c r="A42" s="16" t="s">
        <v>327</v>
      </c>
      <c r="B42" s="17" t="s">
        <v>566</v>
      </c>
      <c r="C42" s="18" t="s">
        <v>567</v>
      </c>
      <c r="D42" s="91">
        <v>0.91654488000000001</v>
      </c>
      <c r="E42" s="20">
        <v>0.99620834999999996</v>
      </c>
    </row>
    <row r="43" spans="1:5" ht="22.5" customHeight="1">
      <c r="A43" s="16"/>
      <c r="B43" s="17" t="s">
        <v>568</v>
      </c>
      <c r="C43" s="18" t="s">
        <v>569</v>
      </c>
      <c r="D43" s="19">
        <v>377</v>
      </c>
      <c r="E43" s="92">
        <v>350</v>
      </c>
    </row>
    <row r="44" spans="1:5" ht="22.5" customHeight="1">
      <c r="A44" s="16" t="s">
        <v>340</v>
      </c>
      <c r="B44" s="17" t="s">
        <v>570</v>
      </c>
      <c r="C44" s="18" t="s">
        <v>571</v>
      </c>
      <c r="D44" s="83">
        <v>15261.86</v>
      </c>
      <c r="E44" s="93">
        <v>13640.88</v>
      </c>
    </row>
    <row r="45" spans="1:5" ht="22.5" customHeight="1">
      <c r="A45" s="94" t="s">
        <v>347</v>
      </c>
      <c r="B45" s="95" t="s">
        <v>572</v>
      </c>
      <c r="C45" s="96" t="s">
        <v>573</v>
      </c>
      <c r="D45" s="97">
        <v>15520</v>
      </c>
      <c r="E45" s="98">
        <v>13920</v>
      </c>
    </row>
    <row r="46" spans="1:5" ht="9" customHeight="1">
      <c r="A46" s="334"/>
      <c r="B46" s="334"/>
      <c r="C46" s="334"/>
      <c r="D46" s="334"/>
      <c r="E46" s="334"/>
    </row>
    <row r="47" spans="1:5" ht="15.75" customHeight="1">
      <c r="A47" s="325" t="s">
        <v>574</v>
      </c>
      <c r="B47" s="325"/>
      <c r="C47" s="334"/>
      <c r="D47" s="334"/>
      <c r="E47" s="334"/>
    </row>
    <row r="48" spans="1:5" ht="43.5" customHeight="1">
      <c r="A48" s="315" t="s">
        <v>575</v>
      </c>
      <c r="B48" s="315"/>
      <c r="C48" s="315"/>
      <c r="D48" s="315"/>
      <c r="E48" s="315"/>
    </row>
    <row r="49" spans="1:5" ht="27" customHeight="1">
      <c r="A49" s="315" t="s">
        <v>576</v>
      </c>
      <c r="B49" s="315"/>
      <c r="C49" s="315"/>
      <c r="D49" s="315"/>
      <c r="E49" s="315"/>
    </row>
    <row r="50" spans="1:5" ht="7.5" customHeight="1">
      <c r="A50" s="334"/>
      <c r="B50" s="334"/>
      <c r="C50" s="336"/>
      <c r="D50" s="336"/>
      <c r="E50" s="336"/>
    </row>
    <row r="51" spans="1:5" ht="14.25" customHeight="1">
      <c r="A51" s="318" t="s">
        <v>577</v>
      </c>
      <c r="B51" s="318"/>
      <c r="C51" s="318" t="s">
        <v>213</v>
      </c>
      <c r="D51" s="318"/>
      <c r="E51" s="318"/>
    </row>
    <row r="52" spans="1:5" ht="12" customHeight="1">
      <c r="A52" s="335" t="s">
        <v>214</v>
      </c>
      <c r="B52" s="335"/>
      <c r="C52" s="335" t="s">
        <v>215</v>
      </c>
      <c r="D52" s="335"/>
      <c r="E52" s="335"/>
    </row>
    <row r="53" spans="1:5" ht="12.75" customHeight="1">
      <c r="A53" s="334"/>
      <c r="B53" s="334"/>
      <c r="C53" s="334"/>
      <c r="D53" s="334"/>
      <c r="E53" s="334"/>
    </row>
    <row r="54" spans="1:5" ht="15.75" customHeight="1">
      <c r="A54" s="334"/>
      <c r="B54" s="334"/>
      <c r="C54" s="334"/>
      <c r="D54" s="334"/>
      <c r="E54" s="334"/>
    </row>
    <row r="55" spans="1:5" ht="15.75" customHeight="1">
      <c r="A55" s="334"/>
      <c r="B55" s="334"/>
      <c r="C55" s="334"/>
      <c r="D55" s="334"/>
      <c r="E55" s="334"/>
    </row>
    <row r="56" spans="1:5" ht="15.75" customHeight="1">
      <c r="A56" s="334"/>
      <c r="B56" s="334"/>
      <c r="C56" s="334"/>
      <c r="D56" s="334"/>
      <c r="E56" s="334"/>
    </row>
    <row r="57" spans="1:5" ht="12.75" customHeight="1">
      <c r="A57" s="306" t="s">
        <v>216</v>
      </c>
      <c r="B57" s="306"/>
      <c r="C57" s="306" t="s">
        <v>217</v>
      </c>
      <c r="D57" s="306"/>
      <c r="E57" s="306"/>
    </row>
    <row r="58" spans="1:5" ht="12.75" customHeight="1">
      <c r="A58" s="333" t="s">
        <v>218</v>
      </c>
      <c r="B58" s="333"/>
      <c r="C58" s="333" t="s">
        <v>219</v>
      </c>
      <c r="D58" s="333"/>
      <c r="E58" s="333"/>
    </row>
    <row r="59" spans="1:5" ht="12.75" customHeight="1">
      <c r="A59" s="333" t="s">
        <v>220</v>
      </c>
      <c r="B59" s="333"/>
      <c r="C59" s="333" t="s">
        <v>221</v>
      </c>
      <c r="D59" s="333"/>
      <c r="E59" s="333"/>
    </row>
  </sheetData>
  <mergeCells count="43">
    <mergeCell ref="C5:E5"/>
    <mergeCell ref="A1:B1"/>
    <mergeCell ref="C1:E1"/>
    <mergeCell ref="A2:E2"/>
    <mergeCell ref="B3:E3"/>
    <mergeCell ref="B4:E4"/>
    <mergeCell ref="A46:B46"/>
    <mergeCell ref="C46:E46"/>
    <mergeCell ref="C6:E6"/>
    <mergeCell ref="C7:E7"/>
    <mergeCell ref="C8:E8"/>
    <mergeCell ref="C9:E9"/>
    <mergeCell ref="C10:E10"/>
    <mergeCell ref="C11:E11"/>
    <mergeCell ref="C12:E12"/>
    <mergeCell ref="C13:E13"/>
    <mergeCell ref="A14:E14"/>
    <mergeCell ref="A15:E15"/>
    <mergeCell ref="A16:E16"/>
    <mergeCell ref="A47:B47"/>
    <mergeCell ref="C47:E47"/>
    <mergeCell ref="A48:E48"/>
    <mergeCell ref="A49:E49"/>
    <mergeCell ref="A50:B50"/>
    <mergeCell ref="C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s>
  <printOptions horizontalCentered="1"/>
  <pageMargins left="0.25" right="0.25" top="0.25" bottom="0.25" header="0.25" footer="0.25"/>
  <pageSetup paperSize="9" scale="95"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zoomScaleNormal="90" zoomScaleSheetLayoutView="100" workbookViewId="0">
      <selection activeCell="C13" sqref="C13:F13"/>
    </sheetView>
  </sheetViews>
  <sheetFormatPr defaultColWidth="9.28515625" defaultRowHeight="10.5"/>
  <cols>
    <col min="1" max="1" width="4.28515625" style="191" customWidth="1"/>
    <col min="2" max="2" width="43" style="191" customWidth="1"/>
    <col min="3" max="3" width="7.42578125" style="191" customWidth="1"/>
    <col min="4" max="4" width="13" style="191" customWidth="1"/>
    <col min="5" max="5" width="12.28515625" style="191" customWidth="1"/>
    <col min="6" max="6" width="6.85546875" style="191" customWidth="1"/>
    <col min="7" max="7" width="12.7109375" style="191" customWidth="1"/>
    <col min="8" max="8" width="11.5703125" style="191" customWidth="1"/>
    <col min="9" max="9" width="24.28515625" style="191" customWidth="1"/>
    <col min="10" max="10" width="10.85546875" style="191" customWidth="1"/>
    <col min="11" max="11" width="23.28515625" style="191" customWidth="1"/>
    <col min="12" max="16384" width="9.28515625" style="191"/>
  </cols>
  <sheetData>
    <row r="1" spans="1:11" ht="22.5" customHeight="1">
      <c r="B1" s="192"/>
      <c r="C1" s="192"/>
      <c r="D1" s="192"/>
      <c r="E1" s="340" t="s">
        <v>1041</v>
      </c>
      <c r="F1" s="340"/>
      <c r="G1" s="340"/>
      <c r="H1" s="340"/>
      <c r="I1" s="340"/>
      <c r="J1" s="340"/>
      <c r="K1" s="340"/>
    </row>
    <row r="2" spans="1:11" ht="33.75" customHeight="1">
      <c r="A2" s="341" t="s">
        <v>1042</v>
      </c>
      <c r="B2" s="341"/>
      <c r="C2" s="341"/>
      <c r="D2" s="341"/>
      <c r="E2" s="341"/>
      <c r="F2" s="341"/>
      <c r="G2" s="341"/>
      <c r="H2" s="341"/>
      <c r="I2" s="341"/>
      <c r="J2" s="341"/>
      <c r="K2" s="341"/>
    </row>
    <row r="3" spans="1:11">
      <c r="A3" s="342" t="s">
        <v>1043</v>
      </c>
      <c r="B3" s="342"/>
      <c r="C3" s="342"/>
      <c r="D3" s="342"/>
      <c r="E3" s="342"/>
      <c r="F3" s="342"/>
      <c r="G3" s="342"/>
      <c r="H3" s="342"/>
      <c r="I3" s="342"/>
      <c r="J3" s="342"/>
      <c r="K3" s="342"/>
    </row>
    <row r="4" spans="1:11" ht="18" customHeight="1">
      <c r="A4" s="343" t="s">
        <v>224</v>
      </c>
      <c r="B4" s="344"/>
      <c r="C4" s="344"/>
      <c r="D4" s="344"/>
      <c r="E4" s="344"/>
      <c r="F4" s="344"/>
      <c r="G4" s="344"/>
      <c r="H4" s="344"/>
      <c r="I4" s="344"/>
      <c r="J4" s="344"/>
      <c r="K4" s="344"/>
    </row>
    <row r="5" spans="1:11">
      <c r="A5" s="193"/>
      <c r="B5" s="194"/>
      <c r="C5" s="194"/>
      <c r="D5" s="195"/>
      <c r="E5" s="195"/>
      <c r="F5" s="194"/>
      <c r="G5" s="194"/>
      <c r="H5" s="194"/>
      <c r="I5" s="194"/>
      <c r="J5" s="194"/>
      <c r="K5" s="194"/>
    </row>
    <row r="6" spans="1:11">
      <c r="A6" s="196">
        <v>1</v>
      </c>
      <c r="B6" s="197" t="s">
        <v>5</v>
      </c>
      <c r="C6" s="197" t="s">
        <v>226</v>
      </c>
      <c r="D6" s="195"/>
      <c r="E6" s="195"/>
      <c r="F6" s="194"/>
      <c r="G6" s="194"/>
      <c r="H6" s="194"/>
      <c r="I6" s="194"/>
      <c r="J6" s="194"/>
      <c r="K6" s="194"/>
    </row>
    <row r="7" spans="1:11">
      <c r="A7" s="196"/>
      <c r="B7" s="198" t="s">
        <v>7</v>
      </c>
      <c r="C7" s="198" t="s">
        <v>8</v>
      </c>
      <c r="D7" s="199"/>
      <c r="E7" s="199"/>
      <c r="F7" s="200"/>
      <c r="G7" s="200"/>
      <c r="H7" s="200"/>
      <c r="I7" s="200"/>
      <c r="J7" s="200"/>
      <c r="K7" s="200"/>
    </row>
    <row r="8" spans="1:11" ht="12.75" customHeight="1">
      <c r="A8" s="201">
        <v>2</v>
      </c>
      <c r="B8" s="202" t="s">
        <v>227</v>
      </c>
      <c r="C8" s="203" t="s">
        <v>228</v>
      </c>
      <c r="D8" s="203"/>
      <c r="E8" s="203"/>
      <c r="F8" s="203"/>
      <c r="G8" s="203"/>
      <c r="H8" s="203"/>
      <c r="I8" s="204"/>
      <c r="J8" s="204"/>
      <c r="K8" s="204"/>
    </row>
    <row r="9" spans="1:11" ht="12.75" customHeight="1">
      <c r="A9" s="201"/>
      <c r="B9" s="205" t="s">
        <v>229</v>
      </c>
      <c r="C9" s="206" t="s">
        <v>230</v>
      </c>
      <c r="D9" s="207"/>
      <c r="E9" s="207"/>
      <c r="F9" s="207"/>
      <c r="G9" s="207"/>
      <c r="H9" s="207"/>
      <c r="I9" s="208"/>
      <c r="J9" s="208"/>
      <c r="K9" s="208"/>
    </row>
    <row r="10" spans="1:11" ht="12.75" customHeight="1">
      <c r="A10" s="201">
        <v>3</v>
      </c>
      <c r="B10" s="202" t="s">
        <v>15</v>
      </c>
      <c r="C10" s="203" t="s">
        <v>231</v>
      </c>
      <c r="D10" s="203"/>
      <c r="E10" s="203"/>
      <c r="F10" s="203"/>
      <c r="G10" s="203"/>
      <c r="H10" s="203"/>
      <c r="I10" s="204"/>
      <c r="J10" s="204"/>
      <c r="K10" s="204"/>
    </row>
    <row r="11" spans="1:11" ht="12.75" customHeight="1">
      <c r="A11" s="201"/>
      <c r="B11" s="205" t="s">
        <v>232</v>
      </c>
      <c r="C11" s="207" t="s">
        <v>1044</v>
      </c>
      <c r="D11" s="207"/>
      <c r="E11" s="207"/>
      <c r="F11" s="207"/>
      <c r="G11" s="207"/>
      <c r="H11" s="207"/>
      <c r="I11" s="204"/>
      <c r="J11" s="204"/>
      <c r="K11" s="204"/>
    </row>
    <row r="12" spans="1:11" ht="13.5" customHeight="1">
      <c r="A12" s="201">
        <v>4</v>
      </c>
      <c r="B12" s="202" t="s">
        <v>20</v>
      </c>
      <c r="C12" s="345">
        <v>44169</v>
      </c>
      <c r="D12" s="345"/>
      <c r="E12" s="345"/>
      <c r="F12" s="345"/>
      <c r="G12" s="203"/>
      <c r="H12" s="203"/>
      <c r="I12" s="209"/>
      <c r="J12" s="209"/>
      <c r="K12" s="209"/>
    </row>
    <row r="13" spans="1:11" ht="13.5" customHeight="1">
      <c r="A13" s="207"/>
      <c r="B13" s="205" t="s">
        <v>21</v>
      </c>
      <c r="C13" s="338">
        <v>44169</v>
      </c>
      <c r="D13" s="338"/>
      <c r="E13" s="338"/>
      <c r="F13" s="338"/>
      <c r="G13" s="339"/>
      <c r="H13" s="339"/>
      <c r="I13" s="210"/>
      <c r="J13" s="210"/>
      <c r="K13" s="210"/>
    </row>
    <row r="14" spans="1:11">
      <c r="A14" s="211" t="s">
        <v>242</v>
      </c>
      <c r="B14" s="211" t="s">
        <v>1045</v>
      </c>
      <c r="C14" s="212"/>
      <c r="D14" s="213"/>
      <c r="E14" s="213"/>
      <c r="F14" s="213"/>
      <c r="G14" s="214"/>
      <c r="H14" s="214"/>
      <c r="I14" s="210"/>
      <c r="J14" s="210"/>
      <c r="K14" s="210"/>
    </row>
    <row r="15" spans="1:11">
      <c r="A15" s="197" t="s">
        <v>369</v>
      </c>
      <c r="B15" s="197" t="s">
        <v>1046</v>
      </c>
      <c r="C15" s="215"/>
      <c r="D15" s="216"/>
      <c r="E15" s="216"/>
      <c r="F15" s="217"/>
      <c r="G15" s="217"/>
      <c r="H15" s="217"/>
      <c r="I15" s="217"/>
      <c r="J15" s="217"/>
      <c r="K15" s="217"/>
    </row>
    <row r="16" spans="1:11" ht="33" customHeight="1">
      <c r="A16" s="355" t="s">
        <v>416</v>
      </c>
      <c r="B16" s="346" t="s">
        <v>1047</v>
      </c>
      <c r="C16" s="346" t="s">
        <v>27</v>
      </c>
      <c r="D16" s="346" t="s">
        <v>1048</v>
      </c>
      <c r="E16" s="346" t="s">
        <v>1049</v>
      </c>
      <c r="F16" s="346" t="s">
        <v>1050</v>
      </c>
      <c r="G16" s="346" t="s">
        <v>1051</v>
      </c>
      <c r="H16" s="346" t="s">
        <v>1052</v>
      </c>
      <c r="I16" s="346"/>
      <c r="J16" s="346" t="s">
        <v>1053</v>
      </c>
      <c r="K16" s="348"/>
    </row>
    <row r="17" spans="1:11" ht="31.5">
      <c r="A17" s="356"/>
      <c r="B17" s="347"/>
      <c r="C17" s="347"/>
      <c r="D17" s="347"/>
      <c r="E17" s="347"/>
      <c r="F17" s="347"/>
      <c r="G17" s="347"/>
      <c r="H17" s="218" t="s">
        <v>1054</v>
      </c>
      <c r="I17" s="218" t="s">
        <v>1055</v>
      </c>
      <c r="J17" s="218" t="s">
        <v>1056</v>
      </c>
      <c r="K17" s="219" t="s">
        <v>1057</v>
      </c>
    </row>
    <row r="18" spans="1:11" ht="21">
      <c r="A18" s="220">
        <v>1</v>
      </c>
      <c r="B18" s="221" t="s">
        <v>1058</v>
      </c>
      <c r="C18" s="222" t="s">
        <v>1059</v>
      </c>
      <c r="D18" s="349"/>
      <c r="E18" s="349"/>
      <c r="F18" s="349"/>
      <c r="G18" s="349"/>
      <c r="H18" s="349"/>
      <c r="I18" s="349"/>
      <c r="J18" s="349"/>
      <c r="K18" s="350"/>
    </row>
    <row r="19" spans="1:11" ht="21">
      <c r="A19" s="220" t="s">
        <v>30</v>
      </c>
      <c r="B19" s="221" t="s">
        <v>1060</v>
      </c>
      <c r="C19" s="222" t="s">
        <v>1061</v>
      </c>
      <c r="D19" s="349"/>
      <c r="E19" s="349"/>
      <c r="F19" s="349"/>
      <c r="G19" s="349"/>
      <c r="H19" s="349"/>
      <c r="I19" s="349"/>
      <c r="J19" s="349"/>
      <c r="K19" s="350"/>
    </row>
    <row r="20" spans="1:11" ht="21">
      <c r="A20" s="220">
        <v>2</v>
      </c>
      <c r="B20" s="221" t="s">
        <v>1062</v>
      </c>
      <c r="C20" s="222" t="s">
        <v>1063</v>
      </c>
      <c r="D20" s="349"/>
      <c r="E20" s="349"/>
      <c r="F20" s="349"/>
      <c r="G20" s="349"/>
      <c r="H20" s="349"/>
      <c r="I20" s="349"/>
      <c r="J20" s="349"/>
      <c r="K20" s="350"/>
    </row>
    <row r="21" spans="1:11" ht="21">
      <c r="A21" s="220" t="s">
        <v>115</v>
      </c>
      <c r="B21" s="221" t="s">
        <v>1064</v>
      </c>
      <c r="C21" s="222" t="s">
        <v>1065</v>
      </c>
      <c r="D21" s="349"/>
      <c r="E21" s="349"/>
      <c r="F21" s="349"/>
      <c r="G21" s="349"/>
      <c r="H21" s="349"/>
      <c r="I21" s="349"/>
      <c r="J21" s="349"/>
      <c r="K21" s="350"/>
    </row>
    <row r="22" spans="1:11" ht="21">
      <c r="A22" s="220" t="s">
        <v>242</v>
      </c>
      <c r="B22" s="223" t="s">
        <v>1066</v>
      </c>
      <c r="C22" s="222" t="s">
        <v>1067</v>
      </c>
      <c r="D22" s="349"/>
      <c r="E22" s="349"/>
      <c r="F22" s="349"/>
      <c r="G22" s="349"/>
      <c r="H22" s="349"/>
      <c r="I22" s="349"/>
      <c r="J22" s="349"/>
      <c r="K22" s="350"/>
    </row>
    <row r="23" spans="1:11" ht="21">
      <c r="A23" s="224" t="s">
        <v>14</v>
      </c>
      <c r="B23" s="223" t="s">
        <v>1068</v>
      </c>
      <c r="C23" s="222" t="s">
        <v>1069</v>
      </c>
      <c r="D23" s="349"/>
      <c r="E23" s="349"/>
      <c r="F23" s="349"/>
      <c r="G23" s="349"/>
      <c r="H23" s="349"/>
      <c r="I23" s="349"/>
      <c r="J23" s="349"/>
      <c r="K23" s="350"/>
    </row>
    <row r="24" spans="1:11" ht="21">
      <c r="A24" s="224" t="s">
        <v>366</v>
      </c>
      <c r="B24" s="221" t="s">
        <v>1070</v>
      </c>
      <c r="C24" s="222" t="s">
        <v>1071</v>
      </c>
      <c r="D24" s="349"/>
      <c r="E24" s="349"/>
      <c r="F24" s="349"/>
      <c r="G24" s="349"/>
      <c r="H24" s="349"/>
      <c r="I24" s="349"/>
      <c r="J24" s="349"/>
      <c r="K24" s="350"/>
    </row>
    <row r="25" spans="1:11" ht="21">
      <c r="A25" s="224" t="s">
        <v>19</v>
      </c>
      <c r="B25" s="221" t="s">
        <v>1072</v>
      </c>
      <c r="C25" s="222" t="s">
        <v>1073</v>
      </c>
      <c r="D25" s="349"/>
      <c r="E25" s="349"/>
      <c r="F25" s="349"/>
      <c r="G25" s="349"/>
      <c r="H25" s="349"/>
      <c r="I25" s="349"/>
      <c r="J25" s="349"/>
      <c r="K25" s="350"/>
    </row>
    <row r="26" spans="1:11" ht="21">
      <c r="A26" s="224" t="s">
        <v>369</v>
      </c>
      <c r="B26" s="221" t="s">
        <v>1070</v>
      </c>
      <c r="C26" s="222" t="s">
        <v>1074</v>
      </c>
      <c r="D26" s="349"/>
      <c r="E26" s="349"/>
      <c r="F26" s="349"/>
      <c r="G26" s="349"/>
      <c r="H26" s="349"/>
      <c r="I26" s="349"/>
      <c r="J26" s="349"/>
      <c r="K26" s="350"/>
    </row>
    <row r="27" spans="1:11" ht="31.5">
      <c r="A27" s="225" t="s">
        <v>262</v>
      </c>
      <c r="B27" s="226" t="s">
        <v>1075</v>
      </c>
      <c r="C27" s="227" t="s">
        <v>1076</v>
      </c>
      <c r="D27" s="351"/>
      <c r="E27" s="351"/>
      <c r="F27" s="351"/>
      <c r="G27" s="351"/>
      <c r="H27" s="351"/>
      <c r="I27" s="351"/>
      <c r="J27" s="351"/>
      <c r="K27" s="352"/>
    </row>
    <row r="28" spans="1:11" ht="12.75" customHeight="1">
      <c r="A28" s="217"/>
      <c r="B28" s="228"/>
      <c r="C28" s="228"/>
      <c r="D28" s="217"/>
      <c r="E28" s="217"/>
      <c r="F28" s="217"/>
      <c r="G28" s="217"/>
      <c r="H28" s="217"/>
      <c r="I28" s="217"/>
      <c r="J28" s="217"/>
      <c r="K28" s="217"/>
    </row>
    <row r="29" spans="1:11">
      <c r="A29" s="353" t="s">
        <v>212</v>
      </c>
      <c r="B29" s="353"/>
      <c r="C29" s="353"/>
      <c r="E29" s="229"/>
      <c r="F29" s="230"/>
      <c r="G29" s="230"/>
      <c r="H29" s="354" t="s">
        <v>213</v>
      </c>
      <c r="I29" s="354"/>
      <c r="J29" s="354"/>
      <c r="K29" s="354"/>
    </row>
    <row r="30" spans="1:11">
      <c r="A30" s="357" t="s">
        <v>214</v>
      </c>
      <c r="B30" s="357"/>
      <c r="C30" s="357"/>
      <c r="E30" s="231"/>
      <c r="F30" s="232"/>
      <c r="G30" s="232"/>
      <c r="H30" s="359" t="s">
        <v>215</v>
      </c>
      <c r="I30" s="359"/>
      <c r="J30" s="359"/>
      <c r="K30" s="359"/>
    </row>
    <row r="31" spans="1:11" ht="37.5" customHeight="1">
      <c r="A31" s="232"/>
      <c r="B31" s="233"/>
      <c r="C31" s="234"/>
      <c r="E31" s="231"/>
      <c r="F31" s="232"/>
      <c r="G31" s="232"/>
      <c r="H31" s="235"/>
      <c r="J31" s="236"/>
      <c r="K31" s="237"/>
    </row>
    <row r="32" spans="1:11" ht="26.25" customHeight="1">
      <c r="A32" s="233"/>
      <c r="B32" s="233"/>
      <c r="C32" s="360"/>
      <c r="D32" s="360"/>
      <c r="E32" s="360"/>
      <c r="F32" s="236"/>
      <c r="G32" s="236"/>
      <c r="H32" s="236"/>
      <c r="J32" s="236"/>
      <c r="K32" s="236"/>
    </row>
    <row r="33" spans="1:11" ht="23.25" customHeight="1">
      <c r="A33" s="233"/>
      <c r="B33" s="233"/>
      <c r="C33" s="238"/>
      <c r="D33" s="239"/>
      <c r="E33" s="240"/>
      <c r="F33" s="241"/>
      <c r="G33" s="236"/>
      <c r="H33" s="236"/>
      <c r="J33" s="236"/>
      <c r="K33" s="236"/>
    </row>
    <row r="34" spans="1:11">
      <c r="A34" s="242"/>
      <c r="B34" s="242"/>
      <c r="C34" s="243"/>
      <c r="D34" s="244"/>
      <c r="E34" s="245"/>
      <c r="F34" s="241"/>
      <c r="G34" s="246"/>
      <c r="H34" s="242"/>
      <c r="I34" s="242"/>
      <c r="J34" s="243"/>
      <c r="K34" s="236"/>
    </row>
    <row r="35" spans="1:11" s="247" customFormat="1">
      <c r="A35" s="357" t="s">
        <v>1077</v>
      </c>
      <c r="B35" s="357"/>
      <c r="C35" s="357"/>
      <c r="E35" s="232"/>
      <c r="F35" s="232"/>
      <c r="G35" s="248"/>
      <c r="H35" s="361" t="s">
        <v>226</v>
      </c>
      <c r="I35" s="361"/>
      <c r="J35" s="361"/>
      <c r="K35" s="361"/>
    </row>
    <row r="36" spans="1:11" s="247" customFormat="1">
      <c r="A36" s="357" t="s">
        <v>218</v>
      </c>
      <c r="B36" s="357"/>
      <c r="C36" s="357"/>
      <c r="E36" s="249"/>
      <c r="F36" s="250"/>
      <c r="G36" s="248"/>
      <c r="H36" s="358" t="s">
        <v>236</v>
      </c>
      <c r="I36" s="358"/>
      <c r="J36" s="358"/>
      <c r="K36" s="358"/>
    </row>
    <row r="37" spans="1:11" s="247" customFormat="1">
      <c r="A37" s="357" t="s">
        <v>237</v>
      </c>
      <c r="B37" s="357"/>
      <c r="C37" s="357"/>
      <c r="H37" s="358" t="s">
        <v>238</v>
      </c>
      <c r="I37" s="358"/>
      <c r="J37" s="358"/>
      <c r="K37" s="358"/>
    </row>
  </sheetData>
  <mergeCells count="28">
    <mergeCell ref="A37:C37"/>
    <mergeCell ref="H37:K37"/>
    <mergeCell ref="A30:C30"/>
    <mergeCell ref="H30:K30"/>
    <mergeCell ref="C32:E32"/>
    <mergeCell ref="A35:C35"/>
    <mergeCell ref="H35:K35"/>
    <mergeCell ref="A36:C36"/>
    <mergeCell ref="H36:K36"/>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E1:K1"/>
    <mergeCell ref="A2:K2"/>
    <mergeCell ref="A3:K3"/>
    <mergeCell ref="A4:K4"/>
    <mergeCell ref="C12:F12"/>
  </mergeCells>
  <pageMargins left="0.25" right="0.25" top="0.25" bottom="0.25" header="0.25" footer="0.25"/>
  <pageSetup paperSize="9" scale="8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1"/>
  <sheetViews>
    <sheetView showGridLines="0" showZeros="0" showOutlineSymbols="0" view="pageBreakPreview" topLeftCell="A61" zoomScaleNormal="100" zoomScaleSheetLayoutView="100" workbookViewId="0">
      <selection activeCell="D19" sqref="D19:E82"/>
    </sheetView>
  </sheetViews>
  <sheetFormatPr defaultRowHeight="15"/>
  <cols>
    <col min="1" max="1" width="28.5703125" style="1" customWidth="1"/>
    <col min="2" max="3" width="7.140625" style="1" customWidth="1"/>
    <col min="4" max="7" width="15.7109375" style="1" customWidth="1"/>
    <col min="8" max="16384" width="9.140625" style="1"/>
  </cols>
  <sheetData>
    <row r="1" spans="1:7" ht="25.5" customHeight="1">
      <c r="A1" s="151"/>
      <c r="B1" s="3"/>
      <c r="C1" s="318" t="s">
        <v>1035</v>
      </c>
      <c r="D1" s="318"/>
      <c r="E1" s="318"/>
      <c r="F1" s="318"/>
      <c r="G1" s="318"/>
    </row>
    <row r="2" spans="1:7" ht="23.25" customHeight="1">
      <c r="A2" s="329" t="s">
        <v>703</v>
      </c>
      <c r="B2" s="329"/>
      <c r="C2" s="329"/>
      <c r="D2" s="329"/>
      <c r="E2" s="329"/>
      <c r="F2" s="329"/>
      <c r="G2" s="329"/>
    </row>
    <row r="3" spans="1:7" ht="6" customHeight="1">
      <c r="A3" s="2"/>
      <c r="B3" s="2"/>
      <c r="C3" s="2"/>
      <c r="D3" s="2"/>
      <c r="E3" s="2"/>
      <c r="F3" s="2"/>
      <c r="G3" s="2"/>
    </row>
    <row r="4" spans="1:7" ht="13.5" customHeight="1">
      <c r="A4" s="362" t="s">
        <v>1036</v>
      </c>
      <c r="B4" s="362"/>
      <c r="C4" s="362"/>
      <c r="D4" s="362"/>
      <c r="E4" s="362"/>
      <c r="F4" s="362"/>
      <c r="G4" s="362"/>
    </row>
    <row r="5" spans="1:7" ht="13.5" customHeight="1">
      <c r="A5" s="332" t="s">
        <v>1037</v>
      </c>
      <c r="B5" s="332"/>
      <c r="C5" s="332"/>
      <c r="D5" s="332"/>
      <c r="E5" s="332"/>
      <c r="F5" s="332"/>
      <c r="G5" s="332"/>
    </row>
    <row r="6" spans="1:7" ht="12" customHeight="1">
      <c r="A6" s="335" t="s">
        <v>267</v>
      </c>
      <c r="B6" s="335"/>
      <c r="C6" s="335"/>
      <c r="D6" s="335"/>
      <c r="E6" s="335"/>
      <c r="F6" s="335"/>
      <c r="G6" s="335"/>
    </row>
    <row r="7" spans="1:7" ht="9.75" customHeight="1">
      <c r="A7" s="2"/>
      <c r="B7" s="2"/>
      <c r="C7" s="2"/>
      <c r="D7" s="2"/>
      <c r="E7" s="2"/>
      <c r="F7" s="2"/>
      <c r="G7" s="2"/>
    </row>
    <row r="8" spans="1:7">
      <c r="A8" s="152" t="s">
        <v>5</v>
      </c>
      <c r="B8" s="59" t="s">
        <v>6</v>
      </c>
      <c r="C8" s="59"/>
      <c r="D8" s="59"/>
      <c r="E8" s="59"/>
      <c r="F8" s="59"/>
      <c r="G8" s="59"/>
    </row>
    <row r="9" spans="1:7">
      <c r="A9" s="153" t="s">
        <v>7</v>
      </c>
      <c r="B9" s="61" t="s">
        <v>8</v>
      </c>
      <c r="C9" s="61"/>
      <c r="D9" s="61"/>
      <c r="E9" s="61"/>
      <c r="F9" s="61"/>
      <c r="G9" s="61"/>
    </row>
    <row r="10" spans="1:7">
      <c r="A10" s="152" t="s">
        <v>227</v>
      </c>
      <c r="B10" s="59" t="s">
        <v>11</v>
      </c>
      <c r="C10" s="59"/>
      <c r="D10" s="59"/>
      <c r="E10" s="59"/>
      <c r="F10" s="59"/>
      <c r="G10" s="59"/>
    </row>
    <row r="11" spans="1:7">
      <c r="A11" s="153" t="s">
        <v>12</v>
      </c>
      <c r="B11" s="61" t="s">
        <v>1038</v>
      </c>
      <c r="C11" s="61"/>
      <c r="D11" s="61"/>
      <c r="E11" s="61"/>
      <c r="F11" s="61"/>
      <c r="G11" s="61"/>
    </row>
    <row r="12" spans="1:7">
      <c r="A12" s="152" t="s">
        <v>15</v>
      </c>
      <c r="B12" s="59" t="s">
        <v>16</v>
      </c>
      <c r="C12" s="59"/>
      <c r="D12" s="59"/>
      <c r="E12" s="59"/>
      <c r="F12" s="59"/>
      <c r="G12" s="59"/>
    </row>
    <row r="13" spans="1:7">
      <c r="A13" s="153" t="s">
        <v>17</v>
      </c>
      <c r="B13" s="61" t="s">
        <v>18</v>
      </c>
      <c r="C13" s="61"/>
      <c r="D13" s="61"/>
      <c r="E13" s="61"/>
      <c r="F13" s="61"/>
      <c r="G13" s="61"/>
    </row>
    <row r="14" spans="1:7">
      <c r="A14" s="152" t="s">
        <v>20</v>
      </c>
      <c r="B14" s="326">
        <v>44169</v>
      </c>
      <c r="C14" s="326"/>
      <c r="D14" s="326"/>
      <c r="E14" s="326"/>
      <c r="F14" s="326"/>
      <c r="G14" s="326"/>
    </row>
    <row r="15" spans="1:7">
      <c r="A15" s="153" t="s">
        <v>21</v>
      </c>
      <c r="B15" s="327">
        <v>44169</v>
      </c>
      <c r="C15" s="327"/>
      <c r="D15" s="327"/>
      <c r="E15" s="327"/>
      <c r="F15" s="327"/>
      <c r="G15" s="327"/>
    </row>
    <row r="16" spans="1:7" ht="8.25" customHeight="1">
      <c r="A16" s="7"/>
      <c r="B16" s="7"/>
      <c r="C16" s="7"/>
      <c r="D16" s="7"/>
      <c r="E16" s="7"/>
      <c r="F16" s="7"/>
      <c r="G16" s="7"/>
    </row>
    <row r="17" spans="1:7" ht="24.75" customHeight="1">
      <c r="A17" s="363" t="s">
        <v>26</v>
      </c>
      <c r="B17" s="365" t="s">
        <v>578</v>
      </c>
      <c r="C17" s="365" t="s">
        <v>579</v>
      </c>
      <c r="D17" s="367" t="s">
        <v>580</v>
      </c>
      <c r="E17" s="368"/>
      <c r="F17" s="367" t="s">
        <v>581</v>
      </c>
      <c r="G17" s="369"/>
    </row>
    <row r="18" spans="1:7" ht="31.5">
      <c r="A18" s="364"/>
      <c r="B18" s="366"/>
      <c r="C18" s="366"/>
      <c r="D18" s="100" t="s">
        <v>269</v>
      </c>
      <c r="E18" s="100" t="s">
        <v>582</v>
      </c>
      <c r="F18" s="100" t="s">
        <v>583</v>
      </c>
      <c r="G18" s="101" t="s">
        <v>582</v>
      </c>
    </row>
    <row r="19" spans="1:7" ht="31.5">
      <c r="A19" s="155" t="s">
        <v>584</v>
      </c>
      <c r="B19" s="156" t="s">
        <v>585</v>
      </c>
      <c r="C19" s="157"/>
      <c r="D19" s="158">
        <f>D20+D23+D26+D30+D31+D32+D33+D34</f>
        <v>294844573807</v>
      </c>
      <c r="E19" s="158">
        <f>E20+E23+E26+E30+E31+E32+E33+E34</f>
        <v>557107224245</v>
      </c>
      <c r="F19" s="158">
        <f>F20+F23+F26+F30+F31+F32+F33+F34</f>
        <v>0</v>
      </c>
      <c r="G19" s="159">
        <f>G20+G23+G26+G30+G31+G32+G33+G34</f>
        <v>0</v>
      </c>
    </row>
    <row r="20" spans="1:7" ht="21">
      <c r="A20" s="160" t="s">
        <v>586</v>
      </c>
      <c r="B20" s="161" t="s">
        <v>587</v>
      </c>
      <c r="C20" s="162"/>
      <c r="D20" s="163">
        <f>D21+D22</f>
        <v>0</v>
      </c>
      <c r="E20" s="163">
        <f>E21+E22</f>
        <v>18678302000</v>
      </c>
      <c r="F20" s="163">
        <f>F21+F22</f>
        <v>0</v>
      </c>
      <c r="G20" s="164">
        <f>G21+G22</f>
        <v>0</v>
      </c>
    </row>
    <row r="21" spans="1:7" ht="21">
      <c r="A21" s="165" t="s">
        <v>588</v>
      </c>
      <c r="B21" s="166" t="s">
        <v>589</v>
      </c>
      <c r="C21" s="167"/>
      <c r="D21" s="168">
        <v>0</v>
      </c>
      <c r="E21" s="168">
        <v>18678302000</v>
      </c>
      <c r="F21" s="168">
        <v>0</v>
      </c>
      <c r="G21" s="169">
        <v>0</v>
      </c>
    </row>
    <row r="22" spans="1:7" ht="21">
      <c r="A22" s="165" t="s">
        <v>590</v>
      </c>
      <c r="B22" s="166" t="s">
        <v>591</v>
      </c>
      <c r="C22" s="167"/>
      <c r="D22" s="168">
        <v>0</v>
      </c>
      <c r="E22" s="168">
        <v>0</v>
      </c>
      <c r="F22" s="168">
        <v>0</v>
      </c>
      <c r="G22" s="169">
        <v>0</v>
      </c>
    </row>
    <row r="23" spans="1:7" ht="21">
      <c r="A23" s="160" t="s">
        <v>592</v>
      </c>
      <c r="B23" s="161" t="s">
        <v>593</v>
      </c>
      <c r="C23" s="162"/>
      <c r="D23" s="163">
        <f>D24+D25</f>
        <v>6865710</v>
      </c>
      <c r="E23" s="163">
        <f>E24+E25</f>
        <v>68962098</v>
      </c>
      <c r="F23" s="163">
        <f>F24+F25</f>
        <v>0</v>
      </c>
      <c r="G23" s="164">
        <f>G24+G25</f>
        <v>0</v>
      </c>
    </row>
    <row r="24" spans="1:7" ht="21">
      <c r="A24" s="165" t="s">
        <v>594</v>
      </c>
      <c r="B24" s="166" t="s">
        <v>595</v>
      </c>
      <c r="C24" s="167"/>
      <c r="D24" s="168">
        <v>6865710</v>
      </c>
      <c r="E24" s="168">
        <v>68962098</v>
      </c>
      <c r="F24" s="168">
        <v>0</v>
      </c>
      <c r="G24" s="169">
        <v>0</v>
      </c>
    </row>
    <row r="25" spans="1:7" ht="31.5">
      <c r="A25" s="165" t="s">
        <v>596</v>
      </c>
      <c r="B25" s="166" t="s">
        <v>597</v>
      </c>
      <c r="C25" s="167"/>
      <c r="D25" s="168">
        <v>0</v>
      </c>
      <c r="E25" s="168">
        <v>0</v>
      </c>
      <c r="F25" s="168">
        <v>0</v>
      </c>
      <c r="G25" s="169">
        <v>0</v>
      </c>
    </row>
    <row r="26" spans="1:7" ht="42">
      <c r="A26" s="160" t="s">
        <v>598</v>
      </c>
      <c r="B26" s="161" t="s">
        <v>599</v>
      </c>
      <c r="C26" s="162"/>
      <c r="D26" s="163">
        <f>D27+D28+D29</f>
        <v>12357655240</v>
      </c>
      <c r="E26" s="163">
        <f>E27+E28+E29</f>
        <v>30240713142</v>
      </c>
      <c r="F26" s="163">
        <f>F27+F28+F29</f>
        <v>0</v>
      </c>
      <c r="G26" s="164">
        <f>G27+G28+G29</f>
        <v>0</v>
      </c>
    </row>
    <row r="27" spans="1:7" ht="31.5">
      <c r="A27" s="165" t="s">
        <v>600</v>
      </c>
      <c r="B27" s="166" t="s">
        <v>601</v>
      </c>
      <c r="C27" s="167"/>
      <c r="D27" s="168">
        <v>1640935254</v>
      </c>
      <c r="E27" s="168">
        <v>14056355590</v>
      </c>
      <c r="F27" s="168">
        <v>0</v>
      </c>
      <c r="G27" s="169">
        <v>0</v>
      </c>
    </row>
    <row r="28" spans="1:7" ht="42">
      <c r="A28" s="165" t="s">
        <v>602</v>
      </c>
      <c r="B28" s="166" t="s">
        <v>603</v>
      </c>
      <c r="C28" s="167"/>
      <c r="D28" s="168">
        <v>10716719986</v>
      </c>
      <c r="E28" s="168">
        <v>16184357552</v>
      </c>
      <c r="F28" s="168">
        <v>0</v>
      </c>
      <c r="G28" s="169">
        <v>0</v>
      </c>
    </row>
    <row r="29" spans="1:7" ht="52.5">
      <c r="A29" s="165" t="s">
        <v>604</v>
      </c>
      <c r="B29" s="166" t="s">
        <v>605</v>
      </c>
      <c r="C29" s="167"/>
      <c r="D29" s="168">
        <v>0</v>
      </c>
      <c r="E29" s="168">
        <v>0</v>
      </c>
      <c r="F29" s="168">
        <v>0</v>
      </c>
      <c r="G29" s="169">
        <v>0</v>
      </c>
    </row>
    <row r="30" spans="1:7" ht="42">
      <c r="A30" s="160" t="s">
        <v>606</v>
      </c>
      <c r="B30" s="161" t="s">
        <v>607</v>
      </c>
      <c r="C30" s="162"/>
      <c r="D30" s="163">
        <v>282480052857</v>
      </c>
      <c r="E30" s="163">
        <v>508119247005</v>
      </c>
      <c r="F30" s="163">
        <v>0</v>
      </c>
      <c r="G30" s="164">
        <v>0</v>
      </c>
    </row>
    <row r="31" spans="1:7" ht="21">
      <c r="A31" s="160" t="s">
        <v>608</v>
      </c>
      <c r="B31" s="161" t="s">
        <v>609</v>
      </c>
      <c r="C31" s="162"/>
      <c r="D31" s="163">
        <v>0</v>
      </c>
      <c r="E31" s="163">
        <v>0</v>
      </c>
      <c r="F31" s="163">
        <v>0</v>
      </c>
      <c r="G31" s="164">
        <v>0</v>
      </c>
    </row>
    <row r="32" spans="1:7" ht="42">
      <c r="A32" s="160" t="s">
        <v>610</v>
      </c>
      <c r="B32" s="161" t="s">
        <v>611</v>
      </c>
      <c r="C32" s="162"/>
      <c r="D32" s="163">
        <v>0</v>
      </c>
      <c r="E32" s="163">
        <v>0</v>
      </c>
      <c r="F32" s="163">
        <v>0</v>
      </c>
      <c r="G32" s="164">
        <v>0</v>
      </c>
    </row>
    <row r="33" spans="1:7" ht="21">
      <c r="A33" s="160" t="s">
        <v>612</v>
      </c>
      <c r="B33" s="161" t="s">
        <v>613</v>
      </c>
      <c r="C33" s="162"/>
      <c r="D33" s="163">
        <v>0</v>
      </c>
      <c r="E33" s="163">
        <v>0</v>
      </c>
      <c r="F33" s="163">
        <v>0</v>
      </c>
      <c r="G33" s="164">
        <v>0</v>
      </c>
    </row>
    <row r="34" spans="1:7" ht="84">
      <c r="A34" s="160" t="s">
        <v>614</v>
      </c>
      <c r="B34" s="161" t="s">
        <v>615</v>
      </c>
      <c r="C34" s="162"/>
      <c r="D34" s="163">
        <v>0</v>
      </c>
      <c r="E34" s="163">
        <v>0</v>
      </c>
      <c r="F34" s="163">
        <v>0</v>
      </c>
      <c r="G34" s="164">
        <v>0</v>
      </c>
    </row>
    <row r="35" spans="1:7" ht="21">
      <c r="A35" s="170" t="s">
        <v>616</v>
      </c>
      <c r="B35" s="171" t="s">
        <v>442</v>
      </c>
      <c r="C35" s="172"/>
      <c r="D35" s="173">
        <f>D36+D39+D40+D41+D42</f>
        <v>190127625</v>
      </c>
      <c r="E35" s="173">
        <f>E36+E39+E40+E41+E42</f>
        <v>524517847</v>
      </c>
      <c r="F35" s="173">
        <f>F36+F39+F40+F41+F42</f>
        <v>0</v>
      </c>
      <c r="G35" s="174">
        <f>G36+G39+G40+G41+G42</f>
        <v>0</v>
      </c>
    </row>
    <row r="36" spans="1:7" ht="42">
      <c r="A36" s="160" t="s">
        <v>617</v>
      </c>
      <c r="B36" s="161" t="s">
        <v>445</v>
      </c>
      <c r="C36" s="162"/>
      <c r="D36" s="163">
        <f>D37+D38</f>
        <v>190127625</v>
      </c>
      <c r="E36" s="163">
        <f>E37+E38</f>
        <v>524517847</v>
      </c>
      <c r="F36" s="163">
        <f>F37+F38</f>
        <v>0</v>
      </c>
      <c r="G36" s="164">
        <f>G37+G38</f>
        <v>0</v>
      </c>
    </row>
    <row r="37" spans="1:7" ht="21">
      <c r="A37" s="165" t="s">
        <v>618</v>
      </c>
      <c r="B37" s="166" t="s">
        <v>619</v>
      </c>
      <c r="C37" s="167"/>
      <c r="D37" s="168">
        <v>190127625</v>
      </c>
      <c r="E37" s="168">
        <v>524517847</v>
      </c>
      <c r="F37" s="168">
        <v>0</v>
      </c>
      <c r="G37" s="169">
        <v>0</v>
      </c>
    </row>
    <row r="38" spans="1:7" ht="21">
      <c r="A38" s="165" t="s">
        <v>620</v>
      </c>
      <c r="B38" s="166" t="s">
        <v>621</v>
      </c>
      <c r="C38" s="167"/>
      <c r="D38" s="168">
        <v>0</v>
      </c>
      <c r="E38" s="168">
        <v>0</v>
      </c>
      <c r="F38" s="168">
        <v>0</v>
      </c>
      <c r="G38" s="169">
        <v>0</v>
      </c>
    </row>
    <row r="39" spans="1:7" ht="31.5">
      <c r="A39" s="160" t="s">
        <v>622</v>
      </c>
      <c r="B39" s="161" t="s">
        <v>448</v>
      </c>
      <c r="C39" s="162"/>
      <c r="D39" s="163">
        <v>0</v>
      </c>
      <c r="E39" s="163">
        <v>0</v>
      </c>
      <c r="F39" s="163">
        <v>0</v>
      </c>
      <c r="G39" s="164">
        <v>0</v>
      </c>
    </row>
    <row r="40" spans="1:7" ht="21">
      <c r="A40" s="160" t="s">
        <v>623</v>
      </c>
      <c r="B40" s="161" t="s">
        <v>451</v>
      </c>
      <c r="C40" s="162"/>
      <c r="D40" s="163">
        <v>0</v>
      </c>
      <c r="E40" s="163">
        <v>0</v>
      </c>
      <c r="F40" s="163">
        <v>0</v>
      </c>
      <c r="G40" s="164">
        <v>0</v>
      </c>
    </row>
    <row r="41" spans="1:7" ht="63">
      <c r="A41" s="160" t="s">
        <v>624</v>
      </c>
      <c r="B41" s="161" t="s">
        <v>625</v>
      </c>
      <c r="C41" s="162"/>
      <c r="D41" s="163">
        <v>0</v>
      </c>
      <c r="E41" s="163">
        <v>0</v>
      </c>
      <c r="F41" s="163">
        <v>0</v>
      </c>
      <c r="G41" s="164">
        <v>0</v>
      </c>
    </row>
    <row r="42" spans="1:7" ht="21">
      <c r="A42" s="160" t="s">
        <v>626</v>
      </c>
      <c r="B42" s="161" t="s">
        <v>627</v>
      </c>
      <c r="C42" s="162"/>
      <c r="D42" s="163">
        <v>0</v>
      </c>
      <c r="E42" s="163">
        <v>0</v>
      </c>
      <c r="F42" s="163">
        <v>0</v>
      </c>
      <c r="G42" s="164">
        <v>0</v>
      </c>
    </row>
    <row r="43" spans="1:7" ht="21">
      <c r="A43" s="170" t="s">
        <v>628</v>
      </c>
      <c r="B43" s="171" t="s">
        <v>629</v>
      </c>
      <c r="C43" s="172"/>
      <c r="D43" s="173">
        <f>D44+D45+D50+D51+D52+D53+D56+D57+D58+D59</f>
        <v>2117513731</v>
      </c>
      <c r="E43" s="173">
        <f>E44+E45+E50+E51+E52+E53+E56+E57+E58+E59</f>
        <v>9935978448</v>
      </c>
      <c r="F43" s="173">
        <f>F44+F45+F50+F51+F52+F53+F56+F57+F58+F59</f>
        <v>0</v>
      </c>
      <c r="G43" s="174">
        <f>G44+G45+G50+G51+G52+G53+G56+G57+G58+G59</f>
        <v>0</v>
      </c>
    </row>
    <row r="44" spans="1:7" ht="21">
      <c r="A44" s="160" t="s">
        <v>630</v>
      </c>
      <c r="B44" s="161" t="s">
        <v>631</v>
      </c>
      <c r="C44" s="162"/>
      <c r="D44" s="163">
        <v>1689222745</v>
      </c>
      <c r="E44" s="163">
        <v>7747891027</v>
      </c>
      <c r="F44" s="163">
        <v>0</v>
      </c>
      <c r="G44" s="164">
        <v>0</v>
      </c>
    </row>
    <row r="45" spans="1:7" ht="21">
      <c r="A45" s="160" t="s">
        <v>632</v>
      </c>
      <c r="B45" s="161" t="s">
        <v>633</v>
      </c>
      <c r="C45" s="162"/>
      <c r="D45" s="163">
        <f>D46+D47+D48+D49</f>
        <v>65463164</v>
      </c>
      <c r="E45" s="163">
        <f>E46+E47+E48+E49</f>
        <v>296108167</v>
      </c>
      <c r="F45" s="163">
        <f>F46+F47+F48+F49</f>
        <v>0</v>
      </c>
      <c r="G45" s="164">
        <f>G46+G47+G48+G49</f>
        <v>0</v>
      </c>
    </row>
    <row r="46" spans="1:7" ht="31.5">
      <c r="A46" s="165" t="s">
        <v>634</v>
      </c>
      <c r="B46" s="166" t="s">
        <v>635</v>
      </c>
      <c r="C46" s="167"/>
      <c r="D46" s="168">
        <v>42230568</v>
      </c>
      <c r="E46" s="168">
        <v>200458948</v>
      </c>
      <c r="F46" s="168">
        <v>0</v>
      </c>
      <c r="G46" s="169">
        <v>0</v>
      </c>
    </row>
    <row r="47" spans="1:7" ht="31.5">
      <c r="A47" s="165" t="s">
        <v>636</v>
      </c>
      <c r="B47" s="166" t="s">
        <v>637</v>
      </c>
      <c r="C47" s="167"/>
      <c r="D47" s="168">
        <v>2200000</v>
      </c>
      <c r="E47" s="168">
        <v>9700000</v>
      </c>
      <c r="F47" s="168">
        <v>0</v>
      </c>
      <c r="G47" s="169">
        <v>0</v>
      </c>
    </row>
    <row r="48" spans="1:7" ht="21">
      <c r="A48" s="165" t="s">
        <v>638</v>
      </c>
      <c r="B48" s="166" t="s">
        <v>639</v>
      </c>
      <c r="C48" s="167"/>
      <c r="D48" s="168">
        <v>21032596</v>
      </c>
      <c r="E48" s="168">
        <v>85949219</v>
      </c>
      <c r="F48" s="168">
        <v>0</v>
      </c>
      <c r="G48" s="169">
        <v>0</v>
      </c>
    </row>
    <row r="49" spans="1:7" ht="63">
      <c r="A49" s="165" t="s">
        <v>640</v>
      </c>
      <c r="B49" s="166" t="s">
        <v>641</v>
      </c>
      <c r="C49" s="167"/>
      <c r="D49" s="168">
        <v>0</v>
      </c>
      <c r="E49" s="168">
        <v>0</v>
      </c>
      <c r="F49" s="168">
        <v>0</v>
      </c>
      <c r="G49" s="169">
        <v>0</v>
      </c>
    </row>
    <row r="50" spans="1:7" ht="21">
      <c r="A50" s="160" t="s">
        <v>642</v>
      </c>
      <c r="B50" s="161" t="s">
        <v>643</v>
      </c>
      <c r="C50" s="162"/>
      <c r="D50" s="163">
        <v>92907252</v>
      </c>
      <c r="E50" s="163">
        <v>441351821</v>
      </c>
      <c r="F50" s="163">
        <v>0</v>
      </c>
      <c r="G50" s="164">
        <v>0</v>
      </c>
    </row>
    <row r="51" spans="1:7" ht="21">
      <c r="A51" s="160" t="s">
        <v>644</v>
      </c>
      <c r="B51" s="161" t="s">
        <v>645</v>
      </c>
      <c r="C51" s="162"/>
      <c r="D51" s="163">
        <v>46453625</v>
      </c>
      <c r="E51" s="163">
        <v>230006671</v>
      </c>
      <c r="F51" s="163">
        <v>0</v>
      </c>
      <c r="G51" s="164">
        <v>0</v>
      </c>
    </row>
    <row r="52" spans="1:7" ht="21">
      <c r="A52" s="160" t="s">
        <v>646</v>
      </c>
      <c r="B52" s="161" t="s">
        <v>647</v>
      </c>
      <c r="C52" s="162"/>
      <c r="D52" s="163">
        <v>5500000</v>
      </c>
      <c r="E52" s="163">
        <v>36548387</v>
      </c>
      <c r="F52" s="163">
        <v>0</v>
      </c>
      <c r="G52" s="164">
        <v>0</v>
      </c>
    </row>
    <row r="53" spans="1:7" ht="31.5">
      <c r="A53" s="160" t="s">
        <v>648</v>
      </c>
      <c r="B53" s="161" t="s">
        <v>649</v>
      </c>
      <c r="C53" s="162"/>
      <c r="D53" s="163">
        <f>D54+D55</f>
        <v>190037560</v>
      </c>
      <c r="E53" s="163">
        <f>E54+E55</f>
        <v>949325501</v>
      </c>
      <c r="F53" s="163">
        <f>F54+F55</f>
        <v>0</v>
      </c>
      <c r="G53" s="164">
        <f>G54+G55</f>
        <v>0</v>
      </c>
    </row>
    <row r="54" spans="1:7" ht="52.5">
      <c r="A54" s="165" t="s">
        <v>650</v>
      </c>
      <c r="B54" s="166" t="s">
        <v>651</v>
      </c>
      <c r="C54" s="167"/>
      <c r="D54" s="168">
        <v>105576422</v>
      </c>
      <c r="E54" s="168">
        <v>481175804</v>
      </c>
      <c r="F54" s="168">
        <v>0</v>
      </c>
      <c r="G54" s="169">
        <v>0</v>
      </c>
    </row>
    <row r="55" spans="1:7" ht="42">
      <c r="A55" s="165" t="s">
        <v>652</v>
      </c>
      <c r="B55" s="166" t="s">
        <v>653</v>
      </c>
      <c r="C55" s="167"/>
      <c r="D55" s="168">
        <v>84461138</v>
      </c>
      <c r="E55" s="168">
        <v>468149697</v>
      </c>
      <c r="F55" s="168">
        <v>0</v>
      </c>
      <c r="G55" s="169">
        <v>0</v>
      </c>
    </row>
    <row r="56" spans="1:7" ht="31.5">
      <c r="A56" s="160" t="s">
        <v>654</v>
      </c>
      <c r="B56" s="161" t="s">
        <v>655</v>
      </c>
      <c r="C56" s="162"/>
      <c r="D56" s="163">
        <v>0</v>
      </c>
      <c r="E56" s="163">
        <v>0</v>
      </c>
      <c r="F56" s="163">
        <v>0</v>
      </c>
      <c r="G56" s="164">
        <v>0</v>
      </c>
    </row>
    <row r="57" spans="1:7" ht="21">
      <c r="A57" s="160" t="s">
        <v>656</v>
      </c>
      <c r="B57" s="161" t="s">
        <v>657</v>
      </c>
      <c r="C57" s="162"/>
      <c r="D57" s="163">
        <v>15639810</v>
      </c>
      <c r="E57" s="163">
        <v>93838860</v>
      </c>
      <c r="F57" s="163">
        <v>0</v>
      </c>
      <c r="G57" s="164">
        <v>0</v>
      </c>
    </row>
    <row r="58" spans="1:7" ht="21">
      <c r="A58" s="160" t="s">
        <v>658</v>
      </c>
      <c r="B58" s="161" t="s">
        <v>659</v>
      </c>
      <c r="C58" s="162"/>
      <c r="D58" s="163">
        <v>0</v>
      </c>
      <c r="E58" s="163">
        <v>0</v>
      </c>
      <c r="F58" s="163">
        <v>0</v>
      </c>
      <c r="G58" s="164">
        <v>0</v>
      </c>
    </row>
    <row r="59" spans="1:7" ht="21">
      <c r="A59" s="160" t="s">
        <v>660</v>
      </c>
      <c r="B59" s="161" t="s">
        <v>661</v>
      </c>
      <c r="C59" s="162"/>
      <c r="D59" s="163">
        <f>D60+D61+D62+D63+D64+D65+D66+D67+D68+D69+D70+D71+D72+D73</f>
        <v>12289575</v>
      </c>
      <c r="E59" s="163">
        <f>E60+E61+E62+E63+E64+E65+E66+E67+E68+E69+E70+E71+E72+E73</f>
        <v>140908014</v>
      </c>
      <c r="F59" s="163">
        <f>F60+F61+F62+F63+F64+F65+F66+F67+F68+F69+F70+F71+F72+F73</f>
        <v>0</v>
      </c>
      <c r="G59" s="164">
        <f>G60+G61+G62+G63+G64+G65+G66+G67+G68+G69+G70+G71+G72+G73</f>
        <v>0</v>
      </c>
    </row>
    <row r="60" spans="1:7" ht="31.5">
      <c r="A60" s="165" t="s">
        <v>662</v>
      </c>
      <c r="B60" s="166" t="s">
        <v>663</v>
      </c>
      <c r="C60" s="167"/>
      <c r="D60" s="168">
        <v>9735986</v>
      </c>
      <c r="E60" s="168">
        <v>58489512</v>
      </c>
      <c r="F60" s="168">
        <v>0</v>
      </c>
      <c r="G60" s="169">
        <v>0</v>
      </c>
    </row>
    <row r="61" spans="1:7" ht="31.5">
      <c r="A61" s="165" t="s">
        <v>664</v>
      </c>
      <c r="B61" s="166" t="s">
        <v>665</v>
      </c>
      <c r="C61" s="167"/>
      <c r="D61" s="168">
        <v>0</v>
      </c>
      <c r="E61" s="168">
        <v>0</v>
      </c>
      <c r="F61" s="168">
        <v>0</v>
      </c>
      <c r="G61" s="169">
        <v>0</v>
      </c>
    </row>
    <row r="62" spans="1:7" ht="21">
      <c r="A62" s="165" t="s">
        <v>666</v>
      </c>
      <c r="B62" s="166" t="s">
        <v>667</v>
      </c>
      <c r="C62" s="167"/>
      <c r="D62" s="168">
        <v>0</v>
      </c>
      <c r="E62" s="168">
        <v>0</v>
      </c>
      <c r="F62" s="168">
        <v>0</v>
      </c>
      <c r="G62" s="169">
        <v>0</v>
      </c>
    </row>
    <row r="63" spans="1:7" ht="21">
      <c r="A63" s="165" t="s">
        <v>668</v>
      </c>
      <c r="B63" s="166" t="s">
        <v>669</v>
      </c>
      <c r="C63" s="167"/>
      <c r="D63" s="168">
        <v>0</v>
      </c>
      <c r="E63" s="168">
        <v>0</v>
      </c>
      <c r="F63" s="168">
        <v>0</v>
      </c>
      <c r="G63" s="169">
        <v>0</v>
      </c>
    </row>
    <row r="64" spans="1:7" ht="21">
      <c r="A64" s="165" t="s">
        <v>325</v>
      </c>
      <c r="B64" s="166" t="s">
        <v>670</v>
      </c>
      <c r="C64" s="167"/>
      <c r="D64" s="168">
        <v>0</v>
      </c>
      <c r="E64" s="168">
        <v>0</v>
      </c>
      <c r="F64" s="168">
        <v>0</v>
      </c>
      <c r="G64" s="169">
        <v>0</v>
      </c>
    </row>
    <row r="65" spans="1:7" ht="21">
      <c r="A65" s="165" t="s">
        <v>671</v>
      </c>
      <c r="B65" s="166" t="s">
        <v>672</v>
      </c>
      <c r="C65" s="167"/>
      <c r="D65" s="168">
        <v>0</v>
      </c>
      <c r="E65" s="168">
        <v>50000000</v>
      </c>
      <c r="F65" s="168">
        <v>0</v>
      </c>
      <c r="G65" s="169">
        <v>0</v>
      </c>
    </row>
    <row r="66" spans="1:7" ht="21">
      <c r="A66" s="165" t="s">
        <v>673</v>
      </c>
      <c r="B66" s="166" t="s">
        <v>674</v>
      </c>
      <c r="C66" s="167"/>
      <c r="D66" s="168">
        <v>590550</v>
      </c>
      <c r="E66" s="168">
        <v>4763770</v>
      </c>
      <c r="F66" s="168">
        <v>0</v>
      </c>
      <c r="G66" s="169">
        <v>0</v>
      </c>
    </row>
    <row r="67" spans="1:7" ht="21">
      <c r="A67" s="165" t="s">
        <v>356</v>
      </c>
      <c r="B67" s="166" t="s">
        <v>675</v>
      </c>
      <c r="C67" s="167"/>
      <c r="D67" s="168">
        <v>1963039</v>
      </c>
      <c r="E67" s="168">
        <v>10154732</v>
      </c>
      <c r="F67" s="168">
        <v>0</v>
      </c>
      <c r="G67" s="169">
        <v>0</v>
      </c>
    </row>
    <row r="68" spans="1:7" ht="31.5">
      <c r="A68" s="165" t="s">
        <v>336</v>
      </c>
      <c r="B68" s="166" t="s">
        <v>676</v>
      </c>
      <c r="C68" s="167"/>
      <c r="D68" s="168">
        <v>0</v>
      </c>
      <c r="E68" s="168">
        <v>0</v>
      </c>
      <c r="F68" s="168">
        <v>0</v>
      </c>
      <c r="G68" s="169">
        <v>0</v>
      </c>
    </row>
    <row r="69" spans="1:7" ht="21">
      <c r="A69" s="165" t="s">
        <v>338</v>
      </c>
      <c r="B69" s="166" t="s">
        <v>677</v>
      </c>
      <c r="C69" s="167"/>
      <c r="D69" s="168">
        <v>0</v>
      </c>
      <c r="E69" s="168">
        <v>0</v>
      </c>
      <c r="F69" s="168">
        <v>0</v>
      </c>
      <c r="G69" s="169">
        <v>0</v>
      </c>
    </row>
    <row r="70" spans="1:7" ht="31.5">
      <c r="A70" s="165" t="s">
        <v>362</v>
      </c>
      <c r="B70" s="166" t="s">
        <v>678</v>
      </c>
      <c r="C70" s="167"/>
      <c r="D70" s="168">
        <v>0</v>
      </c>
      <c r="E70" s="168">
        <v>0</v>
      </c>
      <c r="F70" s="168">
        <v>0</v>
      </c>
      <c r="G70" s="169">
        <v>0</v>
      </c>
    </row>
    <row r="71" spans="1:7" ht="21">
      <c r="A71" s="165" t="s">
        <v>364</v>
      </c>
      <c r="B71" s="166" t="s">
        <v>679</v>
      </c>
      <c r="C71" s="167"/>
      <c r="D71" s="168">
        <v>0</v>
      </c>
      <c r="E71" s="168">
        <v>0</v>
      </c>
      <c r="F71" s="168">
        <v>0</v>
      </c>
      <c r="G71" s="169">
        <v>0</v>
      </c>
    </row>
    <row r="72" spans="1:7" ht="21">
      <c r="A72" s="165" t="s">
        <v>680</v>
      </c>
      <c r="B72" s="166" t="s">
        <v>681</v>
      </c>
      <c r="C72" s="167"/>
      <c r="D72" s="168">
        <v>0</v>
      </c>
      <c r="E72" s="168">
        <v>17500000</v>
      </c>
      <c r="F72" s="168">
        <v>0</v>
      </c>
      <c r="G72" s="169">
        <v>0</v>
      </c>
    </row>
    <row r="73" spans="1:7" ht="21">
      <c r="A73" s="165" t="s">
        <v>682</v>
      </c>
      <c r="B73" s="166" t="s">
        <v>683</v>
      </c>
      <c r="C73" s="167"/>
      <c r="D73" s="168">
        <v>0</v>
      </c>
      <c r="E73" s="168">
        <v>0</v>
      </c>
      <c r="F73" s="168">
        <v>0</v>
      </c>
      <c r="G73" s="169">
        <v>0</v>
      </c>
    </row>
    <row r="74" spans="1:7" ht="32.25" customHeight="1">
      <c r="A74" s="170" t="s">
        <v>684</v>
      </c>
      <c r="B74" s="171" t="s">
        <v>685</v>
      </c>
      <c r="C74" s="172"/>
      <c r="D74" s="173">
        <f>D19-D35-D43</f>
        <v>292536932451</v>
      </c>
      <c r="E74" s="173">
        <f>E19-E35-E43</f>
        <v>546646727950</v>
      </c>
      <c r="F74" s="173">
        <f>F19-F35-F43</f>
        <v>0</v>
      </c>
      <c r="G74" s="174">
        <f>G19-G35-G43</f>
        <v>0</v>
      </c>
    </row>
    <row r="75" spans="1:7" ht="31.5">
      <c r="A75" s="170" t="s">
        <v>686</v>
      </c>
      <c r="B75" s="171" t="s">
        <v>687</v>
      </c>
      <c r="C75" s="172"/>
      <c r="D75" s="173">
        <f>D76-D77</f>
        <v>0</v>
      </c>
      <c r="E75" s="173">
        <f>E76-E77</f>
        <v>0</v>
      </c>
      <c r="F75" s="173">
        <f>F76-F77</f>
        <v>0</v>
      </c>
      <c r="G75" s="174">
        <f>G76-G77</f>
        <v>0</v>
      </c>
    </row>
    <row r="76" spans="1:7" ht="21">
      <c r="A76" s="160" t="s">
        <v>688</v>
      </c>
      <c r="B76" s="161" t="s">
        <v>689</v>
      </c>
      <c r="C76" s="162"/>
      <c r="D76" s="163">
        <v>0</v>
      </c>
      <c r="E76" s="163">
        <v>0</v>
      </c>
      <c r="F76" s="163">
        <v>0</v>
      </c>
      <c r="G76" s="164">
        <v>0</v>
      </c>
    </row>
    <row r="77" spans="1:7" ht="21">
      <c r="A77" s="160" t="s">
        <v>690</v>
      </c>
      <c r="B77" s="161" t="s">
        <v>691</v>
      </c>
      <c r="C77" s="162"/>
      <c r="D77" s="163">
        <v>0</v>
      </c>
      <c r="E77" s="163">
        <v>0</v>
      </c>
      <c r="F77" s="163">
        <v>0</v>
      </c>
      <c r="G77" s="164">
        <v>0</v>
      </c>
    </row>
    <row r="78" spans="1:7" ht="42">
      <c r="A78" s="170" t="s">
        <v>692</v>
      </c>
      <c r="B78" s="171" t="s">
        <v>693</v>
      </c>
      <c r="C78" s="172"/>
      <c r="D78" s="173">
        <f>D74+D75</f>
        <v>292536932451</v>
      </c>
      <c r="E78" s="173">
        <f>E74+E75</f>
        <v>546646727950</v>
      </c>
      <c r="F78" s="173">
        <f>F74+F75</f>
        <v>0</v>
      </c>
      <c r="G78" s="174">
        <f>G74+G75</f>
        <v>0</v>
      </c>
    </row>
    <row r="79" spans="1:7" ht="21">
      <c r="A79" s="160" t="s">
        <v>694</v>
      </c>
      <c r="B79" s="161" t="s">
        <v>695</v>
      </c>
      <c r="C79" s="162"/>
      <c r="D79" s="163">
        <v>10056879594</v>
      </c>
      <c r="E79" s="163">
        <v>38527480945</v>
      </c>
      <c r="F79" s="163">
        <v>0</v>
      </c>
      <c r="G79" s="164">
        <v>0</v>
      </c>
    </row>
    <row r="80" spans="1:7" ht="21">
      <c r="A80" s="160" t="s">
        <v>696</v>
      </c>
      <c r="B80" s="161" t="s">
        <v>697</v>
      </c>
      <c r="C80" s="162"/>
      <c r="D80" s="163">
        <v>282480052857</v>
      </c>
      <c r="E80" s="163">
        <v>508119247005</v>
      </c>
      <c r="F80" s="163">
        <v>0</v>
      </c>
      <c r="G80" s="164">
        <v>0</v>
      </c>
    </row>
    <row r="81" spans="1:7" ht="21">
      <c r="A81" s="170" t="s">
        <v>698</v>
      </c>
      <c r="B81" s="171" t="s">
        <v>699</v>
      </c>
      <c r="C81" s="172"/>
      <c r="D81" s="173">
        <v>0</v>
      </c>
      <c r="E81" s="173">
        <v>0</v>
      </c>
      <c r="F81" s="173">
        <v>0</v>
      </c>
      <c r="G81" s="174">
        <v>0</v>
      </c>
    </row>
    <row r="82" spans="1:7" ht="42">
      <c r="A82" s="175" t="s">
        <v>700</v>
      </c>
      <c r="B82" s="176" t="s">
        <v>701</v>
      </c>
      <c r="C82" s="177"/>
      <c r="D82" s="178">
        <f>D78</f>
        <v>292536932451</v>
      </c>
      <c r="E82" s="178">
        <f>E78</f>
        <v>546646727950</v>
      </c>
      <c r="F82" s="178">
        <f>F78</f>
        <v>0</v>
      </c>
      <c r="G82" s="179">
        <f>G78</f>
        <v>0</v>
      </c>
    </row>
    <row r="83" spans="1:7" ht="10.5" customHeight="1">
      <c r="A83" s="154"/>
      <c r="B83" s="2"/>
      <c r="C83" s="2"/>
      <c r="D83" s="2"/>
      <c r="E83" s="2"/>
      <c r="F83" s="2"/>
      <c r="G83" s="2"/>
    </row>
    <row r="84" spans="1:7" ht="15" customHeight="1">
      <c r="A84" s="123" t="s">
        <v>924</v>
      </c>
      <c r="C84" s="318" t="s">
        <v>925</v>
      </c>
      <c r="D84" s="318"/>
      <c r="E84" s="318"/>
      <c r="F84" s="370" t="s">
        <v>926</v>
      </c>
      <c r="G84" s="370"/>
    </row>
    <row r="85" spans="1:7" ht="15" customHeight="1">
      <c r="A85" s="99" t="s">
        <v>927</v>
      </c>
      <c r="C85" s="335" t="s">
        <v>927</v>
      </c>
      <c r="D85" s="335"/>
      <c r="E85" s="335"/>
      <c r="F85" s="335" t="s">
        <v>928</v>
      </c>
      <c r="G85" s="335"/>
    </row>
    <row r="86" spans="1:7" ht="15" customHeight="1">
      <c r="A86" s="99"/>
      <c r="C86" s="99"/>
      <c r="D86" s="99"/>
      <c r="E86" s="99"/>
      <c r="F86" s="99"/>
      <c r="G86" s="99"/>
    </row>
    <row r="87" spans="1:7" ht="15.75" customHeight="1">
      <c r="A87" s="151"/>
      <c r="B87" s="2"/>
      <c r="C87" s="2"/>
      <c r="D87" s="2"/>
      <c r="E87" s="2"/>
      <c r="F87" s="2"/>
      <c r="G87" s="2"/>
    </row>
    <row r="88" spans="1:7" ht="15.75" customHeight="1">
      <c r="A88" s="151"/>
      <c r="B88" s="2"/>
      <c r="C88" s="2"/>
      <c r="D88" s="2"/>
      <c r="E88" s="2"/>
      <c r="F88" s="2"/>
      <c r="G88" s="2"/>
    </row>
    <row r="91" spans="1:7" ht="15" customHeight="1">
      <c r="A91" s="123" t="s">
        <v>929</v>
      </c>
      <c r="C91" s="318" t="s">
        <v>1040</v>
      </c>
      <c r="D91" s="318"/>
      <c r="E91" s="318"/>
      <c r="F91" s="370" t="s">
        <v>221</v>
      </c>
      <c r="G91" s="370"/>
    </row>
  </sheetData>
  <mergeCells count="18">
    <mergeCell ref="F84:G84"/>
    <mergeCell ref="F85:G85"/>
    <mergeCell ref="F91:G91"/>
    <mergeCell ref="C84:E84"/>
    <mergeCell ref="C85:E85"/>
    <mergeCell ref="C91:E91"/>
    <mergeCell ref="C1:G1"/>
    <mergeCell ref="A2:G2"/>
    <mergeCell ref="A4:G4"/>
    <mergeCell ref="A5:G5"/>
    <mergeCell ref="A17:A18"/>
    <mergeCell ref="B17:B18"/>
    <mergeCell ref="C17:C18"/>
    <mergeCell ref="D17:E17"/>
    <mergeCell ref="A6:G6"/>
    <mergeCell ref="B14:G14"/>
    <mergeCell ref="B15:G15"/>
    <mergeCell ref="F17:G17"/>
  </mergeCells>
  <printOptions horizontalCentered="1"/>
  <pageMargins left="0.25" right="0.25" top="0.25" bottom="0.25" header="0.25" footer="0.25"/>
  <pageSetup paperSize="9" scale="9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2"/>
  <sheetViews>
    <sheetView showGridLines="0" showZeros="0" showOutlineSymbols="0" view="pageBreakPreview" topLeftCell="A109" zoomScaleNormal="100" zoomScaleSheetLayoutView="100" workbookViewId="0">
      <selection activeCell="E19" sqref="E19:F124"/>
    </sheetView>
  </sheetViews>
  <sheetFormatPr defaultRowHeight="15"/>
  <cols>
    <col min="1" max="1" width="5.7109375" style="1" customWidth="1"/>
    <col min="2" max="2" width="46.5703125" style="1" customWidth="1"/>
    <col min="3" max="3" width="9.140625" style="1" customWidth="1"/>
    <col min="4" max="4" width="7.140625" style="1" customWidth="1"/>
    <col min="5" max="6" width="20.42578125" style="270" customWidth="1"/>
    <col min="7" max="16384" width="9.140625" style="1"/>
  </cols>
  <sheetData>
    <row r="1" spans="1:6" ht="27" customHeight="1">
      <c r="A1" s="334"/>
      <c r="B1" s="334"/>
      <c r="C1" s="318" t="s">
        <v>702</v>
      </c>
      <c r="D1" s="318"/>
      <c r="E1" s="318"/>
      <c r="F1" s="318"/>
    </row>
    <row r="2" spans="1:6" ht="22.5" customHeight="1">
      <c r="A2" s="319" t="s">
        <v>703</v>
      </c>
      <c r="B2" s="319"/>
      <c r="C2" s="319"/>
      <c r="D2" s="319"/>
      <c r="E2" s="319"/>
      <c r="F2" s="319"/>
    </row>
    <row r="3" spans="1:6" ht="3.75" customHeight="1">
      <c r="A3" s="2"/>
      <c r="B3" s="2"/>
      <c r="C3" s="2"/>
      <c r="D3" s="2"/>
      <c r="E3" s="256"/>
      <c r="F3" s="256"/>
    </row>
    <row r="4" spans="1:6" ht="30.75" customHeight="1">
      <c r="A4" s="330" t="s">
        <v>704</v>
      </c>
      <c r="B4" s="330"/>
      <c r="C4" s="330"/>
      <c r="D4" s="330"/>
      <c r="E4" s="330"/>
      <c r="F4" s="330"/>
    </row>
    <row r="5" spans="1:6" ht="11.25" customHeight="1">
      <c r="A5" s="335" t="s">
        <v>413</v>
      </c>
      <c r="B5" s="335"/>
      <c r="C5" s="335"/>
      <c r="D5" s="335"/>
      <c r="E5" s="335"/>
      <c r="F5" s="335"/>
    </row>
    <row r="6" spans="1:6" ht="5.25" customHeight="1">
      <c r="A6" s="2"/>
      <c r="B6" s="2"/>
      <c r="C6" s="102"/>
      <c r="D6" s="2"/>
      <c r="E6" s="256"/>
      <c r="F6" s="256"/>
    </row>
    <row r="7" spans="1:6" ht="4.5" customHeight="1">
      <c r="A7" s="2"/>
      <c r="B7" s="2"/>
      <c r="C7" s="2"/>
      <c r="D7" s="2"/>
      <c r="E7" s="256"/>
      <c r="F7" s="256"/>
    </row>
    <row r="8" spans="1:6" ht="12.75" customHeight="1">
      <c r="A8" s="313" t="s">
        <v>5</v>
      </c>
      <c r="B8" s="313"/>
      <c r="C8" s="313" t="s">
        <v>6</v>
      </c>
      <c r="D8" s="313"/>
      <c r="E8" s="313"/>
      <c r="F8" s="313"/>
    </row>
    <row r="9" spans="1:6" ht="12.75" customHeight="1">
      <c r="A9" s="325" t="s">
        <v>7</v>
      </c>
      <c r="B9" s="325"/>
      <c r="C9" s="325" t="s">
        <v>8</v>
      </c>
      <c r="D9" s="325"/>
      <c r="E9" s="325"/>
      <c r="F9" s="325"/>
    </row>
    <row r="10" spans="1:6" ht="12.75" customHeight="1">
      <c r="A10" s="313" t="s">
        <v>227</v>
      </c>
      <c r="B10" s="313"/>
      <c r="C10" s="313" t="s">
        <v>11</v>
      </c>
      <c r="D10" s="313"/>
      <c r="E10" s="313"/>
      <c r="F10" s="313"/>
    </row>
    <row r="11" spans="1:6" ht="12.75" customHeight="1">
      <c r="A11" s="325" t="s">
        <v>12</v>
      </c>
      <c r="B11" s="325"/>
      <c r="C11" s="325" t="s">
        <v>13</v>
      </c>
      <c r="D11" s="325"/>
      <c r="E11" s="325"/>
      <c r="F11" s="325"/>
    </row>
    <row r="12" spans="1:6" ht="12.75" customHeight="1">
      <c r="A12" s="313" t="s">
        <v>15</v>
      </c>
      <c r="B12" s="313"/>
      <c r="C12" s="313" t="s">
        <v>16</v>
      </c>
      <c r="D12" s="313"/>
      <c r="E12" s="313"/>
      <c r="F12" s="313"/>
    </row>
    <row r="13" spans="1:6" ht="12.75" customHeight="1">
      <c r="A13" s="325" t="s">
        <v>17</v>
      </c>
      <c r="B13" s="325"/>
      <c r="C13" s="325" t="s">
        <v>18</v>
      </c>
      <c r="D13" s="325"/>
      <c r="E13" s="325"/>
      <c r="F13" s="325"/>
    </row>
    <row r="14" spans="1:6" ht="12.75" customHeight="1">
      <c r="A14" s="313" t="s">
        <v>20</v>
      </c>
      <c r="B14" s="313"/>
      <c r="C14" s="326">
        <v>44169</v>
      </c>
      <c r="D14" s="313"/>
      <c r="E14" s="313"/>
      <c r="F14" s="313"/>
    </row>
    <row r="15" spans="1:6" ht="12.75" customHeight="1">
      <c r="A15" s="325" t="s">
        <v>21</v>
      </c>
      <c r="B15" s="325"/>
      <c r="C15" s="327">
        <v>44169</v>
      </c>
      <c r="D15" s="327"/>
      <c r="E15" s="327"/>
      <c r="F15" s="327"/>
    </row>
    <row r="16" spans="1:6" ht="12.75" customHeight="1">
      <c r="A16" s="6"/>
      <c r="B16" s="103"/>
      <c r="C16" s="6"/>
      <c r="D16" s="6"/>
      <c r="E16" s="257"/>
      <c r="F16" s="258" t="s">
        <v>24</v>
      </c>
    </row>
    <row r="17" spans="1:6" ht="36" customHeight="1">
      <c r="A17" s="8" t="s">
        <v>416</v>
      </c>
      <c r="B17" s="9" t="s">
        <v>705</v>
      </c>
      <c r="C17" s="9" t="s">
        <v>578</v>
      </c>
      <c r="D17" s="9" t="s">
        <v>706</v>
      </c>
      <c r="E17" s="259" t="s">
        <v>3</v>
      </c>
      <c r="F17" s="260" t="s">
        <v>28</v>
      </c>
    </row>
    <row r="18" spans="1:6" ht="21">
      <c r="A18" s="104" t="s">
        <v>30</v>
      </c>
      <c r="B18" s="105" t="s">
        <v>707</v>
      </c>
      <c r="C18" s="106" t="s">
        <v>30</v>
      </c>
      <c r="D18" s="106"/>
      <c r="E18" s="261">
        <v>0</v>
      </c>
      <c r="F18" s="262">
        <v>0</v>
      </c>
    </row>
    <row r="19" spans="1:6" ht="21">
      <c r="A19" s="104" t="s">
        <v>4</v>
      </c>
      <c r="B19" s="105" t="s">
        <v>708</v>
      </c>
      <c r="C19" s="106" t="s">
        <v>709</v>
      </c>
      <c r="D19" s="106"/>
      <c r="E19" s="261">
        <f>E20+E25+E26</f>
        <v>26220551331</v>
      </c>
      <c r="F19" s="262">
        <f>F20+F25+F26</f>
        <v>20605256713</v>
      </c>
    </row>
    <row r="20" spans="1:6" ht="21">
      <c r="A20" s="107" t="s">
        <v>710</v>
      </c>
      <c r="B20" s="108" t="s">
        <v>711</v>
      </c>
      <c r="C20" s="109" t="s">
        <v>712</v>
      </c>
      <c r="D20" s="109"/>
      <c r="E20" s="263">
        <f>E21+E22+E23+E24</f>
        <v>25522622051</v>
      </c>
      <c r="F20" s="264">
        <f>F21+F22+F23+F24</f>
        <v>20605256713</v>
      </c>
    </row>
    <row r="21" spans="1:6" ht="21">
      <c r="A21" s="110"/>
      <c r="B21" s="111" t="s">
        <v>713</v>
      </c>
      <c r="C21" s="112" t="s">
        <v>714</v>
      </c>
      <c r="D21" s="112"/>
      <c r="E21" s="265">
        <v>0</v>
      </c>
      <c r="F21" s="266">
        <v>0</v>
      </c>
    </row>
    <row r="22" spans="1:6" ht="21">
      <c r="A22" s="110"/>
      <c r="B22" s="111" t="s">
        <v>42</v>
      </c>
      <c r="C22" s="112" t="s">
        <v>715</v>
      </c>
      <c r="D22" s="112"/>
      <c r="E22" s="265">
        <v>0</v>
      </c>
      <c r="F22" s="266">
        <v>0</v>
      </c>
    </row>
    <row r="23" spans="1:6" ht="21">
      <c r="A23" s="110"/>
      <c r="B23" s="111" t="s">
        <v>44</v>
      </c>
      <c r="C23" s="112" t="s">
        <v>716</v>
      </c>
      <c r="D23" s="112"/>
      <c r="E23" s="265">
        <v>25522622051</v>
      </c>
      <c r="F23" s="266">
        <v>20605256713</v>
      </c>
    </row>
    <row r="24" spans="1:6" ht="21">
      <c r="A24" s="110"/>
      <c r="B24" s="111" t="s">
        <v>717</v>
      </c>
      <c r="C24" s="112" t="s">
        <v>718</v>
      </c>
      <c r="D24" s="112"/>
      <c r="E24" s="265">
        <v>0</v>
      </c>
      <c r="F24" s="266">
        <v>0</v>
      </c>
    </row>
    <row r="25" spans="1:6" ht="21">
      <c r="A25" s="107" t="s">
        <v>719</v>
      </c>
      <c r="B25" s="108" t="s">
        <v>720</v>
      </c>
      <c r="C25" s="109" t="s">
        <v>721</v>
      </c>
      <c r="D25" s="109"/>
      <c r="E25" s="263">
        <v>0</v>
      </c>
      <c r="F25" s="264">
        <v>0</v>
      </c>
    </row>
    <row r="26" spans="1:6" ht="21">
      <c r="A26" s="107" t="s">
        <v>722</v>
      </c>
      <c r="B26" s="108" t="s">
        <v>723</v>
      </c>
      <c r="C26" s="109" t="s">
        <v>724</v>
      </c>
      <c r="D26" s="109"/>
      <c r="E26" s="263">
        <v>697929280</v>
      </c>
      <c r="F26" s="264">
        <v>0</v>
      </c>
    </row>
    <row r="27" spans="1:6" ht="21">
      <c r="A27" s="104" t="s">
        <v>9</v>
      </c>
      <c r="B27" s="105" t="s">
        <v>725</v>
      </c>
      <c r="C27" s="106" t="s">
        <v>726</v>
      </c>
      <c r="D27" s="106"/>
      <c r="E27" s="261">
        <f>E28-E38</f>
        <v>2996121230900</v>
      </c>
      <c r="F27" s="262">
        <f>F28-F38</f>
        <v>2265804129550</v>
      </c>
    </row>
    <row r="28" spans="1:6" ht="21">
      <c r="A28" s="107" t="s">
        <v>727</v>
      </c>
      <c r="B28" s="108" t="s">
        <v>728</v>
      </c>
      <c r="C28" s="109" t="s">
        <v>729</v>
      </c>
      <c r="D28" s="109"/>
      <c r="E28" s="263">
        <f>E29+E30+E31+E32+E33+E34+E35+E36+E37</f>
        <v>2996121230900</v>
      </c>
      <c r="F28" s="264">
        <f>F29+F30+F31+F32+F33+F34+F35+F36+F37</f>
        <v>2265804129550</v>
      </c>
    </row>
    <row r="29" spans="1:6" ht="21">
      <c r="A29" s="110"/>
      <c r="B29" s="111" t="s">
        <v>730</v>
      </c>
      <c r="C29" s="112" t="s">
        <v>731</v>
      </c>
      <c r="D29" s="112"/>
      <c r="E29" s="265">
        <v>2996121230900</v>
      </c>
      <c r="F29" s="266">
        <v>2265804129550</v>
      </c>
    </row>
    <row r="30" spans="1:6" ht="21">
      <c r="A30" s="110"/>
      <c r="B30" s="111" t="s">
        <v>732</v>
      </c>
      <c r="C30" s="112" t="s">
        <v>733</v>
      </c>
      <c r="D30" s="112"/>
      <c r="E30" s="265">
        <v>0</v>
      </c>
      <c r="F30" s="266">
        <v>0</v>
      </c>
    </row>
    <row r="31" spans="1:6" ht="21">
      <c r="A31" s="110"/>
      <c r="B31" s="111" t="s">
        <v>734</v>
      </c>
      <c r="C31" s="112" t="s">
        <v>735</v>
      </c>
      <c r="D31" s="112"/>
      <c r="E31" s="265">
        <v>0</v>
      </c>
      <c r="F31" s="266">
        <v>0</v>
      </c>
    </row>
    <row r="32" spans="1:6" ht="21">
      <c r="A32" s="110"/>
      <c r="B32" s="111" t="s">
        <v>736</v>
      </c>
      <c r="C32" s="112" t="s">
        <v>737</v>
      </c>
      <c r="D32" s="112"/>
      <c r="E32" s="265">
        <v>0</v>
      </c>
      <c r="F32" s="266">
        <v>0</v>
      </c>
    </row>
    <row r="33" spans="1:6" ht="21">
      <c r="A33" s="110"/>
      <c r="B33" s="111" t="s">
        <v>738</v>
      </c>
      <c r="C33" s="112" t="s">
        <v>739</v>
      </c>
      <c r="D33" s="112"/>
      <c r="E33" s="265">
        <v>0</v>
      </c>
      <c r="F33" s="266">
        <v>0</v>
      </c>
    </row>
    <row r="34" spans="1:6" ht="21">
      <c r="A34" s="110"/>
      <c r="B34" s="111" t="s">
        <v>63</v>
      </c>
      <c r="C34" s="112" t="s">
        <v>740</v>
      </c>
      <c r="D34" s="112"/>
      <c r="E34" s="265">
        <v>0</v>
      </c>
      <c r="F34" s="266">
        <v>0</v>
      </c>
    </row>
    <row r="35" spans="1:6" ht="21">
      <c r="A35" s="110"/>
      <c r="B35" s="111" t="s">
        <v>466</v>
      </c>
      <c r="C35" s="112" t="s">
        <v>741</v>
      </c>
      <c r="D35" s="112"/>
      <c r="E35" s="265">
        <v>0</v>
      </c>
      <c r="F35" s="266">
        <v>0</v>
      </c>
    </row>
    <row r="36" spans="1:6" ht="21">
      <c r="A36" s="110"/>
      <c r="B36" s="111" t="s">
        <v>67</v>
      </c>
      <c r="C36" s="112" t="s">
        <v>742</v>
      </c>
      <c r="D36" s="112"/>
      <c r="E36" s="265">
        <v>0</v>
      </c>
      <c r="F36" s="266">
        <v>0</v>
      </c>
    </row>
    <row r="37" spans="1:6" ht="21">
      <c r="A37" s="110"/>
      <c r="B37" s="111" t="s">
        <v>743</v>
      </c>
      <c r="C37" s="112" t="s">
        <v>744</v>
      </c>
      <c r="D37" s="112"/>
      <c r="E37" s="265">
        <v>0</v>
      </c>
      <c r="F37" s="266">
        <v>0</v>
      </c>
    </row>
    <row r="38" spans="1:6" ht="21">
      <c r="A38" s="107" t="s">
        <v>745</v>
      </c>
      <c r="B38" s="108" t="s">
        <v>746</v>
      </c>
      <c r="C38" s="109" t="s">
        <v>747</v>
      </c>
      <c r="D38" s="109"/>
      <c r="E38" s="263">
        <v>0</v>
      </c>
      <c r="F38" s="264">
        <v>0</v>
      </c>
    </row>
    <row r="39" spans="1:6" ht="21">
      <c r="A39" s="104" t="s">
        <v>14</v>
      </c>
      <c r="B39" s="105" t="s">
        <v>748</v>
      </c>
      <c r="C39" s="106" t="s">
        <v>749</v>
      </c>
      <c r="D39" s="106"/>
      <c r="E39" s="261">
        <f>E40+E42+E56-E64</f>
        <v>5336613000</v>
      </c>
      <c r="F39" s="262">
        <f>F40+F42+F56-F64</f>
        <v>133570828500</v>
      </c>
    </row>
    <row r="40" spans="1:6" ht="21">
      <c r="A40" s="107" t="s">
        <v>750</v>
      </c>
      <c r="B40" s="108" t="s">
        <v>751</v>
      </c>
      <c r="C40" s="109" t="s">
        <v>752</v>
      </c>
      <c r="D40" s="109"/>
      <c r="E40" s="263">
        <v>5336613000</v>
      </c>
      <c r="F40" s="264">
        <v>133570828500</v>
      </c>
    </row>
    <row r="41" spans="1:6" ht="21">
      <c r="A41" s="107"/>
      <c r="B41" s="108" t="s">
        <v>753</v>
      </c>
      <c r="C41" s="109" t="s">
        <v>754</v>
      </c>
      <c r="D41" s="109"/>
      <c r="E41" s="263">
        <v>0</v>
      </c>
      <c r="F41" s="264">
        <v>0</v>
      </c>
    </row>
    <row r="42" spans="1:6" ht="21">
      <c r="A42" s="107" t="s">
        <v>755</v>
      </c>
      <c r="B42" s="108" t="s">
        <v>756</v>
      </c>
      <c r="C42" s="109" t="s">
        <v>757</v>
      </c>
      <c r="D42" s="109"/>
      <c r="E42" s="263">
        <f>E43+E49+E50</f>
        <v>0</v>
      </c>
      <c r="F42" s="264">
        <f>F43+F49+F50</f>
        <v>0</v>
      </c>
    </row>
    <row r="43" spans="1:6" ht="21">
      <c r="A43" s="107" t="s">
        <v>758</v>
      </c>
      <c r="B43" s="108" t="s">
        <v>759</v>
      </c>
      <c r="C43" s="109" t="s">
        <v>760</v>
      </c>
      <c r="D43" s="109"/>
      <c r="E43" s="263">
        <f>E44+E45+E46+E47+E48</f>
        <v>0</v>
      </c>
      <c r="F43" s="264">
        <f>F44+F45+F46+F47+F48</f>
        <v>0</v>
      </c>
    </row>
    <row r="44" spans="1:6" ht="21">
      <c r="A44" s="110"/>
      <c r="B44" s="111" t="s">
        <v>761</v>
      </c>
      <c r="C44" s="112" t="s">
        <v>762</v>
      </c>
      <c r="D44" s="112"/>
      <c r="E44" s="265">
        <v>0</v>
      </c>
      <c r="F44" s="266">
        <v>0</v>
      </c>
    </row>
    <row r="45" spans="1:6" ht="21">
      <c r="A45" s="110"/>
      <c r="B45" s="111" t="s">
        <v>76</v>
      </c>
      <c r="C45" s="112" t="s">
        <v>763</v>
      </c>
      <c r="D45" s="112"/>
      <c r="E45" s="265">
        <v>0</v>
      </c>
      <c r="F45" s="266">
        <v>0</v>
      </c>
    </row>
    <row r="46" spans="1:6" ht="31.5">
      <c r="A46" s="110"/>
      <c r="B46" s="111" t="s">
        <v>764</v>
      </c>
      <c r="C46" s="112" t="s">
        <v>765</v>
      </c>
      <c r="D46" s="112"/>
      <c r="E46" s="265">
        <v>0</v>
      </c>
      <c r="F46" s="266">
        <v>0</v>
      </c>
    </row>
    <row r="47" spans="1:6" ht="31.5">
      <c r="A47" s="110"/>
      <c r="B47" s="111" t="s">
        <v>83</v>
      </c>
      <c r="C47" s="112" t="s">
        <v>766</v>
      </c>
      <c r="D47" s="112"/>
      <c r="E47" s="265">
        <v>0</v>
      </c>
      <c r="F47" s="266">
        <v>0</v>
      </c>
    </row>
    <row r="48" spans="1:6" ht="21">
      <c r="A48" s="110"/>
      <c r="B48" s="111" t="s">
        <v>767</v>
      </c>
      <c r="C48" s="112" t="s">
        <v>768</v>
      </c>
      <c r="D48" s="112"/>
      <c r="E48" s="265">
        <v>0</v>
      </c>
      <c r="F48" s="266">
        <v>0</v>
      </c>
    </row>
    <row r="49" spans="1:6" ht="31.5">
      <c r="A49" s="107"/>
      <c r="B49" s="108" t="s">
        <v>769</v>
      </c>
      <c r="C49" s="109" t="s">
        <v>770</v>
      </c>
      <c r="D49" s="109"/>
      <c r="E49" s="263">
        <v>0</v>
      </c>
      <c r="F49" s="264">
        <v>0</v>
      </c>
    </row>
    <row r="50" spans="1:6" ht="21">
      <c r="A50" s="107" t="s">
        <v>771</v>
      </c>
      <c r="B50" s="108" t="s">
        <v>772</v>
      </c>
      <c r="C50" s="109" t="s">
        <v>773</v>
      </c>
      <c r="D50" s="109"/>
      <c r="E50" s="263">
        <f>E51+E52+E53+E54+E55</f>
        <v>0</v>
      </c>
      <c r="F50" s="264">
        <f>F51+F52+F53+F54+F55</f>
        <v>0</v>
      </c>
    </row>
    <row r="51" spans="1:6" ht="21">
      <c r="A51" s="110"/>
      <c r="B51" s="111" t="s">
        <v>774</v>
      </c>
      <c r="C51" s="112" t="s">
        <v>775</v>
      </c>
      <c r="D51" s="112"/>
      <c r="E51" s="265">
        <v>0</v>
      </c>
      <c r="F51" s="266">
        <v>0</v>
      </c>
    </row>
    <row r="52" spans="1:6" ht="21">
      <c r="A52" s="110"/>
      <c r="B52" s="111" t="s">
        <v>776</v>
      </c>
      <c r="C52" s="112" t="s">
        <v>777</v>
      </c>
      <c r="D52" s="112"/>
      <c r="E52" s="265">
        <v>0</v>
      </c>
      <c r="F52" s="266">
        <v>0</v>
      </c>
    </row>
    <row r="53" spans="1:6" ht="31.5">
      <c r="A53" s="110"/>
      <c r="B53" s="111" t="s">
        <v>778</v>
      </c>
      <c r="C53" s="112" t="s">
        <v>779</v>
      </c>
      <c r="D53" s="112"/>
      <c r="E53" s="265">
        <v>0</v>
      </c>
      <c r="F53" s="266">
        <v>0</v>
      </c>
    </row>
    <row r="54" spans="1:6" ht="31.5">
      <c r="A54" s="110"/>
      <c r="B54" s="111" t="s">
        <v>780</v>
      </c>
      <c r="C54" s="112" t="s">
        <v>781</v>
      </c>
      <c r="D54" s="112"/>
      <c r="E54" s="265">
        <v>0</v>
      </c>
      <c r="F54" s="266">
        <v>0</v>
      </c>
    </row>
    <row r="55" spans="1:6" ht="21">
      <c r="A55" s="110"/>
      <c r="B55" s="111" t="s">
        <v>782</v>
      </c>
      <c r="C55" s="112" t="s">
        <v>783</v>
      </c>
      <c r="D55" s="112"/>
      <c r="E55" s="265">
        <v>0</v>
      </c>
      <c r="F55" s="266">
        <v>0</v>
      </c>
    </row>
    <row r="56" spans="1:6" ht="21">
      <c r="A56" s="107" t="s">
        <v>784</v>
      </c>
      <c r="B56" s="108" t="s">
        <v>785</v>
      </c>
      <c r="C56" s="109" t="s">
        <v>786</v>
      </c>
      <c r="D56" s="109"/>
      <c r="E56" s="263">
        <f>E57+E58+E63</f>
        <v>0</v>
      </c>
      <c r="F56" s="264">
        <f>F57+F58+F63</f>
        <v>0</v>
      </c>
    </row>
    <row r="57" spans="1:6" ht="21">
      <c r="A57" s="110"/>
      <c r="B57" s="111" t="s">
        <v>787</v>
      </c>
      <c r="C57" s="112" t="s">
        <v>788</v>
      </c>
      <c r="D57" s="112"/>
      <c r="E57" s="265">
        <v>0</v>
      </c>
      <c r="F57" s="266">
        <v>0</v>
      </c>
    </row>
    <row r="58" spans="1:6" ht="21">
      <c r="A58" s="110"/>
      <c r="B58" s="111" t="s">
        <v>100</v>
      </c>
      <c r="C58" s="112" t="s">
        <v>789</v>
      </c>
      <c r="D58" s="112"/>
      <c r="E58" s="265">
        <f>E59+E60+E61+E62</f>
        <v>0</v>
      </c>
      <c r="F58" s="266">
        <f>F59+F60+F61+F62</f>
        <v>0</v>
      </c>
    </row>
    <row r="59" spans="1:6" ht="21">
      <c r="A59" s="110"/>
      <c r="B59" s="111" t="s">
        <v>104</v>
      </c>
      <c r="C59" s="112" t="s">
        <v>790</v>
      </c>
      <c r="D59" s="112"/>
      <c r="E59" s="265">
        <v>0</v>
      </c>
      <c r="F59" s="266">
        <v>0</v>
      </c>
    </row>
    <row r="60" spans="1:6" ht="21">
      <c r="A60" s="110"/>
      <c r="B60" s="111" t="s">
        <v>791</v>
      </c>
      <c r="C60" s="112" t="s">
        <v>792</v>
      </c>
      <c r="D60" s="112"/>
      <c r="E60" s="265">
        <v>0</v>
      </c>
      <c r="F60" s="266">
        <v>0</v>
      </c>
    </row>
    <row r="61" spans="1:6" ht="21">
      <c r="A61" s="110"/>
      <c r="B61" s="111" t="s">
        <v>490</v>
      </c>
      <c r="C61" s="112" t="s">
        <v>793</v>
      </c>
      <c r="D61" s="112"/>
      <c r="E61" s="265">
        <v>0</v>
      </c>
      <c r="F61" s="266">
        <v>0</v>
      </c>
    </row>
    <row r="62" spans="1:6" ht="31.5">
      <c r="A62" s="110"/>
      <c r="B62" s="111" t="s">
        <v>492</v>
      </c>
      <c r="C62" s="112" t="s">
        <v>794</v>
      </c>
      <c r="D62" s="112"/>
      <c r="E62" s="265">
        <v>0</v>
      </c>
      <c r="F62" s="266">
        <v>0</v>
      </c>
    </row>
    <row r="63" spans="1:6" ht="21">
      <c r="A63" s="110"/>
      <c r="B63" s="111" t="s">
        <v>97</v>
      </c>
      <c r="C63" s="112" t="s">
        <v>795</v>
      </c>
      <c r="D63" s="112"/>
      <c r="E63" s="265">
        <v>0</v>
      </c>
      <c r="F63" s="266">
        <v>0</v>
      </c>
    </row>
    <row r="64" spans="1:6" ht="21">
      <c r="A64" s="107" t="s">
        <v>796</v>
      </c>
      <c r="B64" s="108" t="s">
        <v>797</v>
      </c>
      <c r="C64" s="109" t="s">
        <v>798</v>
      </c>
      <c r="D64" s="109"/>
      <c r="E64" s="263">
        <v>0</v>
      </c>
      <c r="F64" s="264">
        <v>0</v>
      </c>
    </row>
    <row r="65" spans="1:6" ht="21">
      <c r="A65" s="104"/>
      <c r="B65" s="105" t="s">
        <v>799</v>
      </c>
      <c r="C65" s="106" t="s">
        <v>800</v>
      </c>
      <c r="D65" s="106"/>
      <c r="E65" s="261">
        <f>E19+E27+E39</f>
        <v>3027678395231</v>
      </c>
      <c r="F65" s="262">
        <f>F19+F27+F39</f>
        <v>2419980214763</v>
      </c>
    </row>
    <row r="66" spans="1:6" ht="21">
      <c r="A66" s="104" t="s">
        <v>115</v>
      </c>
      <c r="B66" s="105" t="s">
        <v>801</v>
      </c>
      <c r="C66" s="106" t="s">
        <v>115</v>
      </c>
      <c r="D66" s="106"/>
      <c r="E66" s="261">
        <v>0</v>
      </c>
      <c r="F66" s="262">
        <v>0</v>
      </c>
    </row>
    <row r="67" spans="1:6" ht="21">
      <c r="A67" s="107" t="s">
        <v>4</v>
      </c>
      <c r="B67" s="108" t="s">
        <v>802</v>
      </c>
      <c r="C67" s="109" t="s">
        <v>803</v>
      </c>
      <c r="D67" s="109"/>
      <c r="E67" s="263">
        <v>0</v>
      </c>
      <c r="F67" s="264">
        <v>0</v>
      </c>
    </row>
    <row r="68" spans="1:6" ht="21">
      <c r="A68" s="107"/>
      <c r="B68" s="108" t="s">
        <v>804</v>
      </c>
      <c r="C68" s="109" t="s">
        <v>805</v>
      </c>
      <c r="D68" s="109"/>
      <c r="E68" s="263">
        <v>0</v>
      </c>
      <c r="F68" s="264">
        <v>0</v>
      </c>
    </row>
    <row r="69" spans="1:6" ht="21">
      <c r="A69" s="107"/>
      <c r="B69" s="108" t="s">
        <v>806</v>
      </c>
      <c r="C69" s="109" t="s">
        <v>807</v>
      </c>
      <c r="D69" s="109"/>
      <c r="E69" s="263">
        <v>0</v>
      </c>
      <c r="F69" s="264">
        <v>0</v>
      </c>
    </row>
    <row r="70" spans="1:6" ht="21">
      <c r="A70" s="107" t="s">
        <v>9</v>
      </c>
      <c r="B70" s="108" t="s">
        <v>808</v>
      </c>
      <c r="C70" s="109" t="s">
        <v>809</v>
      </c>
      <c r="D70" s="109"/>
      <c r="E70" s="263">
        <v>0</v>
      </c>
      <c r="F70" s="264">
        <v>12302825000</v>
      </c>
    </row>
    <row r="71" spans="1:6" ht="42">
      <c r="A71" s="107" t="s">
        <v>14</v>
      </c>
      <c r="B71" s="108" t="s">
        <v>810</v>
      </c>
      <c r="C71" s="109" t="s">
        <v>811</v>
      </c>
      <c r="D71" s="109"/>
      <c r="E71" s="263">
        <f>E72+E73</f>
        <v>0</v>
      </c>
      <c r="F71" s="264">
        <f>F72+F73</f>
        <v>0</v>
      </c>
    </row>
    <row r="72" spans="1:6" ht="21">
      <c r="A72" s="110"/>
      <c r="B72" s="111" t="s">
        <v>812</v>
      </c>
      <c r="C72" s="112" t="s">
        <v>813</v>
      </c>
      <c r="D72" s="112"/>
      <c r="E72" s="265">
        <v>0</v>
      </c>
      <c r="F72" s="266">
        <v>0</v>
      </c>
    </row>
    <row r="73" spans="1:6" ht="31.5">
      <c r="A73" s="110"/>
      <c r="B73" s="111" t="s">
        <v>814</v>
      </c>
      <c r="C73" s="112" t="s">
        <v>815</v>
      </c>
      <c r="D73" s="112"/>
      <c r="E73" s="265">
        <v>0</v>
      </c>
      <c r="F73" s="266">
        <v>0</v>
      </c>
    </row>
    <row r="74" spans="1:6" ht="21">
      <c r="A74" s="107" t="s">
        <v>19</v>
      </c>
      <c r="B74" s="108" t="s">
        <v>816</v>
      </c>
      <c r="C74" s="109" t="s">
        <v>817</v>
      </c>
      <c r="D74" s="109"/>
      <c r="E74" s="263">
        <v>0</v>
      </c>
      <c r="F74" s="264">
        <v>0</v>
      </c>
    </row>
    <row r="75" spans="1:6" ht="21">
      <c r="A75" s="107" t="s">
        <v>318</v>
      </c>
      <c r="B75" s="108" t="s">
        <v>818</v>
      </c>
      <c r="C75" s="109" t="s">
        <v>819</v>
      </c>
      <c r="D75" s="109"/>
      <c r="E75" s="263">
        <v>0</v>
      </c>
      <c r="F75" s="264">
        <v>0</v>
      </c>
    </row>
    <row r="76" spans="1:6" ht="21">
      <c r="A76" s="107" t="s">
        <v>327</v>
      </c>
      <c r="B76" s="108" t="s">
        <v>820</v>
      </c>
      <c r="C76" s="109" t="s">
        <v>821</v>
      </c>
      <c r="D76" s="109"/>
      <c r="E76" s="263">
        <f>E77+E78+E79+E80+E81+E82+E83</f>
        <v>85402262</v>
      </c>
      <c r="F76" s="264">
        <f>F77+F78+F79+F80+F81+F82+F83</f>
        <v>271736254</v>
      </c>
    </row>
    <row r="77" spans="1:6" ht="21">
      <c r="A77" s="110"/>
      <c r="B77" s="111" t="s">
        <v>822</v>
      </c>
      <c r="C77" s="112" t="s">
        <v>823</v>
      </c>
      <c r="D77" s="112"/>
      <c r="E77" s="265">
        <v>6310120</v>
      </c>
      <c r="F77" s="266">
        <v>209610458</v>
      </c>
    </row>
    <row r="78" spans="1:6" ht="21">
      <c r="A78" s="110"/>
      <c r="B78" s="111" t="s">
        <v>824</v>
      </c>
      <c r="C78" s="112" t="s">
        <v>825</v>
      </c>
      <c r="D78" s="112"/>
      <c r="E78" s="265">
        <v>60838860</v>
      </c>
      <c r="F78" s="266">
        <v>45199050</v>
      </c>
    </row>
    <row r="79" spans="1:6" ht="21">
      <c r="A79" s="110"/>
      <c r="B79" s="111" t="s">
        <v>826</v>
      </c>
      <c r="C79" s="112" t="s">
        <v>827</v>
      </c>
      <c r="D79" s="112"/>
      <c r="E79" s="265">
        <v>0</v>
      </c>
      <c r="F79" s="266">
        <v>0</v>
      </c>
    </row>
    <row r="80" spans="1:6" ht="21">
      <c r="A80" s="110"/>
      <c r="B80" s="111" t="s">
        <v>828</v>
      </c>
      <c r="C80" s="112" t="s">
        <v>829</v>
      </c>
      <c r="D80" s="112"/>
      <c r="E80" s="265">
        <v>0</v>
      </c>
      <c r="F80" s="266">
        <v>0</v>
      </c>
    </row>
    <row r="81" spans="1:6" ht="31.5">
      <c r="A81" s="110"/>
      <c r="B81" s="111" t="s">
        <v>830</v>
      </c>
      <c r="C81" s="112" t="s">
        <v>831</v>
      </c>
      <c r="D81" s="112"/>
      <c r="E81" s="265">
        <v>13489512</v>
      </c>
      <c r="F81" s="266">
        <v>12753526</v>
      </c>
    </row>
    <row r="82" spans="1:6" ht="21">
      <c r="A82" s="110"/>
      <c r="B82" s="111" t="s">
        <v>832</v>
      </c>
      <c r="C82" s="112" t="s">
        <v>833</v>
      </c>
      <c r="D82" s="112"/>
      <c r="E82" s="265">
        <v>0</v>
      </c>
      <c r="F82" s="266">
        <v>0</v>
      </c>
    </row>
    <row r="83" spans="1:6" ht="21">
      <c r="A83" s="110"/>
      <c r="B83" s="111" t="s">
        <v>834</v>
      </c>
      <c r="C83" s="112" t="s">
        <v>835</v>
      </c>
      <c r="D83" s="112"/>
      <c r="E83" s="265">
        <v>4763770</v>
      </c>
      <c r="F83" s="266">
        <v>4173220</v>
      </c>
    </row>
    <row r="84" spans="1:6" ht="21">
      <c r="A84" s="107" t="s">
        <v>340</v>
      </c>
      <c r="B84" s="108" t="s">
        <v>836</v>
      </c>
      <c r="C84" s="109" t="s">
        <v>837</v>
      </c>
      <c r="D84" s="109"/>
      <c r="E84" s="263">
        <v>0</v>
      </c>
      <c r="F84" s="264">
        <v>0</v>
      </c>
    </row>
    <row r="85" spans="1:6" ht="21">
      <c r="A85" s="107" t="s">
        <v>347</v>
      </c>
      <c r="B85" s="108" t="s">
        <v>838</v>
      </c>
      <c r="C85" s="109" t="s">
        <v>839</v>
      </c>
      <c r="D85" s="109"/>
      <c r="E85" s="263">
        <v>0</v>
      </c>
      <c r="F85" s="264">
        <v>91095348</v>
      </c>
    </row>
    <row r="86" spans="1:6" ht="21">
      <c r="A86" s="107" t="s">
        <v>439</v>
      </c>
      <c r="B86" s="108" t="s">
        <v>840</v>
      </c>
      <c r="C86" s="109" t="s">
        <v>841</v>
      </c>
      <c r="D86" s="109"/>
      <c r="E86" s="263">
        <f>E87+E88+E93+E94+E95+E96+E97</f>
        <v>2691519843</v>
      </c>
      <c r="F86" s="264">
        <f>F87+F88+F93+F94+F95+F96+F97</f>
        <v>2426555238</v>
      </c>
    </row>
    <row r="87" spans="1:6" ht="21">
      <c r="A87" s="110" t="s">
        <v>842</v>
      </c>
      <c r="B87" s="111" t="s">
        <v>843</v>
      </c>
      <c r="C87" s="112" t="s">
        <v>844</v>
      </c>
      <c r="D87" s="112"/>
      <c r="E87" s="265">
        <v>1689222745</v>
      </c>
      <c r="F87" s="266">
        <v>1627889072</v>
      </c>
    </row>
    <row r="88" spans="1:6" ht="21">
      <c r="A88" s="110" t="s">
        <v>845</v>
      </c>
      <c r="B88" s="111" t="s">
        <v>846</v>
      </c>
      <c r="C88" s="112" t="s">
        <v>847</v>
      </c>
      <c r="D88" s="112"/>
      <c r="E88" s="265">
        <f>E89+E90+E91</f>
        <v>47630568</v>
      </c>
      <c r="F88" s="266">
        <f>F89+F90+F91</f>
        <v>44597226</v>
      </c>
    </row>
    <row r="89" spans="1:6" ht="21">
      <c r="A89" s="110"/>
      <c r="B89" s="111" t="s">
        <v>848</v>
      </c>
      <c r="C89" s="112" t="s">
        <v>849</v>
      </c>
      <c r="D89" s="112"/>
      <c r="E89" s="265">
        <v>42230568</v>
      </c>
      <c r="F89" s="266">
        <v>40697226</v>
      </c>
    </row>
    <row r="90" spans="1:6" ht="21">
      <c r="A90" s="110"/>
      <c r="B90" s="111" t="s">
        <v>850</v>
      </c>
      <c r="C90" s="112" t="s">
        <v>851</v>
      </c>
      <c r="D90" s="112"/>
      <c r="E90" s="265">
        <v>5400000</v>
      </c>
      <c r="F90" s="266">
        <v>3900000</v>
      </c>
    </row>
    <row r="91" spans="1:6" ht="21">
      <c r="A91" s="110"/>
      <c r="B91" s="111" t="s">
        <v>852</v>
      </c>
      <c r="C91" s="112" t="s">
        <v>853</v>
      </c>
      <c r="D91" s="112"/>
      <c r="E91" s="265">
        <v>0</v>
      </c>
      <c r="F91" s="266">
        <v>0</v>
      </c>
    </row>
    <row r="92" spans="1:6" ht="42">
      <c r="A92" s="110"/>
      <c r="B92" s="111" t="s">
        <v>854</v>
      </c>
      <c r="C92" s="112" t="s">
        <v>855</v>
      </c>
      <c r="D92" s="112"/>
      <c r="E92" s="265">
        <v>0</v>
      </c>
      <c r="F92" s="266">
        <v>0</v>
      </c>
    </row>
    <row r="93" spans="1:6" ht="21">
      <c r="A93" s="110" t="s">
        <v>856</v>
      </c>
      <c r="B93" s="111" t="s">
        <v>857</v>
      </c>
      <c r="C93" s="112" t="s">
        <v>858</v>
      </c>
      <c r="D93" s="112"/>
      <c r="E93" s="265">
        <v>46453625</v>
      </c>
      <c r="F93" s="266">
        <v>44766946</v>
      </c>
    </row>
    <row r="94" spans="1:6" ht="21">
      <c r="A94" s="110" t="s">
        <v>859</v>
      </c>
      <c r="B94" s="111" t="s">
        <v>860</v>
      </c>
      <c r="C94" s="112" t="s">
        <v>861</v>
      </c>
      <c r="D94" s="112"/>
      <c r="E94" s="265">
        <v>92907252</v>
      </c>
      <c r="F94" s="266">
        <v>89533901</v>
      </c>
    </row>
    <row r="95" spans="1:6" ht="21">
      <c r="A95" s="110" t="s">
        <v>862</v>
      </c>
      <c r="B95" s="111" t="s">
        <v>863</v>
      </c>
      <c r="C95" s="112" t="s">
        <v>864</v>
      </c>
      <c r="D95" s="112"/>
      <c r="E95" s="265">
        <v>11000000</v>
      </c>
      <c r="F95" s="266">
        <v>5500000</v>
      </c>
    </row>
    <row r="96" spans="1:6" ht="31.5">
      <c r="A96" s="110" t="s">
        <v>865</v>
      </c>
      <c r="B96" s="111" t="s">
        <v>866</v>
      </c>
      <c r="C96" s="112" t="s">
        <v>867</v>
      </c>
      <c r="D96" s="112"/>
      <c r="E96" s="265">
        <v>420885084</v>
      </c>
      <c r="F96" s="266">
        <v>315308662</v>
      </c>
    </row>
    <row r="97" spans="1:6" ht="21">
      <c r="A97" s="110" t="s">
        <v>868</v>
      </c>
      <c r="B97" s="111" t="s">
        <v>869</v>
      </c>
      <c r="C97" s="112" t="s">
        <v>870</v>
      </c>
      <c r="D97" s="112"/>
      <c r="E97" s="265">
        <v>383420569</v>
      </c>
      <c r="F97" s="266">
        <v>298959431</v>
      </c>
    </row>
    <row r="98" spans="1:6" ht="21">
      <c r="A98" s="107" t="s">
        <v>442</v>
      </c>
      <c r="B98" s="108" t="s">
        <v>871</v>
      </c>
      <c r="C98" s="109" t="s">
        <v>872</v>
      </c>
      <c r="D98" s="109"/>
      <c r="E98" s="263">
        <f>E99+E100+E101</f>
        <v>0</v>
      </c>
      <c r="F98" s="264">
        <f>F99+F100+F101</f>
        <v>0</v>
      </c>
    </row>
    <row r="99" spans="1:6" ht="21">
      <c r="A99" s="110" t="s">
        <v>873</v>
      </c>
      <c r="B99" s="111" t="s">
        <v>874</v>
      </c>
      <c r="C99" s="112" t="s">
        <v>875</v>
      </c>
      <c r="D99" s="112"/>
      <c r="E99" s="265">
        <v>0</v>
      </c>
      <c r="F99" s="266">
        <v>0</v>
      </c>
    </row>
    <row r="100" spans="1:6" ht="31.5">
      <c r="A100" s="110" t="s">
        <v>876</v>
      </c>
      <c r="B100" s="111" t="s">
        <v>877</v>
      </c>
      <c r="C100" s="112" t="s">
        <v>878</v>
      </c>
      <c r="D100" s="112"/>
      <c r="E100" s="265">
        <v>0</v>
      </c>
      <c r="F100" s="266">
        <v>0</v>
      </c>
    </row>
    <row r="101" spans="1:6" ht="21">
      <c r="A101" s="110" t="s">
        <v>879</v>
      </c>
      <c r="B101" s="111" t="s">
        <v>880</v>
      </c>
      <c r="C101" s="112" t="s">
        <v>881</v>
      </c>
      <c r="D101" s="112"/>
      <c r="E101" s="265">
        <f>E102+E103+E104+E105+E106</f>
        <v>0</v>
      </c>
      <c r="F101" s="266">
        <f>F102+F103+F104+F105+F106</f>
        <v>0</v>
      </c>
    </row>
    <row r="102" spans="1:6" ht="21">
      <c r="A102" s="110"/>
      <c r="B102" s="111" t="s">
        <v>188</v>
      </c>
      <c r="C102" s="112" t="s">
        <v>882</v>
      </c>
      <c r="D102" s="112"/>
      <c r="E102" s="265">
        <v>0</v>
      </c>
      <c r="F102" s="266">
        <v>0</v>
      </c>
    </row>
    <row r="103" spans="1:6" ht="21">
      <c r="A103" s="110"/>
      <c r="B103" s="111" t="s">
        <v>190</v>
      </c>
      <c r="C103" s="112" t="s">
        <v>883</v>
      </c>
      <c r="D103" s="112"/>
      <c r="E103" s="265">
        <v>0</v>
      </c>
      <c r="F103" s="266">
        <v>0</v>
      </c>
    </row>
    <row r="104" spans="1:6" ht="21">
      <c r="A104" s="107"/>
      <c r="B104" s="108" t="s">
        <v>884</v>
      </c>
      <c r="C104" s="109" t="s">
        <v>885</v>
      </c>
      <c r="D104" s="109"/>
      <c r="E104" s="263">
        <v>0</v>
      </c>
      <c r="F104" s="264">
        <v>0</v>
      </c>
    </row>
    <row r="105" spans="1:6" ht="21">
      <c r="A105" s="110"/>
      <c r="B105" s="111" t="s">
        <v>192</v>
      </c>
      <c r="C105" s="112" t="s">
        <v>886</v>
      </c>
      <c r="D105" s="112"/>
      <c r="E105" s="265">
        <v>0</v>
      </c>
      <c r="F105" s="266">
        <v>0</v>
      </c>
    </row>
    <row r="106" spans="1:6" ht="21">
      <c r="A106" s="110"/>
      <c r="B106" s="111" t="s">
        <v>887</v>
      </c>
      <c r="C106" s="112" t="s">
        <v>888</v>
      </c>
      <c r="D106" s="112"/>
      <c r="E106" s="265">
        <v>0</v>
      </c>
      <c r="F106" s="266">
        <v>0</v>
      </c>
    </row>
    <row r="107" spans="1:6" ht="21">
      <c r="A107" s="104"/>
      <c r="B107" s="105" t="s">
        <v>889</v>
      </c>
      <c r="C107" s="106" t="s">
        <v>890</v>
      </c>
      <c r="D107" s="106"/>
      <c r="E107" s="261">
        <f>E67+E70+E71+E74+E75+E76+E84+E85+E86+E98</f>
        <v>2776922105</v>
      </c>
      <c r="F107" s="262">
        <f>F67+F70+F71+F74+F75+F76+F84+F85+F86+F98</f>
        <v>15092211840</v>
      </c>
    </row>
    <row r="108" spans="1:6" ht="31.5">
      <c r="A108" s="104" t="s">
        <v>366</v>
      </c>
      <c r="B108" s="105" t="s">
        <v>891</v>
      </c>
      <c r="C108" s="106" t="s">
        <v>892</v>
      </c>
      <c r="D108" s="106"/>
      <c r="E108" s="261">
        <f>E65-E107</f>
        <v>3024901473126</v>
      </c>
      <c r="F108" s="262">
        <f>F65-F107</f>
        <v>2404888002923</v>
      </c>
    </row>
    <row r="109" spans="1:6" ht="21">
      <c r="A109" s="107" t="s">
        <v>4</v>
      </c>
      <c r="B109" s="108" t="s">
        <v>893</v>
      </c>
      <c r="C109" s="109" t="s">
        <v>894</v>
      </c>
      <c r="D109" s="109"/>
      <c r="E109" s="263">
        <f>E110+E111</f>
        <v>1982000000000</v>
      </c>
      <c r="F109" s="264">
        <f>F110+F111</f>
        <v>1763000000000</v>
      </c>
    </row>
    <row r="110" spans="1:6" ht="21">
      <c r="A110" s="107" t="s">
        <v>710</v>
      </c>
      <c r="B110" s="108" t="s">
        <v>895</v>
      </c>
      <c r="C110" s="109" t="s">
        <v>896</v>
      </c>
      <c r="D110" s="109"/>
      <c r="E110" s="263">
        <v>2098000000000</v>
      </c>
      <c r="F110" s="264">
        <v>1816000000000</v>
      </c>
    </row>
    <row r="111" spans="1:6" ht="21">
      <c r="A111" s="107" t="s">
        <v>719</v>
      </c>
      <c r="B111" s="108" t="s">
        <v>897</v>
      </c>
      <c r="C111" s="109" t="s">
        <v>898</v>
      </c>
      <c r="D111" s="109"/>
      <c r="E111" s="263">
        <v>-116000000000</v>
      </c>
      <c r="F111" s="264">
        <v>-53000000000</v>
      </c>
    </row>
    <row r="112" spans="1:6" ht="21">
      <c r="A112" s="107" t="s">
        <v>9</v>
      </c>
      <c r="B112" s="108" t="s">
        <v>899</v>
      </c>
      <c r="C112" s="109" t="s">
        <v>900</v>
      </c>
      <c r="D112" s="109"/>
      <c r="E112" s="263">
        <v>496254745176</v>
      </c>
      <c r="F112" s="264">
        <v>387778207424</v>
      </c>
    </row>
    <row r="113" spans="1:6" ht="21">
      <c r="A113" s="107" t="s">
        <v>14</v>
      </c>
      <c r="B113" s="108" t="s">
        <v>901</v>
      </c>
      <c r="C113" s="109" t="s">
        <v>902</v>
      </c>
      <c r="D113" s="109"/>
      <c r="E113" s="263">
        <f>E114+E115</f>
        <v>546646727950</v>
      </c>
      <c r="F113" s="264">
        <f>F114+F115</f>
        <v>254109795499</v>
      </c>
    </row>
    <row r="114" spans="1:6" ht="21">
      <c r="A114" s="107" t="s">
        <v>750</v>
      </c>
      <c r="B114" s="108" t="s">
        <v>903</v>
      </c>
      <c r="C114" s="109" t="s">
        <v>904</v>
      </c>
      <c r="D114" s="109"/>
      <c r="E114" s="263">
        <v>254109795499</v>
      </c>
      <c r="F114" s="264">
        <v>201913619472</v>
      </c>
    </row>
    <row r="115" spans="1:6" ht="21">
      <c r="A115" s="107" t="s">
        <v>755</v>
      </c>
      <c r="B115" s="108" t="s">
        <v>905</v>
      </c>
      <c r="C115" s="109" t="s">
        <v>906</v>
      </c>
      <c r="D115" s="109"/>
      <c r="E115" s="263">
        <v>292536932451</v>
      </c>
      <c r="F115" s="264">
        <v>52196176027</v>
      </c>
    </row>
    <row r="116" spans="1:6" ht="31.5">
      <c r="A116" s="113" t="s">
        <v>369</v>
      </c>
      <c r="B116" s="114" t="s">
        <v>907</v>
      </c>
      <c r="C116" s="115" t="s">
        <v>908</v>
      </c>
      <c r="D116" s="115"/>
      <c r="E116" s="261">
        <v>15261.86</v>
      </c>
      <c r="F116" s="262">
        <v>13640.88</v>
      </c>
    </row>
    <row r="117" spans="1:6" ht="21">
      <c r="A117" s="104" t="s">
        <v>382</v>
      </c>
      <c r="B117" s="105" t="s">
        <v>909</v>
      </c>
      <c r="C117" s="106" t="s">
        <v>910</v>
      </c>
      <c r="D117" s="106"/>
      <c r="E117" s="261">
        <f>E118+E119</f>
        <v>0</v>
      </c>
      <c r="F117" s="262">
        <f>F118+F119</f>
        <v>0</v>
      </c>
    </row>
    <row r="118" spans="1:6" ht="21">
      <c r="A118" s="107" t="s">
        <v>4</v>
      </c>
      <c r="B118" s="108" t="s">
        <v>911</v>
      </c>
      <c r="C118" s="109" t="s">
        <v>912</v>
      </c>
      <c r="D118" s="109"/>
      <c r="E118" s="263">
        <v>0</v>
      </c>
      <c r="F118" s="264">
        <v>0</v>
      </c>
    </row>
    <row r="119" spans="1:6" ht="31.5">
      <c r="A119" s="107" t="s">
        <v>9</v>
      </c>
      <c r="B119" s="108" t="s">
        <v>913</v>
      </c>
      <c r="C119" s="109" t="s">
        <v>914</v>
      </c>
      <c r="D119" s="109"/>
      <c r="E119" s="263">
        <v>0</v>
      </c>
      <c r="F119" s="264">
        <v>0</v>
      </c>
    </row>
    <row r="120" spans="1:6" ht="21">
      <c r="A120" s="104" t="s">
        <v>385</v>
      </c>
      <c r="B120" s="105" t="s">
        <v>915</v>
      </c>
      <c r="C120" s="106" t="s">
        <v>385</v>
      </c>
      <c r="D120" s="106"/>
      <c r="E120" s="261">
        <v>0</v>
      </c>
      <c r="F120" s="262">
        <v>0</v>
      </c>
    </row>
    <row r="121" spans="1:6" ht="21">
      <c r="A121" s="107" t="s">
        <v>4</v>
      </c>
      <c r="B121" s="108" t="s">
        <v>916</v>
      </c>
      <c r="C121" s="109" t="s">
        <v>917</v>
      </c>
      <c r="D121" s="109"/>
      <c r="E121" s="263">
        <v>0</v>
      </c>
      <c r="F121" s="264">
        <v>0</v>
      </c>
    </row>
    <row r="122" spans="1:6" ht="21">
      <c r="A122" s="107" t="s">
        <v>9</v>
      </c>
      <c r="B122" s="108" t="s">
        <v>918</v>
      </c>
      <c r="C122" s="109" t="s">
        <v>919</v>
      </c>
      <c r="D122" s="109"/>
      <c r="E122" s="263">
        <v>0</v>
      </c>
      <c r="F122" s="264">
        <v>0</v>
      </c>
    </row>
    <row r="123" spans="1:6" ht="21">
      <c r="A123" s="107" t="s">
        <v>14</v>
      </c>
      <c r="B123" s="108" t="s">
        <v>920</v>
      </c>
      <c r="C123" s="109" t="s">
        <v>921</v>
      </c>
      <c r="D123" s="109"/>
      <c r="E123" s="263">
        <v>0</v>
      </c>
      <c r="F123" s="264">
        <v>0</v>
      </c>
    </row>
    <row r="124" spans="1:6" ht="21">
      <c r="A124" s="116" t="s">
        <v>19</v>
      </c>
      <c r="B124" s="117" t="s">
        <v>922</v>
      </c>
      <c r="C124" s="118" t="s">
        <v>923</v>
      </c>
      <c r="D124" s="118"/>
      <c r="E124" s="267">
        <v>198200000</v>
      </c>
      <c r="F124" s="268">
        <v>176300000</v>
      </c>
    </row>
    <row r="125" spans="1:6" ht="10.5" customHeight="1">
      <c r="A125" s="2"/>
      <c r="B125" s="2"/>
      <c r="C125" s="2"/>
      <c r="D125" s="2"/>
      <c r="E125" s="256"/>
      <c r="F125" s="256"/>
    </row>
    <row r="126" spans="1:6" s="180" customFormat="1" ht="15" customHeight="1">
      <c r="A126" s="318" t="s">
        <v>924</v>
      </c>
      <c r="B126" s="318"/>
      <c r="C126" s="318" t="s">
        <v>925</v>
      </c>
      <c r="D126" s="318"/>
      <c r="E126" s="371" t="s">
        <v>926</v>
      </c>
      <c r="F126" s="371"/>
    </row>
    <row r="127" spans="1:6" s="180" customFormat="1" ht="15" customHeight="1">
      <c r="A127" s="372" t="s">
        <v>927</v>
      </c>
      <c r="B127" s="372"/>
      <c r="C127" s="372" t="s">
        <v>927</v>
      </c>
      <c r="D127" s="372"/>
      <c r="E127" s="373" t="s">
        <v>928</v>
      </c>
      <c r="F127" s="373"/>
    </row>
    <row r="128" spans="1:6" s="180" customFormat="1" ht="17.25" customHeight="1">
      <c r="A128" s="124"/>
      <c r="B128" s="124"/>
      <c r="C128" s="124"/>
      <c r="D128" s="124"/>
      <c r="E128" s="269"/>
      <c r="F128" s="269"/>
    </row>
    <row r="129" spans="1:6" s="180" customFormat="1" ht="17.25" customHeight="1">
      <c r="A129" s="124"/>
      <c r="B129" s="124"/>
      <c r="C129" s="124"/>
      <c r="D129" s="124"/>
      <c r="E129" s="269"/>
      <c r="F129" s="269"/>
    </row>
    <row r="130" spans="1:6" s="180" customFormat="1" ht="17.25" customHeight="1">
      <c r="A130" s="124"/>
      <c r="B130" s="124"/>
      <c r="C130" s="124"/>
      <c r="D130" s="124"/>
      <c r="E130" s="269"/>
      <c r="F130" s="269"/>
    </row>
    <row r="131" spans="1:6" s="180" customFormat="1" ht="17.25" customHeight="1">
      <c r="A131" s="124"/>
      <c r="B131" s="124"/>
      <c r="C131" s="124"/>
      <c r="D131" s="124"/>
      <c r="E131" s="269"/>
      <c r="F131" s="269"/>
    </row>
    <row r="132" spans="1:6" s="180" customFormat="1" ht="15.75" customHeight="1">
      <c r="A132" s="370" t="s">
        <v>929</v>
      </c>
      <c r="B132" s="370"/>
      <c r="C132" s="318" t="s">
        <v>1040</v>
      </c>
      <c r="D132" s="318"/>
      <c r="E132" s="371" t="s">
        <v>221</v>
      </c>
      <c r="F132" s="371"/>
    </row>
  </sheetData>
  <mergeCells count="30">
    <mergeCell ref="A8:B8"/>
    <mergeCell ref="C8:F8"/>
    <mergeCell ref="C132:D132"/>
    <mergeCell ref="E132:F132"/>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2:B132"/>
    <mergeCell ref="A15:B15"/>
    <mergeCell ref="C15:F15"/>
    <mergeCell ref="A126:B126"/>
    <mergeCell ref="C126:D126"/>
    <mergeCell ref="E126:F126"/>
    <mergeCell ref="A127:B127"/>
    <mergeCell ref="C127:D127"/>
    <mergeCell ref="E127:F127"/>
  </mergeCells>
  <printOptions horizontalCentered="1"/>
  <pageMargins left="0" right="0" top="0.59" bottom="0.59" header="0.5" footer="0.5"/>
  <pageSetup paperSize="9" scale="9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32"/>
  <sheetViews>
    <sheetView showGridLines="0" showZeros="0" showOutlineSymbols="0" view="pageBreakPreview" zoomScaleNormal="100" zoomScaleSheetLayoutView="100" workbookViewId="0">
      <selection activeCell="A26" sqref="A26:B26"/>
    </sheetView>
  </sheetViews>
  <sheetFormatPr defaultRowHeight="15"/>
  <cols>
    <col min="1" max="1" width="5.7109375" style="1" customWidth="1"/>
    <col min="2" max="2" width="49.42578125" style="1" customWidth="1"/>
    <col min="3" max="3" width="9.140625" style="1"/>
    <col min="4" max="5" width="20.7109375" style="1" customWidth="1"/>
    <col min="6" max="16384" width="9.140625" style="1"/>
  </cols>
  <sheetData>
    <row r="1" spans="1:5" ht="31.5" customHeight="1">
      <c r="A1" s="2"/>
      <c r="B1" s="374" t="s">
        <v>930</v>
      </c>
      <c r="C1" s="374"/>
      <c r="D1" s="374"/>
      <c r="E1" s="374"/>
    </row>
    <row r="2" spans="1:5" ht="22.5" customHeight="1">
      <c r="A2" s="375" t="s">
        <v>703</v>
      </c>
      <c r="B2" s="375"/>
      <c r="C2" s="375"/>
      <c r="D2" s="375"/>
      <c r="E2" s="375"/>
    </row>
    <row r="3" spans="1:5" ht="6" customHeight="1">
      <c r="A3" s="2"/>
      <c r="B3" s="2"/>
      <c r="C3" s="2"/>
      <c r="D3" s="334"/>
      <c r="E3" s="334"/>
    </row>
    <row r="4" spans="1:5" ht="31.5" customHeight="1">
      <c r="A4" s="376" t="s">
        <v>931</v>
      </c>
      <c r="B4" s="376"/>
      <c r="C4" s="376"/>
      <c r="D4" s="376"/>
      <c r="E4" s="376"/>
    </row>
    <row r="5" spans="1:5" ht="15.75" customHeight="1">
      <c r="A5" s="309" t="s">
        <v>267</v>
      </c>
      <c r="B5" s="309"/>
      <c r="C5" s="309"/>
      <c r="D5" s="309"/>
      <c r="E5" s="309"/>
    </row>
    <row r="6" spans="1:5" ht="3.75" customHeight="1">
      <c r="A6" s="2"/>
      <c r="B6" s="2"/>
      <c r="C6" s="2"/>
      <c r="D6" s="334"/>
      <c r="E6" s="334"/>
    </row>
    <row r="7" spans="1:5" ht="15.75" customHeight="1">
      <c r="B7" s="152" t="s">
        <v>932</v>
      </c>
      <c r="C7" s="313" t="s">
        <v>6</v>
      </c>
      <c r="D7" s="313"/>
      <c r="E7" s="313"/>
    </row>
    <row r="8" spans="1:5" ht="15.75" customHeight="1">
      <c r="B8" s="153" t="s">
        <v>7</v>
      </c>
      <c r="C8" s="325" t="s">
        <v>8</v>
      </c>
      <c r="D8" s="325"/>
      <c r="E8" s="325"/>
    </row>
    <row r="9" spans="1:5" ht="15.75" customHeight="1">
      <c r="B9" s="152" t="s">
        <v>10</v>
      </c>
      <c r="C9" s="313" t="s">
        <v>11</v>
      </c>
      <c r="D9" s="313"/>
      <c r="E9" s="313"/>
    </row>
    <row r="10" spans="1:5" ht="15.75" customHeight="1">
      <c r="B10" s="153" t="s">
        <v>933</v>
      </c>
      <c r="C10" s="377" t="s">
        <v>1039</v>
      </c>
      <c r="D10" s="377"/>
      <c r="E10" s="377"/>
    </row>
    <row r="11" spans="1:5" ht="15" customHeight="1">
      <c r="B11" s="152" t="s">
        <v>934</v>
      </c>
      <c r="C11" s="326">
        <v>44169</v>
      </c>
      <c r="D11" s="313"/>
      <c r="E11" s="313"/>
    </row>
    <row r="12" spans="1:5" ht="15.75" customHeight="1">
      <c r="B12" s="153" t="s">
        <v>935</v>
      </c>
      <c r="C12" s="327">
        <v>44169</v>
      </c>
      <c r="D12" s="327"/>
      <c r="E12" s="327"/>
    </row>
    <row r="13" spans="1:5" ht="15.75" customHeight="1">
      <c r="A13" s="6"/>
      <c r="B13" s="6"/>
      <c r="C13" s="6"/>
      <c r="D13" s="314" t="s">
        <v>936</v>
      </c>
      <c r="E13" s="314"/>
    </row>
    <row r="14" spans="1:5" ht="59.25" customHeight="1">
      <c r="A14" s="8" t="s">
        <v>937</v>
      </c>
      <c r="B14" s="9" t="s">
        <v>938</v>
      </c>
      <c r="C14" s="9" t="s">
        <v>939</v>
      </c>
      <c r="D14" s="9" t="s">
        <v>269</v>
      </c>
      <c r="E14" s="10" t="s">
        <v>270</v>
      </c>
    </row>
    <row r="15" spans="1:5" ht="22.5" customHeight="1">
      <c r="A15" s="62" t="s">
        <v>30</v>
      </c>
      <c r="B15" s="63" t="s">
        <v>940</v>
      </c>
      <c r="C15" s="64" t="s">
        <v>941</v>
      </c>
      <c r="D15" s="65">
        <v>2404888002923</v>
      </c>
      <c r="E15" s="66">
        <v>2244878995971</v>
      </c>
    </row>
    <row r="16" spans="1:5" ht="22.5" customHeight="1">
      <c r="A16" s="62" t="s">
        <v>115</v>
      </c>
      <c r="B16" s="63" t="s">
        <v>942</v>
      </c>
      <c r="C16" s="64" t="s">
        <v>943</v>
      </c>
      <c r="D16" s="65">
        <v>292536932451</v>
      </c>
      <c r="E16" s="66">
        <v>52196176027</v>
      </c>
    </row>
    <row r="17" spans="1:5">
      <c r="A17" s="67"/>
      <c r="B17" s="68" t="s">
        <v>944</v>
      </c>
      <c r="C17" s="69"/>
      <c r="D17" s="70">
        <v>0</v>
      </c>
      <c r="E17" s="71">
        <v>0</v>
      </c>
    </row>
    <row r="18" spans="1:5" ht="45" customHeight="1">
      <c r="A18" s="67" t="s">
        <v>118</v>
      </c>
      <c r="B18" s="68" t="s">
        <v>945</v>
      </c>
      <c r="C18" s="69" t="s">
        <v>946</v>
      </c>
      <c r="D18" s="70">
        <v>292536932451</v>
      </c>
      <c r="E18" s="71">
        <v>52196176027</v>
      </c>
    </row>
    <row r="19" spans="1:5" ht="33.75" customHeight="1">
      <c r="A19" s="67" t="s">
        <v>121</v>
      </c>
      <c r="B19" s="68" t="s">
        <v>947</v>
      </c>
      <c r="C19" s="69" t="s">
        <v>948</v>
      </c>
      <c r="D19" s="70">
        <v>0</v>
      </c>
      <c r="E19" s="71">
        <v>0</v>
      </c>
    </row>
    <row r="20" spans="1:5" ht="45" customHeight="1">
      <c r="A20" s="62" t="s">
        <v>366</v>
      </c>
      <c r="B20" s="63" t="s">
        <v>949</v>
      </c>
      <c r="C20" s="64" t="s">
        <v>950</v>
      </c>
      <c r="D20" s="65">
        <v>327476537752</v>
      </c>
      <c r="E20" s="66">
        <v>107812830925</v>
      </c>
    </row>
    <row r="21" spans="1:5" ht="22.5" customHeight="1">
      <c r="A21" s="67" t="s">
        <v>951</v>
      </c>
      <c r="B21" s="68" t="s">
        <v>952</v>
      </c>
      <c r="C21" s="69" t="s">
        <v>953</v>
      </c>
      <c r="D21" s="70">
        <v>416249026565</v>
      </c>
      <c r="E21" s="71">
        <v>138849970508</v>
      </c>
    </row>
    <row r="22" spans="1:5" ht="22.5" customHeight="1">
      <c r="A22" s="67" t="s">
        <v>954</v>
      </c>
      <c r="B22" s="68" t="s">
        <v>955</v>
      </c>
      <c r="C22" s="69" t="s">
        <v>956</v>
      </c>
      <c r="D22" s="70">
        <v>-88772488813</v>
      </c>
      <c r="E22" s="71">
        <v>-31037139583</v>
      </c>
    </row>
    <row r="23" spans="1:5" ht="22.5" customHeight="1">
      <c r="A23" s="62" t="s">
        <v>369</v>
      </c>
      <c r="B23" s="63" t="s">
        <v>957</v>
      </c>
      <c r="C23" s="64" t="s">
        <v>958</v>
      </c>
      <c r="D23" s="65">
        <v>3024901473126</v>
      </c>
      <c r="E23" s="66">
        <v>2404888002923</v>
      </c>
    </row>
    <row r="24" spans="1:5" ht="22.5" customHeight="1">
      <c r="A24" s="119" t="s">
        <v>382</v>
      </c>
      <c r="B24" s="120" t="s">
        <v>959</v>
      </c>
      <c r="C24" s="121" t="s">
        <v>960</v>
      </c>
      <c r="D24" s="29">
        <v>15261.86</v>
      </c>
      <c r="E24" s="122">
        <v>13640.88</v>
      </c>
    </row>
    <row r="25" spans="1:5">
      <c r="A25" s="334"/>
      <c r="B25" s="334"/>
      <c r="C25" s="334"/>
      <c r="D25" s="334"/>
      <c r="E25" s="2"/>
    </row>
    <row r="26" spans="1:5" s="180" customFormat="1">
      <c r="A26" s="370" t="s">
        <v>961</v>
      </c>
      <c r="B26" s="370"/>
      <c r="C26" s="370" t="s">
        <v>925</v>
      </c>
      <c r="D26" s="370"/>
      <c r="E26" s="123" t="s">
        <v>236</v>
      </c>
    </row>
    <row r="27" spans="1:5" s="180" customFormat="1">
      <c r="A27" s="372" t="s">
        <v>927</v>
      </c>
      <c r="B27" s="372"/>
      <c r="C27" s="335" t="s">
        <v>927</v>
      </c>
      <c r="D27" s="335"/>
      <c r="E27" s="124" t="s">
        <v>928</v>
      </c>
    </row>
    <row r="28" spans="1:5" s="180" customFormat="1" ht="16.5" customHeight="1">
      <c r="A28" s="378"/>
      <c r="B28" s="378"/>
      <c r="C28" s="378"/>
      <c r="D28" s="378"/>
      <c r="E28" s="181"/>
    </row>
    <row r="29" spans="1:5" s="180" customFormat="1" ht="16.5" customHeight="1">
      <c r="A29" s="181"/>
      <c r="B29" s="181"/>
      <c r="C29" s="181"/>
      <c r="D29" s="181"/>
      <c r="E29" s="181"/>
    </row>
    <row r="30" spans="1:5" s="180" customFormat="1" ht="16.5" customHeight="1">
      <c r="A30" s="181"/>
      <c r="B30" s="181"/>
      <c r="C30" s="181"/>
      <c r="D30" s="181"/>
      <c r="E30" s="181"/>
    </row>
    <row r="31" spans="1:5" ht="16.5" customHeight="1"/>
    <row r="32" spans="1:5" s="180" customFormat="1">
      <c r="A32" s="370" t="s">
        <v>929</v>
      </c>
      <c r="B32" s="370"/>
      <c r="C32" s="370" t="s">
        <v>1040</v>
      </c>
      <c r="D32" s="370"/>
      <c r="E32" s="123" t="s">
        <v>221</v>
      </c>
    </row>
  </sheetData>
  <mergeCells count="23">
    <mergeCell ref="D6:E6"/>
    <mergeCell ref="A32:B32"/>
    <mergeCell ref="C32:D32"/>
    <mergeCell ref="B1:E1"/>
    <mergeCell ref="A2:E2"/>
    <mergeCell ref="D3:E3"/>
    <mergeCell ref="A4:E4"/>
    <mergeCell ref="A5:E5"/>
    <mergeCell ref="C7:E7"/>
    <mergeCell ref="C8:E8"/>
    <mergeCell ref="C9:E9"/>
    <mergeCell ref="C10:E10"/>
    <mergeCell ref="C11:E11"/>
    <mergeCell ref="C12:E12"/>
    <mergeCell ref="A28:B28"/>
    <mergeCell ref="C28:D28"/>
    <mergeCell ref="A27:B27"/>
    <mergeCell ref="C27:D27"/>
    <mergeCell ref="D13:E13"/>
    <mergeCell ref="A25:B25"/>
    <mergeCell ref="C25:D25"/>
    <mergeCell ref="A26:B26"/>
    <mergeCell ref="C26:D26"/>
  </mergeCells>
  <printOptions horizontalCentered="1"/>
  <pageMargins left="0.25" right="0.25" top="0.25" bottom="0.25" header="0.25" footer="0.25"/>
  <pageSetup paperSize="9" scale="9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topLeftCell="A20" zoomScaleNormal="100" zoomScaleSheetLayoutView="100" workbookViewId="0">
      <selection activeCell="G31" sqref="G31"/>
    </sheetView>
  </sheetViews>
  <sheetFormatPr defaultRowHeight="15"/>
  <cols>
    <col min="1" max="1" width="5.5703125" style="1" customWidth="1"/>
    <col min="2" max="2" width="49.42578125" style="1" customWidth="1"/>
    <col min="3" max="3" width="9.140625" style="1"/>
    <col min="4" max="5" width="20.7109375" style="1" customWidth="1"/>
    <col min="6" max="16384" width="9.140625" style="1"/>
  </cols>
  <sheetData>
    <row r="1" spans="1:5" ht="30.75" customHeight="1">
      <c r="A1" s="382"/>
      <c r="B1" s="382"/>
      <c r="C1" s="318" t="s">
        <v>962</v>
      </c>
      <c r="D1" s="318"/>
      <c r="E1" s="318"/>
    </row>
    <row r="2" spans="1:5" ht="12" customHeight="1">
      <c r="A2" s="329" t="s">
        <v>963</v>
      </c>
      <c r="B2" s="329"/>
      <c r="C2" s="329"/>
      <c r="D2" s="329"/>
      <c r="E2" s="329"/>
    </row>
    <row r="3" spans="1:5" ht="11.25" customHeight="1">
      <c r="A3" s="329" t="s">
        <v>964</v>
      </c>
      <c r="B3" s="329"/>
      <c r="C3" s="329"/>
      <c r="D3" s="329"/>
      <c r="E3" s="329"/>
    </row>
    <row r="4" spans="1:5" ht="29.25" customHeight="1">
      <c r="A4" s="376" t="s">
        <v>965</v>
      </c>
      <c r="B4" s="376"/>
      <c r="C4" s="376"/>
      <c r="D4" s="376"/>
      <c r="E4" s="376"/>
    </row>
    <row r="5" spans="1:5" ht="12" customHeight="1">
      <c r="A5" s="381" t="s">
        <v>267</v>
      </c>
      <c r="B5" s="381"/>
      <c r="C5" s="381"/>
      <c r="D5" s="381"/>
      <c r="E5" s="381"/>
    </row>
    <row r="6" spans="1:5" ht="6.75" customHeight="1">
      <c r="A6" s="2"/>
      <c r="B6" s="380"/>
      <c r="C6" s="380"/>
      <c r="D6" s="380"/>
      <c r="E6" s="380"/>
    </row>
    <row r="7" spans="1:5" ht="12.75" customHeight="1">
      <c r="A7" s="3" t="s">
        <v>4</v>
      </c>
      <c r="B7" s="4" t="s">
        <v>932</v>
      </c>
      <c r="C7" s="317" t="s">
        <v>6</v>
      </c>
      <c r="D7" s="317"/>
      <c r="E7" s="317"/>
    </row>
    <row r="8" spans="1:5" ht="12.75" customHeight="1">
      <c r="A8" s="2"/>
      <c r="B8" s="5" t="s">
        <v>7</v>
      </c>
      <c r="C8" s="321" t="s">
        <v>8</v>
      </c>
      <c r="D8" s="321"/>
      <c r="E8" s="321"/>
    </row>
    <row r="9" spans="1:5" ht="12.75" customHeight="1">
      <c r="A9" s="3" t="s">
        <v>9</v>
      </c>
      <c r="B9" s="4" t="s">
        <v>10</v>
      </c>
      <c r="C9" s="317" t="s">
        <v>11</v>
      </c>
      <c r="D9" s="317"/>
      <c r="E9" s="317"/>
    </row>
    <row r="10" spans="1:5" ht="12.75" customHeight="1">
      <c r="A10" s="2"/>
      <c r="B10" s="5" t="s">
        <v>12</v>
      </c>
      <c r="C10" s="323" t="s">
        <v>13</v>
      </c>
      <c r="D10" s="323"/>
      <c r="E10" s="323"/>
    </row>
    <row r="11" spans="1:5" ht="12.75" customHeight="1">
      <c r="A11" s="3" t="s">
        <v>14</v>
      </c>
      <c r="B11" s="4" t="s">
        <v>15</v>
      </c>
      <c r="C11" s="317" t="s">
        <v>16</v>
      </c>
      <c r="D11" s="317"/>
      <c r="E11" s="317"/>
    </row>
    <row r="12" spans="1:5" ht="12.75" customHeight="1">
      <c r="A12" s="2"/>
      <c r="B12" s="5" t="s">
        <v>17</v>
      </c>
      <c r="C12" s="321" t="s">
        <v>18</v>
      </c>
      <c r="D12" s="321"/>
      <c r="E12" s="321"/>
    </row>
    <row r="13" spans="1:5" ht="12.75" customHeight="1">
      <c r="A13" s="3" t="s">
        <v>19</v>
      </c>
      <c r="B13" s="4" t="s">
        <v>966</v>
      </c>
      <c r="C13" s="317" t="s">
        <v>967</v>
      </c>
      <c r="D13" s="317"/>
      <c r="E13" s="2"/>
    </row>
    <row r="14" spans="1:5" ht="12.75" customHeight="1">
      <c r="A14" s="2"/>
      <c r="B14" s="5" t="s">
        <v>968</v>
      </c>
      <c r="C14" s="321" t="s">
        <v>967</v>
      </c>
      <c r="D14" s="321"/>
      <c r="E14" s="2"/>
    </row>
    <row r="15" spans="1:5" ht="12.75" customHeight="1">
      <c r="A15" s="3" t="s">
        <v>318</v>
      </c>
      <c r="B15" s="4" t="s">
        <v>20</v>
      </c>
      <c r="C15" s="316">
        <v>44169</v>
      </c>
      <c r="D15" s="317"/>
      <c r="E15" s="317"/>
    </row>
    <row r="16" spans="1:5" ht="12.75" customHeight="1">
      <c r="A16" s="2"/>
      <c r="B16" s="5" t="s">
        <v>21</v>
      </c>
      <c r="C16" s="311">
        <v>44169</v>
      </c>
      <c r="D16" s="311"/>
      <c r="E16" s="311"/>
    </row>
    <row r="17" spans="1:5" ht="12.75" customHeight="1">
      <c r="A17" s="6"/>
      <c r="B17" s="6"/>
      <c r="C17" s="379" t="s">
        <v>969</v>
      </c>
      <c r="D17" s="379"/>
      <c r="E17" s="379"/>
    </row>
    <row r="18" spans="1:5" ht="34.5" customHeight="1">
      <c r="A18" s="8" t="s">
        <v>970</v>
      </c>
      <c r="B18" s="9" t="s">
        <v>971</v>
      </c>
      <c r="C18" s="9" t="s">
        <v>972</v>
      </c>
      <c r="D18" s="9" t="s">
        <v>973</v>
      </c>
      <c r="E18" s="10" t="s">
        <v>974</v>
      </c>
    </row>
    <row r="19" spans="1:5">
      <c r="A19" s="125" t="s">
        <v>242</v>
      </c>
      <c r="B19" s="126" t="s">
        <v>975</v>
      </c>
      <c r="C19" s="127" t="s">
        <v>976</v>
      </c>
      <c r="D19" s="128">
        <v>0</v>
      </c>
      <c r="E19" s="129">
        <v>0</v>
      </c>
    </row>
    <row r="20" spans="1:5">
      <c r="A20" s="125" t="s">
        <v>977</v>
      </c>
      <c r="B20" s="126" t="s">
        <v>978</v>
      </c>
      <c r="C20" s="127" t="s">
        <v>979</v>
      </c>
      <c r="D20" s="128">
        <v>0</v>
      </c>
      <c r="E20" s="129">
        <v>0</v>
      </c>
    </row>
    <row r="21" spans="1:5">
      <c r="A21" s="130"/>
      <c r="B21" s="131" t="s">
        <v>980</v>
      </c>
      <c r="C21" s="132" t="s">
        <v>981</v>
      </c>
      <c r="D21" s="133">
        <v>2404888002923</v>
      </c>
      <c r="E21" s="134">
        <v>2244878995971</v>
      </c>
    </row>
    <row r="22" spans="1:5">
      <c r="A22" s="130"/>
      <c r="B22" s="131" t="s">
        <v>982</v>
      </c>
      <c r="C22" s="132" t="s">
        <v>983</v>
      </c>
      <c r="D22" s="133">
        <v>1364088487</v>
      </c>
      <c r="E22" s="134">
        <v>1333855612</v>
      </c>
    </row>
    <row r="23" spans="1:5">
      <c r="A23" s="130"/>
      <c r="B23" s="131" t="s">
        <v>984</v>
      </c>
      <c r="C23" s="132" t="s">
        <v>985</v>
      </c>
      <c r="D23" s="135">
        <v>13640.88</v>
      </c>
      <c r="E23" s="136">
        <v>13338.55</v>
      </c>
    </row>
    <row r="24" spans="1:5">
      <c r="A24" s="125" t="s">
        <v>986</v>
      </c>
      <c r="B24" s="126" t="s">
        <v>987</v>
      </c>
      <c r="C24" s="127" t="s">
        <v>988</v>
      </c>
      <c r="D24" s="128">
        <v>0</v>
      </c>
      <c r="E24" s="129">
        <v>0</v>
      </c>
    </row>
    <row r="25" spans="1:5">
      <c r="A25" s="130"/>
      <c r="B25" s="131" t="s">
        <v>980</v>
      </c>
      <c r="C25" s="132" t="s">
        <v>989</v>
      </c>
      <c r="D25" s="133">
        <v>3024901473126</v>
      </c>
      <c r="E25" s="134">
        <v>2404888002923</v>
      </c>
    </row>
    <row r="26" spans="1:5">
      <c r="A26" s="130"/>
      <c r="B26" s="131" t="s">
        <v>982</v>
      </c>
      <c r="C26" s="132" t="s">
        <v>990</v>
      </c>
      <c r="D26" s="133">
        <v>1526186414</v>
      </c>
      <c r="E26" s="134">
        <v>1364088487</v>
      </c>
    </row>
    <row r="27" spans="1:5">
      <c r="A27" s="130"/>
      <c r="B27" s="131" t="s">
        <v>984</v>
      </c>
      <c r="C27" s="132" t="s">
        <v>991</v>
      </c>
      <c r="D27" s="135">
        <v>15261.86</v>
      </c>
      <c r="E27" s="136">
        <v>13640.88</v>
      </c>
    </row>
    <row r="28" spans="1:5" ht="42">
      <c r="A28" s="125" t="s">
        <v>992</v>
      </c>
      <c r="B28" s="126" t="s">
        <v>993</v>
      </c>
      <c r="C28" s="127" t="s">
        <v>994</v>
      </c>
      <c r="D28" s="128">
        <v>0</v>
      </c>
      <c r="E28" s="129">
        <v>0</v>
      </c>
    </row>
    <row r="29" spans="1:5" ht="22.5" customHeight="1">
      <c r="A29" s="130"/>
      <c r="B29" s="131" t="s">
        <v>995</v>
      </c>
      <c r="C29" s="132" t="s">
        <v>996</v>
      </c>
      <c r="D29" s="135">
        <v>-31.27</v>
      </c>
      <c r="E29" s="136">
        <v>-309.20999999999998</v>
      </c>
    </row>
    <row r="30" spans="1:5" ht="22.5" customHeight="1">
      <c r="A30" s="130"/>
      <c r="B30" s="131" t="s">
        <v>997</v>
      </c>
      <c r="C30" s="132" t="s">
        <v>998</v>
      </c>
      <c r="D30" s="135">
        <v>1652.25</v>
      </c>
      <c r="E30" s="136">
        <v>611.53</v>
      </c>
    </row>
    <row r="31" spans="1:5" ht="45" customHeight="1">
      <c r="A31" s="137"/>
      <c r="B31" s="138" t="s">
        <v>397</v>
      </c>
      <c r="C31" s="139" t="s">
        <v>999</v>
      </c>
      <c r="D31" s="140">
        <v>0</v>
      </c>
      <c r="E31" s="141">
        <v>0</v>
      </c>
    </row>
    <row r="32" spans="1:5" ht="22.5" customHeight="1">
      <c r="A32" s="137"/>
      <c r="B32" s="138" t="s">
        <v>1000</v>
      </c>
      <c r="C32" s="139" t="s">
        <v>1001</v>
      </c>
      <c r="D32" s="142">
        <v>1652.25</v>
      </c>
      <c r="E32" s="143">
        <v>611.53</v>
      </c>
    </row>
    <row r="33" spans="1:5" ht="33.75" customHeight="1">
      <c r="A33" s="125" t="s">
        <v>1002</v>
      </c>
      <c r="B33" s="126" t="s">
        <v>1003</v>
      </c>
      <c r="C33" s="127" t="s">
        <v>1004</v>
      </c>
      <c r="D33" s="128">
        <v>0</v>
      </c>
      <c r="E33" s="129">
        <v>0</v>
      </c>
    </row>
    <row r="34" spans="1:5">
      <c r="A34" s="137"/>
      <c r="B34" s="138" t="s">
        <v>1005</v>
      </c>
      <c r="C34" s="139" t="s">
        <v>1006</v>
      </c>
      <c r="D34" s="140">
        <v>3024901473126</v>
      </c>
      <c r="E34" s="141">
        <v>2524097638168</v>
      </c>
    </row>
    <row r="35" spans="1:5">
      <c r="A35" s="137"/>
      <c r="B35" s="138" t="s">
        <v>1007</v>
      </c>
      <c r="C35" s="139" t="s">
        <v>1008</v>
      </c>
      <c r="D35" s="140">
        <v>109880505679</v>
      </c>
      <c r="E35" s="141">
        <v>109880505679</v>
      </c>
    </row>
    <row r="36" spans="1:5" ht="45" customHeight="1">
      <c r="A36" s="125" t="s">
        <v>262</v>
      </c>
      <c r="B36" s="126" t="s">
        <v>1009</v>
      </c>
      <c r="C36" s="127" t="s">
        <v>1010</v>
      </c>
      <c r="D36" s="128">
        <v>0</v>
      </c>
      <c r="E36" s="129">
        <v>0</v>
      </c>
    </row>
    <row r="37" spans="1:5">
      <c r="A37" s="130" t="s">
        <v>1011</v>
      </c>
      <c r="B37" s="131" t="s">
        <v>978</v>
      </c>
      <c r="C37" s="132" t="s">
        <v>1012</v>
      </c>
      <c r="D37" s="135">
        <v>13920</v>
      </c>
      <c r="E37" s="136">
        <v>13370</v>
      </c>
    </row>
    <row r="38" spans="1:5">
      <c r="A38" s="130" t="s">
        <v>1013</v>
      </c>
      <c r="B38" s="131" t="s">
        <v>1014</v>
      </c>
      <c r="C38" s="132" t="s">
        <v>1015</v>
      </c>
      <c r="D38" s="135">
        <v>15520</v>
      </c>
      <c r="E38" s="136">
        <v>13920</v>
      </c>
    </row>
    <row r="39" spans="1:5" ht="21">
      <c r="A39" s="130" t="s">
        <v>1016</v>
      </c>
      <c r="B39" s="131" t="s">
        <v>1017</v>
      </c>
      <c r="C39" s="132" t="s">
        <v>1018</v>
      </c>
      <c r="D39" s="135">
        <v>1600</v>
      </c>
      <c r="E39" s="136">
        <v>550</v>
      </c>
    </row>
    <row r="40" spans="1:5" ht="45" customHeight="1">
      <c r="A40" s="130" t="s">
        <v>1019</v>
      </c>
      <c r="B40" s="131" t="s">
        <v>1020</v>
      </c>
      <c r="C40" s="132" t="s">
        <v>1021</v>
      </c>
      <c r="D40" s="135">
        <v>0</v>
      </c>
      <c r="E40" s="136">
        <v>0</v>
      </c>
    </row>
    <row r="41" spans="1:5">
      <c r="A41" s="137"/>
      <c r="B41" s="138" t="s">
        <v>1022</v>
      </c>
      <c r="C41" s="139" t="s">
        <v>1023</v>
      </c>
      <c r="D41" s="142">
        <v>258.14</v>
      </c>
      <c r="E41" s="143">
        <v>279.12</v>
      </c>
    </row>
    <row r="42" spans="1:5" ht="22.5" customHeight="1">
      <c r="A42" s="137"/>
      <c r="B42" s="138" t="s">
        <v>1024</v>
      </c>
      <c r="C42" s="139" t="s">
        <v>1025</v>
      </c>
      <c r="D42" s="144">
        <v>1.6899999999999998E-2</v>
      </c>
      <c r="E42" s="145">
        <v>2.0500000000000001E-2</v>
      </c>
    </row>
    <row r="43" spans="1:5" ht="22.5" customHeight="1">
      <c r="A43" s="130" t="s">
        <v>1026</v>
      </c>
      <c r="B43" s="131" t="s">
        <v>1027</v>
      </c>
      <c r="C43" s="132" t="s">
        <v>1028</v>
      </c>
      <c r="D43" s="135">
        <v>0</v>
      </c>
      <c r="E43" s="136">
        <v>0</v>
      </c>
    </row>
    <row r="44" spans="1:5">
      <c r="A44" s="137"/>
      <c r="B44" s="138" t="s">
        <v>1029</v>
      </c>
      <c r="C44" s="139" t="s">
        <v>1030</v>
      </c>
      <c r="D44" s="142">
        <v>15520</v>
      </c>
      <c r="E44" s="143">
        <v>14400</v>
      </c>
    </row>
    <row r="45" spans="1:5">
      <c r="A45" s="146"/>
      <c r="B45" s="147" t="s">
        <v>1031</v>
      </c>
      <c r="C45" s="148" t="s">
        <v>1032</v>
      </c>
      <c r="D45" s="149">
        <v>10500</v>
      </c>
      <c r="E45" s="150">
        <v>10500</v>
      </c>
    </row>
    <row r="46" spans="1:5" ht="9" customHeight="1">
      <c r="A46" s="334"/>
      <c r="B46" s="334"/>
      <c r="C46" s="334"/>
      <c r="D46" s="334"/>
      <c r="E46" s="334"/>
    </row>
    <row r="47" spans="1:5" s="180" customFormat="1">
      <c r="A47" s="318" t="s">
        <v>1033</v>
      </c>
      <c r="B47" s="318"/>
      <c r="C47" s="318" t="s">
        <v>1034</v>
      </c>
      <c r="D47" s="318"/>
      <c r="E47" s="318"/>
    </row>
    <row r="48" spans="1:5" s="180" customFormat="1">
      <c r="A48" s="335" t="s">
        <v>214</v>
      </c>
      <c r="B48" s="335"/>
      <c r="C48" s="335" t="s">
        <v>215</v>
      </c>
      <c r="D48" s="335"/>
      <c r="E48" s="335"/>
    </row>
    <row r="49" spans="1:5" s="180" customFormat="1" ht="37.5" customHeight="1">
      <c r="A49" s="378"/>
      <c r="B49" s="378"/>
      <c r="C49" s="378"/>
      <c r="D49" s="378"/>
      <c r="E49" s="378"/>
    </row>
    <row r="50" spans="1:5" s="180" customFormat="1" ht="37.5" customHeight="1">
      <c r="A50" s="378"/>
      <c r="B50" s="378"/>
      <c r="C50" s="378"/>
      <c r="D50" s="378"/>
      <c r="E50" s="378"/>
    </row>
    <row r="51" spans="1:5" s="180" customFormat="1">
      <c r="A51" s="318" t="s">
        <v>216</v>
      </c>
      <c r="B51" s="318"/>
      <c r="C51" s="318" t="s">
        <v>217</v>
      </c>
      <c r="D51" s="318"/>
      <c r="E51" s="318"/>
    </row>
    <row r="52" spans="1:5" s="180" customFormat="1">
      <c r="A52" s="370" t="s">
        <v>218</v>
      </c>
      <c r="B52" s="370"/>
      <c r="C52" s="370" t="s">
        <v>219</v>
      </c>
      <c r="D52" s="370"/>
      <c r="E52" s="370"/>
    </row>
    <row r="53" spans="1:5" s="180" customFormat="1">
      <c r="A53" s="370" t="s">
        <v>220</v>
      </c>
      <c r="B53" s="370"/>
      <c r="C53" s="370" t="s">
        <v>221</v>
      </c>
      <c r="D53" s="370"/>
      <c r="E53" s="370"/>
    </row>
  </sheetData>
  <mergeCells count="34">
    <mergeCell ref="A5:E5"/>
    <mergeCell ref="A1:B1"/>
    <mergeCell ref="C1:E1"/>
    <mergeCell ref="A2:E2"/>
    <mergeCell ref="A3:E3"/>
    <mergeCell ref="A4:E4"/>
    <mergeCell ref="C17:E17"/>
    <mergeCell ref="B6:E6"/>
    <mergeCell ref="C7:E7"/>
    <mergeCell ref="C8:E8"/>
    <mergeCell ref="C9:E9"/>
    <mergeCell ref="C10:E10"/>
    <mergeCell ref="C11:E11"/>
    <mergeCell ref="C12:E12"/>
    <mergeCell ref="C13:D13"/>
    <mergeCell ref="C14:D14"/>
    <mergeCell ref="C15:E15"/>
    <mergeCell ref="C16:E16"/>
    <mergeCell ref="A46:B46"/>
    <mergeCell ref="C46:E46"/>
    <mergeCell ref="A47:B47"/>
    <mergeCell ref="C47:E47"/>
    <mergeCell ref="A48:B48"/>
    <mergeCell ref="C48:E48"/>
    <mergeCell ref="A52:B52"/>
    <mergeCell ref="C52:E52"/>
    <mergeCell ref="A53:B53"/>
    <mergeCell ref="C53:E53"/>
    <mergeCell ref="A49:B49"/>
    <mergeCell ref="C49:E49"/>
    <mergeCell ref="A50:B50"/>
    <mergeCell ref="C50:E50"/>
    <mergeCell ref="A51:B51"/>
    <mergeCell ref="C51:E51"/>
  </mergeCells>
  <printOptions horizontalCentered="1"/>
  <pageMargins left="0.25" right="0.25" top="0.25" bottom="0.25" header="0.25" footer="0.25"/>
  <pageSetup paperSize="9" scale="8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sZLe/TTKBA9GmlMzBxStMEnA6i8=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UbDqvw+NXp5XKzkMkcxuauy0EoA=</DigestValue>
    </Reference>
  </SignedInfo>
  <SignatureValue>VY6Ak10eu1VRx3aODraZPF9WuideiOByiSLjnbG6d3h59HfKXqCeqexrDbohdgZVMyG8ABI2NIl2
oTIDZoY66/9bUmVGu4PqolYcbA7PJHBJkbH17jXWApBl2pRSuiONkxX9gcdLTkQ19w4oDif4+Hus
OpVJigPtiHJx5qPrUms=</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8.bin?ContentType=application/vnd.openxmlformats-officedocument.spreadsheetml.printerSettings">
        <DigestMethod Algorithm="http://www.w3.org/2000/09/xmldsig#sha1"/>
        <DigestValue>8PVSgNNrtPORSdAqHF+whSANz8Y=</DigestValue>
      </Reference>
      <Reference URI="/xl/drawings/drawing3.xml?ContentType=application/vnd.openxmlformats-officedocument.drawing+xml">
        <DigestMethod Algorithm="http://www.w3.org/2000/09/xmldsig#sha1"/>
        <DigestValue>ikGc2CYCC3NIpTFcfYOifBMEJYk=</DigestValue>
      </Reference>
      <Reference URI="/xl/media/image2.jpeg?ContentType=image/jpeg">
        <DigestMethod Algorithm="http://www.w3.org/2000/09/xmldsig#sha1"/>
        <DigestValue>7BdRZte+R/KxsBppojn2DSpDvz8=</DigestValue>
      </Reference>
      <Reference URI="/xl/drawings/drawing2.xml?ContentType=application/vnd.openxmlformats-officedocument.drawing+xml">
        <DigestMethod Algorithm="http://www.w3.org/2000/09/xmldsig#sha1"/>
        <DigestValue>u5Q9kU0GV76FLLXaR5MMuJBOcg4=</DigestValue>
      </Reference>
      <Reference URI="/xl/media/image1.jpeg?ContentType=image/jpeg">
        <DigestMethod Algorithm="http://www.w3.org/2000/09/xmldsig#sha1"/>
        <DigestValue>jTbX18vSolZVoyQnOhAt9nYei9E=</DigestValue>
      </Reference>
      <Reference URI="/xl/worksheets/sheet5.xml?ContentType=application/vnd.openxmlformats-officedocument.spreadsheetml.worksheet+xml">
        <DigestMethod Algorithm="http://www.w3.org/2000/09/xmldsig#sha1"/>
        <DigestValue>7T2DcnYFYIB8iJ5V1ero+3372fg=</DigestValue>
      </Reference>
      <Reference URI="/xl/worksheets/sheet6.xml?ContentType=application/vnd.openxmlformats-officedocument.spreadsheetml.worksheet+xml">
        <DigestMethod Algorithm="http://www.w3.org/2000/09/xmldsig#sha1"/>
        <DigestValue>TEUr7IdkuOaJLF9tn8NydIQLrjM=</DigestValue>
      </Reference>
      <Reference URI="/xl/worksheets/sheet7.xml?ContentType=application/vnd.openxmlformats-officedocument.spreadsheetml.worksheet+xml">
        <DigestMethod Algorithm="http://www.w3.org/2000/09/xmldsig#sha1"/>
        <DigestValue>Jd0hzQA7XJwzVrk2S43Nvmw6HH0=</DigestValue>
      </Reference>
      <Reference URI="/xl/printerSettings/printerSettings5.bin?ContentType=application/vnd.openxmlformats-officedocument.spreadsheetml.printerSettings">
        <DigestMethod Algorithm="http://www.w3.org/2000/09/xmldsig#sha1"/>
        <DigestValue>8PVSgNNrtPORSdAqHF+whSANz8Y=</DigestValue>
      </Reference>
      <Reference URI="/xl/worksheets/sheet9.xml?ContentType=application/vnd.openxmlformats-officedocument.spreadsheetml.worksheet+xml">
        <DigestMethod Algorithm="http://www.w3.org/2000/09/xmldsig#sha1"/>
        <DigestValue>eNU8Yke0oRBXTzmXZskBCRG5iNU=</DigestValue>
      </Reference>
      <Reference URI="/xl/drawings/drawing4.xml?ContentType=application/vnd.openxmlformats-officedocument.drawing+xml">
        <DigestMethod Algorithm="http://www.w3.org/2000/09/xmldsig#sha1"/>
        <DigestValue>1dD0oaWMInit3BsofWPTWa3dIAs=</DigestValue>
      </Reference>
      <Reference URI="/xl/drawings/drawing5.xml?ContentType=application/vnd.openxmlformats-officedocument.drawing+xml">
        <DigestMethod Algorithm="http://www.w3.org/2000/09/xmldsig#sha1"/>
        <DigestValue>JG0ntfAiJWUSTDzvQ6WjBsRaqi0=</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6.bin?ContentType=application/vnd.openxmlformats-officedocument.spreadsheetml.printerSettings">
        <DigestMethod Algorithm="http://www.w3.org/2000/09/xmldsig#sha1"/>
        <DigestValue>RgCo0XQ47bc0bUD1iZxJqvFznkE=</DigestValue>
      </Reference>
      <Reference URI="/xl/printerSettings/printerSettings1.bin?ContentType=application/vnd.openxmlformats-officedocument.spreadsheetml.printerSettings">
        <DigestMethod Algorithm="http://www.w3.org/2000/09/xmldsig#sha1"/>
        <DigestValue>nGROEf/Gj1hVfXi733yAcQw90O4=</DigestValue>
      </Reference>
      <Reference URI="/xl/printerSettings/printerSettings2.bin?ContentType=application/vnd.openxmlformats-officedocument.spreadsheetml.printerSettings">
        <DigestMethod Algorithm="http://www.w3.org/2000/09/xmldsig#sha1"/>
        <DigestValue>8PVSgNNrtPORSdAqHF+whSANz8Y=</DigestValue>
      </Reference>
      <Reference URI="/xl/calcChain.xml?ContentType=application/vnd.openxmlformats-officedocument.spreadsheetml.calcChain+xml">
        <DigestMethod Algorithm="http://www.w3.org/2000/09/xmldsig#sha1"/>
        <DigestValue>p+m4YuSobtWAvdOOLnrRNqLKCsg=</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7.bin?ContentType=application/vnd.openxmlformats-officedocument.spreadsheetml.printerSettings">
        <DigestMethod Algorithm="http://www.w3.org/2000/09/xmldsig#sha1"/>
        <DigestValue>8PVSgNNrtPORSdAqHF+whSANz8Y=</DigestValue>
      </Reference>
      <Reference URI="/xl/printerSettings/printerSettings10.bin?ContentType=application/vnd.openxmlformats-officedocument.spreadsheetml.printerSettings">
        <DigestMethod Algorithm="http://www.w3.org/2000/09/xmldsig#sha1"/>
        <DigestValue>8PVSgNNrtPORSdAqHF+whSANz8Y=</DigestValue>
      </Reference>
      <Reference URI="/xl/printerSettings/printerSettings4.bin?ContentType=application/vnd.openxmlformats-officedocument.spreadsheetml.printerSettings">
        <DigestMethod Algorithm="http://www.w3.org/2000/09/xmldsig#sha1"/>
        <DigestValue>8PVSgNNrtPORSdAqHF+whSANz8Y=</DigestValue>
      </Reference>
      <Reference URI="/xl/worksheets/sheet10.xml?ContentType=application/vnd.openxmlformats-officedocument.spreadsheetml.worksheet+xml">
        <DigestMethod Algorithm="http://www.w3.org/2000/09/xmldsig#sha1"/>
        <DigestValue>oSEmrEsDOkuZxN5oAdMFr1Aup2Q=</DigestValue>
      </Reference>
      <Reference URI="/xl/worksheets/sheet8.xml?ContentType=application/vnd.openxmlformats-officedocument.spreadsheetml.worksheet+xml">
        <DigestMethod Algorithm="http://www.w3.org/2000/09/xmldsig#sha1"/>
        <DigestValue>S6732buIj3qdVFvrZ2K+X2ezl00=</DigestValue>
      </Reference>
      <Reference URI="/xl/workbook.xml?ContentType=application/vnd.openxmlformats-officedocument.spreadsheetml.sheet.main+xml">
        <DigestMethod Algorithm="http://www.w3.org/2000/09/xmldsig#sha1"/>
        <DigestValue>SAkKSXXG84bxYiE58sX8W//l//M=</DigestValue>
      </Reference>
      <Reference URI="/xl/worksheets/sheet1.xml?ContentType=application/vnd.openxmlformats-officedocument.spreadsheetml.worksheet+xml">
        <DigestMethod Algorithm="http://www.w3.org/2000/09/xmldsig#sha1"/>
        <DigestValue>IrLmYb1b7EM+YbmShIRDeyYVnSM=</DigestValue>
      </Reference>
      <Reference URI="/xl/drawings/drawing1.xml?ContentType=application/vnd.openxmlformats-officedocument.drawing+xml">
        <DigestMethod Algorithm="http://www.w3.org/2000/09/xmldsig#sha1"/>
        <DigestValue>wfkSmaXQGfd7oJaCqQpGr6YTlno=</DigestValue>
      </Reference>
      <Reference URI="/xl/drawings/drawing8.xml?ContentType=application/vnd.openxmlformats-officedocument.drawing+xml">
        <DigestMethod Algorithm="http://www.w3.org/2000/09/xmldsig#sha1"/>
        <DigestValue>vH15yLKB6BqseNdWAaDAvsS3dbM=</DigestValue>
      </Reference>
      <Reference URI="/xl/drawings/drawing9.xml?ContentType=application/vnd.openxmlformats-officedocument.drawing+xml">
        <DigestMethod Algorithm="http://www.w3.org/2000/09/xmldsig#sha1"/>
        <DigestValue>61vtqlIzozu75qRq9BvB8+oIDLg=</DigestValue>
      </Reference>
      <Reference URI="/xl/worksheets/sheet3.xml?ContentType=application/vnd.openxmlformats-officedocument.spreadsheetml.worksheet+xml">
        <DigestMethod Algorithm="http://www.w3.org/2000/09/xmldsig#sha1"/>
        <DigestValue>kgdfKdiD3LOCWCfTy1GISsMDCJg=</DigestValue>
      </Reference>
      <Reference URI="/xl/worksheets/sheet2.xml?ContentType=application/vnd.openxmlformats-officedocument.spreadsheetml.worksheet+xml">
        <DigestMethod Algorithm="http://www.w3.org/2000/09/xmldsig#sha1"/>
        <DigestValue>QdimRs43YWdxY1veqDpyZSt+Sw0=</DigestValue>
      </Reference>
      <Reference URI="/xl/worksheets/sheet4.xml?ContentType=application/vnd.openxmlformats-officedocument.spreadsheetml.worksheet+xml">
        <DigestMethod Algorithm="http://www.w3.org/2000/09/xmldsig#sha1"/>
        <DigestValue>oesLrwhFN9XgsH60tB6vjK+Hesk=</DigestValue>
      </Reference>
      <Reference URI="/xl/drawings/drawing6.xml?ContentType=application/vnd.openxmlformats-officedocument.drawing+xml">
        <DigestMethod Algorithm="http://www.w3.org/2000/09/xmldsig#sha1"/>
        <DigestValue>NJX03LvY57jCotis035W0k44FJ8=</DigestValue>
      </Reference>
      <Reference URI="/xl/drawings/drawing7.xml?ContentType=application/vnd.openxmlformats-officedocument.drawing+xml">
        <DigestMethod Algorithm="http://www.w3.org/2000/09/xmldsig#sha1"/>
        <DigestValue>Vjx0CNZZAXhyOjMkNTEK5SosBss=</DigestValue>
      </Reference>
      <Reference URI="/xl/sharedStrings.xml?ContentType=application/vnd.openxmlformats-officedocument.spreadsheetml.sharedStrings+xml">
        <DigestMethod Algorithm="http://www.w3.org/2000/09/xmldsig#sha1"/>
        <DigestValue>W08XM4uf23JMHl7+2c9nmHknah0=</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RGLMmYdXhXIUrHMEdbbS88M6JUs=</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2020-12-04T08:13:48Z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2020-12-04T08:13:48Z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DangHD_06182</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2020-12-04T08:11:58Z</dcterms:modified>
</cp:coreProperties>
</file>